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8_{6B56C945-734F-4A2A-BEA2-35AF3D1C25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Swanson) USA" sheetId="5" r:id="rId1"/>
  </sheets>
  <definedNames>
    <definedName name="_xlnm._FilterDatabase" localSheetId="0" hidden="1">'DSN GROUP (Swanson) USA'!$A$2:$Q$1433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5" l="1"/>
  <c r="S18" i="5"/>
  <c r="S26" i="5"/>
  <c r="S28" i="5"/>
  <c r="S29" i="5"/>
  <c r="S31" i="5"/>
  <c r="S32" i="5"/>
  <c r="S33" i="5"/>
  <c r="S34" i="5"/>
  <c r="S35" i="5"/>
  <c r="S42" i="5"/>
  <c r="S44" i="5"/>
  <c r="S45" i="5"/>
  <c r="S48" i="5"/>
  <c r="S49" i="5"/>
  <c r="S50" i="5"/>
  <c r="S51" i="5"/>
  <c r="S58" i="5"/>
  <c r="S60" i="5"/>
  <c r="S61" i="5"/>
  <c r="S64" i="5"/>
  <c r="S65" i="5"/>
  <c r="S66" i="5"/>
  <c r="S67" i="5"/>
  <c r="S74" i="5"/>
  <c r="S76" i="5"/>
  <c r="S77" i="5"/>
  <c r="S80" i="5"/>
  <c r="S81" i="5"/>
  <c r="S82" i="5"/>
  <c r="S83" i="5"/>
  <c r="S90" i="5"/>
  <c r="S92" i="5"/>
  <c r="S93" i="5"/>
  <c r="S96" i="5"/>
  <c r="S97" i="5"/>
  <c r="S98" i="5"/>
  <c r="S99" i="5"/>
  <c r="S106" i="5"/>
  <c r="S108" i="5"/>
  <c r="S109" i="5"/>
  <c r="S112" i="5"/>
  <c r="S113" i="5"/>
  <c r="S114" i="5"/>
  <c r="S115" i="5"/>
  <c r="S122" i="5"/>
  <c r="S125" i="5"/>
  <c r="S127" i="5"/>
  <c r="S129" i="5"/>
  <c r="S130" i="5"/>
  <c r="S131" i="5"/>
  <c r="S138" i="5"/>
  <c r="S143" i="5"/>
  <c r="S144" i="5"/>
  <c r="S145" i="5"/>
  <c r="S146" i="5"/>
  <c r="S147" i="5"/>
  <c r="S154" i="5"/>
  <c r="S156" i="5"/>
  <c r="S157" i="5"/>
  <c r="S159" i="5"/>
  <c r="S160" i="5"/>
  <c r="S161" i="5"/>
  <c r="S162" i="5"/>
  <c r="S163" i="5"/>
  <c r="S170" i="5"/>
  <c r="S172" i="5"/>
  <c r="S173" i="5"/>
  <c r="S176" i="5"/>
  <c r="S177" i="5"/>
  <c r="S178" i="5"/>
  <c r="S179" i="5"/>
  <c r="S186" i="5"/>
  <c r="S188" i="5"/>
  <c r="S189" i="5"/>
  <c r="S192" i="5"/>
  <c r="S193" i="5"/>
  <c r="S194" i="5"/>
  <c r="S195" i="5"/>
  <c r="S202" i="5"/>
  <c r="S204" i="5"/>
  <c r="S205" i="5"/>
  <c r="S208" i="5"/>
  <c r="S209" i="5"/>
  <c r="S210" i="5"/>
  <c r="S211" i="5"/>
  <c r="S218" i="5"/>
  <c r="S220" i="5"/>
  <c r="S221" i="5"/>
  <c r="S224" i="5"/>
  <c r="S225" i="5"/>
  <c r="S226" i="5"/>
  <c r="S227" i="5"/>
  <c r="S234" i="5"/>
  <c r="S236" i="5"/>
  <c r="S237" i="5"/>
  <c r="S240" i="5"/>
  <c r="S241" i="5"/>
  <c r="S242" i="5"/>
  <c r="S243" i="5"/>
  <c r="S250" i="5"/>
  <c r="S252" i="5"/>
  <c r="S253" i="5"/>
  <c r="S255" i="5"/>
  <c r="S257" i="5"/>
  <c r="S258" i="5"/>
  <c r="S259" i="5"/>
  <c r="S266" i="5"/>
  <c r="S271" i="5"/>
  <c r="S272" i="5"/>
  <c r="S273" i="5"/>
  <c r="S274" i="5"/>
  <c r="S275" i="5"/>
  <c r="S282" i="5"/>
  <c r="S284" i="5"/>
  <c r="S287" i="5"/>
  <c r="S288" i="5"/>
  <c r="S289" i="5"/>
  <c r="S290" i="5"/>
  <c r="S291" i="5"/>
  <c r="S298" i="5"/>
  <c r="S300" i="5"/>
  <c r="S301" i="5"/>
  <c r="S304" i="5"/>
  <c r="S305" i="5"/>
  <c r="S306" i="5"/>
  <c r="S307" i="5"/>
  <c r="S314" i="5"/>
  <c r="S316" i="5"/>
  <c r="S317" i="5"/>
  <c r="S320" i="5"/>
  <c r="S321" i="5"/>
  <c r="S322" i="5"/>
  <c r="S323" i="5"/>
  <c r="S330" i="5"/>
  <c r="S332" i="5"/>
  <c r="S333" i="5"/>
  <c r="S336" i="5"/>
  <c r="S337" i="5"/>
  <c r="S338" i="5"/>
  <c r="S339" i="5"/>
  <c r="S346" i="5"/>
  <c r="S348" i="5"/>
  <c r="S349" i="5"/>
  <c r="S352" i="5"/>
  <c r="S353" i="5"/>
  <c r="S354" i="5"/>
  <c r="S355" i="5"/>
  <c r="S362" i="5"/>
  <c r="S364" i="5"/>
  <c r="S365" i="5"/>
  <c r="S368" i="5"/>
  <c r="S369" i="5"/>
  <c r="S370" i="5"/>
  <c r="S371" i="5"/>
  <c r="S378" i="5"/>
  <c r="S380" i="5"/>
  <c r="S381" i="5"/>
  <c r="S383" i="5"/>
  <c r="S384" i="5"/>
  <c r="S385" i="5"/>
  <c r="S386" i="5"/>
  <c r="S387" i="5"/>
  <c r="S394" i="5"/>
  <c r="S396" i="5"/>
  <c r="S397" i="5"/>
  <c r="S399" i="5"/>
  <c r="S400" i="5"/>
  <c r="S402" i="5"/>
  <c r="S403" i="5"/>
  <c r="S410" i="5"/>
  <c r="S411" i="5"/>
  <c r="S412" i="5"/>
  <c r="S413" i="5"/>
  <c r="S415" i="5"/>
  <c r="S416" i="5"/>
  <c r="S417" i="5"/>
  <c r="S418" i="5"/>
  <c r="S419" i="5"/>
  <c r="S426" i="5"/>
  <c r="S428" i="5"/>
  <c r="S429" i="5"/>
  <c r="S432" i="5"/>
  <c r="S433" i="5"/>
  <c r="S434" i="5"/>
  <c r="S435" i="5"/>
  <c r="S442" i="5"/>
  <c r="S443" i="5"/>
  <c r="S444" i="5"/>
  <c r="S445" i="5"/>
  <c r="S448" i="5"/>
  <c r="S449" i="5"/>
  <c r="S450" i="5"/>
  <c r="S451" i="5"/>
  <c r="S458" i="5"/>
  <c r="S460" i="5"/>
  <c r="S461" i="5"/>
  <c r="S462" i="5"/>
  <c r="S464" i="5"/>
  <c r="S465" i="5"/>
  <c r="S466" i="5"/>
  <c r="S467" i="5"/>
  <c r="S474" i="5"/>
  <c r="S477" i="5"/>
  <c r="S480" i="5"/>
  <c r="S481" i="5"/>
  <c r="S482" i="5"/>
  <c r="S483" i="5"/>
  <c r="S490" i="5"/>
  <c r="S492" i="5"/>
  <c r="S493" i="5"/>
  <c r="S496" i="5"/>
  <c r="S497" i="5"/>
  <c r="S498" i="5"/>
  <c r="S499" i="5"/>
  <c r="S506" i="5"/>
  <c r="S507" i="5"/>
  <c r="S508" i="5"/>
  <c r="S509" i="5"/>
  <c r="S512" i="5"/>
  <c r="S513" i="5"/>
  <c r="S514" i="5"/>
  <c r="S515" i="5"/>
  <c r="S522" i="5"/>
  <c r="S523" i="5"/>
  <c r="S525" i="5"/>
  <c r="S526" i="5"/>
  <c r="S528" i="5"/>
  <c r="S530" i="5"/>
  <c r="S531" i="5"/>
  <c r="S538" i="5"/>
  <c r="S539" i="5"/>
  <c r="S540" i="5"/>
  <c r="S542" i="5"/>
  <c r="S543" i="5"/>
  <c r="S544" i="5"/>
  <c r="S545" i="5"/>
  <c r="S546" i="5"/>
  <c r="S547" i="5"/>
  <c r="S554" i="5"/>
  <c r="S556" i="5"/>
  <c r="S557" i="5"/>
  <c r="S558" i="5"/>
  <c r="S559" i="5"/>
  <c r="S560" i="5"/>
  <c r="S561" i="5"/>
  <c r="S562" i="5"/>
  <c r="S563" i="5"/>
  <c r="S570" i="5"/>
  <c r="S573" i="5"/>
  <c r="S574" i="5"/>
  <c r="S575" i="5"/>
  <c r="S576" i="5"/>
  <c r="S577" i="5"/>
  <c r="S578" i="5"/>
  <c r="S579" i="5"/>
  <c r="S586" i="5"/>
  <c r="S588" i="5"/>
  <c r="S589" i="5"/>
  <c r="S590" i="5"/>
  <c r="S591" i="5"/>
  <c r="S592" i="5"/>
  <c r="S593" i="5"/>
  <c r="S594" i="5"/>
  <c r="S595" i="5"/>
  <c r="S602" i="5"/>
  <c r="S603" i="5"/>
  <c r="S605" i="5"/>
  <c r="S606" i="5"/>
  <c r="S607" i="5"/>
  <c r="S609" i="5"/>
  <c r="S610" i="5"/>
  <c r="S611" i="5"/>
  <c r="S618" i="5"/>
  <c r="S619" i="5"/>
  <c r="S620" i="5"/>
  <c r="S622" i="5"/>
  <c r="S623" i="5"/>
  <c r="S624" i="5"/>
  <c r="S625" i="5"/>
  <c r="S626" i="5"/>
  <c r="S627" i="5"/>
  <c r="S634" i="5"/>
  <c r="S636" i="5"/>
  <c r="S637" i="5"/>
  <c r="S638" i="5"/>
  <c r="S640" i="5"/>
  <c r="S641" i="5"/>
  <c r="S642" i="5"/>
  <c r="S643" i="5"/>
  <c r="S650" i="5"/>
  <c r="S652" i="5"/>
  <c r="S653" i="5"/>
  <c r="S654" i="5"/>
  <c r="S655" i="5"/>
  <c r="S656" i="5"/>
  <c r="S657" i="5"/>
  <c r="S658" i="5"/>
  <c r="S659" i="5"/>
  <c r="S666" i="5"/>
  <c r="S668" i="5"/>
  <c r="S669" i="5"/>
  <c r="S670" i="5"/>
  <c r="S672" i="5"/>
  <c r="S673" i="5"/>
  <c r="S674" i="5"/>
  <c r="S675" i="5"/>
  <c r="S682" i="5"/>
  <c r="S683" i="5"/>
  <c r="S685" i="5"/>
  <c r="S686" i="5"/>
  <c r="S687" i="5"/>
  <c r="S689" i="5"/>
  <c r="S690" i="5"/>
  <c r="S691" i="5"/>
  <c r="S698" i="5"/>
  <c r="S699" i="5"/>
  <c r="S702" i="5"/>
  <c r="S703" i="5"/>
  <c r="S704" i="5"/>
  <c r="S705" i="5"/>
  <c r="S706" i="5"/>
  <c r="S707" i="5"/>
  <c r="S714" i="5"/>
  <c r="S715" i="5"/>
  <c r="S716" i="5"/>
  <c r="S717" i="5"/>
  <c r="S718" i="5"/>
  <c r="S720" i="5"/>
  <c r="S721" i="5"/>
  <c r="S722" i="5"/>
  <c r="S723" i="5"/>
  <c r="S730" i="5"/>
  <c r="S732" i="5"/>
  <c r="S733" i="5"/>
  <c r="S734" i="5"/>
  <c r="S735" i="5"/>
  <c r="S736" i="5"/>
  <c r="S737" i="5"/>
  <c r="S738" i="5"/>
  <c r="S739" i="5"/>
  <c r="S746" i="5"/>
  <c r="S748" i="5"/>
  <c r="S749" i="5"/>
  <c r="S750" i="5"/>
  <c r="S751" i="5"/>
  <c r="S752" i="5"/>
  <c r="S753" i="5"/>
  <c r="S754" i="5"/>
  <c r="S755" i="5"/>
  <c r="S762" i="5"/>
  <c r="S764" i="5"/>
  <c r="S765" i="5"/>
  <c r="S766" i="5"/>
  <c r="S767" i="5"/>
  <c r="S769" i="5"/>
  <c r="S770" i="5"/>
  <c r="S771" i="5"/>
  <c r="S778" i="5"/>
  <c r="S779" i="5"/>
  <c r="S782" i="5"/>
  <c r="S783" i="5"/>
  <c r="S784" i="5"/>
  <c r="S786" i="5"/>
  <c r="S787" i="5"/>
  <c r="S794" i="5"/>
  <c r="S795" i="5"/>
  <c r="S796" i="5"/>
  <c r="S797" i="5"/>
  <c r="S798" i="5"/>
  <c r="S799" i="5"/>
  <c r="S800" i="5"/>
  <c r="S801" i="5"/>
  <c r="S802" i="5"/>
  <c r="S803" i="5"/>
  <c r="S810" i="5"/>
  <c r="S812" i="5"/>
  <c r="S813" i="5"/>
  <c r="S814" i="5"/>
  <c r="S815" i="5"/>
  <c r="S816" i="5"/>
  <c r="S817" i="5"/>
  <c r="S818" i="5"/>
  <c r="S819" i="5"/>
  <c r="S826" i="5"/>
  <c r="S829" i="5"/>
  <c r="S830" i="5"/>
  <c r="S831" i="5"/>
  <c r="S832" i="5"/>
  <c r="S833" i="5"/>
  <c r="S834" i="5"/>
  <c r="S835" i="5"/>
  <c r="S842" i="5"/>
  <c r="S844" i="5"/>
  <c r="S845" i="5"/>
  <c r="S846" i="5"/>
  <c r="S848" i="5"/>
  <c r="S849" i="5"/>
  <c r="S850" i="5"/>
  <c r="S851" i="5"/>
  <c r="S858" i="5"/>
  <c r="S859" i="5"/>
  <c r="S861" i="5"/>
  <c r="S862" i="5"/>
  <c r="S863" i="5"/>
  <c r="S864" i="5"/>
  <c r="S866" i="5"/>
  <c r="S867" i="5"/>
  <c r="S874" i="5"/>
  <c r="S875" i="5"/>
  <c r="S876" i="5"/>
  <c r="S878" i="5"/>
  <c r="S879" i="5"/>
  <c r="S880" i="5"/>
  <c r="S881" i="5"/>
  <c r="S882" i="5"/>
  <c r="S883" i="5"/>
  <c r="S890" i="5"/>
  <c r="S892" i="5"/>
  <c r="S893" i="5"/>
  <c r="S894" i="5"/>
  <c r="S895" i="5"/>
  <c r="S896" i="5"/>
  <c r="S897" i="5"/>
  <c r="S898" i="5"/>
  <c r="S899" i="5"/>
  <c r="S906" i="5"/>
  <c r="S908" i="5"/>
  <c r="S909" i="5"/>
  <c r="S910" i="5"/>
  <c r="S911" i="5"/>
  <c r="S912" i="5"/>
  <c r="S913" i="5"/>
  <c r="S914" i="5"/>
  <c r="S915" i="5"/>
  <c r="S922" i="5"/>
  <c r="S924" i="5"/>
  <c r="S925" i="5"/>
  <c r="S926" i="5"/>
  <c r="S928" i="5"/>
  <c r="S929" i="5"/>
  <c r="S930" i="5"/>
  <c r="S931" i="5"/>
  <c r="S938" i="5"/>
  <c r="S939" i="5"/>
  <c r="S941" i="5"/>
  <c r="S942" i="5"/>
  <c r="S943" i="5"/>
  <c r="S945" i="5"/>
  <c r="S946" i="5"/>
  <c r="S947" i="5"/>
  <c r="S954" i="5"/>
  <c r="S955" i="5"/>
  <c r="S958" i="5"/>
  <c r="S959" i="5"/>
  <c r="S960" i="5"/>
  <c r="S961" i="5"/>
  <c r="S962" i="5"/>
  <c r="S963" i="5"/>
  <c r="S970" i="5"/>
  <c r="S971" i="5"/>
  <c r="S972" i="5"/>
  <c r="S973" i="5"/>
  <c r="S974" i="5"/>
  <c r="S976" i="5"/>
  <c r="S977" i="5"/>
  <c r="S978" i="5"/>
  <c r="S979" i="5"/>
  <c r="S986" i="5"/>
  <c r="S988" i="5"/>
  <c r="S989" i="5"/>
  <c r="S990" i="5"/>
  <c r="S991" i="5"/>
  <c r="S992" i="5"/>
  <c r="S993" i="5"/>
  <c r="S994" i="5"/>
  <c r="S995" i="5"/>
  <c r="S1002" i="5"/>
  <c r="S1004" i="5"/>
  <c r="S1005" i="5"/>
  <c r="S1006" i="5"/>
  <c r="S1008" i="5"/>
  <c r="S1009" i="5"/>
  <c r="S1010" i="5"/>
  <c r="S1011" i="5"/>
  <c r="S1018" i="5"/>
  <c r="S1020" i="5"/>
  <c r="S1021" i="5"/>
  <c r="S1022" i="5"/>
  <c r="S1023" i="5"/>
  <c r="S1025" i="5"/>
  <c r="S1026" i="5"/>
  <c r="S1027" i="5"/>
  <c r="S1034" i="5"/>
  <c r="S1035" i="5"/>
  <c r="S1038" i="5"/>
  <c r="S1039" i="5"/>
  <c r="S1040" i="5"/>
  <c r="S1041" i="5"/>
  <c r="S1042" i="5"/>
  <c r="S1043" i="5"/>
  <c r="S1050" i="5"/>
  <c r="S1051" i="5"/>
  <c r="S1052" i="5"/>
  <c r="S1053" i="5"/>
  <c r="S1054" i="5"/>
  <c r="S1055" i="5"/>
  <c r="S1056" i="5"/>
  <c r="S1057" i="5"/>
  <c r="S1058" i="5"/>
  <c r="S1059" i="5"/>
  <c r="S1066" i="5"/>
  <c r="S1068" i="5"/>
  <c r="S1069" i="5"/>
  <c r="S1070" i="5"/>
  <c r="S1071" i="5"/>
  <c r="S1072" i="5"/>
  <c r="S1073" i="5"/>
  <c r="S1074" i="5"/>
  <c r="S1075" i="5"/>
  <c r="S1082" i="5"/>
  <c r="S1084" i="5"/>
  <c r="S1085" i="5"/>
  <c r="S1086" i="5"/>
  <c r="S1087" i="5"/>
  <c r="S1088" i="5"/>
  <c r="S1089" i="5"/>
  <c r="S1090" i="5"/>
  <c r="S1098" i="5"/>
  <c r="S1100" i="5"/>
  <c r="S1101" i="5"/>
  <c r="S1102" i="5"/>
  <c r="S1104" i="5"/>
  <c r="S1105" i="5"/>
  <c r="S1106" i="5"/>
  <c r="S1107" i="5"/>
  <c r="S1114" i="5"/>
  <c r="S1117" i="5"/>
  <c r="S1118" i="5"/>
  <c r="S1119" i="5"/>
  <c r="S1121" i="5"/>
  <c r="S1122" i="5"/>
  <c r="S1123" i="5"/>
  <c r="S1130" i="5"/>
  <c r="S1134" i="5"/>
  <c r="S1135" i="5"/>
  <c r="S1136" i="5"/>
  <c r="S1138" i="5"/>
  <c r="S1139" i="5"/>
  <c r="S1146" i="5"/>
  <c r="S1148" i="5"/>
  <c r="S1150" i="5"/>
  <c r="S1151" i="5"/>
  <c r="S1152" i="5"/>
  <c r="S1153" i="5"/>
  <c r="S1154" i="5"/>
  <c r="S1155" i="5"/>
  <c r="S1162" i="5"/>
  <c r="S1164" i="5"/>
  <c r="S1165" i="5"/>
  <c r="S1166" i="5"/>
  <c r="S1168" i="5"/>
  <c r="S1169" i="5"/>
  <c r="S1170" i="5"/>
  <c r="S1171" i="5"/>
  <c r="S1178" i="5"/>
  <c r="S1180" i="5"/>
  <c r="S1181" i="5"/>
  <c r="S1182" i="5"/>
  <c r="S1184" i="5"/>
  <c r="S1185" i="5"/>
  <c r="S1186" i="5"/>
  <c r="S1187" i="5"/>
  <c r="S1194" i="5"/>
  <c r="S1197" i="5"/>
  <c r="S1198" i="5"/>
  <c r="S1199" i="5"/>
  <c r="S1201" i="5"/>
  <c r="S1202" i="5"/>
  <c r="S1203" i="5"/>
  <c r="S1210" i="5"/>
  <c r="S1214" i="5"/>
  <c r="S1215" i="5"/>
  <c r="S1216" i="5"/>
  <c r="S1218" i="5"/>
  <c r="S1219" i="5"/>
  <c r="S1226" i="5"/>
  <c r="S1230" i="5"/>
  <c r="S1231" i="5"/>
  <c r="S1232" i="5"/>
  <c r="S1233" i="5"/>
  <c r="S1234" i="5"/>
  <c r="S1235" i="5"/>
  <c r="S1242" i="5"/>
  <c r="S1244" i="5"/>
  <c r="S1246" i="5"/>
  <c r="S1247" i="5"/>
  <c r="S1248" i="5"/>
  <c r="S1249" i="5"/>
  <c r="S1250" i="5"/>
  <c r="S1258" i="5"/>
  <c r="S1260" i="5"/>
  <c r="S1261" i="5"/>
  <c r="S1262" i="5"/>
  <c r="S1264" i="5"/>
  <c r="S1265" i="5"/>
  <c r="S1266" i="5"/>
  <c r="S1267" i="5"/>
  <c r="S1274" i="5"/>
  <c r="S1277" i="5"/>
  <c r="S1278" i="5"/>
  <c r="S1279" i="5"/>
  <c r="S1281" i="5"/>
  <c r="S1282" i="5"/>
  <c r="S1283" i="5"/>
  <c r="S1290" i="5"/>
  <c r="S1293" i="5"/>
  <c r="S1294" i="5"/>
  <c r="S1295" i="5"/>
  <c r="S1296" i="5"/>
  <c r="S1298" i="5"/>
  <c r="S1299" i="5"/>
  <c r="S1306" i="5"/>
  <c r="S1310" i="5"/>
  <c r="S1311" i="5"/>
  <c r="S1312" i="5"/>
  <c r="S1313" i="5"/>
  <c r="S1314" i="5"/>
  <c r="S1315" i="5"/>
  <c r="S1322" i="5"/>
  <c r="S1324" i="5"/>
  <c r="S1326" i="5"/>
  <c r="S1327" i="5"/>
  <c r="S1328" i="5"/>
  <c r="S1329" i="5"/>
  <c r="S1330" i="5"/>
  <c r="S1331" i="5"/>
  <c r="S1338" i="5"/>
  <c r="S1340" i="5"/>
  <c r="S1341" i="5"/>
  <c r="S1342" i="5"/>
  <c r="S1344" i="5"/>
  <c r="S1345" i="5"/>
  <c r="S1346" i="5"/>
  <c r="S1347" i="5"/>
  <c r="S1354" i="5"/>
  <c r="S1356" i="5"/>
  <c r="S1357" i="5"/>
  <c r="S1358" i="5"/>
  <c r="S1361" i="5"/>
  <c r="S1362" i="5"/>
  <c r="S1363" i="5"/>
  <c r="S1370" i="5"/>
  <c r="S1373" i="5"/>
  <c r="S1374" i="5"/>
  <c r="S1375" i="5"/>
  <c r="S1377" i="5"/>
  <c r="S1378" i="5"/>
  <c r="S1379" i="5"/>
  <c r="S1386" i="5"/>
  <c r="S1390" i="5"/>
  <c r="S1391" i="5"/>
  <c r="S1392" i="5"/>
  <c r="S1394" i="5"/>
  <c r="S1395" i="5"/>
  <c r="S1402" i="5"/>
  <c r="S1404" i="5"/>
  <c r="S1406" i="5"/>
  <c r="S1407" i="5"/>
  <c r="S1408" i="5"/>
  <c r="S1409" i="5"/>
  <c r="S1410" i="5"/>
  <c r="S1411" i="5"/>
  <c r="S1418" i="5"/>
  <c r="S1420" i="5"/>
  <c r="S1421" i="5"/>
  <c r="S1422" i="5"/>
  <c r="S1424" i="5"/>
  <c r="S1425" i="5"/>
  <c r="S1426" i="5"/>
  <c r="S1427" i="5"/>
  <c r="S4" i="5"/>
  <c r="T4" i="5"/>
  <c r="U4" i="5"/>
  <c r="V4" i="5"/>
  <c r="S5" i="5"/>
  <c r="T5" i="5"/>
  <c r="U5" i="5"/>
  <c r="V5" i="5"/>
  <c r="S6" i="5"/>
  <c r="T6" i="5"/>
  <c r="U6" i="5"/>
  <c r="V6" i="5"/>
  <c r="S7" i="5"/>
  <c r="T7" i="5"/>
  <c r="U7" i="5"/>
  <c r="V7" i="5"/>
  <c r="S8" i="5"/>
  <c r="U8" i="5"/>
  <c r="V8" i="5"/>
  <c r="S9" i="5"/>
  <c r="T9" i="5"/>
  <c r="U9" i="5"/>
  <c r="V9" i="5"/>
  <c r="T10" i="5"/>
  <c r="U10" i="5"/>
  <c r="V10" i="5"/>
  <c r="S11" i="5"/>
  <c r="T11" i="5"/>
  <c r="U11" i="5"/>
  <c r="V11" i="5"/>
  <c r="S12" i="5"/>
  <c r="U12" i="5"/>
  <c r="V12" i="5"/>
  <c r="S13" i="5"/>
  <c r="U13" i="5"/>
  <c r="V13" i="5"/>
  <c r="S14" i="5"/>
  <c r="U14" i="5"/>
  <c r="V14" i="5"/>
  <c r="S15" i="5"/>
  <c r="U15" i="5"/>
  <c r="V15" i="5"/>
  <c r="S16" i="5"/>
  <c r="T16" i="5"/>
  <c r="U16" i="5"/>
  <c r="V16" i="5"/>
  <c r="S17" i="5"/>
  <c r="T17" i="5"/>
  <c r="U17" i="5"/>
  <c r="V17" i="5"/>
  <c r="T18" i="5"/>
  <c r="U18" i="5"/>
  <c r="V18" i="5"/>
  <c r="S19" i="5"/>
  <c r="T19" i="5"/>
  <c r="U19" i="5"/>
  <c r="V19" i="5"/>
  <c r="S20" i="5"/>
  <c r="T20" i="5"/>
  <c r="U20" i="5"/>
  <c r="V20" i="5"/>
  <c r="S21" i="5"/>
  <c r="T21" i="5"/>
  <c r="U21" i="5"/>
  <c r="V21" i="5"/>
  <c r="S22" i="5"/>
  <c r="T22" i="5"/>
  <c r="U22" i="5"/>
  <c r="V22" i="5"/>
  <c r="S23" i="5"/>
  <c r="T23" i="5"/>
  <c r="U23" i="5"/>
  <c r="V23" i="5"/>
  <c r="S24" i="5"/>
  <c r="T24" i="5"/>
  <c r="U24" i="5"/>
  <c r="V24" i="5"/>
  <c r="S25" i="5"/>
  <c r="T25" i="5"/>
  <c r="U25" i="5"/>
  <c r="V25" i="5"/>
  <c r="T26" i="5"/>
  <c r="U26" i="5"/>
  <c r="V26" i="5"/>
  <c r="S27" i="5"/>
  <c r="T27" i="5"/>
  <c r="U27" i="5"/>
  <c r="V27" i="5"/>
  <c r="T28" i="5"/>
  <c r="U28" i="5"/>
  <c r="V28" i="5"/>
  <c r="T29" i="5"/>
  <c r="U29" i="5"/>
  <c r="V29" i="5"/>
  <c r="S30" i="5"/>
  <c r="T30" i="5"/>
  <c r="U30" i="5"/>
  <c r="V30" i="5"/>
  <c r="T31" i="5"/>
  <c r="U31" i="5"/>
  <c r="V31" i="5"/>
  <c r="T32" i="5"/>
  <c r="U32" i="5"/>
  <c r="V32" i="5"/>
  <c r="T33" i="5"/>
  <c r="U33" i="5"/>
  <c r="V33" i="5"/>
  <c r="T34" i="5"/>
  <c r="U34" i="5"/>
  <c r="V34" i="5"/>
  <c r="T35" i="5"/>
  <c r="U35" i="5"/>
  <c r="V35" i="5"/>
  <c r="S36" i="5"/>
  <c r="T36" i="5"/>
  <c r="U36" i="5"/>
  <c r="V36" i="5"/>
  <c r="S37" i="5"/>
  <c r="T37" i="5"/>
  <c r="U37" i="5"/>
  <c r="V37" i="5"/>
  <c r="S38" i="5"/>
  <c r="T38" i="5"/>
  <c r="U38" i="5"/>
  <c r="V38" i="5"/>
  <c r="S39" i="5"/>
  <c r="T39" i="5"/>
  <c r="U39" i="5"/>
  <c r="V39" i="5"/>
  <c r="S40" i="5"/>
  <c r="T40" i="5"/>
  <c r="U40" i="5"/>
  <c r="V40" i="5"/>
  <c r="S41" i="5"/>
  <c r="T41" i="5"/>
  <c r="U41" i="5"/>
  <c r="V41" i="5"/>
  <c r="T42" i="5"/>
  <c r="U42" i="5"/>
  <c r="V42" i="5"/>
  <c r="S43" i="5"/>
  <c r="T43" i="5"/>
  <c r="U43" i="5"/>
  <c r="V43" i="5"/>
  <c r="T44" i="5"/>
  <c r="U44" i="5"/>
  <c r="V44" i="5"/>
  <c r="T45" i="5"/>
  <c r="U45" i="5"/>
  <c r="V45" i="5"/>
  <c r="S46" i="5"/>
  <c r="T46" i="5"/>
  <c r="U46" i="5"/>
  <c r="V46" i="5"/>
  <c r="S47" i="5"/>
  <c r="T47" i="5"/>
  <c r="U47" i="5"/>
  <c r="V47" i="5"/>
  <c r="T48" i="5"/>
  <c r="U48" i="5"/>
  <c r="V48" i="5"/>
  <c r="T49" i="5"/>
  <c r="U49" i="5"/>
  <c r="V49" i="5"/>
  <c r="T50" i="5"/>
  <c r="U50" i="5"/>
  <c r="V50" i="5"/>
  <c r="T51" i="5"/>
  <c r="U51" i="5"/>
  <c r="V51" i="5"/>
  <c r="S52" i="5"/>
  <c r="T52" i="5"/>
  <c r="U52" i="5"/>
  <c r="V52" i="5"/>
  <c r="S53" i="5"/>
  <c r="T53" i="5"/>
  <c r="U53" i="5"/>
  <c r="V53" i="5"/>
  <c r="S54" i="5"/>
  <c r="T54" i="5"/>
  <c r="U54" i="5"/>
  <c r="V54" i="5"/>
  <c r="S55" i="5"/>
  <c r="T55" i="5"/>
  <c r="U55" i="5"/>
  <c r="V55" i="5"/>
  <c r="S56" i="5"/>
  <c r="T56" i="5"/>
  <c r="U56" i="5"/>
  <c r="V56" i="5"/>
  <c r="S57" i="5"/>
  <c r="T57" i="5"/>
  <c r="U57" i="5"/>
  <c r="V57" i="5"/>
  <c r="T58" i="5"/>
  <c r="U58" i="5"/>
  <c r="V58" i="5"/>
  <c r="S59" i="5"/>
  <c r="T59" i="5"/>
  <c r="U59" i="5"/>
  <c r="V59" i="5"/>
  <c r="T60" i="5"/>
  <c r="U60" i="5"/>
  <c r="V60" i="5"/>
  <c r="T61" i="5"/>
  <c r="U61" i="5"/>
  <c r="V61" i="5"/>
  <c r="S62" i="5"/>
  <c r="T62" i="5"/>
  <c r="U62" i="5"/>
  <c r="V62" i="5"/>
  <c r="S63" i="5"/>
  <c r="T63" i="5"/>
  <c r="U63" i="5"/>
  <c r="V63" i="5"/>
  <c r="T64" i="5"/>
  <c r="U64" i="5"/>
  <c r="V64" i="5"/>
  <c r="T65" i="5"/>
  <c r="U65" i="5"/>
  <c r="V65" i="5"/>
  <c r="T66" i="5"/>
  <c r="U66" i="5"/>
  <c r="V66" i="5"/>
  <c r="T67" i="5"/>
  <c r="U67" i="5"/>
  <c r="V67" i="5"/>
  <c r="S68" i="5"/>
  <c r="T68" i="5"/>
  <c r="U68" i="5"/>
  <c r="V68" i="5"/>
  <c r="S69" i="5"/>
  <c r="T69" i="5"/>
  <c r="U69" i="5"/>
  <c r="V69" i="5"/>
  <c r="S70" i="5"/>
  <c r="T70" i="5"/>
  <c r="U70" i="5"/>
  <c r="V70" i="5"/>
  <c r="S71" i="5"/>
  <c r="T71" i="5"/>
  <c r="U71" i="5"/>
  <c r="V71" i="5"/>
  <c r="S72" i="5"/>
  <c r="T72" i="5"/>
  <c r="U72" i="5"/>
  <c r="V72" i="5"/>
  <c r="S73" i="5"/>
  <c r="T73" i="5"/>
  <c r="U73" i="5"/>
  <c r="V73" i="5"/>
  <c r="T74" i="5"/>
  <c r="U74" i="5"/>
  <c r="V74" i="5"/>
  <c r="S75" i="5"/>
  <c r="T75" i="5"/>
  <c r="U75" i="5"/>
  <c r="V75" i="5"/>
  <c r="T76" i="5"/>
  <c r="U76" i="5"/>
  <c r="V76" i="5"/>
  <c r="T77" i="5"/>
  <c r="U77" i="5"/>
  <c r="V77" i="5"/>
  <c r="S78" i="5"/>
  <c r="T78" i="5"/>
  <c r="U78" i="5"/>
  <c r="V78" i="5"/>
  <c r="S79" i="5"/>
  <c r="T79" i="5"/>
  <c r="U79" i="5"/>
  <c r="V79" i="5"/>
  <c r="T80" i="5"/>
  <c r="U80" i="5"/>
  <c r="V80" i="5"/>
  <c r="T81" i="5"/>
  <c r="U81" i="5"/>
  <c r="V81" i="5"/>
  <c r="T82" i="5"/>
  <c r="U82" i="5"/>
  <c r="V82" i="5"/>
  <c r="T83" i="5"/>
  <c r="U83" i="5"/>
  <c r="V83" i="5"/>
  <c r="S84" i="5"/>
  <c r="T84" i="5"/>
  <c r="U84" i="5"/>
  <c r="V84" i="5"/>
  <c r="S85" i="5"/>
  <c r="T85" i="5"/>
  <c r="U85" i="5"/>
  <c r="V85" i="5"/>
  <c r="S86" i="5"/>
  <c r="T86" i="5"/>
  <c r="U86" i="5"/>
  <c r="V86" i="5"/>
  <c r="S87" i="5"/>
  <c r="T87" i="5"/>
  <c r="U87" i="5"/>
  <c r="V87" i="5"/>
  <c r="S88" i="5"/>
  <c r="T88" i="5"/>
  <c r="U88" i="5"/>
  <c r="V88" i="5"/>
  <c r="S89" i="5"/>
  <c r="T89" i="5"/>
  <c r="U89" i="5"/>
  <c r="V89" i="5"/>
  <c r="T90" i="5"/>
  <c r="U90" i="5"/>
  <c r="V90" i="5"/>
  <c r="S91" i="5"/>
  <c r="T91" i="5"/>
  <c r="U91" i="5"/>
  <c r="V91" i="5"/>
  <c r="T92" i="5"/>
  <c r="U92" i="5"/>
  <c r="V92" i="5"/>
  <c r="T93" i="5"/>
  <c r="U93" i="5"/>
  <c r="V93" i="5"/>
  <c r="S94" i="5"/>
  <c r="T94" i="5"/>
  <c r="U94" i="5"/>
  <c r="V94" i="5"/>
  <c r="S95" i="5"/>
  <c r="T95" i="5"/>
  <c r="U95" i="5"/>
  <c r="V95" i="5"/>
  <c r="T96" i="5"/>
  <c r="U96" i="5"/>
  <c r="V96" i="5"/>
  <c r="T97" i="5"/>
  <c r="U97" i="5"/>
  <c r="V97" i="5"/>
  <c r="T98" i="5"/>
  <c r="U98" i="5"/>
  <c r="V98" i="5"/>
  <c r="T99" i="5"/>
  <c r="U99" i="5"/>
  <c r="V99" i="5"/>
  <c r="S100" i="5"/>
  <c r="T100" i="5"/>
  <c r="U100" i="5"/>
  <c r="V100" i="5"/>
  <c r="S101" i="5"/>
  <c r="T101" i="5"/>
  <c r="U101" i="5"/>
  <c r="V101" i="5"/>
  <c r="S102" i="5"/>
  <c r="T102" i="5"/>
  <c r="U102" i="5"/>
  <c r="V102" i="5"/>
  <c r="S103" i="5"/>
  <c r="T103" i="5"/>
  <c r="U103" i="5"/>
  <c r="V103" i="5"/>
  <c r="S104" i="5"/>
  <c r="T104" i="5"/>
  <c r="U104" i="5"/>
  <c r="V104" i="5"/>
  <c r="S105" i="5"/>
  <c r="T105" i="5"/>
  <c r="U105" i="5"/>
  <c r="V105" i="5"/>
  <c r="T106" i="5"/>
  <c r="U106" i="5"/>
  <c r="V106" i="5"/>
  <c r="S107" i="5"/>
  <c r="T107" i="5"/>
  <c r="U107" i="5"/>
  <c r="V107" i="5"/>
  <c r="T108" i="5"/>
  <c r="U108" i="5"/>
  <c r="V108" i="5"/>
  <c r="T109" i="5"/>
  <c r="U109" i="5"/>
  <c r="V109" i="5"/>
  <c r="S110" i="5"/>
  <c r="T110" i="5"/>
  <c r="U110" i="5"/>
  <c r="V110" i="5"/>
  <c r="S111" i="5"/>
  <c r="T111" i="5"/>
  <c r="U111" i="5"/>
  <c r="V111" i="5"/>
  <c r="T112" i="5"/>
  <c r="U112" i="5"/>
  <c r="V112" i="5"/>
  <c r="T113" i="5"/>
  <c r="U113" i="5"/>
  <c r="V113" i="5"/>
  <c r="T114" i="5"/>
  <c r="U114" i="5"/>
  <c r="V114" i="5"/>
  <c r="T115" i="5"/>
  <c r="U115" i="5"/>
  <c r="V115" i="5"/>
  <c r="S116" i="5"/>
  <c r="T116" i="5"/>
  <c r="U116" i="5"/>
  <c r="V116" i="5"/>
  <c r="S117" i="5"/>
  <c r="T117" i="5"/>
  <c r="U117" i="5"/>
  <c r="V117" i="5"/>
  <c r="S118" i="5"/>
  <c r="T118" i="5"/>
  <c r="U118" i="5"/>
  <c r="V118" i="5"/>
  <c r="S119" i="5"/>
  <c r="T119" i="5"/>
  <c r="U119" i="5"/>
  <c r="V119" i="5"/>
  <c r="S120" i="5"/>
  <c r="T120" i="5"/>
  <c r="U120" i="5"/>
  <c r="V120" i="5"/>
  <c r="S121" i="5"/>
  <c r="T121" i="5"/>
  <c r="U121" i="5"/>
  <c r="V121" i="5"/>
  <c r="T122" i="5"/>
  <c r="U122" i="5"/>
  <c r="V122" i="5"/>
  <c r="S123" i="5"/>
  <c r="T123" i="5"/>
  <c r="U123" i="5"/>
  <c r="V123" i="5"/>
  <c r="S124" i="5"/>
  <c r="T124" i="5"/>
  <c r="U124" i="5"/>
  <c r="V124" i="5"/>
  <c r="T125" i="5"/>
  <c r="U125" i="5"/>
  <c r="V125" i="5"/>
  <c r="S126" i="5"/>
  <c r="T126" i="5"/>
  <c r="U126" i="5"/>
  <c r="V126" i="5"/>
  <c r="T127" i="5"/>
  <c r="U127" i="5"/>
  <c r="V127" i="5"/>
  <c r="S128" i="5"/>
  <c r="T128" i="5"/>
  <c r="U128" i="5"/>
  <c r="V128" i="5"/>
  <c r="T129" i="5"/>
  <c r="U129" i="5"/>
  <c r="V129" i="5"/>
  <c r="T130" i="5"/>
  <c r="U130" i="5"/>
  <c r="V130" i="5"/>
  <c r="T131" i="5"/>
  <c r="U131" i="5"/>
  <c r="V131" i="5"/>
  <c r="S132" i="5"/>
  <c r="T132" i="5"/>
  <c r="U132" i="5"/>
  <c r="V132" i="5"/>
  <c r="S133" i="5"/>
  <c r="T133" i="5"/>
  <c r="U133" i="5"/>
  <c r="V133" i="5"/>
  <c r="S134" i="5"/>
  <c r="T134" i="5"/>
  <c r="U134" i="5"/>
  <c r="V134" i="5"/>
  <c r="S135" i="5"/>
  <c r="T135" i="5"/>
  <c r="U135" i="5"/>
  <c r="V135" i="5"/>
  <c r="S136" i="5"/>
  <c r="T136" i="5"/>
  <c r="U136" i="5"/>
  <c r="V136" i="5"/>
  <c r="S137" i="5"/>
  <c r="T137" i="5"/>
  <c r="U137" i="5"/>
  <c r="V137" i="5"/>
  <c r="T138" i="5"/>
  <c r="U138" i="5"/>
  <c r="V138" i="5"/>
  <c r="S139" i="5"/>
  <c r="T139" i="5"/>
  <c r="U139" i="5"/>
  <c r="V139" i="5"/>
  <c r="S140" i="5"/>
  <c r="T140" i="5"/>
  <c r="U140" i="5"/>
  <c r="V140" i="5"/>
  <c r="S141" i="5"/>
  <c r="T141" i="5"/>
  <c r="U141" i="5"/>
  <c r="V141" i="5"/>
  <c r="S142" i="5"/>
  <c r="T142" i="5"/>
  <c r="U142" i="5"/>
  <c r="V142" i="5"/>
  <c r="T143" i="5"/>
  <c r="U143" i="5"/>
  <c r="V143" i="5"/>
  <c r="T144" i="5"/>
  <c r="U144" i="5"/>
  <c r="V144" i="5"/>
  <c r="T145" i="5"/>
  <c r="U145" i="5"/>
  <c r="V145" i="5"/>
  <c r="T146" i="5"/>
  <c r="U146" i="5"/>
  <c r="V146" i="5"/>
  <c r="T147" i="5"/>
  <c r="U147" i="5"/>
  <c r="V147" i="5"/>
  <c r="S148" i="5"/>
  <c r="T148" i="5"/>
  <c r="U148" i="5"/>
  <c r="V148" i="5"/>
  <c r="S149" i="5"/>
  <c r="T149" i="5"/>
  <c r="U149" i="5"/>
  <c r="V149" i="5"/>
  <c r="S150" i="5"/>
  <c r="T150" i="5"/>
  <c r="U150" i="5"/>
  <c r="V150" i="5"/>
  <c r="S151" i="5"/>
  <c r="T151" i="5"/>
  <c r="U151" i="5"/>
  <c r="V151" i="5"/>
  <c r="S152" i="5"/>
  <c r="T152" i="5"/>
  <c r="U152" i="5"/>
  <c r="V152" i="5"/>
  <c r="S153" i="5"/>
  <c r="T153" i="5"/>
  <c r="U153" i="5"/>
  <c r="V153" i="5"/>
  <c r="T154" i="5"/>
  <c r="U154" i="5"/>
  <c r="V154" i="5"/>
  <c r="S155" i="5"/>
  <c r="T155" i="5"/>
  <c r="U155" i="5"/>
  <c r="V155" i="5"/>
  <c r="T156" i="5"/>
  <c r="U156" i="5"/>
  <c r="V156" i="5"/>
  <c r="T157" i="5"/>
  <c r="U157" i="5"/>
  <c r="V157" i="5"/>
  <c r="S158" i="5"/>
  <c r="T158" i="5"/>
  <c r="U158" i="5"/>
  <c r="V158" i="5"/>
  <c r="T159" i="5"/>
  <c r="U159" i="5"/>
  <c r="V159" i="5"/>
  <c r="T160" i="5"/>
  <c r="U160" i="5"/>
  <c r="V160" i="5"/>
  <c r="T161" i="5"/>
  <c r="U161" i="5"/>
  <c r="V161" i="5"/>
  <c r="T162" i="5"/>
  <c r="U162" i="5"/>
  <c r="V162" i="5"/>
  <c r="T163" i="5"/>
  <c r="U163" i="5"/>
  <c r="V163" i="5"/>
  <c r="S164" i="5"/>
  <c r="T164" i="5"/>
  <c r="U164" i="5"/>
  <c r="V164" i="5"/>
  <c r="S165" i="5"/>
  <c r="T165" i="5"/>
  <c r="U165" i="5"/>
  <c r="V165" i="5"/>
  <c r="S166" i="5"/>
  <c r="T166" i="5"/>
  <c r="U166" i="5"/>
  <c r="V166" i="5"/>
  <c r="S167" i="5"/>
  <c r="T167" i="5"/>
  <c r="U167" i="5"/>
  <c r="V167" i="5"/>
  <c r="S168" i="5"/>
  <c r="T168" i="5"/>
  <c r="U168" i="5"/>
  <c r="V168" i="5"/>
  <c r="S169" i="5"/>
  <c r="T169" i="5"/>
  <c r="U169" i="5"/>
  <c r="V169" i="5"/>
  <c r="T170" i="5"/>
  <c r="U170" i="5"/>
  <c r="V170" i="5"/>
  <c r="S171" i="5"/>
  <c r="T171" i="5"/>
  <c r="U171" i="5"/>
  <c r="V171" i="5"/>
  <c r="T172" i="5"/>
  <c r="U172" i="5"/>
  <c r="V172" i="5"/>
  <c r="T173" i="5"/>
  <c r="U173" i="5"/>
  <c r="V173" i="5"/>
  <c r="S174" i="5"/>
  <c r="T174" i="5"/>
  <c r="U174" i="5"/>
  <c r="V174" i="5"/>
  <c r="S175" i="5"/>
  <c r="T175" i="5"/>
  <c r="U175" i="5"/>
  <c r="V175" i="5"/>
  <c r="T176" i="5"/>
  <c r="U176" i="5"/>
  <c r="V176" i="5"/>
  <c r="T177" i="5"/>
  <c r="U177" i="5"/>
  <c r="V177" i="5"/>
  <c r="T178" i="5"/>
  <c r="U178" i="5"/>
  <c r="V178" i="5"/>
  <c r="T179" i="5"/>
  <c r="U179" i="5"/>
  <c r="V179" i="5"/>
  <c r="S180" i="5"/>
  <c r="T180" i="5"/>
  <c r="U180" i="5"/>
  <c r="V180" i="5"/>
  <c r="S181" i="5"/>
  <c r="T181" i="5"/>
  <c r="U181" i="5"/>
  <c r="V181" i="5"/>
  <c r="S182" i="5"/>
  <c r="T182" i="5"/>
  <c r="U182" i="5"/>
  <c r="V182" i="5"/>
  <c r="S183" i="5"/>
  <c r="T183" i="5"/>
  <c r="U183" i="5"/>
  <c r="V183" i="5"/>
  <c r="S184" i="5"/>
  <c r="T184" i="5"/>
  <c r="U184" i="5"/>
  <c r="V184" i="5"/>
  <c r="S185" i="5"/>
  <c r="T185" i="5"/>
  <c r="U185" i="5"/>
  <c r="V185" i="5"/>
  <c r="T186" i="5"/>
  <c r="U186" i="5"/>
  <c r="V186" i="5"/>
  <c r="S187" i="5"/>
  <c r="T187" i="5"/>
  <c r="U187" i="5"/>
  <c r="V187" i="5"/>
  <c r="T188" i="5"/>
  <c r="U188" i="5"/>
  <c r="V188" i="5"/>
  <c r="T189" i="5"/>
  <c r="U189" i="5"/>
  <c r="V189" i="5"/>
  <c r="S190" i="5"/>
  <c r="T190" i="5"/>
  <c r="U190" i="5"/>
  <c r="V190" i="5"/>
  <c r="S191" i="5"/>
  <c r="T191" i="5"/>
  <c r="U191" i="5"/>
  <c r="V191" i="5"/>
  <c r="T192" i="5"/>
  <c r="U192" i="5"/>
  <c r="V192" i="5"/>
  <c r="T193" i="5"/>
  <c r="U193" i="5"/>
  <c r="V193" i="5"/>
  <c r="T194" i="5"/>
  <c r="U194" i="5"/>
  <c r="V194" i="5"/>
  <c r="T195" i="5"/>
  <c r="U195" i="5"/>
  <c r="V195" i="5"/>
  <c r="S196" i="5"/>
  <c r="T196" i="5"/>
  <c r="U196" i="5"/>
  <c r="V196" i="5"/>
  <c r="S197" i="5"/>
  <c r="T197" i="5"/>
  <c r="U197" i="5"/>
  <c r="V197" i="5"/>
  <c r="S198" i="5"/>
  <c r="T198" i="5"/>
  <c r="U198" i="5"/>
  <c r="V198" i="5"/>
  <c r="S199" i="5"/>
  <c r="T199" i="5"/>
  <c r="U199" i="5"/>
  <c r="V199" i="5"/>
  <c r="S200" i="5"/>
  <c r="T200" i="5"/>
  <c r="U200" i="5"/>
  <c r="V200" i="5"/>
  <c r="S201" i="5"/>
  <c r="T201" i="5"/>
  <c r="U201" i="5"/>
  <c r="V201" i="5"/>
  <c r="T202" i="5"/>
  <c r="U202" i="5"/>
  <c r="V202" i="5"/>
  <c r="S203" i="5"/>
  <c r="T203" i="5"/>
  <c r="U203" i="5"/>
  <c r="V203" i="5"/>
  <c r="T204" i="5"/>
  <c r="U204" i="5"/>
  <c r="V204" i="5"/>
  <c r="T205" i="5"/>
  <c r="U205" i="5"/>
  <c r="V205" i="5"/>
  <c r="S206" i="5"/>
  <c r="T206" i="5"/>
  <c r="U206" i="5"/>
  <c r="V206" i="5"/>
  <c r="S207" i="5"/>
  <c r="T207" i="5"/>
  <c r="U207" i="5"/>
  <c r="V207" i="5"/>
  <c r="T208" i="5"/>
  <c r="U208" i="5"/>
  <c r="V208" i="5"/>
  <c r="T209" i="5"/>
  <c r="U209" i="5"/>
  <c r="V209" i="5"/>
  <c r="T210" i="5"/>
  <c r="U210" i="5"/>
  <c r="V210" i="5"/>
  <c r="T211" i="5"/>
  <c r="U211" i="5"/>
  <c r="V211" i="5"/>
  <c r="S212" i="5"/>
  <c r="T212" i="5"/>
  <c r="U212" i="5"/>
  <c r="V212" i="5"/>
  <c r="S213" i="5"/>
  <c r="T213" i="5"/>
  <c r="U213" i="5"/>
  <c r="V213" i="5"/>
  <c r="S214" i="5"/>
  <c r="T214" i="5"/>
  <c r="U214" i="5"/>
  <c r="V214" i="5"/>
  <c r="S215" i="5"/>
  <c r="T215" i="5"/>
  <c r="U215" i="5"/>
  <c r="V215" i="5"/>
  <c r="S216" i="5"/>
  <c r="T216" i="5"/>
  <c r="U216" i="5"/>
  <c r="V216" i="5"/>
  <c r="S217" i="5"/>
  <c r="T217" i="5"/>
  <c r="U217" i="5"/>
  <c r="V217" i="5"/>
  <c r="T218" i="5"/>
  <c r="U218" i="5"/>
  <c r="V218" i="5"/>
  <c r="S219" i="5"/>
  <c r="T219" i="5"/>
  <c r="U219" i="5"/>
  <c r="V219" i="5"/>
  <c r="T220" i="5"/>
  <c r="U220" i="5"/>
  <c r="V220" i="5"/>
  <c r="T221" i="5"/>
  <c r="U221" i="5"/>
  <c r="V221" i="5"/>
  <c r="S222" i="5"/>
  <c r="T222" i="5"/>
  <c r="U222" i="5"/>
  <c r="V222" i="5"/>
  <c r="S223" i="5"/>
  <c r="T223" i="5"/>
  <c r="U223" i="5"/>
  <c r="V223" i="5"/>
  <c r="T224" i="5"/>
  <c r="U224" i="5"/>
  <c r="V224" i="5"/>
  <c r="T225" i="5"/>
  <c r="U225" i="5"/>
  <c r="V225" i="5"/>
  <c r="T226" i="5"/>
  <c r="U226" i="5"/>
  <c r="V226" i="5"/>
  <c r="T227" i="5"/>
  <c r="U227" i="5"/>
  <c r="V227" i="5"/>
  <c r="S228" i="5"/>
  <c r="T228" i="5"/>
  <c r="U228" i="5"/>
  <c r="V228" i="5"/>
  <c r="S229" i="5"/>
  <c r="T229" i="5"/>
  <c r="U229" i="5"/>
  <c r="V229" i="5"/>
  <c r="S230" i="5"/>
  <c r="T230" i="5"/>
  <c r="U230" i="5"/>
  <c r="V230" i="5"/>
  <c r="S231" i="5"/>
  <c r="T231" i="5"/>
  <c r="U231" i="5"/>
  <c r="V231" i="5"/>
  <c r="S232" i="5"/>
  <c r="T232" i="5"/>
  <c r="U232" i="5"/>
  <c r="V232" i="5"/>
  <c r="S233" i="5"/>
  <c r="T233" i="5"/>
  <c r="U233" i="5"/>
  <c r="V233" i="5"/>
  <c r="T234" i="5"/>
  <c r="U234" i="5"/>
  <c r="V234" i="5"/>
  <c r="S235" i="5"/>
  <c r="T235" i="5"/>
  <c r="U235" i="5"/>
  <c r="V235" i="5"/>
  <c r="T236" i="5"/>
  <c r="U236" i="5"/>
  <c r="V236" i="5"/>
  <c r="T237" i="5"/>
  <c r="U237" i="5"/>
  <c r="V237" i="5"/>
  <c r="S238" i="5"/>
  <c r="T238" i="5"/>
  <c r="U238" i="5"/>
  <c r="V238" i="5"/>
  <c r="S239" i="5"/>
  <c r="T239" i="5"/>
  <c r="U239" i="5"/>
  <c r="V239" i="5"/>
  <c r="T240" i="5"/>
  <c r="U240" i="5"/>
  <c r="V240" i="5"/>
  <c r="T241" i="5"/>
  <c r="U241" i="5"/>
  <c r="V241" i="5"/>
  <c r="T242" i="5"/>
  <c r="U242" i="5"/>
  <c r="V242" i="5"/>
  <c r="T243" i="5"/>
  <c r="U243" i="5"/>
  <c r="V243" i="5"/>
  <c r="S244" i="5"/>
  <c r="T244" i="5"/>
  <c r="U244" i="5"/>
  <c r="V244" i="5"/>
  <c r="S245" i="5"/>
  <c r="T245" i="5"/>
  <c r="U245" i="5"/>
  <c r="V245" i="5"/>
  <c r="S246" i="5"/>
  <c r="T246" i="5"/>
  <c r="U246" i="5"/>
  <c r="V246" i="5"/>
  <c r="S247" i="5"/>
  <c r="T247" i="5"/>
  <c r="U247" i="5"/>
  <c r="V247" i="5"/>
  <c r="S248" i="5"/>
  <c r="T248" i="5"/>
  <c r="U248" i="5"/>
  <c r="V248" i="5"/>
  <c r="S249" i="5"/>
  <c r="T249" i="5"/>
  <c r="U249" i="5"/>
  <c r="V249" i="5"/>
  <c r="T250" i="5"/>
  <c r="U250" i="5"/>
  <c r="V250" i="5"/>
  <c r="S251" i="5"/>
  <c r="T251" i="5"/>
  <c r="U251" i="5"/>
  <c r="V251" i="5"/>
  <c r="T252" i="5"/>
  <c r="U252" i="5"/>
  <c r="V252" i="5"/>
  <c r="T253" i="5"/>
  <c r="U253" i="5"/>
  <c r="V253" i="5"/>
  <c r="S254" i="5"/>
  <c r="T254" i="5"/>
  <c r="U254" i="5"/>
  <c r="V254" i="5"/>
  <c r="T255" i="5"/>
  <c r="U255" i="5"/>
  <c r="V255" i="5"/>
  <c r="S256" i="5"/>
  <c r="T256" i="5"/>
  <c r="U256" i="5"/>
  <c r="V256" i="5"/>
  <c r="T257" i="5"/>
  <c r="U257" i="5"/>
  <c r="V257" i="5"/>
  <c r="T258" i="5"/>
  <c r="U258" i="5"/>
  <c r="V258" i="5"/>
  <c r="T259" i="5"/>
  <c r="U259" i="5"/>
  <c r="V259" i="5"/>
  <c r="S260" i="5"/>
  <c r="T260" i="5"/>
  <c r="U260" i="5"/>
  <c r="V260" i="5"/>
  <c r="S261" i="5"/>
  <c r="T261" i="5"/>
  <c r="U261" i="5"/>
  <c r="V261" i="5"/>
  <c r="S262" i="5"/>
  <c r="T262" i="5"/>
  <c r="U262" i="5"/>
  <c r="V262" i="5"/>
  <c r="S263" i="5"/>
  <c r="T263" i="5"/>
  <c r="U263" i="5"/>
  <c r="V263" i="5"/>
  <c r="S264" i="5"/>
  <c r="T264" i="5"/>
  <c r="U264" i="5"/>
  <c r="V264" i="5"/>
  <c r="S265" i="5"/>
  <c r="T265" i="5"/>
  <c r="U265" i="5"/>
  <c r="V265" i="5"/>
  <c r="T266" i="5"/>
  <c r="U266" i="5"/>
  <c r="V266" i="5"/>
  <c r="S267" i="5"/>
  <c r="T267" i="5"/>
  <c r="U267" i="5"/>
  <c r="V267" i="5"/>
  <c r="S268" i="5"/>
  <c r="T268" i="5"/>
  <c r="U268" i="5"/>
  <c r="V268" i="5"/>
  <c r="S269" i="5"/>
  <c r="T269" i="5"/>
  <c r="U269" i="5"/>
  <c r="V269" i="5"/>
  <c r="S270" i="5"/>
  <c r="T270" i="5"/>
  <c r="U270" i="5"/>
  <c r="V270" i="5"/>
  <c r="T271" i="5"/>
  <c r="U271" i="5"/>
  <c r="V271" i="5"/>
  <c r="T272" i="5"/>
  <c r="U272" i="5"/>
  <c r="V272" i="5"/>
  <c r="T273" i="5"/>
  <c r="U273" i="5"/>
  <c r="V273" i="5"/>
  <c r="T274" i="5"/>
  <c r="U274" i="5"/>
  <c r="V274" i="5"/>
  <c r="T275" i="5"/>
  <c r="U275" i="5"/>
  <c r="V275" i="5"/>
  <c r="S276" i="5"/>
  <c r="T276" i="5"/>
  <c r="U276" i="5"/>
  <c r="V276" i="5"/>
  <c r="S277" i="5"/>
  <c r="T277" i="5"/>
  <c r="U277" i="5"/>
  <c r="V277" i="5"/>
  <c r="S278" i="5"/>
  <c r="T278" i="5"/>
  <c r="U278" i="5"/>
  <c r="V278" i="5"/>
  <c r="S279" i="5"/>
  <c r="T279" i="5"/>
  <c r="U279" i="5"/>
  <c r="V279" i="5"/>
  <c r="S280" i="5"/>
  <c r="T280" i="5"/>
  <c r="U280" i="5"/>
  <c r="V280" i="5"/>
  <c r="S281" i="5"/>
  <c r="T281" i="5"/>
  <c r="U281" i="5"/>
  <c r="V281" i="5"/>
  <c r="T282" i="5"/>
  <c r="U282" i="5"/>
  <c r="V282" i="5"/>
  <c r="S283" i="5"/>
  <c r="T283" i="5"/>
  <c r="U283" i="5"/>
  <c r="V283" i="5"/>
  <c r="T284" i="5"/>
  <c r="U284" i="5"/>
  <c r="V284" i="5"/>
  <c r="S285" i="5"/>
  <c r="T285" i="5"/>
  <c r="U285" i="5"/>
  <c r="V285" i="5"/>
  <c r="S286" i="5"/>
  <c r="T286" i="5"/>
  <c r="U286" i="5"/>
  <c r="V286" i="5"/>
  <c r="T287" i="5"/>
  <c r="U287" i="5"/>
  <c r="V287" i="5"/>
  <c r="T288" i="5"/>
  <c r="U288" i="5"/>
  <c r="V288" i="5"/>
  <c r="T289" i="5"/>
  <c r="U289" i="5"/>
  <c r="V289" i="5"/>
  <c r="T290" i="5"/>
  <c r="U290" i="5"/>
  <c r="V290" i="5"/>
  <c r="T291" i="5"/>
  <c r="U291" i="5"/>
  <c r="V291" i="5"/>
  <c r="S292" i="5"/>
  <c r="T292" i="5"/>
  <c r="U292" i="5"/>
  <c r="V292" i="5"/>
  <c r="S293" i="5"/>
  <c r="T293" i="5"/>
  <c r="U293" i="5"/>
  <c r="V293" i="5"/>
  <c r="S294" i="5"/>
  <c r="T294" i="5"/>
  <c r="U294" i="5"/>
  <c r="V294" i="5"/>
  <c r="S295" i="5"/>
  <c r="T295" i="5"/>
  <c r="U295" i="5"/>
  <c r="V295" i="5"/>
  <c r="S296" i="5"/>
  <c r="T296" i="5"/>
  <c r="U296" i="5"/>
  <c r="V296" i="5"/>
  <c r="S297" i="5"/>
  <c r="T297" i="5"/>
  <c r="U297" i="5"/>
  <c r="V297" i="5"/>
  <c r="T298" i="5"/>
  <c r="U298" i="5"/>
  <c r="V298" i="5"/>
  <c r="S299" i="5"/>
  <c r="T299" i="5"/>
  <c r="U299" i="5"/>
  <c r="V299" i="5"/>
  <c r="T300" i="5"/>
  <c r="U300" i="5"/>
  <c r="V300" i="5"/>
  <c r="T301" i="5"/>
  <c r="U301" i="5"/>
  <c r="V301" i="5"/>
  <c r="S302" i="5"/>
  <c r="T302" i="5"/>
  <c r="U302" i="5"/>
  <c r="V302" i="5"/>
  <c r="S303" i="5"/>
  <c r="T303" i="5"/>
  <c r="U303" i="5"/>
  <c r="V303" i="5"/>
  <c r="T304" i="5"/>
  <c r="U304" i="5"/>
  <c r="V304" i="5"/>
  <c r="T305" i="5"/>
  <c r="U305" i="5"/>
  <c r="V305" i="5"/>
  <c r="T306" i="5"/>
  <c r="U306" i="5"/>
  <c r="V306" i="5"/>
  <c r="T307" i="5"/>
  <c r="U307" i="5"/>
  <c r="V307" i="5"/>
  <c r="S308" i="5"/>
  <c r="T308" i="5"/>
  <c r="U308" i="5"/>
  <c r="V308" i="5"/>
  <c r="S309" i="5"/>
  <c r="T309" i="5"/>
  <c r="U309" i="5"/>
  <c r="V309" i="5"/>
  <c r="S310" i="5"/>
  <c r="T310" i="5"/>
  <c r="U310" i="5"/>
  <c r="V310" i="5"/>
  <c r="S311" i="5"/>
  <c r="T311" i="5"/>
  <c r="U311" i="5"/>
  <c r="V311" i="5"/>
  <c r="S312" i="5"/>
  <c r="T312" i="5"/>
  <c r="U312" i="5"/>
  <c r="V312" i="5"/>
  <c r="S313" i="5"/>
  <c r="T313" i="5"/>
  <c r="U313" i="5"/>
  <c r="V313" i="5"/>
  <c r="T314" i="5"/>
  <c r="U314" i="5"/>
  <c r="V314" i="5"/>
  <c r="S315" i="5"/>
  <c r="T315" i="5"/>
  <c r="U315" i="5"/>
  <c r="V315" i="5"/>
  <c r="T316" i="5"/>
  <c r="U316" i="5"/>
  <c r="V316" i="5"/>
  <c r="T317" i="5"/>
  <c r="U317" i="5"/>
  <c r="V317" i="5"/>
  <c r="S318" i="5"/>
  <c r="T318" i="5"/>
  <c r="U318" i="5"/>
  <c r="V318" i="5"/>
  <c r="S319" i="5"/>
  <c r="T319" i="5"/>
  <c r="U319" i="5"/>
  <c r="V319" i="5"/>
  <c r="T320" i="5"/>
  <c r="U320" i="5"/>
  <c r="V320" i="5"/>
  <c r="T321" i="5"/>
  <c r="U321" i="5"/>
  <c r="V321" i="5"/>
  <c r="T322" i="5"/>
  <c r="U322" i="5"/>
  <c r="V322" i="5"/>
  <c r="T323" i="5"/>
  <c r="U323" i="5"/>
  <c r="V323" i="5"/>
  <c r="S324" i="5"/>
  <c r="T324" i="5"/>
  <c r="U324" i="5"/>
  <c r="V324" i="5"/>
  <c r="S325" i="5"/>
  <c r="T325" i="5"/>
  <c r="U325" i="5"/>
  <c r="V325" i="5"/>
  <c r="S326" i="5"/>
  <c r="T326" i="5"/>
  <c r="U326" i="5"/>
  <c r="V326" i="5"/>
  <c r="S327" i="5"/>
  <c r="T327" i="5"/>
  <c r="U327" i="5"/>
  <c r="V327" i="5"/>
  <c r="S328" i="5"/>
  <c r="T328" i="5"/>
  <c r="U328" i="5"/>
  <c r="V328" i="5"/>
  <c r="S329" i="5"/>
  <c r="T329" i="5"/>
  <c r="U329" i="5"/>
  <c r="V329" i="5"/>
  <c r="T330" i="5"/>
  <c r="U330" i="5"/>
  <c r="V330" i="5"/>
  <c r="S331" i="5"/>
  <c r="T331" i="5"/>
  <c r="U331" i="5"/>
  <c r="V331" i="5"/>
  <c r="T332" i="5"/>
  <c r="U332" i="5"/>
  <c r="V332" i="5"/>
  <c r="T333" i="5"/>
  <c r="U333" i="5"/>
  <c r="V333" i="5"/>
  <c r="S334" i="5"/>
  <c r="T334" i="5"/>
  <c r="U334" i="5"/>
  <c r="V334" i="5"/>
  <c r="S335" i="5"/>
  <c r="T335" i="5"/>
  <c r="U335" i="5"/>
  <c r="V335" i="5"/>
  <c r="T336" i="5"/>
  <c r="U336" i="5"/>
  <c r="V336" i="5"/>
  <c r="T337" i="5"/>
  <c r="U337" i="5"/>
  <c r="V337" i="5"/>
  <c r="T338" i="5"/>
  <c r="U338" i="5"/>
  <c r="V338" i="5"/>
  <c r="T339" i="5"/>
  <c r="U339" i="5"/>
  <c r="V339" i="5"/>
  <c r="S340" i="5"/>
  <c r="T340" i="5"/>
  <c r="U340" i="5"/>
  <c r="V340" i="5"/>
  <c r="S341" i="5"/>
  <c r="T341" i="5"/>
  <c r="U341" i="5"/>
  <c r="V341" i="5"/>
  <c r="S342" i="5"/>
  <c r="T342" i="5"/>
  <c r="U342" i="5"/>
  <c r="V342" i="5"/>
  <c r="S343" i="5"/>
  <c r="T343" i="5"/>
  <c r="U343" i="5"/>
  <c r="V343" i="5"/>
  <c r="S344" i="5"/>
  <c r="T344" i="5"/>
  <c r="U344" i="5"/>
  <c r="V344" i="5"/>
  <c r="S345" i="5"/>
  <c r="T345" i="5"/>
  <c r="U345" i="5"/>
  <c r="V345" i="5"/>
  <c r="T346" i="5"/>
  <c r="U346" i="5"/>
  <c r="V346" i="5"/>
  <c r="S347" i="5"/>
  <c r="T347" i="5"/>
  <c r="U347" i="5"/>
  <c r="V347" i="5"/>
  <c r="T348" i="5"/>
  <c r="U348" i="5"/>
  <c r="V348" i="5"/>
  <c r="T349" i="5"/>
  <c r="U349" i="5"/>
  <c r="V349" i="5"/>
  <c r="S350" i="5"/>
  <c r="T350" i="5"/>
  <c r="U350" i="5"/>
  <c r="V350" i="5"/>
  <c r="S351" i="5"/>
  <c r="T351" i="5"/>
  <c r="U351" i="5"/>
  <c r="V351" i="5"/>
  <c r="T352" i="5"/>
  <c r="U352" i="5"/>
  <c r="V352" i="5"/>
  <c r="T353" i="5"/>
  <c r="U353" i="5"/>
  <c r="V353" i="5"/>
  <c r="T354" i="5"/>
  <c r="U354" i="5"/>
  <c r="V354" i="5"/>
  <c r="T355" i="5"/>
  <c r="U355" i="5"/>
  <c r="V355" i="5"/>
  <c r="S356" i="5"/>
  <c r="T356" i="5"/>
  <c r="U356" i="5"/>
  <c r="V356" i="5"/>
  <c r="S357" i="5"/>
  <c r="T357" i="5"/>
  <c r="U357" i="5"/>
  <c r="V357" i="5"/>
  <c r="S358" i="5"/>
  <c r="T358" i="5"/>
  <c r="U358" i="5"/>
  <c r="V358" i="5"/>
  <c r="S359" i="5"/>
  <c r="T359" i="5"/>
  <c r="U359" i="5"/>
  <c r="V359" i="5"/>
  <c r="S360" i="5"/>
  <c r="T360" i="5"/>
  <c r="U360" i="5"/>
  <c r="V360" i="5"/>
  <c r="S361" i="5"/>
  <c r="T361" i="5"/>
  <c r="U361" i="5"/>
  <c r="V361" i="5"/>
  <c r="T362" i="5"/>
  <c r="U362" i="5"/>
  <c r="V362" i="5"/>
  <c r="S363" i="5"/>
  <c r="T363" i="5"/>
  <c r="U363" i="5"/>
  <c r="V363" i="5"/>
  <c r="T364" i="5"/>
  <c r="U364" i="5"/>
  <c r="V364" i="5"/>
  <c r="T365" i="5"/>
  <c r="U365" i="5"/>
  <c r="V365" i="5"/>
  <c r="S366" i="5"/>
  <c r="T366" i="5"/>
  <c r="U366" i="5"/>
  <c r="V366" i="5"/>
  <c r="S367" i="5"/>
  <c r="T367" i="5"/>
  <c r="U367" i="5"/>
  <c r="V367" i="5"/>
  <c r="T368" i="5"/>
  <c r="U368" i="5"/>
  <c r="V368" i="5"/>
  <c r="T369" i="5"/>
  <c r="U369" i="5"/>
  <c r="V369" i="5"/>
  <c r="T370" i="5"/>
  <c r="U370" i="5"/>
  <c r="V370" i="5"/>
  <c r="T371" i="5"/>
  <c r="U371" i="5"/>
  <c r="V371" i="5"/>
  <c r="S372" i="5"/>
  <c r="T372" i="5"/>
  <c r="U372" i="5"/>
  <c r="V372" i="5"/>
  <c r="S373" i="5"/>
  <c r="T373" i="5"/>
  <c r="U373" i="5"/>
  <c r="V373" i="5"/>
  <c r="S374" i="5"/>
  <c r="T374" i="5"/>
  <c r="U374" i="5"/>
  <c r="V374" i="5"/>
  <c r="S375" i="5"/>
  <c r="T375" i="5"/>
  <c r="U375" i="5"/>
  <c r="V375" i="5"/>
  <c r="S376" i="5"/>
  <c r="T376" i="5"/>
  <c r="U376" i="5"/>
  <c r="V376" i="5"/>
  <c r="S377" i="5"/>
  <c r="T377" i="5"/>
  <c r="U377" i="5"/>
  <c r="V377" i="5"/>
  <c r="T378" i="5"/>
  <c r="U378" i="5"/>
  <c r="V378" i="5"/>
  <c r="S379" i="5"/>
  <c r="T379" i="5"/>
  <c r="U379" i="5"/>
  <c r="V379" i="5"/>
  <c r="T380" i="5"/>
  <c r="U380" i="5"/>
  <c r="V380" i="5"/>
  <c r="T381" i="5"/>
  <c r="U381" i="5"/>
  <c r="V381" i="5"/>
  <c r="S382" i="5"/>
  <c r="T382" i="5"/>
  <c r="U382" i="5"/>
  <c r="V382" i="5"/>
  <c r="T383" i="5"/>
  <c r="U383" i="5"/>
  <c r="V383" i="5"/>
  <c r="T384" i="5"/>
  <c r="U384" i="5"/>
  <c r="V384" i="5"/>
  <c r="T385" i="5"/>
  <c r="U385" i="5"/>
  <c r="V385" i="5"/>
  <c r="T386" i="5"/>
  <c r="U386" i="5"/>
  <c r="V386" i="5"/>
  <c r="T387" i="5"/>
  <c r="U387" i="5"/>
  <c r="V387" i="5"/>
  <c r="S388" i="5"/>
  <c r="T388" i="5"/>
  <c r="U388" i="5"/>
  <c r="V388" i="5"/>
  <c r="S389" i="5"/>
  <c r="T389" i="5"/>
  <c r="U389" i="5"/>
  <c r="V389" i="5"/>
  <c r="S390" i="5"/>
  <c r="T390" i="5"/>
  <c r="U390" i="5"/>
  <c r="V390" i="5"/>
  <c r="S391" i="5"/>
  <c r="T391" i="5"/>
  <c r="U391" i="5"/>
  <c r="V391" i="5"/>
  <c r="S392" i="5"/>
  <c r="T392" i="5"/>
  <c r="U392" i="5"/>
  <c r="V392" i="5"/>
  <c r="S393" i="5"/>
  <c r="T393" i="5"/>
  <c r="U393" i="5"/>
  <c r="V393" i="5"/>
  <c r="T394" i="5"/>
  <c r="U394" i="5"/>
  <c r="V394" i="5"/>
  <c r="S395" i="5"/>
  <c r="T395" i="5"/>
  <c r="U395" i="5"/>
  <c r="V395" i="5"/>
  <c r="T396" i="5"/>
  <c r="U396" i="5"/>
  <c r="V396" i="5"/>
  <c r="T397" i="5"/>
  <c r="U397" i="5"/>
  <c r="V397" i="5"/>
  <c r="S398" i="5"/>
  <c r="T398" i="5"/>
  <c r="U398" i="5"/>
  <c r="V398" i="5"/>
  <c r="T399" i="5"/>
  <c r="U399" i="5"/>
  <c r="V399" i="5"/>
  <c r="T400" i="5"/>
  <c r="U400" i="5"/>
  <c r="V400" i="5"/>
  <c r="S401" i="5"/>
  <c r="T401" i="5"/>
  <c r="U401" i="5"/>
  <c r="V401" i="5"/>
  <c r="T402" i="5"/>
  <c r="U402" i="5"/>
  <c r="V402" i="5"/>
  <c r="T403" i="5"/>
  <c r="U403" i="5"/>
  <c r="V403" i="5"/>
  <c r="S404" i="5"/>
  <c r="T404" i="5"/>
  <c r="U404" i="5"/>
  <c r="V404" i="5"/>
  <c r="S405" i="5"/>
  <c r="T405" i="5"/>
  <c r="U405" i="5"/>
  <c r="V405" i="5"/>
  <c r="S406" i="5"/>
  <c r="T406" i="5"/>
  <c r="U406" i="5"/>
  <c r="V406" i="5"/>
  <c r="S407" i="5"/>
  <c r="T407" i="5"/>
  <c r="U407" i="5"/>
  <c r="V407" i="5"/>
  <c r="S408" i="5"/>
  <c r="T408" i="5"/>
  <c r="U408" i="5"/>
  <c r="V408" i="5"/>
  <c r="S409" i="5"/>
  <c r="T409" i="5"/>
  <c r="U409" i="5"/>
  <c r="V409" i="5"/>
  <c r="T410" i="5"/>
  <c r="U410" i="5"/>
  <c r="V410" i="5"/>
  <c r="T411" i="5"/>
  <c r="U411" i="5"/>
  <c r="V411" i="5"/>
  <c r="T412" i="5"/>
  <c r="U412" i="5"/>
  <c r="V412" i="5"/>
  <c r="T413" i="5"/>
  <c r="U413" i="5"/>
  <c r="V413" i="5"/>
  <c r="S414" i="5"/>
  <c r="T414" i="5"/>
  <c r="U414" i="5"/>
  <c r="V414" i="5"/>
  <c r="T415" i="5"/>
  <c r="U415" i="5"/>
  <c r="V415" i="5"/>
  <c r="T416" i="5"/>
  <c r="U416" i="5"/>
  <c r="V416" i="5"/>
  <c r="T417" i="5"/>
  <c r="U417" i="5"/>
  <c r="V417" i="5"/>
  <c r="T418" i="5"/>
  <c r="U418" i="5"/>
  <c r="V418" i="5"/>
  <c r="T419" i="5"/>
  <c r="U419" i="5"/>
  <c r="V419" i="5"/>
  <c r="S420" i="5"/>
  <c r="T420" i="5"/>
  <c r="U420" i="5"/>
  <c r="V420" i="5"/>
  <c r="S421" i="5"/>
  <c r="T421" i="5"/>
  <c r="U421" i="5"/>
  <c r="V421" i="5"/>
  <c r="S422" i="5"/>
  <c r="T422" i="5"/>
  <c r="U422" i="5"/>
  <c r="V422" i="5"/>
  <c r="S423" i="5"/>
  <c r="T423" i="5"/>
  <c r="U423" i="5"/>
  <c r="V423" i="5"/>
  <c r="S424" i="5"/>
  <c r="T424" i="5"/>
  <c r="U424" i="5"/>
  <c r="V424" i="5"/>
  <c r="S425" i="5"/>
  <c r="T425" i="5"/>
  <c r="U425" i="5"/>
  <c r="V425" i="5"/>
  <c r="T426" i="5"/>
  <c r="U426" i="5"/>
  <c r="V426" i="5"/>
  <c r="S427" i="5"/>
  <c r="T427" i="5"/>
  <c r="U427" i="5"/>
  <c r="V427" i="5"/>
  <c r="T428" i="5"/>
  <c r="U428" i="5"/>
  <c r="V428" i="5"/>
  <c r="T429" i="5"/>
  <c r="U429" i="5"/>
  <c r="V429" i="5"/>
  <c r="S430" i="5"/>
  <c r="T430" i="5"/>
  <c r="U430" i="5"/>
  <c r="V430" i="5"/>
  <c r="S431" i="5"/>
  <c r="T431" i="5"/>
  <c r="U431" i="5"/>
  <c r="V431" i="5"/>
  <c r="T432" i="5"/>
  <c r="U432" i="5"/>
  <c r="V432" i="5"/>
  <c r="T433" i="5"/>
  <c r="U433" i="5"/>
  <c r="V433" i="5"/>
  <c r="T434" i="5"/>
  <c r="U434" i="5"/>
  <c r="V434" i="5"/>
  <c r="T435" i="5"/>
  <c r="U435" i="5"/>
  <c r="V435" i="5"/>
  <c r="S436" i="5"/>
  <c r="T436" i="5"/>
  <c r="U436" i="5"/>
  <c r="V436" i="5"/>
  <c r="S437" i="5"/>
  <c r="T437" i="5"/>
  <c r="U437" i="5"/>
  <c r="V437" i="5"/>
  <c r="S438" i="5"/>
  <c r="T438" i="5"/>
  <c r="U438" i="5"/>
  <c r="V438" i="5"/>
  <c r="S439" i="5"/>
  <c r="T439" i="5"/>
  <c r="U439" i="5"/>
  <c r="V439" i="5"/>
  <c r="S440" i="5"/>
  <c r="T440" i="5"/>
  <c r="U440" i="5"/>
  <c r="V440" i="5"/>
  <c r="S441" i="5"/>
  <c r="T441" i="5"/>
  <c r="U441" i="5"/>
  <c r="V441" i="5"/>
  <c r="T442" i="5"/>
  <c r="U442" i="5"/>
  <c r="V442" i="5"/>
  <c r="T443" i="5"/>
  <c r="U443" i="5"/>
  <c r="V443" i="5"/>
  <c r="T444" i="5"/>
  <c r="U444" i="5"/>
  <c r="V444" i="5"/>
  <c r="T445" i="5"/>
  <c r="U445" i="5"/>
  <c r="V445" i="5"/>
  <c r="S446" i="5"/>
  <c r="T446" i="5"/>
  <c r="U446" i="5"/>
  <c r="V446" i="5"/>
  <c r="S447" i="5"/>
  <c r="T447" i="5"/>
  <c r="U447" i="5"/>
  <c r="V447" i="5"/>
  <c r="T448" i="5"/>
  <c r="U448" i="5"/>
  <c r="V448" i="5"/>
  <c r="T449" i="5"/>
  <c r="U449" i="5"/>
  <c r="V449" i="5"/>
  <c r="T450" i="5"/>
  <c r="U450" i="5"/>
  <c r="V450" i="5"/>
  <c r="T451" i="5"/>
  <c r="U451" i="5"/>
  <c r="V451" i="5"/>
  <c r="S452" i="5"/>
  <c r="T452" i="5"/>
  <c r="U452" i="5"/>
  <c r="V452" i="5"/>
  <c r="S453" i="5"/>
  <c r="T453" i="5"/>
  <c r="U453" i="5"/>
  <c r="V453" i="5"/>
  <c r="S454" i="5"/>
  <c r="T454" i="5"/>
  <c r="U454" i="5"/>
  <c r="V454" i="5"/>
  <c r="S455" i="5"/>
  <c r="T455" i="5"/>
  <c r="U455" i="5"/>
  <c r="V455" i="5"/>
  <c r="S456" i="5"/>
  <c r="T456" i="5"/>
  <c r="U456" i="5"/>
  <c r="V456" i="5"/>
  <c r="S457" i="5"/>
  <c r="T457" i="5"/>
  <c r="U457" i="5"/>
  <c r="V457" i="5"/>
  <c r="T458" i="5"/>
  <c r="U458" i="5"/>
  <c r="V458" i="5"/>
  <c r="S459" i="5"/>
  <c r="T459" i="5"/>
  <c r="U459" i="5"/>
  <c r="V459" i="5"/>
  <c r="T460" i="5"/>
  <c r="U460" i="5"/>
  <c r="V460" i="5"/>
  <c r="T461" i="5"/>
  <c r="U461" i="5"/>
  <c r="V461" i="5"/>
  <c r="T462" i="5"/>
  <c r="U462" i="5"/>
  <c r="V462" i="5"/>
  <c r="S463" i="5"/>
  <c r="T463" i="5"/>
  <c r="U463" i="5"/>
  <c r="V463" i="5"/>
  <c r="T464" i="5"/>
  <c r="U464" i="5"/>
  <c r="V464" i="5"/>
  <c r="T465" i="5"/>
  <c r="U465" i="5"/>
  <c r="V465" i="5"/>
  <c r="T466" i="5"/>
  <c r="U466" i="5"/>
  <c r="V466" i="5"/>
  <c r="T467" i="5"/>
  <c r="U467" i="5"/>
  <c r="V467" i="5"/>
  <c r="S468" i="5"/>
  <c r="T468" i="5"/>
  <c r="U468" i="5"/>
  <c r="V468" i="5"/>
  <c r="S469" i="5"/>
  <c r="T469" i="5"/>
  <c r="U469" i="5"/>
  <c r="V469" i="5"/>
  <c r="S470" i="5"/>
  <c r="T470" i="5"/>
  <c r="U470" i="5"/>
  <c r="V470" i="5"/>
  <c r="S471" i="5"/>
  <c r="T471" i="5"/>
  <c r="U471" i="5"/>
  <c r="V471" i="5"/>
  <c r="S472" i="5"/>
  <c r="T472" i="5"/>
  <c r="U472" i="5"/>
  <c r="V472" i="5"/>
  <c r="S473" i="5"/>
  <c r="T473" i="5"/>
  <c r="U473" i="5"/>
  <c r="V473" i="5"/>
  <c r="T474" i="5"/>
  <c r="U474" i="5"/>
  <c r="V474" i="5"/>
  <c r="S475" i="5"/>
  <c r="T475" i="5"/>
  <c r="U475" i="5"/>
  <c r="V475" i="5"/>
  <c r="S476" i="5"/>
  <c r="T476" i="5"/>
  <c r="U476" i="5"/>
  <c r="V476" i="5"/>
  <c r="T477" i="5"/>
  <c r="U477" i="5"/>
  <c r="V477" i="5"/>
  <c r="S478" i="5"/>
  <c r="T478" i="5"/>
  <c r="U478" i="5"/>
  <c r="V478" i="5"/>
  <c r="S479" i="5"/>
  <c r="T479" i="5"/>
  <c r="U479" i="5"/>
  <c r="V479" i="5"/>
  <c r="T480" i="5"/>
  <c r="U480" i="5"/>
  <c r="V480" i="5"/>
  <c r="T481" i="5"/>
  <c r="U481" i="5"/>
  <c r="V481" i="5"/>
  <c r="T482" i="5"/>
  <c r="U482" i="5"/>
  <c r="V482" i="5"/>
  <c r="T483" i="5"/>
  <c r="U483" i="5"/>
  <c r="V483" i="5"/>
  <c r="S484" i="5"/>
  <c r="T484" i="5"/>
  <c r="U484" i="5"/>
  <c r="V484" i="5"/>
  <c r="S485" i="5"/>
  <c r="T485" i="5"/>
  <c r="U485" i="5"/>
  <c r="V485" i="5"/>
  <c r="S486" i="5"/>
  <c r="T486" i="5"/>
  <c r="U486" i="5"/>
  <c r="V486" i="5"/>
  <c r="S487" i="5"/>
  <c r="T487" i="5"/>
  <c r="U487" i="5"/>
  <c r="V487" i="5"/>
  <c r="S488" i="5"/>
  <c r="T488" i="5"/>
  <c r="U488" i="5"/>
  <c r="V488" i="5"/>
  <c r="S489" i="5"/>
  <c r="T489" i="5"/>
  <c r="U489" i="5"/>
  <c r="V489" i="5"/>
  <c r="T490" i="5"/>
  <c r="U490" i="5"/>
  <c r="V490" i="5"/>
  <c r="S491" i="5"/>
  <c r="T491" i="5"/>
  <c r="U491" i="5"/>
  <c r="V491" i="5"/>
  <c r="T492" i="5"/>
  <c r="U492" i="5"/>
  <c r="V492" i="5"/>
  <c r="T493" i="5"/>
  <c r="U493" i="5"/>
  <c r="V493" i="5"/>
  <c r="S494" i="5"/>
  <c r="T494" i="5"/>
  <c r="U494" i="5"/>
  <c r="V494" i="5"/>
  <c r="S495" i="5"/>
  <c r="T495" i="5"/>
  <c r="U495" i="5"/>
  <c r="V495" i="5"/>
  <c r="T496" i="5"/>
  <c r="U496" i="5"/>
  <c r="V496" i="5"/>
  <c r="T497" i="5"/>
  <c r="U497" i="5"/>
  <c r="V497" i="5"/>
  <c r="T498" i="5"/>
  <c r="U498" i="5"/>
  <c r="V498" i="5"/>
  <c r="T499" i="5"/>
  <c r="U499" i="5"/>
  <c r="V499" i="5"/>
  <c r="S500" i="5"/>
  <c r="T500" i="5"/>
  <c r="U500" i="5"/>
  <c r="V500" i="5"/>
  <c r="S501" i="5"/>
  <c r="T501" i="5"/>
  <c r="U501" i="5"/>
  <c r="V501" i="5"/>
  <c r="S502" i="5"/>
  <c r="T502" i="5"/>
  <c r="U502" i="5"/>
  <c r="V502" i="5"/>
  <c r="S503" i="5"/>
  <c r="T503" i="5"/>
  <c r="U503" i="5"/>
  <c r="V503" i="5"/>
  <c r="S504" i="5"/>
  <c r="T504" i="5"/>
  <c r="U504" i="5"/>
  <c r="V504" i="5"/>
  <c r="S505" i="5"/>
  <c r="T505" i="5"/>
  <c r="U505" i="5"/>
  <c r="V505" i="5"/>
  <c r="T506" i="5"/>
  <c r="U506" i="5"/>
  <c r="V506" i="5"/>
  <c r="T507" i="5"/>
  <c r="U507" i="5"/>
  <c r="V507" i="5"/>
  <c r="T508" i="5"/>
  <c r="U508" i="5"/>
  <c r="V508" i="5"/>
  <c r="T509" i="5"/>
  <c r="U509" i="5"/>
  <c r="V509" i="5"/>
  <c r="S510" i="5"/>
  <c r="T510" i="5"/>
  <c r="U510" i="5"/>
  <c r="V510" i="5"/>
  <c r="S511" i="5"/>
  <c r="T511" i="5"/>
  <c r="U511" i="5"/>
  <c r="V511" i="5"/>
  <c r="T512" i="5"/>
  <c r="U512" i="5"/>
  <c r="V512" i="5"/>
  <c r="T513" i="5"/>
  <c r="U513" i="5"/>
  <c r="V513" i="5"/>
  <c r="T514" i="5"/>
  <c r="U514" i="5"/>
  <c r="V514" i="5"/>
  <c r="T515" i="5"/>
  <c r="U515" i="5"/>
  <c r="V515" i="5"/>
  <c r="S516" i="5"/>
  <c r="T516" i="5"/>
  <c r="U516" i="5"/>
  <c r="V516" i="5"/>
  <c r="S517" i="5"/>
  <c r="T517" i="5"/>
  <c r="U517" i="5"/>
  <c r="V517" i="5"/>
  <c r="S518" i="5"/>
  <c r="T518" i="5"/>
  <c r="U518" i="5"/>
  <c r="V518" i="5"/>
  <c r="S519" i="5"/>
  <c r="T519" i="5"/>
  <c r="U519" i="5"/>
  <c r="V519" i="5"/>
  <c r="S520" i="5"/>
  <c r="T520" i="5"/>
  <c r="U520" i="5"/>
  <c r="V520" i="5"/>
  <c r="S521" i="5"/>
  <c r="T521" i="5"/>
  <c r="U521" i="5"/>
  <c r="V521" i="5"/>
  <c r="T522" i="5"/>
  <c r="U522" i="5"/>
  <c r="V522" i="5"/>
  <c r="T523" i="5"/>
  <c r="U523" i="5"/>
  <c r="V523" i="5"/>
  <c r="S524" i="5"/>
  <c r="T524" i="5"/>
  <c r="U524" i="5"/>
  <c r="V524" i="5"/>
  <c r="T525" i="5"/>
  <c r="U525" i="5"/>
  <c r="V525" i="5"/>
  <c r="T526" i="5"/>
  <c r="U526" i="5"/>
  <c r="V526" i="5"/>
  <c r="S527" i="5"/>
  <c r="T527" i="5"/>
  <c r="U527" i="5"/>
  <c r="V527" i="5"/>
  <c r="T528" i="5"/>
  <c r="U528" i="5"/>
  <c r="V528" i="5"/>
  <c r="S529" i="5"/>
  <c r="T529" i="5"/>
  <c r="U529" i="5"/>
  <c r="V529" i="5"/>
  <c r="T530" i="5"/>
  <c r="U530" i="5"/>
  <c r="V530" i="5"/>
  <c r="T531" i="5"/>
  <c r="U531" i="5"/>
  <c r="V531" i="5"/>
  <c r="S532" i="5"/>
  <c r="T532" i="5"/>
  <c r="U532" i="5"/>
  <c r="V532" i="5"/>
  <c r="S533" i="5"/>
  <c r="T533" i="5"/>
  <c r="U533" i="5"/>
  <c r="V533" i="5"/>
  <c r="S534" i="5"/>
  <c r="T534" i="5"/>
  <c r="U534" i="5"/>
  <c r="V534" i="5"/>
  <c r="S535" i="5"/>
  <c r="T535" i="5"/>
  <c r="U535" i="5"/>
  <c r="V535" i="5"/>
  <c r="S536" i="5"/>
  <c r="T536" i="5"/>
  <c r="U536" i="5"/>
  <c r="V536" i="5"/>
  <c r="S537" i="5"/>
  <c r="T537" i="5"/>
  <c r="U537" i="5"/>
  <c r="V537" i="5"/>
  <c r="T538" i="5"/>
  <c r="U538" i="5"/>
  <c r="V538" i="5"/>
  <c r="T539" i="5"/>
  <c r="U539" i="5"/>
  <c r="V539" i="5"/>
  <c r="T540" i="5"/>
  <c r="U540" i="5"/>
  <c r="V540" i="5"/>
  <c r="S541" i="5"/>
  <c r="T541" i="5"/>
  <c r="U541" i="5"/>
  <c r="V541" i="5"/>
  <c r="T542" i="5"/>
  <c r="U542" i="5"/>
  <c r="V542" i="5"/>
  <c r="T543" i="5"/>
  <c r="U543" i="5"/>
  <c r="V543" i="5"/>
  <c r="T544" i="5"/>
  <c r="U544" i="5"/>
  <c r="V544" i="5"/>
  <c r="T545" i="5"/>
  <c r="U545" i="5"/>
  <c r="V545" i="5"/>
  <c r="T546" i="5"/>
  <c r="U546" i="5"/>
  <c r="V546" i="5"/>
  <c r="T547" i="5"/>
  <c r="U547" i="5"/>
  <c r="V547" i="5"/>
  <c r="S548" i="5"/>
  <c r="T548" i="5"/>
  <c r="U548" i="5"/>
  <c r="V548" i="5"/>
  <c r="S549" i="5"/>
  <c r="T549" i="5"/>
  <c r="U549" i="5"/>
  <c r="V549" i="5"/>
  <c r="S550" i="5"/>
  <c r="T550" i="5"/>
  <c r="U550" i="5"/>
  <c r="V550" i="5"/>
  <c r="S551" i="5"/>
  <c r="T551" i="5"/>
  <c r="U551" i="5"/>
  <c r="V551" i="5"/>
  <c r="S552" i="5"/>
  <c r="T552" i="5"/>
  <c r="U552" i="5"/>
  <c r="V552" i="5"/>
  <c r="S553" i="5"/>
  <c r="T553" i="5"/>
  <c r="U553" i="5"/>
  <c r="V553" i="5"/>
  <c r="T554" i="5"/>
  <c r="U554" i="5"/>
  <c r="V554" i="5"/>
  <c r="S555" i="5"/>
  <c r="T555" i="5"/>
  <c r="U555" i="5"/>
  <c r="V555" i="5"/>
  <c r="T556" i="5"/>
  <c r="U556" i="5"/>
  <c r="V556" i="5"/>
  <c r="T557" i="5"/>
  <c r="U557" i="5"/>
  <c r="V557" i="5"/>
  <c r="T558" i="5"/>
  <c r="U558" i="5"/>
  <c r="V558" i="5"/>
  <c r="T559" i="5"/>
  <c r="U559" i="5"/>
  <c r="V559" i="5"/>
  <c r="T560" i="5"/>
  <c r="U560" i="5"/>
  <c r="V560" i="5"/>
  <c r="T561" i="5"/>
  <c r="U561" i="5"/>
  <c r="V561" i="5"/>
  <c r="T562" i="5"/>
  <c r="U562" i="5"/>
  <c r="V562" i="5"/>
  <c r="T563" i="5"/>
  <c r="U563" i="5"/>
  <c r="V563" i="5"/>
  <c r="S564" i="5"/>
  <c r="T564" i="5"/>
  <c r="U564" i="5"/>
  <c r="V564" i="5"/>
  <c r="S565" i="5"/>
  <c r="T565" i="5"/>
  <c r="U565" i="5"/>
  <c r="V565" i="5"/>
  <c r="S566" i="5"/>
  <c r="T566" i="5"/>
  <c r="U566" i="5"/>
  <c r="V566" i="5"/>
  <c r="S567" i="5"/>
  <c r="T567" i="5"/>
  <c r="U567" i="5"/>
  <c r="V567" i="5"/>
  <c r="S568" i="5"/>
  <c r="T568" i="5"/>
  <c r="U568" i="5"/>
  <c r="V568" i="5"/>
  <c r="S569" i="5"/>
  <c r="T569" i="5"/>
  <c r="U569" i="5"/>
  <c r="V569" i="5"/>
  <c r="T570" i="5"/>
  <c r="U570" i="5"/>
  <c r="V570" i="5"/>
  <c r="S571" i="5"/>
  <c r="T571" i="5"/>
  <c r="U571" i="5"/>
  <c r="V571" i="5"/>
  <c r="S572" i="5"/>
  <c r="T572" i="5"/>
  <c r="U572" i="5"/>
  <c r="V572" i="5"/>
  <c r="T573" i="5"/>
  <c r="U573" i="5"/>
  <c r="V573" i="5"/>
  <c r="T574" i="5"/>
  <c r="U574" i="5"/>
  <c r="V574" i="5"/>
  <c r="T575" i="5"/>
  <c r="U575" i="5"/>
  <c r="V575" i="5"/>
  <c r="T576" i="5"/>
  <c r="U576" i="5"/>
  <c r="V576" i="5"/>
  <c r="T577" i="5"/>
  <c r="U577" i="5"/>
  <c r="V577" i="5"/>
  <c r="T578" i="5"/>
  <c r="U578" i="5"/>
  <c r="V578" i="5"/>
  <c r="T579" i="5"/>
  <c r="U579" i="5"/>
  <c r="V579" i="5"/>
  <c r="S580" i="5"/>
  <c r="T580" i="5"/>
  <c r="U580" i="5"/>
  <c r="V580" i="5"/>
  <c r="S581" i="5"/>
  <c r="T581" i="5"/>
  <c r="U581" i="5"/>
  <c r="V581" i="5"/>
  <c r="S582" i="5"/>
  <c r="T582" i="5"/>
  <c r="U582" i="5"/>
  <c r="V582" i="5"/>
  <c r="S583" i="5"/>
  <c r="T583" i="5"/>
  <c r="U583" i="5"/>
  <c r="V583" i="5"/>
  <c r="S584" i="5"/>
  <c r="T584" i="5"/>
  <c r="U584" i="5"/>
  <c r="V584" i="5"/>
  <c r="S585" i="5"/>
  <c r="T585" i="5"/>
  <c r="U585" i="5"/>
  <c r="V585" i="5"/>
  <c r="T586" i="5"/>
  <c r="U586" i="5"/>
  <c r="V586" i="5"/>
  <c r="S587" i="5"/>
  <c r="T587" i="5"/>
  <c r="U587" i="5"/>
  <c r="V587" i="5"/>
  <c r="T588" i="5"/>
  <c r="U588" i="5"/>
  <c r="V588" i="5"/>
  <c r="T589" i="5"/>
  <c r="U589" i="5"/>
  <c r="V589" i="5"/>
  <c r="T590" i="5"/>
  <c r="U590" i="5"/>
  <c r="V590" i="5"/>
  <c r="T591" i="5"/>
  <c r="U591" i="5"/>
  <c r="V591" i="5"/>
  <c r="T592" i="5"/>
  <c r="U592" i="5"/>
  <c r="V592" i="5"/>
  <c r="T593" i="5"/>
  <c r="U593" i="5"/>
  <c r="V593" i="5"/>
  <c r="T594" i="5"/>
  <c r="U594" i="5"/>
  <c r="V594" i="5"/>
  <c r="T595" i="5"/>
  <c r="U595" i="5"/>
  <c r="V595" i="5"/>
  <c r="S596" i="5"/>
  <c r="T596" i="5"/>
  <c r="U596" i="5"/>
  <c r="V596" i="5"/>
  <c r="S597" i="5"/>
  <c r="T597" i="5"/>
  <c r="U597" i="5"/>
  <c r="V597" i="5"/>
  <c r="S598" i="5"/>
  <c r="T598" i="5"/>
  <c r="U598" i="5"/>
  <c r="V598" i="5"/>
  <c r="S599" i="5"/>
  <c r="T599" i="5"/>
  <c r="U599" i="5"/>
  <c r="V599" i="5"/>
  <c r="S600" i="5"/>
  <c r="T600" i="5"/>
  <c r="U600" i="5"/>
  <c r="V600" i="5"/>
  <c r="S601" i="5"/>
  <c r="T601" i="5"/>
  <c r="U601" i="5"/>
  <c r="V601" i="5"/>
  <c r="T602" i="5"/>
  <c r="U602" i="5"/>
  <c r="V602" i="5"/>
  <c r="T603" i="5"/>
  <c r="U603" i="5"/>
  <c r="V603" i="5"/>
  <c r="S604" i="5"/>
  <c r="T604" i="5"/>
  <c r="U604" i="5"/>
  <c r="V604" i="5"/>
  <c r="T605" i="5"/>
  <c r="U605" i="5"/>
  <c r="V605" i="5"/>
  <c r="T606" i="5"/>
  <c r="U606" i="5"/>
  <c r="V606" i="5"/>
  <c r="T607" i="5"/>
  <c r="U607" i="5"/>
  <c r="V607" i="5"/>
  <c r="S608" i="5"/>
  <c r="T608" i="5"/>
  <c r="U608" i="5"/>
  <c r="V608" i="5"/>
  <c r="T609" i="5"/>
  <c r="U609" i="5"/>
  <c r="V609" i="5"/>
  <c r="T610" i="5"/>
  <c r="U610" i="5"/>
  <c r="V610" i="5"/>
  <c r="T611" i="5"/>
  <c r="U611" i="5"/>
  <c r="V611" i="5"/>
  <c r="S612" i="5"/>
  <c r="T612" i="5"/>
  <c r="U612" i="5"/>
  <c r="V612" i="5"/>
  <c r="S613" i="5"/>
  <c r="T613" i="5"/>
  <c r="U613" i="5"/>
  <c r="V613" i="5"/>
  <c r="S614" i="5"/>
  <c r="T614" i="5"/>
  <c r="U614" i="5"/>
  <c r="V614" i="5"/>
  <c r="S615" i="5"/>
  <c r="T615" i="5"/>
  <c r="U615" i="5"/>
  <c r="V615" i="5"/>
  <c r="S616" i="5"/>
  <c r="T616" i="5"/>
  <c r="U616" i="5"/>
  <c r="V616" i="5"/>
  <c r="S617" i="5"/>
  <c r="T617" i="5"/>
  <c r="U617" i="5"/>
  <c r="V617" i="5"/>
  <c r="T618" i="5"/>
  <c r="U618" i="5"/>
  <c r="V618" i="5"/>
  <c r="T619" i="5"/>
  <c r="U619" i="5"/>
  <c r="V619" i="5"/>
  <c r="T620" i="5"/>
  <c r="U620" i="5"/>
  <c r="V620" i="5"/>
  <c r="S621" i="5"/>
  <c r="T621" i="5"/>
  <c r="U621" i="5"/>
  <c r="V621" i="5"/>
  <c r="T622" i="5"/>
  <c r="U622" i="5"/>
  <c r="V622" i="5"/>
  <c r="T623" i="5"/>
  <c r="U623" i="5"/>
  <c r="V623" i="5"/>
  <c r="T624" i="5"/>
  <c r="U624" i="5"/>
  <c r="V624" i="5"/>
  <c r="T625" i="5"/>
  <c r="U625" i="5"/>
  <c r="V625" i="5"/>
  <c r="T626" i="5"/>
  <c r="U626" i="5"/>
  <c r="V626" i="5"/>
  <c r="T627" i="5"/>
  <c r="U627" i="5"/>
  <c r="V627" i="5"/>
  <c r="S628" i="5"/>
  <c r="T628" i="5"/>
  <c r="U628" i="5"/>
  <c r="V628" i="5"/>
  <c r="S629" i="5"/>
  <c r="T629" i="5"/>
  <c r="U629" i="5"/>
  <c r="V629" i="5"/>
  <c r="S630" i="5"/>
  <c r="T630" i="5"/>
  <c r="U630" i="5"/>
  <c r="V630" i="5"/>
  <c r="S631" i="5"/>
  <c r="T631" i="5"/>
  <c r="U631" i="5"/>
  <c r="V631" i="5"/>
  <c r="S632" i="5"/>
  <c r="T632" i="5"/>
  <c r="U632" i="5"/>
  <c r="V632" i="5"/>
  <c r="S633" i="5"/>
  <c r="T633" i="5"/>
  <c r="U633" i="5"/>
  <c r="V633" i="5"/>
  <c r="T634" i="5"/>
  <c r="U634" i="5"/>
  <c r="V634" i="5"/>
  <c r="S635" i="5"/>
  <c r="T635" i="5"/>
  <c r="U635" i="5"/>
  <c r="V635" i="5"/>
  <c r="T636" i="5"/>
  <c r="U636" i="5"/>
  <c r="V636" i="5"/>
  <c r="T637" i="5"/>
  <c r="U637" i="5"/>
  <c r="V637" i="5"/>
  <c r="T638" i="5"/>
  <c r="U638" i="5"/>
  <c r="V638" i="5"/>
  <c r="S639" i="5"/>
  <c r="T639" i="5"/>
  <c r="U639" i="5"/>
  <c r="V639" i="5"/>
  <c r="T640" i="5"/>
  <c r="U640" i="5"/>
  <c r="V640" i="5"/>
  <c r="T641" i="5"/>
  <c r="U641" i="5"/>
  <c r="V641" i="5"/>
  <c r="T642" i="5"/>
  <c r="U642" i="5"/>
  <c r="V642" i="5"/>
  <c r="T643" i="5"/>
  <c r="U643" i="5"/>
  <c r="V643" i="5"/>
  <c r="S644" i="5"/>
  <c r="T644" i="5"/>
  <c r="U644" i="5"/>
  <c r="V644" i="5"/>
  <c r="S645" i="5"/>
  <c r="T645" i="5"/>
  <c r="U645" i="5"/>
  <c r="V645" i="5"/>
  <c r="S646" i="5"/>
  <c r="T646" i="5"/>
  <c r="U646" i="5"/>
  <c r="V646" i="5"/>
  <c r="S647" i="5"/>
  <c r="T647" i="5"/>
  <c r="U647" i="5"/>
  <c r="V647" i="5"/>
  <c r="S648" i="5"/>
  <c r="T648" i="5"/>
  <c r="U648" i="5"/>
  <c r="V648" i="5"/>
  <c r="S649" i="5"/>
  <c r="T649" i="5"/>
  <c r="U649" i="5"/>
  <c r="V649" i="5"/>
  <c r="T650" i="5"/>
  <c r="U650" i="5"/>
  <c r="V650" i="5"/>
  <c r="S651" i="5"/>
  <c r="T651" i="5"/>
  <c r="U651" i="5"/>
  <c r="V651" i="5"/>
  <c r="T652" i="5"/>
  <c r="U652" i="5"/>
  <c r="V652" i="5"/>
  <c r="T653" i="5"/>
  <c r="U653" i="5"/>
  <c r="V653" i="5"/>
  <c r="T654" i="5"/>
  <c r="U654" i="5"/>
  <c r="V654" i="5"/>
  <c r="T655" i="5"/>
  <c r="U655" i="5"/>
  <c r="V655" i="5"/>
  <c r="T656" i="5"/>
  <c r="U656" i="5"/>
  <c r="V656" i="5"/>
  <c r="T657" i="5"/>
  <c r="U657" i="5"/>
  <c r="V657" i="5"/>
  <c r="T658" i="5"/>
  <c r="U658" i="5"/>
  <c r="V658" i="5"/>
  <c r="T659" i="5"/>
  <c r="U659" i="5"/>
  <c r="V659" i="5"/>
  <c r="S660" i="5"/>
  <c r="T660" i="5"/>
  <c r="U660" i="5"/>
  <c r="V660" i="5"/>
  <c r="S661" i="5"/>
  <c r="T661" i="5"/>
  <c r="U661" i="5"/>
  <c r="V661" i="5"/>
  <c r="S662" i="5"/>
  <c r="T662" i="5"/>
  <c r="U662" i="5"/>
  <c r="V662" i="5"/>
  <c r="S663" i="5"/>
  <c r="T663" i="5"/>
  <c r="U663" i="5"/>
  <c r="V663" i="5"/>
  <c r="S664" i="5"/>
  <c r="T664" i="5"/>
  <c r="U664" i="5"/>
  <c r="V664" i="5"/>
  <c r="S665" i="5"/>
  <c r="T665" i="5"/>
  <c r="U665" i="5"/>
  <c r="V665" i="5"/>
  <c r="T666" i="5"/>
  <c r="U666" i="5"/>
  <c r="V666" i="5"/>
  <c r="S667" i="5"/>
  <c r="T667" i="5"/>
  <c r="U667" i="5"/>
  <c r="V667" i="5"/>
  <c r="T668" i="5"/>
  <c r="U668" i="5"/>
  <c r="V668" i="5"/>
  <c r="T669" i="5"/>
  <c r="U669" i="5"/>
  <c r="V669" i="5"/>
  <c r="T670" i="5"/>
  <c r="U670" i="5"/>
  <c r="V670" i="5"/>
  <c r="S671" i="5"/>
  <c r="T671" i="5"/>
  <c r="U671" i="5"/>
  <c r="V671" i="5"/>
  <c r="T672" i="5"/>
  <c r="U672" i="5"/>
  <c r="V672" i="5"/>
  <c r="T673" i="5"/>
  <c r="U673" i="5"/>
  <c r="V673" i="5"/>
  <c r="T674" i="5"/>
  <c r="U674" i="5"/>
  <c r="V674" i="5"/>
  <c r="T675" i="5"/>
  <c r="U675" i="5"/>
  <c r="V675" i="5"/>
  <c r="S676" i="5"/>
  <c r="T676" i="5"/>
  <c r="U676" i="5"/>
  <c r="V676" i="5"/>
  <c r="S677" i="5"/>
  <c r="T677" i="5"/>
  <c r="U677" i="5"/>
  <c r="V677" i="5"/>
  <c r="S678" i="5"/>
  <c r="T678" i="5"/>
  <c r="U678" i="5"/>
  <c r="V678" i="5"/>
  <c r="S679" i="5"/>
  <c r="T679" i="5"/>
  <c r="U679" i="5"/>
  <c r="V679" i="5"/>
  <c r="S680" i="5"/>
  <c r="T680" i="5"/>
  <c r="U680" i="5"/>
  <c r="V680" i="5"/>
  <c r="S681" i="5"/>
  <c r="T681" i="5"/>
  <c r="U681" i="5"/>
  <c r="V681" i="5"/>
  <c r="T682" i="5"/>
  <c r="U682" i="5"/>
  <c r="V682" i="5"/>
  <c r="T683" i="5"/>
  <c r="U683" i="5"/>
  <c r="V683" i="5"/>
  <c r="S684" i="5"/>
  <c r="T684" i="5"/>
  <c r="U684" i="5"/>
  <c r="V684" i="5"/>
  <c r="T685" i="5"/>
  <c r="U685" i="5"/>
  <c r="V685" i="5"/>
  <c r="T686" i="5"/>
  <c r="U686" i="5"/>
  <c r="V686" i="5"/>
  <c r="T687" i="5"/>
  <c r="U687" i="5"/>
  <c r="V687" i="5"/>
  <c r="S688" i="5"/>
  <c r="T688" i="5"/>
  <c r="U688" i="5"/>
  <c r="V688" i="5"/>
  <c r="T689" i="5"/>
  <c r="U689" i="5"/>
  <c r="V689" i="5"/>
  <c r="T690" i="5"/>
  <c r="U690" i="5"/>
  <c r="V690" i="5"/>
  <c r="T691" i="5"/>
  <c r="U691" i="5"/>
  <c r="V691" i="5"/>
  <c r="S692" i="5"/>
  <c r="T692" i="5"/>
  <c r="U692" i="5"/>
  <c r="V692" i="5"/>
  <c r="S693" i="5"/>
  <c r="T693" i="5"/>
  <c r="U693" i="5"/>
  <c r="V693" i="5"/>
  <c r="S694" i="5"/>
  <c r="T694" i="5"/>
  <c r="U694" i="5"/>
  <c r="V694" i="5"/>
  <c r="S695" i="5"/>
  <c r="T695" i="5"/>
  <c r="U695" i="5"/>
  <c r="V695" i="5"/>
  <c r="S696" i="5"/>
  <c r="T696" i="5"/>
  <c r="U696" i="5"/>
  <c r="V696" i="5"/>
  <c r="S697" i="5"/>
  <c r="T697" i="5"/>
  <c r="U697" i="5"/>
  <c r="V697" i="5"/>
  <c r="T698" i="5"/>
  <c r="U698" i="5"/>
  <c r="V698" i="5"/>
  <c r="T699" i="5"/>
  <c r="U699" i="5"/>
  <c r="V699" i="5"/>
  <c r="S700" i="5"/>
  <c r="T700" i="5"/>
  <c r="U700" i="5"/>
  <c r="V700" i="5"/>
  <c r="S701" i="5"/>
  <c r="T701" i="5"/>
  <c r="U701" i="5"/>
  <c r="V701" i="5"/>
  <c r="T702" i="5"/>
  <c r="U702" i="5"/>
  <c r="V702" i="5"/>
  <c r="T703" i="5"/>
  <c r="U703" i="5"/>
  <c r="V703" i="5"/>
  <c r="T704" i="5"/>
  <c r="U704" i="5"/>
  <c r="V704" i="5"/>
  <c r="T705" i="5"/>
  <c r="U705" i="5"/>
  <c r="V705" i="5"/>
  <c r="T706" i="5"/>
  <c r="U706" i="5"/>
  <c r="V706" i="5"/>
  <c r="T707" i="5"/>
  <c r="U707" i="5"/>
  <c r="V707" i="5"/>
  <c r="S708" i="5"/>
  <c r="T708" i="5"/>
  <c r="U708" i="5"/>
  <c r="V708" i="5"/>
  <c r="S709" i="5"/>
  <c r="T709" i="5"/>
  <c r="U709" i="5"/>
  <c r="V709" i="5"/>
  <c r="S710" i="5"/>
  <c r="T710" i="5"/>
  <c r="U710" i="5"/>
  <c r="V710" i="5"/>
  <c r="S711" i="5"/>
  <c r="T711" i="5"/>
  <c r="U711" i="5"/>
  <c r="V711" i="5"/>
  <c r="S712" i="5"/>
  <c r="T712" i="5"/>
  <c r="U712" i="5"/>
  <c r="V712" i="5"/>
  <c r="S713" i="5"/>
  <c r="T713" i="5"/>
  <c r="U713" i="5"/>
  <c r="V713" i="5"/>
  <c r="T714" i="5"/>
  <c r="U714" i="5"/>
  <c r="V714" i="5"/>
  <c r="T715" i="5"/>
  <c r="U715" i="5"/>
  <c r="V715" i="5"/>
  <c r="T716" i="5"/>
  <c r="U716" i="5"/>
  <c r="V716" i="5"/>
  <c r="T717" i="5"/>
  <c r="U717" i="5"/>
  <c r="V717" i="5"/>
  <c r="T718" i="5"/>
  <c r="U718" i="5"/>
  <c r="V718" i="5"/>
  <c r="S719" i="5"/>
  <c r="T719" i="5"/>
  <c r="U719" i="5"/>
  <c r="V719" i="5"/>
  <c r="T720" i="5"/>
  <c r="U720" i="5"/>
  <c r="V720" i="5"/>
  <c r="T721" i="5"/>
  <c r="U721" i="5"/>
  <c r="V721" i="5"/>
  <c r="T722" i="5"/>
  <c r="U722" i="5"/>
  <c r="V722" i="5"/>
  <c r="T723" i="5"/>
  <c r="U723" i="5"/>
  <c r="V723" i="5"/>
  <c r="S724" i="5"/>
  <c r="T724" i="5"/>
  <c r="U724" i="5"/>
  <c r="V724" i="5"/>
  <c r="S725" i="5"/>
  <c r="T725" i="5"/>
  <c r="U725" i="5"/>
  <c r="V725" i="5"/>
  <c r="S726" i="5"/>
  <c r="T726" i="5"/>
  <c r="U726" i="5"/>
  <c r="V726" i="5"/>
  <c r="S727" i="5"/>
  <c r="T727" i="5"/>
  <c r="U727" i="5"/>
  <c r="V727" i="5"/>
  <c r="S728" i="5"/>
  <c r="T728" i="5"/>
  <c r="U728" i="5"/>
  <c r="V728" i="5"/>
  <c r="S729" i="5"/>
  <c r="T729" i="5"/>
  <c r="U729" i="5"/>
  <c r="V729" i="5"/>
  <c r="T730" i="5"/>
  <c r="U730" i="5"/>
  <c r="V730" i="5"/>
  <c r="S731" i="5"/>
  <c r="T731" i="5"/>
  <c r="U731" i="5"/>
  <c r="V731" i="5"/>
  <c r="T732" i="5"/>
  <c r="U732" i="5"/>
  <c r="V732" i="5"/>
  <c r="T733" i="5"/>
  <c r="U733" i="5"/>
  <c r="V733" i="5"/>
  <c r="T734" i="5"/>
  <c r="U734" i="5"/>
  <c r="V734" i="5"/>
  <c r="T735" i="5"/>
  <c r="U735" i="5"/>
  <c r="V735" i="5"/>
  <c r="T736" i="5"/>
  <c r="U736" i="5"/>
  <c r="V736" i="5"/>
  <c r="T737" i="5"/>
  <c r="U737" i="5"/>
  <c r="V737" i="5"/>
  <c r="T738" i="5"/>
  <c r="U738" i="5"/>
  <c r="V738" i="5"/>
  <c r="T739" i="5"/>
  <c r="U739" i="5"/>
  <c r="V739" i="5"/>
  <c r="S740" i="5"/>
  <c r="T740" i="5"/>
  <c r="U740" i="5"/>
  <c r="V740" i="5"/>
  <c r="S741" i="5"/>
  <c r="T741" i="5"/>
  <c r="U741" i="5"/>
  <c r="V741" i="5"/>
  <c r="S742" i="5"/>
  <c r="T742" i="5"/>
  <c r="U742" i="5"/>
  <c r="V742" i="5"/>
  <c r="S743" i="5"/>
  <c r="T743" i="5"/>
  <c r="U743" i="5"/>
  <c r="V743" i="5"/>
  <c r="S744" i="5"/>
  <c r="T744" i="5"/>
  <c r="U744" i="5"/>
  <c r="V744" i="5"/>
  <c r="S745" i="5"/>
  <c r="T745" i="5"/>
  <c r="U745" i="5"/>
  <c r="V745" i="5"/>
  <c r="T746" i="5"/>
  <c r="U746" i="5"/>
  <c r="V746" i="5"/>
  <c r="S747" i="5"/>
  <c r="T747" i="5"/>
  <c r="U747" i="5"/>
  <c r="V747" i="5"/>
  <c r="T748" i="5"/>
  <c r="U748" i="5"/>
  <c r="V748" i="5"/>
  <c r="T749" i="5"/>
  <c r="U749" i="5"/>
  <c r="V749" i="5"/>
  <c r="T750" i="5"/>
  <c r="U750" i="5"/>
  <c r="V750" i="5"/>
  <c r="T751" i="5"/>
  <c r="U751" i="5"/>
  <c r="V751" i="5"/>
  <c r="T752" i="5"/>
  <c r="U752" i="5"/>
  <c r="V752" i="5"/>
  <c r="T753" i="5"/>
  <c r="U753" i="5"/>
  <c r="V753" i="5"/>
  <c r="T754" i="5"/>
  <c r="U754" i="5"/>
  <c r="V754" i="5"/>
  <c r="T755" i="5"/>
  <c r="U755" i="5"/>
  <c r="V755" i="5"/>
  <c r="S756" i="5"/>
  <c r="T756" i="5"/>
  <c r="U756" i="5"/>
  <c r="V756" i="5"/>
  <c r="S757" i="5"/>
  <c r="T757" i="5"/>
  <c r="U757" i="5"/>
  <c r="V757" i="5"/>
  <c r="S758" i="5"/>
  <c r="T758" i="5"/>
  <c r="U758" i="5"/>
  <c r="V758" i="5"/>
  <c r="S759" i="5"/>
  <c r="T759" i="5"/>
  <c r="U759" i="5"/>
  <c r="V759" i="5"/>
  <c r="S760" i="5"/>
  <c r="T760" i="5"/>
  <c r="U760" i="5"/>
  <c r="V760" i="5"/>
  <c r="S761" i="5"/>
  <c r="T761" i="5"/>
  <c r="U761" i="5"/>
  <c r="V761" i="5"/>
  <c r="T762" i="5"/>
  <c r="U762" i="5"/>
  <c r="V762" i="5"/>
  <c r="S763" i="5"/>
  <c r="T763" i="5"/>
  <c r="U763" i="5"/>
  <c r="V763" i="5"/>
  <c r="T764" i="5"/>
  <c r="U764" i="5"/>
  <c r="V764" i="5"/>
  <c r="T765" i="5"/>
  <c r="U765" i="5"/>
  <c r="V765" i="5"/>
  <c r="T766" i="5"/>
  <c r="U766" i="5"/>
  <c r="V766" i="5"/>
  <c r="T767" i="5"/>
  <c r="U767" i="5"/>
  <c r="V767" i="5"/>
  <c r="S768" i="5"/>
  <c r="T768" i="5"/>
  <c r="U768" i="5"/>
  <c r="V768" i="5"/>
  <c r="T769" i="5"/>
  <c r="U769" i="5"/>
  <c r="V769" i="5"/>
  <c r="T770" i="5"/>
  <c r="U770" i="5"/>
  <c r="V770" i="5"/>
  <c r="T771" i="5"/>
  <c r="U771" i="5"/>
  <c r="V771" i="5"/>
  <c r="S772" i="5"/>
  <c r="T772" i="5"/>
  <c r="U772" i="5"/>
  <c r="V772" i="5"/>
  <c r="S773" i="5"/>
  <c r="T773" i="5"/>
  <c r="U773" i="5"/>
  <c r="V773" i="5"/>
  <c r="S774" i="5"/>
  <c r="T774" i="5"/>
  <c r="U774" i="5"/>
  <c r="V774" i="5"/>
  <c r="S775" i="5"/>
  <c r="T775" i="5"/>
  <c r="U775" i="5"/>
  <c r="V775" i="5"/>
  <c r="S776" i="5"/>
  <c r="T776" i="5"/>
  <c r="U776" i="5"/>
  <c r="V776" i="5"/>
  <c r="S777" i="5"/>
  <c r="T777" i="5"/>
  <c r="U777" i="5"/>
  <c r="V777" i="5"/>
  <c r="T778" i="5"/>
  <c r="U778" i="5"/>
  <c r="V778" i="5"/>
  <c r="T779" i="5"/>
  <c r="U779" i="5"/>
  <c r="V779" i="5"/>
  <c r="S780" i="5"/>
  <c r="T780" i="5"/>
  <c r="U780" i="5"/>
  <c r="V780" i="5"/>
  <c r="S781" i="5"/>
  <c r="T781" i="5"/>
  <c r="U781" i="5"/>
  <c r="V781" i="5"/>
  <c r="T782" i="5"/>
  <c r="U782" i="5"/>
  <c r="V782" i="5"/>
  <c r="T783" i="5"/>
  <c r="U783" i="5"/>
  <c r="V783" i="5"/>
  <c r="T784" i="5"/>
  <c r="U784" i="5"/>
  <c r="V784" i="5"/>
  <c r="S785" i="5"/>
  <c r="T785" i="5"/>
  <c r="U785" i="5"/>
  <c r="V785" i="5"/>
  <c r="T786" i="5"/>
  <c r="U786" i="5"/>
  <c r="V786" i="5"/>
  <c r="T787" i="5"/>
  <c r="U787" i="5"/>
  <c r="V787" i="5"/>
  <c r="S788" i="5"/>
  <c r="T788" i="5"/>
  <c r="U788" i="5"/>
  <c r="V788" i="5"/>
  <c r="S789" i="5"/>
  <c r="T789" i="5"/>
  <c r="U789" i="5"/>
  <c r="V789" i="5"/>
  <c r="S790" i="5"/>
  <c r="T790" i="5"/>
  <c r="U790" i="5"/>
  <c r="V790" i="5"/>
  <c r="S791" i="5"/>
  <c r="T791" i="5"/>
  <c r="U791" i="5"/>
  <c r="V791" i="5"/>
  <c r="S792" i="5"/>
  <c r="T792" i="5"/>
  <c r="U792" i="5"/>
  <c r="V792" i="5"/>
  <c r="S793" i="5"/>
  <c r="T793" i="5"/>
  <c r="U793" i="5"/>
  <c r="V793" i="5"/>
  <c r="T794" i="5"/>
  <c r="U794" i="5"/>
  <c r="V794" i="5"/>
  <c r="T795" i="5"/>
  <c r="U795" i="5"/>
  <c r="V795" i="5"/>
  <c r="T796" i="5"/>
  <c r="U796" i="5"/>
  <c r="V796" i="5"/>
  <c r="T797" i="5"/>
  <c r="U797" i="5"/>
  <c r="V797" i="5"/>
  <c r="T798" i="5"/>
  <c r="U798" i="5"/>
  <c r="V798" i="5"/>
  <c r="T799" i="5"/>
  <c r="U799" i="5"/>
  <c r="V799" i="5"/>
  <c r="T800" i="5"/>
  <c r="U800" i="5"/>
  <c r="V800" i="5"/>
  <c r="T801" i="5"/>
  <c r="U801" i="5"/>
  <c r="V801" i="5"/>
  <c r="T802" i="5"/>
  <c r="U802" i="5"/>
  <c r="V802" i="5"/>
  <c r="T803" i="5"/>
  <c r="U803" i="5"/>
  <c r="V803" i="5"/>
  <c r="S804" i="5"/>
  <c r="T804" i="5"/>
  <c r="U804" i="5"/>
  <c r="V804" i="5"/>
  <c r="S805" i="5"/>
  <c r="T805" i="5"/>
  <c r="U805" i="5"/>
  <c r="V805" i="5"/>
  <c r="S806" i="5"/>
  <c r="T806" i="5"/>
  <c r="U806" i="5"/>
  <c r="V806" i="5"/>
  <c r="S807" i="5"/>
  <c r="T807" i="5"/>
  <c r="U807" i="5"/>
  <c r="V807" i="5"/>
  <c r="S808" i="5"/>
  <c r="T808" i="5"/>
  <c r="U808" i="5"/>
  <c r="V808" i="5"/>
  <c r="S809" i="5"/>
  <c r="T809" i="5"/>
  <c r="U809" i="5"/>
  <c r="V809" i="5"/>
  <c r="T810" i="5"/>
  <c r="U810" i="5"/>
  <c r="V810" i="5"/>
  <c r="S811" i="5"/>
  <c r="T811" i="5"/>
  <c r="U811" i="5"/>
  <c r="V811" i="5"/>
  <c r="T812" i="5"/>
  <c r="U812" i="5"/>
  <c r="V812" i="5"/>
  <c r="T813" i="5"/>
  <c r="U813" i="5"/>
  <c r="V813" i="5"/>
  <c r="T814" i="5"/>
  <c r="U814" i="5"/>
  <c r="V814" i="5"/>
  <c r="T815" i="5"/>
  <c r="U815" i="5"/>
  <c r="V815" i="5"/>
  <c r="T816" i="5"/>
  <c r="U816" i="5"/>
  <c r="V816" i="5"/>
  <c r="T817" i="5"/>
  <c r="U817" i="5"/>
  <c r="V817" i="5"/>
  <c r="T818" i="5"/>
  <c r="U818" i="5"/>
  <c r="V818" i="5"/>
  <c r="T819" i="5"/>
  <c r="U819" i="5"/>
  <c r="V819" i="5"/>
  <c r="S820" i="5"/>
  <c r="T820" i="5"/>
  <c r="U820" i="5"/>
  <c r="V820" i="5"/>
  <c r="S821" i="5"/>
  <c r="T821" i="5"/>
  <c r="U821" i="5"/>
  <c r="V821" i="5"/>
  <c r="S822" i="5"/>
  <c r="T822" i="5"/>
  <c r="U822" i="5"/>
  <c r="V822" i="5"/>
  <c r="S823" i="5"/>
  <c r="T823" i="5"/>
  <c r="U823" i="5"/>
  <c r="V823" i="5"/>
  <c r="S824" i="5"/>
  <c r="T824" i="5"/>
  <c r="U824" i="5"/>
  <c r="V824" i="5"/>
  <c r="S825" i="5"/>
  <c r="T825" i="5"/>
  <c r="U825" i="5"/>
  <c r="V825" i="5"/>
  <c r="T826" i="5"/>
  <c r="U826" i="5"/>
  <c r="V826" i="5"/>
  <c r="S827" i="5"/>
  <c r="T827" i="5"/>
  <c r="U827" i="5"/>
  <c r="V827" i="5"/>
  <c r="S828" i="5"/>
  <c r="T828" i="5"/>
  <c r="U828" i="5"/>
  <c r="V828" i="5"/>
  <c r="T829" i="5"/>
  <c r="U829" i="5"/>
  <c r="V829" i="5"/>
  <c r="T830" i="5"/>
  <c r="U830" i="5"/>
  <c r="V830" i="5"/>
  <c r="T831" i="5"/>
  <c r="U831" i="5"/>
  <c r="V831" i="5"/>
  <c r="T832" i="5"/>
  <c r="U832" i="5"/>
  <c r="V832" i="5"/>
  <c r="T833" i="5"/>
  <c r="U833" i="5"/>
  <c r="V833" i="5"/>
  <c r="T834" i="5"/>
  <c r="U834" i="5"/>
  <c r="V834" i="5"/>
  <c r="T835" i="5"/>
  <c r="U835" i="5"/>
  <c r="V835" i="5"/>
  <c r="S836" i="5"/>
  <c r="T836" i="5"/>
  <c r="U836" i="5"/>
  <c r="V836" i="5"/>
  <c r="S837" i="5"/>
  <c r="T837" i="5"/>
  <c r="U837" i="5"/>
  <c r="V837" i="5"/>
  <c r="S838" i="5"/>
  <c r="T838" i="5"/>
  <c r="U838" i="5"/>
  <c r="V838" i="5"/>
  <c r="S839" i="5"/>
  <c r="T839" i="5"/>
  <c r="U839" i="5"/>
  <c r="V839" i="5"/>
  <c r="S840" i="5"/>
  <c r="T840" i="5"/>
  <c r="U840" i="5"/>
  <c r="V840" i="5"/>
  <c r="S841" i="5"/>
  <c r="T841" i="5"/>
  <c r="U841" i="5"/>
  <c r="V841" i="5"/>
  <c r="T842" i="5"/>
  <c r="U842" i="5"/>
  <c r="V842" i="5"/>
  <c r="S843" i="5"/>
  <c r="T843" i="5"/>
  <c r="U843" i="5"/>
  <c r="V843" i="5"/>
  <c r="T844" i="5"/>
  <c r="U844" i="5"/>
  <c r="V844" i="5"/>
  <c r="T845" i="5"/>
  <c r="U845" i="5"/>
  <c r="V845" i="5"/>
  <c r="T846" i="5"/>
  <c r="U846" i="5"/>
  <c r="V846" i="5"/>
  <c r="S847" i="5"/>
  <c r="T847" i="5"/>
  <c r="U847" i="5"/>
  <c r="V847" i="5"/>
  <c r="T848" i="5"/>
  <c r="U848" i="5"/>
  <c r="V848" i="5"/>
  <c r="T849" i="5"/>
  <c r="U849" i="5"/>
  <c r="V849" i="5"/>
  <c r="T850" i="5"/>
  <c r="U850" i="5"/>
  <c r="V850" i="5"/>
  <c r="T851" i="5"/>
  <c r="U851" i="5"/>
  <c r="V851" i="5"/>
  <c r="S852" i="5"/>
  <c r="T852" i="5"/>
  <c r="U852" i="5"/>
  <c r="V852" i="5"/>
  <c r="S853" i="5"/>
  <c r="T853" i="5"/>
  <c r="U853" i="5"/>
  <c r="V853" i="5"/>
  <c r="S854" i="5"/>
  <c r="T854" i="5"/>
  <c r="U854" i="5"/>
  <c r="V854" i="5"/>
  <c r="S855" i="5"/>
  <c r="T855" i="5"/>
  <c r="U855" i="5"/>
  <c r="V855" i="5"/>
  <c r="S856" i="5"/>
  <c r="T856" i="5"/>
  <c r="U856" i="5"/>
  <c r="V856" i="5"/>
  <c r="S857" i="5"/>
  <c r="T857" i="5"/>
  <c r="U857" i="5"/>
  <c r="V857" i="5"/>
  <c r="T858" i="5"/>
  <c r="U858" i="5"/>
  <c r="V858" i="5"/>
  <c r="T859" i="5"/>
  <c r="U859" i="5"/>
  <c r="V859" i="5"/>
  <c r="S860" i="5"/>
  <c r="T860" i="5"/>
  <c r="U860" i="5"/>
  <c r="V860" i="5"/>
  <c r="T861" i="5"/>
  <c r="U861" i="5"/>
  <c r="V861" i="5"/>
  <c r="T862" i="5"/>
  <c r="U862" i="5"/>
  <c r="V862" i="5"/>
  <c r="T863" i="5"/>
  <c r="U863" i="5"/>
  <c r="V863" i="5"/>
  <c r="T864" i="5"/>
  <c r="U864" i="5"/>
  <c r="V864" i="5"/>
  <c r="S865" i="5"/>
  <c r="T865" i="5"/>
  <c r="U865" i="5"/>
  <c r="V865" i="5"/>
  <c r="T866" i="5"/>
  <c r="U866" i="5"/>
  <c r="V866" i="5"/>
  <c r="T867" i="5"/>
  <c r="U867" i="5"/>
  <c r="V867" i="5"/>
  <c r="S868" i="5"/>
  <c r="T868" i="5"/>
  <c r="U868" i="5"/>
  <c r="V868" i="5"/>
  <c r="S869" i="5"/>
  <c r="T869" i="5"/>
  <c r="U869" i="5"/>
  <c r="V869" i="5"/>
  <c r="S870" i="5"/>
  <c r="T870" i="5"/>
  <c r="U870" i="5"/>
  <c r="V870" i="5"/>
  <c r="S871" i="5"/>
  <c r="T871" i="5"/>
  <c r="U871" i="5"/>
  <c r="V871" i="5"/>
  <c r="S872" i="5"/>
  <c r="T872" i="5"/>
  <c r="U872" i="5"/>
  <c r="V872" i="5"/>
  <c r="S873" i="5"/>
  <c r="T873" i="5"/>
  <c r="U873" i="5"/>
  <c r="V873" i="5"/>
  <c r="T874" i="5"/>
  <c r="U874" i="5"/>
  <c r="V874" i="5"/>
  <c r="T875" i="5"/>
  <c r="U875" i="5"/>
  <c r="V875" i="5"/>
  <c r="T876" i="5"/>
  <c r="U876" i="5"/>
  <c r="V876" i="5"/>
  <c r="S877" i="5"/>
  <c r="T877" i="5"/>
  <c r="U877" i="5"/>
  <c r="V877" i="5"/>
  <c r="T878" i="5"/>
  <c r="U878" i="5"/>
  <c r="V878" i="5"/>
  <c r="T879" i="5"/>
  <c r="U879" i="5"/>
  <c r="V879" i="5"/>
  <c r="T880" i="5"/>
  <c r="U880" i="5"/>
  <c r="V880" i="5"/>
  <c r="T881" i="5"/>
  <c r="U881" i="5"/>
  <c r="V881" i="5"/>
  <c r="T882" i="5"/>
  <c r="U882" i="5"/>
  <c r="V882" i="5"/>
  <c r="T883" i="5"/>
  <c r="U883" i="5"/>
  <c r="V883" i="5"/>
  <c r="S884" i="5"/>
  <c r="T884" i="5"/>
  <c r="U884" i="5"/>
  <c r="V884" i="5"/>
  <c r="S885" i="5"/>
  <c r="T885" i="5"/>
  <c r="U885" i="5"/>
  <c r="V885" i="5"/>
  <c r="S886" i="5"/>
  <c r="T886" i="5"/>
  <c r="U886" i="5"/>
  <c r="V886" i="5"/>
  <c r="S887" i="5"/>
  <c r="T887" i="5"/>
  <c r="U887" i="5"/>
  <c r="V887" i="5"/>
  <c r="S888" i="5"/>
  <c r="T888" i="5"/>
  <c r="U888" i="5"/>
  <c r="V888" i="5"/>
  <c r="S889" i="5"/>
  <c r="T889" i="5"/>
  <c r="U889" i="5"/>
  <c r="V889" i="5"/>
  <c r="T890" i="5"/>
  <c r="U890" i="5"/>
  <c r="V890" i="5"/>
  <c r="S891" i="5"/>
  <c r="T891" i="5"/>
  <c r="U891" i="5"/>
  <c r="V891" i="5"/>
  <c r="T892" i="5"/>
  <c r="U892" i="5"/>
  <c r="V892" i="5"/>
  <c r="T893" i="5"/>
  <c r="U893" i="5"/>
  <c r="V893" i="5"/>
  <c r="T894" i="5"/>
  <c r="U894" i="5"/>
  <c r="V894" i="5"/>
  <c r="T895" i="5"/>
  <c r="U895" i="5"/>
  <c r="V895" i="5"/>
  <c r="T896" i="5"/>
  <c r="U896" i="5"/>
  <c r="V896" i="5"/>
  <c r="T897" i="5"/>
  <c r="U897" i="5"/>
  <c r="V897" i="5"/>
  <c r="T898" i="5"/>
  <c r="U898" i="5"/>
  <c r="V898" i="5"/>
  <c r="T899" i="5"/>
  <c r="U899" i="5"/>
  <c r="V899" i="5"/>
  <c r="S900" i="5"/>
  <c r="T900" i="5"/>
  <c r="U900" i="5"/>
  <c r="V900" i="5"/>
  <c r="S901" i="5"/>
  <c r="T901" i="5"/>
  <c r="U901" i="5"/>
  <c r="V901" i="5"/>
  <c r="S902" i="5"/>
  <c r="T902" i="5"/>
  <c r="U902" i="5"/>
  <c r="V902" i="5"/>
  <c r="S903" i="5"/>
  <c r="T903" i="5"/>
  <c r="U903" i="5"/>
  <c r="V903" i="5"/>
  <c r="S904" i="5"/>
  <c r="T904" i="5"/>
  <c r="U904" i="5"/>
  <c r="V904" i="5"/>
  <c r="S905" i="5"/>
  <c r="T905" i="5"/>
  <c r="U905" i="5"/>
  <c r="V905" i="5"/>
  <c r="T906" i="5"/>
  <c r="U906" i="5"/>
  <c r="V906" i="5"/>
  <c r="S907" i="5"/>
  <c r="T907" i="5"/>
  <c r="U907" i="5"/>
  <c r="V907" i="5"/>
  <c r="T908" i="5"/>
  <c r="U908" i="5"/>
  <c r="V908" i="5"/>
  <c r="T909" i="5"/>
  <c r="U909" i="5"/>
  <c r="V909" i="5"/>
  <c r="T910" i="5"/>
  <c r="U910" i="5"/>
  <c r="V910" i="5"/>
  <c r="T911" i="5"/>
  <c r="U911" i="5"/>
  <c r="V911" i="5"/>
  <c r="T912" i="5"/>
  <c r="U912" i="5"/>
  <c r="V912" i="5"/>
  <c r="T913" i="5"/>
  <c r="U913" i="5"/>
  <c r="V913" i="5"/>
  <c r="T914" i="5"/>
  <c r="U914" i="5"/>
  <c r="V914" i="5"/>
  <c r="T915" i="5"/>
  <c r="U915" i="5"/>
  <c r="V915" i="5"/>
  <c r="S916" i="5"/>
  <c r="T916" i="5"/>
  <c r="U916" i="5"/>
  <c r="V916" i="5"/>
  <c r="S917" i="5"/>
  <c r="T917" i="5"/>
  <c r="U917" i="5"/>
  <c r="V917" i="5"/>
  <c r="S918" i="5"/>
  <c r="T918" i="5"/>
  <c r="U918" i="5"/>
  <c r="V918" i="5"/>
  <c r="S919" i="5"/>
  <c r="T919" i="5"/>
  <c r="U919" i="5"/>
  <c r="V919" i="5"/>
  <c r="S920" i="5"/>
  <c r="T920" i="5"/>
  <c r="U920" i="5"/>
  <c r="V920" i="5"/>
  <c r="S921" i="5"/>
  <c r="T921" i="5"/>
  <c r="U921" i="5"/>
  <c r="V921" i="5"/>
  <c r="T922" i="5"/>
  <c r="U922" i="5"/>
  <c r="V922" i="5"/>
  <c r="S923" i="5"/>
  <c r="T923" i="5"/>
  <c r="U923" i="5"/>
  <c r="V923" i="5"/>
  <c r="T924" i="5"/>
  <c r="U924" i="5"/>
  <c r="V924" i="5"/>
  <c r="T925" i="5"/>
  <c r="U925" i="5"/>
  <c r="V925" i="5"/>
  <c r="T926" i="5"/>
  <c r="U926" i="5"/>
  <c r="V926" i="5"/>
  <c r="S927" i="5"/>
  <c r="T927" i="5"/>
  <c r="U927" i="5"/>
  <c r="V927" i="5"/>
  <c r="T928" i="5"/>
  <c r="U928" i="5"/>
  <c r="V928" i="5"/>
  <c r="T929" i="5"/>
  <c r="U929" i="5"/>
  <c r="V929" i="5"/>
  <c r="T930" i="5"/>
  <c r="U930" i="5"/>
  <c r="V930" i="5"/>
  <c r="T931" i="5"/>
  <c r="U931" i="5"/>
  <c r="V931" i="5"/>
  <c r="S932" i="5"/>
  <c r="T932" i="5"/>
  <c r="U932" i="5"/>
  <c r="V932" i="5"/>
  <c r="S933" i="5"/>
  <c r="T933" i="5"/>
  <c r="U933" i="5"/>
  <c r="V933" i="5"/>
  <c r="S934" i="5"/>
  <c r="T934" i="5"/>
  <c r="U934" i="5"/>
  <c r="V934" i="5"/>
  <c r="S935" i="5"/>
  <c r="T935" i="5"/>
  <c r="U935" i="5"/>
  <c r="V935" i="5"/>
  <c r="S936" i="5"/>
  <c r="T936" i="5"/>
  <c r="U936" i="5"/>
  <c r="V936" i="5"/>
  <c r="S937" i="5"/>
  <c r="T937" i="5"/>
  <c r="U937" i="5"/>
  <c r="V937" i="5"/>
  <c r="T938" i="5"/>
  <c r="U938" i="5"/>
  <c r="V938" i="5"/>
  <c r="T939" i="5"/>
  <c r="U939" i="5"/>
  <c r="V939" i="5"/>
  <c r="S940" i="5"/>
  <c r="T940" i="5"/>
  <c r="U940" i="5"/>
  <c r="V940" i="5"/>
  <c r="T941" i="5"/>
  <c r="U941" i="5"/>
  <c r="V941" i="5"/>
  <c r="T942" i="5"/>
  <c r="U942" i="5"/>
  <c r="V942" i="5"/>
  <c r="T943" i="5"/>
  <c r="U943" i="5"/>
  <c r="V943" i="5"/>
  <c r="S944" i="5"/>
  <c r="T944" i="5"/>
  <c r="U944" i="5"/>
  <c r="V944" i="5"/>
  <c r="T945" i="5"/>
  <c r="U945" i="5"/>
  <c r="V945" i="5"/>
  <c r="T946" i="5"/>
  <c r="U946" i="5"/>
  <c r="V946" i="5"/>
  <c r="T947" i="5"/>
  <c r="U947" i="5"/>
  <c r="V947" i="5"/>
  <c r="S948" i="5"/>
  <c r="T948" i="5"/>
  <c r="U948" i="5"/>
  <c r="V948" i="5"/>
  <c r="S949" i="5"/>
  <c r="T949" i="5"/>
  <c r="U949" i="5"/>
  <c r="V949" i="5"/>
  <c r="S950" i="5"/>
  <c r="T950" i="5"/>
  <c r="U950" i="5"/>
  <c r="V950" i="5"/>
  <c r="S951" i="5"/>
  <c r="T951" i="5"/>
  <c r="U951" i="5"/>
  <c r="V951" i="5"/>
  <c r="S952" i="5"/>
  <c r="T952" i="5"/>
  <c r="U952" i="5"/>
  <c r="V952" i="5"/>
  <c r="S953" i="5"/>
  <c r="T953" i="5"/>
  <c r="U953" i="5"/>
  <c r="V953" i="5"/>
  <c r="T954" i="5"/>
  <c r="U954" i="5"/>
  <c r="V954" i="5"/>
  <c r="T955" i="5"/>
  <c r="U955" i="5"/>
  <c r="V955" i="5"/>
  <c r="S956" i="5"/>
  <c r="T956" i="5"/>
  <c r="U956" i="5"/>
  <c r="V956" i="5"/>
  <c r="S957" i="5"/>
  <c r="T957" i="5"/>
  <c r="U957" i="5"/>
  <c r="V957" i="5"/>
  <c r="T958" i="5"/>
  <c r="U958" i="5"/>
  <c r="V958" i="5"/>
  <c r="T959" i="5"/>
  <c r="U959" i="5"/>
  <c r="V959" i="5"/>
  <c r="T960" i="5"/>
  <c r="U960" i="5"/>
  <c r="V960" i="5"/>
  <c r="T961" i="5"/>
  <c r="U961" i="5"/>
  <c r="V961" i="5"/>
  <c r="T962" i="5"/>
  <c r="U962" i="5"/>
  <c r="V962" i="5"/>
  <c r="T963" i="5"/>
  <c r="U963" i="5"/>
  <c r="V963" i="5"/>
  <c r="S964" i="5"/>
  <c r="T964" i="5"/>
  <c r="U964" i="5"/>
  <c r="V964" i="5"/>
  <c r="S965" i="5"/>
  <c r="T965" i="5"/>
  <c r="U965" i="5"/>
  <c r="V965" i="5"/>
  <c r="S966" i="5"/>
  <c r="T966" i="5"/>
  <c r="U966" i="5"/>
  <c r="V966" i="5"/>
  <c r="S967" i="5"/>
  <c r="T967" i="5"/>
  <c r="U967" i="5"/>
  <c r="V967" i="5"/>
  <c r="S968" i="5"/>
  <c r="T968" i="5"/>
  <c r="U968" i="5"/>
  <c r="V968" i="5"/>
  <c r="S969" i="5"/>
  <c r="T969" i="5"/>
  <c r="U969" i="5"/>
  <c r="V969" i="5"/>
  <c r="T970" i="5"/>
  <c r="U970" i="5"/>
  <c r="V970" i="5"/>
  <c r="T971" i="5"/>
  <c r="U971" i="5"/>
  <c r="V971" i="5"/>
  <c r="T972" i="5"/>
  <c r="U972" i="5"/>
  <c r="V972" i="5"/>
  <c r="T973" i="5"/>
  <c r="U973" i="5"/>
  <c r="V973" i="5"/>
  <c r="T974" i="5"/>
  <c r="U974" i="5"/>
  <c r="V974" i="5"/>
  <c r="S975" i="5"/>
  <c r="T975" i="5"/>
  <c r="U975" i="5"/>
  <c r="V975" i="5"/>
  <c r="T976" i="5"/>
  <c r="U976" i="5"/>
  <c r="V976" i="5"/>
  <c r="T977" i="5"/>
  <c r="U977" i="5"/>
  <c r="V977" i="5"/>
  <c r="T978" i="5"/>
  <c r="U978" i="5"/>
  <c r="V978" i="5"/>
  <c r="T979" i="5"/>
  <c r="U979" i="5"/>
  <c r="V979" i="5"/>
  <c r="S980" i="5"/>
  <c r="T980" i="5"/>
  <c r="U980" i="5"/>
  <c r="V980" i="5"/>
  <c r="S981" i="5"/>
  <c r="T981" i="5"/>
  <c r="U981" i="5"/>
  <c r="V981" i="5"/>
  <c r="S982" i="5"/>
  <c r="T982" i="5"/>
  <c r="U982" i="5"/>
  <c r="V982" i="5"/>
  <c r="S983" i="5"/>
  <c r="T983" i="5"/>
  <c r="U983" i="5"/>
  <c r="V983" i="5"/>
  <c r="S984" i="5"/>
  <c r="T984" i="5"/>
  <c r="U984" i="5"/>
  <c r="V984" i="5"/>
  <c r="S985" i="5"/>
  <c r="T985" i="5"/>
  <c r="U985" i="5"/>
  <c r="V985" i="5"/>
  <c r="T986" i="5"/>
  <c r="U986" i="5"/>
  <c r="V986" i="5"/>
  <c r="S987" i="5"/>
  <c r="T987" i="5"/>
  <c r="U987" i="5"/>
  <c r="V987" i="5"/>
  <c r="T988" i="5"/>
  <c r="U988" i="5"/>
  <c r="V988" i="5"/>
  <c r="T989" i="5"/>
  <c r="U989" i="5"/>
  <c r="V989" i="5"/>
  <c r="T990" i="5"/>
  <c r="U990" i="5"/>
  <c r="V990" i="5"/>
  <c r="T991" i="5"/>
  <c r="U991" i="5"/>
  <c r="V991" i="5"/>
  <c r="T992" i="5"/>
  <c r="U992" i="5"/>
  <c r="V992" i="5"/>
  <c r="T993" i="5"/>
  <c r="U993" i="5"/>
  <c r="V993" i="5"/>
  <c r="T994" i="5"/>
  <c r="U994" i="5"/>
  <c r="V994" i="5"/>
  <c r="T995" i="5"/>
  <c r="U995" i="5"/>
  <c r="V995" i="5"/>
  <c r="S996" i="5"/>
  <c r="T996" i="5"/>
  <c r="U996" i="5"/>
  <c r="V996" i="5"/>
  <c r="S997" i="5"/>
  <c r="T997" i="5"/>
  <c r="U997" i="5"/>
  <c r="V997" i="5"/>
  <c r="S998" i="5"/>
  <c r="T998" i="5"/>
  <c r="U998" i="5"/>
  <c r="V998" i="5"/>
  <c r="S999" i="5"/>
  <c r="T999" i="5"/>
  <c r="U999" i="5"/>
  <c r="V999" i="5"/>
  <c r="S1000" i="5"/>
  <c r="T1000" i="5"/>
  <c r="U1000" i="5"/>
  <c r="V1000" i="5"/>
  <c r="S1001" i="5"/>
  <c r="T1001" i="5"/>
  <c r="U1001" i="5"/>
  <c r="V1001" i="5"/>
  <c r="T1002" i="5"/>
  <c r="U1002" i="5"/>
  <c r="V1002" i="5"/>
  <c r="S1003" i="5"/>
  <c r="T1003" i="5"/>
  <c r="U1003" i="5"/>
  <c r="V1003" i="5"/>
  <c r="T1004" i="5"/>
  <c r="U1004" i="5"/>
  <c r="V1004" i="5"/>
  <c r="T1005" i="5"/>
  <c r="U1005" i="5"/>
  <c r="V1005" i="5"/>
  <c r="T1006" i="5"/>
  <c r="U1006" i="5"/>
  <c r="V1006" i="5"/>
  <c r="S1007" i="5"/>
  <c r="T1007" i="5"/>
  <c r="U1007" i="5"/>
  <c r="V1007" i="5"/>
  <c r="T1008" i="5"/>
  <c r="U1008" i="5"/>
  <c r="V1008" i="5"/>
  <c r="T1009" i="5"/>
  <c r="U1009" i="5"/>
  <c r="V1009" i="5"/>
  <c r="T1010" i="5"/>
  <c r="U1010" i="5"/>
  <c r="V1010" i="5"/>
  <c r="T1011" i="5"/>
  <c r="U1011" i="5"/>
  <c r="V1011" i="5"/>
  <c r="S1012" i="5"/>
  <c r="T1012" i="5"/>
  <c r="U1012" i="5"/>
  <c r="V1012" i="5"/>
  <c r="S1013" i="5"/>
  <c r="T1013" i="5"/>
  <c r="U1013" i="5"/>
  <c r="V1013" i="5"/>
  <c r="S1014" i="5"/>
  <c r="T1014" i="5"/>
  <c r="U1014" i="5"/>
  <c r="V1014" i="5"/>
  <c r="S1015" i="5"/>
  <c r="T1015" i="5"/>
  <c r="U1015" i="5"/>
  <c r="V1015" i="5"/>
  <c r="S1016" i="5"/>
  <c r="T1016" i="5"/>
  <c r="U1016" i="5"/>
  <c r="V1016" i="5"/>
  <c r="S1017" i="5"/>
  <c r="T1017" i="5"/>
  <c r="U1017" i="5"/>
  <c r="V1017" i="5"/>
  <c r="T1018" i="5"/>
  <c r="U1018" i="5"/>
  <c r="V1018" i="5"/>
  <c r="S1019" i="5"/>
  <c r="T1019" i="5"/>
  <c r="U1019" i="5"/>
  <c r="V1019" i="5"/>
  <c r="T1020" i="5"/>
  <c r="U1020" i="5"/>
  <c r="V1020" i="5"/>
  <c r="T1021" i="5"/>
  <c r="U1021" i="5"/>
  <c r="V1021" i="5"/>
  <c r="T1022" i="5"/>
  <c r="U1022" i="5"/>
  <c r="V1022" i="5"/>
  <c r="T1023" i="5"/>
  <c r="U1023" i="5"/>
  <c r="V1023" i="5"/>
  <c r="S1024" i="5"/>
  <c r="T1024" i="5"/>
  <c r="U1024" i="5"/>
  <c r="V1024" i="5"/>
  <c r="T1025" i="5"/>
  <c r="U1025" i="5"/>
  <c r="V1025" i="5"/>
  <c r="T1026" i="5"/>
  <c r="U1026" i="5"/>
  <c r="V1026" i="5"/>
  <c r="T1027" i="5"/>
  <c r="U1027" i="5"/>
  <c r="V1027" i="5"/>
  <c r="S1028" i="5"/>
  <c r="T1028" i="5"/>
  <c r="U1028" i="5"/>
  <c r="V1028" i="5"/>
  <c r="S1029" i="5"/>
  <c r="T1029" i="5"/>
  <c r="U1029" i="5"/>
  <c r="V1029" i="5"/>
  <c r="S1030" i="5"/>
  <c r="T1030" i="5"/>
  <c r="U1030" i="5"/>
  <c r="V1030" i="5"/>
  <c r="S1031" i="5"/>
  <c r="T1031" i="5"/>
  <c r="U1031" i="5"/>
  <c r="V1031" i="5"/>
  <c r="S1032" i="5"/>
  <c r="T1032" i="5"/>
  <c r="U1032" i="5"/>
  <c r="V1032" i="5"/>
  <c r="S1033" i="5"/>
  <c r="T1033" i="5"/>
  <c r="U1033" i="5"/>
  <c r="V1033" i="5"/>
  <c r="T1034" i="5"/>
  <c r="U1034" i="5"/>
  <c r="V1034" i="5"/>
  <c r="T1035" i="5"/>
  <c r="U1035" i="5"/>
  <c r="V1035" i="5"/>
  <c r="S1036" i="5"/>
  <c r="T1036" i="5"/>
  <c r="U1036" i="5"/>
  <c r="V1036" i="5"/>
  <c r="S1037" i="5"/>
  <c r="T1037" i="5"/>
  <c r="U1037" i="5"/>
  <c r="V1037" i="5"/>
  <c r="T1038" i="5"/>
  <c r="U1038" i="5"/>
  <c r="V1038" i="5"/>
  <c r="T1039" i="5"/>
  <c r="U1039" i="5"/>
  <c r="V1039" i="5"/>
  <c r="T1040" i="5"/>
  <c r="U1040" i="5"/>
  <c r="V1040" i="5"/>
  <c r="T1041" i="5"/>
  <c r="U1041" i="5"/>
  <c r="V1041" i="5"/>
  <c r="T1042" i="5"/>
  <c r="U1042" i="5"/>
  <c r="V1042" i="5"/>
  <c r="T1043" i="5"/>
  <c r="U1043" i="5"/>
  <c r="V1043" i="5"/>
  <c r="S1044" i="5"/>
  <c r="T1044" i="5"/>
  <c r="U1044" i="5"/>
  <c r="V1044" i="5"/>
  <c r="S1045" i="5"/>
  <c r="T1045" i="5"/>
  <c r="U1045" i="5"/>
  <c r="V1045" i="5"/>
  <c r="S1046" i="5"/>
  <c r="T1046" i="5"/>
  <c r="U1046" i="5"/>
  <c r="V1046" i="5"/>
  <c r="S1047" i="5"/>
  <c r="T1047" i="5"/>
  <c r="U1047" i="5"/>
  <c r="V1047" i="5"/>
  <c r="S1048" i="5"/>
  <c r="T1048" i="5"/>
  <c r="U1048" i="5"/>
  <c r="V1048" i="5"/>
  <c r="S1049" i="5"/>
  <c r="T1049" i="5"/>
  <c r="U1049" i="5"/>
  <c r="V1049" i="5"/>
  <c r="T1050" i="5"/>
  <c r="U1050" i="5"/>
  <c r="V1050" i="5"/>
  <c r="T1051" i="5"/>
  <c r="U1051" i="5"/>
  <c r="V1051" i="5"/>
  <c r="T1052" i="5"/>
  <c r="U1052" i="5"/>
  <c r="V1052" i="5"/>
  <c r="T1053" i="5"/>
  <c r="U1053" i="5"/>
  <c r="V1053" i="5"/>
  <c r="T1054" i="5"/>
  <c r="U1054" i="5"/>
  <c r="V1054" i="5"/>
  <c r="T1055" i="5"/>
  <c r="U1055" i="5"/>
  <c r="V1055" i="5"/>
  <c r="T1056" i="5"/>
  <c r="U1056" i="5"/>
  <c r="V1056" i="5"/>
  <c r="T1057" i="5"/>
  <c r="U1057" i="5"/>
  <c r="V1057" i="5"/>
  <c r="T1058" i="5"/>
  <c r="U1058" i="5"/>
  <c r="V1058" i="5"/>
  <c r="T1059" i="5"/>
  <c r="U1059" i="5"/>
  <c r="V1059" i="5"/>
  <c r="S1060" i="5"/>
  <c r="T1060" i="5"/>
  <c r="U1060" i="5"/>
  <c r="V1060" i="5"/>
  <c r="S1061" i="5"/>
  <c r="T1061" i="5"/>
  <c r="U1061" i="5"/>
  <c r="V1061" i="5"/>
  <c r="S1062" i="5"/>
  <c r="T1062" i="5"/>
  <c r="U1062" i="5"/>
  <c r="V1062" i="5"/>
  <c r="S1063" i="5"/>
  <c r="T1063" i="5"/>
  <c r="U1063" i="5"/>
  <c r="V1063" i="5"/>
  <c r="S1064" i="5"/>
  <c r="T1064" i="5"/>
  <c r="U1064" i="5"/>
  <c r="V1064" i="5"/>
  <c r="S1065" i="5"/>
  <c r="T1065" i="5"/>
  <c r="U1065" i="5"/>
  <c r="V1065" i="5"/>
  <c r="T1066" i="5"/>
  <c r="U1066" i="5"/>
  <c r="V1066" i="5"/>
  <c r="S1067" i="5"/>
  <c r="T1067" i="5"/>
  <c r="U1067" i="5"/>
  <c r="V1067" i="5"/>
  <c r="T1068" i="5"/>
  <c r="U1068" i="5"/>
  <c r="V1068" i="5"/>
  <c r="T1069" i="5"/>
  <c r="U1069" i="5"/>
  <c r="V1069" i="5"/>
  <c r="T1070" i="5"/>
  <c r="U1070" i="5"/>
  <c r="V1070" i="5"/>
  <c r="T1071" i="5"/>
  <c r="U1071" i="5"/>
  <c r="V1071" i="5"/>
  <c r="T1072" i="5"/>
  <c r="U1072" i="5"/>
  <c r="V1072" i="5"/>
  <c r="T1073" i="5"/>
  <c r="U1073" i="5"/>
  <c r="V1073" i="5"/>
  <c r="T1074" i="5"/>
  <c r="U1074" i="5"/>
  <c r="V1074" i="5"/>
  <c r="T1075" i="5"/>
  <c r="U1075" i="5"/>
  <c r="V1075" i="5"/>
  <c r="S1076" i="5"/>
  <c r="T1076" i="5"/>
  <c r="U1076" i="5"/>
  <c r="V1076" i="5"/>
  <c r="S1077" i="5"/>
  <c r="T1077" i="5"/>
  <c r="U1077" i="5"/>
  <c r="V1077" i="5"/>
  <c r="S1078" i="5"/>
  <c r="T1078" i="5"/>
  <c r="U1078" i="5"/>
  <c r="V1078" i="5"/>
  <c r="S1079" i="5"/>
  <c r="T1079" i="5"/>
  <c r="U1079" i="5"/>
  <c r="V1079" i="5"/>
  <c r="S1080" i="5"/>
  <c r="T1080" i="5"/>
  <c r="U1080" i="5"/>
  <c r="V1080" i="5"/>
  <c r="S1081" i="5"/>
  <c r="T1081" i="5"/>
  <c r="U1081" i="5"/>
  <c r="V1081" i="5"/>
  <c r="T1082" i="5"/>
  <c r="U1082" i="5"/>
  <c r="V1082" i="5"/>
  <c r="S1083" i="5"/>
  <c r="T1083" i="5"/>
  <c r="U1083" i="5"/>
  <c r="V1083" i="5"/>
  <c r="T1084" i="5"/>
  <c r="U1084" i="5"/>
  <c r="V1084" i="5"/>
  <c r="T1085" i="5"/>
  <c r="U1085" i="5"/>
  <c r="V1085" i="5"/>
  <c r="T1086" i="5"/>
  <c r="U1086" i="5"/>
  <c r="V1086" i="5"/>
  <c r="T1087" i="5"/>
  <c r="U1087" i="5"/>
  <c r="V1087" i="5"/>
  <c r="T1088" i="5"/>
  <c r="U1088" i="5"/>
  <c r="V1088" i="5"/>
  <c r="T1089" i="5"/>
  <c r="U1089" i="5"/>
  <c r="V1089" i="5"/>
  <c r="T1090" i="5"/>
  <c r="U1090" i="5"/>
  <c r="V1090" i="5"/>
  <c r="S1091" i="5"/>
  <c r="T1091" i="5"/>
  <c r="U1091" i="5"/>
  <c r="V1091" i="5"/>
  <c r="S1092" i="5"/>
  <c r="T1092" i="5"/>
  <c r="U1092" i="5"/>
  <c r="V1092" i="5"/>
  <c r="S1093" i="5"/>
  <c r="T1093" i="5"/>
  <c r="U1093" i="5"/>
  <c r="V1093" i="5"/>
  <c r="S1094" i="5"/>
  <c r="T1094" i="5"/>
  <c r="U1094" i="5"/>
  <c r="V1094" i="5"/>
  <c r="S1095" i="5"/>
  <c r="T1095" i="5"/>
  <c r="U1095" i="5"/>
  <c r="V1095" i="5"/>
  <c r="S1096" i="5"/>
  <c r="T1096" i="5"/>
  <c r="U1096" i="5"/>
  <c r="V1096" i="5"/>
  <c r="S1097" i="5"/>
  <c r="T1097" i="5"/>
  <c r="U1097" i="5"/>
  <c r="V1097" i="5"/>
  <c r="T1098" i="5"/>
  <c r="U1098" i="5"/>
  <c r="V1098" i="5"/>
  <c r="S1099" i="5"/>
  <c r="T1099" i="5"/>
  <c r="U1099" i="5"/>
  <c r="V1099" i="5"/>
  <c r="T1100" i="5"/>
  <c r="U1100" i="5"/>
  <c r="V1100" i="5"/>
  <c r="T1101" i="5"/>
  <c r="U1101" i="5"/>
  <c r="V1101" i="5"/>
  <c r="T1102" i="5"/>
  <c r="U1102" i="5"/>
  <c r="V1102" i="5"/>
  <c r="S1103" i="5"/>
  <c r="T1103" i="5"/>
  <c r="U1103" i="5"/>
  <c r="V1103" i="5"/>
  <c r="T1104" i="5"/>
  <c r="U1104" i="5"/>
  <c r="V1104" i="5"/>
  <c r="T1105" i="5"/>
  <c r="U1105" i="5"/>
  <c r="V1105" i="5"/>
  <c r="T1106" i="5"/>
  <c r="U1106" i="5"/>
  <c r="V1106" i="5"/>
  <c r="T1107" i="5"/>
  <c r="U1107" i="5"/>
  <c r="V1107" i="5"/>
  <c r="S1108" i="5"/>
  <c r="T1108" i="5"/>
  <c r="U1108" i="5"/>
  <c r="V1108" i="5"/>
  <c r="S1109" i="5"/>
  <c r="T1109" i="5"/>
  <c r="U1109" i="5"/>
  <c r="V1109" i="5"/>
  <c r="S1110" i="5"/>
  <c r="T1110" i="5"/>
  <c r="U1110" i="5"/>
  <c r="V1110" i="5"/>
  <c r="S1111" i="5"/>
  <c r="T1111" i="5"/>
  <c r="U1111" i="5"/>
  <c r="V1111" i="5"/>
  <c r="S1112" i="5"/>
  <c r="T1112" i="5"/>
  <c r="U1112" i="5"/>
  <c r="V1112" i="5"/>
  <c r="S1113" i="5"/>
  <c r="T1113" i="5"/>
  <c r="U1113" i="5"/>
  <c r="V1113" i="5"/>
  <c r="T1114" i="5"/>
  <c r="U1114" i="5"/>
  <c r="V1114" i="5"/>
  <c r="S1115" i="5"/>
  <c r="T1115" i="5"/>
  <c r="U1115" i="5"/>
  <c r="V1115" i="5"/>
  <c r="S1116" i="5"/>
  <c r="T1116" i="5"/>
  <c r="U1116" i="5"/>
  <c r="V1116" i="5"/>
  <c r="T1117" i="5"/>
  <c r="U1117" i="5"/>
  <c r="V1117" i="5"/>
  <c r="T1118" i="5"/>
  <c r="U1118" i="5"/>
  <c r="V1118" i="5"/>
  <c r="T1119" i="5"/>
  <c r="U1119" i="5"/>
  <c r="V1119" i="5"/>
  <c r="S1120" i="5"/>
  <c r="T1120" i="5"/>
  <c r="U1120" i="5"/>
  <c r="V1120" i="5"/>
  <c r="T1121" i="5"/>
  <c r="U1121" i="5"/>
  <c r="V1121" i="5"/>
  <c r="T1122" i="5"/>
  <c r="U1122" i="5"/>
  <c r="V1122" i="5"/>
  <c r="T1123" i="5"/>
  <c r="U1123" i="5"/>
  <c r="V1123" i="5"/>
  <c r="S1124" i="5"/>
  <c r="T1124" i="5"/>
  <c r="U1124" i="5"/>
  <c r="V1124" i="5"/>
  <c r="S1125" i="5"/>
  <c r="T1125" i="5"/>
  <c r="U1125" i="5"/>
  <c r="V1125" i="5"/>
  <c r="S1126" i="5"/>
  <c r="T1126" i="5"/>
  <c r="U1126" i="5"/>
  <c r="V1126" i="5"/>
  <c r="S1127" i="5"/>
  <c r="T1127" i="5"/>
  <c r="U1127" i="5"/>
  <c r="V1127" i="5"/>
  <c r="S1128" i="5"/>
  <c r="T1128" i="5"/>
  <c r="U1128" i="5"/>
  <c r="V1128" i="5"/>
  <c r="S1129" i="5"/>
  <c r="T1129" i="5"/>
  <c r="U1129" i="5"/>
  <c r="V1129" i="5"/>
  <c r="T1130" i="5"/>
  <c r="U1130" i="5"/>
  <c r="V1130" i="5"/>
  <c r="S1131" i="5"/>
  <c r="T1131" i="5"/>
  <c r="U1131" i="5"/>
  <c r="V1131" i="5"/>
  <c r="S1132" i="5"/>
  <c r="T1132" i="5"/>
  <c r="U1132" i="5"/>
  <c r="V1132" i="5"/>
  <c r="S1133" i="5"/>
  <c r="T1133" i="5"/>
  <c r="U1133" i="5"/>
  <c r="V1133" i="5"/>
  <c r="T1134" i="5"/>
  <c r="U1134" i="5"/>
  <c r="V1134" i="5"/>
  <c r="T1135" i="5"/>
  <c r="U1135" i="5"/>
  <c r="V1135" i="5"/>
  <c r="T1136" i="5"/>
  <c r="U1136" i="5"/>
  <c r="V1136" i="5"/>
  <c r="S1137" i="5"/>
  <c r="T1137" i="5"/>
  <c r="U1137" i="5"/>
  <c r="V1137" i="5"/>
  <c r="T1138" i="5"/>
  <c r="U1138" i="5"/>
  <c r="V1138" i="5"/>
  <c r="T1139" i="5"/>
  <c r="U1139" i="5"/>
  <c r="V1139" i="5"/>
  <c r="S1140" i="5"/>
  <c r="T1140" i="5"/>
  <c r="U1140" i="5"/>
  <c r="V1140" i="5"/>
  <c r="S1141" i="5"/>
  <c r="T1141" i="5"/>
  <c r="U1141" i="5"/>
  <c r="V1141" i="5"/>
  <c r="S1142" i="5"/>
  <c r="T1142" i="5"/>
  <c r="U1142" i="5"/>
  <c r="V1142" i="5"/>
  <c r="S1143" i="5"/>
  <c r="T1143" i="5"/>
  <c r="U1143" i="5"/>
  <c r="V1143" i="5"/>
  <c r="S1144" i="5"/>
  <c r="T1144" i="5"/>
  <c r="U1144" i="5"/>
  <c r="V1144" i="5"/>
  <c r="S1145" i="5"/>
  <c r="T1145" i="5"/>
  <c r="U1145" i="5"/>
  <c r="V1145" i="5"/>
  <c r="T1146" i="5"/>
  <c r="U1146" i="5"/>
  <c r="V1146" i="5"/>
  <c r="S1147" i="5"/>
  <c r="T1147" i="5"/>
  <c r="U1147" i="5"/>
  <c r="V1147" i="5"/>
  <c r="T1148" i="5"/>
  <c r="U1148" i="5"/>
  <c r="V1148" i="5"/>
  <c r="S1149" i="5"/>
  <c r="T1149" i="5"/>
  <c r="U1149" i="5"/>
  <c r="V1149" i="5"/>
  <c r="T1150" i="5"/>
  <c r="U1150" i="5"/>
  <c r="V1150" i="5"/>
  <c r="T1151" i="5"/>
  <c r="U1151" i="5"/>
  <c r="V1151" i="5"/>
  <c r="T1152" i="5"/>
  <c r="U1152" i="5"/>
  <c r="V1152" i="5"/>
  <c r="T1153" i="5"/>
  <c r="U1153" i="5"/>
  <c r="V1153" i="5"/>
  <c r="T1154" i="5"/>
  <c r="U1154" i="5"/>
  <c r="V1154" i="5"/>
  <c r="T1155" i="5"/>
  <c r="U1155" i="5"/>
  <c r="V1155" i="5"/>
  <c r="S1156" i="5"/>
  <c r="T1156" i="5"/>
  <c r="U1156" i="5"/>
  <c r="V1156" i="5"/>
  <c r="S1157" i="5"/>
  <c r="T1157" i="5"/>
  <c r="U1157" i="5"/>
  <c r="V1157" i="5"/>
  <c r="S1158" i="5"/>
  <c r="T1158" i="5"/>
  <c r="U1158" i="5"/>
  <c r="V1158" i="5"/>
  <c r="S1159" i="5"/>
  <c r="T1159" i="5"/>
  <c r="U1159" i="5"/>
  <c r="V1159" i="5"/>
  <c r="S1160" i="5"/>
  <c r="T1160" i="5"/>
  <c r="U1160" i="5"/>
  <c r="V1160" i="5"/>
  <c r="S1161" i="5"/>
  <c r="T1161" i="5"/>
  <c r="U1161" i="5"/>
  <c r="V1161" i="5"/>
  <c r="T1162" i="5"/>
  <c r="U1162" i="5"/>
  <c r="V1162" i="5"/>
  <c r="S1163" i="5"/>
  <c r="T1163" i="5"/>
  <c r="U1163" i="5"/>
  <c r="V1163" i="5"/>
  <c r="T1164" i="5"/>
  <c r="U1164" i="5"/>
  <c r="V1164" i="5"/>
  <c r="T1165" i="5"/>
  <c r="U1165" i="5"/>
  <c r="V1165" i="5"/>
  <c r="T1166" i="5"/>
  <c r="U1166" i="5"/>
  <c r="V1166" i="5"/>
  <c r="S1167" i="5"/>
  <c r="T1167" i="5"/>
  <c r="U1167" i="5"/>
  <c r="V1167" i="5"/>
  <c r="T1168" i="5"/>
  <c r="U1168" i="5"/>
  <c r="V1168" i="5"/>
  <c r="T1169" i="5"/>
  <c r="U1169" i="5"/>
  <c r="V1169" i="5"/>
  <c r="T1170" i="5"/>
  <c r="U1170" i="5"/>
  <c r="V1170" i="5"/>
  <c r="T1171" i="5"/>
  <c r="U1171" i="5"/>
  <c r="V1171" i="5"/>
  <c r="S1172" i="5"/>
  <c r="T1172" i="5"/>
  <c r="U1172" i="5"/>
  <c r="V1172" i="5"/>
  <c r="S1173" i="5"/>
  <c r="T1173" i="5"/>
  <c r="U1173" i="5"/>
  <c r="V1173" i="5"/>
  <c r="S1174" i="5"/>
  <c r="T1174" i="5"/>
  <c r="U1174" i="5"/>
  <c r="V1174" i="5"/>
  <c r="S1175" i="5"/>
  <c r="T1175" i="5"/>
  <c r="U1175" i="5"/>
  <c r="V1175" i="5"/>
  <c r="S1176" i="5"/>
  <c r="T1176" i="5"/>
  <c r="U1176" i="5"/>
  <c r="V1176" i="5"/>
  <c r="S1177" i="5"/>
  <c r="T1177" i="5"/>
  <c r="U1177" i="5"/>
  <c r="V1177" i="5"/>
  <c r="T1178" i="5"/>
  <c r="U1178" i="5"/>
  <c r="V1178" i="5"/>
  <c r="S1179" i="5"/>
  <c r="T1179" i="5"/>
  <c r="U1179" i="5"/>
  <c r="V1179" i="5"/>
  <c r="T1180" i="5"/>
  <c r="U1180" i="5"/>
  <c r="V1180" i="5"/>
  <c r="T1181" i="5"/>
  <c r="U1181" i="5"/>
  <c r="V1181" i="5"/>
  <c r="T1182" i="5"/>
  <c r="U1182" i="5"/>
  <c r="V1182" i="5"/>
  <c r="S1183" i="5"/>
  <c r="T1183" i="5"/>
  <c r="U1183" i="5"/>
  <c r="V1183" i="5"/>
  <c r="T1184" i="5"/>
  <c r="U1184" i="5"/>
  <c r="V1184" i="5"/>
  <c r="T1185" i="5"/>
  <c r="U1185" i="5"/>
  <c r="V1185" i="5"/>
  <c r="T1186" i="5"/>
  <c r="U1186" i="5"/>
  <c r="V1186" i="5"/>
  <c r="T1187" i="5"/>
  <c r="U1187" i="5"/>
  <c r="V1187" i="5"/>
  <c r="S1188" i="5"/>
  <c r="T1188" i="5"/>
  <c r="U1188" i="5"/>
  <c r="V1188" i="5"/>
  <c r="S1189" i="5"/>
  <c r="T1189" i="5"/>
  <c r="U1189" i="5"/>
  <c r="V1189" i="5"/>
  <c r="S1190" i="5"/>
  <c r="T1190" i="5"/>
  <c r="U1190" i="5"/>
  <c r="V1190" i="5"/>
  <c r="S1191" i="5"/>
  <c r="T1191" i="5"/>
  <c r="U1191" i="5"/>
  <c r="V1191" i="5"/>
  <c r="S1192" i="5"/>
  <c r="T1192" i="5"/>
  <c r="U1192" i="5"/>
  <c r="V1192" i="5"/>
  <c r="S1193" i="5"/>
  <c r="T1193" i="5"/>
  <c r="U1193" i="5"/>
  <c r="V1193" i="5"/>
  <c r="T1194" i="5"/>
  <c r="U1194" i="5"/>
  <c r="V1194" i="5"/>
  <c r="S1195" i="5"/>
  <c r="T1195" i="5"/>
  <c r="U1195" i="5"/>
  <c r="V1195" i="5"/>
  <c r="S1196" i="5"/>
  <c r="T1196" i="5"/>
  <c r="U1196" i="5"/>
  <c r="V1196" i="5"/>
  <c r="T1197" i="5"/>
  <c r="U1197" i="5"/>
  <c r="V1197" i="5"/>
  <c r="T1198" i="5"/>
  <c r="U1198" i="5"/>
  <c r="V1198" i="5"/>
  <c r="T1199" i="5"/>
  <c r="U1199" i="5"/>
  <c r="V1199" i="5"/>
  <c r="S1200" i="5"/>
  <c r="T1200" i="5"/>
  <c r="U1200" i="5"/>
  <c r="V1200" i="5"/>
  <c r="T1201" i="5"/>
  <c r="U1201" i="5"/>
  <c r="V1201" i="5"/>
  <c r="T1202" i="5"/>
  <c r="U1202" i="5"/>
  <c r="V1202" i="5"/>
  <c r="T1203" i="5"/>
  <c r="U1203" i="5"/>
  <c r="V1203" i="5"/>
  <c r="S1204" i="5"/>
  <c r="T1204" i="5"/>
  <c r="U1204" i="5"/>
  <c r="V1204" i="5"/>
  <c r="S1205" i="5"/>
  <c r="T1205" i="5"/>
  <c r="U1205" i="5"/>
  <c r="V1205" i="5"/>
  <c r="S1206" i="5"/>
  <c r="T1206" i="5"/>
  <c r="U1206" i="5"/>
  <c r="V1206" i="5"/>
  <c r="S1207" i="5"/>
  <c r="T1207" i="5"/>
  <c r="U1207" i="5"/>
  <c r="V1207" i="5"/>
  <c r="S1208" i="5"/>
  <c r="T1208" i="5"/>
  <c r="U1208" i="5"/>
  <c r="V1208" i="5"/>
  <c r="S1209" i="5"/>
  <c r="T1209" i="5"/>
  <c r="U1209" i="5"/>
  <c r="V1209" i="5"/>
  <c r="T1210" i="5"/>
  <c r="U1210" i="5"/>
  <c r="V1210" i="5"/>
  <c r="S1211" i="5"/>
  <c r="T1211" i="5"/>
  <c r="U1211" i="5"/>
  <c r="V1211" i="5"/>
  <c r="S1212" i="5"/>
  <c r="T1212" i="5"/>
  <c r="U1212" i="5"/>
  <c r="V1212" i="5"/>
  <c r="S1213" i="5"/>
  <c r="T1213" i="5"/>
  <c r="U1213" i="5"/>
  <c r="V1213" i="5"/>
  <c r="T1214" i="5"/>
  <c r="U1214" i="5"/>
  <c r="V1214" i="5"/>
  <c r="T1215" i="5"/>
  <c r="U1215" i="5"/>
  <c r="V1215" i="5"/>
  <c r="T1216" i="5"/>
  <c r="U1216" i="5"/>
  <c r="V1216" i="5"/>
  <c r="S1217" i="5"/>
  <c r="T1217" i="5"/>
  <c r="U1217" i="5"/>
  <c r="V1217" i="5"/>
  <c r="T1218" i="5"/>
  <c r="U1218" i="5"/>
  <c r="V1218" i="5"/>
  <c r="T1219" i="5"/>
  <c r="U1219" i="5"/>
  <c r="V1219" i="5"/>
  <c r="S1220" i="5"/>
  <c r="T1220" i="5"/>
  <c r="U1220" i="5"/>
  <c r="V1220" i="5"/>
  <c r="S1221" i="5"/>
  <c r="T1221" i="5"/>
  <c r="U1221" i="5"/>
  <c r="V1221" i="5"/>
  <c r="S1222" i="5"/>
  <c r="T1222" i="5"/>
  <c r="U1222" i="5"/>
  <c r="V1222" i="5"/>
  <c r="S1223" i="5"/>
  <c r="T1223" i="5"/>
  <c r="U1223" i="5"/>
  <c r="V1223" i="5"/>
  <c r="S1224" i="5"/>
  <c r="T1224" i="5"/>
  <c r="U1224" i="5"/>
  <c r="V1224" i="5"/>
  <c r="S1225" i="5"/>
  <c r="T1225" i="5"/>
  <c r="U1225" i="5"/>
  <c r="V1225" i="5"/>
  <c r="T1226" i="5"/>
  <c r="U1226" i="5"/>
  <c r="V1226" i="5"/>
  <c r="S1227" i="5"/>
  <c r="T1227" i="5"/>
  <c r="U1227" i="5"/>
  <c r="V1227" i="5"/>
  <c r="S1228" i="5"/>
  <c r="T1228" i="5"/>
  <c r="U1228" i="5"/>
  <c r="V1228" i="5"/>
  <c r="S1229" i="5"/>
  <c r="T1229" i="5"/>
  <c r="U1229" i="5"/>
  <c r="V1229" i="5"/>
  <c r="T1230" i="5"/>
  <c r="U1230" i="5"/>
  <c r="V1230" i="5"/>
  <c r="T1231" i="5"/>
  <c r="U1231" i="5"/>
  <c r="V1231" i="5"/>
  <c r="T1232" i="5"/>
  <c r="U1232" i="5"/>
  <c r="V1232" i="5"/>
  <c r="T1233" i="5"/>
  <c r="U1233" i="5"/>
  <c r="V1233" i="5"/>
  <c r="T1234" i="5"/>
  <c r="U1234" i="5"/>
  <c r="V1234" i="5"/>
  <c r="T1235" i="5"/>
  <c r="U1235" i="5"/>
  <c r="V1235" i="5"/>
  <c r="S1236" i="5"/>
  <c r="T1236" i="5"/>
  <c r="U1236" i="5"/>
  <c r="V1236" i="5"/>
  <c r="S1237" i="5"/>
  <c r="T1237" i="5"/>
  <c r="U1237" i="5"/>
  <c r="V1237" i="5"/>
  <c r="S1238" i="5"/>
  <c r="T1238" i="5"/>
  <c r="U1238" i="5"/>
  <c r="V1238" i="5"/>
  <c r="S1239" i="5"/>
  <c r="T1239" i="5"/>
  <c r="U1239" i="5"/>
  <c r="V1239" i="5"/>
  <c r="S1240" i="5"/>
  <c r="T1240" i="5"/>
  <c r="U1240" i="5"/>
  <c r="V1240" i="5"/>
  <c r="S1241" i="5"/>
  <c r="T1241" i="5"/>
  <c r="U1241" i="5"/>
  <c r="V1241" i="5"/>
  <c r="T1242" i="5"/>
  <c r="U1242" i="5"/>
  <c r="V1242" i="5"/>
  <c r="S1243" i="5"/>
  <c r="T1243" i="5"/>
  <c r="U1243" i="5"/>
  <c r="V1243" i="5"/>
  <c r="T1244" i="5"/>
  <c r="U1244" i="5"/>
  <c r="V1244" i="5"/>
  <c r="S1245" i="5"/>
  <c r="T1245" i="5"/>
  <c r="U1245" i="5"/>
  <c r="V1245" i="5"/>
  <c r="T1246" i="5"/>
  <c r="U1246" i="5"/>
  <c r="V1246" i="5"/>
  <c r="T1247" i="5"/>
  <c r="U1247" i="5"/>
  <c r="V1247" i="5"/>
  <c r="T1248" i="5"/>
  <c r="U1248" i="5"/>
  <c r="V1248" i="5"/>
  <c r="T1249" i="5"/>
  <c r="U1249" i="5"/>
  <c r="V1249" i="5"/>
  <c r="T1250" i="5"/>
  <c r="U1250" i="5"/>
  <c r="V1250" i="5"/>
  <c r="S1251" i="5"/>
  <c r="T1251" i="5"/>
  <c r="U1251" i="5"/>
  <c r="V1251" i="5"/>
  <c r="S1252" i="5"/>
  <c r="T1252" i="5"/>
  <c r="U1252" i="5"/>
  <c r="V1252" i="5"/>
  <c r="S1253" i="5"/>
  <c r="T1253" i="5"/>
  <c r="U1253" i="5"/>
  <c r="V1253" i="5"/>
  <c r="S1254" i="5"/>
  <c r="T1254" i="5"/>
  <c r="U1254" i="5"/>
  <c r="V1254" i="5"/>
  <c r="S1255" i="5"/>
  <c r="T1255" i="5"/>
  <c r="U1255" i="5"/>
  <c r="V1255" i="5"/>
  <c r="S1256" i="5"/>
  <c r="T1256" i="5"/>
  <c r="U1256" i="5"/>
  <c r="V1256" i="5"/>
  <c r="S1257" i="5"/>
  <c r="T1257" i="5"/>
  <c r="U1257" i="5"/>
  <c r="V1257" i="5"/>
  <c r="T1258" i="5"/>
  <c r="U1258" i="5"/>
  <c r="V1258" i="5"/>
  <c r="S1259" i="5"/>
  <c r="T1259" i="5"/>
  <c r="U1259" i="5"/>
  <c r="V1259" i="5"/>
  <c r="T1260" i="5"/>
  <c r="U1260" i="5"/>
  <c r="V1260" i="5"/>
  <c r="T1261" i="5"/>
  <c r="U1261" i="5"/>
  <c r="V1261" i="5"/>
  <c r="T1262" i="5"/>
  <c r="U1262" i="5"/>
  <c r="V1262" i="5"/>
  <c r="S1263" i="5"/>
  <c r="T1263" i="5"/>
  <c r="U1263" i="5"/>
  <c r="V1263" i="5"/>
  <c r="T1264" i="5"/>
  <c r="U1264" i="5"/>
  <c r="V1264" i="5"/>
  <c r="T1265" i="5"/>
  <c r="U1265" i="5"/>
  <c r="V1265" i="5"/>
  <c r="T1266" i="5"/>
  <c r="U1266" i="5"/>
  <c r="V1266" i="5"/>
  <c r="T1267" i="5"/>
  <c r="U1267" i="5"/>
  <c r="V1267" i="5"/>
  <c r="S1268" i="5"/>
  <c r="T1268" i="5"/>
  <c r="U1268" i="5"/>
  <c r="V1268" i="5"/>
  <c r="S1269" i="5"/>
  <c r="T1269" i="5"/>
  <c r="U1269" i="5"/>
  <c r="V1269" i="5"/>
  <c r="S1270" i="5"/>
  <c r="T1270" i="5"/>
  <c r="U1270" i="5"/>
  <c r="V1270" i="5"/>
  <c r="S1271" i="5"/>
  <c r="T1271" i="5"/>
  <c r="U1271" i="5"/>
  <c r="V1271" i="5"/>
  <c r="S1272" i="5"/>
  <c r="T1272" i="5"/>
  <c r="U1272" i="5"/>
  <c r="V1272" i="5"/>
  <c r="S1273" i="5"/>
  <c r="T1273" i="5"/>
  <c r="U1273" i="5"/>
  <c r="V1273" i="5"/>
  <c r="T1274" i="5"/>
  <c r="U1274" i="5"/>
  <c r="V1274" i="5"/>
  <c r="S1275" i="5"/>
  <c r="T1275" i="5"/>
  <c r="U1275" i="5"/>
  <c r="V1275" i="5"/>
  <c r="S1276" i="5"/>
  <c r="T1276" i="5"/>
  <c r="U1276" i="5"/>
  <c r="V1276" i="5"/>
  <c r="T1277" i="5"/>
  <c r="U1277" i="5"/>
  <c r="V1277" i="5"/>
  <c r="T1278" i="5"/>
  <c r="U1278" i="5"/>
  <c r="V1278" i="5"/>
  <c r="T1279" i="5"/>
  <c r="U1279" i="5"/>
  <c r="V1279" i="5"/>
  <c r="S1280" i="5"/>
  <c r="T1280" i="5"/>
  <c r="U1280" i="5"/>
  <c r="V1280" i="5"/>
  <c r="T1281" i="5"/>
  <c r="U1281" i="5"/>
  <c r="V1281" i="5"/>
  <c r="T1282" i="5"/>
  <c r="U1282" i="5"/>
  <c r="V1282" i="5"/>
  <c r="T1283" i="5"/>
  <c r="U1283" i="5"/>
  <c r="V1283" i="5"/>
  <c r="S1284" i="5"/>
  <c r="T1284" i="5"/>
  <c r="U1284" i="5"/>
  <c r="V1284" i="5"/>
  <c r="S1285" i="5"/>
  <c r="T1285" i="5"/>
  <c r="U1285" i="5"/>
  <c r="V1285" i="5"/>
  <c r="S1286" i="5"/>
  <c r="T1286" i="5"/>
  <c r="U1286" i="5"/>
  <c r="V1286" i="5"/>
  <c r="S1287" i="5"/>
  <c r="T1287" i="5"/>
  <c r="U1287" i="5"/>
  <c r="V1287" i="5"/>
  <c r="S1288" i="5"/>
  <c r="T1288" i="5"/>
  <c r="U1288" i="5"/>
  <c r="V1288" i="5"/>
  <c r="S1289" i="5"/>
  <c r="T1289" i="5"/>
  <c r="U1289" i="5"/>
  <c r="V1289" i="5"/>
  <c r="T1290" i="5"/>
  <c r="U1290" i="5"/>
  <c r="V1290" i="5"/>
  <c r="S1291" i="5"/>
  <c r="T1291" i="5"/>
  <c r="U1291" i="5"/>
  <c r="V1291" i="5"/>
  <c r="S1292" i="5"/>
  <c r="T1292" i="5"/>
  <c r="U1292" i="5"/>
  <c r="V1292" i="5"/>
  <c r="T1293" i="5"/>
  <c r="U1293" i="5"/>
  <c r="V1293" i="5"/>
  <c r="T1294" i="5"/>
  <c r="U1294" i="5"/>
  <c r="V1294" i="5"/>
  <c r="T1295" i="5"/>
  <c r="U1295" i="5"/>
  <c r="V1295" i="5"/>
  <c r="T1296" i="5"/>
  <c r="U1296" i="5"/>
  <c r="V1296" i="5"/>
  <c r="S1297" i="5"/>
  <c r="T1297" i="5"/>
  <c r="U1297" i="5"/>
  <c r="V1297" i="5"/>
  <c r="T1298" i="5"/>
  <c r="U1298" i="5"/>
  <c r="V1298" i="5"/>
  <c r="T1299" i="5"/>
  <c r="U1299" i="5"/>
  <c r="V1299" i="5"/>
  <c r="S1300" i="5"/>
  <c r="T1300" i="5"/>
  <c r="U1300" i="5"/>
  <c r="V1300" i="5"/>
  <c r="S1301" i="5"/>
  <c r="T1301" i="5"/>
  <c r="U1301" i="5"/>
  <c r="V1301" i="5"/>
  <c r="S1302" i="5"/>
  <c r="T1302" i="5"/>
  <c r="U1302" i="5"/>
  <c r="V1302" i="5"/>
  <c r="S1303" i="5"/>
  <c r="T1303" i="5"/>
  <c r="U1303" i="5"/>
  <c r="V1303" i="5"/>
  <c r="S1304" i="5"/>
  <c r="T1304" i="5"/>
  <c r="U1304" i="5"/>
  <c r="V1304" i="5"/>
  <c r="S1305" i="5"/>
  <c r="T1305" i="5"/>
  <c r="U1305" i="5"/>
  <c r="V1305" i="5"/>
  <c r="T1306" i="5"/>
  <c r="U1306" i="5"/>
  <c r="V1306" i="5"/>
  <c r="S1307" i="5"/>
  <c r="T1307" i="5"/>
  <c r="U1307" i="5"/>
  <c r="V1307" i="5"/>
  <c r="S1308" i="5"/>
  <c r="T1308" i="5"/>
  <c r="U1308" i="5"/>
  <c r="V1308" i="5"/>
  <c r="S1309" i="5"/>
  <c r="T1309" i="5"/>
  <c r="U1309" i="5"/>
  <c r="V1309" i="5"/>
  <c r="T1310" i="5"/>
  <c r="U1310" i="5"/>
  <c r="V1310" i="5"/>
  <c r="T1311" i="5"/>
  <c r="U1311" i="5"/>
  <c r="V1311" i="5"/>
  <c r="T1312" i="5"/>
  <c r="U1312" i="5"/>
  <c r="V1312" i="5"/>
  <c r="T1313" i="5"/>
  <c r="U1313" i="5"/>
  <c r="V1313" i="5"/>
  <c r="T1314" i="5"/>
  <c r="U1314" i="5"/>
  <c r="V1314" i="5"/>
  <c r="T1315" i="5"/>
  <c r="U1315" i="5"/>
  <c r="V1315" i="5"/>
  <c r="S1316" i="5"/>
  <c r="T1316" i="5"/>
  <c r="U1316" i="5"/>
  <c r="V1316" i="5"/>
  <c r="S1317" i="5"/>
  <c r="T1317" i="5"/>
  <c r="U1317" i="5"/>
  <c r="V1317" i="5"/>
  <c r="S1318" i="5"/>
  <c r="T1318" i="5"/>
  <c r="U1318" i="5"/>
  <c r="V1318" i="5"/>
  <c r="S1319" i="5"/>
  <c r="T1319" i="5"/>
  <c r="U1319" i="5"/>
  <c r="V1319" i="5"/>
  <c r="S1320" i="5"/>
  <c r="T1320" i="5"/>
  <c r="U1320" i="5"/>
  <c r="V1320" i="5"/>
  <c r="S1321" i="5"/>
  <c r="T1321" i="5"/>
  <c r="U1321" i="5"/>
  <c r="V1321" i="5"/>
  <c r="T1322" i="5"/>
  <c r="U1322" i="5"/>
  <c r="V1322" i="5"/>
  <c r="S1323" i="5"/>
  <c r="T1323" i="5"/>
  <c r="U1323" i="5"/>
  <c r="V1323" i="5"/>
  <c r="T1324" i="5"/>
  <c r="U1324" i="5"/>
  <c r="V1324" i="5"/>
  <c r="S1325" i="5"/>
  <c r="T1325" i="5"/>
  <c r="U1325" i="5"/>
  <c r="V1325" i="5"/>
  <c r="T1326" i="5"/>
  <c r="U1326" i="5"/>
  <c r="V1326" i="5"/>
  <c r="T1327" i="5"/>
  <c r="U1327" i="5"/>
  <c r="V1327" i="5"/>
  <c r="T1328" i="5"/>
  <c r="U1328" i="5"/>
  <c r="V1328" i="5"/>
  <c r="T1329" i="5"/>
  <c r="U1329" i="5"/>
  <c r="V1329" i="5"/>
  <c r="T1330" i="5"/>
  <c r="U1330" i="5"/>
  <c r="V1330" i="5"/>
  <c r="T1331" i="5"/>
  <c r="U1331" i="5"/>
  <c r="V1331" i="5"/>
  <c r="S1332" i="5"/>
  <c r="T1332" i="5"/>
  <c r="U1332" i="5"/>
  <c r="V1332" i="5"/>
  <c r="S1333" i="5"/>
  <c r="T1333" i="5"/>
  <c r="U1333" i="5"/>
  <c r="V1333" i="5"/>
  <c r="S1334" i="5"/>
  <c r="T1334" i="5"/>
  <c r="U1334" i="5"/>
  <c r="V1334" i="5"/>
  <c r="S1335" i="5"/>
  <c r="T1335" i="5"/>
  <c r="U1335" i="5"/>
  <c r="V1335" i="5"/>
  <c r="S1336" i="5"/>
  <c r="T1336" i="5"/>
  <c r="U1336" i="5"/>
  <c r="V1336" i="5"/>
  <c r="S1337" i="5"/>
  <c r="T1337" i="5"/>
  <c r="U1337" i="5"/>
  <c r="V1337" i="5"/>
  <c r="T1338" i="5"/>
  <c r="U1338" i="5"/>
  <c r="V1338" i="5"/>
  <c r="S1339" i="5"/>
  <c r="T1339" i="5"/>
  <c r="U1339" i="5"/>
  <c r="V1339" i="5"/>
  <c r="T1340" i="5"/>
  <c r="U1340" i="5"/>
  <c r="V1340" i="5"/>
  <c r="T1341" i="5"/>
  <c r="U1341" i="5"/>
  <c r="V1341" i="5"/>
  <c r="T1342" i="5"/>
  <c r="U1342" i="5"/>
  <c r="V1342" i="5"/>
  <c r="S1343" i="5"/>
  <c r="T1343" i="5"/>
  <c r="U1343" i="5"/>
  <c r="V1343" i="5"/>
  <c r="T1344" i="5"/>
  <c r="U1344" i="5"/>
  <c r="V1344" i="5"/>
  <c r="T1345" i="5"/>
  <c r="U1345" i="5"/>
  <c r="V1345" i="5"/>
  <c r="T1346" i="5"/>
  <c r="U1346" i="5"/>
  <c r="V1346" i="5"/>
  <c r="T1347" i="5"/>
  <c r="U1347" i="5"/>
  <c r="V1347" i="5"/>
  <c r="S1348" i="5"/>
  <c r="T1348" i="5"/>
  <c r="U1348" i="5"/>
  <c r="V1348" i="5"/>
  <c r="S1349" i="5"/>
  <c r="T1349" i="5"/>
  <c r="U1349" i="5"/>
  <c r="V1349" i="5"/>
  <c r="S1350" i="5"/>
  <c r="T1350" i="5"/>
  <c r="U1350" i="5"/>
  <c r="V1350" i="5"/>
  <c r="S1351" i="5"/>
  <c r="T1351" i="5"/>
  <c r="U1351" i="5"/>
  <c r="V1351" i="5"/>
  <c r="S1352" i="5"/>
  <c r="T1352" i="5"/>
  <c r="U1352" i="5"/>
  <c r="V1352" i="5"/>
  <c r="S1353" i="5"/>
  <c r="T1353" i="5"/>
  <c r="U1353" i="5"/>
  <c r="V1353" i="5"/>
  <c r="T1354" i="5"/>
  <c r="U1354" i="5"/>
  <c r="V1354" i="5"/>
  <c r="S1355" i="5"/>
  <c r="T1355" i="5"/>
  <c r="U1355" i="5"/>
  <c r="V1355" i="5"/>
  <c r="T1356" i="5"/>
  <c r="U1356" i="5"/>
  <c r="V1356" i="5"/>
  <c r="T1357" i="5"/>
  <c r="U1357" i="5"/>
  <c r="V1357" i="5"/>
  <c r="T1358" i="5"/>
  <c r="U1358" i="5"/>
  <c r="V1358" i="5"/>
  <c r="S1359" i="5"/>
  <c r="T1359" i="5"/>
  <c r="U1359" i="5"/>
  <c r="V1359" i="5"/>
  <c r="S1360" i="5"/>
  <c r="T1360" i="5"/>
  <c r="U1360" i="5"/>
  <c r="V1360" i="5"/>
  <c r="T1361" i="5"/>
  <c r="U1361" i="5"/>
  <c r="V1361" i="5"/>
  <c r="T1362" i="5"/>
  <c r="U1362" i="5"/>
  <c r="V1362" i="5"/>
  <c r="T1363" i="5"/>
  <c r="U1363" i="5"/>
  <c r="V1363" i="5"/>
  <c r="S1364" i="5"/>
  <c r="T1364" i="5"/>
  <c r="U1364" i="5"/>
  <c r="V1364" i="5"/>
  <c r="S1365" i="5"/>
  <c r="T1365" i="5"/>
  <c r="U1365" i="5"/>
  <c r="V1365" i="5"/>
  <c r="S1366" i="5"/>
  <c r="T1366" i="5"/>
  <c r="U1366" i="5"/>
  <c r="V1366" i="5"/>
  <c r="S1367" i="5"/>
  <c r="T1367" i="5"/>
  <c r="U1367" i="5"/>
  <c r="V1367" i="5"/>
  <c r="S1368" i="5"/>
  <c r="T1368" i="5"/>
  <c r="U1368" i="5"/>
  <c r="V1368" i="5"/>
  <c r="S1369" i="5"/>
  <c r="T1369" i="5"/>
  <c r="U1369" i="5"/>
  <c r="V1369" i="5"/>
  <c r="T1370" i="5"/>
  <c r="U1370" i="5"/>
  <c r="V1370" i="5"/>
  <c r="S1371" i="5"/>
  <c r="T1371" i="5"/>
  <c r="U1371" i="5"/>
  <c r="V1371" i="5"/>
  <c r="S1372" i="5"/>
  <c r="T1372" i="5"/>
  <c r="U1372" i="5"/>
  <c r="V1372" i="5"/>
  <c r="T1373" i="5"/>
  <c r="U1373" i="5"/>
  <c r="V1373" i="5"/>
  <c r="T1374" i="5"/>
  <c r="U1374" i="5"/>
  <c r="V1374" i="5"/>
  <c r="T1375" i="5"/>
  <c r="U1375" i="5"/>
  <c r="V1375" i="5"/>
  <c r="S1376" i="5"/>
  <c r="T1376" i="5"/>
  <c r="U1376" i="5"/>
  <c r="V1376" i="5"/>
  <c r="T1377" i="5"/>
  <c r="U1377" i="5"/>
  <c r="V1377" i="5"/>
  <c r="T1378" i="5"/>
  <c r="U1378" i="5"/>
  <c r="V1378" i="5"/>
  <c r="T1379" i="5"/>
  <c r="U1379" i="5"/>
  <c r="V1379" i="5"/>
  <c r="S1380" i="5"/>
  <c r="T1380" i="5"/>
  <c r="U1380" i="5"/>
  <c r="V1380" i="5"/>
  <c r="S1381" i="5"/>
  <c r="T1381" i="5"/>
  <c r="U1381" i="5"/>
  <c r="V1381" i="5"/>
  <c r="S1382" i="5"/>
  <c r="T1382" i="5"/>
  <c r="U1382" i="5"/>
  <c r="V1382" i="5"/>
  <c r="S1383" i="5"/>
  <c r="T1383" i="5"/>
  <c r="U1383" i="5"/>
  <c r="V1383" i="5"/>
  <c r="S1384" i="5"/>
  <c r="T1384" i="5"/>
  <c r="U1384" i="5"/>
  <c r="V1384" i="5"/>
  <c r="S1385" i="5"/>
  <c r="T1385" i="5"/>
  <c r="U1385" i="5"/>
  <c r="V1385" i="5"/>
  <c r="T1386" i="5"/>
  <c r="U1386" i="5"/>
  <c r="V1386" i="5"/>
  <c r="S1387" i="5"/>
  <c r="T1387" i="5"/>
  <c r="U1387" i="5"/>
  <c r="V1387" i="5"/>
  <c r="S1388" i="5"/>
  <c r="T1388" i="5"/>
  <c r="U1388" i="5"/>
  <c r="V1388" i="5"/>
  <c r="S1389" i="5"/>
  <c r="T1389" i="5"/>
  <c r="U1389" i="5"/>
  <c r="V1389" i="5"/>
  <c r="T1390" i="5"/>
  <c r="U1390" i="5"/>
  <c r="V1390" i="5"/>
  <c r="T1391" i="5"/>
  <c r="U1391" i="5"/>
  <c r="V1391" i="5"/>
  <c r="T1392" i="5"/>
  <c r="U1392" i="5"/>
  <c r="V1392" i="5"/>
  <c r="S1393" i="5"/>
  <c r="T1393" i="5"/>
  <c r="U1393" i="5"/>
  <c r="V1393" i="5"/>
  <c r="T1394" i="5"/>
  <c r="U1394" i="5"/>
  <c r="V1394" i="5"/>
  <c r="T1395" i="5"/>
  <c r="U1395" i="5"/>
  <c r="V1395" i="5"/>
  <c r="S1396" i="5"/>
  <c r="T1396" i="5"/>
  <c r="U1396" i="5"/>
  <c r="V1396" i="5"/>
  <c r="S1397" i="5"/>
  <c r="T1397" i="5"/>
  <c r="U1397" i="5"/>
  <c r="V1397" i="5"/>
  <c r="S1398" i="5"/>
  <c r="T1398" i="5"/>
  <c r="U1398" i="5"/>
  <c r="V1398" i="5"/>
  <c r="S1399" i="5"/>
  <c r="T1399" i="5"/>
  <c r="U1399" i="5"/>
  <c r="V1399" i="5"/>
  <c r="S1400" i="5"/>
  <c r="T1400" i="5"/>
  <c r="U1400" i="5"/>
  <c r="V1400" i="5"/>
  <c r="S1401" i="5"/>
  <c r="T1401" i="5"/>
  <c r="U1401" i="5"/>
  <c r="V1401" i="5"/>
  <c r="T1402" i="5"/>
  <c r="U1402" i="5"/>
  <c r="V1402" i="5"/>
  <c r="S1403" i="5"/>
  <c r="T1403" i="5"/>
  <c r="U1403" i="5"/>
  <c r="V1403" i="5"/>
  <c r="T1404" i="5"/>
  <c r="U1404" i="5"/>
  <c r="V1404" i="5"/>
  <c r="S1405" i="5"/>
  <c r="T1405" i="5"/>
  <c r="U1405" i="5"/>
  <c r="V1405" i="5"/>
  <c r="T1406" i="5"/>
  <c r="U1406" i="5"/>
  <c r="V1406" i="5"/>
  <c r="T1407" i="5"/>
  <c r="U1407" i="5"/>
  <c r="V1407" i="5"/>
  <c r="T1408" i="5"/>
  <c r="U1408" i="5"/>
  <c r="V1408" i="5"/>
  <c r="T1409" i="5"/>
  <c r="U1409" i="5"/>
  <c r="V1409" i="5"/>
  <c r="T1410" i="5"/>
  <c r="U1410" i="5"/>
  <c r="V1410" i="5"/>
  <c r="T1411" i="5"/>
  <c r="U1411" i="5"/>
  <c r="V1411" i="5"/>
  <c r="S1412" i="5"/>
  <c r="T1412" i="5"/>
  <c r="U1412" i="5"/>
  <c r="V1412" i="5"/>
  <c r="S1413" i="5"/>
  <c r="T1413" i="5"/>
  <c r="U1413" i="5"/>
  <c r="V1413" i="5"/>
  <c r="S1414" i="5"/>
  <c r="T1414" i="5"/>
  <c r="U1414" i="5"/>
  <c r="V1414" i="5"/>
  <c r="S1415" i="5"/>
  <c r="T1415" i="5"/>
  <c r="U1415" i="5"/>
  <c r="V1415" i="5"/>
  <c r="S1416" i="5"/>
  <c r="T1416" i="5"/>
  <c r="U1416" i="5"/>
  <c r="V1416" i="5"/>
  <c r="S1417" i="5"/>
  <c r="T1417" i="5"/>
  <c r="U1417" i="5"/>
  <c r="V1417" i="5"/>
  <c r="T1418" i="5"/>
  <c r="U1418" i="5"/>
  <c r="V1418" i="5"/>
  <c r="S1419" i="5"/>
  <c r="T1419" i="5"/>
  <c r="U1419" i="5"/>
  <c r="V1419" i="5"/>
  <c r="T1420" i="5"/>
  <c r="U1420" i="5"/>
  <c r="V1420" i="5"/>
  <c r="T1421" i="5"/>
  <c r="U1421" i="5"/>
  <c r="V1421" i="5"/>
  <c r="T1422" i="5"/>
  <c r="U1422" i="5"/>
  <c r="V1422" i="5"/>
  <c r="S1423" i="5"/>
  <c r="T1423" i="5"/>
  <c r="U1423" i="5"/>
  <c r="V1423" i="5"/>
  <c r="T1424" i="5"/>
  <c r="U1424" i="5"/>
  <c r="V1424" i="5"/>
  <c r="T1425" i="5"/>
  <c r="U1425" i="5"/>
  <c r="V1425" i="5"/>
  <c r="T1426" i="5"/>
  <c r="U1426" i="5"/>
  <c r="V1426" i="5"/>
  <c r="T1427" i="5"/>
  <c r="U1427" i="5"/>
  <c r="V1427" i="5"/>
  <c r="S1428" i="5"/>
  <c r="T1428" i="5"/>
  <c r="U1428" i="5"/>
  <c r="V1428" i="5"/>
  <c r="S1429" i="5"/>
  <c r="T1429" i="5"/>
  <c r="U1429" i="5"/>
  <c r="V1429" i="5"/>
  <c r="S1430" i="5"/>
  <c r="T1430" i="5"/>
  <c r="U1430" i="5"/>
  <c r="V1430" i="5"/>
  <c r="S1431" i="5"/>
  <c r="T1431" i="5"/>
  <c r="U1431" i="5"/>
  <c r="V1431" i="5"/>
  <c r="S1432" i="5"/>
  <c r="T1432" i="5"/>
  <c r="U1432" i="5"/>
  <c r="V1432" i="5"/>
  <c r="S1433" i="5"/>
  <c r="U1433" i="5"/>
  <c r="V1433" i="5"/>
  <c r="U3" i="5"/>
  <c r="U2" i="5" l="1"/>
  <c r="S3" i="5"/>
  <c r="T3" i="5"/>
  <c r="V3" i="5"/>
  <c r="V2" i="5" s="1"/>
  <c r="T1433" i="5" s="1"/>
  <c r="T8" i="5" l="1"/>
  <c r="T14" i="5"/>
  <c r="T15" i="5"/>
  <c r="T12" i="5"/>
  <c r="T13" i="5"/>
  <c r="P224" i="5"/>
  <c r="P493" i="5"/>
  <c r="P494" i="5"/>
  <c r="P3" i="5"/>
  <c r="P4" i="5"/>
  <c r="P5" i="5"/>
  <c r="P495" i="5"/>
  <c r="P6" i="5"/>
  <c r="P7" i="5"/>
  <c r="P8" i="5"/>
  <c r="P9" i="5"/>
  <c r="X13" i="5" s="1"/>
  <c r="P80" i="5"/>
  <c r="P81" i="5"/>
  <c r="P496" i="5"/>
  <c r="P497" i="5"/>
  <c r="P10" i="5"/>
  <c r="P82" i="5"/>
  <c r="P498" i="5"/>
  <c r="P499" i="5"/>
  <c r="P83" i="5"/>
  <c r="P500" i="5"/>
  <c r="P84" i="5"/>
  <c r="P501" i="5"/>
  <c r="P502" i="5"/>
  <c r="P503" i="5"/>
  <c r="P11" i="5"/>
  <c r="P504" i="5"/>
  <c r="X29" i="5" s="1"/>
  <c r="P225" i="5"/>
  <c r="P505" i="5"/>
  <c r="P85" i="5"/>
  <c r="P506" i="5"/>
  <c r="P507" i="5"/>
  <c r="P12" i="5"/>
  <c r="P508" i="5"/>
  <c r="P13" i="5"/>
  <c r="P509" i="5"/>
  <c r="X38" i="5" s="1"/>
  <c r="P510" i="5"/>
  <c r="P226" i="5"/>
  <c r="P511" i="5"/>
  <c r="P512" i="5"/>
  <c r="P513" i="5"/>
  <c r="P86" i="5"/>
  <c r="P514" i="5"/>
  <c r="P14" i="5"/>
  <c r="P87" i="5"/>
  <c r="P227" i="5"/>
  <c r="P515" i="5"/>
  <c r="P88" i="5"/>
  <c r="P228" i="5"/>
  <c r="P15" i="5"/>
  <c r="P516" i="5"/>
  <c r="P229" i="5"/>
  <c r="P89" i="5"/>
  <c r="P517" i="5"/>
  <c r="P90" i="5"/>
  <c r="P91" i="5"/>
  <c r="P518" i="5"/>
  <c r="P230" i="5"/>
  <c r="P519" i="5"/>
  <c r="P16" i="5"/>
  <c r="P520" i="5"/>
  <c r="P231" i="5"/>
  <c r="P17" i="5"/>
  <c r="P521" i="5"/>
  <c r="P522" i="5"/>
  <c r="P92" i="5"/>
  <c r="P523" i="5"/>
  <c r="P93" i="5"/>
  <c r="P232" i="5"/>
  <c r="P233" i="5"/>
  <c r="P234" i="5"/>
  <c r="P524" i="5"/>
  <c r="P94" i="5"/>
  <c r="P525" i="5"/>
  <c r="P526" i="5"/>
  <c r="P527" i="5"/>
  <c r="P235" i="5"/>
  <c r="P236" i="5"/>
  <c r="P237" i="5"/>
  <c r="P528" i="5"/>
  <c r="P95" i="5"/>
  <c r="P238" i="5"/>
  <c r="P18" i="5"/>
  <c r="P529" i="5"/>
  <c r="P530" i="5"/>
  <c r="P239" i="5"/>
  <c r="P531" i="5"/>
  <c r="P532" i="5"/>
  <c r="P533" i="5"/>
  <c r="P240" i="5"/>
  <c r="P534" i="5"/>
  <c r="P535" i="5"/>
  <c r="P536" i="5"/>
  <c r="P241" i="5"/>
  <c r="P242" i="5"/>
  <c r="P19" i="5"/>
  <c r="P537" i="5"/>
  <c r="P96" i="5"/>
  <c r="P538" i="5"/>
  <c r="P243" i="5"/>
  <c r="P244" i="5"/>
  <c r="P539" i="5"/>
  <c r="P540" i="5"/>
  <c r="P97" i="5"/>
  <c r="P541" i="5"/>
  <c r="P542" i="5"/>
  <c r="P245" i="5"/>
  <c r="X109" i="5" s="1"/>
  <c r="P246" i="5"/>
  <c r="P543" i="5"/>
  <c r="P247" i="5"/>
  <c r="P544" i="5"/>
  <c r="P248" i="5"/>
  <c r="P545" i="5"/>
  <c r="P249" i="5"/>
  <c r="P546" i="5"/>
  <c r="P20" i="5"/>
  <c r="P547" i="5"/>
  <c r="P548" i="5"/>
  <c r="P549" i="5"/>
  <c r="P550" i="5"/>
  <c r="P250" i="5"/>
  <c r="P551" i="5"/>
  <c r="P552" i="5"/>
  <c r="P553" i="5"/>
  <c r="P21" i="5"/>
  <c r="P251" i="5"/>
  <c r="P252" i="5"/>
  <c r="P554" i="5"/>
  <c r="P253" i="5"/>
  <c r="P254" i="5"/>
  <c r="P555" i="5"/>
  <c r="P98" i="5"/>
  <c r="P99" i="5"/>
  <c r="P556" i="5"/>
  <c r="P557" i="5"/>
  <c r="P558" i="5"/>
  <c r="P559" i="5"/>
  <c r="P255" i="5"/>
  <c r="P560" i="5"/>
  <c r="P561" i="5"/>
  <c r="P562" i="5"/>
  <c r="P563" i="5"/>
  <c r="P564" i="5"/>
  <c r="P256" i="5"/>
  <c r="P565" i="5"/>
  <c r="P566" i="5"/>
  <c r="P567" i="5"/>
  <c r="P568" i="5"/>
  <c r="X150" i="5" s="1"/>
  <c r="P569" i="5"/>
  <c r="P257" i="5"/>
  <c r="P570" i="5"/>
  <c r="P571" i="5"/>
  <c r="P572" i="5"/>
  <c r="P573" i="5"/>
  <c r="P574" i="5"/>
  <c r="P100" i="5"/>
  <c r="P575" i="5"/>
  <c r="P576" i="5"/>
  <c r="P577" i="5"/>
  <c r="P578" i="5"/>
  <c r="P579" i="5"/>
  <c r="P580" i="5"/>
  <c r="P258" i="5"/>
  <c r="P581" i="5"/>
  <c r="P582" i="5"/>
  <c r="P583" i="5"/>
  <c r="P259" i="5"/>
  <c r="P584" i="5"/>
  <c r="P585" i="5"/>
  <c r="P22" i="5"/>
  <c r="P586" i="5"/>
  <c r="X173" i="5" s="1"/>
  <c r="P587" i="5"/>
  <c r="P588" i="5"/>
  <c r="P589" i="5"/>
  <c r="P590" i="5"/>
  <c r="P260" i="5"/>
  <c r="P591" i="5"/>
  <c r="P592" i="5"/>
  <c r="P593" i="5"/>
  <c r="P594" i="5"/>
  <c r="P595" i="5"/>
  <c r="P596" i="5"/>
  <c r="P597" i="5"/>
  <c r="P598" i="5"/>
  <c r="P599" i="5"/>
  <c r="P600" i="5"/>
  <c r="P261" i="5"/>
  <c r="P601" i="5"/>
  <c r="P602" i="5"/>
  <c r="P603" i="5"/>
  <c r="P604" i="5"/>
  <c r="P605" i="5"/>
  <c r="P606" i="5"/>
  <c r="P607" i="5"/>
  <c r="P608" i="5"/>
  <c r="P262" i="5"/>
  <c r="P609" i="5"/>
  <c r="P610" i="5"/>
  <c r="P611" i="5"/>
  <c r="P612" i="5"/>
  <c r="P613" i="5"/>
  <c r="P614" i="5"/>
  <c r="P615" i="5"/>
  <c r="P616" i="5"/>
  <c r="P263" i="5"/>
  <c r="P617" i="5"/>
  <c r="P618" i="5"/>
  <c r="P619" i="5"/>
  <c r="P620" i="5"/>
  <c r="P621" i="5"/>
  <c r="P264" i="5"/>
  <c r="P622" i="5"/>
  <c r="P623" i="5"/>
  <c r="P624" i="5"/>
  <c r="P625" i="5"/>
  <c r="P626" i="5"/>
  <c r="P627" i="5"/>
  <c r="P628" i="5"/>
  <c r="P629" i="5"/>
  <c r="X221" i="5" s="1"/>
  <c r="P630" i="5"/>
  <c r="P265" i="5"/>
  <c r="P631" i="5"/>
  <c r="P632" i="5"/>
  <c r="P633" i="5"/>
  <c r="P634" i="5"/>
  <c r="P635" i="5"/>
  <c r="P636" i="5"/>
  <c r="P637" i="5"/>
  <c r="P638" i="5"/>
  <c r="P266" i="5"/>
  <c r="P639" i="5"/>
  <c r="P640" i="5"/>
  <c r="X234" i="5" s="1"/>
  <c r="P641" i="5"/>
  <c r="P642" i="5"/>
  <c r="P643" i="5"/>
  <c r="P644" i="5"/>
  <c r="P645" i="5"/>
  <c r="P646" i="5"/>
  <c r="P647" i="5"/>
  <c r="X241" i="5" s="1"/>
  <c r="P648" i="5"/>
  <c r="P649" i="5"/>
  <c r="P267" i="5"/>
  <c r="P650" i="5"/>
  <c r="P651" i="5"/>
  <c r="P652" i="5"/>
  <c r="P268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269" i="5"/>
  <c r="X262" i="5" s="1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X289" i="5" s="1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X310" i="5" s="1"/>
  <c r="P101" i="5"/>
  <c r="P102" i="5"/>
  <c r="P103" i="5"/>
  <c r="P104" i="5"/>
  <c r="P23" i="5"/>
  <c r="P270" i="5"/>
  <c r="P105" i="5"/>
  <c r="P714" i="5"/>
  <c r="P106" i="5"/>
  <c r="P715" i="5"/>
  <c r="P107" i="5"/>
  <c r="P271" i="5"/>
  <c r="P716" i="5"/>
  <c r="P108" i="5"/>
  <c r="P109" i="5"/>
  <c r="P717" i="5"/>
  <c r="P272" i="5"/>
  <c r="P110" i="5"/>
  <c r="P111" i="5"/>
  <c r="P24" i="5"/>
  <c r="P112" i="5"/>
  <c r="P25" i="5"/>
  <c r="P273" i="5"/>
  <c r="P26" i="5"/>
  <c r="P113" i="5"/>
  <c r="P274" i="5"/>
  <c r="P27" i="5"/>
  <c r="P275" i="5"/>
  <c r="P28" i="5"/>
  <c r="P276" i="5"/>
  <c r="P29" i="5"/>
  <c r="P30" i="5"/>
  <c r="P277" i="5"/>
  <c r="P114" i="5"/>
  <c r="P718" i="5"/>
  <c r="P31" i="5"/>
  <c r="P32" i="5"/>
  <c r="P115" i="5"/>
  <c r="P116" i="5"/>
  <c r="P719" i="5"/>
  <c r="P720" i="5"/>
  <c r="P117" i="5"/>
  <c r="P721" i="5"/>
  <c r="P118" i="5"/>
  <c r="P278" i="5"/>
  <c r="P279" i="5"/>
  <c r="P119" i="5"/>
  <c r="P280" i="5"/>
  <c r="P33" i="5"/>
  <c r="P34" i="5"/>
  <c r="P722" i="5"/>
  <c r="P723" i="5"/>
  <c r="P120" i="5"/>
  <c r="P121" i="5"/>
  <c r="P35" i="5"/>
  <c r="P724" i="5"/>
  <c r="P122" i="5"/>
  <c r="P36" i="5"/>
  <c r="P123" i="5"/>
  <c r="P281" i="5"/>
  <c r="P282" i="5"/>
  <c r="P283" i="5"/>
  <c r="P124" i="5"/>
  <c r="P125" i="5"/>
  <c r="P126" i="5"/>
  <c r="P725" i="5"/>
  <c r="P37" i="5"/>
  <c r="P726" i="5"/>
  <c r="P127" i="5"/>
  <c r="P128" i="5"/>
  <c r="P727" i="5"/>
  <c r="P284" i="5"/>
  <c r="P285" i="5"/>
  <c r="P129" i="5"/>
  <c r="P130" i="5"/>
  <c r="P131" i="5"/>
  <c r="P286" i="5"/>
  <c r="P287" i="5"/>
  <c r="P38" i="5"/>
  <c r="P39" i="5"/>
  <c r="X390" i="5" s="1"/>
  <c r="P728" i="5"/>
  <c r="P132" i="5"/>
  <c r="P40" i="5"/>
  <c r="P729" i="5"/>
  <c r="P730" i="5"/>
  <c r="P133" i="5"/>
  <c r="P731" i="5"/>
  <c r="X397" i="5" s="1"/>
  <c r="P288" i="5"/>
  <c r="P732" i="5"/>
  <c r="P289" i="5"/>
  <c r="P733" i="5"/>
  <c r="P734" i="5"/>
  <c r="P134" i="5"/>
  <c r="P135" i="5"/>
  <c r="P290" i="5"/>
  <c r="P136" i="5"/>
  <c r="P291" i="5"/>
  <c r="P292" i="5"/>
  <c r="P735" i="5"/>
  <c r="P137" i="5"/>
  <c r="P293" i="5"/>
  <c r="P138" i="5"/>
  <c r="P294" i="5"/>
  <c r="P139" i="5"/>
  <c r="P140" i="5"/>
  <c r="P141" i="5"/>
  <c r="P736" i="5"/>
  <c r="P142" i="5"/>
  <c r="P295" i="5"/>
  <c r="P41" i="5"/>
  <c r="P296" i="5"/>
  <c r="P143" i="5"/>
  <c r="P297" i="5"/>
  <c r="P737" i="5"/>
  <c r="P738" i="5"/>
  <c r="P298" i="5"/>
  <c r="P739" i="5"/>
  <c r="P42" i="5"/>
  <c r="P43" i="5"/>
  <c r="P299" i="5"/>
  <c r="P44" i="5"/>
  <c r="P45" i="5"/>
  <c r="P46" i="5"/>
  <c r="P144" i="5"/>
  <c r="P47" i="5"/>
  <c r="P48" i="5"/>
  <c r="P740" i="5"/>
  <c r="P145" i="5"/>
  <c r="P49" i="5"/>
  <c r="P50" i="5"/>
  <c r="P300" i="5"/>
  <c r="P51" i="5"/>
  <c r="P146" i="5"/>
  <c r="P147" i="5"/>
  <c r="P741" i="5"/>
  <c r="P52" i="5"/>
  <c r="P301" i="5"/>
  <c r="P148" i="5"/>
  <c r="P149" i="5"/>
  <c r="P302" i="5"/>
  <c r="P742" i="5"/>
  <c r="P303" i="5"/>
  <c r="P150" i="5"/>
  <c r="P304" i="5"/>
  <c r="P305" i="5"/>
  <c r="P151" i="5"/>
  <c r="P53" i="5"/>
  <c r="P54" i="5"/>
  <c r="P306" i="5"/>
  <c r="P743" i="5"/>
  <c r="P307" i="5"/>
  <c r="P55" i="5"/>
  <c r="P152" i="5"/>
  <c r="P153" i="5"/>
  <c r="P308" i="5"/>
  <c r="P309" i="5"/>
  <c r="P744" i="5"/>
  <c r="P745" i="5"/>
  <c r="P310" i="5"/>
  <c r="P746" i="5"/>
  <c r="P311" i="5"/>
  <c r="P312" i="5"/>
  <c r="P313" i="5"/>
  <c r="P314" i="5"/>
  <c r="P315" i="5"/>
  <c r="P316" i="5"/>
  <c r="P154" i="5"/>
  <c r="X477" i="5" s="1"/>
  <c r="P56" i="5"/>
  <c r="P57" i="5"/>
  <c r="P317" i="5"/>
  <c r="P747" i="5"/>
  <c r="P318" i="5"/>
  <c r="P58" i="5"/>
  <c r="P748" i="5"/>
  <c r="P59" i="5"/>
  <c r="P319" i="5"/>
  <c r="P60" i="5"/>
  <c r="P749" i="5"/>
  <c r="P61" i="5"/>
  <c r="P155" i="5"/>
  <c r="P156" i="5"/>
  <c r="P750" i="5"/>
  <c r="P157" i="5"/>
  <c r="X493" i="5" s="1"/>
  <c r="P158" i="5"/>
  <c r="P751" i="5"/>
  <c r="P159" i="5"/>
  <c r="P752" i="5"/>
  <c r="P753" i="5"/>
  <c r="P320" i="5"/>
  <c r="P160" i="5"/>
  <c r="P62" i="5"/>
  <c r="P63" i="5"/>
  <c r="P161" i="5"/>
  <c r="P162" i="5"/>
  <c r="P163" i="5"/>
  <c r="P64" i="5"/>
  <c r="P65" i="5"/>
  <c r="P754" i="5"/>
  <c r="P164" i="5"/>
  <c r="X509" i="5" s="1"/>
  <c r="P165" i="5"/>
  <c r="P321" i="5"/>
  <c r="P66" i="5"/>
  <c r="P755" i="5"/>
  <c r="P322" i="5"/>
  <c r="P323" i="5"/>
  <c r="P756" i="5"/>
  <c r="P757" i="5"/>
  <c r="P324" i="5"/>
  <c r="P67" i="5"/>
  <c r="P758" i="5"/>
  <c r="P166" i="5"/>
  <c r="P68" i="5"/>
  <c r="P167" i="5"/>
  <c r="P69" i="5"/>
  <c r="P70" i="5"/>
  <c r="X525" i="5" s="1"/>
  <c r="P168" i="5"/>
  <c r="P759" i="5"/>
  <c r="P169" i="5"/>
  <c r="P760" i="5"/>
  <c r="P71" i="5"/>
  <c r="P170" i="5"/>
  <c r="P325" i="5"/>
  <c r="P171" i="5"/>
  <c r="P72" i="5"/>
  <c r="P172" i="5"/>
  <c r="P761" i="5"/>
  <c r="P73" i="5"/>
  <c r="P326" i="5"/>
  <c r="P173" i="5"/>
  <c r="P327" i="5"/>
  <c r="P762" i="5"/>
  <c r="X541" i="5" s="1"/>
  <c r="P763" i="5"/>
  <c r="P174" i="5"/>
  <c r="X543" i="5" s="1"/>
  <c r="P175" i="5"/>
  <c r="P176" i="5"/>
  <c r="P177" i="5"/>
  <c r="P178" i="5"/>
  <c r="P764" i="5"/>
  <c r="P328" i="5"/>
  <c r="P179" i="5"/>
  <c r="P329" i="5"/>
  <c r="P765" i="5"/>
  <c r="P766" i="5"/>
  <c r="P330" i="5"/>
  <c r="P331" i="5"/>
  <c r="P767" i="5"/>
  <c r="P332" i="5"/>
  <c r="P768" i="5"/>
  <c r="P769" i="5"/>
  <c r="P770" i="5"/>
  <c r="P333" i="5"/>
  <c r="P771" i="5"/>
  <c r="P334" i="5"/>
  <c r="P335" i="5"/>
  <c r="P74" i="5"/>
  <c r="P180" i="5"/>
  <c r="X566" i="5" s="1"/>
  <c r="P181" i="5"/>
  <c r="P772" i="5"/>
  <c r="P773" i="5"/>
  <c r="P774" i="5"/>
  <c r="X570" i="5" s="1"/>
  <c r="P775" i="5"/>
  <c r="P776" i="5"/>
  <c r="X572" i="5" s="1"/>
  <c r="P777" i="5"/>
  <c r="X573" i="5" s="1"/>
  <c r="P778" i="5"/>
  <c r="P779" i="5"/>
  <c r="X575" i="5" s="1"/>
  <c r="P336" i="5"/>
  <c r="X576" i="5" s="1"/>
  <c r="P780" i="5"/>
  <c r="X577" i="5" s="1"/>
  <c r="P337" i="5"/>
  <c r="X578" i="5" s="1"/>
  <c r="P781" i="5"/>
  <c r="X579" i="5" s="1"/>
  <c r="P782" i="5"/>
  <c r="X580" i="5" s="1"/>
  <c r="P783" i="5"/>
  <c r="P784" i="5"/>
  <c r="P785" i="5"/>
  <c r="P338" i="5"/>
  <c r="P339" i="5"/>
  <c r="P182" i="5"/>
  <c r="P786" i="5"/>
  <c r="P787" i="5"/>
  <c r="P788" i="5"/>
  <c r="P789" i="5"/>
  <c r="P340" i="5"/>
  <c r="P790" i="5"/>
  <c r="P791" i="5"/>
  <c r="P341" i="5"/>
  <c r="P342" i="5"/>
  <c r="P343" i="5"/>
  <c r="P183" i="5"/>
  <c r="P792" i="5"/>
  <c r="P344" i="5"/>
  <c r="P793" i="5"/>
  <c r="P794" i="5"/>
  <c r="P184" i="5"/>
  <c r="P795" i="5"/>
  <c r="P796" i="5"/>
  <c r="P345" i="5"/>
  <c r="P185" i="5"/>
  <c r="P797" i="5"/>
  <c r="P798" i="5"/>
  <c r="P799" i="5"/>
  <c r="P800" i="5"/>
  <c r="P186" i="5"/>
  <c r="P187" i="5"/>
  <c r="P801" i="5"/>
  <c r="P346" i="5"/>
  <c r="P802" i="5"/>
  <c r="P803" i="5"/>
  <c r="P347" i="5"/>
  <c r="P804" i="5"/>
  <c r="P805" i="5"/>
  <c r="P806" i="5"/>
  <c r="P348" i="5"/>
  <c r="X621" i="5" s="1"/>
  <c r="P75" i="5"/>
  <c r="P807" i="5"/>
  <c r="P188" i="5"/>
  <c r="P808" i="5"/>
  <c r="P809" i="5"/>
  <c r="P810" i="5"/>
  <c r="P811" i="5"/>
  <c r="P812" i="5"/>
  <c r="P349" i="5"/>
  <c r="P813" i="5"/>
  <c r="P814" i="5"/>
  <c r="P815" i="5"/>
  <c r="P816" i="5"/>
  <c r="P817" i="5"/>
  <c r="P350" i="5"/>
  <c r="P818" i="5"/>
  <c r="X637" i="5" s="1"/>
  <c r="P351" i="5"/>
  <c r="P352" i="5"/>
  <c r="P819" i="5"/>
  <c r="P820" i="5"/>
  <c r="P821" i="5"/>
  <c r="P822" i="5"/>
  <c r="P823" i="5"/>
  <c r="P353" i="5"/>
  <c r="P824" i="5"/>
  <c r="P354" i="5"/>
  <c r="P189" i="5"/>
  <c r="P825" i="5"/>
  <c r="P826" i="5"/>
  <c r="P827" i="5"/>
  <c r="P355" i="5"/>
  <c r="P356" i="5"/>
  <c r="P357" i="5"/>
  <c r="P358" i="5"/>
  <c r="P828" i="5"/>
  <c r="P829" i="5"/>
  <c r="P359" i="5"/>
  <c r="P830" i="5"/>
  <c r="P190" i="5"/>
  <c r="P831" i="5"/>
  <c r="P832" i="5"/>
  <c r="P833" i="5"/>
  <c r="P360" i="5"/>
  <c r="P361" i="5"/>
  <c r="P362" i="5"/>
  <c r="P363" i="5"/>
  <c r="P364" i="5"/>
  <c r="P834" i="5"/>
  <c r="P365" i="5"/>
  <c r="P191" i="5"/>
  <c r="P835" i="5"/>
  <c r="P366" i="5"/>
  <c r="P836" i="5"/>
  <c r="P367" i="5"/>
  <c r="P837" i="5"/>
  <c r="P838" i="5"/>
  <c r="P368" i="5"/>
  <c r="P369" i="5"/>
  <c r="P192" i="5"/>
  <c r="P839" i="5"/>
  <c r="P370" i="5"/>
  <c r="P840" i="5"/>
  <c r="P841" i="5"/>
  <c r="P371" i="5"/>
  <c r="P372" i="5"/>
  <c r="P842" i="5"/>
  <c r="P373" i="5"/>
  <c r="P374" i="5"/>
  <c r="P375" i="5"/>
  <c r="P376" i="5"/>
  <c r="P377" i="5"/>
  <c r="P378" i="5"/>
  <c r="P843" i="5"/>
  <c r="P193" i="5"/>
  <c r="P844" i="5"/>
  <c r="P194" i="5"/>
  <c r="P845" i="5"/>
  <c r="P379" i="5"/>
  <c r="P846" i="5"/>
  <c r="P847" i="5"/>
  <c r="P848" i="5"/>
  <c r="P195" i="5"/>
  <c r="P849" i="5"/>
  <c r="P850" i="5"/>
  <c r="P851" i="5"/>
  <c r="P852" i="5"/>
  <c r="P853" i="5"/>
  <c r="P196" i="5"/>
  <c r="P854" i="5"/>
  <c r="P855" i="5"/>
  <c r="P380" i="5"/>
  <c r="P856" i="5"/>
  <c r="P857" i="5"/>
  <c r="P858" i="5"/>
  <c r="P859" i="5"/>
  <c r="P381" i="5"/>
  <c r="X717" i="5" s="1"/>
  <c r="P382" i="5"/>
  <c r="P383" i="5"/>
  <c r="P197" i="5"/>
  <c r="P860" i="5"/>
  <c r="P861" i="5"/>
  <c r="P862" i="5"/>
  <c r="P863" i="5"/>
  <c r="P384" i="5"/>
  <c r="P198" i="5"/>
  <c r="P199" i="5"/>
  <c r="P864" i="5"/>
  <c r="P200" i="5"/>
  <c r="P865" i="5"/>
  <c r="P866" i="5"/>
  <c r="P385" i="5"/>
  <c r="P867" i="5"/>
  <c r="P386" i="5"/>
  <c r="P387" i="5"/>
  <c r="P868" i="5"/>
  <c r="P388" i="5"/>
  <c r="P869" i="5"/>
  <c r="P870" i="5"/>
  <c r="P389" i="5"/>
  <c r="P390" i="5"/>
  <c r="P871" i="5"/>
  <c r="P872" i="5"/>
  <c r="P873" i="5"/>
  <c r="P201" i="5"/>
  <c r="P874" i="5"/>
  <c r="P391" i="5"/>
  <c r="P76" i="5"/>
  <c r="P875" i="5"/>
  <c r="P876" i="5"/>
  <c r="P877" i="5"/>
  <c r="X751" i="5" s="1"/>
  <c r="P878" i="5"/>
  <c r="P392" i="5"/>
  <c r="P879" i="5"/>
  <c r="P77" i="5"/>
  <c r="P880" i="5"/>
  <c r="X756" i="5" s="1"/>
  <c r="P881" i="5"/>
  <c r="X757" i="5" s="1"/>
  <c r="P393" i="5"/>
  <c r="P394" i="5"/>
  <c r="P202" i="5"/>
  <c r="P203" i="5"/>
  <c r="P882" i="5"/>
  <c r="P883" i="5"/>
  <c r="P204" i="5"/>
  <c r="P884" i="5"/>
  <c r="P205" i="5"/>
  <c r="P395" i="5"/>
  <c r="P885" i="5"/>
  <c r="P206" i="5"/>
  <c r="P396" i="5"/>
  <c r="P207" i="5"/>
  <c r="P208" i="5"/>
  <c r="P397" i="5"/>
  <c r="P209" i="5"/>
  <c r="P886" i="5"/>
  <c r="P210" i="5"/>
  <c r="P211" i="5"/>
  <c r="P398" i="5"/>
  <c r="P887" i="5"/>
  <c r="P399" i="5"/>
  <c r="P888" i="5"/>
  <c r="P889" i="5"/>
  <c r="P890" i="5"/>
  <c r="P400" i="5"/>
  <c r="P78" i="5"/>
  <c r="P891" i="5"/>
  <c r="P892" i="5"/>
  <c r="P893" i="5"/>
  <c r="P894" i="5"/>
  <c r="P895" i="5"/>
  <c r="P896" i="5"/>
  <c r="P897" i="5"/>
  <c r="P401" i="5"/>
  <c r="P898" i="5"/>
  <c r="X794" i="5" s="1"/>
  <c r="P402" i="5"/>
  <c r="X795" i="5" s="1"/>
  <c r="P403" i="5"/>
  <c r="X796" i="5" s="1"/>
  <c r="P404" i="5"/>
  <c r="P899" i="5"/>
  <c r="P900" i="5"/>
  <c r="P901" i="5"/>
  <c r="P902" i="5"/>
  <c r="P903" i="5"/>
  <c r="P904" i="5"/>
  <c r="P905" i="5"/>
  <c r="P405" i="5"/>
  <c r="P906" i="5"/>
  <c r="P907" i="5"/>
  <c r="P908" i="5"/>
  <c r="P909" i="5"/>
  <c r="P910" i="5"/>
  <c r="P911" i="5"/>
  <c r="P912" i="5"/>
  <c r="P406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X825" i="5" s="1"/>
  <c r="P925" i="5"/>
  <c r="X826" i="5" s="1"/>
  <c r="P926" i="5"/>
  <c r="X827" i="5" s="1"/>
  <c r="P927" i="5"/>
  <c r="P407" i="5"/>
  <c r="P408" i="5"/>
  <c r="P928" i="5"/>
  <c r="P929" i="5"/>
  <c r="P212" i="5"/>
  <c r="P930" i="5"/>
  <c r="P931" i="5"/>
  <c r="P932" i="5"/>
  <c r="P933" i="5"/>
  <c r="P934" i="5"/>
  <c r="X838" i="5" s="1"/>
  <c r="P409" i="5"/>
  <c r="P935" i="5"/>
  <c r="P936" i="5"/>
  <c r="P937" i="5"/>
  <c r="P938" i="5"/>
  <c r="P939" i="5"/>
  <c r="P940" i="5"/>
  <c r="P941" i="5"/>
  <c r="P942" i="5"/>
  <c r="P943" i="5"/>
  <c r="P944" i="5"/>
  <c r="X849" i="5" s="1"/>
  <c r="P945" i="5"/>
  <c r="P213" i="5"/>
  <c r="P946" i="5"/>
  <c r="P410" i="5"/>
  <c r="P947" i="5"/>
  <c r="X854" i="5" s="1"/>
  <c r="P948" i="5"/>
  <c r="X855" i="5" s="1"/>
  <c r="P949" i="5"/>
  <c r="P950" i="5"/>
  <c r="P411" i="5"/>
  <c r="P951" i="5"/>
  <c r="P952" i="5"/>
  <c r="P412" i="5"/>
  <c r="P413" i="5"/>
  <c r="P953" i="5"/>
  <c r="P954" i="5"/>
  <c r="P955" i="5"/>
  <c r="P956" i="5"/>
  <c r="P957" i="5"/>
  <c r="P414" i="5"/>
  <c r="P958" i="5"/>
  <c r="P959" i="5"/>
  <c r="P960" i="5"/>
  <c r="P961" i="5"/>
  <c r="P962" i="5"/>
  <c r="P963" i="5"/>
  <c r="X874" i="5" s="1"/>
  <c r="P415" i="5"/>
  <c r="P964" i="5"/>
  <c r="P416" i="5"/>
  <c r="P965" i="5"/>
  <c r="P966" i="5"/>
  <c r="P967" i="5"/>
  <c r="P968" i="5"/>
  <c r="P969" i="5"/>
  <c r="P417" i="5"/>
  <c r="P970" i="5"/>
  <c r="P971" i="5"/>
  <c r="P214" i="5"/>
  <c r="P972" i="5"/>
  <c r="P973" i="5"/>
  <c r="P974" i="5"/>
  <c r="P418" i="5"/>
  <c r="P419" i="5"/>
  <c r="P975" i="5"/>
  <c r="P976" i="5"/>
  <c r="X893" i="5" s="1"/>
  <c r="P977" i="5"/>
  <c r="P978" i="5"/>
  <c r="P979" i="5"/>
  <c r="P980" i="5"/>
  <c r="P981" i="5"/>
  <c r="P982" i="5"/>
  <c r="P983" i="5"/>
  <c r="P984" i="5"/>
  <c r="P985" i="5"/>
  <c r="P215" i="5"/>
  <c r="P986" i="5"/>
  <c r="P987" i="5"/>
  <c r="P420" i="5"/>
  <c r="P988" i="5"/>
  <c r="P989" i="5"/>
  <c r="P990" i="5"/>
  <c r="P991" i="5"/>
  <c r="P992" i="5"/>
  <c r="P993" i="5"/>
  <c r="P421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X929" i="5" s="1"/>
  <c r="P422" i="5"/>
  <c r="X930" i="5" s="1"/>
  <c r="P1010" i="5"/>
  <c r="X931" i="5" s="1"/>
  <c r="P1011" i="5"/>
  <c r="X932" i="5" s="1"/>
  <c r="P1012" i="5"/>
  <c r="X933" i="5" s="1"/>
  <c r="P1013" i="5"/>
  <c r="X934" i="5" s="1"/>
  <c r="P1014" i="5"/>
  <c r="P1015" i="5"/>
  <c r="P1016" i="5"/>
  <c r="P1017" i="5"/>
  <c r="P1018" i="5"/>
  <c r="P423" i="5"/>
  <c r="P1019" i="5"/>
  <c r="P1020" i="5"/>
  <c r="P424" i="5"/>
  <c r="P1021" i="5"/>
  <c r="P1022" i="5"/>
  <c r="P1023" i="5"/>
  <c r="P1024" i="5"/>
  <c r="P1025" i="5"/>
  <c r="P216" i="5"/>
  <c r="P217" i="5"/>
  <c r="P1026" i="5"/>
  <c r="P1027" i="5"/>
  <c r="P425" i="5"/>
  <c r="P1028" i="5"/>
  <c r="P1029" i="5"/>
  <c r="P1030" i="5"/>
  <c r="P426" i="5"/>
  <c r="P1031" i="5"/>
  <c r="P427" i="5"/>
  <c r="P1032" i="5"/>
  <c r="P1033" i="5"/>
  <c r="P428" i="5"/>
  <c r="P1034" i="5"/>
  <c r="P1035" i="5"/>
  <c r="P1036" i="5"/>
  <c r="P218" i="5"/>
  <c r="P1037" i="5"/>
  <c r="P429" i="5"/>
  <c r="P1038" i="5"/>
  <c r="P1039" i="5"/>
  <c r="P1040" i="5"/>
  <c r="P1041" i="5"/>
  <c r="P430" i="5"/>
  <c r="P431" i="5"/>
  <c r="P1042" i="5"/>
  <c r="P1043" i="5"/>
  <c r="P432" i="5"/>
  <c r="P1044" i="5"/>
  <c r="P1045" i="5"/>
  <c r="P1046" i="5"/>
  <c r="P1047" i="5"/>
  <c r="P1048" i="5"/>
  <c r="P433" i="5"/>
  <c r="P434" i="5"/>
  <c r="P1049" i="5"/>
  <c r="P1050" i="5"/>
  <c r="P1051" i="5"/>
  <c r="P1052" i="5"/>
  <c r="P435" i="5"/>
  <c r="X989" i="5" s="1"/>
  <c r="P1053" i="5"/>
  <c r="P1054" i="5"/>
  <c r="P1055" i="5"/>
  <c r="P1056" i="5"/>
  <c r="X993" i="5" s="1"/>
  <c r="P1057" i="5"/>
  <c r="X994" i="5" s="1"/>
  <c r="P1058" i="5"/>
  <c r="X995" i="5" s="1"/>
  <c r="P1059" i="5"/>
  <c r="X996" i="5" s="1"/>
  <c r="P1060" i="5"/>
  <c r="X997" i="5" s="1"/>
  <c r="P1061" i="5"/>
  <c r="X998" i="5" s="1"/>
  <c r="P1062" i="5"/>
  <c r="X999" i="5" s="1"/>
  <c r="P1063" i="5"/>
  <c r="X1000" i="5" s="1"/>
  <c r="P1064" i="5"/>
  <c r="X1001" i="5" s="1"/>
  <c r="P436" i="5"/>
  <c r="X1002" i="5" s="1"/>
  <c r="P437" i="5"/>
  <c r="X1003" i="5" s="1"/>
  <c r="P1065" i="5"/>
  <c r="X1004" i="5" s="1"/>
  <c r="P1066" i="5"/>
  <c r="X1005" i="5" s="1"/>
  <c r="P1067" i="5"/>
  <c r="X1006" i="5" s="1"/>
  <c r="P1068" i="5"/>
  <c r="X1007" i="5" s="1"/>
  <c r="P1069" i="5"/>
  <c r="X1008" i="5" s="1"/>
  <c r="P1070" i="5"/>
  <c r="X1009" i="5" s="1"/>
  <c r="P438" i="5"/>
  <c r="P1071" i="5"/>
  <c r="P439" i="5"/>
  <c r="P1072" i="5"/>
  <c r="P1073" i="5"/>
  <c r="P440" i="5"/>
  <c r="P1074" i="5"/>
  <c r="P1075" i="5"/>
  <c r="P441" i="5"/>
  <c r="P1076" i="5"/>
  <c r="P442" i="5"/>
  <c r="P443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X1046" i="5" s="1"/>
  <c r="P1102" i="5"/>
  <c r="P1103" i="5"/>
  <c r="P1104" i="5"/>
  <c r="X1049" i="5" s="1"/>
  <c r="P1105" i="5"/>
  <c r="X1050" i="5" s="1"/>
  <c r="P1106" i="5"/>
  <c r="X1051" i="5" s="1"/>
  <c r="P1107" i="5"/>
  <c r="X1052" i="5" s="1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219" i="5"/>
  <c r="P444" i="5"/>
  <c r="P1123" i="5"/>
  <c r="P445" i="5"/>
  <c r="P1124" i="5"/>
  <c r="P1125" i="5"/>
  <c r="P1126" i="5"/>
  <c r="P1127" i="5"/>
  <c r="P1128" i="5"/>
  <c r="P1129" i="5"/>
  <c r="P1130" i="5"/>
  <c r="P1131" i="5"/>
  <c r="P1132" i="5"/>
  <c r="P446" i="5"/>
  <c r="P447" i="5"/>
  <c r="P1133" i="5"/>
  <c r="P448" i="5"/>
  <c r="P1134" i="5"/>
  <c r="X1085" i="5" s="1"/>
  <c r="P1135" i="5"/>
  <c r="P1136" i="5"/>
  <c r="P1137" i="5"/>
  <c r="P1138" i="5"/>
  <c r="P1139" i="5"/>
  <c r="P1140" i="5"/>
  <c r="P449" i="5"/>
  <c r="P1141" i="5"/>
  <c r="P1142" i="5"/>
  <c r="P450" i="5"/>
  <c r="P1143" i="5"/>
  <c r="P1144" i="5"/>
  <c r="P1145" i="5"/>
  <c r="P1146" i="5"/>
  <c r="P1147" i="5"/>
  <c r="P1148" i="5"/>
  <c r="X1101" i="5" s="1"/>
  <c r="P1149" i="5"/>
  <c r="P1150" i="5"/>
  <c r="P1151" i="5"/>
  <c r="P1152" i="5"/>
  <c r="P1153" i="5"/>
  <c r="P1154" i="5"/>
  <c r="P451" i="5"/>
  <c r="P1155" i="5"/>
  <c r="P1156" i="5"/>
  <c r="P1157" i="5"/>
  <c r="P1158" i="5"/>
  <c r="P1159" i="5"/>
  <c r="P452" i="5"/>
  <c r="P1160" i="5"/>
  <c r="P1161" i="5"/>
  <c r="P1162" i="5"/>
  <c r="X1117" i="5" s="1"/>
  <c r="P1163" i="5"/>
  <c r="P1164" i="5"/>
  <c r="P1165" i="5"/>
  <c r="P1166" i="5"/>
  <c r="P1167" i="5"/>
  <c r="P1168" i="5"/>
  <c r="P1169" i="5"/>
  <c r="P453" i="5"/>
  <c r="P1170" i="5"/>
  <c r="P454" i="5"/>
  <c r="P1171" i="5"/>
  <c r="P1172" i="5"/>
  <c r="P1173" i="5"/>
  <c r="P1174" i="5"/>
  <c r="P455" i="5"/>
  <c r="P1175" i="5"/>
  <c r="X1133" i="5" s="1"/>
  <c r="P1176" i="5"/>
  <c r="P1177" i="5"/>
  <c r="P1178" i="5"/>
  <c r="P1179" i="5"/>
  <c r="X1137" i="5" s="1"/>
  <c r="P1180" i="5"/>
  <c r="P1181" i="5"/>
  <c r="P1182" i="5"/>
  <c r="P1183" i="5"/>
  <c r="X1141" i="5" s="1"/>
  <c r="P1184" i="5"/>
  <c r="P1185" i="5"/>
  <c r="P1186" i="5"/>
  <c r="P456" i="5"/>
  <c r="P457" i="5"/>
  <c r="P1187" i="5"/>
  <c r="P458" i="5"/>
  <c r="P1188" i="5"/>
  <c r="P459" i="5"/>
  <c r="P460" i="5"/>
  <c r="P1189" i="5"/>
  <c r="P1190" i="5"/>
  <c r="P1191" i="5"/>
  <c r="P220" i="5"/>
  <c r="P1192" i="5"/>
  <c r="P1193" i="5"/>
  <c r="P1194" i="5"/>
  <c r="P1195" i="5"/>
  <c r="P1196" i="5"/>
  <c r="P1197" i="5"/>
  <c r="P1198" i="5"/>
  <c r="P1199" i="5"/>
  <c r="P1200" i="5"/>
  <c r="P1201" i="5"/>
  <c r="P461" i="5"/>
  <c r="P1202" i="5"/>
  <c r="P1203" i="5"/>
  <c r="P1204" i="5"/>
  <c r="P1205" i="5"/>
  <c r="P1206" i="5"/>
  <c r="P1207" i="5"/>
  <c r="P462" i="5"/>
  <c r="P463" i="5"/>
  <c r="P1208" i="5"/>
  <c r="P464" i="5"/>
  <c r="P1209" i="5"/>
  <c r="P1210" i="5"/>
  <c r="P465" i="5"/>
  <c r="P1211" i="5"/>
  <c r="P466" i="5"/>
  <c r="P1212" i="5"/>
  <c r="P1213" i="5"/>
  <c r="P1214" i="5"/>
  <c r="P1215" i="5"/>
  <c r="P1216" i="5"/>
  <c r="P1217" i="5"/>
  <c r="P1218" i="5"/>
  <c r="P1219" i="5"/>
  <c r="P1220" i="5"/>
  <c r="P467" i="5"/>
  <c r="P1221" i="5"/>
  <c r="P468" i="5"/>
  <c r="P1222" i="5"/>
  <c r="P1223" i="5"/>
  <c r="P1224" i="5"/>
  <c r="P1225" i="5"/>
  <c r="P1226" i="5"/>
  <c r="P1227" i="5"/>
  <c r="P1228" i="5"/>
  <c r="P469" i="5"/>
  <c r="P470" i="5"/>
  <c r="P1229" i="5"/>
  <c r="P471" i="5"/>
  <c r="P472" i="5"/>
  <c r="P1230" i="5"/>
  <c r="P1231" i="5"/>
  <c r="P1232" i="5"/>
  <c r="P1233" i="5"/>
  <c r="P1234" i="5"/>
  <c r="X1210" i="5" s="1"/>
  <c r="P473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474" i="5"/>
  <c r="P475" i="5"/>
  <c r="P1252" i="5"/>
  <c r="P1253" i="5"/>
  <c r="P1254" i="5"/>
  <c r="P1255" i="5"/>
  <c r="P1256" i="5"/>
  <c r="P476" i="5"/>
  <c r="P221" i="5"/>
  <c r="P1257" i="5"/>
  <c r="P1258" i="5"/>
  <c r="P1259" i="5"/>
  <c r="P1260" i="5"/>
  <c r="P1261" i="5"/>
  <c r="P1262" i="5"/>
  <c r="P477" i="5"/>
  <c r="P1263" i="5"/>
  <c r="X1245" i="5" s="1"/>
  <c r="P478" i="5"/>
  <c r="P1264" i="5"/>
  <c r="P1265" i="5"/>
  <c r="P1266" i="5"/>
  <c r="P1267" i="5"/>
  <c r="P1268" i="5"/>
  <c r="P1269" i="5"/>
  <c r="P1270" i="5"/>
  <c r="P1271" i="5"/>
  <c r="P479" i="5"/>
  <c r="P1272" i="5"/>
  <c r="P1273" i="5"/>
  <c r="P1274" i="5"/>
  <c r="P1275" i="5"/>
  <c r="P1276" i="5"/>
  <c r="P1277" i="5"/>
  <c r="P480" i="5"/>
  <c r="P1278" i="5"/>
  <c r="P1279" i="5"/>
  <c r="P1280" i="5"/>
  <c r="X1265" i="5" s="1"/>
  <c r="P481" i="5"/>
  <c r="P1281" i="5"/>
  <c r="P482" i="5"/>
  <c r="P1282" i="5"/>
  <c r="P1283" i="5"/>
  <c r="X1270" i="5" s="1"/>
  <c r="P1284" i="5"/>
  <c r="P1285" i="5"/>
  <c r="X1272" i="5" s="1"/>
  <c r="P1286" i="5"/>
  <c r="P1287" i="5"/>
  <c r="X1274" i="5" s="1"/>
  <c r="P1288" i="5"/>
  <c r="X1275" i="5" s="1"/>
  <c r="P1289" i="5"/>
  <c r="P1290" i="5"/>
  <c r="P79" i="5"/>
  <c r="P1291" i="5"/>
  <c r="P1292" i="5"/>
  <c r="P1293" i="5"/>
  <c r="P1294" i="5"/>
  <c r="P1295" i="5"/>
  <c r="P483" i="5"/>
  <c r="P484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485" i="5"/>
  <c r="P1311" i="5"/>
  <c r="P1312" i="5"/>
  <c r="P1313" i="5"/>
  <c r="P1314" i="5"/>
  <c r="P1315" i="5"/>
  <c r="P1316" i="5"/>
  <c r="P1317" i="5"/>
  <c r="P1318" i="5"/>
  <c r="P1319" i="5"/>
  <c r="P222" i="5"/>
  <c r="P1320" i="5"/>
  <c r="P1321" i="5"/>
  <c r="P1322" i="5"/>
  <c r="P1323" i="5"/>
  <c r="P1324" i="5"/>
  <c r="P1325" i="5"/>
  <c r="P223" i="5"/>
  <c r="P1326" i="5"/>
  <c r="P1327" i="5"/>
  <c r="P1328" i="5"/>
  <c r="P1329" i="5"/>
  <c r="P1330" i="5"/>
  <c r="P1331" i="5"/>
  <c r="P1332" i="5"/>
  <c r="X1325" i="5" s="1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X1341" i="5" s="1"/>
  <c r="P1349" i="5"/>
  <c r="P1350" i="5"/>
  <c r="P1351" i="5"/>
  <c r="P1352" i="5"/>
  <c r="P1353" i="5"/>
  <c r="P1354" i="5"/>
  <c r="P1355" i="5"/>
  <c r="P1356" i="5"/>
  <c r="P1357" i="5"/>
  <c r="P1358" i="5"/>
  <c r="P486" i="5"/>
  <c r="P1359" i="5"/>
  <c r="P1360" i="5"/>
  <c r="P1361" i="5"/>
  <c r="P1362" i="5"/>
  <c r="P1363" i="5"/>
  <c r="X1357" i="5" s="1"/>
  <c r="P1364" i="5"/>
  <c r="P1365" i="5"/>
  <c r="P1366" i="5"/>
  <c r="P487" i="5"/>
  <c r="P488" i="5"/>
  <c r="P1367" i="5"/>
  <c r="P489" i="5"/>
  <c r="P1368" i="5"/>
  <c r="P1369" i="5"/>
  <c r="P1370" i="5"/>
  <c r="P1371" i="5"/>
  <c r="P1372" i="5"/>
  <c r="P1373" i="5"/>
  <c r="P1374" i="5"/>
  <c r="P1375" i="5"/>
  <c r="P1376" i="5"/>
  <c r="P1377" i="5"/>
  <c r="P1378" i="5"/>
  <c r="P490" i="5"/>
  <c r="P1379" i="5"/>
  <c r="P1380" i="5"/>
  <c r="P1381" i="5"/>
  <c r="P1382" i="5"/>
  <c r="P1383" i="5"/>
  <c r="P1384" i="5"/>
  <c r="X1382" i="5" s="1"/>
  <c r="P1385" i="5"/>
  <c r="P1386" i="5"/>
  <c r="P1387" i="5"/>
  <c r="P1388" i="5"/>
  <c r="P1389" i="5"/>
  <c r="P1390" i="5"/>
  <c r="P1391" i="5"/>
  <c r="X1389" i="5" s="1"/>
  <c r="P1392" i="5"/>
  <c r="P1393" i="5"/>
  <c r="P1394" i="5"/>
  <c r="P1395" i="5"/>
  <c r="P1396" i="5"/>
  <c r="P1397" i="5"/>
  <c r="P1398" i="5"/>
  <c r="P1399" i="5"/>
  <c r="P1400" i="5"/>
  <c r="X1398" i="5" s="1"/>
  <c r="P1401" i="5"/>
  <c r="P1402" i="5"/>
  <c r="P1403" i="5"/>
  <c r="P1404" i="5"/>
  <c r="P491" i="5"/>
  <c r="P1405" i="5"/>
  <c r="P1406" i="5"/>
  <c r="X1405" i="5" s="1"/>
  <c r="P1407" i="5"/>
  <c r="P1408" i="5"/>
  <c r="P1409" i="5"/>
  <c r="P1410" i="5"/>
  <c r="X1409" i="5" s="1"/>
  <c r="P1411" i="5"/>
  <c r="P1412" i="5"/>
  <c r="P1413" i="5"/>
  <c r="P1414" i="5"/>
  <c r="P1415" i="5"/>
  <c r="X1414" i="5" s="1"/>
  <c r="P1416" i="5"/>
  <c r="P1417" i="5"/>
  <c r="P1418" i="5"/>
  <c r="P1419" i="5"/>
  <c r="P1420" i="5"/>
  <c r="P1421" i="5"/>
  <c r="P1422" i="5"/>
  <c r="X1421" i="5" s="1"/>
  <c r="P1423" i="5"/>
  <c r="P1424" i="5"/>
  <c r="P1425" i="5"/>
  <c r="P1426" i="5"/>
  <c r="X1425" i="5" s="1"/>
  <c r="P1427" i="5"/>
  <c r="P1428" i="5"/>
  <c r="P1429" i="5"/>
  <c r="P492" i="5"/>
  <c r="P1430" i="5"/>
  <c r="X1430" i="5" s="1"/>
  <c r="P1431" i="5"/>
  <c r="X1431" i="5" s="1"/>
  <c r="P1432" i="5"/>
  <c r="X1432" i="5" s="1"/>
  <c r="P1433" i="5"/>
  <c r="X1433" i="5" s="1"/>
  <c r="X1261" i="5" l="1"/>
  <c r="X925" i="5"/>
  <c r="X909" i="5"/>
  <c r="X701" i="5"/>
  <c r="X669" i="5"/>
  <c r="X61" i="5"/>
  <c r="X1420" i="5"/>
  <c r="X1404" i="5"/>
  <c r="X1388" i="5"/>
  <c r="X1372" i="5"/>
  <c r="X1356" i="5"/>
  <c r="X1340" i="5"/>
  <c r="X1324" i="5"/>
  <c r="X1244" i="5"/>
  <c r="X1116" i="5"/>
  <c r="X1100" i="5"/>
  <c r="X1084" i="5"/>
  <c r="X1036" i="5"/>
  <c r="X988" i="5"/>
  <c r="X924" i="5"/>
  <c r="X812" i="5"/>
  <c r="X764" i="5"/>
  <c r="X748" i="5"/>
  <c r="X700" i="5"/>
  <c r="X684" i="5"/>
  <c r="X668" i="5"/>
  <c r="X636" i="5"/>
  <c r="X540" i="5"/>
  <c r="X524" i="5"/>
  <c r="X508" i="5"/>
  <c r="X476" i="5"/>
  <c r="X300" i="5"/>
  <c r="X156" i="5"/>
  <c r="X124" i="5"/>
  <c r="X108" i="5"/>
  <c r="X92" i="5"/>
  <c r="X1373" i="5"/>
  <c r="X1197" i="5"/>
  <c r="X845" i="5"/>
  <c r="X685" i="5"/>
  <c r="X653" i="5"/>
  <c r="X557" i="5"/>
  <c r="X349" i="5"/>
  <c r="X269" i="5"/>
  <c r="X125" i="5"/>
  <c r="X93" i="5"/>
  <c r="X1419" i="5"/>
  <c r="X1403" i="5"/>
  <c r="X1387" i="5"/>
  <c r="X987" i="5"/>
  <c r="X635" i="5"/>
  <c r="X571" i="5"/>
  <c r="X555" i="5"/>
  <c r="X523" i="5"/>
  <c r="X411" i="5"/>
  <c r="X347" i="5"/>
  <c r="X267" i="5"/>
  <c r="X203" i="5"/>
  <c r="X155" i="5"/>
  <c r="X91" i="5"/>
  <c r="X1343" i="5"/>
  <c r="X1247" i="5"/>
  <c r="X1119" i="5"/>
  <c r="X1087" i="5"/>
  <c r="X591" i="5"/>
  <c r="X1327" i="5"/>
  <c r="X1103" i="5"/>
  <c r="X1368" i="5"/>
  <c r="X1256" i="5"/>
  <c r="X1192" i="5"/>
  <c r="X1128" i="5"/>
  <c r="X904" i="5"/>
  <c r="X744" i="5"/>
  <c r="X664" i="5"/>
  <c r="X1345" i="5"/>
  <c r="X1249" i="5"/>
  <c r="X1105" i="5"/>
  <c r="X881" i="5"/>
  <c r="X865" i="5"/>
  <c r="X817" i="5"/>
  <c r="X801" i="5"/>
  <c r="X641" i="5"/>
  <c r="X625" i="5"/>
  <c r="X593" i="5"/>
  <c r="X513" i="5"/>
  <c r="X465" i="5"/>
  <c r="X401" i="5"/>
  <c r="X353" i="5"/>
  <c r="X129" i="5"/>
  <c r="X97" i="5"/>
  <c r="X65" i="5"/>
  <c r="X1361" i="5"/>
  <c r="X1329" i="5"/>
  <c r="X1233" i="5"/>
  <c r="X1169" i="5"/>
  <c r="X1121" i="5"/>
  <c r="X1089" i="5"/>
  <c r="X1025" i="5"/>
  <c r="X1360" i="5"/>
  <c r="X1344" i="5"/>
  <c r="X1248" i="5"/>
  <c r="X1120" i="5"/>
  <c r="X1104" i="5"/>
  <c r="X1088" i="5"/>
  <c r="X816" i="5"/>
  <c r="X640" i="5"/>
  <c r="X512" i="5"/>
  <c r="X64" i="5"/>
  <c r="X1295" i="5"/>
  <c r="X1071" i="5"/>
  <c r="X1039" i="5"/>
  <c r="X863" i="5"/>
  <c r="X831" i="5"/>
  <c r="X815" i="5"/>
  <c r="X783" i="5"/>
  <c r="X735" i="5"/>
  <c r="X639" i="5"/>
  <c r="X607" i="5"/>
  <c r="X511" i="5"/>
  <c r="X495" i="5"/>
  <c r="X367" i="5"/>
  <c r="X335" i="5"/>
  <c r="X303" i="5"/>
  <c r="X287" i="5"/>
  <c r="X239" i="5"/>
  <c r="X111" i="5"/>
  <c r="X1142" i="5"/>
  <c r="X1359" i="5"/>
  <c r="X1311" i="5"/>
  <c r="X1183" i="5"/>
  <c r="X1422" i="5"/>
  <c r="X1406" i="5"/>
  <c r="X1390" i="5"/>
  <c r="X1374" i="5"/>
  <c r="X1358" i="5"/>
  <c r="X1342" i="5"/>
  <c r="X1326" i="5"/>
  <c r="X1310" i="5"/>
  <c r="X1262" i="5"/>
  <c r="X1246" i="5"/>
  <c r="X1230" i="5"/>
  <c r="X1198" i="5"/>
  <c r="X1182" i="5"/>
  <c r="X1134" i="5"/>
  <c r="X1118" i="5"/>
  <c r="X1102" i="5"/>
  <c r="X1086" i="5"/>
  <c r="X1038" i="5"/>
  <c r="X990" i="5"/>
  <c r="X974" i="5"/>
  <c r="X958" i="5"/>
  <c r="X926" i="5"/>
  <c r="X910" i="5"/>
  <c r="X894" i="5"/>
  <c r="X862" i="5"/>
  <c r="X846" i="5"/>
  <c r="X830" i="5"/>
  <c r="X814" i="5"/>
  <c r="X782" i="5"/>
  <c r="X766" i="5"/>
  <c r="X750" i="5"/>
  <c r="X718" i="5"/>
  <c r="X702" i="5"/>
  <c r="X686" i="5"/>
  <c r="X670" i="5"/>
  <c r="X654" i="5"/>
  <c r="X638" i="5"/>
  <c r="X622" i="5"/>
  <c r="X606" i="5"/>
  <c r="X574" i="5"/>
  <c r="X558" i="5"/>
  <c r="X542" i="5"/>
  <c r="X526" i="5"/>
  <c r="X510" i="5"/>
  <c r="X494" i="5"/>
  <c r="X462" i="5"/>
  <c r="X446" i="5"/>
  <c r="X430" i="5"/>
  <c r="X414" i="5"/>
  <c r="X398" i="5"/>
  <c r="X350" i="5"/>
  <c r="X334" i="5"/>
  <c r="X286" i="5"/>
  <c r="X270" i="5"/>
  <c r="X254" i="5"/>
  <c r="X238" i="5"/>
  <c r="X190" i="5"/>
  <c r="X126" i="5"/>
  <c r="X110" i="5"/>
  <c r="X94" i="5"/>
  <c r="X62" i="5"/>
  <c r="X30" i="5"/>
  <c r="X15" i="5"/>
  <c r="X1167" i="5"/>
  <c r="X271" i="5"/>
  <c r="X861" i="5"/>
  <c r="X605" i="5"/>
  <c r="X1255" i="5"/>
  <c r="X1023" i="5"/>
  <c r="X879" i="5"/>
  <c r="X302" i="5"/>
  <c r="X142" i="5"/>
  <c r="X248" i="5"/>
  <c r="X1191" i="5"/>
  <c r="X903" i="5"/>
  <c r="X375" i="5"/>
  <c r="X71" i="5"/>
  <c r="X1294" i="5"/>
  <c r="X648" i="5"/>
  <c r="X359" i="5"/>
  <c r="X734" i="5"/>
  <c r="X318" i="5"/>
  <c r="X88" i="5"/>
  <c r="X1297" i="5"/>
  <c r="X1281" i="5"/>
  <c r="X1217" i="5"/>
  <c r="X1073" i="5"/>
  <c r="X785" i="5"/>
  <c r="X753" i="5"/>
  <c r="X705" i="5"/>
  <c r="X673" i="5"/>
  <c r="X609" i="5"/>
  <c r="X545" i="5"/>
  <c r="X529" i="5"/>
  <c r="X481" i="5"/>
  <c r="X449" i="5"/>
  <c r="X385" i="5"/>
  <c r="X337" i="5"/>
  <c r="X321" i="5"/>
  <c r="X305" i="5"/>
  <c r="X273" i="5"/>
  <c r="X225" i="5"/>
  <c r="X209" i="5"/>
  <c r="X193" i="5"/>
  <c r="X177" i="5"/>
  <c r="X161" i="5"/>
  <c r="X145" i="5"/>
  <c r="X113" i="5"/>
  <c r="X49" i="5"/>
  <c r="X33" i="5"/>
  <c r="X17" i="5"/>
  <c r="X1393" i="5"/>
  <c r="X1377" i="5"/>
  <c r="X1313" i="5"/>
  <c r="X1201" i="5"/>
  <c r="X1185" i="5"/>
  <c r="X1153" i="5"/>
  <c r="X1057" i="5"/>
  <c r="X1041" i="5"/>
  <c r="X977" i="5"/>
  <c r="X961" i="5"/>
  <c r="X945" i="5"/>
  <c r="X913" i="5"/>
  <c r="X897" i="5"/>
  <c r="X833" i="5"/>
  <c r="X769" i="5"/>
  <c r="X737" i="5"/>
  <c r="X689" i="5"/>
  <c r="X657" i="5"/>
  <c r="X561" i="5"/>
  <c r="X433" i="5"/>
  <c r="X417" i="5"/>
  <c r="X369" i="5"/>
  <c r="X257" i="5"/>
  <c r="X1424" i="5"/>
  <c r="X1408" i="5"/>
  <c r="X1376" i="5"/>
  <c r="X1312" i="5"/>
  <c r="X1296" i="5"/>
  <c r="X1264" i="5"/>
  <c r="X1232" i="5"/>
  <c r="X1216" i="5"/>
  <c r="X1200" i="5"/>
  <c r="X1184" i="5"/>
  <c r="X1168" i="5"/>
  <c r="X1136" i="5"/>
  <c r="X1072" i="5"/>
  <c r="X1040" i="5"/>
  <c r="X1024" i="5"/>
  <c r="X992" i="5"/>
  <c r="X976" i="5"/>
  <c r="X960" i="5"/>
  <c r="X928" i="5"/>
  <c r="X912" i="5"/>
  <c r="X896" i="5"/>
  <c r="X880" i="5"/>
  <c r="X864" i="5"/>
  <c r="X832" i="5"/>
  <c r="X800" i="5"/>
  <c r="X784" i="5"/>
  <c r="X720" i="5"/>
  <c r="X656" i="5"/>
  <c r="X624" i="5"/>
  <c r="X608" i="5"/>
  <c r="X592" i="5"/>
  <c r="X528" i="5"/>
  <c r="X464" i="5"/>
  <c r="X384" i="5"/>
  <c r="X368" i="5"/>
  <c r="X352" i="5"/>
  <c r="X320" i="5"/>
  <c r="X304" i="5"/>
  <c r="X272" i="5"/>
  <c r="X256" i="5"/>
  <c r="X224" i="5"/>
  <c r="X208" i="5"/>
  <c r="X192" i="5"/>
  <c r="X160" i="5"/>
  <c r="X144" i="5"/>
  <c r="X112" i="5"/>
  <c r="X96" i="5"/>
  <c r="X48" i="5"/>
  <c r="X32" i="5"/>
  <c r="X14" i="5"/>
  <c r="X1229" i="5"/>
  <c r="X1181" i="5"/>
  <c r="X1037" i="5"/>
  <c r="X973" i="5"/>
  <c r="X957" i="5"/>
  <c r="X813" i="5"/>
  <c r="X781" i="5"/>
  <c r="X749" i="5"/>
  <c r="X429" i="5"/>
  <c r="X253" i="5"/>
  <c r="X189" i="5"/>
  <c r="X77" i="5"/>
  <c r="X1308" i="5"/>
  <c r="X1180" i="5"/>
  <c r="X1132" i="5"/>
  <c r="X972" i="5"/>
  <c r="X908" i="5"/>
  <c r="X844" i="5"/>
  <c r="X652" i="5"/>
  <c r="X28" i="5"/>
  <c r="X1355" i="5"/>
  <c r="X1323" i="5"/>
  <c r="X1259" i="5"/>
  <c r="X1195" i="5"/>
  <c r="X1115" i="5"/>
  <c r="X1099" i="5"/>
  <c r="X1035" i="5"/>
  <c r="X971" i="5"/>
  <c r="X907" i="5"/>
  <c r="X891" i="5"/>
  <c r="X843" i="5"/>
  <c r="X811" i="5"/>
  <c r="X699" i="5"/>
  <c r="X667" i="5"/>
  <c r="X651" i="5"/>
  <c r="X619" i="5"/>
  <c r="X539" i="5"/>
  <c r="X507" i="5"/>
  <c r="X283" i="5"/>
  <c r="X187" i="5"/>
  <c r="X171" i="5"/>
  <c r="X59" i="5"/>
  <c r="X1418" i="5"/>
  <c r="X1402" i="5"/>
  <c r="X1386" i="5"/>
  <c r="X1354" i="5"/>
  <c r="X1338" i="5"/>
  <c r="X1322" i="5"/>
  <c r="X1242" i="5"/>
  <c r="X1194" i="5"/>
  <c r="X1130" i="5"/>
  <c r="X1114" i="5"/>
  <c r="X1098" i="5"/>
  <c r="X1082" i="5"/>
  <c r="X1034" i="5"/>
  <c r="X986" i="5"/>
  <c r="X970" i="5"/>
  <c r="X906" i="5"/>
  <c r="X810" i="5"/>
  <c r="X746" i="5"/>
  <c r="X650" i="5"/>
  <c r="X634" i="5"/>
  <c r="X554" i="5"/>
  <c r="X538" i="5"/>
  <c r="X522" i="5"/>
  <c r="X410" i="5"/>
  <c r="X378" i="5"/>
  <c r="X282" i="5"/>
  <c r="X266" i="5"/>
  <c r="X202" i="5"/>
  <c r="X186" i="5"/>
  <c r="X170" i="5"/>
  <c r="X90" i="5"/>
  <c r="X74" i="5"/>
  <c r="X58" i="5"/>
  <c r="X10" i="5"/>
  <c r="X1309" i="5"/>
  <c r="X765" i="5"/>
  <c r="X1196" i="5"/>
  <c r="X956" i="5"/>
  <c r="X892" i="5"/>
  <c r="X716" i="5"/>
  <c r="X620" i="5"/>
  <c r="X556" i="5"/>
  <c r="X492" i="5"/>
  <c r="X428" i="5"/>
  <c r="X396" i="5"/>
  <c r="X380" i="5"/>
  <c r="X268" i="5"/>
  <c r="X220" i="5"/>
  <c r="X172" i="5"/>
  <c r="X60" i="5"/>
  <c r="X12" i="5"/>
  <c r="X1371" i="5"/>
  <c r="X1339" i="5"/>
  <c r="X1243" i="5"/>
  <c r="X1131" i="5"/>
  <c r="X1083" i="5"/>
  <c r="X923" i="5"/>
  <c r="X683" i="5"/>
  <c r="X1353" i="5"/>
  <c r="X1337" i="5"/>
  <c r="X1241" i="5"/>
  <c r="X1113" i="5"/>
  <c r="X1097" i="5"/>
  <c r="X1081" i="5"/>
  <c r="X969" i="5"/>
  <c r="X905" i="5"/>
  <c r="X809" i="5"/>
  <c r="X745" i="5"/>
  <c r="X633" i="5"/>
  <c r="X521" i="5"/>
  <c r="X377" i="5"/>
  <c r="X281" i="5"/>
  <c r="X249" i="5"/>
  <c r="X41" i="5"/>
  <c r="X1127" i="5"/>
  <c r="X1126" i="5"/>
  <c r="X822" i="5"/>
  <c r="X678" i="5"/>
  <c r="X438" i="5"/>
  <c r="X1381" i="5"/>
  <c r="X1205" i="5"/>
  <c r="X1045" i="5"/>
  <c r="X981" i="5"/>
  <c r="X917" i="5"/>
  <c r="X869" i="5"/>
  <c r="X821" i="5"/>
  <c r="X709" i="5"/>
  <c r="X693" i="5"/>
  <c r="X677" i="5"/>
  <c r="X565" i="5"/>
  <c r="X341" i="5"/>
  <c r="X309" i="5"/>
  <c r="X1367" i="5"/>
  <c r="X1206" i="5"/>
  <c r="X982" i="5"/>
  <c r="X918" i="5"/>
  <c r="X870" i="5"/>
  <c r="X742" i="5"/>
  <c r="X710" i="5"/>
  <c r="X694" i="5"/>
  <c r="X662" i="5"/>
  <c r="X470" i="5"/>
  <c r="X422" i="5"/>
  <c r="X342" i="5"/>
  <c r="X278" i="5"/>
  <c r="X134" i="5"/>
  <c r="X118" i="5"/>
  <c r="X1397" i="5"/>
  <c r="X1396" i="5"/>
  <c r="X1380" i="5"/>
  <c r="X1044" i="5"/>
  <c r="X836" i="5"/>
  <c r="X260" i="5"/>
  <c r="X1415" i="5"/>
  <c r="X1399" i="5"/>
  <c r="X1383" i="5"/>
  <c r="X1271" i="5"/>
  <c r="X1207" i="5"/>
  <c r="X1047" i="5"/>
  <c r="X983" i="5"/>
  <c r="X919" i="5"/>
  <c r="X871" i="5"/>
  <c r="X823" i="5"/>
  <c r="X711" i="5"/>
  <c r="X695" i="5"/>
  <c r="X679" i="5"/>
  <c r="X663" i="5"/>
  <c r="X567" i="5"/>
  <c r="X471" i="5"/>
  <c r="X439" i="5"/>
  <c r="X343" i="5"/>
  <c r="X295" i="5"/>
  <c r="X279" i="5"/>
  <c r="X183" i="5"/>
  <c r="X135" i="5"/>
  <c r="X119" i="5"/>
  <c r="X39" i="5"/>
  <c r="X721" i="5"/>
  <c r="X1328" i="5"/>
  <c r="X1260" i="5"/>
  <c r="X1392" i="5"/>
  <c r="X848" i="5"/>
  <c r="X768" i="5"/>
  <c r="X704" i="5"/>
  <c r="X688" i="5"/>
  <c r="X672" i="5"/>
  <c r="X560" i="5"/>
  <c r="X480" i="5"/>
  <c r="X448" i="5"/>
  <c r="X416" i="5"/>
  <c r="X288" i="5"/>
  <c r="X240" i="5"/>
  <c r="X128" i="5"/>
  <c r="X16" i="5"/>
  <c r="X1423" i="5"/>
  <c r="X1407" i="5"/>
  <c r="X1391" i="5"/>
  <c r="X1375" i="5"/>
  <c r="X1263" i="5"/>
  <c r="X1231" i="5"/>
  <c r="X1199" i="5"/>
  <c r="X1135" i="5"/>
  <c r="X991" i="5"/>
  <c r="X975" i="5"/>
  <c r="X959" i="5"/>
  <c r="X927" i="5"/>
  <c r="X911" i="5"/>
  <c r="X895" i="5"/>
  <c r="X847" i="5"/>
  <c r="X767" i="5"/>
  <c r="X719" i="5"/>
  <c r="X703" i="5"/>
  <c r="X687" i="5"/>
  <c r="X671" i="5"/>
  <c r="X655" i="5"/>
  <c r="X623" i="5"/>
  <c r="X559" i="5"/>
  <c r="X527" i="5"/>
  <c r="X479" i="5"/>
  <c r="X463" i="5"/>
  <c r="X447" i="5"/>
  <c r="X431" i="5"/>
  <c r="X415" i="5"/>
  <c r="X399" i="5"/>
  <c r="X351" i="5"/>
  <c r="X319" i="5"/>
  <c r="X255" i="5"/>
  <c r="X223" i="5"/>
  <c r="X207" i="5"/>
  <c r="X143" i="5"/>
  <c r="X127" i="5"/>
  <c r="X95" i="5"/>
  <c r="X79" i="5"/>
  <c r="X63" i="5"/>
  <c r="X47" i="5"/>
  <c r="X31" i="5"/>
  <c r="X922" i="5"/>
  <c r="X698" i="5"/>
  <c r="X682" i="5"/>
  <c r="X666" i="5"/>
  <c r="X394" i="5"/>
  <c r="X346" i="5"/>
  <c r="X218" i="5"/>
  <c r="X1417" i="5"/>
  <c r="X1401" i="5"/>
  <c r="X1385" i="5"/>
  <c r="X1369" i="5"/>
  <c r="X1257" i="5"/>
  <c r="X1193" i="5"/>
  <c r="X1129" i="5"/>
  <c r="X985" i="5"/>
  <c r="X921" i="5"/>
  <c r="X873" i="5"/>
  <c r="X793" i="5"/>
  <c r="X761" i="5"/>
  <c r="X713" i="5"/>
  <c r="X697" i="5"/>
  <c r="X681" i="5"/>
  <c r="X665" i="5"/>
  <c r="X649" i="5"/>
  <c r="X569" i="5"/>
  <c r="X537" i="5"/>
  <c r="X489" i="5"/>
  <c r="X409" i="5"/>
  <c r="X393" i="5"/>
  <c r="X329" i="5"/>
  <c r="X297" i="5"/>
  <c r="X233" i="5"/>
  <c r="X217" i="5"/>
  <c r="X89" i="5"/>
  <c r="X1370" i="5"/>
  <c r="X1258" i="5"/>
  <c r="X1416" i="5"/>
  <c r="X1400" i="5"/>
  <c r="X1384" i="5"/>
  <c r="X1208" i="5"/>
  <c r="X376" i="5"/>
  <c r="X1428" i="5"/>
  <c r="X1412" i="5"/>
  <c r="X1268" i="5"/>
  <c r="X1140" i="5"/>
  <c r="X852" i="5"/>
  <c r="X228" i="5"/>
  <c r="X1276" i="5"/>
  <c r="X1154" i="5"/>
  <c r="X1058" i="5"/>
  <c r="X1010" i="5"/>
  <c r="X82" i="5"/>
  <c r="X1277" i="5"/>
  <c r="X11" i="5"/>
  <c r="X1273" i="5"/>
  <c r="X1143" i="5"/>
  <c r="X7" i="5"/>
  <c r="X102" i="5"/>
  <c r="X6" i="5"/>
  <c r="X1429" i="5"/>
  <c r="X1413" i="5"/>
  <c r="X1269" i="5"/>
  <c r="X949" i="5"/>
  <c r="X853" i="5"/>
  <c r="X837" i="5"/>
  <c r="X725" i="5"/>
  <c r="X517" i="5"/>
  <c r="X389" i="5"/>
  <c r="X325" i="5"/>
  <c r="X213" i="5"/>
  <c r="X5" i="5"/>
  <c r="X496" i="5"/>
  <c r="X497" i="5"/>
  <c r="X1063" i="5"/>
  <c r="X1015" i="5"/>
  <c r="X772" i="5"/>
  <c r="X596" i="5"/>
  <c r="X548" i="5"/>
  <c r="X771" i="5"/>
  <c r="X81" i="5"/>
  <c r="X80" i="5"/>
  <c r="X505" i="5"/>
  <c r="X9" i="5"/>
  <c r="X935" i="5"/>
  <c r="X583" i="5"/>
  <c r="X151" i="5"/>
  <c r="X758" i="5"/>
  <c r="X610" i="5"/>
  <c r="X498" i="5"/>
  <c r="X226" i="5"/>
  <c r="X1152" i="5"/>
  <c r="X736" i="5"/>
  <c r="X400" i="5"/>
  <c r="X336" i="5"/>
  <c r="X176" i="5"/>
  <c r="X1279" i="5"/>
  <c r="X1215" i="5"/>
  <c r="X799" i="5"/>
  <c r="X191" i="5"/>
  <c r="X1070" i="5"/>
  <c r="X590" i="5"/>
  <c r="X478" i="5"/>
  <c r="X366" i="5"/>
  <c r="X46" i="5"/>
  <c r="X1293" i="5"/>
  <c r="X1069" i="5"/>
  <c r="X1021" i="5"/>
  <c r="X941" i="5"/>
  <c r="X365" i="5"/>
  <c r="X301" i="5"/>
  <c r="X1292" i="5"/>
  <c r="X1212" i="5"/>
  <c r="X1164" i="5"/>
  <c r="X860" i="5"/>
  <c r="X460" i="5"/>
  <c r="X140" i="5"/>
  <c r="X44" i="5"/>
  <c r="X1227" i="5"/>
  <c r="X1163" i="5"/>
  <c r="X1067" i="5"/>
  <c r="X731" i="5"/>
  <c r="X491" i="5"/>
  <c r="X459" i="5"/>
  <c r="X395" i="5"/>
  <c r="X363" i="5"/>
  <c r="X235" i="5"/>
  <c r="X107" i="5"/>
  <c r="X1226" i="5"/>
  <c r="X1178" i="5"/>
  <c r="X1066" i="5"/>
  <c r="X730" i="5"/>
  <c r="X602" i="5"/>
  <c r="X458" i="5"/>
  <c r="X426" i="5"/>
  <c r="X362" i="5"/>
  <c r="X122" i="5"/>
  <c r="X106" i="5"/>
  <c r="X1177" i="5"/>
  <c r="X1214" i="5"/>
  <c r="X1022" i="5"/>
  <c r="X942" i="5"/>
  <c r="X798" i="5"/>
  <c r="X78" i="5"/>
  <c r="X733" i="5"/>
  <c r="X589" i="5"/>
  <c r="X445" i="5"/>
  <c r="X333" i="5"/>
  <c r="X1228" i="5"/>
  <c r="X1148" i="5"/>
  <c r="X1068" i="5"/>
  <c r="X604" i="5"/>
  <c r="X444" i="5"/>
  <c r="X332" i="5"/>
  <c r="X76" i="5"/>
  <c r="X1307" i="5"/>
  <c r="X1019" i="5"/>
  <c r="X939" i="5"/>
  <c r="X859" i="5"/>
  <c r="X779" i="5"/>
  <c r="X603" i="5"/>
  <c r="X427" i="5"/>
  <c r="X315" i="5"/>
  <c r="X75" i="5"/>
  <c r="X1018" i="5"/>
  <c r="X490" i="5"/>
  <c r="X314" i="5"/>
  <c r="X1289" i="5"/>
  <c r="X1225" i="5"/>
  <c r="X1145" i="5"/>
  <c r="X937" i="5"/>
  <c r="X841" i="5"/>
  <c r="X1056" i="5"/>
  <c r="X944" i="5"/>
  <c r="X432" i="5"/>
  <c r="X1055" i="5"/>
  <c r="X943" i="5"/>
  <c r="X159" i="5"/>
  <c r="X1150" i="5"/>
  <c r="X1054" i="5"/>
  <c r="X382" i="5"/>
  <c r="X222" i="5"/>
  <c r="X158" i="5"/>
  <c r="X1213" i="5"/>
  <c r="X1165" i="5"/>
  <c r="X1053" i="5"/>
  <c r="X877" i="5"/>
  <c r="X829" i="5"/>
  <c r="X461" i="5"/>
  <c r="X413" i="5"/>
  <c r="X381" i="5"/>
  <c r="X317" i="5"/>
  <c r="X285" i="5"/>
  <c r="X237" i="5"/>
  <c r="X141" i="5"/>
  <c r="X45" i="5"/>
  <c r="X1020" i="5"/>
  <c r="X940" i="5"/>
  <c r="X828" i="5"/>
  <c r="X588" i="5"/>
  <c r="X364" i="5"/>
  <c r="X316" i="5"/>
  <c r="X284" i="5"/>
  <c r="X252" i="5"/>
  <c r="X236" i="5"/>
  <c r="X204" i="5"/>
  <c r="X188" i="5"/>
  <c r="X1179" i="5"/>
  <c r="X955" i="5"/>
  <c r="X747" i="5"/>
  <c r="X715" i="5"/>
  <c r="X475" i="5"/>
  <c r="X443" i="5"/>
  <c r="X379" i="5"/>
  <c r="X331" i="5"/>
  <c r="X219" i="5"/>
  <c r="X123" i="5"/>
  <c r="X27" i="5"/>
  <c r="X1146" i="5"/>
  <c r="X938" i="5"/>
  <c r="X890" i="5"/>
  <c r="X858" i="5"/>
  <c r="X762" i="5"/>
  <c r="X714" i="5"/>
  <c r="X618" i="5"/>
  <c r="X474" i="5"/>
  <c r="X250" i="5"/>
  <c r="X138" i="5"/>
  <c r="X42" i="5"/>
  <c r="X1321" i="5"/>
  <c r="X1209" i="5"/>
  <c r="X1161" i="5"/>
  <c r="X1017" i="5"/>
  <c r="X857" i="5"/>
  <c r="X729" i="5"/>
  <c r="X601" i="5"/>
  <c r="X585" i="5"/>
  <c r="X553" i="5"/>
  <c r="X1280" i="5"/>
  <c r="X752" i="5"/>
  <c r="X544" i="5"/>
  <c r="X1151" i="5"/>
  <c r="X383" i="5"/>
  <c r="X175" i="5"/>
  <c r="X1278" i="5"/>
  <c r="X1166" i="5"/>
  <c r="X878" i="5"/>
  <c r="X206" i="5"/>
  <c r="X174" i="5"/>
  <c r="X1149" i="5"/>
  <c r="X797" i="5"/>
  <c r="X205" i="5"/>
  <c r="X157" i="5"/>
  <c r="X876" i="5"/>
  <c r="X780" i="5"/>
  <c r="X732" i="5"/>
  <c r="X412" i="5"/>
  <c r="X348" i="5"/>
  <c r="X1291" i="5"/>
  <c r="X1211" i="5"/>
  <c r="X1147" i="5"/>
  <c r="X875" i="5"/>
  <c r="X763" i="5"/>
  <c r="X587" i="5"/>
  <c r="X299" i="5"/>
  <c r="X251" i="5"/>
  <c r="X139" i="5"/>
  <c r="X43" i="5"/>
  <c r="X1306" i="5"/>
  <c r="X1290" i="5"/>
  <c r="X1162" i="5"/>
  <c r="X954" i="5"/>
  <c r="X842" i="5"/>
  <c r="X778" i="5"/>
  <c r="X586" i="5"/>
  <c r="X506" i="5"/>
  <c r="X442" i="5"/>
  <c r="X330" i="5"/>
  <c r="X298" i="5"/>
  <c r="X154" i="5"/>
  <c r="X26" i="5"/>
  <c r="X1305" i="5"/>
  <c r="X1065" i="5"/>
  <c r="X1033" i="5"/>
  <c r="X953" i="5"/>
  <c r="X889" i="5"/>
  <c r="X777" i="5"/>
  <c r="X617" i="5"/>
  <c r="X1096" i="5"/>
  <c r="X457" i="5"/>
  <c r="X201" i="5"/>
  <c r="X153" i="5"/>
  <c r="X57" i="5"/>
  <c r="X1176" i="5"/>
  <c r="X1112" i="5"/>
  <c r="X1351" i="5"/>
  <c r="X1303" i="5"/>
  <c r="X1239" i="5"/>
  <c r="X1079" i="5"/>
  <c r="X967" i="5"/>
  <c r="X791" i="5"/>
  <c r="X743" i="5"/>
  <c r="X631" i="5"/>
  <c r="X599" i="5"/>
  <c r="X551" i="5"/>
  <c r="X519" i="5"/>
  <c r="X327" i="5"/>
  <c r="X231" i="5"/>
  <c r="X199" i="5"/>
  <c r="X103" i="5"/>
  <c r="X55" i="5"/>
  <c r="X1366" i="5"/>
  <c r="X1302" i="5"/>
  <c r="X1174" i="5"/>
  <c r="X1110" i="5"/>
  <c r="X1078" i="5"/>
  <c r="X1014" i="5"/>
  <c r="X774" i="5"/>
  <c r="X646" i="5"/>
  <c r="X358" i="5"/>
  <c r="X326" i="5"/>
  <c r="X214" i="5"/>
  <c r="X182" i="5"/>
  <c r="X54" i="5"/>
  <c r="X1365" i="5"/>
  <c r="X1301" i="5"/>
  <c r="X1221" i="5"/>
  <c r="X1173" i="5"/>
  <c r="X1109" i="5"/>
  <c r="X1061" i="5"/>
  <c r="X965" i="5"/>
  <c r="X901" i="5"/>
  <c r="X661" i="5"/>
  <c r="X613" i="5"/>
  <c r="X549" i="5"/>
  <c r="X501" i="5"/>
  <c r="X437" i="5"/>
  <c r="X357" i="5"/>
  <c r="X277" i="5"/>
  <c r="X261" i="5"/>
  <c r="X245" i="5"/>
  <c r="X229" i="5"/>
  <c r="X197" i="5"/>
  <c r="X181" i="5"/>
  <c r="X165" i="5"/>
  <c r="X149" i="5"/>
  <c r="X133" i="5"/>
  <c r="X117" i="5"/>
  <c r="X101" i="5"/>
  <c r="X85" i="5"/>
  <c r="X69" i="5"/>
  <c r="X441" i="5"/>
  <c r="X73" i="5"/>
  <c r="X1336" i="5"/>
  <c r="X1160" i="5"/>
  <c r="X1287" i="5"/>
  <c r="X807" i="5"/>
  <c r="X615" i="5"/>
  <c r="X503" i="5"/>
  <c r="X391" i="5"/>
  <c r="X1254" i="5"/>
  <c r="X1030" i="5"/>
  <c r="X966" i="5"/>
  <c r="X886" i="5"/>
  <c r="X790" i="5"/>
  <c r="X614" i="5"/>
  <c r="X518" i="5"/>
  <c r="X70" i="5"/>
  <c r="X1029" i="5"/>
  <c r="X805" i="5"/>
  <c r="X597" i="5"/>
  <c r="X53" i="5"/>
  <c r="X1348" i="5"/>
  <c r="X1252" i="5"/>
  <c r="X1156" i="5"/>
  <c r="X1012" i="5"/>
  <c r="X361" i="5"/>
  <c r="X185" i="5"/>
  <c r="X137" i="5"/>
  <c r="X105" i="5"/>
  <c r="X25" i="5"/>
  <c r="X1320" i="5"/>
  <c r="X1288" i="5"/>
  <c r="X1224" i="5"/>
  <c r="X1144" i="5"/>
  <c r="X1319" i="5"/>
  <c r="X1159" i="5"/>
  <c r="X1095" i="5"/>
  <c r="X1031" i="5"/>
  <c r="X951" i="5"/>
  <c r="X759" i="5"/>
  <c r="X647" i="5"/>
  <c r="X423" i="5"/>
  <c r="X247" i="5"/>
  <c r="X215" i="5"/>
  <c r="X167" i="5"/>
  <c r="X1350" i="5"/>
  <c r="X1318" i="5"/>
  <c r="X1286" i="5"/>
  <c r="X1222" i="5"/>
  <c r="X806" i="5"/>
  <c r="X630" i="5"/>
  <c r="X582" i="5"/>
  <c r="X534" i="5"/>
  <c r="X486" i="5"/>
  <c r="X454" i="5"/>
  <c r="X406" i="5"/>
  <c r="X230" i="5"/>
  <c r="X1349" i="5"/>
  <c r="X1333" i="5"/>
  <c r="X1285" i="5"/>
  <c r="X1237" i="5"/>
  <c r="X1189" i="5"/>
  <c r="X1125" i="5"/>
  <c r="X885" i="5"/>
  <c r="X789" i="5"/>
  <c r="X741" i="5"/>
  <c r="X645" i="5"/>
  <c r="X469" i="5"/>
  <c r="X421" i="5"/>
  <c r="X373" i="5"/>
  <c r="X21" i="5"/>
  <c r="X1332" i="5"/>
  <c r="X1124" i="5"/>
  <c r="X1108" i="5"/>
  <c r="X1076" i="5"/>
  <c r="X1060" i="5"/>
  <c r="X1028" i="5"/>
  <c r="X1427" i="5"/>
  <c r="X473" i="5"/>
  <c r="X425" i="5"/>
  <c r="X345" i="5"/>
  <c r="X313" i="5"/>
  <c r="X265" i="5"/>
  <c r="X169" i="5"/>
  <c r="X121" i="5"/>
  <c r="X1352" i="5"/>
  <c r="X1304" i="5"/>
  <c r="X1240" i="5"/>
  <c r="X1335" i="5"/>
  <c r="X1223" i="5"/>
  <c r="X1175" i="5"/>
  <c r="X1111" i="5"/>
  <c r="X887" i="5"/>
  <c r="X839" i="5"/>
  <c r="X775" i="5"/>
  <c r="X727" i="5"/>
  <c r="X535" i="5"/>
  <c r="X487" i="5"/>
  <c r="X455" i="5"/>
  <c r="X407" i="5"/>
  <c r="X311" i="5"/>
  <c r="X263" i="5"/>
  <c r="X87" i="5"/>
  <c r="X23" i="5"/>
  <c r="X1334" i="5"/>
  <c r="X1238" i="5"/>
  <c r="X1190" i="5"/>
  <c r="X1158" i="5"/>
  <c r="X1094" i="5"/>
  <c r="X1062" i="5"/>
  <c r="X950" i="5"/>
  <c r="X902" i="5"/>
  <c r="X726" i="5"/>
  <c r="X598" i="5"/>
  <c r="X550" i="5"/>
  <c r="X502" i="5"/>
  <c r="X374" i="5"/>
  <c r="X294" i="5"/>
  <c r="X246" i="5"/>
  <c r="X198" i="5"/>
  <c r="X166" i="5"/>
  <c r="X86" i="5"/>
  <c r="X22" i="5"/>
  <c r="X1317" i="5"/>
  <c r="X1253" i="5"/>
  <c r="X1157" i="5"/>
  <c r="X1093" i="5"/>
  <c r="X1077" i="5"/>
  <c r="X1013" i="5"/>
  <c r="X773" i="5"/>
  <c r="X629" i="5"/>
  <c r="X581" i="5"/>
  <c r="X533" i="5"/>
  <c r="X485" i="5"/>
  <c r="X453" i="5"/>
  <c r="X405" i="5"/>
  <c r="X293" i="5"/>
  <c r="X37" i="5"/>
  <c r="X1364" i="5"/>
  <c r="X1316" i="5"/>
  <c r="X1300" i="5"/>
  <c r="X1284" i="5"/>
  <c r="X1236" i="5"/>
  <c r="X1220" i="5"/>
  <c r="X1204" i="5"/>
  <c r="X1188" i="5"/>
  <c r="X1172" i="5"/>
  <c r="X1092" i="5"/>
  <c r="X1426" i="5"/>
  <c r="X1410" i="5"/>
  <c r="X1394" i="5"/>
  <c r="X1378" i="5"/>
  <c r="X1362" i="5"/>
  <c r="X1346" i="5"/>
  <c r="X1330" i="5"/>
  <c r="X1314" i="5"/>
  <c r="X1298" i="5"/>
  <c r="X1282" i="5"/>
  <c r="X1266" i="5"/>
  <c r="X1250" i="5"/>
  <c r="X1234" i="5"/>
  <c r="X1218" i="5"/>
  <c r="X1202" i="5"/>
  <c r="X1080" i="5"/>
  <c r="X1064" i="5"/>
  <c r="X1048" i="5"/>
  <c r="X1032" i="5"/>
  <c r="X1016" i="5"/>
  <c r="X984" i="5"/>
  <c r="X968" i="5"/>
  <c r="X952" i="5"/>
  <c r="X936" i="5"/>
  <c r="X920" i="5"/>
  <c r="X888" i="5"/>
  <c r="X872" i="5"/>
  <c r="X856" i="5"/>
  <c r="X840" i="5"/>
  <c r="X824" i="5"/>
  <c r="X808" i="5"/>
  <c r="X792" i="5"/>
  <c r="X776" i="5"/>
  <c r="X760" i="5"/>
  <c r="X728" i="5"/>
  <c r="X712" i="5"/>
  <c r="X696" i="5"/>
  <c r="X680" i="5"/>
  <c r="X632" i="5"/>
  <c r="X616" i="5"/>
  <c r="X600" i="5"/>
  <c r="X584" i="5"/>
  <c r="X568" i="5"/>
  <c r="X552" i="5"/>
  <c r="X536" i="5"/>
  <c r="X520" i="5"/>
  <c r="X504" i="5"/>
  <c r="X488" i="5"/>
  <c r="X472" i="5"/>
  <c r="X456" i="5"/>
  <c r="X440" i="5"/>
  <c r="X424" i="5"/>
  <c r="X408" i="5"/>
  <c r="X392" i="5"/>
  <c r="X360" i="5"/>
  <c r="X344" i="5"/>
  <c r="X328" i="5"/>
  <c r="X312" i="5"/>
  <c r="X296" i="5"/>
  <c r="X280" i="5"/>
  <c r="X264" i="5"/>
  <c r="X232" i="5"/>
  <c r="X216" i="5"/>
  <c r="X200" i="5"/>
  <c r="X184" i="5"/>
  <c r="X168" i="5"/>
  <c r="X152" i="5"/>
  <c r="X136" i="5"/>
  <c r="X120" i="5"/>
  <c r="X104" i="5"/>
  <c r="X72" i="5"/>
  <c r="X56" i="5"/>
  <c r="X40" i="5"/>
  <c r="X24" i="5"/>
  <c r="X8" i="5"/>
  <c r="X980" i="5"/>
  <c r="X964" i="5"/>
  <c r="X948" i="5"/>
  <c r="X916" i="5"/>
  <c r="X900" i="5"/>
  <c r="X884" i="5"/>
  <c r="X868" i="5"/>
  <c r="X820" i="5"/>
  <c r="X804" i="5"/>
  <c r="X788" i="5"/>
  <c r="X740" i="5"/>
  <c r="X724" i="5"/>
  <c r="X708" i="5"/>
  <c r="X692" i="5"/>
  <c r="X676" i="5"/>
  <c r="X660" i="5"/>
  <c r="X644" i="5"/>
  <c r="X628" i="5"/>
  <c r="X612" i="5"/>
  <c r="X564" i="5"/>
  <c r="X532" i="5"/>
  <c r="X516" i="5"/>
  <c r="X500" i="5"/>
  <c r="X484" i="5"/>
  <c r="X468" i="5"/>
  <c r="X452" i="5"/>
  <c r="X436" i="5"/>
  <c r="X420" i="5"/>
  <c r="X404" i="5"/>
  <c r="X388" i="5"/>
  <c r="X372" i="5"/>
  <c r="X356" i="5"/>
  <c r="X340" i="5"/>
  <c r="X324" i="5"/>
  <c r="X308" i="5"/>
  <c r="X292" i="5"/>
  <c r="X276" i="5"/>
  <c r="X244" i="5"/>
  <c r="X212" i="5"/>
  <c r="X196" i="5"/>
  <c r="X180" i="5"/>
  <c r="X164" i="5"/>
  <c r="X148" i="5"/>
  <c r="X132" i="5"/>
  <c r="X116" i="5"/>
  <c r="X100" i="5"/>
  <c r="X84" i="5"/>
  <c r="X68" i="5"/>
  <c r="X52" i="5"/>
  <c r="X36" i="5"/>
  <c r="X20" i="5"/>
  <c r="X4" i="5"/>
  <c r="X1411" i="5"/>
  <c r="X1395" i="5"/>
  <c r="X1379" i="5"/>
  <c r="X1363" i="5"/>
  <c r="X1347" i="5"/>
  <c r="X1331" i="5"/>
  <c r="X1315" i="5"/>
  <c r="X1299" i="5"/>
  <c r="X1283" i="5"/>
  <c r="X1267" i="5"/>
  <c r="X1251" i="5"/>
  <c r="X1235" i="5"/>
  <c r="X1219" i="5"/>
  <c r="X1203" i="5"/>
  <c r="X1187" i="5"/>
  <c r="X1171" i="5"/>
  <c r="X1155" i="5"/>
  <c r="X1139" i="5"/>
  <c r="X1123" i="5"/>
  <c r="X1107" i="5"/>
  <c r="X1091" i="5"/>
  <c r="X1075" i="5"/>
  <c r="X1059" i="5"/>
  <c r="X1043" i="5"/>
  <c r="X1027" i="5"/>
  <c r="X1011" i="5"/>
  <c r="X979" i="5"/>
  <c r="X963" i="5"/>
  <c r="X947" i="5"/>
  <c r="X915" i="5"/>
  <c r="X899" i="5"/>
  <c r="X883" i="5"/>
  <c r="X867" i="5"/>
  <c r="X851" i="5"/>
  <c r="X835" i="5"/>
  <c r="X819" i="5"/>
  <c r="X803" i="5"/>
  <c r="X787" i="5"/>
  <c r="X755" i="5"/>
  <c r="X739" i="5"/>
  <c r="X723" i="5"/>
  <c r="X707" i="5"/>
  <c r="X691" i="5"/>
  <c r="X675" i="5"/>
  <c r="X659" i="5"/>
  <c r="X643" i="5"/>
  <c r="X627" i="5"/>
  <c r="X611" i="5"/>
  <c r="X595" i="5"/>
  <c r="X563" i="5"/>
  <c r="X547" i="5"/>
  <c r="X531" i="5"/>
  <c r="X515" i="5"/>
  <c r="X499" i="5"/>
  <c r="X483" i="5"/>
  <c r="X467" i="5"/>
  <c r="X451" i="5"/>
  <c r="X435" i="5"/>
  <c r="X419" i="5"/>
  <c r="X403" i="5"/>
  <c r="X387" i="5"/>
  <c r="X371" i="5"/>
  <c r="X355" i="5"/>
  <c r="X339" i="5"/>
  <c r="X323" i="5"/>
  <c r="X307" i="5"/>
  <c r="X291" i="5"/>
  <c r="X275" i="5"/>
  <c r="X259" i="5"/>
  <c r="X243" i="5"/>
  <c r="X227" i="5"/>
  <c r="X211" i="5"/>
  <c r="X195" i="5"/>
  <c r="X179" i="5"/>
  <c r="X163" i="5"/>
  <c r="X147" i="5"/>
  <c r="X131" i="5"/>
  <c r="X115" i="5"/>
  <c r="X99" i="5"/>
  <c r="X83" i="5"/>
  <c r="X67" i="5"/>
  <c r="X51" i="5"/>
  <c r="X35" i="5"/>
  <c r="X19" i="5"/>
  <c r="X3" i="5"/>
  <c r="X1186" i="5"/>
  <c r="X1170" i="5"/>
  <c r="X1138" i="5"/>
  <c r="X1122" i="5"/>
  <c r="X1106" i="5"/>
  <c r="X1090" i="5"/>
  <c r="X1074" i="5"/>
  <c r="X1042" i="5"/>
  <c r="X1026" i="5"/>
  <c r="X978" i="5"/>
  <c r="X962" i="5"/>
  <c r="X946" i="5"/>
  <c r="X914" i="5"/>
  <c r="X898" i="5"/>
  <c r="X882" i="5"/>
  <c r="X866" i="5"/>
  <c r="X850" i="5"/>
  <c r="X834" i="5"/>
  <c r="X818" i="5"/>
  <c r="X802" i="5"/>
  <c r="X786" i="5"/>
  <c r="X770" i="5"/>
  <c r="X754" i="5"/>
  <c r="X738" i="5"/>
  <c r="X722" i="5"/>
  <c r="X706" i="5"/>
  <c r="X690" i="5"/>
  <c r="X674" i="5"/>
  <c r="X658" i="5"/>
  <c r="X642" i="5"/>
  <c r="X626" i="5"/>
  <c r="X594" i="5"/>
  <c r="X562" i="5"/>
  <c r="X546" i="5"/>
  <c r="X530" i="5"/>
  <c r="X514" i="5"/>
  <c r="X482" i="5"/>
  <c r="X466" i="5"/>
  <c r="X450" i="5"/>
  <c r="X434" i="5"/>
  <c r="X418" i="5"/>
  <c r="X402" i="5"/>
  <c r="X386" i="5"/>
  <c r="X370" i="5"/>
  <c r="X354" i="5"/>
  <c r="X338" i="5"/>
  <c r="X322" i="5"/>
  <c r="X306" i="5"/>
  <c r="X290" i="5"/>
  <c r="X274" i="5"/>
  <c r="X258" i="5"/>
  <c r="X242" i="5"/>
  <c r="X210" i="5"/>
  <c r="X194" i="5"/>
  <c r="X178" i="5"/>
  <c r="X162" i="5"/>
  <c r="X146" i="5"/>
  <c r="X130" i="5"/>
  <c r="X114" i="5"/>
  <c r="X98" i="5"/>
  <c r="X66" i="5"/>
  <c r="X50" i="5"/>
  <c r="X34" i="5"/>
  <c r="X18" i="5"/>
  <c r="Q2" i="5"/>
  <c r="X1" i="5" l="1"/>
</calcChain>
</file>

<file path=xl/sharedStrings.xml><?xml version="1.0" encoding="utf-8"?>
<sst xmlns="http://schemas.openxmlformats.org/spreadsheetml/2006/main" count="10044" uniqueCount="3206">
  <si>
    <t xml:space="preserve">Item </t>
  </si>
  <si>
    <t>Description</t>
  </si>
  <si>
    <t>SW001</t>
  </si>
  <si>
    <t>Swanson Vitamin A 10,000 Iu (3,000 mcg Rae) 250 Sgels</t>
  </si>
  <si>
    <t>SW004</t>
  </si>
  <si>
    <t>Swanson Vitamins A &amp; D 250 Sgels</t>
  </si>
  <si>
    <t>SW007</t>
  </si>
  <si>
    <t>Swanson Beta-Carotene 25,000 Iu (7,500 mcg Rae) 100 Sgels</t>
  </si>
  <si>
    <t>SW009</t>
  </si>
  <si>
    <t>Swanson Beta-Carotene 10,000 Iu (3,000 mcg Rae) 100 Sgels</t>
  </si>
  <si>
    <t>SW010</t>
  </si>
  <si>
    <t>Swanson Beta-Carotene 10,000 Iu (3,000 mcg Rae) 250 Sgels</t>
  </si>
  <si>
    <t>SW016</t>
  </si>
  <si>
    <t>Swanson Vitamin B1 Thiamin 100 mg 250 Caps</t>
  </si>
  <si>
    <t>SW018</t>
  </si>
  <si>
    <t>Swanson Riboflavin Vitamin B2 100 mg 100 Caps</t>
  </si>
  <si>
    <t>SW021</t>
  </si>
  <si>
    <t>SW030</t>
  </si>
  <si>
    <t>SW031</t>
  </si>
  <si>
    <t>SW035</t>
  </si>
  <si>
    <t>SW039</t>
  </si>
  <si>
    <t>Swanson Choline &amp; Inositol 250 Caps</t>
  </si>
  <si>
    <t>SW043</t>
  </si>
  <si>
    <t>Swanson Niacin 100 mg 250 Tabs</t>
  </si>
  <si>
    <t>SW047</t>
  </si>
  <si>
    <t>Swanson Niacin 500 mg 250 Caps</t>
  </si>
  <si>
    <t>SW052</t>
  </si>
  <si>
    <t>Swanson Niacinamide 500 mg 250 Caps</t>
  </si>
  <si>
    <t>SW056</t>
  </si>
  <si>
    <t>Swanson Balance B-100 Complex - High Potency 300 Caps</t>
  </si>
  <si>
    <t>SW057</t>
  </si>
  <si>
    <t>Swanson Balance B-50 Complex 100 Caps</t>
  </si>
  <si>
    <t>SW058</t>
  </si>
  <si>
    <t>Swanson Balance B-50 Complex 250 Caps</t>
  </si>
  <si>
    <t>SW065</t>
  </si>
  <si>
    <t>Swanson Pantothenic Acid 500 mg 250 Caps</t>
  </si>
  <si>
    <t>SW1001</t>
  </si>
  <si>
    <t>SW1002</t>
  </si>
  <si>
    <t>Swanson Psyllium Husk Powder - Fine Milled &amp; Unflavored 5 g 12 oz Pwdr</t>
  </si>
  <si>
    <t>SW1004</t>
  </si>
  <si>
    <t>SW101</t>
  </si>
  <si>
    <t>SW1016</t>
  </si>
  <si>
    <t>SW1024</t>
  </si>
  <si>
    <t>Swanson Grape Seed, Green Tea &amp; Pine Bark Complex 60 Caps</t>
  </si>
  <si>
    <t>SW1025</t>
  </si>
  <si>
    <t>SW1028</t>
  </si>
  <si>
    <t>Swanson L-Proline 500 mg 100 Caps</t>
  </si>
  <si>
    <t>SW1030</t>
  </si>
  <si>
    <t>Swanson Vitamin D3 - High Potency 1,000 Iu (25 mcg) 250 Caps</t>
  </si>
  <si>
    <t>SW1034</t>
  </si>
  <si>
    <t>SW1036</t>
  </si>
  <si>
    <t>Swanson Full Spectrum Mangosteen 500 mg 100 Caps</t>
  </si>
  <si>
    <t>SW1039</t>
  </si>
  <si>
    <t>Swanson Triphala with Amla, Behada &amp; Harada 500 mg 100 Caps</t>
  </si>
  <si>
    <t>SW1054</t>
  </si>
  <si>
    <t>SW106</t>
  </si>
  <si>
    <t>SW1065</t>
  </si>
  <si>
    <t>SW1073</t>
  </si>
  <si>
    <t>Swanson Super Stress B-Complex with Vitamin C 240 Caps</t>
  </si>
  <si>
    <t>SW1075</t>
  </si>
  <si>
    <t>SW1077</t>
  </si>
  <si>
    <t>SW1079</t>
  </si>
  <si>
    <t>SW1082</t>
  </si>
  <si>
    <t>Swanson Acai Berry 500 mg 120 Caps</t>
  </si>
  <si>
    <t>SW1086</t>
  </si>
  <si>
    <t>Swanson Full Spectrum Japanese Ashitaba 500 mg 60 Caps</t>
  </si>
  <si>
    <t>SW1091</t>
  </si>
  <si>
    <t>SW1096</t>
  </si>
  <si>
    <t>SW1097</t>
  </si>
  <si>
    <t>Swanson Hesperidin 500 mg 60 Caps</t>
  </si>
  <si>
    <t>SW1103</t>
  </si>
  <si>
    <t>Swanson Yerba Mate 125 mg 120 Caps</t>
  </si>
  <si>
    <t>SW1108</t>
  </si>
  <si>
    <t>Swanson Marshmallow Root 500 mg 90 Caps</t>
  </si>
  <si>
    <t>SW1113</t>
  </si>
  <si>
    <t>SW1114</t>
  </si>
  <si>
    <t>Swanson Rhodiola Holy Basil Valerian Stress Complex - 3-in-1 Formula 180 Caps</t>
  </si>
  <si>
    <t>SW1115</t>
  </si>
  <si>
    <t>Swanson Full Spectrum Goji Berry 500 mg 60 Caps</t>
  </si>
  <si>
    <t>SW1121</t>
  </si>
  <si>
    <t>Swanson L-Methionine 500 mg 30 Caps</t>
  </si>
  <si>
    <t>SW1128</t>
  </si>
  <si>
    <t>SW1130</t>
  </si>
  <si>
    <t>Swanson 100% Pure C-1000 Vitamin C Powder 1,000 mg 16 oz Pwdr</t>
  </si>
  <si>
    <t>SW1136</t>
  </si>
  <si>
    <t>Swanson Full Spectrum Korean Red Ginseng Root 400 mg 90 Caps</t>
  </si>
  <si>
    <t>SW1137</t>
  </si>
  <si>
    <t>Swanson Senna, Cascara &amp; Psyllium Complex 90 Caps</t>
  </si>
  <si>
    <t>SW1141</t>
  </si>
  <si>
    <t>Swanson Full Spectrum Black Raspberry 425 mg 60 Caps</t>
  </si>
  <si>
    <t>SW1145</t>
  </si>
  <si>
    <t>Swanson Full Spectrum Super Fruit Complex - Mangosteen, Pomegranate &amp; Noni 90 Caps</t>
  </si>
  <si>
    <t>SW1153</t>
  </si>
  <si>
    <t>Swanson Full Spectrum Tribulus Fruit 500 mg 90 Caps</t>
  </si>
  <si>
    <t>SW1161</t>
  </si>
  <si>
    <t>SW1164</t>
  </si>
  <si>
    <t>Swanson Inositol Powder - 100% Pure 8 oz Pwdr</t>
  </si>
  <si>
    <t>SW1173</t>
  </si>
  <si>
    <t>Swanson Oregano Oil Liquid Extract - Alcohol &amp; Sugar Free 13 mg 1 fl oz Liq</t>
  </si>
  <si>
    <t>SW1178</t>
  </si>
  <si>
    <t>Swanson Green Tea Liquid Extract - Alcohol &amp; Sugar Free 2 g 1 fl oz Liq</t>
  </si>
  <si>
    <t>SW1185</t>
  </si>
  <si>
    <t>Swanson D-Mannose 700 mg 60 Caps</t>
  </si>
  <si>
    <t>SW1188</t>
  </si>
  <si>
    <t>SW1195</t>
  </si>
  <si>
    <t>Swanson Strontium Citrate 340 mg 60 Caps</t>
  </si>
  <si>
    <t>SW1210</t>
  </si>
  <si>
    <t>Swanson Vitamin D3 - Higher Potency 2,000 Iu (50 mcg) 250 Caps</t>
  </si>
  <si>
    <t>SW1211</t>
  </si>
  <si>
    <t>Swanson Vitamin D3 400 Iu (10 mcg) 250 Caps</t>
  </si>
  <si>
    <t>SW1215</t>
  </si>
  <si>
    <t>Swanson Stevia Liquid Extract - Alcohol Free 2 fl oz Liq</t>
  </si>
  <si>
    <t>SW1229</t>
  </si>
  <si>
    <t>Swanson Full Spectrum Chanca Piedra 500 mg 60 Veg Caps</t>
  </si>
  <si>
    <t>SW1234</t>
  </si>
  <si>
    <t>Swanson Zinc Citrate 30 mg 60 Caps</t>
  </si>
  <si>
    <t>SW1238</t>
  </si>
  <si>
    <t>Swanson L-Ornithine - Free Form 500 mg 60 Veg Caps</t>
  </si>
  <si>
    <t>SW1239</t>
  </si>
  <si>
    <t>SW1240</t>
  </si>
  <si>
    <t>SW1242</t>
  </si>
  <si>
    <t>Swanson Ginkgo Biloba Extract - Standardized 60 mg 30 Caps</t>
  </si>
  <si>
    <t>SW1243</t>
  </si>
  <si>
    <t>SW1247</t>
  </si>
  <si>
    <t>Swanson Green Tea 500 mg 30 Caps</t>
  </si>
  <si>
    <t>SW1248</t>
  </si>
  <si>
    <t>SW1251</t>
  </si>
  <si>
    <t>SW1255</t>
  </si>
  <si>
    <t>Swanson Valerian Root Liquid Extract - Alcohol &amp; Sugar Free 1 g 1 fl oz Liq</t>
  </si>
  <si>
    <t>SW1258</t>
  </si>
  <si>
    <t>Swanson Full Spectrum Wild Yam 400 mg 60 Caps</t>
  </si>
  <si>
    <t>SW1263</t>
  </si>
  <si>
    <t>Swanson Full Spectrum Garlic 400 mg 60 Caps</t>
  </si>
  <si>
    <t>SW1265</t>
  </si>
  <si>
    <t>Swanson Full Spectrum Buchu Leaf Extract 100 mg 60 Caps</t>
  </si>
  <si>
    <t>SW1271</t>
  </si>
  <si>
    <t>Swanson Full Spectrum Sea Buckthorn 400 mg 60 Caps</t>
  </si>
  <si>
    <t>SW1280</t>
  </si>
  <si>
    <t>Swanson Full Spectrum Olive Leaf 400 mg 60 Caps</t>
  </si>
  <si>
    <t>SW1286</t>
  </si>
  <si>
    <t>Swanson Full Spectrum Ginger &amp; Turmeric - 2-in-1 Formula 60 Caps</t>
  </si>
  <si>
    <t>Swanson Full Spectrum Lemongrass 400 mg 60 Caps</t>
  </si>
  <si>
    <t>SW1320</t>
  </si>
  <si>
    <t>Swanson Full Spectrum Boswellia and Curcumin 60 Caps</t>
  </si>
  <si>
    <t>SW1323</t>
  </si>
  <si>
    <t>Swanson Licorice Root Liquid Extract - Alcohol &amp; Sugar Free 2 g 1 fl oz Liq</t>
  </si>
  <si>
    <t>SW1332</t>
  </si>
  <si>
    <t>SW1335</t>
  </si>
  <si>
    <t>SW1336</t>
  </si>
  <si>
    <t>SW1339</t>
  </si>
  <si>
    <t>Swanson Full Spectrum Shiitake Mushroom 500 mg 60 Caps</t>
  </si>
  <si>
    <t>SW1340</t>
  </si>
  <si>
    <t>Swanson Full Spectrum Rosemary 400 mg 90 Caps</t>
  </si>
  <si>
    <t>SW1345</t>
  </si>
  <si>
    <t>Swanson Eleuthero Root 425 mg 120 Caps</t>
  </si>
  <si>
    <t>SW1347</t>
  </si>
  <si>
    <t>Swanson Full Spectrum Schizandra Berries 525 mg 90 Caps</t>
  </si>
  <si>
    <t>SW1352</t>
  </si>
  <si>
    <t>SW1353</t>
  </si>
  <si>
    <t>SW1354</t>
  </si>
  <si>
    <t>Swanson Horsetail 500 mg 90 Caps</t>
  </si>
  <si>
    <t>SW1355</t>
  </si>
  <si>
    <t>Swanson Activated Charcoal 260 mg 120 Caps</t>
  </si>
  <si>
    <t>SW1356</t>
  </si>
  <si>
    <t>Swanson Full Spectrum White Willow Bark 400 mg 90 Caps</t>
  </si>
  <si>
    <t>SW1361</t>
  </si>
  <si>
    <t>SW1362</t>
  </si>
  <si>
    <t>Swanson Full Spectrum Black Walnut Hulls 500 mg 60 Caps</t>
  </si>
  <si>
    <t>SW1367</t>
  </si>
  <si>
    <t>Swanson Paba 500 mg 120 Caps</t>
  </si>
  <si>
    <t>SW1368</t>
  </si>
  <si>
    <t>Swanson Vitamin D3 - Higher Potency 2,000 Iu (50 mcg) 1 fl oz Liq</t>
  </si>
  <si>
    <t>SW1371</t>
  </si>
  <si>
    <t>Swanson Vitamin D3 - Highest Potency 5,000 Iu (125 mcg) 250 Sgels</t>
  </si>
  <si>
    <t>SW1374</t>
  </si>
  <si>
    <t>Swanson Zinc Citrate 50 mg 60 Caps</t>
  </si>
  <si>
    <t>SW1377</t>
  </si>
  <si>
    <t>SW1379</t>
  </si>
  <si>
    <t>Swanson Inosine - Vegetarian 500 mg 60 Veg Caps</t>
  </si>
  <si>
    <t>SW1397</t>
  </si>
  <si>
    <t>Swanson Full Spectrum Asparagus Young Shoots 400 mg 60 Caps</t>
  </si>
  <si>
    <t>SW1404</t>
  </si>
  <si>
    <t>Swanson Full Spectrum Sarsaparilla Root 450 mg 60 Caps</t>
  </si>
  <si>
    <t>SW1408</t>
  </si>
  <si>
    <t>Swanson N-Acetyl L-Tyrosine 350 mg 60 Caps</t>
  </si>
  <si>
    <t>SW1409</t>
  </si>
  <si>
    <t>Swanson Soy Lecithin Non-Gmo 1.2 g 90 Sgels</t>
  </si>
  <si>
    <t>SW1411</t>
  </si>
  <si>
    <t>SW1418</t>
  </si>
  <si>
    <t>Swanson Homocysteine Formula 120 Caps</t>
  </si>
  <si>
    <t>SW1420</t>
  </si>
  <si>
    <t>Swanson Magnesium Aspartate 685 mg 90 Caps</t>
  </si>
  <si>
    <t>SW1423</t>
  </si>
  <si>
    <t>Swanson Full Spectrum Butea Superba Root 400 mg 60 Caps</t>
  </si>
  <si>
    <t>SW1425</t>
  </si>
  <si>
    <t>Swanson Full Spectrum Fo-Ti He-Shou-Wu 500 mg 60 Caps</t>
  </si>
  <si>
    <t>SW1426</t>
  </si>
  <si>
    <t>Swanson Full Spectrum Andrographis Paniculata 400 mg 60 Caps</t>
  </si>
  <si>
    <t>SW1427</t>
  </si>
  <si>
    <t>SW1428</t>
  </si>
  <si>
    <t>Swanson Full Spectrum Coleus Forskohlii 400 mg 60 Caps</t>
  </si>
  <si>
    <t>SW1434</t>
  </si>
  <si>
    <t>Swanson Green Lipped Mussel 500 mg 60 Caps</t>
  </si>
  <si>
    <t>SW1436</t>
  </si>
  <si>
    <t>Swanson Full Spectrum Catuaba Bark 465 mg 60 Caps</t>
  </si>
  <si>
    <t>SW1438</t>
  </si>
  <si>
    <t>SW144</t>
  </si>
  <si>
    <t>SW145</t>
  </si>
  <si>
    <t>SW149</t>
  </si>
  <si>
    <t>SW1490</t>
  </si>
  <si>
    <t>Swanson Celery Seed - Maximum Strength 500 mg 180 Caps</t>
  </si>
  <si>
    <t>SW1492</t>
  </si>
  <si>
    <t>Swanson Full Spectrum Herbal Gallbladder Care 60 Caps</t>
  </si>
  <si>
    <t>SW1502</t>
  </si>
  <si>
    <t>Swanson L-Tryptophan 500 mg 60 Caps</t>
  </si>
  <si>
    <t>SW151</t>
  </si>
  <si>
    <t>SW1510</t>
  </si>
  <si>
    <t>Swanson Vitamin D3 - High Potency 1,000 Iu (25 mcg) 60 Caps</t>
  </si>
  <si>
    <t>SW1512</t>
  </si>
  <si>
    <t>SW152</t>
  </si>
  <si>
    <t>SW1525</t>
  </si>
  <si>
    <t>Swanson Magnesium Lactate 84 mg 120 Caps</t>
  </si>
  <si>
    <t>SW1527</t>
  </si>
  <si>
    <t>Swanson Keratin 50 mg 60 Caps</t>
  </si>
  <si>
    <t>SW1536</t>
  </si>
  <si>
    <t>Swanson Vitamin C from Sodium Ascorbate 4.23 oz Pwdr</t>
  </si>
  <si>
    <t>SW1538</t>
  </si>
  <si>
    <t>SW1578</t>
  </si>
  <si>
    <t>Swanson Garcinia Cambogia 5:1 Extract 80 mg 60 Caps</t>
  </si>
  <si>
    <t>SW1583</t>
  </si>
  <si>
    <t>Swanson Sunflower Lecithin from Non-Gmo Sunflower Seeds 1,200 mg 90 Sgels</t>
  </si>
  <si>
    <t>SW1586</t>
  </si>
  <si>
    <t>Swanson Turmeric, Acai &amp; Ginger 60 Caps</t>
  </si>
  <si>
    <t>SW1587</t>
  </si>
  <si>
    <t>Swanson Iron Ferrous Fumarate 18 mg 60 Caps</t>
  </si>
  <si>
    <t>SW1588</t>
  </si>
  <si>
    <t>Swanson Vitamin D2 and D3 Complex 2,000 Iu (50 mcg) 60 Veg Caps</t>
  </si>
  <si>
    <t>SW1589</t>
  </si>
  <si>
    <t>Swanson Full Spectrum Boswellia - Double Strength 800 mg 60 Caps</t>
  </si>
  <si>
    <t>SW1592</t>
  </si>
  <si>
    <t>Swanson Full Spectrum Turmeric, Boswellia &amp; Tart Cherry 60 Caps</t>
  </si>
  <si>
    <t>SW1608</t>
  </si>
  <si>
    <t>Swanson Glutamic Acid 500 mg 60 Veg Caps</t>
  </si>
  <si>
    <t>SW1613</t>
  </si>
  <si>
    <t>SW1629</t>
  </si>
  <si>
    <t>SW1649</t>
  </si>
  <si>
    <t>SW1650</t>
  </si>
  <si>
    <t>SW1662</t>
  </si>
  <si>
    <t>Swanson Goldenseal Root 125 mg 100 Caps</t>
  </si>
  <si>
    <t>SW1669</t>
  </si>
  <si>
    <t>Swanson Acerola 500 mg 60 Caps</t>
  </si>
  <si>
    <t>SW1671</t>
  </si>
  <si>
    <t>SW1683</t>
  </si>
  <si>
    <t>SW1686</t>
  </si>
  <si>
    <t>Swanson Biotin - High Potency 10,000 mcg 60 Sgels</t>
  </si>
  <si>
    <t>SW1688</t>
  </si>
  <si>
    <t>Swanson Vitamin B-125 Complex - Higher Potency 100 Tabs</t>
  </si>
  <si>
    <t>SW1690</t>
  </si>
  <si>
    <t>Swanson Bacopa Monnieri - 10:1 Extract 50 mg 90 Caps</t>
  </si>
  <si>
    <t>SW1693</t>
  </si>
  <si>
    <t>Swanson Full Spectrum Blessed Thistle 400 mg 90 Caps</t>
  </si>
  <si>
    <t>SW1700</t>
  </si>
  <si>
    <t>Swanson Full Spectrum Feverfew 380 mg 100 Caps</t>
  </si>
  <si>
    <t>SW1705</t>
  </si>
  <si>
    <t>Swanson Huperzine A - Maximum Strength 200 mcg 30 Caps</t>
  </si>
  <si>
    <t>SW1707</t>
  </si>
  <si>
    <t>SW1713</t>
  </si>
  <si>
    <t>SW1716</t>
  </si>
  <si>
    <t>Swanson Cordyceps 600 mg 120 Caps</t>
  </si>
  <si>
    <t>SW1733</t>
  </si>
  <si>
    <t>Swanson Vinpocetine 10 mg 90 Caps</t>
  </si>
  <si>
    <t>SW1742</t>
  </si>
  <si>
    <t>Swanson Cinnamon Gymnema Mulberry Complex - 3-in-1 Formula 120 Caps</t>
  </si>
  <si>
    <t>SW1743</t>
  </si>
  <si>
    <t>Swanson Glucomannan 665 mg 90 Caps</t>
  </si>
  <si>
    <t>SW1745</t>
  </si>
  <si>
    <t>Swanson Kelp Iodine Source 225 mcg 250 Tabs</t>
  </si>
  <si>
    <t>SW1752</t>
  </si>
  <si>
    <t>Swanson Full Spectrum True Cinnamon - Featuring Ceylon Cinnamon 300 mg 120 Caps</t>
  </si>
  <si>
    <t>SW1753</t>
  </si>
  <si>
    <t>Swanson Full Spectrum Cinnamon, Fenugreek &amp; Gymnema 120 Caps</t>
  </si>
  <si>
    <t>SW1754</t>
  </si>
  <si>
    <t>Swanson 100% Pure Magnesium Citrate Powder - Unflavored 630 mg 8.6 oz Pwdr</t>
  </si>
  <si>
    <t>SW1761</t>
  </si>
  <si>
    <t>Swanson Colon Helper 60 Caps</t>
  </si>
  <si>
    <t>SW180</t>
  </si>
  <si>
    <t>SW1803</t>
  </si>
  <si>
    <t>SW1804</t>
  </si>
  <si>
    <t>SW1808</t>
  </si>
  <si>
    <t>SW1809</t>
  </si>
  <si>
    <t>Swanson Vitamins D3 &amp; K2 - 2,000 Iu &amp; 75 mcg 60 Veg Caps</t>
  </si>
  <si>
    <t>SW1812</t>
  </si>
  <si>
    <t>Swanson High Potency Ultimate Immune Defense with C, D, Zinc &amp; Elderberry 60 Caps</t>
  </si>
  <si>
    <t>SW1818</t>
  </si>
  <si>
    <t>Swanson Focused Attention Alpinia Galanga - Caffeine-Free 300 mg 30 Caps</t>
  </si>
  <si>
    <t>SW1821</t>
  </si>
  <si>
    <t>SW1822</t>
  </si>
  <si>
    <t>Swanson High Absorption Ashwagandha &amp; Black Pepper - Featuring Bioperine 120 Caps</t>
  </si>
  <si>
    <t>SW1826</t>
  </si>
  <si>
    <t>Swanson Slimming Thermogenic Complex - Featuring Slendacor 450 mg 60 Veg Caps</t>
  </si>
  <si>
    <t>SW1840</t>
  </si>
  <si>
    <t>Swanson Vegan Collagen Builder - Featuring Dermaval 60 Veg Caps</t>
  </si>
  <si>
    <t>SW1845</t>
  </si>
  <si>
    <t>Swanson Apple Cider Vinegar Gummies - Strawberry Watermelon 500 mg 60 Gummies</t>
  </si>
  <si>
    <t>SW1846</t>
  </si>
  <si>
    <t>SW1847</t>
  </si>
  <si>
    <t>SW1852</t>
  </si>
  <si>
    <t>SW1858</t>
  </si>
  <si>
    <t>SW1859</t>
  </si>
  <si>
    <t>Swanson Vitamin D3 Gummies - Strawberry 2,000 Iu (50 mcg) 60 Gummies</t>
  </si>
  <si>
    <t>SW1860</t>
  </si>
  <si>
    <t>Swanson Biotin Gummies - Blueberry 2,500 mcg 60 Gummies</t>
  </si>
  <si>
    <t>SW1867</t>
  </si>
  <si>
    <t>Swanson Kids Multivitamin Gummies - Mixed Fruit 60 Gummies</t>
  </si>
  <si>
    <t>SW1872</t>
  </si>
  <si>
    <t>SW1877</t>
  </si>
  <si>
    <t>SW1883</t>
  </si>
  <si>
    <t>Swanson Kids Vitamin C Gummies - Orange 60 Gummies</t>
  </si>
  <si>
    <t>SW206</t>
  </si>
  <si>
    <t>Swanson Zinc Gluconate 50 mg 250 Caps</t>
  </si>
  <si>
    <t>SW217</t>
  </si>
  <si>
    <t>Swanson Liquid Calcium &amp; Magnesium 100 Sgels</t>
  </si>
  <si>
    <t>SW223</t>
  </si>
  <si>
    <t>SW235</t>
  </si>
  <si>
    <t>Swanson Selenium L-Selenomethionine 100 mcg 200 Caps</t>
  </si>
  <si>
    <t>SW250</t>
  </si>
  <si>
    <t>SW256</t>
  </si>
  <si>
    <t>SW261</t>
  </si>
  <si>
    <t>Swanson Aloe Vera Gel - Whole Inner Leaf 32 fl oz Gel</t>
  </si>
  <si>
    <t>SW268</t>
  </si>
  <si>
    <t>Swanson L-Lysine - Free Form 500 mg 100 Caps</t>
  </si>
  <si>
    <t>SW279</t>
  </si>
  <si>
    <t>Swanson Papaya Supreme 50 mg 300 Tabs</t>
  </si>
  <si>
    <t>SW350</t>
  </si>
  <si>
    <t>Swanson Betaine Hcl Hydrochloric Acid with Vegpeptase 250 Veg Caps</t>
  </si>
  <si>
    <t>SW364</t>
  </si>
  <si>
    <t>Swanson Pumpkin Seed Oil 1,000 mg 100 Sgels</t>
  </si>
  <si>
    <t>SW393</t>
  </si>
  <si>
    <t>Swanson Garlic Oil Concentrate 500 mg 250 Sgels</t>
  </si>
  <si>
    <t>SW415</t>
  </si>
  <si>
    <t>Swanson Full Spectrum Butcher's Broom 470 mg 100 Caps</t>
  </si>
  <si>
    <t>SW422</t>
  </si>
  <si>
    <t>Swanson Red Clover Combination 100 Caps</t>
  </si>
  <si>
    <t>SW424</t>
  </si>
  <si>
    <t>Swanson Full Spectrum Pau d'Arco 500 mg 100 Caps</t>
  </si>
  <si>
    <t>SW490</t>
  </si>
  <si>
    <t>SW503</t>
  </si>
  <si>
    <t>SW504</t>
  </si>
  <si>
    <t>Swanson Full Spectrum Astragalus Root 470 mg 100 Caps</t>
  </si>
  <si>
    <t>SW514</t>
  </si>
  <si>
    <t>Swanson Full Spectrum Cat's Claw 500 mg 100 Caps</t>
  </si>
  <si>
    <t>SW521</t>
  </si>
  <si>
    <t>Swanson Licorice Root 450 mg 100 Caps</t>
  </si>
  <si>
    <t>SW528</t>
  </si>
  <si>
    <t>Swanson Glucosamine Sulfate 2Kcl 500 mg 250 Caps</t>
  </si>
  <si>
    <t>SW531</t>
  </si>
  <si>
    <t>Swanson Full Spectrum Burdock Root 460 mg 100 Caps</t>
  </si>
  <si>
    <t>SW532</t>
  </si>
  <si>
    <t>Swanson Full Spectrum Damiana 510 mg 100 Caps</t>
  </si>
  <si>
    <t>SW533</t>
  </si>
  <si>
    <t>Swanson Full Spectrum Dong Quai 530 mg 100 Caps</t>
  </si>
  <si>
    <t>SW535</t>
  </si>
  <si>
    <t>Swanson Full Spectrum Ginger Root 540 mg 100 Caps</t>
  </si>
  <si>
    <t>SW545</t>
  </si>
  <si>
    <t>Swanson Selenium L-Selenomethionine 100 mcg 300 Caps</t>
  </si>
  <si>
    <t>SW599</t>
  </si>
  <si>
    <t>Swanson Triple Boron Complex 3 mg 250 Caps</t>
  </si>
  <si>
    <t>SW612</t>
  </si>
  <si>
    <t>Swanson Pycnogenol 50 mg 50 Caps</t>
  </si>
  <si>
    <t>SW627</t>
  </si>
  <si>
    <t>SW668</t>
  </si>
  <si>
    <t>Swanson Digestive Enzymes 180 Tabs</t>
  </si>
  <si>
    <t>SW712</t>
  </si>
  <si>
    <t>Swanson Digestive Enzymes 90 Tabs</t>
  </si>
  <si>
    <t>SW773</t>
  </si>
  <si>
    <t>Swanson Hawthorn Berry 565 mg 250 Caps</t>
  </si>
  <si>
    <t>SW790</t>
  </si>
  <si>
    <t>Swanson Beta-Sitosterol - Maximum Strength 160 mg 60 Sgels</t>
  </si>
  <si>
    <t>SW808</t>
  </si>
  <si>
    <t>SW826</t>
  </si>
  <si>
    <t>SW827</t>
  </si>
  <si>
    <t>Swanson Taurine 500 mg 100 Caps</t>
  </si>
  <si>
    <t>SW832</t>
  </si>
  <si>
    <t>SW833</t>
  </si>
  <si>
    <t>SW840</t>
  </si>
  <si>
    <t>Swanson Zinc &amp; C Lozenges - Orange &amp; Lemon Flavor 200 Loz</t>
  </si>
  <si>
    <t>SW842</t>
  </si>
  <si>
    <t>Swanson Glucosamine Hcl 1,500 mg 100 Tabs</t>
  </si>
  <si>
    <t>SW852</t>
  </si>
  <si>
    <t>Swanson L-Arginine 500 mg 100 Caps</t>
  </si>
  <si>
    <t>SW853</t>
  </si>
  <si>
    <t>Swanson L-Glutathione - Featuring Setria Glutathione 100 mg 100 Caps</t>
  </si>
  <si>
    <t>SW854</t>
  </si>
  <si>
    <t>SW855</t>
  </si>
  <si>
    <t>Swanson L-Tyrosine 500 mg 100 Caps</t>
  </si>
  <si>
    <t>SW857</t>
  </si>
  <si>
    <t>Swanson Coq10 - Mini Cap 10 mg 100 Caps</t>
  </si>
  <si>
    <t>SW874</t>
  </si>
  <si>
    <t>Swanson Inositol 650 mg 100 Caps</t>
  </si>
  <si>
    <t>SW877</t>
  </si>
  <si>
    <t>SW880</t>
  </si>
  <si>
    <t>Swanson Ascorbyl Palmitate 250 mg 120 Caps</t>
  </si>
  <si>
    <t>SW882</t>
  </si>
  <si>
    <t>SW883</t>
  </si>
  <si>
    <t>SW902</t>
  </si>
  <si>
    <t>Swanson Lutein Esters 20 mg 60 Sgels</t>
  </si>
  <si>
    <t>SW906</t>
  </si>
  <si>
    <t>Swanson Lycopene 10 mg 120 Sgels</t>
  </si>
  <si>
    <t>SW909</t>
  </si>
  <si>
    <t>SW910</t>
  </si>
  <si>
    <t>SW912</t>
  </si>
  <si>
    <t>SW913</t>
  </si>
  <si>
    <t>Swanson D-Mannose Powder 1.75 oz Pwdr</t>
  </si>
  <si>
    <t>SW916</t>
  </si>
  <si>
    <t>Swanson Green Leaf Stevia Extract Blended with Other Ingredients 100 Pkts</t>
  </si>
  <si>
    <t>SW920</t>
  </si>
  <si>
    <t>Swanson Super Stress B-Complex with Vitamin C 100 Caps</t>
  </si>
  <si>
    <t>SW922</t>
  </si>
  <si>
    <t>SW923</t>
  </si>
  <si>
    <t>SW927</t>
  </si>
  <si>
    <t>Swanson Bcaa Branched-Chain Amino Acids - Fortified with Vitamin B6 100 Caps</t>
  </si>
  <si>
    <t>SW940</t>
  </si>
  <si>
    <t>SW944</t>
  </si>
  <si>
    <t>Swanson Buffered Vitamin C with Bioflavonoids 500 mg 100 Caps</t>
  </si>
  <si>
    <t>SW948</t>
  </si>
  <si>
    <t>Swanson Buffered Vitamin C 500 mg 250 Tabs</t>
  </si>
  <si>
    <t>SW950</t>
  </si>
  <si>
    <t>Swanson Lycopene 20 mg 60 Sgels</t>
  </si>
  <si>
    <t>SW957</t>
  </si>
  <si>
    <t>SW958</t>
  </si>
  <si>
    <t>SW959</t>
  </si>
  <si>
    <t>Swanson Full Spectrum Devil's Claw 500 mg 100 Caps</t>
  </si>
  <si>
    <t>SW961</t>
  </si>
  <si>
    <t>SW966</t>
  </si>
  <si>
    <t>SW968</t>
  </si>
  <si>
    <t>Swanson Stinging Nettle Root 500 mg 100 Caps</t>
  </si>
  <si>
    <t>SW969</t>
  </si>
  <si>
    <t>Swanson Korean Ginseng 500 mg 100 Caps</t>
  </si>
  <si>
    <t>SW971</t>
  </si>
  <si>
    <t>Swanson Full Spectrum Uva Ursi Leaf 450 mg 100 Caps</t>
  </si>
  <si>
    <t>SW972</t>
  </si>
  <si>
    <t>Swanson Full Spectrum Yucca 500 mg 100 Caps</t>
  </si>
  <si>
    <t>SW976</t>
  </si>
  <si>
    <t>Swanson Full Spectrum Fennel Seed 480 mg 100 Caps</t>
  </si>
  <si>
    <t>SW978</t>
  </si>
  <si>
    <t>Swanson Full Spectrum Guarana 500 mg 100 Caps</t>
  </si>
  <si>
    <t>SW982</t>
  </si>
  <si>
    <t>Swanson Alpha Lipoic Acid 100 mg 120 Caps</t>
  </si>
  <si>
    <t>SW983</t>
  </si>
  <si>
    <t>SW986</t>
  </si>
  <si>
    <t>Swanson Senna Leaf 500 mg 100 Caps</t>
  </si>
  <si>
    <t>SW988</t>
  </si>
  <si>
    <t>Swanson Boswellia 400 mg 100 Caps</t>
  </si>
  <si>
    <t>SW993</t>
  </si>
  <si>
    <t>SW994</t>
  </si>
  <si>
    <t>Swanson Vitamin K1 100 mcg 100 Tabs</t>
  </si>
  <si>
    <t>SWA001</t>
  </si>
  <si>
    <t>SWA003</t>
  </si>
  <si>
    <t>SWA012</t>
  </si>
  <si>
    <t>SWA024</t>
  </si>
  <si>
    <t>SWA027</t>
  </si>
  <si>
    <t>SWA028</t>
  </si>
  <si>
    <t>Swanson Immunobiotic Immuno-Lp20 50 mg 30 Veg Caps</t>
  </si>
  <si>
    <t>SWA030</t>
  </si>
  <si>
    <t>SWA032</t>
  </si>
  <si>
    <t>SWA037</t>
  </si>
  <si>
    <t>Swanson Probiotic with Digestive Enzymes 5 Billion Cfu 60 Veg Caps</t>
  </si>
  <si>
    <t>SWA051</t>
  </si>
  <si>
    <t>SWC038</t>
  </si>
  <si>
    <t>Swanson Thyroid Essentials - Comprehensive Formula 90 Caps</t>
  </si>
  <si>
    <t>SWC070</t>
  </si>
  <si>
    <t>Swanson Leg Vein Essentials Cream 4 fl oz Cream</t>
  </si>
  <si>
    <t>SWC085</t>
  </si>
  <si>
    <t>Swanson Fibro Essentials - Vegetarian 90 Veg Caps</t>
  </si>
  <si>
    <t>SWC086</t>
  </si>
  <si>
    <t>SWC089</t>
  </si>
  <si>
    <t>Swanson Menopause Essentials 120 Veg Caps</t>
  </si>
  <si>
    <t>SWC092</t>
  </si>
  <si>
    <t>Swanson Urinary Tract Essentials 60 Veg Caps</t>
  </si>
  <si>
    <t>SWC093</t>
  </si>
  <si>
    <t>SWC094</t>
  </si>
  <si>
    <t>SWC101</t>
  </si>
  <si>
    <t>Swanson Kidney Essentials 60 Veg Caps</t>
  </si>
  <si>
    <t>SWC102</t>
  </si>
  <si>
    <t>SWC109</t>
  </si>
  <si>
    <t>Swanson Circulation Essentials 60 Veg Caps</t>
  </si>
  <si>
    <t>SWC111</t>
  </si>
  <si>
    <t>Swanson Liver Essentials 90 Veg Caps</t>
  </si>
  <si>
    <t>SWD006</t>
  </si>
  <si>
    <t>SWD013</t>
  </si>
  <si>
    <t>Swanson Water Pills 120 Tabs</t>
  </si>
  <si>
    <t>SWD019</t>
  </si>
  <si>
    <t>Swanson Lecithin, Kelp, B6, &amp; Cider Vinegar 240 Tabs</t>
  </si>
  <si>
    <t>SWD036</t>
  </si>
  <si>
    <t>SWD060</t>
  </si>
  <si>
    <t>SWD068</t>
  </si>
  <si>
    <t>Swanson Razberi-K Raspberry Ketones 100 mg 60 Caps</t>
  </si>
  <si>
    <t>SWD077</t>
  </si>
  <si>
    <t>SWD078</t>
  </si>
  <si>
    <t>SWD084</t>
  </si>
  <si>
    <t>Swanson Yacon Root Extract - Featuring Yacontrol 100 mg 90 Veg Caps</t>
  </si>
  <si>
    <t>SWD090</t>
  </si>
  <si>
    <t>Swanson Glucomannan+ - Konjac Root 300 Caps</t>
  </si>
  <si>
    <t>SWE001</t>
  </si>
  <si>
    <t>Swanson Flaxseed Oil Made with Organic Flaxseed Oil 1 g 100 Sgels</t>
  </si>
  <si>
    <t>SWE002</t>
  </si>
  <si>
    <t>Swanson Flaxseed Oil Made with Organic Flaxseed Oil 1 g 200 Sgels</t>
  </si>
  <si>
    <t>SWE003</t>
  </si>
  <si>
    <t>Swanson Organic Flaxseed Oil - Cold Pressed 14 g 16 fl oz Liq</t>
  </si>
  <si>
    <t>SWE008</t>
  </si>
  <si>
    <t>Swanson Evening Primrose Oil 500 mg 100 Sgels</t>
  </si>
  <si>
    <t>SWE045</t>
  </si>
  <si>
    <t>Swanson Coconut Oil Made with Certified Organic Coconut Oil 1,000 mg 60 Sgels</t>
  </si>
  <si>
    <t>SWE054</t>
  </si>
  <si>
    <t>Swanson Avocado Oil made with Organic Avocado Oil 1 g 60 Sgels</t>
  </si>
  <si>
    <t>SWE063</t>
  </si>
  <si>
    <t>Swanson Black Cumin Seed Oil 500 mg 60 Liq Vegcap</t>
  </si>
  <si>
    <t>SWF195</t>
  </si>
  <si>
    <t>SWH025</t>
  </si>
  <si>
    <t>Swanson Ginger Root - Standardized and Whole Herb 120 Caps</t>
  </si>
  <si>
    <t>SWH041</t>
  </si>
  <si>
    <t>SWH051</t>
  </si>
  <si>
    <t>Swanson Milk Thistle - Features 80% Silymarin 120 Caps</t>
  </si>
  <si>
    <t>SWH069</t>
  </si>
  <si>
    <t>Swanson Valerian Root Extract - Standardized 200 mg 120 Caps</t>
  </si>
  <si>
    <t>SWH073</t>
  </si>
  <si>
    <t>Swanson Black Cohosh - Standardized 40 mg 120 Caps</t>
  </si>
  <si>
    <t>SWH074</t>
  </si>
  <si>
    <t>Swanson Ginkgo with Vinpocetine - Standardized 60 Caps</t>
  </si>
  <si>
    <t>SWH077</t>
  </si>
  <si>
    <t>Swanson Artichoke Extract - Standardized 250 mg 60 Caps</t>
  </si>
  <si>
    <t>SWH099</t>
  </si>
  <si>
    <t>Swanson Green Tea Extract 500 mg 60 Caps</t>
  </si>
  <si>
    <t>SWH112</t>
  </si>
  <si>
    <t>Swanson Hiactives Tart Cherry 465 mg 60 Caps</t>
  </si>
  <si>
    <t>SWH114</t>
  </si>
  <si>
    <t>SWH117</t>
  </si>
  <si>
    <t>Swanson Red Wine Extract - Standardized 500 mg 90 Caps</t>
  </si>
  <si>
    <t>SWH119</t>
  </si>
  <si>
    <t>Swanson Mucuna Pruriens - Standardized 350 mg 200 Caps</t>
  </si>
  <si>
    <t>SWH122</t>
  </si>
  <si>
    <t>Swanson Agaricus Blazei Mushroom Extract 500 mg 90 Veg Caps</t>
  </si>
  <si>
    <t>SWH137</t>
  </si>
  <si>
    <t>Swanson Immune Complex - Contains Elderberry Echinacea and Goldenseal 120 Caps</t>
  </si>
  <si>
    <t>SWH139</t>
  </si>
  <si>
    <t>Swanson Olive Leaf Extract - Extra Strength 750 mg 60 Caps</t>
  </si>
  <si>
    <t>SWH142</t>
  </si>
  <si>
    <t>Swanson Fenugreek Extract 500 mg 90 Caps</t>
  </si>
  <si>
    <t>SWH143</t>
  </si>
  <si>
    <t>Swanson Reishi Mushroom Extract - Standardized 500 mg 90 Caps</t>
  </si>
  <si>
    <t>SWH144</t>
  </si>
  <si>
    <t>Swanson Holy Basil Extract - Standardized 400 mg 60 Caps</t>
  </si>
  <si>
    <t>SWH145</t>
  </si>
  <si>
    <t>Swanson Bacopa Monnieri 250 mg 90 Caps</t>
  </si>
  <si>
    <t>SWH152</t>
  </si>
  <si>
    <t>Swanson Wild Yam Root - Root &amp; Extract 100 Caps</t>
  </si>
  <si>
    <t>SWH156</t>
  </si>
  <si>
    <t>Swanson Milk Thistle Combination 60 Caps</t>
  </si>
  <si>
    <t>SWH159</t>
  </si>
  <si>
    <t>Swanson Olive Leaf Extract 500 mg 120 Caps</t>
  </si>
  <si>
    <t>SWH160</t>
  </si>
  <si>
    <t>Swanson Pine Bark Extract - Standardized 50 mg 100 Caps</t>
  </si>
  <si>
    <t>SWH161</t>
  </si>
  <si>
    <t>Swanson Aloe Vera 25 mg 100 Sgels</t>
  </si>
  <si>
    <t>SWH168</t>
  </si>
  <si>
    <t>Swanson Triple Mushroom Complex - 3 Mushroom Formula 60 Caps</t>
  </si>
  <si>
    <t>SWH173</t>
  </si>
  <si>
    <t>Swanson Naringin - Citrus Bioflavonoid 500 mg 60 Caps</t>
  </si>
  <si>
    <t>SWH174</t>
  </si>
  <si>
    <t>Swanson Bladderwrack Extract - Standardized 75 mg 60 Caps</t>
  </si>
  <si>
    <t>SWH176</t>
  </si>
  <si>
    <t>Swanson Shatavari Root Extract - Standardized 500 mg 120 Caps</t>
  </si>
  <si>
    <t>SWH178</t>
  </si>
  <si>
    <t>Swanson Chamomile Flower Extract - Standardized Apigenin 500 mg 60 Caps</t>
  </si>
  <si>
    <t>SWH179</t>
  </si>
  <si>
    <t>Swanson Tribulus Terrestris Extract 500 mg 60 Caps</t>
  </si>
  <si>
    <t>SWH186</t>
  </si>
  <si>
    <t>Swanson Eyebright Extract - Standardized 400 mg 60 Caps</t>
  </si>
  <si>
    <t>SWH190</t>
  </si>
  <si>
    <t>SWH199</t>
  </si>
  <si>
    <t>Swanson Arjuna Bark - Standardized 500 mg 60 Veg Caps</t>
  </si>
  <si>
    <t>SWH205</t>
  </si>
  <si>
    <t>Swanson Shilajit Extract - Standardized 400 mg 60 Veg Caps</t>
  </si>
  <si>
    <t>SWH214</t>
  </si>
  <si>
    <t>Swanson Shilajit Extract - Extra Strength 100 mg 30 Veg Caps</t>
  </si>
  <si>
    <t>SWH225</t>
  </si>
  <si>
    <t>SWH226</t>
  </si>
  <si>
    <t>SWH231</t>
  </si>
  <si>
    <t>SWH242</t>
  </si>
  <si>
    <t>Swanson Dual Ginseng Plus 60 Caps</t>
  </si>
  <si>
    <t>SWH265</t>
  </si>
  <si>
    <t>Swanson Pomegranate Extract - Standardized 250 mg 60 Caps</t>
  </si>
  <si>
    <t>SWH284</t>
  </si>
  <si>
    <t>Swanson Curcumin Complex - Standardized with Bioperine 120 Veg Caps</t>
  </si>
  <si>
    <t>SWK011</t>
  </si>
  <si>
    <t>Swanson Japanese Oyster Extract 500 mg 60 Caps</t>
  </si>
  <si>
    <t>SWL024</t>
  </si>
  <si>
    <t>SWP011</t>
  </si>
  <si>
    <t>SWP029</t>
  </si>
  <si>
    <t>Swanson Horny Goat Weed Complex with Tribulus and Maca 120 Caps</t>
  </si>
  <si>
    <t>SWP032</t>
  </si>
  <si>
    <t>SWR006</t>
  </si>
  <si>
    <t>SWR016</t>
  </si>
  <si>
    <t>Swanson Veggies4Life 300 Tabs</t>
  </si>
  <si>
    <t>SWR031</t>
  </si>
  <si>
    <t>Swanson Liquid Chlorophyll 100 mg 16 fl oz Liq</t>
  </si>
  <si>
    <t>SWR035</t>
  </si>
  <si>
    <t>SWR044</t>
  </si>
  <si>
    <t>SWR048</t>
  </si>
  <si>
    <t>SWR050</t>
  </si>
  <si>
    <t>Swanson Green Energy Blend 60 Veg Caps</t>
  </si>
  <si>
    <t>SWR051</t>
  </si>
  <si>
    <t>Swanson Eggplant Extract 450 mg 30 Veg Caps</t>
  </si>
  <si>
    <t>SWR052</t>
  </si>
  <si>
    <t>Swanson Asparagus Extract 60 Veg Caps</t>
  </si>
  <si>
    <t>SWR053</t>
  </si>
  <si>
    <t>Swanson Ecklonia Cava Extract - Standardized 30 Veg Caps</t>
  </si>
  <si>
    <t>SWR054</t>
  </si>
  <si>
    <t>Swanson Parsley 650 mg 90 Caps</t>
  </si>
  <si>
    <t>SWR056</t>
  </si>
  <si>
    <t>Swanson Chlorophyll 50 mg 90 Liq Vegcap</t>
  </si>
  <si>
    <t>SWR071</t>
  </si>
  <si>
    <t>Swanson Purple Fruit &amp; Veggie Complex 400 mg 60 Veg Caps</t>
  </si>
  <si>
    <t>SWR072</t>
  </si>
  <si>
    <t>SWR085</t>
  </si>
  <si>
    <t>SWU033</t>
  </si>
  <si>
    <t>SWU034</t>
  </si>
  <si>
    <t>SWU035</t>
  </si>
  <si>
    <t>SWU062</t>
  </si>
  <si>
    <t>Swanson Albion Multi-Mineral With Iron 120 Caps</t>
  </si>
  <si>
    <t>SWU065</t>
  </si>
  <si>
    <t>SWU067</t>
  </si>
  <si>
    <t>SWU073</t>
  </si>
  <si>
    <t>SWU078</t>
  </si>
  <si>
    <t>Swanson Albion Chromium 200 mcg 180 Caps</t>
  </si>
  <si>
    <t>SWU079</t>
  </si>
  <si>
    <t>SWU083</t>
  </si>
  <si>
    <t>Swanson Joint Care - Featuring Truflex 120 Sgels</t>
  </si>
  <si>
    <t>SWU086</t>
  </si>
  <si>
    <t>Swanson Selenoexcell Selenium 200 mcg 60 Caps</t>
  </si>
  <si>
    <t>SWU087</t>
  </si>
  <si>
    <t>Swanson Larch Tree Arabinogalactan 500 mg 90 Caps</t>
  </si>
  <si>
    <t>SWU096</t>
  </si>
  <si>
    <t>Swanson Caprylic Acid 600 mg 60 Sgels</t>
  </si>
  <si>
    <t>SWU1003</t>
  </si>
  <si>
    <t>SWU1021</t>
  </si>
  <si>
    <t>Swanson Flush Free Niacin 500 mg 240 Caps</t>
  </si>
  <si>
    <t>SWU1022</t>
  </si>
  <si>
    <t>Swanson Lyc-O-Mato Lycopene 10 mg 60 Sgels</t>
  </si>
  <si>
    <t>SWU1024</t>
  </si>
  <si>
    <t>Swanson Oral Probiotic Formula - Natural Strawberry Flavor 3 billion Cfu 30 Chwbls</t>
  </si>
  <si>
    <t>SWU1027</t>
  </si>
  <si>
    <t>Swanson P-5-P Pyridoxal-5-Phosphate - Double Strength 40 mg 60 Caps</t>
  </si>
  <si>
    <t>SWU1028</t>
  </si>
  <si>
    <t>SWU1040</t>
  </si>
  <si>
    <t>SWU1070</t>
  </si>
  <si>
    <t>SWU1076</t>
  </si>
  <si>
    <t>Swanson Pterostilbene 50 mg 30 Veg Caps</t>
  </si>
  <si>
    <t>SWU1091</t>
  </si>
  <si>
    <t>SWU110</t>
  </si>
  <si>
    <t>Swanson Suntheanine L-Theanine 100 mg 60 Veg Caps</t>
  </si>
  <si>
    <t>SWU112</t>
  </si>
  <si>
    <t>Swanson Msm 1.5 g 120 Tabs</t>
  </si>
  <si>
    <t>SWU122</t>
  </si>
  <si>
    <t>SWU123</t>
  </si>
  <si>
    <t>Swanson Calcium D-Glucarate - 2-in-1 Formula 60 Caps</t>
  </si>
  <si>
    <t>SWU124</t>
  </si>
  <si>
    <t>Swanson Noni 500 mg 60 Caps</t>
  </si>
  <si>
    <t>SWU130</t>
  </si>
  <si>
    <t>Swanson Digestitol with Enzymes &amp; Bioperine 60 Caps</t>
  </si>
  <si>
    <t>SWU139</t>
  </si>
  <si>
    <t>Swanson Glucosamine &amp; Chondroitin - Featuring Truflex 90 Caps</t>
  </si>
  <si>
    <t>SWU148</t>
  </si>
  <si>
    <t>Swanson Relora - Patented Magnolia &amp; Phellodendron Extract 250 mg 90 Caps</t>
  </si>
  <si>
    <t>SWU150</t>
  </si>
  <si>
    <t>Swanson Pantesin Pantethine 300 mg 60 Sgels</t>
  </si>
  <si>
    <t>SWU152</t>
  </si>
  <si>
    <t>SWU162</t>
  </si>
  <si>
    <t>Swanson Milk Thistle Phytosome - Standardized Siliphos 300 mg 60 Caps</t>
  </si>
  <si>
    <t>SWU167</t>
  </si>
  <si>
    <t>SWU171</t>
  </si>
  <si>
    <t>SWU187</t>
  </si>
  <si>
    <t>SWU190</t>
  </si>
  <si>
    <t>SWU212</t>
  </si>
  <si>
    <t>SWU217</t>
  </si>
  <si>
    <t>Swanson Same 200 mg 60 Tabs</t>
  </si>
  <si>
    <t>SWU221</t>
  </si>
  <si>
    <t>Swanson Water Pill 20 mg 120 Caps</t>
  </si>
  <si>
    <t>Swanson Coral Calcium Complex 180 Caps</t>
  </si>
  <si>
    <t>SWU234</t>
  </si>
  <si>
    <t>Swanson Cinnulin Pf Cinnamon Extract 150 mg 120 Caps</t>
  </si>
  <si>
    <t>SWU244</t>
  </si>
  <si>
    <t>Swanson Concentrace Trace Mineral Complex 60 Veg Caps</t>
  </si>
  <si>
    <t>SWU246</t>
  </si>
  <si>
    <t>Swanson Cognizin Citicoline 500 mg 60 Veg Caps</t>
  </si>
  <si>
    <t>SWU250</t>
  </si>
  <si>
    <t>Swanson R-Fraction Alpha Lipoic Acid - Double Strength 100 mg 60 Caps</t>
  </si>
  <si>
    <t>SWU258</t>
  </si>
  <si>
    <t>Swanson Nattozimes 65 mg 90 Veg Caps</t>
  </si>
  <si>
    <t>SWU259</t>
  </si>
  <si>
    <t>Swanson Cranberry Whole Fruit Concentrate - Super Strength 420 mg 60 Sgels</t>
  </si>
  <si>
    <t>SWU281</t>
  </si>
  <si>
    <t>Swanson Zinc Carnosine - Featuring Pepzingi 60 Caps</t>
  </si>
  <si>
    <t>SWU283</t>
  </si>
  <si>
    <t>Swanson Resveratrol 100 mg 30 Caps</t>
  </si>
  <si>
    <t>SWU289</t>
  </si>
  <si>
    <t>Swanson Phosphatidylserine 100 mg 90 Sgels</t>
  </si>
  <si>
    <t>SWU292</t>
  </si>
  <si>
    <t>SWU293</t>
  </si>
  <si>
    <t>Swanson Glucosamine, Chondroitin &amp; Msm with Hyaluronic Acid and Collagen 90 Caps</t>
  </si>
  <si>
    <t>SWU308</t>
  </si>
  <si>
    <t>SWU315</t>
  </si>
  <si>
    <t>Swanson Indole-3-Carbinol with Resveratrol 200 mg 60 Caps</t>
  </si>
  <si>
    <t>SWU341</t>
  </si>
  <si>
    <t>Swanson Arginine Akg 1 g 90 Caps</t>
  </si>
  <si>
    <t>SWU365</t>
  </si>
  <si>
    <t>SWU366</t>
  </si>
  <si>
    <t>Swanson Herbal Extract Memory Complex 60 Caps</t>
  </si>
  <si>
    <t>SWU368</t>
  </si>
  <si>
    <t>Swanson Rapid Immune Defense Featuring Epicor 500 mg 30 Caps</t>
  </si>
  <si>
    <t>SWU371</t>
  </si>
  <si>
    <t>Swanson Avovida - Maximum Strength 300 mg 60 Caps</t>
  </si>
  <si>
    <t>SWU374</t>
  </si>
  <si>
    <t>Swanson Nadh - Fast-Acting Peppermint Lozenges 10 mg 30 Loz</t>
  </si>
  <si>
    <t>SWU375</t>
  </si>
  <si>
    <t>Swanson Apigenin 50 mg 90 Caps</t>
  </si>
  <si>
    <t>SWU377</t>
  </si>
  <si>
    <t>Swanson Ubiquinol 100 mg 60 Sgels</t>
  </si>
  <si>
    <t>SWU385</t>
  </si>
  <si>
    <t>Swanson Ionic Trace Mineral Drops 8 fl oz Liq</t>
  </si>
  <si>
    <t>SWU388</t>
  </si>
  <si>
    <t>Swanson Octacosanol - Maximum Strength 20 mg 30 Caps</t>
  </si>
  <si>
    <t>SWU395</t>
  </si>
  <si>
    <t>SWU409</t>
  </si>
  <si>
    <t>Swanson D-Limonene Orange Peel Extract 250 mg 60 Sgels</t>
  </si>
  <si>
    <t>SWU418</t>
  </si>
  <si>
    <t>Swanson Pectipure Modified Citrus Pectin 600 mg 60 Caps</t>
  </si>
  <si>
    <t>SWU419</t>
  </si>
  <si>
    <t>Swanson Nattokinase 2,000 Fibrinolytic Units 100 mg 30 Caps</t>
  </si>
  <si>
    <t>SWU438</t>
  </si>
  <si>
    <t>Swanson Pregnenolone - Super Strength 50 mg 60 Caps</t>
  </si>
  <si>
    <t>SWU445</t>
  </si>
  <si>
    <t>Swanson Biocore Optimum Complete 90 Veg Caps</t>
  </si>
  <si>
    <t>SWU451</t>
  </si>
  <si>
    <t>SWU452</t>
  </si>
  <si>
    <t>SWU458</t>
  </si>
  <si>
    <t>Swanson Nac N-Acetyl L-Cysteine - Featuring Ajipure 600 mg 60 Veg Caps</t>
  </si>
  <si>
    <t>SWU466</t>
  </si>
  <si>
    <t>Swanson Tmg Trimethylglycine 500 mg 90 Caps</t>
  </si>
  <si>
    <t>SWU493</t>
  </si>
  <si>
    <t>Swanson Turmeric Phytosome with Meriva 500 mg 60 Caps</t>
  </si>
  <si>
    <t>SWU502</t>
  </si>
  <si>
    <t>SWU503</t>
  </si>
  <si>
    <t>Swanson Maximum Strength Plant Sterols - Featuring Cardioaid Phytosterols 60 Sgels</t>
  </si>
  <si>
    <t>SWU508</t>
  </si>
  <si>
    <t>Swanson Fiberaid Larch Tree Arabinogalactan (Ag) 8.8 oz Pwdr</t>
  </si>
  <si>
    <t>SWU517</t>
  </si>
  <si>
    <t>SWU520</t>
  </si>
  <si>
    <t>Swanson Inulin - Prebiotic Soluble Fiber 8 oz Pwdr</t>
  </si>
  <si>
    <t>SWU526</t>
  </si>
  <si>
    <t>Swanson Tocotrienols - From Annatto 50 mg 60 Sgels</t>
  </si>
  <si>
    <t>SWU527</t>
  </si>
  <si>
    <t>SWU530</t>
  </si>
  <si>
    <t>Swanson Resveratrol - Higher Potency 250 mg 30 Caps</t>
  </si>
  <si>
    <t>SWU534</t>
  </si>
  <si>
    <t>SWU536</t>
  </si>
  <si>
    <t>Swanson Albion Manganese 10 mg 180 Caps</t>
  </si>
  <si>
    <t>SWU542</t>
  </si>
  <si>
    <t>Swanson Glutathione Precursor Complex 60 Caps</t>
  </si>
  <si>
    <t>SWU560</t>
  </si>
  <si>
    <t>SWU561</t>
  </si>
  <si>
    <t>SWU656</t>
  </si>
  <si>
    <t>Swanson Msm 1,000 mg 240 Caps</t>
  </si>
  <si>
    <t>SWU665</t>
  </si>
  <si>
    <t>Swanson Magnesium Orotate 654 mg 60 Caps</t>
  </si>
  <si>
    <t>SWU666</t>
  </si>
  <si>
    <t>Swanson Biocore Lipo - Maximum Strength 10,000 Fip 60 Veg Caps</t>
  </si>
  <si>
    <t>SWU670</t>
  </si>
  <si>
    <t>SWU672</t>
  </si>
  <si>
    <t>Swanson Vitamin K2 - Natural 100 mcg 30 Sgels</t>
  </si>
  <si>
    <t>SWU676</t>
  </si>
  <si>
    <t>Swanson Gaba - Maximum Strength 750 mg 60 Veg Caps</t>
  </si>
  <si>
    <t>SWU704</t>
  </si>
  <si>
    <t>Swanson Reduced L-Glutathione Double Strength - Featuringsetria 200 mg 60 Veg Caps</t>
  </si>
  <si>
    <t>SWU707</t>
  </si>
  <si>
    <t>SWU713</t>
  </si>
  <si>
    <t>SWU714</t>
  </si>
  <si>
    <t>SWU716</t>
  </si>
  <si>
    <t>Swanson Coq10 - Maximum Potency 400 mg 30 Sgels</t>
  </si>
  <si>
    <t>SWU719</t>
  </si>
  <si>
    <t>SWU720</t>
  </si>
  <si>
    <t>Swanson Diosmin &amp; Hesperidin - Featuring Diosvein 60 Caps</t>
  </si>
  <si>
    <t>SWU730</t>
  </si>
  <si>
    <t>Swanson Astaxanthin 4 mg 60 Sgels</t>
  </si>
  <si>
    <t>SWU741</t>
  </si>
  <si>
    <t>Swanson Beta-Sitosterol 320 mg 30 Veg Caps</t>
  </si>
  <si>
    <t>SWU746</t>
  </si>
  <si>
    <t>SWU761</t>
  </si>
  <si>
    <t>SWU766</t>
  </si>
  <si>
    <t>Swanson Hair Revitalizing Formula - Advanced Formula 60 Tabs</t>
  </si>
  <si>
    <t>SWU770</t>
  </si>
  <si>
    <t>Swanson Boswellia Serrata Extract 125 mg 60 Veg Caps</t>
  </si>
  <si>
    <t>SWU779</t>
  </si>
  <si>
    <t>Swanson Double Strength Serrazimes - 40,000 Units 66.7 mg 60 Veg Caps</t>
  </si>
  <si>
    <t>SWU781</t>
  </si>
  <si>
    <t>Swanson Energy C with Electrolytes - Orange Flavor 30 Pkts</t>
  </si>
  <si>
    <t>SWU783</t>
  </si>
  <si>
    <t>SWU791</t>
  </si>
  <si>
    <t>SWU803</t>
  </si>
  <si>
    <t>SWU815</t>
  </si>
  <si>
    <t>SWU820</t>
  </si>
  <si>
    <t>Swanson Bromelain 500 mg 60 Veg Caps</t>
  </si>
  <si>
    <t>SWU830</t>
  </si>
  <si>
    <t>SWU833</t>
  </si>
  <si>
    <t>Swanson Vitamin C Complex with Bioflavonoids 60 Veg Caps</t>
  </si>
  <si>
    <t>SWU835</t>
  </si>
  <si>
    <t>Swanson Luteolin Complex 100 mg 30 Veg Caps</t>
  </si>
  <si>
    <t>SWU838</t>
  </si>
  <si>
    <t>Swanson Albion Molybdenum 400 mcg 60 Veg Caps</t>
  </si>
  <si>
    <t>SWU843</t>
  </si>
  <si>
    <t>Swanson Telomere Advantage 60 Veg Caps</t>
  </si>
  <si>
    <t>SWU845</t>
  </si>
  <si>
    <t>Swanson Astaxanthin - Maximum Strength 12 mg 30 Sgels</t>
  </si>
  <si>
    <t>SWU849</t>
  </si>
  <si>
    <t>SWU861</t>
  </si>
  <si>
    <t>Swanson Hyaluronic Acid Complex 33 mg 60 Caps</t>
  </si>
  <si>
    <t>SWU868</t>
  </si>
  <si>
    <t>Swanson Ultimate Ocular Antioxidant - Featuring Lutemax 2020 30 Sgels</t>
  </si>
  <si>
    <t>SWU890</t>
  </si>
  <si>
    <t>Swanson Pycnogenol - Super Strength 150 mg 30 Veg Caps</t>
  </si>
  <si>
    <t>SWU896</t>
  </si>
  <si>
    <t>SWU900</t>
  </si>
  <si>
    <t>Swanson R-5-P Riboflavin-5-Phosphate 50 mg 60 Veg Caps</t>
  </si>
  <si>
    <t>SWU907</t>
  </si>
  <si>
    <t>Swanson Activated B12 Complex - Natural Cherry Flavor 2,000 mcg 60 Loz</t>
  </si>
  <si>
    <t>SWU917</t>
  </si>
  <si>
    <t>SWU923</t>
  </si>
  <si>
    <t>Swanson Zinc Orotate - High Bioavailability 10 mg 60 Veg Caps</t>
  </si>
  <si>
    <t>SWU931</t>
  </si>
  <si>
    <t>Swanson N-Acetyl D-Glucosamine 750 mg 60 Veg Caps</t>
  </si>
  <si>
    <t>SWU933</t>
  </si>
  <si>
    <t>SWU938</t>
  </si>
  <si>
    <t>SWU946</t>
  </si>
  <si>
    <t>Swanson Peak Atp - Maximum Strength 400 mg 30 Veg Caps</t>
  </si>
  <si>
    <t>SWU948</t>
  </si>
  <si>
    <t>SWU962</t>
  </si>
  <si>
    <t>SWU975</t>
  </si>
  <si>
    <t>Swanson Benfotiamine 80 mg 120 Caps</t>
  </si>
  <si>
    <t>SWU976</t>
  </si>
  <si>
    <t>Swanson Benfotiamine - High Potency 160 mg 60 Caps</t>
  </si>
  <si>
    <t>SWU981</t>
  </si>
  <si>
    <t>Swanson Lutein 40 mg 60 Sgels</t>
  </si>
  <si>
    <t>SWU986</t>
  </si>
  <si>
    <t>Swanson Synergistic Eye Health - Lutein &amp; Zeaxanthin 60 Sgels</t>
  </si>
  <si>
    <t>SWU990</t>
  </si>
  <si>
    <t>Swanson Lutein &amp; Bilberry 120 Sgels</t>
  </si>
  <si>
    <t>SWU991</t>
  </si>
  <si>
    <t>Category</t>
  </si>
  <si>
    <t>Sub-Category</t>
  </si>
  <si>
    <t>Pieces per case</t>
  </si>
  <si>
    <t>Pieces per box</t>
  </si>
  <si>
    <t>Best Buy or Manufacture Date</t>
  </si>
  <si>
    <t>Max Shelf Life</t>
  </si>
  <si>
    <t>Pill Count</t>
  </si>
  <si>
    <t>Pill Form</t>
  </si>
  <si>
    <t>Ship weight (kg)</t>
  </si>
  <si>
    <t>Overall Wellness</t>
  </si>
  <si>
    <t>Vitamin A</t>
  </si>
  <si>
    <t>BBD</t>
  </si>
  <si>
    <t>Softgels</t>
  </si>
  <si>
    <t>Bone Health</t>
  </si>
  <si>
    <t>Vitamin D</t>
  </si>
  <si>
    <t>Energy Support</t>
  </si>
  <si>
    <t>Capsules</t>
  </si>
  <si>
    <t>Heart and Cardiovascular</t>
  </si>
  <si>
    <t>Women's Health</t>
  </si>
  <si>
    <t>Brain Health</t>
  </si>
  <si>
    <t>Tablets</t>
  </si>
  <si>
    <t>Weight Loss</t>
  </si>
  <si>
    <t>Digestive System</t>
  </si>
  <si>
    <t>Powder</t>
  </si>
  <si>
    <t>Stress Support</t>
  </si>
  <si>
    <t>Immune</t>
  </si>
  <si>
    <t>Joint</t>
  </si>
  <si>
    <t>Detox</t>
  </si>
  <si>
    <t>Respiratory</t>
  </si>
  <si>
    <t>Sexual Health</t>
  </si>
  <si>
    <t>Liquid</t>
  </si>
  <si>
    <t>Natural Sweeteners</t>
  </si>
  <si>
    <t>Veggie Capsules</t>
  </si>
  <si>
    <t>Sleep</t>
  </si>
  <si>
    <t>Beauty from Within</t>
  </si>
  <si>
    <t>MFG</t>
  </si>
  <si>
    <t>Fitness and Endurance</t>
  </si>
  <si>
    <t>Skin Care</t>
  </si>
  <si>
    <t>Cream</t>
  </si>
  <si>
    <t>Chewable Tablets</t>
  </si>
  <si>
    <t>Amino Workout</t>
  </si>
  <si>
    <t>Men's Health</t>
  </si>
  <si>
    <t>Thyroid</t>
  </si>
  <si>
    <t>Packets</t>
  </si>
  <si>
    <t>Gummies</t>
  </si>
  <si>
    <t>Vision</t>
  </si>
  <si>
    <t>Gel</t>
  </si>
  <si>
    <t>Lozenges</t>
  </si>
  <si>
    <t>Oils and Vinegars</t>
  </si>
  <si>
    <t>Liquid Veggie Capsules</t>
  </si>
  <si>
    <t>Beverages</t>
  </si>
  <si>
    <t>Timed-Release Tablets</t>
  </si>
  <si>
    <t>Vegetarian Tablets</t>
  </si>
  <si>
    <t>Price</t>
  </si>
  <si>
    <t>Order</t>
  </si>
  <si>
    <t>Total</t>
  </si>
  <si>
    <t>B Vitamins for Energy</t>
  </si>
  <si>
    <t>Heart</t>
  </si>
  <si>
    <t>Vitamin B12</t>
  </si>
  <si>
    <t>Choline and Inositol</t>
  </si>
  <si>
    <t>Cholesterol</t>
  </si>
  <si>
    <t>B Vitamin Complexes</t>
  </si>
  <si>
    <t>Blood Sugar</t>
  </si>
  <si>
    <t>Vitamin C</t>
  </si>
  <si>
    <t>L-Carnitine</t>
  </si>
  <si>
    <t>Fiber Supplement</t>
  </si>
  <si>
    <t>Rhodiola</t>
  </si>
  <si>
    <t>Calcium</t>
  </si>
  <si>
    <t>Blood Pressure</t>
  </si>
  <si>
    <t>Glucosamine Chondroitin MSM</t>
  </si>
  <si>
    <t>Oregano</t>
  </si>
  <si>
    <t>Specialty Joint Products</t>
  </si>
  <si>
    <t>Mangosteen</t>
  </si>
  <si>
    <t>Herbs for Digestive System</t>
  </si>
  <si>
    <t>Triphala</t>
  </si>
  <si>
    <t>Immune Health Combination Formulas</t>
  </si>
  <si>
    <t>Bilberry and Lutein</t>
  </si>
  <si>
    <t>Specialty Respiratory Herbs</t>
  </si>
  <si>
    <t>Hormone Balance</t>
  </si>
  <si>
    <t>Specialty Stress Supplements</t>
  </si>
  <si>
    <t>B Stress Complex</t>
  </si>
  <si>
    <t>Turmeric</t>
  </si>
  <si>
    <t>Magnesium</t>
  </si>
  <si>
    <t>Liver Cleanse</t>
  </si>
  <si>
    <t>Body Cleanse</t>
  </si>
  <si>
    <t>Ginseng</t>
  </si>
  <si>
    <t>Lion's Mane</t>
  </si>
  <si>
    <t>Tart Cherry</t>
  </si>
  <si>
    <t>Specialty Energy Herbs</t>
  </si>
  <si>
    <t>Excretory System</t>
  </si>
  <si>
    <t>Marshmallow</t>
  </si>
  <si>
    <t>Zinc</t>
  </si>
  <si>
    <t>Holy Basil</t>
  </si>
  <si>
    <t>Herbal Supplements</t>
  </si>
  <si>
    <t>Skullcap</t>
  </si>
  <si>
    <t>Herbs for Sexual Health</t>
  </si>
  <si>
    <t>Energy Blend</t>
  </si>
  <si>
    <t>Raspberry Supplements</t>
  </si>
  <si>
    <t>Ginkgo Biloba</t>
  </si>
  <si>
    <t>Greens and Superfoods</t>
  </si>
  <si>
    <t>Tribulus</t>
  </si>
  <si>
    <t>Specialty Immune Products</t>
  </si>
  <si>
    <t>Milk Thistle</t>
  </si>
  <si>
    <t>Mushrooms</t>
  </si>
  <si>
    <t>Green Tea Supplement</t>
  </si>
  <si>
    <t>Strontium</t>
  </si>
  <si>
    <t>Minerals</t>
  </si>
  <si>
    <t>Stevia</t>
  </si>
  <si>
    <t>Astragalus</t>
  </si>
  <si>
    <t>Saw Palmetto</t>
  </si>
  <si>
    <t>Adrenal Supplements</t>
  </si>
  <si>
    <t>Biotin</t>
  </si>
  <si>
    <t>Valerian</t>
  </si>
  <si>
    <t>Hair, Skin and Nail Formulas</t>
  </si>
  <si>
    <t>Specialty Vision Herbs</t>
  </si>
  <si>
    <t>Artichoke</t>
  </si>
  <si>
    <t>Respiratory Health Combination Formulas</t>
  </si>
  <si>
    <t>Vitamin E</t>
  </si>
  <si>
    <t>Mullein</t>
  </si>
  <si>
    <t>Echinacea and Goldenseal</t>
  </si>
  <si>
    <t>Boswellia</t>
  </si>
  <si>
    <t>Licorice Root</t>
  </si>
  <si>
    <t>Prostate Health</t>
  </si>
  <si>
    <t>St. John's Wort</t>
  </si>
  <si>
    <t>Gotu Kola</t>
  </si>
  <si>
    <t>Dandelion</t>
  </si>
  <si>
    <t>Horsetail and Silica</t>
  </si>
  <si>
    <t>Charcoal</t>
  </si>
  <si>
    <t>White Willow</t>
  </si>
  <si>
    <t>Saffron</t>
  </si>
  <si>
    <t>Pre Workout Supplements</t>
  </si>
  <si>
    <t>Digestive Health Combination Formulas</t>
  </si>
  <si>
    <t>Andrographis</t>
  </si>
  <si>
    <t>Digestive Enzymes</t>
  </si>
  <si>
    <t>Coleus Forskohlii</t>
  </si>
  <si>
    <t>Skin Moisturizers</t>
  </si>
  <si>
    <t>L-Tryptophan</t>
  </si>
  <si>
    <t>Green Coffee Bean</t>
  </si>
  <si>
    <t>Keratin</t>
  </si>
  <si>
    <t>GABA</t>
  </si>
  <si>
    <t>Garcinia Cambogia</t>
  </si>
  <si>
    <t>MCT Oil</t>
  </si>
  <si>
    <t>L-Glutamine</t>
  </si>
  <si>
    <t>Multivitamins</t>
  </si>
  <si>
    <t>Metabolism</t>
  </si>
  <si>
    <t>Melatonin</t>
  </si>
  <si>
    <t>Acetyl L-Carnitine</t>
  </si>
  <si>
    <t>Quercetin</t>
  </si>
  <si>
    <t>Elderberry</t>
  </si>
  <si>
    <t>Colon Cleanse</t>
  </si>
  <si>
    <t>Bacopa</t>
  </si>
  <si>
    <t>Chamomile</t>
  </si>
  <si>
    <t>Huperzine A</t>
  </si>
  <si>
    <t>Feverfew</t>
  </si>
  <si>
    <t>Cordyceps</t>
  </si>
  <si>
    <t>Vinpocetine</t>
  </si>
  <si>
    <t>Iodine</t>
  </si>
  <si>
    <t>Calcium and Magnesium</t>
  </si>
  <si>
    <t>Joint Support Combination Formulas</t>
  </si>
  <si>
    <t>Collagen Supplements</t>
  </si>
  <si>
    <t>Concentration</t>
  </si>
  <si>
    <t>Probiotics</t>
  </si>
  <si>
    <t>Ashwagandha</t>
  </si>
  <si>
    <t>Memory Combination Formulas</t>
  </si>
  <si>
    <t>NAC</t>
  </si>
  <si>
    <t>Apple Cider Vinegar</t>
  </si>
  <si>
    <t>Vision Formulas</t>
  </si>
  <si>
    <t>Epicor</t>
  </si>
  <si>
    <t>Aloe Vera</t>
  </si>
  <si>
    <t>Lysine</t>
  </si>
  <si>
    <t>Hydrochloric Acid</t>
  </si>
  <si>
    <t>Cat's Claw</t>
  </si>
  <si>
    <t>Burdock</t>
  </si>
  <si>
    <t>Ginger</t>
  </si>
  <si>
    <t>Boron</t>
  </si>
  <si>
    <t>CoQ10</t>
  </si>
  <si>
    <t>Pregnenolone</t>
  </si>
  <si>
    <t>Taurine</t>
  </si>
  <si>
    <t>Glutathione</t>
  </si>
  <si>
    <t>Tyrosine</t>
  </si>
  <si>
    <t>BCAA</t>
  </si>
  <si>
    <t>Devil's Claw</t>
  </si>
  <si>
    <t>Maca</t>
  </si>
  <si>
    <t>Senna</t>
  </si>
  <si>
    <t>Vitamin K</t>
  </si>
  <si>
    <t>Thyroid Formulas</t>
  </si>
  <si>
    <t>Cleanse and Fluid Balance</t>
  </si>
  <si>
    <t>Flax Oil</t>
  </si>
  <si>
    <t>Coconut Oil Supplements</t>
  </si>
  <si>
    <t>Cider Vinegar</t>
  </si>
  <si>
    <t>Bladderwrack</t>
  </si>
  <si>
    <t>Horny Goat Weed</t>
  </si>
  <si>
    <t>Shilajit</t>
  </si>
  <si>
    <t>Curcumin</t>
  </si>
  <si>
    <t>Specialty Bone Supplements</t>
  </si>
  <si>
    <t>L-Theanine</t>
  </si>
  <si>
    <t>Phosphatidylserine</t>
  </si>
  <si>
    <t>Beta Glucan</t>
  </si>
  <si>
    <t>SAMe</t>
  </si>
  <si>
    <t>Astaxanthin</t>
  </si>
  <si>
    <t>Zinc Carnosine</t>
  </si>
  <si>
    <t>NADH</t>
  </si>
  <si>
    <t>Ubiquinol</t>
  </si>
  <si>
    <t>Fisetin</t>
  </si>
  <si>
    <t>Healthy Aging</t>
  </si>
  <si>
    <t>Hyaluronic Acid</t>
  </si>
  <si>
    <t>WhatsApp → +380-9871-54085</t>
  </si>
  <si>
    <t>E-mail → info@dsn.group</t>
  </si>
  <si>
    <t>Instagram → https://www.instagram.com/dsngroup.official/</t>
  </si>
  <si>
    <r>
      <rPr>
        <b/>
        <sz val="14"/>
        <color rgb="FFFF0000"/>
        <rFont val="Calibri"/>
        <family val="2"/>
        <charset val="204"/>
        <scheme val="minor"/>
      </rPr>
      <t>Importantly!</t>
    </r>
    <r>
      <rPr>
        <sz val="14"/>
        <color theme="1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</si>
  <si>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SW1275</t>
  </si>
  <si>
    <t>Swanson Lavender Flower 400 mg 60 Caps</t>
  </si>
  <si>
    <t>SW1291</t>
  </si>
  <si>
    <t>Swanson Full Spectrum Irish Moss 400 mg 60 Caps</t>
  </si>
  <si>
    <t>SW1581</t>
  </si>
  <si>
    <t>Swanson Full Spectrum Mucuna Pruriens 400 mg 60 Caps</t>
  </si>
  <si>
    <t>SW1819</t>
  </si>
  <si>
    <t>SWH201</t>
  </si>
  <si>
    <t>Swanson Chrysin Passionflower Extract 30 Veg Caps</t>
  </si>
  <si>
    <t>SWU393</t>
  </si>
  <si>
    <t>Swanson Ubiquinol 50 mg 60 Sgels</t>
  </si>
  <si>
    <t>SWU478</t>
  </si>
  <si>
    <t>Swanson Trehalose 16 oz Pwdr</t>
  </si>
  <si>
    <t>NAD</t>
  </si>
  <si>
    <t>Weight Loss Herbs</t>
  </si>
  <si>
    <t>Sweeteners</t>
  </si>
  <si>
    <t>USA → +13-322-093-910</t>
  </si>
  <si>
    <t>Poland → +48-459-568-603</t>
  </si>
  <si>
    <t>SW872</t>
  </si>
  <si>
    <t>SWE059</t>
  </si>
  <si>
    <t>Swanson 100% Pure Krill Oil 500 mg 60 Sgels</t>
  </si>
  <si>
    <t>SW1516</t>
  </si>
  <si>
    <t>Swanson Argan Oil Hand Lotion 4 fl oz Lotion</t>
  </si>
  <si>
    <t>SWU969</t>
  </si>
  <si>
    <t>Swanson Royal Jelly Propolis Complex 60 Caps</t>
  </si>
  <si>
    <t>SW1465</t>
  </si>
  <si>
    <t>Swanson Wrinkle Cream With Dmae &amp; Coq10 2 fl oz Cream</t>
  </si>
  <si>
    <t>SW1253</t>
  </si>
  <si>
    <t>Swanson Omega-3 Fish Oil - Lemon Flavor 150 Sgels</t>
  </si>
  <si>
    <t>SWC104</t>
  </si>
  <si>
    <t>SW1475</t>
  </si>
  <si>
    <t>Swanson Hyaluronic Acid Serum 1 fl oz Serum</t>
  </si>
  <si>
    <t>SWE020</t>
  </si>
  <si>
    <t>Swanson Multiomega 3-6-9 Flax, Borage &amp; Fish Oils - Omegatru Blend 120 Sgels</t>
  </si>
  <si>
    <t>SW1450</t>
  </si>
  <si>
    <t>Swanson Better Than Blue Comfort Cream 4 fl oz Cream</t>
  </si>
  <si>
    <t>SW1627</t>
  </si>
  <si>
    <t>Swanson Shea Butter &amp; Coconut Lip Balm 0.18 oz Balm</t>
  </si>
  <si>
    <t>Swanson Brewer's Yeast Formula for Cats and Dogs 160 Chews</t>
  </si>
  <si>
    <t>SW1462</t>
  </si>
  <si>
    <t>Swanson Coq10 Cream 2 fl oz Cream</t>
  </si>
  <si>
    <t>SW1467</t>
  </si>
  <si>
    <t>Swanson Intensive Hand &amp; Foot Therapy Cream 2 fl oz Cream</t>
  </si>
  <si>
    <t>SWE095</t>
  </si>
  <si>
    <t>Swanson High Concentrate Omega-3 - Mini Softgels 570 mg 120 Sgels</t>
  </si>
  <si>
    <t>SW1870</t>
  </si>
  <si>
    <t>Swanson Melatonin Gummies - Strawberry 2.5 mg 60 Gummies</t>
  </si>
  <si>
    <t>Lotion</t>
  </si>
  <si>
    <t>Bee Supplements</t>
  </si>
  <si>
    <t>Face Care</t>
  </si>
  <si>
    <t>Wrinkle Cream</t>
  </si>
  <si>
    <t>Fish Oil</t>
  </si>
  <si>
    <t>Sleep Formulas</t>
  </si>
  <si>
    <t>Lips</t>
  </si>
  <si>
    <t>Pet Care</t>
  </si>
  <si>
    <t>Specialty Pet Supplements</t>
  </si>
  <si>
    <t>SW1938</t>
  </si>
  <si>
    <t>SW1922</t>
  </si>
  <si>
    <t>SW1607</t>
  </si>
  <si>
    <t>SW125</t>
  </si>
  <si>
    <t>SW1069</t>
  </si>
  <si>
    <t>SW925</t>
  </si>
  <si>
    <t>SW1937</t>
  </si>
  <si>
    <t>SWU1060</t>
  </si>
  <si>
    <t>SW1702</t>
  </si>
  <si>
    <t>SWU345</t>
  </si>
  <si>
    <t>SW1934</t>
  </si>
  <si>
    <t>SWE079</t>
  </si>
  <si>
    <t>SWU218</t>
  </si>
  <si>
    <t>SWU101</t>
  </si>
  <si>
    <t>SW1594</t>
  </si>
  <si>
    <t>SWU829</t>
  </si>
  <si>
    <t>SW849</t>
  </si>
  <si>
    <t>SWF197</t>
  </si>
  <si>
    <t>SWU611</t>
  </si>
  <si>
    <t>SWU1053</t>
  </si>
  <si>
    <t>SWU869</t>
  </si>
  <si>
    <t>SW733</t>
  </si>
  <si>
    <t>SWU1052</t>
  </si>
  <si>
    <t>SWU349</t>
  </si>
  <si>
    <t>SW761</t>
  </si>
  <si>
    <t>SW1375</t>
  </si>
  <si>
    <t>SWU1069</t>
  </si>
  <si>
    <t>SWH262</t>
  </si>
  <si>
    <t>SWU675</t>
  </si>
  <si>
    <t>SWU1051</t>
  </si>
  <si>
    <t>SWU1036</t>
  </si>
  <si>
    <t>SWU1068</t>
  </si>
  <si>
    <t>SWRJ002</t>
  </si>
  <si>
    <t>SWF030</t>
  </si>
  <si>
    <t>SWH005</t>
  </si>
  <si>
    <t>SW257</t>
  </si>
  <si>
    <t>SWA023</t>
  </si>
  <si>
    <t>SW1144</t>
  </si>
  <si>
    <t>SW1712</t>
  </si>
  <si>
    <t>SWA044</t>
  </si>
  <si>
    <t>SWC084</t>
  </si>
  <si>
    <t>SW835</t>
  </si>
  <si>
    <t>SW1936</t>
  </si>
  <si>
    <t>SW1811</t>
  </si>
  <si>
    <t>SW1813</t>
  </si>
  <si>
    <t>SWU842</t>
  </si>
  <si>
    <t>SW1119</t>
  </si>
  <si>
    <t>SW094</t>
  </si>
  <si>
    <t>SWU428</t>
  </si>
  <si>
    <t>SWU700</t>
  </si>
  <si>
    <t>SWU402</t>
  </si>
  <si>
    <t>SW1935</t>
  </si>
  <si>
    <t>SW630</t>
  </si>
  <si>
    <t>SWU963</t>
  </si>
  <si>
    <t>SW875</t>
  </si>
  <si>
    <t>SWH288</t>
  </si>
  <si>
    <t>SWH289</t>
  </si>
  <si>
    <t>SW862</t>
  </si>
  <si>
    <t>SW851</t>
  </si>
  <si>
    <t>SWH217</t>
  </si>
  <si>
    <t>SW747</t>
  </si>
  <si>
    <t>SW098</t>
  </si>
  <si>
    <t>SW732</t>
  </si>
  <si>
    <t>SW1591</t>
  </si>
  <si>
    <t>SWH154</t>
  </si>
  <si>
    <t>SWU522</t>
  </si>
  <si>
    <t>SWH148</t>
  </si>
  <si>
    <t>SWG21</t>
  </si>
  <si>
    <t>SWU1063</t>
  </si>
  <si>
    <t>SWU347</t>
  </si>
  <si>
    <t>SWU136</t>
  </si>
  <si>
    <t>SWH187</t>
  </si>
  <si>
    <t>SW1041</t>
  </si>
  <si>
    <t>SW1107</t>
  </si>
  <si>
    <t>SW834</t>
  </si>
  <si>
    <t>SW062</t>
  </si>
  <si>
    <t>SW049</t>
  </si>
  <si>
    <t>SWH268</t>
  </si>
  <si>
    <t>SW1558</t>
  </si>
  <si>
    <t>SWU662</t>
  </si>
  <si>
    <t>SWU680</t>
  </si>
  <si>
    <t>SW1544</t>
  </si>
  <si>
    <t>SW799</t>
  </si>
  <si>
    <t>SW083</t>
  </si>
  <si>
    <t>SWU036</t>
  </si>
  <si>
    <t>SWU764</t>
  </si>
  <si>
    <t>SW1346</t>
  </si>
  <si>
    <t>SW1225</t>
  </si>
  <si>
    <t>SWU928</t>
  </si>
  <si>
    <t>SW1059</t>
  </si>
  <si>
    <t>SWU906</t>
  </si>
  <si>
    <t>SW1571</t>
  </si>
  <si>
    <t>SWU421</t>
  </si>
  <si>
    <t>SW1704</t>
  </si>
  <si>
    <t>SWU816</t>
  </si>
  <si>
    <t>SW1390</t>
  </si>
  <si>
    <t>SWD076</t>
  </si>
  <si>
    <t>SW526</t>
  </si>
  <si>
    <t>SW1007</t>
  </si>
  <si>
    <t>SWU818</t>
  </si>
  <si>
    <t>SW324</t>
  </si>
  <si>
    <t>SWA048</t>
  </si>
  <si>
    <t>SW674</t>
  </si>
  <si>
    <t>SW1272</t>
  </si>
  <si>
    <t>SWD094</t>
  </si>
  <si>
    <t>SW1892</t>
  </si>
  <si>
    <t>SW1893</t>
  </si>
  <si>
    <t>SW1897</t>
  </si>
  <si>
    <t>SW1898</t>
  </si>
  <si>
    <t>SW1910</t>
  </si>
  <si>
    <t>SW1918</t>
  </si>
  <si>
    <t>SW1919</t>
  </si>
  <si>
    <t>SW1939</t>
  </si>
  <si>
    <t>SW1940</t>
  </si>
  <si>
    <t>SW1941</t>
  </si>
  <si>
    <t>SW1942</t>
  </si>
  <si>
    <t>SW1943</t>
  </si>
  <si>
    <t>SW1944</t>
  </si>
  <si>
    <t>SWU1101</t>
  </si>
  <si>
    <t>SWU1102</t>
  </si>
  <si>
    <t>SWU1103</t>
  </si>
  <si>
    <t>SW1009</t>
  </si>
  <si>
    <t>SW1095</t>
  </si>
  <si>
    <t>SW1236</t>
  </si>
  <si>
    <t>SW1241</t>
  </si>
  <si>
    <t>SW136</t>
  </si>
  <si>
    <t>SW1364</t>
  </si>
  <si>
    <t>SW1378</t>
  </si>
  <si>
    <t>SW1385</t>
  </si>
  <si>
    <t>SW140</t>
  </si>
  <si>
    <t>SW1437</t>
  </si>
  <si>
    <t>SW1444</t>
  </si>
  <si>
    <t>SW1546</t>
  </si>
  <si>
    <t>SW1557</t>
  </si>
  <si>
    <t>SW1621</t>
  </si>
  <si>
    <t>SW1767</t>
  </si>
  <si>
    <t>SW1855</t>
  </si>
  <si>
    <t>SW196</t>
  </si>
  <si>
    <t>SW203</t>
  </si>
  <si>
    <t>SW282</t>
  </si>
  <si>
    <t>SW423</t>
  </si>
  <si>
    <t>SW477</t>
  </si>
  <si>
    <t>SW542</t>
  </si>
  <si>
    <t>SW653</t>
  </si>
  <si>
    <t>SW746</t>
  </si>
  <si>
    <t>SW786</t>
  </si>
  <si>
    <t>SW866</t>
  </si>
  <si>
    <t>SW892</t>
  </si>
  <si>
    <t>SW956</t>
  </si>
  <si>
    <t>SWA016</t>
  </si>
  <si>
    <t>SWA025</t>
  </si>
  <si>
    <t>SWD048</t>
  </si>
  <si>
    <t>SWH260</t>
  </si>
  <si>
    <t>SWH287</t>
  </si>
  <si>
    <t>SWP003</t>
  </si>
  <si>
    <t>SWP013</t>
  </si>
  <si>
    <t>SWP015</t>
  </si>
  <si>
    <t>SWR010</t>
  </si>
  <si>
    <t>SWU1034</t>
  </si>
  <si>
    <t>SWU1082</t>
  </si>
  <si>
    <t>SWU204</t>
  </si>
  <si>
    <t>SWU248</t>
  </si>
  <si>
    <t>SWU261</t>
  </si>
  <si>
    <t>SWU305</t>
  </si>
  <si>
    <t>SWU468</t>
  </si>
  <si>
    <t>SWU518</t>
  </si>
  <si>
    <t>SWU671</t>
  </si>
  <si>
    <t>SWU758</t>
  </si>
  <si>
    <t>SWU790</t>
  </si>
  <si>
    <t>SWU913</t>
  </si>
  <si>
    <t>SWU993</t>
  </si>
  <si>
    <t>SWU994</t>
  </si>
  <si>
    <t>SW055</t>
  </si>
  <si>
    <t>SW102</t>
  </si>
  <si>
    <t>SW1035</t>
  </si>
  <si>
    <t>SW1112</t>
  </si>
  <si>
    <t>SW1120</t>
  </si>
  <si>
    <t>SW1138</t>
  </si>
  <si>
    <t>SW1143</t>
  </si>
  <si>
    <t>SW1157</t>
  </si>
  <si>
    <t>SW1171</t>
  </si>
  <si>
    <t>SW1176</t>
  </si>
  <si>
    <t>SW1261</t>
  </si>
  <si>
    <t>SW1295</t>
  </si>
  <si>
    <t>SW1298</t>
  </si>
  <si>
    <t>SW1386</t>
  </si>
  <si>
    <t>SW141</t>
  </si>
  <si>
    <t>SW1412</t>
  </si>
  <si>
    <t>SW1421</t>
  </si>
  <si>
    <t>SW148</t>
  </si>
  <si>
    <t>SW1559</t>
  </si>
  <si>
    <t>SW1601</t>
  </si>
  <si>
    <t>SW1648</t>
  </si>
  <si>
    <t>SW1665</t>
  </si>
  <si>
    <t>SW1706</t>
  </si>
  <si>
    <t>SW1709</t>
  </si>
  <si>
    <t>SW1806</t>
  </si>
  <si>
    <t>SW269</t>
  </si>
  <si>
    <t>SW283</t>
  </si>
  <si>
    <t>SW316</t>
  </si>
  <si>
    <t>SW402</t>
  </si>
  <si>
    <t>SW506</t>
  </si>
  <si>
    <t>SW710</t>
  </si>
  <si>
    <t>SW810</t>
  </si>
  <si>
    <t>SW847</t>
  </si>
  <si>
    <t>SW891</t>
  </si>
  <si>
    <t>SW904</t>
  </si>
  <si>
    <t>SW935</t>
  </si>
  <si>
    <t>SWA038</t>
  </si>
  <si>
    <t>SWD040</t>
  </si>
  <si>
    <t>SWE010</t>
  </si>
  <si>
    <t>SWH010</t>
  </si>
  <si>
    <t>SWH031</t>
  </si>
  <si>
    <t>SWH080</t>
  </si>
  <si>
    <t>SWH140</t>
  </si>
  <si>
    <t>SWH158</t>
  </si>
  <si>
    <t>SWH180</t>
  </si>
  <si>
    <t>SWH198</t>
  </si>
  <si>
    <t>SWH273</t>
  </si>
  <si>
    <t>SWP028</t>
  </si>
  <si>
    <t>SWU022</t>
  </si>
  <si>
    <t>SWU076</t>
  </si>
  <si>
    <t>SWU1032</t>
  </si>
  <si>
    <t>SWU125</t>
  </si>
  <si>
    <t>SWU254</t>
  </si>
  <si>
    <t>SWU282</t>
  </si>
  <si>
    <t>SWU460</t>
  </si>
  <si>
    <t>SWU472</t>
  </si>
  <si>
    <t>SWU509</t>
  </si>
  <si>
    <t>SWU513</t>
  </si>
  <si>
    <t>SWU797</t>
  </si>
  <si>
    <t>SWU925</t>
  </si>
  <si>
    <t>SWU979</t>
  </si>
  <si>
    <t>SW008</t>
  </si>
  <si>
    <t>SW022</t>
  </si>
  <si>
    <t>SW090</t>
  </si>
  <si>
    <t>SW1006</t>
  </si>
  <si>
    <t>SW1062</t>
  </si>
  <si>
    <t>SW1098</t>
  </si>
  <si>
    <t>SW1158</t>
  </si>
  <si>
    <t>SW1172</t>
  </si>
  <si>
    <t>SW1198</t>
  </si>
  <si>
    <t>SW1214</t>
  </si>
  <si>
    <t>SW1216</t>
  </si>
  <si>
    <t>SW1221</t>
  </si>
  <si>
    <t>SW1244</t>
  </si>
  <si>
    <t>SW1257</t>
  </si>
  <si>
    <t>SW1264</t>
  </si>
  <si>
    <t>SW1279</t>
  </si>
  <si>
    <t>SW1292</t>
  </si>
  <si>
    <t>SW1296</t>
  </si>
  <si>
    <t>SW1301</t>
  </si>
  <si>
    <t>SW1307</t>
  </si>
  <si>
    <t>SW1324</t>
  </si>
  <si>
    <t>SW1325</t>
  </si>
  <si>
    <t>SW1337</t>
  </si>
  <si>
    <t>SW1344</t>
  </si>
  <si>
    <t>SW1370</t>
  </si>
  <si>
    <t>SW1396</t>
  </si>
  <si>
    <t>SW1406</t>
  </si>
  <si>
    <t>SW1410</t>
  </si>
  <si>
    <t>SW1414</t>
  </si>
  <si>
    <t>SW1439</t>
  </si>
  <si>
    <t>SW1448</t>
  </si>
  <si>
    <t>SW1458</t>
  </si>
  <si>
    <t>SW1459</t>
  </si>
  <si>
    <t>SW1461</t>
  </si>
  <si>
    <t>SW1487</t>
  </si>
  <si>
    <t>SW1493</t>
  </si>
  <si>
    <t>SW1496</t>
  </si>
  <si>
    <t>SW1499</t>
  </si>
  <si>
    <t>SW1522</t>
  </si>
  <si>
    <t>SW1545</t>
  </si>
  <si>
    <t>SW1570</t>
  </si>
  <si>
    <t>SW1612</t>
  </si>
  <si>
    <t>SW1657</t>
  </si>
  <si>
    <t>SW1673</t>
  </si>
  <si>
    <t>SW1696</t>
  </si>
  <si>
    <t>SW1698</t>
  </si>
  <si>
    <t>SW1708</t>
  </si>
  <si>
    <t>SW1720</t>
  </si>
  <si>
    <t>SW1738</t>
  </si>
  <si>
    <t>SW1762</t>
  </si>
  <si>
    <t>SW1763</t>
  </si>
  <si>
    <t>SW1771</t>
  </si>
  <si>
    <t>SW1782</t>
  </si>
  <si>
    <t>SW1790</t>
  </si>
  <si>
    <t>SW1810</t>
  </si>
  <si>
    <t>SW1828</t>
  </si>
  <si>
    <t>SW1830</t>
  </si>
  <si>
    <t>SW1854</t>
  </si>
  <si>
    <t>SW1911</t>
  </si>
  <si>
    <t>SW1931</t>
  </si>
  <si>
    <t>SW224</t>
  </si>
  <si>
    <t>SW317</t>
  </si>
  <si>
    <t>SW426</t>
  </si>
  <si>
    <t>SW543</t>
  </si>
  <si>
    <t>SW659</t>
  </si>
  <si>
    <t>SW673</t>
  </si>
  <si>
    <t>SW865</t>
  </si>
  <si>
    <t>SW873</t>
  </si>
  <si>
    <t>SW893</t>
  </si>
  <si>
    <t>SW939</t>
  </si>
  <si>
    <t>SW946</t>
  </si>
  <si>
    <t>SW999</t>
  </si>
  <si>
    <t>SWA040</t>
  </si>
  <si>
    <t>SWA056</t>
  </si>
  <si>
    <t>SWB006</t>
  </si>
  <si>
    <t>SWC059</t>
  </si>
  <si>
    <t>SWC083</t>
  </si>
  <si>
    <t>SWC097</t>
  </si>
  <si>
    <t>SWC100</t>
  </si>
  <si>
    <t>SWC108</t>
  </si>
  <si>
    <t>SWD005</t>
  </si>
  <si>
    <t>SWD045</t>
  </si>
  <si>
    <t>SWD065</t>
  </si>
  <si>
    <t>SWD081</t>
  </si>
  <si>
    <t>SWE009</t>
  </si>
  <si>
    <t>SWE011</t>
  </si>
  <si>
    <t>SWE013</t>
  </si>
  <si>
    <t>SWE077</t>
  </si>
  <si>
    <t>SWE083</t>
  </si>
  <si>
    <t>SWE092</t>
  </si>
  <si>
    <t>SWF198</t>
  </si>
  <si>
    <t>SWH039</t>
  </si>
  <si>
    <t>SWH072</t>
  </si>
  <si>
    <t>SWH149</t>
  </si>
  <si>
    <t>SWH151</t>
  </si>
  <si>
    <t>SWH162</t>
  </si>
  <si>
    <t>SWH207</t>
  </si>
  <si>
    <t>SWH221</t>
  </si>
  <si>
    <t>SWH222</t>
  </si>
  <si>
    <t>SWH252</t>
  </si>
  <si>
    <t>SWH291</t>
  </si>
  <si>
    <t>SWH296</t>
  </si>
  <si>
    <t>SWK014</t>
  </si>
  <si>
    <t>SWP004</t>
  </si>
  <si>
    <t>SWP006</t>
  </si>
  <si>
    <t>SWP022</t>
  </si>
  <si>
    <t>SWP023</t>
  </si>
  <si>
    <t>SWR020</t>
  </si>
  <si>
    <t>SWU064</t>
  </si>
  <si>
    <t>SWU1018</t>
  </si>
  <si>
    <t>SWU1037</t>
  </si>
  <si>
    <t>SWU1048</t>
  </si>
  <si>
    <t>SWU1097</t>
  </si>
  <si>
    <t>SWU118</t>
  </si>
  <si>
    <t>SWU149</t>
  </si>
  <si>
    <t>SWU156</t>
  </si>
  <si>
    <t>SWU205</t>
  </si>
  <si>
    <t>SWU251</t>
  </si>
  <si>
    <t>SWU316</t>
  </si>
  <si>
    <t>SWU323</t>
  </si>
  <si>
    <t>SWU332</t>
  </si>
  <si>
    <t>SWU372</t>
  </si>
  <si>
    <t>SWU427</t>
  </si>
  <si>
    <t>SWU456</t>
  </si>
  <si>
    <t>SWU479</t>
  </si>
  <si>
    <t>SWU655</t>
  </si>
  <si>
    <t>SWU659</t>
  </si>
  <si>
    <t>SWU678</t>
  </si>
  <si>
    <t>SWU685</t>
  </si>
  <si>
    <t>SWU718</t>
  </si>
  <si>
    <t>SWU736</t>
  </si>
  <si>
    <t>SWU768</t>
  </si>
  <si>
    <t>SWU798</t>
  </si>
  <si>
    <t>SWU809</t>
  </si>
  <si>
    <t>SWU855</t>
  </si>
  <si>
    <t>SWU860</t>
  </si>
  <si>
    <t>SWU870</t>
  </si>
  <si>
    <t>SWU872</t>
  </si>
  <si>
    <t>SWU886</t>
  </si>
  <si>
    <t>SWU889</t>
  </si>
  <si>
    <t>SWU894</t>
  </si>
  <si>
    <t>SWU904</t>
  </si>
  <si>
    <t>SWU926</t>
  </si>
  <si>
    <t>SWU959</t>
  </si>
  <si>
    <t>SWU995</t>
  </si>
  <si>
    <t>SW087</t>
  </si>
  <si>
    <t>SW1037</t>
  </si>
  <si>
    <t>SW1040</t>
  </si>
  <si>
    <t>SW1044</t>
  </si>
  <si>
    <t>SW1045</t>
  </si>
  <si>
    <t>SW1060</t>
  </si>
  <si>
    <t>SW1081</t>
  </si>
  <si>
    <t>SW1110</t>
  </si>
  <si>
    <t>SW1134</t>
  </si>
  <si>
    <t>SW1146</t>
  </si>
  <si>
    <t>SW1159</t>
  </si>
  <si>
    <t>SW1160</t>
  </si>
  <si>
    <t>SW1165</t>
  </si>
  <si>
    <t>SW1166</t>
  </si>
  <si>
    <t>SW1223</t>
  </si>
  <si>
    <t>SW1224</t>
  </si>
  <si>
    <t>SW1226</t>
  </si>
  <si>
    <t>SW1227</t>
  </si>
  <si>
    <t>SW1228</t>
  </si>
  <si>
    <t>SW1233</t>
  </si>
  <si>
    <t>SW1260</t>
  </si>
  <si>
    <t>SW1266</t>
  </si>
  <si>
    <t>SW1267</t>
  </si>
  <si>
    <t>SW1269</t>
  </si>
  <si>
    <t>SW1281</t>
  </si>
  <si>
    <t>SW1288</t>
  </si>
  <si>
    <t>SW1290</t>
  </si>
  <si>
    <t>SW1297</t>
  </si>
  <si>
    <t>SW1300</t>
  </si>
  <si>
    <t>SW1302</t>
  </si>
  <si>
    <t>SW1303</t>
  </si>
  <si>
    <t>SW1304</t>
  </si>
  <si>
    <t>SW1306</t>
  </si>
  <si>
    <t>SW1313</t>
  </si>
  <si>
    <t>SW1315</t>
  </si>
  <si>
    <t>SW1321</t>
  </si>
  <si>
    <t>SW1330</t>
  </si>
  <si>
    <t>SW1338</t>
  </si>
  <si>
    <t>SW1358</t>
  </si>
  <si>
    <t>SW137</t>
  </si>
  <si>
    <t>SW1380</t>
  </si>
  <si>
    <t>SW1401</t>
  </si>
  <si>
    <t>SW1402</t>
  </si>
  <si>
    <t>SW1415</t>
  </si>
  <si>
    <t>SW1445</t>
  </si>
  <si>
    <t>SW1449</t>
  </si>
  <si>
    <t>SW1451</t>
  </si>
  <si>
    <t>SW1453</t>
  </si>
  <si>
    <t>SW1460</t>
  </si>
  <si>
    <t>SW1464</t>
  </si>
  <si>
    <t>SW1466</t>
  </si>
  <si>
    <t>SW1470</t>
  </si>
  <si>
    <t>SW1472</t>
  </si>
  <si>
    <t>SW1474</t>
  </si>
  <si>
    <t>SW1478</t>
  </si>
  <si>
    <t>SW1482</t>
  </si>
  <si>
    <t>SW1489</t>
  </si>
  <si>
    <t>SW1491</t>
  </si>
  <si>
    <t>SW1505</t>
  </si>
  <si>
    <t>SW1509</t>
  </si>
  <si>
    <t>SW1521</t>
  </si>
  <si>
    <t>SW1523</t>
  </si>
  <si>
    <t>SW1529</t>
  </si>
  <si>
    <t>SW1540</t>
  </si>
  <si>
    <t>SW156</t>
  </si>
  <si>
    <t>SW1562</t>
  </si>
  <si>
    <t>SW1575</t>
  </si>
  <si>
    <t>SW1576</t>
  </si>
  <si>
    <t>SW1577</t>
  </si>
  <si>
    <t>SW1580</t>
  </si>
  <si>
    <t>SW1593</t>
  </si>
  <si>
    <t>SW1598</t>
  </si>
  <si>
    <t>SW1605</t>
  </si>
  <si>
    <t>SW1606</t>
  </si>
  <si>
    <t>SW1616</t>
  </si>
  <si>
    <t>SW1618</t>
  </si>
  <si>
    <t>SW1624</t>
  </si>
  <si>
    <t>SW1625</t>
  </si>
  <si>
    <t>SW1630</t>
  </si>
  <si>
    <t>SW1631</t>
  </si>
  <si>
    <t>SW1632</t>
  </si>
  <si>
    <t>SW1652</t>
  </si>
  <si>
    <t>SW1659</t>
  </si>
  <si>
    <t>SW1670</t>
  </si>
  <si>
    <t>SW1674</t>
  </si>
  <si>
    <t>SW1679</t>
  </si>
  <si>
    <t>SW1681</t>
  </si>
  <si>
    <t>SW1685</t>
  </si>
  <si>
    <t>SW1689</t>
  </si>
  <si>
    <t>SW1697</t>
  </si>
  <si>
    <t>SW1703</t>
  </si>
  <si>
    <t>SW1715</t>
  </si>
  <si>
    <t>SW1731</t>
  </si>
  <si>
    <t>SW1734</t>
  </si>
  <si>
    <t>SW1739</t>
  </si>
  <si>
    <t>SW1741</t>
  </si>
  <si>
    <t>SW1747</t>
  </si>
  <si>
    <t>SW1755</t>
  </si>
  <si>
    <t>SW1766</t>
  </si>
  <si>
    <t>SW1768</t>
  </si>
  <si>
    <t>SW1791</t>
  </si>
  <si>
    <t>SW1807</t>
  </si>
  <si>
    <t>SW1814</t>
  </si>
  <si>
    <t>SW1817</t>
  </si>
  <si>
    <t>SW1820</t>
  </si>
  <si>
    <t>SW1833</t>
  </si>
  <si>
    <t>SW1857</t>
  </si>
  <si>
    <t>SW1864</t>
  </si>
  <si>
    <t>SW1866</t>
  </si>
  <si>
    <t>SW1880</t>
  </si>
  <si>
    <t>SW1881</t>
  </si>
  <si>
    <t>SW197</t>
  </si>
  <si>
    <t>SW225</t>
  </si>
  <si>
    <t>SW259</t>
  </si>
  <si>
    <t>SW265</t>
  </si>
  <si>
    <t>SW287</t>
  </si>
  <si>
    <t>SW332</t>
  </si>
  <si>
    <t>SW386</t>
  </si>
  <si>
    <t>SW512</t>
  </si>
  <si>
    <t>SW731</t>
  </si>
  <si>
    <t>SW741</t>
  </si>
  <si>
    <t>SW795</t>
  </si>
  <si>
    <t>SW843</t>
  </si>
  <si>
    <t>SW889</t>
  </si>
  <si>
    <t>SW918</t>
  </si>
  <si>
    <t>SW924</t>
  </si>
  <si>
    <t>SW941</t>
  </si>
  <si>
    <t>SW951</t>
  </si>
  <si>
    <t>SW953</t>
  </si>
  <si>
    <t>SW965</t>
  </si>
  <si>
    <t>SW980</t>
  </si>
  <si>
    <t>SW984</t>
  </si>
  <si>
    <t>SW985</t>
  </si>
  <si>
    <t>SW990</t>
  </si>
  <si>
    <t>SWA031</t>
  </si>
  <si>
    <t>SWA034</t>
  </si>
  <si>
    <t>SWA035</t>
  </si>
  <si>
    <t>SWA039</t>
  </si>
  <si>
    <t>SWA045</t>
  </si>
  <si>
    <t>SWAR001</t>
  </si>
  <si>
    <t>SWB001</t>
  </si>
  <si>
    <t>SWB009</t>
  </si>
  <si>
    <t>SWC041</t>
  </si>
  <si>
    <t>SWC053</t>
  </si>
  <si>
    <t>SWC071</t>
  </si>
  <si>
    <t>SWC082</t>
  </si>
  <si>
    <t>SWC087</t>
  </si>
  <si>
    <t>SWC107</t>
  </si>
  <si>
    <t>SWC110</t>
  </si>
  <si>
    <t>SWD008</t>
  </si>
  <si>
    <t>SWD035</t>
  </si>
  <si>
    <t>SWD051</t>
  </si>
  <si>
    <t>SWD057</t>
  </si>
  <si>
    <t>SWD067</t>
  </si>
  <si>
    <t>SWD083</t>
  </si>
  <si>
    <t>SWD091</t>
  </si>
  <si>
    <t>SWE005</t>
  </si>
  <si>
    <t>SWE006</t>
  </si>
  <si>
    <t>SWE044</t>
  </si>
  <si>
    <t>SWE070</t>
  </si>
  <si>
    <t>SWE071</t>
  </si>
  <si>
    <t>SWE082</t>
  </si>
  <si>
    <t>SWE086</t>
  </si>
  <si>
    <t>SWE089</t>
  </si>
  <si>
    <t>SWE096</t>
  </si>
  <si>
    <t>SWF006</t>
  </si>
  <si>
    <t>SWF031</t>
  </si>
  <si>
    <t>SWF035</t>
  </si>
  <si>
    <t>SWF039</t>
  </si>
  <si>
    <t>SWF040</t>
  </si>
  <si>
    <t>SWF063</t>
  </si>
  <si>
    <t>SWF066</t>
  </si>
  <si>
    <t>SWF067</t>
  </si>
  <si>
    <t>SWF070</t>
  </si>
  <si>
    <t>SWF075</t>
  </si>
  <si>
    <t>SWF077</t>
  </si>
  <si>
    <t>SWF079</t>
  </si>
  <si>
    <t>SWF081</t>
  </si>
  <si>
    <t>SWF082</t>
  </si>
  <si>
    <t>SWF084</t>
  </si>
  <si>
    <t>SWF088</t>
  </si>
  <si>
    <t>SWF089</t>
  </si>
  <si>
    <t>SWF091</t>
  </si>
  <si>
    <t>SWF096</t>
  </si>
  <si>
    <t>SWF098</t>
  </si>
  <si>
    <t>SWF104</t>
  </si>
  <si>
    <t>SWF106</t>
  </si>
  <si>
    <t>SWF116</t>
  </si>
  <si>
    <t>SWF119</t>
  </si>
  <si>
    <t>SWF124</t>
  </si>
  <si>
    <t>SWF125</t>
  </si>
  <si>
    <t>SWF152</t>
  </si>
  <si>
    <t>SWF153</t>
  </si>
  <si>
    <t>SWF163</t>
  </si>
  <si>
    <t>SWF187</t>
  </si>
  <si>
    <t>SWF202</t>
  </si>
  <si>
    <t>SWG06</t>
  </si>
  <si>
    <t>SWG07</t>
  </si>
  <si>
    <t>SWG08</t>
  </si>
  <si>
    <t>SWG20</t>
  </si>
  <si>
    <t>SWG24</t>
  </si>
  <si>
    <t>SWG26</t>
  </si>
  <si>
    <t>SWH003</t>
  </si>
  <si>
    <t>SWH008</t>
  </si>
  <si>
    <t>SWH012</t>
  </si>
  <si>
    <t>SWH019</t>
  </si>
  <si>
    <t>SWH027</t>
  </si>
  <si>
    <t>SWH037</t>
  </si>
  <si>
    <t>SWH065</t>
  </si>
  <si>
    <t>SWH081</t>
  </si>
  <si>
    <t>SWH093</t>
  </si>
  <si>
    <t>SWH095</t>
  </si>
  <si>
    <t>SWH107</t>
  </si>
  <si>
    <t>SWH115</t>
  </si>
  <si>
    <t>SWH136</t>
  </si>
  <si>
    <t>SWH153</t>
  </si>
  <si>
    <t>SWH155</t>
  </si>
  <si>
    <t>SWH167</t>
  </si>
  <si>
    <t>SWH192</t>
  </si>
  <si>
    <t>SWH202</t>
  </si>
  <si>
    <t>SWH203</t>
  </si>
  <si>
    <t>SWH204</t>
  </si>
  <si>
    <t>SWH210</t>
  </si>
  <si>
    <t>SWH219</t>
  </si>
  <si>
    <t>SWH230</t>
  </si>
  <si>
    <t>SWH233</t>
  </si>
  <si>
    <t>SWH235</t>
  </si>
  <si>
    <t>SWH237</t>
  </si>
  <si>
    <t>SWH238</t>
  </si>
  <si>
    <t>SWH247</t>
  </si>
  <si>
    <t>SWH253</t>
  </si>
  <si>
    <t>SWH256</t>
  </si>
  <si>
    <t>SWH264</t>
  </si>
  <si>
    <t>SWH266</t>
  </si>
  <si>
    <t>SWH267</t>
  </si>
  <si>
    <t>SWH272</t>
  </si>
  <si>
    <t>SWH276</t>
  </si>
  <si>
    <t>SWH278</t>
  </si>
  <si>
    <t>SWH279</t>
  </si>
  <si>
    <t>SWHF001</t>
  </si>
  <si>
    <t>SWK006</t>
  </si>
  <si>
    <t>SWK019</t>
  </si>
  <si>
    <t>SWK026</t>
  </si>
  <si>
    <t>SWK029</t>
  </si>
  <si>
    <t>SWK030</t>
  </si>
  <si>
    <t>SWL007</t>
  </si>
  <si>
    <t>SWL019</t>
  </si>
  <si>
    <t>SWP018</t>
  </si>
  <si>
    <t>SWR004</t>
  </si>
  <si>
    <t>SWR018</t>
  </si>
  <si>
    <t>SWR029</t>
  </si>
  <si>
    <t>SWR036</t>
  </si>
  <si>
    <t>SWR038</t>
  </si>
  <si>
    <t>SWR059</t>
  </si>
  <si>
    <t>SWR070</t>
  </si>
  <si>
    <t>SWR077</t>
  </si>
  <si>
    <t>SWR079</t>
  </si>
  <si>
    <t>SWR080</t>
  </si>
  <si>
    <t>SWR081</t>
  </si>
  <si>
    <t>SWR083</t>
  </si>
  <si>
    <t>SWR087</t>
  </si>
  <si>
    <t>SWR091</t>
  </si>
  <si>
    <t>SWR092</t>
  </si>
  <si>
    <t>SWRJ004</t>
  </si>
  <si>
    <t>SWT001</t>
  </si>
  <si>
    <t>SWU069</t>
  </si>
  <si>
    <t>SWU072</t>
  </si>
  <si>
    <t>SWU090</t>
  </si>
  <si>
    <t>SWU1006</t>
  </si>
  <si>
    <t>SWU1012</t>
  </si>
  <si>
    <t>SWU1015</t>
  </si>
  <si>
    <t>SWU1016</t>
  </si>
  <si>
    <t>SWU1017</t>
  </si>
  <si>
    <t>SWU1019</t>
  </si>
  <si>
    <t>SWU1023</t>
  </si>
  <si>
    <t>SWU1031</t>
  </si>
  <si>
    <t>SWU1035</t>
  </si>
  <si>
    <t>SWU1039</t>
  </si>
  <si>
    <t>SWU1041</t>
  </si>
  <si>
    <t>SWU1043</t>
  </si>
  <si>
    <t>SWU1044</t>
  </si>
  <si>
    <t>SWU1045</t>
  </si>
  <si>
    <t>SWU1049</t>
  </si>
  <si>
    <t>SWU1057</t>
  </si>
  <si>
    <t>SWU1059</t>
  </si>
  <si>
    <t>SWU1064</t>
  </si>
  <si>
    <t>SWU1066</t>
  </si>
  <si>
    <t>SWU1072</t>
  </si>
  <si>
    <t>SWU1075</t>
  </si>
  <si>
    <t>SWU109</t>
  </si>
  <si>
    <t>SWU120</t>
  </si>
  <si>
    <t>SWU155</t>
  </si>
  <si>
    <t>SWU166</t>
  </si>
  <si>
    <t>SWU175</t>
  </si>
  <si>
    <t>SWU194</t>
  </si>
  <si>
    <t>SWU198</t>
  </si>
  <si>
    <t>SWU202</t>
  </si>
  <si>
    <t>SWU209</t>
  </si>
  <si>
    <t>SWU211</t>
  </si>
  <si>
    <t>SWU241</t>
  </si>
  <si>
    <t>SWU245</t>
  </si>
  <si>
    <t>SWU247</t>
  </si>
  <si>
    <t>SWU249</t>
  </si>
  <si>
    <t>SWU275</t>
  </si>
  <si>
    <t>SWU297</t>
  </si>
  <si>
    <t>SWU301</t>
  </si>
  <si>
    <t>SWU302</t>
  </si>
  <si>
    <t>SWU319</t>
  </si>
  <si>
    <t>SWU334</t>
  </si>
  <si>
    <t>SWU369</t>
  </si>
  <si>
    <t>SWU376</t>
  </si>
  <si>
    <t>SWU401</t>
  </si>
  <si>
    <t>SWU403</t>
  </si>
  <si>
    <t>SWU413</t>
  </si>
  <si>
    <t>SWU415</t>
  </si>
  <si>
    <t>SWU453</t>
  </si>
  <si>
    <t>SWU455</t>
  </si>
  <si>
    <t>SWU475</t>
  </si>
  <si>
    <t>SWU477</t>
  </si>
  <si>
    <t>SWU484</t>
  </si>
  <si>
    <t>SWU487</t>
  </si>
  <si>
    <t>SWU496</t>
  </si>
  <si>
    <t>SWU512</t>
  </si>
  <si>
    <t>SWU543</t>
  </si>
  <si>
    <t>SWU658</t>
  </si>
  <si>
    <t>SWU663</t>
  </si>
  <si>
    <t>SWU673</t>
  </si>
  <si>
    <t>SWU681</t>
  </si>
  <si>
    <t>SWU682</t>
  </si>
  <si>
    <t>SWU694</t>
  </si>
  <si>
    <t>SWU696</t>
  </si>
  <si>
    <t>SWU698</t>
  </si>
  <si>
    <t>SWU717</t>
  </si>
  <si>
    <t>SWU725</t>
  </si>
  <si>
    <t>SWU737</t>
  </si>
  <si>
    <t>SWU744</t>
  </si>
  <si>
    <t>SWU747</t>
  </si>
  <si>
    <t>SWU748</t>
  </si>
  <si>
    <t>SWU749</t>
  </si>
  <si>
    <t>SWU750</t>
  </si>
  <si>
    <t>SWU752</t>
  </si>
  <si>
    <t>SWU753</t>
  </si>
  <si>
    <t>SWU775</t>
  </si>
  <si>
    <t>SWU777</t>
  </si>
  <si>
    <t>SWU799</t>
  </si>
  <si>
    <t>SWU801</t>
  </si>
  <si>
    <t>SWU814</t>
  </si>
  <si>
    <t>SWU819</t>
  </si>
  <si>
    <t>SWU828</t>
  </si>
  <si>
    <t>SWU831</t>
  </si>
  <si>
    <t>SWU834</t>
  </si>
  <si>
    <t>SWU841</t>
  </si>
  <si>
    <t>SWU846</t>
  </si>
  <si>
    <t>SWU847</t>
  </si>
  <si>
    <t>SWU862</t>
  </si>
  <si>
    <t>SWU864</t>
  </si>
  <si>
    <t>SWU874</t>
  </si>
  <si>
    <t>SWU882</t>
  </si>
  <si>
    <t>SWU883</t>
  </si>
  <si>
    <t>SWU885</t>
  </si>
  <si>
    <t>SWU892</t>
  </si>
  <si>
    <t>SWU897</t>
  </si>
  <si>
    <t>SWU899</t>
  </si>
  <si>
    <t>SWU903</t>
  </si>
  <si>
    <t>SWU905</t>
  </si>
  <si>
    <t>SWU915</t>
  </si>
  <si>
    <t>SWU916</t>
  </si>
  <si>
    <t>SWU937</t>
  </si>
  <si>
    <t>SWU941</t>
  </si>
  <si>
    <t>SWU945</t>
  </si>
  <si>
    <t>SWU947</t>
  </si>
  <si>
    <t>SWU956</t>
  </si>
  <si>
    <t>SWU973</t>
  </si>
  <si>
    <t>SWU982</t>
  </si>
  <si>
    <t>SWU984</t>
  </si>
  <si>
    <t>SWU989</t>
  </si>
  <si>
    <t>SWV014</t>
  </si>
  <si>
    <t>SW1930</t>
  </si>
  <si>
    <t>SW498</t>
  </si>
  <si>
    <t>SW502</t>
  </si>
  <si>
    <t>SWU454</t>
  </si>
  <si>
    <t>SW1262</t>
  </si>
  <si>
    <t>SW977</t>
  </si>
  <si>
    <t>SW1342</t>
  </si>
  <si>
    <t>SW1133</t>
  </si>
  <si>
    <t>SW1305</t>
  </si>
  <si>
    <t>SW802</t>
  </si>
  <si>
    <t>SWF099</t>
  </si>
  <si>
    <t>SWU464</t>
  </si>
  <si>
    <t>SWU114</t>
  </si>
  <si>
    <t>SW1573</t>
  </si>
  <si>
    <t>SW871</t>
  </si>
  <si>
    <t>SWE062</t>
  </si>
  <si>
    <t>SWU298</t>
  </si>
  <si>
    <t>SWE048</t>
  </si>
  <si>
    <t>SWH053</t>
  </si>
  <si>
    <t>SW1513</t>
  </si>
  <si>
    <t>SWU1020</t>
  </si>
  <si>
    <t>SW1326</t>
  </si>
  <si>
    <t>SW1524</t>
  </si>
  <si>
    <t>SW348</t>
  </si>
  <si>
    <t>SW1875</t>
  </si>
  <si>
    <t>SWH150</t>
  </si>
  <si>
    <t>SWU515</t>
  </si>
  <si>
    <t>SWG23</t>
  </si>
  <si>
    <t>SWU823</t>
  </si>
  <si>
    <t>SWF102</t>
  </si>
  <si>
    <t>SW942</t>
  </si>
  <si>
    <t>SW1085</t>
  </si>
  <si>
    <t>SWU500</t>
  </si>
  <si>
    <t>SW1879</t>
  </si>
  <si>
    <t>SWU481</t>
  </si>
  <si>
    <t>SW1387</t>
  </si>
  <si>
    <t>SWU326</t>
  </si>
  <si>
    <t>SW1831</t>
  </si>
  <si>
    <t>SW427</t>
  </si>
  <si>
    <t>SWE076</t>
  </si>
  <si>
    <t>SWU980</t>
  </si>
  <si>
    <t>SW1218</t>
  </si>
  <si>
    <t>SWV018</t>
  </si>
  <si>
    <t>SW1530</t>
  </si>
  <si>
    <t>SWU407</t>
  </si>
  <si>
    <t>SWU322</t>
  </si>
  <si>
    <t>SWU977</t>
  </si>
  <si>
    <t>SWE065</t>
  </si>
  <si>
    <t>SW1486</t>
  </si>
  <si>
    <t>SWC028</t>
  </si>
  <si>
    <t>SW1309</t>
  </si>
  <si>
    <t>SWAR008</t>
  </si>
  <si>
    <t>SWU891</t>
  </si>
  <si>
    <t>SWL020</t>
  </si>
  <si>
    <t>SWU107</t>
  </si>
  <si>
    <t>SWU876</t>
  </si>
  <si>
    <t>SWE064</t>
  </si>
  <si>
    <t>SW1057</t>
  </si>
  <si>
    <t>SWAR003</t>
  </si>
  <si>
    <t>SWU1014</t>
  </si>
  <si>
    <t>SW757</t>
  </si>
  <si>
    <t>SWE098</t>
  </si>
  <si>
    <t>SWU742</t>
  </si>
  <si>
    <t>SW305</t>
  </si>
  <si>
    <t>SWE015</t>
  </si>
  <si>
    <t>SWU236</t>
  </si>
  <si>
    <t>SWE046</t>
  </si>
  <si>
    <t>SWU732</t>
  </si>
  <si>
    <t>SW1732</t>
  </si>
  <si>
    <t>SW1827</t>
  </si>
  <si>
    <t>SW131</t>
  </si>
  <si>
    <t>SW1730</t>
  </si>
  <si>
    <t>SWE081</t>
  </si>
  <si>
    <t>SWR060</t>
  </si>
  <si>
    <t>SWF194</t>
  </si>
  <si>
    <t>SWAR006</t>
  </si>
  <si>
    <t>SWU1025</t>
  </si>
  <si>
    <t>SW1068</t>
  </si>
  <si>
    <t>SW1917</t>
  </si>
  <si>
    <t>SW132</t>
  </si>
  <si>
    <t>Swanson 100% Pure Mct Oil Medium Chain Triglycerides 14 g 32 fl oz Liq</t>
  </si>
  <si>
    <t>Swanson Lecithin Granules - Non-Gmo 100% Pure 48 oz Granules</t>
  </si>
  <si>
    <t>Swanson Propionyl L-Carnitine with Glycine 60 Vegan Caps</t>
  </si>
  <si>
    <t>Swanson 100% Pea Protein Powder - Unflavored 1.1 lb Pwdr</t>
  </si>
  <si>
    <t>Swanson Coq10 with Tocotrienols 200 mg 60 Sgels</t>
  </si>
  <si>
    <t>Swanson Green Lipped Mussel 30 Sgels</t>
  </si>
  <si>
    <t>Swanson Albion Vanadium 5 mg 60 Caps</t>
  </si>
  <si>
    <t>Swanson L-Citrulline Malate Complex Powder 6.35 oz Pwdr</t>
  </si>
  <si>
    <t>Swanson Dhea and Pregnenolone 60 Veg Caps</t>
  </si>
  <si>
    <t>Swanson Glucosamine Sulfate 2Kcl 500 mg 400 Caps</t>
  </si>
  <si>
    <t>Swanson 100% Organic Pea Protein Powder - Non-Gmo Unflavored 1.1 lb Pwdr</t>
  </si>
  <si>
    <t>Swanson Coq10 60 mg 120 Sgels</t>
  </si>
  <si>
    <t>Swanson Real Food Whey Protein - Vanilla Ice Cream 31.2 oz Pwdr</t>
  </si>
  <si>
    <t>Swanson Vitamin B12 Hydroxycobalamin - Mixed Berry Flavor 1,000 mcg 60 Chwbls</t>
  </si>
  <si>
    <t>Swanson Real Food Whey Protein - Chocolate Ice Cream 34 oz Pwdr</t>
  </si>
  <si>
    <t>Swanson Coq10 with Tocotrienols 100 mg 60 Sgels</t>
  </si>
  <si>
    <t>Swanson 100% Pure Calcium Citrate Powder - Dairy Free &amp; Unflavored 350 mg 8 oz Pwdr</t>
  </si>
  <si>
    <t>Swanson Coq10 + Vitamin K2 60 Sgels</t>
  </si>
  <si>
    <t>Swanson Valerian Chamomile Hops - Standardized 60 Caps</t>
  </si>
  <si>
    <t>Swanson Sod Gliadin Complex 300 mg 60 Caps</t>
  </si>
  <si>
    <t>Swanson Real Food Bone Broth Collagen - Chocolate 19.5 oz Pwdr</t>
  </si>
  <si>
    <t>Swanson Agmatine Sulfate 650 mg 60 Veg Caps</t>
  </si>
  <si>
    <t>Swanson Barley Grass Juice Powder - Certified Organic 3.17 oz Pwdr</t>
  </si>
  <si>
    <t>Swanson Astragalus - Standardized 500 mg 120 Caps</t>
  </si>
  <si>
    <t>Swanson Daily Essentials Multi with Iron 250 Caps</t>
  </si>
  <si>
    <t>Swanson Full Spectrum Ginkgo Leaf 60 mg 120 Caps</t>
  </si>
  <si>
    <t>Swanson Lemon Balm, Passionflower, Skullcap Complex 180 Caps</t>
  </si>
  <si>
    <t>Swanson Mobility Essentials 180 Veg Caps</t>
  </si>
  <si>
    <t>Swanson Brewer's Yeast 500 mg 500 Tabs</t>
  </si>
  <si>
    <t>Swanson Full Spectrum 14 Mushroom Complex 60 Vegan Caps</t>
  </si>
  <si>
    <t>Swanson Extra Strength Melatonin - 100% Drug Free 5 mg 60 Caps</t>
  </si>
  <si>
    <t>Swanson Extra Strength Zinc Picolinate - Body Preferred Form 50 mg 60 Caps</t>
  </si>
  <si>
    <t>Swanson Vitamin B12 Supplemelts 5,000 mcg 60 Loz</t>
  </si>
  <si>
    <t>Swanson Time-Released C-500 with Rose Hips 500 mg 250 Tabs</t>
  </si>
  <si>
    <t>Swanson L-Glutamine Powder - Featuring Ajipure 12 oz Pwdr</t>
  </si>
  <si>
    <t>Swanson Himalayan Crystal Salt - Fine Ground 5.29 oz Salt</t>
  </si>
  <si>
    <t>Swanson Full Spectrum Cramp Bark 500 mg 60 Caps</t>
  </si>
  <si>
    <t>Swanson 5-Htp - Maximum Strength 200 mg 60 Caps</t>
  </si>
  <si>
    <t>Swanson Sea Cucumber 500 mg 100 Caps</t>
  </si>
  <si>
    <t>Swanson Rhodiola Rosea Extract 60 Caps</t>
  </si>
  <si>
    <t>Swanson Garcinia Cambogia 250 mg 120 Veg Caps</t>
  </si>
  <si>
    <t>Swanson Calcium Carbonate, Aspartate &amp; Citrate 500 mg 100 Tabs</t>
  </si>
  <si>
    <t>Swanson Msm Powder - Ready-Mix &amp; Unflavored 1 lb Pwdr</t>
  </si>
  <si>
    <t>Swanson Estro8Pn Hop Extract 10 mg 60 Veg Caps</t>
  </si>
  <si>
    <t>Swanson Vitamin B12 with Folate - Strawberry Flavor 1,000 mcg 250 Loz</t>
  </si>
  <si>
    <t>Swanson Time-Released C-1000 with Rose Hips 1,000 mg 250 Tabs</t>
  </si>
  <si>
    <t>Swanson L-Citrulline Malate 750 mg 60 Caps</t>
  </si>
  <si>
    <t>Swanson Dgl Deglycyrrhizinated Licorice Root Extract 385 mg 180 Chwbls</t>
  </si>
  <si>
    <t>Swanson Cran-Max 500 mg 120 Veg Caps</t>
  </si>
  <si>
    <t>Swanson White Willow Bark Extract - Standardized 500 mg 120 Caps</t>
  </si>
  <si>
    <t>Swanson Allicin from Garlic 12 mg 100 Tabs</t>
  </si>
  <si>
    <t>Swanson Real Food Bone Broth Collagen - Natural Flavor 16.9 oz Pwdr</t>
  </si>
  <si>
    <t>Swanson Coq10 30 mg 60 Sgels</t>
  </si>
  <si>
    <t>Swanson Mulberry Leaf Extract 500 mg 60 Caps</t>
  </si>
  <si>
    <t>Swanson Urinary Health Complex 180 Caps</t>
  </si>
  <si>
    <t>Swanson Multi without Iron +Energy 90 Caps</t>
  </si>
  <si>
    <t>Swanson Pantothenic Acid 250 mg 250 Caps</t>
  </si>
  <si>
    <t>Swanson Niacinamide 250 mg 250 Caps</t>
  </si>
  <si>
    <t>Swanson Shiitake Mushroom Extract 500 mg 120 Caps</t>
  </si>
  <si>
    <t>Swanson Calcium Orotate 85 mg 60 Caps</t>
  </si>
  <si>
    <t>Swanson Tocotrienols - Double Strength 100 mg 60 Liq Caps</t>
  </si>
  <si>
    <t>Swanson Gaba 250 mg 60 Caps</t>
  </si>
  <si>
    <t>Swanson Women's Multi +Hormone Support 90 Tabs</t>
  </si>
  <si>
    <t>Swanson Ultra C Formula 250 Caps</t>
  </si>
  <si>
    <t>Swanson Glucosamine &amp; Chondroitin Timed-Release - Featuring Truflex 120 Tabs</t>
  </si>
  <si>
    <t>Swanson 5-Htp &amp; Melatonin 30 Caps</t>
  </si>
  <si>
    <t>Swanson Stinging Nettle Leaf 400 mg 120 Caps</t>
  </si>
  <si>
    <t>Swanson Kidney Glandular 500 mg 60 Caps</t>
  </si>
  <si>
    <t>Swanson Acetyl L-Carnitine Hcl 500 mg 120 Veg Caps</t>
  </si>
  <si>
    <t>Swanson Real Food Vitamin K2 - Maximum Strength 200 mcg 30 Sgels</t>
  </si>
  <si>
    <t>Swanson Turmeric, Ashwagandha &amp; Ginseng Complex 60 Caps</t>
  </si>
  <si>
    <t>Swanson Mineral Citrate Complex - Calcium, Magnesium, Zinc, Potassium 60 Caps</t>
  </si>
  <si>
    <t>Swanson Citrus Bioflavonoid Complex - Full Spectrum 250 Caps</t>
  </si>
  <si>
    <t>Swanson Full Spectrum Moringa Oleifera 400 mg 60 Caps</t>
  </si>
  <si>
    <t>Swanson Dhea - High Potency 25 mg 120 Caps</t>
  </si>
  <si>
    <t>Swanson Bee Propolis 550 mg 60 Caps</t>
  </si>
  <si>
    <t>Swanson Pregnenolone 10 mg 90 Caps</t>
  </si>
  <si>
    <t>Swanson Full Spectrum Black Currant 400 mg 60 Caps</t>
  </si>
  <si>
    <t>Swanson Full Potential Whey Protein - Vanilla 25 g protein 2.31 lbs Pwdr</t>
  </si>
  <si>
    <t>Swanson Full Potential Whey Protein - Chocolate 25 g protein 2.5 lbs Pwdr</t>
  </si>
  <si>
    <t>Swanson Simply Hydrate Electrolyte Hydration Mix - Lemon-Lime 30 Pkts</t>
  </si>
  <si>
    <t>Swanson Simply Hydrate Electrolyte Hydration Mix - Berry Blast 30 Pkts</t>
  </si>
  <si>
    <t>Swanson Melatonin-Free Sleep Aid - 3-in-1 Formula 120 Caps</t>
  </si>
  <si>
    <t>Swanson Full Potential Vegan Protein - Chocolate 30 g protein 3.3 lbs Pwdr</t>
  </si>
  <si>
    <t>Swanson Full Potential Vegan Protein - Vanilla 30 g protein 3.11 lbs Pwdr</t>
  </si>
  <si>
    <t>Swanson Simply Hydrate Electrolyte Hydration Mix - Raspberry Lemonade 8 Pkts</t>
  </si>
  <si>
    <t>Swanson Simply Hydrate Electrolyte Hydration Mix - Orange 8 Pkts</t>
  </si>
  <si>
    <t>Swanson Simply Hydrate Electrolyte Hydration Mix - Lemon-Lime 8 Pkts</t>
  </si>
  <si>
    <t>Swanson Simply Hydrate Electrolyte Hydration Mix - Berry Blast 8 Pkts</t>
  </si>
  <si>
    <t>Swanson Fiber Gummies - Orange 60 Gummies</t>
  </si>
  <si>
    <t>Swanson Magnesium Chloride Flakes 1.65 lbs Flakes</t>
  </si>
  <si>
    <t>Swanson 5-Htp 50 mg 60 Caps</t>
  </si>
  <si>
    <t>Swanson Vitamin D3 - High Potency 1,000 Iu (25 mcg) 30 Caps</t>
  </si>
  <si>
    <t>Swanson Natural E-200 200 Iu (134.2 mg) 100 Sgels</t>
  </si>
  <si>
    <t>Swanson Full Spectrum Magnolia Bark 400 mg 60 Caps</t>
  </si>
  <si>
    <t>Swanson Full Spectrum Chaga Mushroom 400 mg 60 Caps</t>
  </si>
  <si>
    <t>Swanson Natural E-400 400 Iu (268 mg) 100 Sgels</t>
  </si>
  <si>
    <t>Swanson E-200 200 Iu (90 mg) 60 Sgels</t>
  </si>
  <si>
    <t>Swanson Supplemelts Biotin - Natural Cherry Flavor 5,000 mcg 60 Chwbls</t>
  </si>
  <si>
    <t>Swanson Graviola 530 mg 60 Caps</t>
  </si>
  <si>
    <t>Swanson Daily B-Complex 100 Vegan Caps</t>
  </si>
  <si>
    <t>Swanson Magnesium Oxide 200 mg 250 Caps</t>
  </si>
  <si>
    <t>Swanson Zinc Gluconate 30 mg 250 Tabs</t>
  </si>
  <si>
    <t>Swanson Lactobacillus Acidophilus 1 Billion Cfu 100 Caps</t>
  </si>
  <si>
    <t>Swanson Cascara Sagrada 450 mg 100 Caps</t>
  </si>
  <si>
    <t>Swanson Msm 500 mg 250 Caps</t>
  </si>
  <si>
    <t>Swanson Vitamin B12 with Folate - Strawberry Flavor 1,000 mcg 100 Loz</t>
  </si>
  <si>
    <t>Swanson Cranberry 20:1 Concentrate 180 Sgels</t>
  </si>
  <si>
    <t>Swanson L-Arginine &amp; L-Ornithine 100 Caps</t>
  </si>
  <si>
    <t>Swanson Ginkgo Biloba Extract - Standardized 60 mg 120 Caps</t>
  </si>
  <si>
    <t>Swanson Full Spectrum Oregano 450 mg 90 Caps</t>
  </si>
  <si>
    <t>Swanson Diet Duo - Features Chitosan and White Kidney Bean 120 Caps</t>
  </si>
  <si>
    <t>Swanson Bergamot Extract 500 mg 30 Veg Caps</t>
  </si>
  <si>
    <t>Swanson Full Spectrum Catuaba Bark 465 mg 120 Caps</t>
  </si>
  <si>
    <t>Swanson Type I Hydrolyzed Marine Collagen Peptides 400 mg 60 Caps</t>
  </si>
  <si>
    <t>Swanson Magnesium Citrate - Super Strength 112.5 mg 240 Tabs</t>
  </si>
  <si>
    <t>Swanson Policosanol 20 mg 60 Caps</t>
  </si>
  <si>
    <t>Swanson Resveratrol Complex 180 mg 60 Caps</t>
  </si>
  <si>
    <t>Swanson Albion Copper 2 mg 60 Caps</t>
  </si>
  <si>
    <t>Swanson Vitamin K2 - Natural 50 mcg 30 Sgels</t>
  </si>
  <si>
    <t>Swanson Folate 5-Methyltetrahydrofolic Acid - Bioactive Form 680 mcg Dfe 30 Veg Caps</t>
  </si>
  <si>
    <t>Swanson Vitamin B12 with Folate - Sugar-Free Strawberry 60 Loz</t>
  </si>
  <si>
    <t>Swanson Lithium Orotate 5 mg 60 Veg Caps</t>
  </si>
  <si>
    <t>Swanson Balance B-100 Complex - High Potency 100 Caps</t>
  </si>
  <si>
    <t>Swanson Neem Leaf 500 mg 100 Caps</t>
  </si>
  <si>
    <t>Swanson Full Spectrum Cilantro 425 mg 60 Caps</t>
  </si>
  <si>
    <t>Swanson Full Spectrum Lemon Balm 500 mg 60 Caps</t>
  </si>
  <si>
    <t>Swanson Glucosamine, Chondroitin &amp; Msm - Mini Tabs 360 Tabs</t>
  </si>
  <si>
    <t>Swanson Full Spectrum Passion Flower 500 mg 60 Caps</t>
  </si>
  <si>
    <t>Swanson Full Spectrum Sweet Wormwood (Artemisia annua) 425 mg 90 Caps</t>
  </si>
  <si>
    <t>Swanson Milk Thistle Liquid Extract - Alcohol &amp; Sugar Free 2 g 1 fl oz Liq</t>
  </si>
  <si>
    <t>Swanson Ginkgo Biloba Liquid Extract - Alcohol &amp; Sugar Free 250 mg 1 fl oz Liq</t>
  </si>
  <si>
    <t>Swanson Full Spectrum Spearmint Leaf 400 mg 60 Caps</t>
  </si>
  <si>
    <t>Swanson Arjuna Bark 10:1 Extract 40 mg 60 Caps</t>
  </si>
  <si>
    <t>Swanson Prebiotic Jerusalem Artichoke - 90% Inulin 400 mg 60 Caps</t>
  </si>
  <si>
    <t>Swanson Full Spectrum Triple Mushroom Complex 60 Caps</t>
  </si>
  <si>
    <t>Swanson Natural E-400 400 Iu (268 mg) 250 Sgels</t>
  </si>
  <si>
    <t>Swanson Turmeric &amp; Bromelain 60 Caps</t>
  </si>
  <si>
    <t>Swanson Artichoke Leaves 500 mg 60 Caps</t>
  </si>
  <si>
    <t>Swanson E-200 Mixed Tocopherols 200 Iu (134 mg) 100 Sgels</t>
  </si>
  <si>
    <t>Swanson Soy Isoflavones - Standardized 750 mg 60 Caps</t>
  </si>
  <si>
    <t>Swanson Royal Jelly - Maximum Strength 333.33 mg 100 Sgels</t>
  </si>
  <si>
    <t>Swanson Full Spectrum Valerian, Chamomile &amp; Hops 60 Caps</t>
  </si>
  <si>
    <t>Swanson St. John's Wort with Chamomile and Bacopa - 3-in-1 Formula 60 Caps</t>
  </si>
  <si>
    <t>Swanson P-5-P Pyridoxal-5-Phosphate 20 mg 60 Caps</t>
  </si>
  <si>
    <t>Swanson Glucosamine &amp; Collagen Type Ii - Featuring Biocell Collagen 90 Caps</t>
  </si>
  <si>
    <t>Swanson L-Lysine - Free Form 500 mg 300 Caps</t>
  </si>
  <si>
    <t>Swanson Lactobacillus Acidophilus 1 Billion Cfu 250 Caps</t>
  </si>
  <si>
    <t>Swanson Bee Pollen 400 mg 100 Caps</t>
  </si>
  <si>
    <t>Swanson Garlic Oil Concentrate - Triple Strength 1,500 mg 500 Sgels</t>
  </si>
  <si>
    <t>Swanson Valerian Root 475 mg 100 Caps</t>
  </si>
  <si>
    <t>Swanson Alpha Lipoic Acid 50 mg 120 Caps</t>
  </si>
  <si>
    <t>Swanson Calcium Citrate &amp; Vitamin D3 250 Tabs</t>
  </si>
  <si>
    <t>Swanson Lutein Esters &amp; Bilberry 120 Sgels</t>
  </si>
  <si>
    <t>Swanson L-Arginine 500 mg 200 Caps</t>
  </si>
  <si>
    <t>Swanson Probiotic+ Prebiotic Fiber 1 Billion Cfu 60 Vegan Caps</t>
  </si>
  <si>
    <t>Swanson 7-Keto Dhea 100 mg 30 Caps</t>
  </si>
  <si>
    <t>Swanson Evening Primrose Oil 1.3 g 100 Sgels</t>
  </si>
  <si>
    <t>Swanson Boswellia Serrata - Whole Herb &amp; Standardized Extract 120 Caps</t>
  </si>
  <si>
    <t>Swanson Gotu Kola Extract - Standardized 100 mg 120 Caps</t>
  </si>
  <si>
    <t>Swanson Muira Puama - 10:1 Root Extract 250 mg 60 Caps</t>
  </si>
  <si>
    <t>Swanson Olive Leaf Extract 500 mg 60 Caps</t>
  </si>
  <si>
    <t>Swanson Horny Goat Weed Extract 500 mg 120 Caps</t>
  </si>
  <si>
    <t>Swanson Black Ginger Extract - Standardized 100 mg 30 Veg Caps</t>
  </si>
  <si>
    <t>Swanson Horny Goat Weed Complex with Tribulus and Maca 60 Caps</t>
  </si>
  <si>
    <t>Swanson E-400 with Selenium 90 Sgels</t>
  </si>
  <si>
    <t>Swanson Albion Ferrochel Iron 18 mg 180 Caps</t>
  </si>
  <si>
    <t>Swanson Vision Defense Eye Health Formula - Featuring Lutemax 2020 60 Sgels</t>
  </si>
  <si>
    <t>Swanson Phosphatidylserine 100 mg 30 Sgels</t>
  </si>
  <si>
    <t>Swanson Coral Calcium Complex 90 Caps</t>
  </si>
  <si>
    <t>Swanson Zeaxanthin 4 mg 60 Sgels</t>
  </si>
  <si>
    <t>Swanson Resveratrol 50 mg 30 Caps</t>
  </si>
  <si>
    <t>Swanson Ubiquinol - Maximum Strength 200 mg 30 Sgels</t>
  </si>
  <si>
    <t>Swanson Amealpeptide 3.4 mg 30 Caps</t>
  </si>
  <si>
    <t>Swanson Glycine - Featuring Ajipure 500 mg 60 Veg Caps</t>
  </si>
  <si>
    <t>Swanson L-Serine - Featuring Ajipure 500 mg 60 Veg Caps</t>
  </si>
  <si>
    <t>Swanson Astaxanthin &amp; Zeaxanthin 60 Sgels</t>
  </si>
  <si>
    <t>Swanson Lutein 10 mg 60 Sgels</t>
  </si>
  <si>
    <t>Swanson Beta-Carotene 25,000 Iu (7,500 mcg Rae) 300 Sgels</t>
  </si>
  <si>
    <t>Swanson C-1000 with Rose Hips 1,000 mg 250 Tabs</t>
  </si>
  <si>
    <t>Swanson Calcium Citrate Complex 250 mg 100 Caps</t>
  </si>
  <si>
    <t>Swanson Thyme Leaf 500 mg 120 Caps</t>
  </si>
  <si>
    <t>Swanson Full Spectrum Hops 310 mg 180 Caps</t>
  </si>
  <si>
    <t>Swanson Tart Cherry 500 mg 120 Caps</t>
  </si>
  <si>
    <t>Swanson Grapefruit Peel 600 mg 120 Caps</t>
  </si>
  <si>
    <t>Swanson Hawthorn Berry Liquid Extract - Alcohol &amp; Sugar Free 1 g 1 fl oz Liq</t>
  </si>
  <si>
    <t>Swanson Argentinian Desiccated Beef Liver - 100% Pure Defatted 500 mg 120 Caps</t>
  </si>
  <si>
    <t>Swanson Blackstrap Molasses with Iron 29 mg 120 Caps</t>
  </si>
  <si>
    <t>Swanson Astragalus Root Liquid Extract - Alcohol &amp; Sugar Free 1 g 1 fl oz Liq</t>
  </si>
  <si>
    <t>Swanson Vitamin B12 Cyanocobalamin - Strawberry Liquid 1,000 mcg 2 fl oz Liq</t>
  </si>
  <si>
    <t>Swanson Dhea - High Potency 25 mg 30 Caps</t>
  </si>
  <si>
    <t>Swanson Full Spectrum Cacao (Raw Cocoa) 400 mg 60 Caps</t>
  </si>
  <si>
    <t>Swanson Full Spectrum Onion Bulb 400 mg 60 Caps</t>
  </si>
  <si>
    <t>Swanson Full Spectrum Guar Gum 400 mg 60 Caps</t>
  </si>
  <si>
    <t>Swanson Full Spectrum Motherwort 400 mg 60 Caps</t>
  </si>
  <si>
    <t>Swanson Aronia Black Chokeberry Fruit 400 mg 60 Caps</t>
  </si>
  <si>
    <t>Swanson Avena Sativa 400 mg 60 Caps</t>
  </si>
  <si>
    <t>Swanson Orchic Glandular - Men's Health 1,000 mg 30 Tabs</t>
  </si>
  <si>
    <t>Swanson Full Spectrum Angelica Root 400 mg 60 Caps</t>
  </si>
  <si>
    <t>Swanson Passion Flower Liquid Extract - Alcohol &amp; Sugar Free 1 g 1 fl oz Liq</t>
  </si>
  <si>
    <t>Swanson Egg Yolk Lecithin 450 mg 60 Caps</t>
  </si>
  <si>
    <t>Swanson Full Spectrum Black Cohosh 540 mg 60 Caps</t>
  </si>
  <si>
    <t>Swanson Full Spectrum Saffron Whole Ground Stigmas 15 mg 60 Caps</t>
  </si>
  <si>
    <t>Swanson Pepsin &amp; Okra 90 Caps</t>
  </si>
  <si>
    <t>Swanson Hibiscus Flower 400 mg 60 Caps</t>
  </si>
  <si>
    <t>Swanson Soy Lecithin Non-Gmo 1.2 g 180 Sgels</t>
  </si>
  <si>
    <t>Swanson Full Spectrum African Mango Irvingia Gabonensis 400 mg 60 Caps</t>
  </si>
  <si>
    <t>Swanson E-1000 1,000 Iu (450 mg) 60 Sgels</t>
  </si>
  <si>
    <t>Swanson Vitamin C Cream 2 fl oz Cream</t>
  </si>
  <si>
    <t>Swanson Vitamin K Cream with Menaquinone-7 2 fl oz Cream</t>
  </si>
  <si>
    <t>Swanson Wild Yam Cream 2 fl oz Cream</t>
  </si>
  <si>
    <t>Swanson Retinol Cream 2 fl oz Cream</t>
  </si>
  <si>
    <t>Swanson Biotin with Silica Shampoo 8 fl oz Liq</t>
  </si>
  <si>
    <t>Swanson Herbal Urinary Care - Featuring Cranberry 60 Caps</t>
  </si>
  <si>
    <t>Swanson Full Spectrum Papaya Leaf 400 mg 60 Caps</t>
  </si>
  <si>
    <t>Swanson Full Spectrum Herbal Joint Care 60 Caps</t>
  </si>
  <si>
    <t>Swanson Full Spectrum Green Coffee Bean 400 mg 60 Caps</t>
  </si>
  <si>
    <t>Swanson Calcium Aspartate 200 mg 60 Caps</t>
  </si>
  <si>
    <t>Swanson Full Spectrum Turmeric, Astragalus &amp; Gotu Kola Complex 60 Caps</t>
  </si>
  <si>
    <t>Swanson Full Spectrum Purslane 400 mg 60 Veg Caps</t>
  </si>
  <si>
    <t>Swanson Elderberry 120 Veg Caps</t>
  </si>
  <si>
    <t>Swanson Chamomile 350 mg 120 Caps</t>
  </si>
  <si>
    <t>Swanson Mega Glucosamine 750 mg 120 Caps</t>
  </si>
  <si>
    <t>Swanson Supreme C-Complex 250 Tabs</t>
  </si>
  <si>
    <t>Swanson Super Cayenne - with Ginger Rhizome, Hawthorn Berry &amp; Lecithin 100 Veg Caps</t>
  </si>
  <si>
    <t>Swanson Cod Liver Oil - Double Strength 700 mg 30 Sgels</t>
  </si>
  <si>
    <t>Swanson Cod Liver Oil - Double Strength 700 mg 250 Sgels</t>
  </si>
  <si>
    <t>Swanson Maximum Strength L-Arginine Akg Powder - Natural Citrus Flavored 5 g 12.9 oz Pwdr</t>
  </si>
  <si>
    <t>Swanson Zinc &amp; C Lozenges w/ Elderberry &amp; Echinacea-Orange &amp; Lemon Flavor 60 Loz</t>
  </si>
  <si>
    <t>Swanson Marine Collagen Peptides Type I - Featuring Morikol 500 mg 60 Veg Caps</t>
  </si>
  <si>
    <t>Swanson Hydrolyzed Collagen Peptides + Vitamin C Types I and Iii 1,000 mg 250 Tabs</t>
  </si>
  <si>
    <t>Swanson Liposomal Vitamin C - High Bioavailability 1,000 mg 60 Tabs</t>
  </si>
  <si>
    <t>Swanson Healthy Blood Flow - Featuring Wellemon 60 Sgels</t>
  </si>
  <si>
    <t>Swanson Slippery Elm Bark 400 mg 60 Caps</t>
  </si>
  <si>
    <t>Swanson Potassium Gluconate 99 mg 100 Caps</t>
  </si>
  <si>
    <t>Swanson Bee Pollen 400 mg 300 Caps</t>
  </si>
  <si>
    <t>Swanson Korean Ginseng 250 mg 300 Caps</t>
  </si>
  <si>
    <t>Swanson Prickly Pear Nopal Cactus 650 mg 180 Caps</t>
  </si>
  <si>
    <t>Swanson Shark Cartilage 750 mg 250 Caps</t>
  </si>
  <si>
    <t>Swanson Soy Isoflavones - Standardized 750 mg 120 Caps</t>
  </si>
  <si>
    <t>Swanson Calcium - Vanilla Cream Chewable 500 mg 100 Chwbls</t>
  </si>
  <si>
    <t>Swanson Dl-Phenylalanine 500 mg 100 Caps</t>
  </si>
  <si>
    <t>Swanson Ginkgo Biloba Extract - Standardized 60 mg 240 Caps</t>
  </si>
  <si>
    <t>Swanson Malic Acid 600 mg 100 Veg Caps</t>
  </si>
  <si>
    <t>Swanson Buffered Vitamin C with Bioflavonoids 1,000 mg 250 Tabs</t>
  </si>
  <si>
    <t>Swanson Certified Organic Cold-Pressed Castor Oil 16 fl oz Liq</t>
  </si>
  <si>
    <t>Swanson Probiotic for Daily Wellness 1 Billion Cfu 120 Caps</t>
  </si>
  <si>
    <t>Swanson Happy Microbiome Stress Support Probiotic - Featuring Cerebiome 3 Billion Cfu 60 Veg Caps</t>
  </si>
  <si>
    <t>Swanson Fermented Alkalizing Greens Drink Mix with Probiotics 7.4 oz Pwdr</t>
  </si>
  <si>
    <t>Swanson Blood Sugar Essentials 90 Caps</t>
  </si>
  <si>
    <t>Swanson Immune Essentials 60 Veg Caps</t>
  </si>
  <si>
    <t>Swanson Stomach Defense Essentials with Pepzingi and Comforteze 60 Veg Caps</t>
  </si>
  <si>
    <t>Swanson Chromium Picolinate - Featuring Chromax 200 mcg 60 Caps</t>
  </si>
  <si>
    <t>Swanson Gymnema Sylvestre Extract - Standardized 300 mg 120 Caps</t>
  </si>
  <si>
    <t>Swanson White Kidney Bean Extract 500 mg 180 Caps</t>
  </si>
  <si>
    <t>Swanson Apple Cider Vinegar - Double Strength Formula 200 mg 30 Tabs</t>
  </si>
  <si>
    <t>Swanson Evening Primrose Oil 500 mg 250 Sgels</t>
  </si>
  <si>
    <t>Swanson Borage Oil 1 g 60 Sgels</t>
  </si>
  <si>
    <t>Swanson Black Currant Seed Oil 500 mg 180 Sgels</t>
  </si>
  <si>
    <t>Swanson Triple Strength Super Epa &amp; Dha - Enteric Coated 60 Sgels</t>
  </si>
  <si>
    <t>Swanson Multiomega 3-6-9 Flax, Borage &amp; Fish Oils - Omegatru Blend 220 Sgels</t>
  </si>
  <si>
    <t>Swanson Extra Virgin Olive Oil - Made with Certified Organic Olive Oil 1,000 mg 120 Sgels</t>
  </si>
  <si>
    <t>Swanson Hawthorn - Featuring Hawthorn Berry &amp; Extract Standardized 120 Caps</t>
  </si>
  <si>
    <t>Swanson Yohimbe - Standardized 500 mg 120 Caps</t>
  </si>
  <si>
    <t>Swanson Goji Berry Extract Wolfberry - Standardized 500 mg 60 Caps</t>
  </si>
  <si>
    <t>Swanson Schizandra Extract - Standardized 500 mg 60 Caps</t>
  </si>
  <si>
    <t>Swanson Aloe Vera 25 mg 300 Sgels</t>
  </si>
  <si>
    <t>Swanson Salacia Oblonga Concentrated 20:1 Extract 500 mg 60 Caps</t>
  </si>
  <si>
    <t>Swanson Saw Palmetto - Maximum Strength 320 mg 60 Sgels</t>
  </si>
  <si>
    <t>Swanson Saw Palmetto 160 mg 120 Sgels</t>
  </si>
  <si>
    <t>Swanson Pueraria Mirifica with B6 &amp; B12 - Featuring Puresterol 60 Veg Caps</t>
  </si>
  <si>
    <t>Swanson Grape Seed Extract with Meganatural Gold 60 Caps</t>
  </si>
  <si>
    <t>Swanson Aged Black Garlic 650 mg 30 Caps</t>
  </si>
  <si>
    <t>Swanson Supreme Dhea Complex 45 Tabs</t>
  </si>
  <si>
    <t>Swanson Ultimate Women's Intimate Performance 90 Tabs</t>
  </si>
  <si>
    <t>Swanson Avena Sativa 575 mg 60 Caps</t>
  </si>
  <si>
    <t>Swanson Ultimate Performance Formula 60 Veg Caps</t>
  </si>
  <si>
    <t>Swanson Vegetarian Chlorophyll as Chlorophyllin 60 mg 300 Veg Caps</t>
  </si>
  <si>
    <t>Swanson Albion Calcium 180 mg 180 Caps</t>
  </si>
  <si>
    <t>Swanson Theracurmin - High Absorption 100 mg 30 Veg Caps</t>
  </si>
  <si>
    <t>Swanson Pure Energy 60 Veg Caps</t>
  </si>
  <si>
    <t>Swanson Full Effect Hair Thickener - Featuring Keranat 60 Caps</t>
  </si>
  <si>
    <t>Swanson L-Carnosine 500 mg 60 Caps</t>
  </si>
  <si>
    <t>Swanson High Immunoglobulin Colostrum 500 mg 120 Caps</t>
  </si>
  <si>
    <t>Swanson Full Spectrum Complete E Contain Tocopherols, Tocotrienols &amp; Envol 60 Sgels</t>
  </si>
  <si>
    <t>Swanson Curcumin C3 Complex with Boswellia and Quercetin 120 Caps</t>
  </si>
  <si>
    <t>Swanson R-Fraction Alpha Lipoic Acid 50 mg 60 Caps</t>
  </si>
  <si>
    <t>Swanson Mediterranean Nutrient Complex 60 Sgels</t>
  </si>
  <si>
    <t>Swanson Graminex Flower Pollen Extract - Maximum Strength 500 mg 60 Caps</t>
  </si>
  <si>
    <t>Swanson L-Tryptophan from Tryptopure 500 mg 90 Veg Caps</t>
  </si>
  <si>
    <t>Swanson Maximum Strength Nadh - Fast-Acting Peppermint 20 mg 30 Loz</t>
  </si>
  <si>
    <t>Swanson Taurine - Featuring Ajipure 500 mg 60 Veg Caps</t>
  </si>
  <si>
    <t>Swanson Msm 1,000 mg 120 Caps</t>
  </si>
  <si>
    <t>Swanson Glucohelp Banaba Extract - Standardized 1.33 mg 60 Sgels</t>
  </si>
  <si>
    <t>Swanson Albion Multi-Mineral without Iron 120 Caps</t>
  </si>
  <si>
    <t>Swanson Taurine - Featuring Ajipure 1,000 mg 60 Veg Caps</t>
  </si>
  <si>
    <t>Swanson Triple Iodine Complex - High Potency 12.5 mg 60 Veg Caps</t>
  </si>
  <si>
    <t>Swanson Fenugreek Extract - Featuring Testofen 300 mg 60 Vegan Caps</t>
  </si>
  <si>
    <t>Swanson Albion Magnesium Glycinate Powder 400 mg 5.3 oz Pwdr</t>
  </si>
  <si>
    <t>Swanson Pqq Pyrroloquinoline Quinone 10 mg 30 Vegan Caps</t>
  </si>
  <si>
    <t>Swanson Quercetin - Maximum Strength 800 mg 30 Veg Caps</t>
  </si>
  <si>
    <t>Swanson Liposomal Vitamin C - High Bioavailability 5 fl oz Liq</t>
  </si>
  <si>
    <t>Swanson Neurosilk 200 mg 60 Caps</t>
  </si>
  <si>
    <t>Swanson Mct Pure - Pharmaceutical Grade 1,000 mg 90 Sgels</t>
  </si>
  <si>
    <t>Swanson C-500 with Rose Hips 500 mg 500 Tabs</t>
  </si>
  <si>
    <t>Swanson Full Spectrum Juniper Berries 520 mg 100 Caps</t>
  </si>
  <si>
    <t>Swanson Turkey Rhubarb 500 mg 100 Caps</t>
  </si>
  <si>
    <t>Swanson Elderberry &amp; Echinacea with Agaricus Blazei Mushroom 120 Caps</t>
  </si>
  <si>
    <t>Swanson Calcium &amp; Vitamin D 240 Caps</t>
  </si>
  <si>
    <t>Swanson Full Spectrum Mulberry Leaf 500 mg 120 Caps</t>
  </si>
  <si>
    <t>Swanson Glucosamine, Chondroitin &amp; Msm - Higher Strength 240 Tabs</t>
  </si>
  <si>
    <t>Swanson Calcium Citrate Complex 250 mg 300 Caps</t>
  </si>
  <si>
    <t>Swanson Full Spectrum Kola Nut, Catuaba and Guarana 90 Caps</t>
  </si>
  <si>
    <t>Swanson Hydrangea Root Extract - 4:1 Extract 125 mg 90 Caps</t>
  </si>
  <si>
    <t>Swanson Calcium Microcrystalline Hydroxyapatite with Phosphorus 167 mg 120 Caps</t>
  </si>
  <si>
    <t>Swanson Calendula Flower 400 mg 60 Caps</t>
  </si>
  <si>
    <t>Swanson Full Spectrum Chia Seed 400 mg 60 Caps</t>
  </si>
  <si>
    <t>Swanson Full Spectrum Jujube Fruit 675 mg 60 Caps</t>
  </si>
  <si>
    <t>Swanson Adrenal Glandular 350 mg 60 Caps</t>
  </si>
  <si>
    <t>Swanson Liver Glandular 500 mg 60 Caps</t>
  </si>
  <si>
    <t>Swanson Heart Glandular 250 mg 60 Caps</t>
  </si>
  <si>
    <t>Swanson Thymus Glandular 500 mg 60 Caps</t>
  </si>
  <si>
    <t>Swanson Pancreas Glandular 500 mg 60 Caps</t>
  </si>
  <si>
    <t>Swanson Original Whey Protein Powder - Vanilla 2 lb 4.5 oz Pwdr</t>
  </si>
  <si>
    <t>Swanson Full Spectrum Yellow Dock Root 400 mg 60 Caps</t>
  </si>
  <si>
    <t>Swanson Full Spectrum Parsley Leaf 400 mg 60 Caps</t>
  </si>
  <si>
    <t>Swanson Full Spectrum Catnip 400 mg 60 Caps</t>
  </si>
  <si>
    <t>Swanson Full Spectrum Plantain Leaf 400 mg 60 Caps</t>
  </si>
  <si>
    <t>Swanson Full Spectrum Oregon Grape Root 400 mg 60 Caps</t>
  </si>
  <si>
    <t>Swanson Full Spectrum Suma Root 400 mg 60 Caps</t>
  </si>
  <si>
    <t>Swanson Full Spectrum Lemon Peel 400 mg 60 Caps</t>
  </si>
  <si>
    <t>Swanson Elecampane Root - 4:1 Extract 100 mg 60 Caps</t>
  </si>
  <si>
    <t>Swanson Full Spectrum Blue Vervain 400 mg 60 Caps</t>
  </si>
  <si>
    <t>Swanson Ovarian Glandular 250 mg 60 Caps</t>
  </si>
  <si>
    <t>Swanson Prostate Glandular - Men's Health 150 mg 60 Caps</t>
  </si>
  <si>
    <t>Swanson Lung Glandular 250 mg 60 Caps</t>
  </si>
  <si>
    <t>Swanson Spleen Glandular 200 mg 60 Caps</t>
  </si>
  <si>
    <t>Swanson Multi-Glandular - Men's Health 60 Caps</t>
  </si>
  <si>
    <t>Swanson Mullein Leaf Liquid Extract - Alcohol &amp; Sugar Free 1 g 1 fl oz Liq</t>
  </si>
  <si>
    <t>Swanson Multi-Glandular For Women 60 Caps</t>
  </si>
  <si>
    <t>Swanson Grapefruit Seed Liquid Extract - Topical Formula 1 fl oz Liq</t>
  </si>
  <si>
    <t>Swanson Full Spectrum Maqui Berry 400 mg 60 Caps</t>
  </si>
  <si>
    <t>Swanson Thyroid Glandular - Thyroxin-Free Formula 200 mg 60 Caps</t>
  </si>
  <si>
    <t>Swanson Natural E-200 200 Iu (134.2 mg) 250 Sgels</t>
  </si>
  <si>
    <t>Swanson Acidophilus &amp; Apple Pectin 90 Caps</t>
  </si>
  <si>
    <t>Swanson Full Spectrum Kale 400 mg 60 Veg Caps</t>
  </si>
  <si>
    <t>Swanson Full Spectrum Spinach Leaf 400 mg 90 Veg Caps</t>
  </si>
  <si>
    <t>Swanson Lo Han Sweetener Made from Monk Fruit - Calorie and Sugar Free 7 oz Pwdr</t>
  </si>
  <si>
    <t>Swanson Hyaluronic Acid Facial Cleanser 8 fl oz Liq</t>
  </si>
  <si>
    <t>Swanson Vitamin E Cream 4 fl oz Cream</t>
  </si>
  <si>
    <t>Swanson Joint Cream with Glucosamine &amp; Boswellia 4 fl oz Cream</t>
  </si>
  <si>
    <t>Swanson Resveratrol Wrinkle Cream 2 fl oz Cream</t>
  </si>
  <si>
    <t>Swanson Menogest Progesterone Cream 2 fl oz Cream</t>
  </si>
  <si>
    <t>Swanson Msm Cream 2 fl oz Cream</t>
  </si>
  <si>
    <t>Swanson Pycnogenol Wrinkle Cream 2 fl oz Cream</t>
  </si>
  <si>
    <t>Swanson Squalane Oil from Olive Oil 2 fl oz Liq</t>
  </si>
  <si>
    <t>Swanson L-Glutathione Cream with Setria Glutathione 2 fl oz Cream</t>
  </si>
  <si>
    <t>Swanson Biotin with Silica Conditioner 8 fl oz Liq</t>
  </si>
  <si>
    <t>Swanson Certified Organic Argan Oil 2 fl oz Liq</t>
  </si>
  <si>
    <t>Swanson Aloe Vera Skin Soother 4 fl oz Gel</t>
  </si>
  <si>
    <t>Swanson Full Spectrum Turmeric 750 mg 60 Veg Caps</t>
  </si>
  <si>
    <t>Swanson Herbal Circulatory Care 60 Caps</t>
  </si>
  <si>
    <t>Swanson Wild Lettuce 450 mg 60 Caps</t>
  </si>
  <si>
    <t>Swanson Organic Witch Hazel 8.5 fl oz Liq</t>
  </si>
  <si>
    <t>Swanson Potassium Aspartate - Elemental Potassium 99 mg 60 Caps</t>
  </si>
  <si>
    <t>Swanson Sunflower Lecithin Powder - Non-Gmo 16 oz Pwdr</t>
  </si>
  <si>
    <t>Swanson Lecithin - Non-Gmo 520 mg 250 Sgels</t>
  </si>
  <si>
    <t>Swanson Full Spectrum Oat Straw 400 mg 60 Caps</t>
  </si>
  <si>
    <t>Swanson E-1000 Mixed Tocopherols 1,000 Iu (671.1 mg) 250 Sgels</t>
  </si>
  <si>
    <t>Swanson Brewer's Yeast Powder - Non-Gmo 1 lb Pwdr</t>
  </si>
  <si>
    <t>Swanson Turmeric, Garlic &amp; Cayenne - Balanced Support 60 Caps</t>
  </si>
  <si>
    <t>Swanson Turmeric, Hawthorn and Cayenne 60 Caps</t>
  </si>
  <si>
    <t>Swanson Lyophilized Bone Marrow Substance 500 mg 60 Caps</t>
  </si>
  <si>
    <t>Swanson Full Spectrum Watercress 400 mg 60 Caps</t>
  </si>
  <si>
    <t>Swanson Brown Seaweed Sodium Alginate with Cilantro Leaf 60 Veg Caps</t>
  </si>
  <si>
    <t>Swanson Black Sesame Seed 500 mg 60 Caps</t>
  </si>
  <si>
    <t>Swanson Gamma Oryzanol - from Rice Bran 60 mg 90 Veg Caps</t>
  </si>
  <si>
    <t>Swanson Clear Skin Serum 1 fl oz Serum</t>
  </si>
  <si>
    <t>Swanson Full Spectrum Corydalis 400 mg 60 Veg Caps</t>
  </si>
  <si>
    <t>Swanson Sheep Placenta Glandular 400 mg 60 Caps</t>
  </si>
  <si>
    <t>Swanson Vanilla and Coconut Lip Balm 0.18 oz Balm</t>
  </si>
  <si>
    <t>Swanson Tea Tree Oil Lip Balm 0.18 oz Balm</t>
  </si>
  <si>
    <t>Swanson Full Spectrum Pterocarpus Marsupium 400 mg 60 Caps</t>
  </si>
  <si>
    <t>Swanson Full Spectrum Sceletium Tortuosum 50 mg 60 Veg Caps</t>
  </si>
  <si>
    <t>Swanson Organic Shea Butter 4 fl oz Solid Oil</t>
  </si>
  <si>
    <t>Swanson Full Spectrum Eucommia Bark 400 mg 60 Veg Caps</t>
  </si>
  <si>
    <t>Swanson Full Spectrum Cayenne and Fenugreek 60 Veg Caps</t>
  </si>
  <si>
    <t>Swanson Children's Multi Sugar-Free - Orange Chewable 120 Chwbls</t>
  </si>
  <si>
    <t>Swanson Revitalizing Eye Cream with Caffeine 1 fl oz Cream</t>
  </si>
  <si>
    <t>Swanson Certified Organic Baby Powder Talc Free - Lavender Scent 2.5 oz Pwdr</t>
  </si>
  <si>
    <t>Swanson Sage Extract 160 mg 100 Caps</t>
  </si>
  <si>
    <t>Swanson Full Spectrum Coffee Cherry 200 mg 60 Veg Caps</t>
  </si>
  <si>
    <t>Swanson Vitamin B-125 Complex - Higher Potency 250 Tabs</t>
  </si>
  <si>
    <t>Swanson Huperzine A 50 mcg 60 Caps</t>
  </si>
  <si>
    <t>Swanson Supreme Lecithin with Phosphatidylcholine 300 Sgels</t>
  </si>
  <si>
    <t>Swanson Chewable Papaya Plus - Natural Fruit Flavor 90 Chwbls</t>
  </si>
  <si>
    <t>Swanson Mellow Mag - Orange Flavor 330 mg 20 oz Pwdr</t>
  </si>
  <si>
    <t>Swanson Vinpocetine - Triple Strength 30 mg 60 Caps</t>
  </si>
  <si>
    <t>Swanson Super Cayenne - with Ginger Rhizome, Hawthorn Berry &amp; Lecithin 250 Veg Caps</t>
  </si>
  <si>
    <t>Swanson Gtf Chromium - Features Chromemate 100 mcg 200 Caps</t>
  </si>
  <si>
    <t>Swanson Cinnamon Bark - Maximum Strength 120 Caps</t>
  </si>
  <si>
    <t>Swanson Ox Bile - Standardized 90 mg 60 Caps</t>
  </si>
  <si>
    <t>Swanson Sinus Helper 60 Caps</t>
  </si>
  <si>
    <t>Swanson Mellow Mag - Strawberry Kiwi Flavor 330 mg 19 oz Pwdr</t>
  </si>
  <si>
    <t>Swanson Zinc &amp; C Lozenges w/ Elderberry &amp; Echinacea-Orange &amp; Lemon Flavor 200 Loz</t>
  </si>
  <si>
    <t>Swanson Skin and Joint Biocell Collagen - Collagen Type Ii 500 mg 120 Caps</t>
  </si>
  <si>
    <t>Swanson Full Spectrum Barberry Root Bark 450 mg 60 Caps</t>
  </si>
  <si>
    <t>Swanson 100% Pure Cranberry Juice Concentrate - No Added Sugar 16 fl oz Liq</t>
  </si>
  <si>
    <t>Swanson Magnesium Oxide 500 mg 100 Caps</t>
  </si>
  <si>
    <t>Swanson Rosewater Mist 8 fl oz Liq</t>
  </si>
  <si>
    <t>Swanson Echinacea with Goldenseal Root 250 Caps</t>
  </si>
  <si>
    <t>Swanson Age Related Eye Support - Featuring Lutemax Lutein and Zeaxanthin 60 Sgels</t>
  </si>
  <si>
    <t>Swanson Berberine Advanced Enhanced Absorption - Featuring Berbevis 550 mg 30 Vegan Caps</t>
  </si>
  <si>
    <t>Swanson Nac Detox with Milk Thistle - With Broccophane 60 Caps</t>
  </si>
  <si>
    <t>Swanson Nootropic Brain Food - Featuring Neumentix 450 mg 60 Veg Caps</t>
  </si>
  <si>
    <t>Swanson Mood Shrooms - 3-in-1 Formula 60 Caps</t>
  </si>
  <si>
    <t>Swanson Magnesium Oxide 200 mg 500 Caps</t>
  </si>
  <si>
    <t>Swanson Potassium Gluconate 99 mg 250 Caps</t>
  </si>
  <si>
    <t>Swanson Aloe Vera - Whole Inner Leaf 1 gal Liq</t>
  </si>
  <si>
    <t>Swanson Aloe Vera Deep Heating Rub 8 fl oz Gel</t>
  </si>
  <si>
    <t>Swanson Pancreatin 4X - Triple Strength 375 mg 300 Tabs</t>
  </si>
  <si>
    <t>Swanson Norwegian Cod Liver Oil 350 mg 250 Sgels</t>
  </si>
  <si>
    <t>Swanson Garlic and Parsley with Wheat Germ Oil 250 Sgels</t>
  </si>
  <si>
    <t>Swanson American Ginseng 550 mg 100 Caps</t>
  </si>
  <si>
    <t>Swanson Ipriflavone Complex - Featuring Ostivone 120 Tabs</t>
  </si>
  <si>
    <t>Swanson Echinacea &amp; Goldenseal Liquid Extract - Alcohol Free 2 fl oz Liq</t>
  </si>
  <si>
    <t>Swanson Calciboost 120 Sgels</t>
  </si>
  <si>
    <t>Swanson Oat Bran 850 mg 250 Chwbls</t>
  </si>
  <si>
    <t>Swanson Glucosamine &amp; Chondroitin 200 Caps</t>
  </si>
  <si>
    <t>Swanson Adults 50+ Multi without Iron 100 Tabs</t>
  </si>
  <si>
    <t>Swanson Stevia Extract Powder - Calorie Free 4 oz Pwdr</t>
  </si>
  <si>
    <t>Swanson Vitamin D3 400 Iu (10 mcg) 250 Sgels</t>
  </si>
  <si>
    <t>Swanson Red Raspberry Leaves 380 mg 100 Caps</t>
  </si>
  <si>
    <t>Swanson Emulsified Cod Liver Oil - Mint Flavor 16 fl oz Liq</t>
  </si>
  <si>
    <t>Swanson Hyssop 450 mg 100 Caps</t>
  </si>
  <si>
    <t>Swanson Yohimbe Bark - 4:1 Extract 75 mg 100 Caps</t>
  </si>
  <si>
    <t>Swanson Gelatin &amp; Silicon 200 Caps</t>
  </si>
  <si>
    <t>Swanson Peppermint Oil with Rosemary and Thyme - Enteric Coated 100 Sgels</t>
  </si>
  <si>
    <t>Swanson Calcium with Vitamins D &amp; K - 3 in-1 Formula 100 Caps</t>
  </si>
  <si>
    <t>Swanson Probiotic for Digestive Health 20 Billion Cfu 60 Veg Caps</t>
  </si>
  <si>
    <t>Swanson Chewable Probiotic for Kids - Natural Cherry Flavor 3 Billion Cfu 60 Chwbls</t>
  </si>
  <si>
    <t>Swanson Certified Organic Lavender Essential Oil 0.5 fl oz Liq</t>
  </si>
  <si>
    <t>Swanson ph Testing Tape with Dispenser 1 Kit</t>
  </si>
  <si>
    <t>Swanson Alkaline Booster ph Protector Drops 1.25 fl oz Liq</t>
  </si>
  <si>
    <t>Swanson Colon Essentials 90 Caps</t>
  </si>
  <si>
    <t>Swanson Ear Essentials 60 Caps</t>
  </si>
  <si>
    <t>Swanson Nighttime Leg Essentials - Vegan 60 Vegan Caps</t>
  </si>
  <si>
    <t>Swanson Lung Essentials 500 mg 120 Veg Caps</t>
  </si>
  <si>
    <t>Swanson Digestive Essentials 180 Tabs</t>
  </si>
  <si>
    <t>Swanson Grapefruit Pectin 1,000 mg 240 Tabs</t>
  </si>
  <si>
    <t>Swanson Detoxilean - System Cleansing Complex 120 Caps</t>
  </si>
  <si>
    <t>Swanson Super Citrimax Garcinia Cambogia 120 Caps</t>
  </si>
  <si>
    <t>Swanson Thermogenic Complex 120 Caps</t>
  </si>
  <si>
    <t>Swanson Tonalin Cla - Safflower Oil Blend 1 g 180 Sgels</t>
  </si>
  <si>
    <t>Swanson Chromax 1000 Chromium Picolinate 1,000 mcg 60 Veg Caps</t>
  </si>
  <si>
    <t>Swanson Liposan Ultra Chitosan 500 mg 240 Cplts</t>
  </si>
  <si>
    <t>Swanson Flaxseed Oil High Lignan 980 mg 200 Sgels</t>
  </si>
  <si>
    <t>Swanson Flaxseed Oil High Lignan - Cold Pressed 16 fl oz Liq</t>
  </si>
  <si>
    <t>Swanson Oryzan Rice Bran Oil - Maximum Strength 1,000 mg 90 Sgels</t>
  </si>
  <si>
    <t>Swanson Provinal Purified Omega-7 420 mg 30 Sgels</t>
  </si>
  <si>
    <t>Swanson Krill Oil &amp; Curcumin 60 Sgels</t>
  </si>
  <si>
    <t>Swanson Krill Oil &amp; Astaxanthin 30 Sgels</t>
  </si>
  <si>
    <t>Swanson Pure Atlantic Salmon Oil 1.05 g 90 Sgels</t>
  </si>
  <si>
    <t>Swanson Krill Oil with Pure Coconut Oil 30 Sgels</t>
  </si>
  <si>
    <t>Swanson Omega-7 Oil From Sea Buckthorn Oil 450 mg 30 Liq Caps</t>
  </si>
  <si>
    <t>Swanson Certified Organic Extra Virgin Olive Oil - Cold Pressed 16 fl oz Liq</t>
  </si>
  <si>
    <t>Swanson Certified Organic Cocoa Powder - Unsweetened 12 oz Pwdr</t>
  </si>
  <si>
    <t>Swanson Organic House Blend Ground Coffee - Medium Roast 16 oz Pkg</t>
  </si>
  <si>
    <t>Swanson Organic French Roast Ground Coffee - Dark Roast 16 oz Pkg</t>
  </si>
  <si>
    <t>Swanson Organic French Roast Whole Bean Coffee - Dark Roast 16 oz Pkg</t>
  </si>
  <si>
    <t>Swanson Organic House Blend Whole Bean Coffee - Medium Roast 16 oz Pkg</t>
  </si>
  <si>
    <t>Swanson Organic House Blend Decaf Ground Coffee - Medium Roast 16 oz Pkg</t>
  </si>
  <si>
    <t>Swanson Certified Organic Crystallized Ginger 6 oz Pkg</t>
  </si>
  <si>
    <t>Swanson 100% Organic Ginger Root Tea - Caffeine-Free 20 Bag(S)</t>
  </si>
  <si>
    <t>Swanson 100% Organic Chamomile Tea - Caffeine Free 20 Bag(S)</t>
  </si>
  <si>
    <t>Swanson 100% Organic Green Tea 20 Bag(S)</t>
  </si>
  <si>
    <t>Swanson Certified Organic Freeze-Dried Tart Cherries 2 oz Pkg</t>
  </si>
  <si>
    <t>Swanson Organic French Roast Decaf Whole Bean Coffee - Dark Roast 16 oz Pkg</t>
  </si>
  <si>
    <t>Swanson Certified Organic Flaxseed - Milled 15 oz Pwdr</t>
  </si>
  <si>
    <t>Swanson Certified Organic Stevia Extract with Prebiotic Inulin 75 Pkts</t>
  </si>
  <si>
    <t>Swanson Oat Bran Fiber Powder - Certified Organic 8 oz Pwdr</t>
  </si>
  <si>
    <t>Swanson Organic Hemp Protein Powder 15 oz Pwdr</t>
  </si>
  <si>
    <t>Swanson Certified Organic Hemp Seed Shelled 15 oz Pkg</t>
  </si>
  <si>
    <t>Swanson 100% Organic Beet Juice Powder - Vegetarian 5.3 oz Pwdr</t>
  </si>
  <si>
    <t>Swanson Certified Organic Wildflower Honey - 100% Pure, Raw 16 oz Liq</t>
  </si>
  <si>
    <t>Swanson Certified Organic Blackstrap Molasses - Unsulfured 16 fl oz Liq</t>
  </si>
  <si>
    <t>Swanson Certified Organic Coconut Oil Flavor Free 3 lb 4 oz Solid Oil</t>
  </si>
  <si>
    <t>Swanson Certified Organic Popcorn 1 lb 8 oz Pkg</t>
  </si>
  <si>
    <t>Swanson Certified Organic Pumpkin Seed Oil - Cold Pressed 16 fl oz Liq</t>
  </si>
  <si>
    <t>Swanson Garlic with Cayenne - Odor Controlled 200 Caps</t>
  </si>
  <si>
    <t>Swanson Garlic - Odor-Controlled 500 mg 250 Tabs</t>
  </si>
  <si>
    <t>Swanson Whole Garlic - Made with Organic Garlic 700 mg 60 Veg Caps</t>
  </si>
  <si>
    <t>Swanson Garlic 500 mg 60 Sgels</t>
  </si>
  <si>
    <t>Swanson American Ginseng - Standardized 120 Caps</t>
  </si>
  <si>
    <t>Swanson Bilberry - Extra Strength Standardized 60 Caps</t>
  </si>
  <si>
    <t>Swanson Butcher's Broom Extract - Standardized 150 mg 120 Caps</t>
  </si>
  <si>
    <t>Swanson Echinacea - Standardized 200 mg 60 Caps</t>
  </si>
  <si>
    <t>Swanson Gugulipid with Bioperine - Standardized 90 Tabs</t>
  </si>
  <si>
    <t>Swanson Triphala - Standardized 250 mg 120 Caps</t>
  </si>
  <si>
    <t>Swanson Blueberry Extract - Standardized 60 mg 90 Caps</t>
  </si>
  <si>
    <t>Swanson Green Tea Extract - 60% Polyphenols 120 Caps</t>
  </si>
  <si>
    <t>Swanson Bilberry - Maximum Strength 250 mg 60 Caps</t>
  </si>
  <si>
    <t>Swanson Rosemary Extract - Standardized 500 mg 60 Caps</t>
  </si>
  <si>
    <t>Swanson Bilberry Extract - Standardized 60 mg 120 Caps</t>
  </si>
  <si>
    <t>Swanson Grape Seed Extract - Standardized 50 mg 120 Caps</t>
  </si>
  <si>
    <t>Swanson Camu Camu Berries - Standardized 500 mg 60 Caps</t>
  </si>
  <si>
    <t>Swanson Butterbur Extract - Standardized 75 mg 60 Caps</t>
  </si>
  <si>
    <t>Swanson Celery Seed Extract - Maximum Strength 150 mg 60 Caps</t>
  </si>
  <si>
    <t>Swanson Black Currant Extract 200 mg 30 Veg Caps</t>
  </si>
  <si>
    <t>Swanson Gymnema Sylvestre Extract - Standardized 300 mg 90 Caps</t>
  </si>
  <si>
    <t>Swanson Horse Chestnut Extract - Standardized 250 mg 120 Caps</t>
  </si>
  <si>
    <t>Swanson Prune &amp; Senna 60 Sgels</t>
  </si>
  <si>
    <t>Swanson Reishi Mushroom Complex 60 Veg Caps</t>
  </si>
  <si>
    <t>Swanson Olive Leaf Extract - Standardized 100 mg 60 Veg Caps</t>
  </si>
  <si>
    <t>Swanson Holy Basil Extract - Standardized 400 mg 60 Veg Caps</t>
  </si>
  <si>
    <t>Swanson Red Orange Complex 500 mg 30 Veg Caps</t>
  </si>
  <si>
    <t>Swanson Goldenseal Root - Standardized 120 Caps</t>
  </si>
  <si>
    <t>Swanson Pomegranate Complex - Featuring Pomactiv and Pomegranatep40p 60 Caps</t>
  </si>
  <si>
    <t>Swanson Feverfew Extract - Standardized 500 mg 60 Caps</t>
  </si>
  <si>
    <t>Swanson Stinging Nettle - Standardized 120 Caps</t>
  </si>
  <si>
    <t>Swanson St. John's Wort Extract - Standardized 300 mg 120 Caps</t>
  </si>
  <si>
    <t>Swanson Curcumin &amp; Berberine with Black Pepper 60 Caps</t>
  </si>
  <si>
    <t>Swanson Liquid Coconut Oil 16 fl oz Liq</t>
  </si>
  <si>
    <t>Swanson Chlorella &amp; Fermented Turmeric 120 Tabs</t>
  </si>
  <si>
    <t>Swanson Fermented Turmeric 760 mg 30 Caps</t>
  </si>
  <si>
    <t>Swanson Chlorella Complex 120 Tabs</t>
  </si>
  <si>
    <t>Swanson Chlorella 194 mg 300 Tabs</t>
  </si>
  <si>
    <t>Swanson Chlorella 194 mg 1500 Tabs</t>
  </si>
  <si>
    <t>Swanson Longjax Eurycoma Longifolia Jack Extract 400 mg 30 Caps</t>
  </si>
  <si>
    <t>Swanson Barley Grass Juice Powder 5.3 oz Pwdr</t>
  </si>
  <si>
    <t>Swanson Fruit4Life 300 Tabs</t>
  </si>
  <si>
    <t>Swanson Seaweed Vegetable Complex 60 Veg Caps</t>
  </si>
  <si>
    <t>Swanson Rye Grass 500 mg 120 Tabs</t>
  </si>
  <si>
    <t>Swanson Wild Blueberry with Whole Wild Blueberries 250 mg 90 Veg Caps</t>
  </si>
  <si>
    <t>Swanson Fruit &amp; Vegetable Blend 60 Veg Caps</t>
  </si>
  <si>
    <t>Swanson Super Green Max Plus Powder - Whole Foods + Vitamin E 9 oz Pwdr</t>
  </si>
  <si>
    <t>Swanson Certified Organic Raw Super Food 8.5 oz Pwdr</t>
  </si>
  <si>
    <t>Swanson Alfapro Alfalfa Protein Concentrate - Non-Gmo 12 oz Pwdr</t>
  </si>
  <si>
    <t>Swanson Scottish Kelp - Made with Organic Sea Kelp 750 mg 30 Veg Caps</t>
  </si>
  <si>
    <t>Swanson Chlorophyllin &amp; Mint 500 Chwbls</t>
  </si>
  <si>
    <t>Swanson Sprouted Broccoli Seed - Made with Organic Broccoli Seed 400 mg 60 Veg Caps</t>
  </si>
  <si>
    <t>Swanson Spinach Leaf Extract 650 mg 60 Veg Caps</t>
  </si>
  <si>
    <t>Swanson Alfalfa 500 mg 360 Caps</t>
  </si>
  <si>
    <t>Swanson Telomere Formula 90 Veg Caps</t>
  </si>
  <si>
    <t>Swanson Enteric Coated Aspirin Nsaid - Low Dose 81 mg 360 Tabs</t>
  </si>
  <si>
    <t>Swanson Albion Potassium 99 mg 90 Caps</t>
  </si>
  <si>
    <t>Swanson Albion Manganese 40 mg 180 Caps</t>
  </si>
  <si>
    <t>Swanson Ostivone - High Potency 500 mg 60 Caps</t>
  </si>
  <si>
    <t>Swanson Zma Anabolic Mineral Support 800 mg 90 Caps</t>
  </si>
  <si>
    <t>Swanson Acti-Joint Plus with Krill Oil - Featuring Mobilee &amp; Superba2 60 Sgels</t>
  </si>
  <si>
    <t>Swanson Senior Muscle Retention Whey Protein Powder - Chocolate 1.06 lb Pwdr</t>
  </si>
  <si>
    <t>Swanson Senior Muscle Retention Whey Protein Powder - Vanilla 1.06 lb Pwdr</t>
  </si>
  <si>
    <t>Swanson Ip-6 Inositol Hexaphosphate 240 Caps</t>
  </si>
  <si>
    <t>Swanson Sleep Formula with L-Theanine and Melatonin 60 Caps</t>
  </si>
  <si>
    <t>Swanson Lyc-O-Mato Lycopene - Maximum Strength 40 mg 60 Sgels</t>
  </si>
  <si>
    <t>Swanson Lyc-O-Mato Lycopene - Double Strength 20 mg 60 Sgels</t>
  </si>
  <si>
    <t>Swanson Alpha-Gpc Alpha-Glyceryl Phosphoryl Choline 300 mg 60 Veg Caps</t>
  </si>
  <si>
    <t>Swanson Real Food Biotin 2,500 mcg 90 Veg Caps</t>
  </si>
  <si>
    <t>Swanson Real Food Folic Acid 1,000 mcg 100 Veg Caps</t>
  </si>
  <si>
    <t>Swanson Biodefense Nk+ - Mushroom Blend 60 Caps</t>
  </si>
  <si>
    <t>Swanson Bavarian Herbal Bitters 120 Caps</t>
  </si>
  <si>
    <t>Swanson Pure Heart 60 Vegan Caps</t>
  </si>
  <si>
    <t>Swanson Energy Boost - Designed Release 60 Veg Caps</t>
  </si>
  <si>
    <t>Swanson Dynamic Balance Blend Soil-Based Organisms 5 Billion Cfu 90 Vegan Caps</t>
  </si>
  <si>
    <t>Swanson Pure Blood Sugar 60 Veg Caps</t>
  </si>
  <si>
    <t>Swanson Real Food Bone Broth Collagen - Vanilla 18.7 oz Pwdr</t>
  </si>
  <si>
    <t>Swanson Pure Energy Trial Size 14 Veg Caps</t>
  </si>
  <si>
    <t>Swanson Pure Liver &amp; Detox 60 Vegan Caps</t>
  </si>
  <si>
    <t>Swanson Resveratrol 5 mg 60 Caps</t>
  </si>
  <si>
    <t>Swanson Vitamin B12 Cyanocobalamin - Triple Action 1,000 mcg 90 Tabs</t>
  </si>
  <si>
    <t>Swanson Glucosamine Complex &amp; Chondroitin Sulfate - Featuring Truflex 120 Sgels</t>
  </si>
  <si>
    <t>Swanson Q-Gel Mega 100 100 mg 60 Sgels</t>
  </si>
  <si>
    <t>Swanson Pycnogenol 100 mg 30 Caps</t>
  </si>
  <si>
    <t>Swanson Avovida 100 mg 60 Caps</t>
  </si>
  <si>
    <t>Swanson Go-Less Bladder Control Formula - Maximum Strength 90 Sgels</t>
  </si>
  <si>
    <t>Swanson Microlactin 500 mg 120 Caps</t>
  </si>
  <si>
    <t>Swanson Full Spectrum Complete E Contain Tocopherols, Tocotrienols &amp; Envol 120 Sgels</t>
  </si>
  <si>
    <t>Swanson Niacin-Bound Chromium - from Chromemate 200 mcg 120 Caps</t>
  </si>
  <si>
    <t>Swanson Microlactin - Double Strength 1 g 120 Tabs</t>
  </si>
  <si>
    <t>Swanson Australian Tea Tree Oil 4 fl oz Liq</t>
  </si>
  <si>
    <t>Swanson Ultimate Liver Elixir with Siliphos Milk Thistle Phytosome 30 Caps</t>
  </si>
  <si>
    <t>Swanson Egcg Green Tea Extract - Standardized 275 mg 60 Caps</t>
  </si>
  <si>
    <t>Swanson Celadrin 350 mg 90 Sgels</t>
  </si>
  <si>
    <t>Swanson High Energy Complex 270 Caps</t>
  </si>
  <si>
    <t>Swanson Apple Polyphenols 125 mg 60 Caps</t>
  </si>
  <si>
    <t>Swanson Ultimate Carb Control C-120X from White Kidney Bean Extract 2 mg 90 Tabs</t>
  </si>
  <si>
    <t>Swanson R-Fraction Alpha Lipoic Acid - Triple Strength 300 mg 30 Caps</t>
  </si>
  <si>
    <t>Swanson 7-Hmrlignans from Norwegian Spruce Tree 40 mg 60 Caps</t>
  </si>
  <si>
    <t>Swanson Anti-Stress Lactium 167 mg 60 Caps</t>
  </si>
  <si>
    <t>Swanson Sensoril Ashwagandha 125 mg 120 Caps</t>
  </si>
  <si>
    <t>Swanson D-Ribose with Malic Acid Powder 12 oz Pwdr</t>
  </si>
  <si>
    <t>Swanson Himalayan Crystal Salt - Fine Ground 35.27 oz Salt</t>
  </si>
  <si>
    <t>Swanson Tea Tree Mouthwash - Peppermint 16 fl oz Liq</t>
  </si>
  <si>
    <t>Swanson Meganatural-Bp Grape Seed Extract 300 mg 30 Caps</t>
  </si>
  <si>
    <t>Swanson L-Glutamine - Featuring Ajipure 500 mg 60 Veg Caps</t>
  </si>
  <si>
    <t>Swanson Certified rbgh-Free Grass-Fed Whey Protein Powder- Chocolate 14.8 oz Pwdr</t>
  </si>
  <si>
    <t>Swanson Certified rbgh-Free Grass-Fed Whey Protein Powder- Vanilla 14.8 oz Pwdr</t>
  </si>
  <si>
    <t>Swanson Himalayan Crystal Salt Conditioner 8.5 fl oz Liq</t>
  </si>
  <si>
    <t>Swanson Eggshell Membrane 500 mg 30 Veg Caps</t>
  </si>
  <si>
    <t>Swanson Magnesium Oil 64 fl oz Liq</t>
  </si>
  <si>
    <t>Swanson Q-Gel Mega 200 200 mg 30 Sgels</t>
  </si>
  <si>
    <t>Swanson Quinogel - Hydrosoluble Ubiquinol Coq10 50 mg 30 Sgels</t>
  </si>
  <si>
    <t>Swanson Potassium Orotate 99 mg 60 Caps</t>
  </si>
  <si>
    <t>Swanson Acti-Joint 860 mg 60 Caps</t>
  </si>
  <si>
    <t>Swanson Australian Tea Tree Oil 2 fl oz Liq</t>
  </si>
  <si>
    <t>Swanson Tonalin Cla - Safflower Oil Blend 1,000 mg 100 Sgels</t>
  </si>
  <si>
    <t>Swanson Sea Minerals: Red Mineral Algae - Featuring Aquamin 60 Veg Caps</t>
  </si>
  <si>
    <t>Swanson Prostate Complex 200 mg 60 Sgels</t>
  </si>
  <si>
    <t>Swanson Elderberry Extract Syrup - No Sugar Added 8 fl oz Liq</t>
  </si>
  <si>
    <t>Swanson Modified Citrus Pectin 5.28 oz Pwdr</t>
  </si>
  <si>
    <t>Swanson Nattokinase 4,000 Fibrinolytic Units 200 mg 30 Caps</t>
  </si>
  <si>
    <t>Swanson Tendon Support Formula - Featuring Tendaxion 60 Caps</t>
  </si>
  <si>
    <t>Swanson Albion Creatine Magnapower 10.6 oz Pwdr</t>
  </si>
  <si>
    <t>Swanson Tea Tree Oil Shampoo 16 fl oz Liq</t>
  </si>
  <si>
    <t>Swanson Tea Tree Oil Facial Toner - Alcohol Free with Witch Hazel 8 oz Liq</t>
  </si>
  <si>
    <t>Swanson Tea Tree Oil Body Wash 16 fl oz Liq</t>
  </si>
  <si>
    <t>Swanson Tea Tree Oil Facial Cleanser 8 fl oz Liq</t>
  </si>
  <si>
    <t>Swanson Injuv Hyaluronic Acid 70 mg 90 Sgels</t>
  </si>
  <si>
    <t>Swanson Tea Tree Oil Exfoliating Scrub with Walnut Shell &amp; Apricot Seed 8.5 fl oz Scrub</t>
  </si>
  <si>
    <t>Swanson Tea Tree Oil Conditioner 16 fl oz Liq</t>
  </si>
  <si>
    <t>Swanson Xanthigen Brown Seaweed &amp; Pomegranate Blend 200 mg 90 Liq Vegcap</t>
  </si>
  <si>
    <t>Swanson Acid Relief - Features Comforteze 60 Caps</t>
  </si>
  <si>
    <t>Swanson Albion Vanadium &amp; Chromium 60 Veg Caps</t>
  </si>
  <si>
    <t>Swanson Beet Juice 500 mg 60 Veg Caps</t>
  </si>
  <si>
    <t>Swanson Vitamin K2 - with Nattokinase 30 Sgels</t>
  </si>
  <si>
    <t>Swanson Wild Shrimp Glucosamine - Featuring Osamine 500 mg 90 Caps</t>
  </si>
  <si>
    <t>Swanson Beet Root Complex - Nitric Oxide Precursor Formula 60 Veg Caps</t>
  </si>
  <si>
    <t>Swanson Astaxanthin 8 mg 30 Sgels</t>
  </si>
  <si>
    <t>Swanson Hyaluronic Acid Complex 83 mg 60 Caps</t>
  </si>
  <si>
    <t>Swanson Hyaluronic Acid Complex 166 mg 60 Caps</t>
  </si>
  <si>
    <t>Swanson Pterostilbene Plus with Resveratrol 30 Veg Caps</t>
  </si>
  <si>
    <t>Swanson Icelandic Secret Volumizing Shampoo 8.5 fl oz Liq</t>
  </si>
  <si>
    <t>Swanson Icelandic Secret Volumizing Conditioner 8.5 fl oz Liq</t>
  </si>
  <si>
    <t>Swanson L-Arginine Sustained Release - Featuring Ajipure 1,000 mg 90 Tabs</t>
  </si>
  <si>
    <t>Swanson Saw Palmetto &amp; Beta-Sitosterol 30 Sgels</t>
  </si>
  <si>
    <t>Swanson L-Citrulline - Pharmaceutical Grade 850 mg 60 Veg Caps</t>
  </si>
  <si>
    <t>Swanson Phosphatidylserine 100 mg 30 Veg Caps</t>
  </si>
  <si>
    <t>Swanson Arginine Complex 750 mg 60 Tabs</t>
  </si>
  <si>
    <t>Swanson Black Yeast Beta Glucan - Featuring Polycan 150 mg 30 Veg Caps</t>
  </si>
  <si>
    <t>Swanson Eyesalive Vision Nutrition 120 Caps</t>
  </si>
  <si>
    <t>Swanson Muscle Comfort Formula - Featuring Cherrypure 60 Veg Caps</t>
  </si>
  <si>
    <t>Swanson Ubiquinol 100 mg 120 Sgels</t>
  </si>
  <si>
    <t>Swanson Marine Magnesium - Featuring Simag 200 mg 60 Veg Caps</t>
  </si>
  <si>
    <t>Swanson Enhanced Pqq with Ubiquinol 30 Sgels</t>
  </si>
  <si>
    <t>Swanson Uc-Ii Standardized Collagen 40 mg 60 Caps</t>
  </si>
  <si>
    <t>Swanson Albion Dimagnesium Malate Powder 400 mg 2.1 oz Pwdr</t>
  </si>
  <si>
    <t>Swanson Lutein &amp; Bilberry 60 Sgels</t>
  </si>
  <si>
    <t>Swanson Hip &amp; Joint for Dogs 6.35 oz Pkg</t>
  </si>
  <si>
    <t>Swanson Chondroitin Sulfate 600 mg 120 Caps</t>
  </si>
  <si>
    <t>Swanson Ajipure L-Arginine - Pharmaceutical Grade 500 mg 60 Veg Caps</t>
  </si>
  <si>
    <t>Swanson Full Spectrum Mustard Seed 400 mg 60 Caps</t>
  </si>
  <si>
    <t>Swanson Green Tea 500 mg 100 Caps</t>
  </si>
  <si>
    <t>Swanson Full Spectrum Red Clover Blossom 430 mg 90 Caps</t>
  </si>
  <si>
    <t>Swanson Full Spectrum Muira Puama 400 mg 90 Caps</t>
  </si>
  <si>
    <t>Swanson Pituitary Glandular 80 mg 60 Caps</t>
  </si>
  <si>
    <t>Swanson Albion Calcium &amp; Magnesium 60 Caps</t>
  </si>
  <si>
    <t>Swanson Dual-Release Melatonin 3 mg 60 Tabs</t>
  </si>
  <si>
    <t>Swanson Buffered C Magnesium Ascorbate Powder - Unflavored 4 oz Pwdr</t>
  </si>
  <si>
    <t>Swanson Dmae Complex with Vitamins B5 and B6 130 mg 100 Caps</t>
  </si>
  <si>
    <t>Swanson Super Dha 500 from Food-Grade Calamari 500 mg 30 Sgels</t>
  </si>
  <si>
    <t>Swanson Sunactive Iron - Non-Irritating 15 mg 90 Caps</t>
  </si>
  <si>
    <t>Swanson Pristine Norwegian Cod Liver Oil 1 g 60 Sgels</t>
  </si>
  <si>
    <t>Swanson Bitter Melon Featuring Momordicin 200 mg 120 Caps</t>
  </si>
  <si>
    <t>Swanson Norwegian Cod Liver Oil 350 mg 180 Sgels</t>
  </si>
  <si>
    <t>Swanson Flush Free Niacin 500 mg 120 Caps</t>
  </si>
  <si>
    <t>Swanson Stinging Nettles Leaf Liquid Extract - Alcohol &amp; Sugar Free 1 g 1 fl oz Liq</t>
  </si>
  <si>
    <t>Swanson Full Spectrum 7 Mushroom Complex 60 Veg Caps</t>
  </si>
  <si>
    <t>Swanson Lecithin Granules - Non-Gmo 100% Pure 16 oz Granules</t>
  </si>
  <si>
    <t>Swanson Berberine Plus with Bitter Melon &amp; Milk Thistle - 3-in-1 Formula 60 Caps</t>
  </si>
  <si>
    <t>Swanson Turkey Tail Mushroom 500 mg 120 Caps</t>
  </si>
  <si>
    <t>Swanson Glycine Powder - Featuring Ajipure 1 g 8 oz Pwdr</t>
  </si>
  <si>
    <t>Swanson Garlic with Vitamin E, Hawthorn, Cayenne &amp; Coq10 - Odor-Controlled 120 Caps</t>
  </si>
  <si>
    <t>Swanson Ribose 750 mg 60 Veg Caps</t>
  </si>
  <si>
    <t>Swanson Psyllium Husk Powder - Certified Organic 12 oz Pwdr</t>
  </si>
  <si>
    <t>Swanson C-1000 Vitamin C Powder with Rose Hips 1,000 mg 8.8 oz Pwdr</t>
  </si>
  <si>
    <t>Swanson Bio-Fiber - Fibersol-2 750 mg 180 Caps</t>
  </si>
  <si>
    <t>Swanson n-zimes Dairy 90 Veg Caps</t>
  </si>
  <si>
    <t>Swanson Postbiotic Immune Formula Featuring Epicor 500 mg 60 Caps</t>
  </si>
  <si>
    <t>Swanson Magnesium Oil 8 fl oz Liq</t>
  </si>
  <si>
    <t>Swanson Full Spectrum Pomegranate Whole Fruit &amp; Seed 60 Caps</t>
  </si>
  <si>
    <t>Swanson Nattozimes 195 mg 60 Veg Caps</t>
  </si>
  <si>
    <t>Swanson Triple Magnesium Complex Powder 400 mg 8 oz Pwdr</t>
  </si>
  <si>
    <t>Swanson Herbal Eyebright Combination 100 Caps</t>
  </si>
  <si>
    <t>Swanson Hemp Seed Oil Made with Organic Hempseed Oil 1,000 mg 60 Sgels</t>
  </si>
  <si>
    <t>Swanson Saw Palmetto Liquid Extract - Alcohol &amp; Sugar Free 1 g 1 fl oz Liq</t>
  </si>
  <si>
    <t>Swanson Advanced Hip &amp; Joint for Dogs - Chicken Liver 11.11 oz Pkg</t>
  </si>
  <si>
    <t>Swanson Olive Leaf Liquid Extract - Alcohol &amp; Sugar Free 1.5 g 1 fl oz Liq</t>
  </si>
  <si>
    <t>Swanson Vitamin C with Bioflavonoids - Featuring Pureway-C 500 mg 90 Caps</t>
  </si>
  <si>
    <t>Swanson D-Ribose Powder - 100% Pure Non-Gmo 10.6 oz Pwdr</t>
  </si>
  <si>
    <t>Swanson Benfotiamine - Maximum Strength 300 mg 60 Veg Caps</t>
  </si>
  <si>
    <t>Swanson Krill Oil - Maximum Strength 1 g 30 Sgels</t>
  </si>
  <si>
    <t>Swanson Dmae Serum 1 fl oz Serum</t>
  </si>
  <si>
    <t>Swanson Hormone Essentials 120 Caps</t>
  </si>
  <si>
    <t>Swanson Omega-3 Fish Oil with Vitamin D - Lemon Flavored 1,000 mg 60 Sgels</t>
  </si>
  <si>
    <t>Swanson Certified Organic Eucalyptus Essential Oil 0.5 fl oz Liq</t>
  </si>
  <si>
    <t>Swanson Goat Whey Protein Concentrate Powder - Pasture Fed 14 oz Pwdr</t>
  </si>
  <si>
    <t>Swanson Shark Liver Oil 550 mg 60 Sgels</t>
  </si>
  <si>
    <t>Swanson Vitamins D3 and K2 with Strontium 60 Sgels</t>
  </si>
  <si>
    <t>Swanson Super Dpa Fish Oil 1,000 mg 60 Sgels</t>
  </si>
  <si>
    <t>Swanson Bilberry Eyebright Vision Complex 100 Caps</t>
  </si>
  <si>
    <t>Swanson Certified Organic Peppermint Essential Oil 0.5 fl oz Liq</t>
  </si>
  <si>
    <t>Swanson Betatene Natural Mixed Carotenoids 60 Sgels</t>
  </si>
  <si>
    <t>Swanson Full Spectrum Cat's Claw 500 mg 250 Caps</t>
  </si>
  <si>
    <t>Swanson Super Epa 100 Sgels</t>
  </si>
  <si>
    <t>Swanson Celadrin Joint Cream 4 fl oz Cream</t>
  </si>
  <si>
    <t>Swanson Apple Pectin 300 mg 250 Caps</t>
  </si>
  <si>
    <t>Swanson Epa &amp; Dha - Lemon Flavor 120 Sgels</t>
  </si>
  <si>
    <t>Swanson Sytrinol 150 mg 60 Sgels</t>
  </si>
  <si>
    <t>Swanson Wheat Germ Oil - Cold Pressed 1,130 mg 60 Sgels</t>
  </si>
  <si>
    <t>Swanson Phosphatidylserine Soy-Free Formula 100 mg 90 Sgels</t>
  </si>
  <si>
    <t>Swanson Mellow Mag - Raspberry Lemonade 330 mg 19 oz Pwdr</t>
  </si>
  <si>
    <t>Swanson Natural Dry E-400 400 Iu (268 mg) 100 Caps</t>
  </si>
  <si>
    <t>Swanson Xylitol Granules - Non-Gmo 48 oz Granules</t>
  </si>
  <si>
    <t>Swanson Pristine Norwegian Cod Liver Oil - Lemon Flavor 6.7 fl oz Liq</t>
  </si>
  <si>
    <t>Swanson Fruit &amp; Vegetable Powder 8.11 oz Pwdr</t>
  </si>
  <si>
    <t>Swanson Organic Reishi Coffee Colombian - Freeze-Dried w/Reishi Mushroom 3 oz Jar</t>
  </si>
  <si>
    <t>Swanson Certified Organic Rosemary Essential Oil 0.5 fl oz Liq</t>
  </si>
  <si>
    <t>Swanson High Potency Collagen with Vitamin C - Citrus Berry Flavor 13.6 oz Pwdr</t>
  </si>
  <si>
    <t>Swanson Chickweed 450 mg 180 Caps</t>
  </si>
  <si>
    <t>Swanson Red Yeast Rice Cholesterol Support - Featuring Karaheart 60 Vegan Caps</t>
  </si>
  <si>
    <t>Swanson Natural Dry E-400 400 Iu (268 mg) 250 Caps</t>
  </si>
  <si>
    <t>Swanson Black Cumin Seed - Full Spectrum 400 mg 60 Caps</t>
  </si>
  <si>
    <t>Swanson Papaya Enzyme Papain 100 mg 90 Vegan Caps</t>
  </si>
  <si>
    <t>Swanson E-400 400 Iu (180.2 mg) 60 Sgels</t>
  </si>
  <si>
    <t>Swanson E-1000 1,000 Iu (671.1 mg) 100 Sgels</t>
  </si>
  <si>
    <t>Swanson E-1000 1,000 Iu (671.1 mg) 250 Sgels</t>
  </si>
  <si>
    <t>Swanson E-200 Mixed Tocopherols 200 Iu (134 mg) 250 Sgels</t>
  </si>
  <si>
    <t>Swanson E-400 Mixed Tocopherols 400 Iu (268 mg) 100 Sgels</t>
  </si>
  <si>
    <t>Swanson E-400 Mixed Tocopherols 400 Iu (268 mg) 250 Sgels</t>
  </si>
  <si>
    <t>Swanson Chewable Vitamin C - Natural Cherry Flavor Sugar Free 60 Chwbls</t>
  </si>
  <si>
    <t>Swanson Turmeric &amp; Black Pepper 600 mg 60 Vegan Caps</t>
  </si>
  <si>
    <t>Swanson Mini Cap Multi - Easy to Swallow 30 Vegan Caps</t>
  </si>
  <si>
    <t>Swanson Extra Low Dose Melatonin - 100% Drug Free 500 mcg 60 Vegan Caps</t>
  </si>
  <si>
    <t>Swanson Magnesium Malate 1,000 mg 60 Vegan Tabs</t>
  </si>
  <si>
    <t>Swanson Prime Lung 60 Vegan Caps</t>
  </si>
  <si>
    <t>Swanson Elderberry Gummies with Zinc &amp; Vitamin C - Lemon Raspberry 60 Gummies</t>
  </si>
  <si>
    <t>Swanson Mullein Leaf Extract - Standardized 250 mg 60 Caps</t>
  </si>
  <si>
    <t>Swanson Probiotic + Prebiotic Gummies - Blackberry 1.5 Billion Cfu 60 Gummies</t>
  </si>
  <si>
    <t>Swanson Zinc Gummies - Elderberry 15 mg 60 Gummies</t>
  </si>
  <si>
    <t>Swanson Immune Boost Gummies with Zinc, Vitamins C and D - Cherry 60 Gummies</t>
  </si>
  <si>
    <t>Swanson Ultimate Respiratory Defense with Nac and Quercetin 60 Vegan Caps</t>
  </si>
  <si>
    <t>Swanson Adult Multivitamin Gummies - Orange, Cherry, Strawberry 60 Gummies</t>
  </si>
  <si>
    <t>Swanson Vitamin C Gummies - Orange 125 mg 60 Gummies</t>
  </si>
  <si>
    <t>Swanson Turmeric &amp; Black Pepper 600 mg 90 Vegan Caps</t>
  </si>
  <si>
    <t>Swanson Nmn + Beet Root Complex Nicotinamide Monoucleotide 300 mg / 150 mg 30 Vegan Caps</t>
  </si>
  <si>
    <t>SW1924</t>
  </si>
  <si>
    <t>Swanson Ashwagandha &amp; Vitamin D Gummies - Passion Fruit-Orange 60 Gummies</t>
  </si>
  <si>
    <t>SW1925</t>
  </si>
  <si>
    <t>Swanson Calcium Lactate 100 mg 100 Caps</t>
  </si>
  <si>
    <t>SW1926</t>
  </si>
  <si>
    <t>Swanson Simply Hydrate Electrolyte Hydration Mix - Watermelon 30 Pkts</t>
  </si>
  <si>
    <t>SW1927</t>
  </si>
  <si>
    <t>Swanson Simply Hydrate Electrolyte Hydration Mix - Orange 30 Pkts</t>
  </si>
  <si>
    <t>SW1929</t>
  </si>
  <si>
    <t>Swanson Simply Hydrate Electrolyte Hydration Mix - Variety Pack 30 Pkts</t>
  </si>
  <si>
    <t>Swanson Simply Hydrate Electrolyte Hydration Mix - Raspberry Lemonade 30 Pkts</t>
  </si>
  <si>
    <t>Swanson Women's Daily Probiotic + Prebiotic Fos 35 Billion Cfu 60 Vegan Caps</t>
  </si>
  <si>
    <t>Swanson Men's Daily Probiotic + Prebiotic Fos 35 Billion Cfu 60 Vegan Caps</t>
  </si>
  <si>
    <t>Swanson Simply Hydrate Electrolyte Hydration Mix - Watermelon 8 Pkts</t>
  </si>
  <si>
    <t>SW1945</t>
  </si>
  <si>
    <t>Swanson Organic Lion's Mane Mushroom 500 mg 60 Vegan Caps</t>
  </si>
  <si>
    <t>SW1946</t>
  </si>
  <si>
    <t>SW1947</t>
  </si>
  <si>
    <t>SW1948</t>
  </si>
  <si>
    <t>Swanson Albion Copper 2 mg 300 Tabs</t>
  </si>
  <si>
    <t>Swanson Just One Multi with Iron 130 Tabs</t>
  </si>
  <si>
    <t>Swanson Daily Essentials Multi with Iron 100 Caps</t>
  </si>
  <si>
    <t>Swanson High Potency Multi with Iron +Immune Support 120 Sgels</t>
  </si>
  <si>
    <t>Swanson Cayenne - 40,000 Capsaicin Hu/G 450 mg 300 Caps</t>
  </si>
  <si>
    <t>Swanson Multi with Iron +Energy 90 Caps</t>
  </si>
  <si>
    <t>Swanson High Potency Multi without Iron +Immune Support 120 Sgels</t>
  </si>
  <si>
    <t>Swanson Lutein Esters - Featuring Lutemax 6 mg 100 Sgels</t>
  </si>
  <si>
    <t>Swanson Prolacto Acidophilus 4 Billion Cfu 60 Vegan Caps</t>
  </si>
  <si>
    <t>Swanson Probiotic-4 3 Billion Cfu 60 Vegan Caps</t>
  </si>
  <si>
    <t>Swanson Saccharomyces Boulardii with Prebiotic Mos 5 Billion Cfu 30 Vegan Caps</t>
  </si>
  <si>
    <t>Swanson L. Plantarum Probiotic 10 Billion Cfu 30 Vegan Caps</t>
  </si>
  <si>
    <t>Swanson Bacillus Coagulans - Spore Form 6 Billion Cfu 60 Vegan Caps</t>
  </si>
  <si>
    <t>Swanson Lactobacillus Rhamnosus with Fos 5 Billion Cfu 60 Vegan Caps</t>
  </si>
  <si>
    <t>Swanson L. Reuteri Plus 7 billion Cfu 30 Vegan Caps</t>
  </si>
  <si>
    <t>Swanson Lactobacillus Gasseri 3 Billion Cfu 60 Vegan Caps</t>
  </si>
  <si>
    <t>Swanson Cranberry Plus Probiotics 5 Billion Cfu 60 Vegan Caps</t>
  </si>
  <si>
    <t>Swanson Ultra Potency Probiotic 66.5 Billion Cfu 60 Vegan Caps</t>
  </si>
  <si>
    <t>Swanson Ultra Probiotic for Seniors 50+ 15 Billion Cfu 60 Vegan Caps</t>
  </si>
  <si>
    <t>SWA057</t>
  </si>
  <si>
    <t>Swanson Yeast Defense Essentials 200 Million Cfu 120 Vegan Caps</t>
  </si>
  <si>
    <t>Swanson Leg Vein Essentials - Designed Release 60 Vegan Caps</t>
  </si>
  <si>
    <t>Swanson Prostate Essentials 90 Vegan Caps</t>
  </si>
  <si>
    <t>Swanson Sleep Essentials Includes Gaba and Melatonin 60 Vegan Caps</t>
  </si>
  <si>
    <t>Swanson Green Coffee Bean Extract - Featuring Svetol 200 mg 60 Vegan Caps</t>
  </si>
  <si>
    <t>Swanson Diet Duo - Features Chitosan and White Kidney Bean 60 Caps</t>
  </si>
  <si>
    <t>SWE104</t>
  </si>
  <si>
    <t>Swanson Plant Based Omega-3 - Featuring life's Omega 330 mg 120 Liquid Vegan Capsules</t>
  </si>
  <si>
    <t>SWF210</t>
  </si>
  <si>
    <t>Swanson Organic Tart Cherry Concentrate 16 fl oz Liq</t>
  </si>
  <si>
    <t>SWF211</t>
  </si>
  <si>
    <t>Swanson Organic Beetroot Concentrate - Vegan 32 fl oz Liq</t>
  </si>
  <si>
    <t>Swanson Odor Controlled Garlic 500 mg 100 Caps</t>
  </si>
  <si>
    <t>Swanson Odor Controlled Garlic 500 mg 200 Caps</t>
  </si>
  <si>
    <t>Swanson Horse Chestnut - Standardized 200 mg 120 Tabs</t>
  </si>
  <si>
    <t>Swanson Maximum Strength Grape Seed Extract - Standardized 500 mg 60 Caps</t>
  </si>
  <si>
    <t>Swanson Teavigo Green Tea Extract 30 Vegan Caps</t>
  </si>
  <si>
    <t>Swanson Magnolia Extract - Standardized 200 mg 30 Vegan Caps</t>
  </si>
  <si>
    <t>Swanson White Willow Bark Extract 25% Salicin - Standardized 500 mg 60 Veg Caps</t>
  </si>
  <si>
    <t>Swanson Cordyceps Complex with Reishi and Shiitake Mushrooms 60 Vegan Caps</t>
  </si>
  <si>
    <t>SWH249</t>
  </si>
  <si>
    <t>Swanson Horny Goat Weed Extract - Standardized 300 mg 30 Veg Caps</t>
  </si>
  <si>
    <t>Swanson Tart Cherry &amp; Turmeric - Features Hiactives Tart Cherry 60 Vegan Caps</t>
  </si>
  <si>
    <t>Swanson Robuvit French Oak Wood Extract 200 mg 30 Vegan Caps</t>
  </si>
  <si>
    <t>SWH298</t>
  </si>
  <si>
    <t>Swanson Saffron Extract 30 mg 60 Vegan Caps</t>
  </si>
  <si>
    <t>Swanson Broccoli Extract with Glucosinolates 600 mg 120 Vegan Caps</t>
  </si>
  <si>
    <t>Swanson Sulforaphane from Broccoli Sprout Extract 400 mcg 60 Vegan Caps</t>
  </si>
  <si>
    <t>SWR068</t>
  </si>
  <si>
    <t>Swanson Green Max 180 Veg Caps</t>
  </si>
  <si>
    <t>Swanson Fucoidan Extract 500 mg 60 Vegan Caps</t>
  </si>
  <si>
    <t>Swanson Green Max Powder 9.21 oz Pwdr</t>
  </si>
  <si>
    <t>SWR094</t>
  </si>
  <si>
    <t>Swanson Probiotic Complex 4.2 Billion Cfu 120 Vegan Caps</t>
  </si>
  <si>
    <t>Swanson Advanced Real Food Multi Vegan - Men's Daily 90 Vegan Caps</t>
  </si>
  <si>
    <t>Swanson Advanced Real Food Multi Vegan - Women's Daily 90 Vegan Caps</t>
  </si>
  <si>
    <t>Swanson Ahcc - Maximum Strength 500 mg 60 Vegan Caps</t>
  </si>
  <si>
    <t>Swanson Folate 5-Methyltetrahydrofolic Acid-Higher Potency, Bioactive Form 1,360 mcg Dfe 30 Vegan Caps</t>
  </si>
  <si>
    <t>SWU1104</t>
  </si>
  <si>
    <t>Swanson L-Carnitine Fumarate 415 mg 60 Caps</t>
  </si>
  <si>
    <t>SWU1105</t>
  </si>
  <si>
    <t>Swanson Eggshell Calcium with Vitamin D3 120 Caps</t>
  </si>
  <si>
    <t>Swanson Whole Food Multi without Iron 90 Tabs</t>
  </si>
  <si>
    <t>Swanson Selenium 200 mcg 120 Caps</t>
  </si>
  <si>
    <t>Swanson Vitamin D3 &amp; Boron Complex - Features Fruitex-B 60 Caps</t>
  </si>
  <si>
    <t>Swanson L-Lysine - Pharmaceutical Grade 500 mg 90 Vegan Caps</t>
  </si>
  <si>
    <t>Swanson L-Tyrosine - Featuring Ajipure 500 mg 60 Vegan Caps</t>
  </si>
  <si>
    <t>Swanson L-Leucine - Featuring Ajipure 500 mg 60 Vegan Caps</t>
  </si>
  <si>
    <t>Swanson Essential Amino Acid Complex - Pharmaceutical Grade 60 Vegan Caps</t>
  </si>
  <si>
    <t>Swanson Fisetin Novusetin 100 mg 30 Vegan Caps</t>
  </si>
  <si>
    <t>Swanson Activated Homocysteine 60 Vegan Caps</t>
  </si>
  <si>
    <t>Swanson Folate 5-Methyltetrahydrofolic Acid - High Potency, Bioactive Form 800 mcg Dfe 30 Veg Caps</t>
  </si>
  <si>
    <t>Swanson L-Glutathione with Coq10 30 Vegan Caps</t>
  </si>
  <si>
    <t>Swanson Liver Tone 300 mg 120 Vegan Caps</t>
  </si>
  <si>
    <t>Swanson Vitamin B12 Methylcobalamin - Natural Black Cherry Flavored 2,500 mcg 60 Tabs</t>
  </si>
  <si>
    <t>Swanson Boswellia Advanced - Standardized 300 mg 60 Veg Caps</t>
  </si>
  <si>
    <t>Swanson Suntheanine L-Theanine 200 mg 60 Vegan Caps</t>
  </si>
  <si>
    <t>Swanson Pqq Pyrroloquinoline Quinone 20 mg 30 Vegan Caps</t>
  </si>
  <si>
    <t>Swanson Vitamin D3 with Coconut Oil - High Potency 2,000 Iu (50 mcg) 60 Sgels</t>
  </si>
  <si>
    <t>Swanson Chromax 2000 2,000 mcg 60 Vegan Caps</t>
  </si>
  <si>
    <t>Swanson Uric Acid Cleanse 60 Vegan Caps</t>
  </si>
  <si>
    <t>Swanson Vitamin D3 with Coconut Oil - Highest Potency 5,000 Iu (125 mcg) 60 Sgels</t>
  </si>
  <si>
    <t>Swanson Phytoceramides - Advanced Formula 30 mg 30 Vegan Caps</t>
  </si>
  <si>
    <t>Swanson Chirositol D-Chiro-Inositol 85 mg 60 Caps</t>
  </si>
  <si>
    <t>Swanson Gabaplex with L-Tyrosine &amp; L-Theanine 60 Vegan Caps</t>
  </si>
  <si>
    <t>Swanson Tart Cherry &amp; Melatonin - Vegan 30 Tabs</t>
  </si>
  <si>
    <t>Swanson Red Yeast Rice &amp; Coq10 with Milk Thistle and Alpha Lipoic Acid 60 Vegan Caps</t>
  </si>
  <si>
    <t>SWV024</t>
  </si>
  <si>
    <t>UPC</t>
  </si>
  <si>
    <t>Folate and Folic Acid</t>
  </si>
  <si>
    <t>Neem</t>
  </si>
  <si>
    <t>DHEA</t>
  </si>
  <si>
    <t>Calcium and Vitamin D</t>
  </si>
  <si>
    <t>Lemon Balm</t>
  </si>
  <si>
    <t>Passion Flower</t>
  </si>
  <si>
    <t>Wormwood</t>
  </si>
  <si>
    <t>Bone Combination Formulas</t>
  </si>
  <si>
    <t>Omegas</t>
  </si>
  <si>
    <t>Stress Formulas</t>
  </si>
  <si>
    <t>Glandular Supplements</t>
  </si>
  <si>
    <t>Protein</t>
  </si>
  <si>
    <t>Whey Protein Powder</t>
  </si>
  <si>
    <t>5-HTP</t>
  </si>
  <si>
    <t>Alfalfa</t>
  </si>
  <si>
    <t>Peppermint</t>
  </si>
  <si>
    <t>Thyroid Glandular</t>
  </si>
  <si>
    <t>Face Wash</t>
  </si>
  <si>
    <t>Hair Care</t>
  </si>
  <si>
    <t>Shampoo and Conditioner</t>
  </si>
  <si>
    <t>Aromatherapy</t>
  </si>
  <si>
    <t>Essential Oils</t>
  </si>
  <si>
    <t>Aloe</t>
  </si>
  <si>
    <t>Isoflavone</t>
  </si>
  <si>
    <t>Cooking and Baking</t>
  </si>
  <si>
    <t>Brewer's Yeast</t>
  </si>
  <si>
    <t>L-Citrulline</t>
  </si>
  <si>
    <t>Face Moisturizer</t>
  </si>
  <si>
    <t>Collagen</t>
  </si>
  <si>
    <t>Eye Cream</t>
  </si>
  <si>
    <t>Personal Care</t>
  </si>
  <si>
    <t>Baby and Children Personal Care</t>
  </si>
  <si>
    <t>Pea Protein</t>
  </si>
  <si>
    <t>Xylitol</t>
  </si>
  <si>
    <t>Graviola</t>
  </si>
  <si>
    <t>Vitamin D and K</t>
  </si>
  <si>
    <t>Cranberry</t>
  </si>
  <si>
    <t>Hydration and Electrolytes</t>
  </si>
  <si>
    <t>Slippery Elm</t>
  </si>
  <si>
    <t>Vegetarian Protein</t>
  </si>
  <si>
    <t>Juices</t>
  </si>
  <si>
    <t>Propolis</t>
  </si>
  <si>
    <t>Cascara Sagrada</t>
  </si>
  <si>
    <t>Cartilage</t>
  </si>
  <si>
    <t>DMAE</t>
  </si>
  <si>
    <t>Phenylalanine</t>
  </si>
  <si>
    <t>Creatine</t>
  </si>
  <si>
    <t>Malic Acid</t>
  </si>
  <si>
    <t>Children's Digestion</t>
  </si>
  <si>
    <t>pH Balance</t>
  </si>
  <si>
    <t>Medicine</t>
  </si>
  <si>
    <t>Ear Care</t>
  </si>
  <si>
    <t>Menopause Support</t>
  </si>
  <si>
    <t>7-Keto DHEA</t>
  </si>
  <si>
    <t>White Kidney Bean</t>
  </si>
  <si>
    <t>Snacks and Candy</t>
  </si>
  <si>
    <t>Olive Oil</t>
  </si>
  <si>
    <t>Dried Fruit</t>
  </si>
  <si>
    <t>Cacao</t>
  </si>
  <si>
    <t>Coconut</t>
  </si>
  <si>
    <t>Coffee</t>
  </si>
  <si>
    <t>Candy</t>
  </si>
  <si>
    <t>Herbal Tea</t>
  </si>
  <si>
    <t>Superfoods</t>
  </si>
  <si>
    <t>Cereal, Granola and Grains</t>
  </si>
  <si>
    <t>Breakfast Foods</t>
  </si>
  <si>
    <t>Beet Supplements</t>
  </si>
  <si>
    <t>Honey</t>
  </si>
  <si>
    <t>Savory Snacks</t>
  </si>
  <si>
    <t>Nutritional Oils</t>
  </si>
  <si>
    <t>Regularity</t>
  </si>
  <si>
    <t>Supplements for Sexual Health</t>
  </si>
  <si>
    <t>Kelp</t>
  </si>
  <si>
    <t>Amino Acid Complex</t>
  </si>
  <si>
    <t>Pain Relief</t>
  </si>
  <si>
    <t>ZMA</t>
  </si>
  <si>
    <t>Specialty Protein Powders</t>
  </si>
  <si>
    <t>Alpha GPC</t>
  </si>
  <si>
    <t>Bitters</t>
  </si>
  <si>
    <t>Caffeine</t>
  </si>
  <si>
    <t>Colostrum</t>
  </si>
  <si>
    <t>Spices</t>
  </si>
  <si>
    <t>Dental and Oral Health</t>
  </si>
  <si>
    <t>Glycine</t>
  </si>
  <si>
    <t>Facial Toner</t>
  </si>
  <si>
    <t>Body Wash</t>
  </si>
  <si>
    <t>Hyaluronic Acid for Beauty</t>
  </si>
  <si>
    <t>PQQ</t>
  </si>
  <si>
    <t>Lithium</t>
  </si>
  <si>
    <t>Pet Joint Supplements</t>
  </si>
  <si>
    <t>Granules</t>
  </si>
  <si>
    <t>Mini-Tablets</t>
  </si>
  <si>
    <t>Vegan Capsules</t>
  </si>
  <si>
    <t>Serum</t>
  </si>
  <si>
    <t>Balm</t>
  </si>
  <si>
    <t>Solid Oil</t>
  </si>
  <si>
    <t>Vegan Softgels</t>
  </si>
  <si>
    <t>Liquid Vegan Capsules</t>
  </si>
  <si>
    <t>Caplets</t>
  </si>
  <si>
    <t>Kit</t>
  </si>
  <si>
    <t>Liquid Capsules</t>
  </si>
  <si>
    <t>Package</t>
  </si>
  <si>
    <t>Bag(S)</t>
  </si>
  <si>
    <t>Jar</t>
  </si>
  <si>
    <t>Flakes</t>
  </si>
  <si>
    <t>Salt</t>
  </si>
  <si>
    <t>Scrub</t>
  </si>
  <si>
    <t>Chews</t>
  </si>
  <si>
    <t>SW1737</t>
  </si>
  <si>
    <t>SW1783</t>
  </si>
  <si>
    <t>SW1832</t>
  </si>
  <si>
    <t>SW1912</t>
  </si>
  <si>
    <t>SW1913</t>
  </si>
  <si>
    <t>SW1950</t>
  </si>
  <si>
    <t>SW1952</t>
  </si>
  <si>
    <t>SW1954</t>
  </si>
  <si>
    <t>SW1955</t>
  </si>
  <si>
    <t>SW1956</t>
  </si>
  <si>
    <t>SW837</t>
  </si>
  <si>
    <t>SWU1106</t>
  </si>
  <si>
    <t>SWU1107</t>
  </si>
  <si>
    <t>SWU1108</t>
  </si>
  <si>
    <t>SWU1109</t>
  </si>
  <si>
    <t>SWU1110</t>
  </si>
  <si>
    <t>Swanson Vitamin B6 Pyridoxine 100 mg 100 Vegan Caps</t>
  </si>
  <si>
    <t>Swanson Vitamin B6 Pyridoxine 100 mg 250 Vegan Caps</t>
  </si>
  <si>
    <t>Swanson Vitamin B12 Cyanocobalamin 500 mcg 100 Vegan Caps</t>
  </si>
  <si>
    <t>Swanson Vitamin B12 Cyanocobalamin 500 mcg 250 Vegan Caps</t>
  </si>
  <si>
    <t>Swanson Full Spectrum Rhodiola Rosea Root 400 mg 100 Vegan Caps</t>
  </si>
  <si>
    <t>Swanson Full Spectrum Grape Seed 380 mg 100 Vegan Caps</t>
  </si>
  <si>
    <t>Swanson Glucosamine, Chondroitin &amp; Msm - Highest Strength 3-in-1 Formula 120 Tabs</t>
  </si>
  <si>
    <t>Swanson C-500 - Vitamin C with Rose Hips 500 mg 100 Vegan Caps</t>
  </si>
  <si>
    <t>Swanson C-500 - Vitamin C with Rose Hips 500 mg 250 Vegan Caps</t>
  </si>
  <si>
    <t>Swanson Full Spectrum Cinnamon 375 mg 180 Vegan Caps</t>
  </si>
  <si>
    <t>Swanson C-1000 - Vitamin C with Rose Hips 1,000 mg 90 Vegan Caps</t>
  </si>
  <si>
    <t>Swanson C-1000 - Vitamin C with Rose Hips 1,000 mg 250 Vegan Caps</t>
  </si>
  <si>
    <t>Swanson Full Spectrum Chasteberry Fruit 400 mg 120 Vegan Caps</t>
  </si>
  <si>
    <t>Swanson Full Spectrum Turmeric 720 mg 240 Vegan Caps</t>
  </si>
  <si>
    <t>Swanson Psyllium Husks 610 mg 300 Vegan Caps</t>
  </si>
  <si>
    <t>Swanson Triple Magnesium Complex 400 mg 300 Vegan Caps</t>
  </si>
  <si>
    <t>Swanson Full Spectrum Amla Fruit 500 mg 120 Vegan Caps</t>
  </si>
  <si>
    <t>Swanson Full Spectrum Lion's Mane Mushroom 500 mg 60 Vegan Caps</t>
  </si>
  <si>
    <t>Swanson Zinc Picolinate - Body Preferred Form 22 mg 60 Vegan Caps</t>
  </si>
  <si>
    <t>Swanson Full Spectrum Holy Basil Leaf 400 mg 120 Vegan Caps</t>
  </si>
  <si>
    <t>Swanson Chinese Skullcap 400 mg 90 Vegan Caps</t>
  </si>
  <si>
    <t>Swanson Full Spectrum Bitter Melon 500 mg 60 Vegan Caps</t>
  </si>
  <si>
    <t>Swanson Biotin 5,000 mcg 30 Vegan Caps</t>
  </si>
  <si>
    <t>Swanson Full Spectrum Turmeric 720 mg 30 Vegan Caps</t>
  </si>
  <si>
    <t>Swanson Triple Magnesium Complex 400 mg 30 Vegan Caps</t>
  </si>
  <si>
    <t>Swanson Vitamin B12 Cyanocobalamin 500 mcg 30 Vegan Caps</t>
  </si>
  <si>
    <t>Swanson Full Spectrum St. John's Wort 375 mg 60 Vegan Caps</t>
  </si>
  <si>
    <t>Swanson Full Spectrum St. John's Wort 375 mg 120 Vegan Caps</t>
  </si>
  <si>
    <t>Swanson Berberine 400 mg 60 Vegan Caps</t>
  </si>
  <si>
    <t>Swanson Full Spectrum Reishi Mushroom 600 mg 60 Vegan Caps</t>
  </si>
  <si>
    <t>Swanson Full Spectrum Milk Thistle 500 mg 30 Vegan Caps</t>
  </si>
  <si>
    <t>Swanson Berberine Complex with Cinnamon, Gymnema &amp; Fenugreek 90 Vegan Caps</t>
  </si>
  <si>
    <t>Swanson Acetyl L-Carnitine 500 mg 240 Vegan Caps</t>
  </si>
  <si>
    <t>Swanson Cinnamon &amp; Chromium - Featuring Chromax 60 Vegan Caps</t>
  </si>
  <si>
    <t>Swanson Milk Thistle Dandelion &amp; Yellow Dock 120 Vegan Caps</t>
  </si>
  <si>
    <t>Swanson Sambucus Elderberry Extract 575 mg 120 Vegan Caps</t>
  </si>
  <si>
    <t>Swanson Omega-3 Fish Oil - Lemon Flavor 60 Sgels</t>
  </si>
  <si>
    <t>Swanson Extra Strength D3 &amp; K2 - 5,000 Iu &amp; 100 mcg 60 Vegan Caps</t>
  </si>
  <si>
    <t>Swanson Mind Full Cognitive Performance Advanced Formula 30 Vegan Caps</t>
  </si>
  <si>
    <t>Swanson Vitamin D3 4,000 Iu (100 mcg) 90 Sgels</t>
  </si>
  <si>
    <t>Swanson Nac N-Acetyl Cysteine 150 mg 100 Caps</t>
  </si>
  <si>
    <t>Swanson Vitamin B6 Pyridoxine 30 Vegan Caps</t>
  </si>
  <si>
    <t>Swanson Rapid Muscle and Joint Relief with Rhuleave-K 500 mg 60 Vegan Sgel</t>
  </si>
  <si>
    <t>Swanson Men's Multi +Prostate Support 90 Tabs</t>
  </si>
  <si>
    <t>Swanson Full Potential Pre-Workout - Blue Raspberry 12.7 oz Pwdr</t>
  </si>
  <si>
    <t>Swanson Full Potential Pre-Workout - Strawberry-Lemonade 12.7 oz Pwdr</t>
  </si>
  <si>
    <t>Swanson Quercetin &amp; Bromelain - Advanced Formula 100 Vegan Caps</t>
  </si>
  <si>
    <t>Swanson Quercetin &amp; Bromelain - Advanced Formula 250 Vegan Caps</t>
  </si>
  <si>
    <t>Swanson Psyllium Husks 610 mg 100 Vegan Caps</t>
  </si>
  <si>
    <t>Swanson Triple Magnesium Complex 400 mg 100 Vegan Caps</t>
  </si>
  <si>
    <t>Swanson Just One Multi - Without Iron 130 Vegan Tabs</t>
  </si>
  <si>
    <t>Swanson Liquid Calcium &amp; Magnesium 200 Sgels</t>
  </si>
  <si>
    <t>Swanson C-500 - Vitamin C with Rose Hips 500 mg 400 Vegan Caps</t>
  </si>
  <si>
    <t>Swanson Nac N-Acetyl Cysteine 600 mg 100 Vegan Caps</t>
  </si>
  <si>
    <t>Swanson Biotin 5,000 mcg 100 Vegan Caps</t>
  </si>
  <si>
    <t>Swanson Hair, Skin &amp; Nails 60 Vegan Tabs</t>
  </si>
  <si>
    <t>Swanson Full Spectrum Saw Palmetto 540 mg 100 Vegan Caps</t>
  </si>
  <si>
    <t>Swanson Full Spectrum Saw Palmetto 540 mg 250 Vegan Caps</t>
  </si>
  <si>
    <t>Swanson Full Spectrum Ashwagandha 450 mg 100 Vegan Caps</t>
  </si>
  <si>
    <t>Swanson Full Spectrum Maca 500 mg 100 Vegan Caps</t>
  </si>
  <si>
    <t>Swanson Full Spectrum Milk Thistle 500 mg 100 Vegan Caps</t>
  </si>
  <si>
    <t>Swanson Epic Pro 25-Strain Probiotic 30 Billion Cfu 30 Vegan Caps</t>
  </si>
  <si>
    <t>Swanson Prebiotic for Friendly Flora Support - scfos fromnutraflora 375 mg 60 Vegan Caps</t>
  </si>
  <si>
    <t>Swanson Prebiotic for Friendly Flora Support - scfos fromnutraflora 375 mg 120 Vegan Caps</t>
  </si>
  <si>
    <t>Swanson Ultra Probiotic Complex 30 Billion Cfu 60 Vegan Caps</t>
  </si>
  <si>
    <t>Swanson Dr. Stephen Langer's Ultimate 16 Strain Probiotic with Fos 3.2 Billion Cfu 30 Vegan Caps</t>
  </si>
  <si>
    <t>Swanson Vision Essentials 60 Vegan Caps</t>
  </si>
  <si>
    <t>Swanson Bone Essentials - Featuring Soylife 120 Caps</t>
  </si>
  <si>
    <t>Swanson Heart Essentials 90 Vegan Caps</t>
  </si>
  <si>
    <t>Swanson Fat Burner - Comprehensive Formula 60 Vegan Tabs</t>
  </si>
  <si>
    <t>Swanson Double Strength Razberi-K Raspberry Ketones 200 mg 60 Vegan Caps</t>
  </si>
  <si>
    <t>Swanson Green Coffee Complex - Featuring Green Tea &amp; Raspberry Ketones 60 Vegan Caps</t>
  </si>
  <si>
    <t>Swanson Maximum Strength Razberi-K Raspberry Ketones 500 mg 60 Vegan Caps</t>
  </si>
  <si>
    <t>Swanson 100% Organic Extra Virgin Coconut Oil - Cold Pressed 16 oz Solid Oil</t>
  </si>
  <si>
    <t>Swanson 100% Organic Extra Virgin Coconut Oil - Cold Pressed 3 lb 6 oz Solid Oil</t>
  </si>
  <si>
    <t>Swanson Organic Apple Cider Vinegar with Mother 16 fl oz Liq</t>
  </si>
  <si>
    <t>Swanson Organic Apple Cider Vinegar with Mother 32 fl oz Liq</t>
  </si>
  <si>
    <t>Swanson Banaba Extract - Higher Strength Standardized 60 mg 90 Caps</t>
  </si>
  <si>
    <t>Swanson Bamboo Extract 300 mg 60 Vegan Caps</t>
  </si>
  <si>
    <t>Swanson Curqfen Curcumin/Fenugreek Complex - Standardized 500 mg 60 Vegan Caps</t>
  </si>
  <si>
    <t>Swanson Ashwagandha Extract - Standardized 450 mg 60 Vegan Caps</t>
  </si>
  <si>
    <t>Swanson Dgl Deglycyrrhizinated Licorice Root Extract - Higher Strength 700 mg 90 Caps</t>
  </si>
  <si>
    <t>Swanson Tongkat Ali 400 mg 120 Vegan Caps</t>
  </si>
  <si>
    <t>Swanson Broken Cell Wall Chlorella 500 mg 360 Vegan Tabs</t>
  </si>
  <si>
    <t>Swanson Ginkgo Biloba Extract - Standardized 120 mg 100 Vegan Caps</t>
  </si>
  <si>
    <t>Swanson Albion Zinc 30 mg 90 Vegan Caps</t>
  </si>
  <si>
    <t>Swanson Albion Selenium 200 mcg 90 Vegan Caps</t>
  </si>
  <si>
    <t>Swanson Albion Magnesium Glycinate 133 mg 90 Vegan Caps</t>
  </si>
  <si>
    <t>Swanson Ultimate Ashwagandha - Ksm-66 250 mg 60 Vegan Caps</t>
  </si>
  <si>
    <t>Swanson Albion Boron Bororganic Glycine 6 mg 60 Vegan Caps</t>
  </si>
  <si>
    <t>Swanson Real Food B-Complex From Quinoa Sprouts 60 Vegan Caps</t>
  </si>
  <si>
    <t>Swanson Pure Brainpower 60 Vegan Caps</t>
  </si>
  <si>
    <t>Swanson Activated B-Complex - High Potency and Bioavailability 60 Vegan Caps</t>
  </si>
  <si>
    <t>Swanson Beet Root No+ - Fast Acting See Label 60 Chewable Vegan Tablet</t>
  </si>
  <si>
    <t>Swanson Daily Antioxidant Boost 60 Sgels</t>
  </si>
  <si>
    <t>Swanson Beta Glucan 250 mg 60 Caps</t>
  </si>
  <si>
    <t>Swanson Same - Higher Strength 400 mg 30 Vegan Tabs</t>
  </si>
  <si>
    <t>Swanson Apple Cider Vinegar - Higher Strength 625 mg 180 Vegan Caps</t>
  </si>
  <si>
    <t>Swanson Triple Strength Melatonin - 100% Drug Free 10 mg 60 Vegan Caps</t>
  </si>
  <si>
    <t>Swanson Vegan Bcaa - Featuring Ajipure 90 Vegan Caps</t>
  </si>
  <si>
    <t>Swanson 5-Htp - Extra Strength 100 mg 60 Vegan Caps</t>
  </si>
  <si>
    <t>Swanson Magnesium L-Threonate - Featuring Magtein 90 Vegan Caps</t>
  </si>
  <si>
    <t>Swanson Albion Magnesium Glycinate with Activated B Vitamins 200 mg 60 Vegan Tabs</t>
  </si>
  <si>
    <t>Swanson Glucosamine &amp; Msm - Shellfish Free 60 Vegan Caps</t>
  </si>
  <si>
    <t>Swanson Vegan Glucosamine Shellfish Free 500 mg 90 Vegan Caps</t>
  </si>
  <si>
    <t>Swanson Albion Magnesium &amp; Calcium with Vitamins D3 &amp; K2 90 Caps</t>
  </si>
  <si>
    <t>Swanson Genistein from Sophora Japonica - Soy Free 125 mg 60 Vegan Caps</t>
  </si>
  <si>
    <t>Swanson Vitacholine Choline Bitartrate 300 mg 60 Vegan Caps</t>
  </si>
  <si>
    <t>Swanson Resveratrol &amp; Quercetin with Grape Seed Extract -3 in 1 Formula 30 Vegan Caps</t>
  </si>
  <si>
    <t>Swanson Gluten Rid with Tolerase G 100 mg 90 Vegan Caps</t>
  </si>
  <si>
    <t>Swanson Red Yeast Rice 600 mg 60 Vegan Caps</t>
  </si>
  <si>
    <t>Swanson Lutein - Higher Strength 20 mg 60 Sgels</t>
  </si>
  <si>
    <t>Swanson Lutein - Higher Strength 20 mg 120 Sgels</t>
  </si>
  <si>
    <t>Hair Growth</t>
  </si>
  <si>
    <t>Vegan Tablet</t>
  </si>
  <si>
    <t>Chewable Vegan Tablet</t>
  </si>
  <si>
    <t>Unіt Freight Cost</t>
  </si>
  <si>
    <t>unit, key</t>
  </si>
  <si>
    <t>Weight, kg</t>
  </si>
  <si>
    <t>Logistic Price</t>
  </si>
  <si>
    <t>Landed Cost</t>
  </si>
  <si>
    <t>SW1784</t>
  </si>
  <si>
    <t>Swanson Zinc Gluconate 30 Tabs</t>
  </si>
  <si>
    <t>Swanson Melatonin - 100% Drug Free 3 mg 60 Vegan Caps</t>
  </si>
  <si>
    <t>Swanson Chromium Picolinate 200 mcg 100 Vegan Caps</t>
  </si>
  <si>
    <t>Swanson Melatonin - 100% Drug Free 3 mg 120 Vegan Caps</t>
  </si>
  <si>
    <t>SWU1089</t>
  </si>
  <si>
    <t>Swanson Albion Zinc 15 mg 60 Caps</t>
  </si>
  <si>
    <t>Swanson Full Spectrum Gotu Kola 435 mg 60 Vegan Caps</t>
  </si>
  <si>
    <t>Swanson Full Spectrum Gymnema Sylvestre Leaf 400 mg 100 Vegan Caps</t>
  </si>
  <si>
    <t>Swanson Full Spectrum Fenugreek Seed 610 mg 90 Vegan Caps</t>
  </si>
  <si>
    <t>SWE100</t>
  </si>
  <si>
    <t>Swanson High Concentrate Omega-3 - Mini Softgels 570 mg 30 Sgels</t>
  </si>
  <si>
    <t>Swanson Echinacea 400 mg 100 Vegan Caps</t>
  </si>
  <si>
    <t>Swanson Dhea 10 mg 120 Vegan Caps</t>
  </si>
  <si>
    <t>Swanson L-Glutamine 500 mg 100 Vegan Caps</t>
  </si>
  <si>
    <t>Swanson Mega Tribulus Extract 250 mg 120 Vegan Caps</t>
  </si>
  <si>
    <t>Swanson Full Spectrum Dandelion Root 515 mg 60 Vegan Caps</t>
  </si>
  <si>
    <t>Swanson Potassium Citrate 99 mg 120 Vegan Caps</t>
  </si>
  <si>
    <t>Swanson Folic Acid 785 mcg 250 Vegan Caps</t>
  </si>
  <si>
    <t>Swanson Full Spectrum Rose Hips 500 mg 120 Vegan Caps</t>
  </si>
  <si>
    <t>Swanson Oregano Oil 10:1 Extract 150 mg 120 Vegan Sgel</t>
  </si>
  <si>
    <t>Swanson Tri-Fiber Complex 100 Vegan Caps</t>
  </si>
  <si>
    <t>Swanson Echinacea 400 mg 180 Vegan Caps</t>
  </si>
  <si>
    <t>Swanson Femflora Probiotic for Women 9.8 Billion Cfu 60 Vegan Caps</t>
  </si>
  <si>
    <t>Swanson Dhea - Higher Potency 50 mg 120 Vegan Caps</t>
  </si>
  <si>
    <t>SW1958</t>
  </si>
  <si>
    <t>Swanson Turmeric with Ginger Gummies - Tropical Lemon 60 Gummies</t>
  </si>
  <si>
    <t>Swanson Actiponin Amp-K Stimulator 225 mg 60 Vegan Caps</t>
  </si>
  <si>
    <t>Swanson Bilberry Fruit 470 mg 100 Vegan Caps</t>
  </si>
  <si>
    <t>Swanson Acetyl L-Carnitine 500 mg 100 Veg Caps</t>
  </si>
  <si>
    <t>Swanson Magnesium Gummies - Mixed Berry 100 mg 120 Gummies</t>
  </si>
  <si>
    <t>SW1957</t>
  </si>
  <si>
    <t>Swanson Deep Rest and Stress Relief - Featuring Karacalm 500 mg 60 Vegan Caps</t>
  </si>
  <si>
    <t>SW1965</t>
  </si>
  <si>
    <t>Swanson Collagen Peptides - Unflavored 20 grams 9.88 oz Pwdr</t>
  </si>
  <si>
    <t>SW1967</t>
  </si>
  <si>
    <t>Swanson Creatine Monohydrate Powder - Unflavored 30 Pkts</t>
  </si>
  <si>
    <t>SW1968</t>
  </si>
  <si>
    <t>Swanson Collagen Peptides - Unflavored 20 Pkts</t>
  </si>
  <si>
    <t>SW1969</t>
  </si>
  <si>
    <t>Swanson Creatine Monohydrate Gummies - Watermelon 5 g 120 Gummies</t>
  </si>
  <si>
    <t>SW1780</t>
  </si>
  <si>
    <t>Swanson Msm 500 mg 100 Caps</t>
  </si>
  <si>
    <t>SW1781</t>
  </si>
  <si>
    <t>Swanson Kelp Iodine Source 225 mcg 100 Tabs</t>
  </si>
  <si>
    <t>SW1789</t>
  </si>
  <si>
    <t>Swanson Vitamin C with Rose Hips 500 mg 30 Tabs</t>
  </si>
  <si>
    <t>SW1906</t>
  </si>
  <si>
    <t>Swanson Rhodiola Holy Basil Valerian Stress Complex 60 caps</t>
  </si>
  <si>
    <t>SW1908</t>
  </si>
  <si>
    <t>Swanson Choline &amp; Inositol 100 Caps</t>
  </si>
  <si>
    <t>SW1966</t>
  </si>
  <si>
    <t>SW1973</t>
  </si>
  <si>
    <t>Swanson Full Spectrum Rhodiola Rosea Root 200 mg 60 Vegan Caps</t>
  </si>
  <si>
    <t>SWU1112</t>
  </si>
  <si>
    <t>Swanson Griffonia Extract 5-Htp 500 mg 60 Vegan Caps</t>
  </si>
  <si>
    <t>Swanson L-Carnitine 500 mg 100 Vegan Tabs</t>
  </si>
  <si>
    <t>Swanson Full Spectrum Kudzu Root 500 mg 60 Vegan Caps</t>
  </si>
  <si>
    <t>Swanson Adaptogenic Herbal Complex with Rhodiola, Ashwagandha &amp; Ginseng 60 Vegan Caps</t>
  </si>
  <si>
    <t>Swanson Calcium Citrate 200 mg 60 Vegan Caps</t>
  </si>
  <si>
    <t>Swanson C-1000 - Vitamin C with Rose Hips 1,000 mg 30 Vegan Caps</t>
  </si>
  <si>
    <t>Swanson Magnesium Taurate 100 mg 120 Vegan Tabs</t>
  </si>
  <si>
    <t>Swanson Iron Citrate - Active Form 25 mg 60 Vegan Caps</t>
  </si>
  <si>
    <t>Swanson L-Carnitine 500 mg 30 Vegan Tabs</t>
  </si>
  <si>
    <t>Swanson Quercetin - Higher Strength 475 mg 60 Vegan Caps</t>
  </si>
  <si>
    <t>Swanson Maximum Strength L-Arginine 850 mg 90 Vegan Caps</t>
  </si>
  <si>
    <t>SW1960</t>
  </si>
  <si>
    <t>Swanson Nac N-Acetyl Cysteine - Extra Strength 1,000 mg 60 Vegan Tabs</t>
  </si>
  <si>
    <t>SW1961</t>
  </si>
  <si>
    <t>Swanson Vegan Prenatal Multi - 200 mg Dha + Choline 90 Vegan Sgel</t>
  </si>
  <si>
    <t>Swanson Low Dose Melatonin - 100% Drug Free 1 mg 120 Caps</t>
  </si>
  <si>
    <t>Swanson Coq10 30 mg 60 Vegan Caps</t>
  </si>
  <si>
    <t>Swanson Coq10 30 mg 120 Vegan Caps</t>
  </si>
  <si>
    <t>Swanson Gaba - Higher Strength 500 mg 100 Vegan Caps</t>
  </si>
  <si>
    <t>Swanson Ginkgo Biloba Extract - Standardized 60 mg 120 Vegan Caps</t>
  </si>
  <si>
    <t>Swanson Chromium Picolinate 200 mcg 200 Vegan Caps</t>
  </si>
  <si>
    <t>Swanson Full Spectrum Turmeric 720 mg 100 Vegan Caps</t>
  </si>
  <si>
    <t>Swanson Dr. Stephen Langer's Ultimate 16 Strain Probiotic with Fos 3.2 Billion Cfu 60 Vegan Caps</t>
  </si>
  <si>
    <t>Swanson Apple Cider Vinegar - Double Strength Formula 200 mg 120 Tabs</t>
  </si>
  <si>
    <t>Swanson Maca 500 mg 60 Vegan Caps</t>
  </si>
  <si>
    <t>Swanson Spirulina 500 mg 180 Vegan Tabs</t>
  </si>
  <si>
    <t>Swanson Certified Organic Spirulina 500 mg 180 Vegan Tabs</t>
  </si>
  <si>
    <t>Swanson Spirulina &amp; Astaxanthin 120 Veg Tabs</t>
  </si>
  <si>
    <t>Swanson Coq10 - Maximum Strength 200 mg 30 Vegan Caps</t>
  </si>
  <si>
    <t>Swanson Coq10 - Maximum Strength 200 mg 90 Vegan Caps</t>
  </si>
  <si>
    <t>Swanson Vitamin B12 Methylcobalamin - High Absorption 5,000 mcg 60 Vegan Tabs</t>
  </si>
  <si>
    <t>Swanson Alpha Lipoic Acid 300 mg 60 Vegan Caps</t>
  </si>
  <si>
    <t>Swanson Alpha Lipoic Acid 600 mg 60 Vegan Caps</t>
  </si>
  <si>
    <t>Swanson Alpha Lipoic Acid 300 mg 120 Vegan Caps</t>
  </si>
  <si>
    <t>Swanson Anti-Gas Enzyme - Higher Strength 40 mg 90 Vegan Caps</t>
  </si>
  <si>
    <t>Swanson Coq10 - Higher Strength 100 mg 50 Vegan Sgel</t>
  </si>
  <si>
    <t>Swanson Coq10 - Higher Strength 100 mg 100 Vegan Sgel</t>
  </si>
  <si>
    <t>Swanson Biotin - Timed-Release 10,000 mcg 60 Vegan Tabs</t>
  </si>
  <si>
    <t>Swanson Activated B-Complex - High Bioavailability 60 Vegan Caps</t>
  </si>
  <si>
    <t>Swanson Calcium Citrate Plus Magnesium 150 Vegan Caps</t>
  </si>
  <si>
    <t>Swanson Nmn Nicotinamide Mononucleotide 300 mg 30 Vegan Caps</t>
  </si>
  <si>
    <t>Swanson Coq10 30 mg 240 Vegan Caps</t>
  </si>
  <si>
    <t>Swanson Brain Essentials 60 Caps</t>
  </si>
  <si>
    <t>Swanson Cinnamon Extract 250 mg 90 Vegan Caps</t>
  </si>
  <si>
    <t>Swanson Ginger Root Extract - Maximum Strength Standardized 200 mg 60 Vegan Caps</t>
  </si>
  <si>
    <t>Swanson Ultimate Probiotic Formula 66.5 Billion Cfu 30 Vegan Caps</t>
  </si>
  <si>
    <t>Swanson Bioperine 10 mg 60 Vegan Caps</t>
  </si>
  <si>
    <t>Swanson Pregnenolone - Higher Strength 25 mg 60 Caps</t>
  </si>
  <si>
    <t>Swanson Coq10 - Higher Strength 120 mg 100 Caps</t>
  </si>
  <si>
    <t>Swanson L-Methionine - Featuring Ajipure 500 mg 60 Vegan Caps</t>
  </si>
  <si>
    <t>Swanson Folic Acid &amp; B12 30 Vegan Caps</t>
  </si>
  <si>
    <t>Swanson Rutin Natural Bioflavonoid 250 mg 250 Vegan Caps</t>
  </si>
  <si>
    <t>Swanson Collagen Peptides - Unflavored 5 grams 16 oz Pwdr</t>
  </si>
  <si>
    <t>Swanson Collagen Peptides - Unflavored 20 grams 19.75 oz Pwdr</t>
  </si>
  <si>
    <t>SW1959</t>
  </si>
  <si>
    <t>Swanson Urinary &amp; Bladder Support 500 mg 30 Vegan Caps</t>
  </si>
  <si>
    <t>SW1971</t>
  </si>
  <si>
    <t>Swanson Balance B-100 Complex - High Potency 300 Vegan Tabs</t>
  </si>
  <si>
    <t>SW1972</t>
  </si>
  <si>
    <t>Swanson Balance B-100 Complex - High Potency 100 Vegan Tabs</t>
  </si>
  <si>
    <t>SW1974</t>
  </si>
  <si>
    <t>Swanson Glucosamine, Chondroitin &amp; Msm - Higher Strength 120 Tabs</t>
  </si>
  <si>
    <t>Swanson Creatine Monohydrate Powder 2 lb 3 oz Pwdr</t>
  </si>
  <si>
    <t>Swanson Adrenal Essentials 60 Vegan Caps</t>
  </si>
  <si>
    <t>Swanson Acacia Fiber Powder - 100% Organic 10 oz Pwdr</t>
  </si>
  <si>
    <t>Swanson 100% Organic Peppermint Tea - Caffeine Free 20 Bag(S)</t>
  </si>
  <si>
    <t>Swanson 100% Organic Rooibos Red Tea - Caffeine Free 20 Bag(S)</t>
  </si>
  <si>
    <t>Swanson 100% Organic Hibiscus Flower Tea - Caffeine Free 20 Bag(S)</t>
  </si>
  <si>
    <t>Swanson 100% Organic Matcha Green Tea 1.76 oz Pwdr</t>
  </si>
  <si>
    <t>Swanson 100% Organic Turmeric Tea - Caffeine Free 20 Bag(S)</t>
  </si>
  <si>
    <t>Swanson Higher Strength Grape Seed Extract - Standardized 200 mg 60 Caps</t>
  </si>
  <si>
    <t>Swanson Fo-Ti Extract He-Shou-Wu 500 mg 60 Vegan Caps</t>
  </si>
  <si>
    <t>SWH299</t>
  </si>
  <si>
    <t>Swanson Garcinia Cambogia 250 mg 120 Vegan Caps</t>
  </si>
  <si>
    <t>Swanson Joint Formula with Hyaluronic Acid 150 Caps</t>
  </si>
  <si>
    <t>Swanson The Skin Pill 30 Sgels</t>
  </si>
  <si>
    <t>Swanson Mega Tribulus Extract 250 mg 60 Vegan Caps</t>
  </si>
  <si>
    <t>Swanson Wild Blueberry &amp; Pomegranate 60 Vegan Caps</t>
  </si>
  <si>
    <t>Swanson Higher Strength L-Glutathione 250 mg 60 Vegan Caps</t>
  </si>
  <si>
    <t>SWU1111</t>
  </si>
  <si>
    <t>Swanson Creatine Monohydrate 1 g 180 Caps</t>
  </si>
  <si>
    <t>Swanson L-Histidine - Featuring Ajipure 500 mg 60 Vegan Caps</t>
  </si>
  <si>
    <t>Swanson N-Zimes - Featuring Cerecalase 90 Caps</t>
  </si>
  <si>
    <t>Swanson Pharmagaba - Strawberry Lemonade 100 mg 60 Chewable Vegan Tablet</t>
  </si>
  <si>
    <t>Swanson Mct Oil - 100% Pure Pharmaceutical Grade 14 g 16 fl oz Liq</t>
  </si>
  <si>
    <t>Swanson Ajipure L-Arginine with L-Citrulline - Pharmaceutical Grade 60 Vegan Caps</t>
  </si>
  <si>
    <t>Swanson Spirulina Blue-Green Algae - Standardized 500 mg 90 Vegan Caps</t>
  </si>
  <si>
    <t>Swanson L-Glutathione - Featuring Setria Glutathione 50 mg 60 Chewable Vegan Tablet</t>
  </si>
  <si>
    <t>Swanson Healthy Blood Pressure Support Formula - Standardized 90 Caps</t>
  </si>
  <si>
    <t>Swanson Pro-Oxy-Biotic - With Magnesium Hydroxide 5 Billion Cfu 60 Vegan Tabs</t>
  </si>
  <si>
    <t>Swanson Maqui Berry Extract Dry Eye Formula - Featuring Maquibright 60 mg 30 Vegan Caps</t>
  </si>
  <si>
    <t>Category (ABC)</t>
  </si>
  <si>
    <t>С</t>
  </si>
  <si>
    <t>А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</si>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</sst>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[$€-2]\ * #,##0.00_-;\-[$€-2]\ * #,##0.00_-;_-[$€-2]\ * &quot;-&quot;??_-;_-@_-"/>
    <numFmt numFmtId="165" formatCode="_-[$$-1409]* #,##0.00_-;\-[$$-1409]* #,##0.00_-;_-[$$-1409]* &quot;-&quot;??_-;_-@_-"/>
    <numFmt numFmtId="166" formatCode="_-[$$-1009]* #,##0.00_-;\-[$$-1009]* #,##0.00_-;_-[$$-1009]* &quot;-&quot;??_-;_-@_-"/>
    <numFmt numFmtId="167" formatCode="_-[$$-409]* #,##0.00_ ;_-[$$-409]* \-#,##0.00\ ;_-[$$-409]* &quot;-&quot;??_ ;_-@_ "/>
    <numFmt numFmtId="168" formatCode="[$$-409]#,##0.0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4"/>
      <name val="Calibri"/>
      <family val="2"/>
      <charset val="204"/>
    </font>
    <font>
      <sz val="11"/>
      <name val="Calibri"/>
      <family val="2"/>
    </font>
    <font>
      <b/>
      <sz val="14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 applyAlignment="1" applyProtection="1">
      <alignment horizontal="center" vertical="center"/>
      <protection locked="0"/>
    </xf>
    <xf numFmtId="0" fontId="5" fillId="0" borderId="3" xfId="0" quotePrefix="1" applyFont="1" applyBorder="1" applyAlignment="1" applyProtection="1">
      <alignment horizontal="center"/>
      <protection hidden="1"/>
    </xf>
    <xf numFmtId="0" fontId="5" fillId="0" borderId="4" xfId="0" quotePrefix="1" applyFont="1" applyBorder="1" applyAlignment="1" applyProtection="1">
      <alignment horizontal="center"/>
      <protection hidden="1"/>
    </xf>
    <xf numFmtId="0" fontId="5" fillId="0" borderId="5" xfId="0" quotePrefix="1" applyFont="1" applyBorder="1" applyAlignment="1" applyProtection="1">
      <alignment horizontal="center"/>
      <protection hidden="1"/>
    </xf>
    <xf numFmtId="0" fontId="6" fillId="0" borderId="6" xfId="0" applyFont="1" applyBorder="1" applyProtection="1">
      <protection hidden="1"/>
    </xf>
    <xf numFmtId="14" fontId="2" fillId="0" borderId="1" xfId="0" quotePrefix="1" applyNumberFormat="1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6" fillId="0" borderId="0" xfId="0" applyFont="1" applyProtection="1">
      <protection hidden="1"/>
    </xf>
    <xf numFmtId="0" fontId="5" fillId="0" borderId="0" xfId="0" quotePrefix="1" applyFont="1" applyAlignment="1" applyProtection="1">
      <alignment horizontal="center"/>
      <protection hidden="1"/>
    </xf>
    <xf numFmtId="165" fontId="4" fillId="2" borderId="1" xfId="1" applyNumberFormat="1" applyFont="1" applyFill="1" applyBorder="1" applyProtection="1">
      <protection hidden="1"/>
    </xf>
    <xf numFmtId="166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locked="0"/>
    </xf>
    <xf numFmtId="167" fontId="10" fillId="3" borderId="8" xfId="0" applyNumberFormat="1" applyFont="1" applyFill="1" applyBorder="1" applyAlignment="1" applyProtection="1">
      <alignment horizontal="center" vertical="center" wrapText="1" readingOrder="1"/>
      <protection hidden="1"/>
    </xf>
    <xf numFmtId="0" fontId="11" fillId="4" borderId="8" xfId="0" applyFont="1" applyFill="1" applyBorder="1" applyAlignment="1" applyProtection="1">
      <alignment horizontal="center" vertical="center" wrapText="1" readingOrder="1"/>
      <protection locked="0"/>
    </xf>
    <xf numFmtId="167" fontId="10" fillId="4" borderId="8" xfId="0" applyNumberFormat="1" applyFont="1" applyFill="1" applyBorder="1" applyAlignment="1" applyProtection="1">
      <alignment horizontal="center" vertical="center" wrapText="1" readingOrder="1"/>
      <protection hidden="1"/>
    </xf>
    <xf numFmtId="167" fontId="10" fillId="0" borderId="0" xfId="0" applyNumberFormat="1" applyFont="1" applyAlignment="1" applyProtection="1">
      <alignment vertical="center" wrapText="1" readingOrder="1"/>
      <protection hidden="1"/>
    </xf>
    <xf numFmtId="4" fontId="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2" fontId="0" fillId="0" borderId="1" xfId="0" applyNumberFormat="1" applyBorder="1" applyAlignment="1" applyProtection="1">
      <alignment horizontal="center"/>
      <protection hidden="1"/>
    </xf>
    <xf numFmtId="0" fontId="9" fillId="0" borderId="10" xfId="0" applyFont="1" applyBorder="1" applyAlignment="1">
      <alignment horizontal="center"/>
    </xf>
    <xf numFmtId="165" fontId="2" fillId="0" borderId="11" xfId="0" applyNumberFormat="1" applyFont="1" applyBorder="1" applyAlignment="1" applyProtection="1">
      <alignment horizontal="center" vertical="center"/>
      <protection hidden="1"/>
    </xf>
    <xf numFmtId="1" fontId="3" fillId="0" borderId="12" xfId="0" applyNumberFormat="1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164" fontId="3" fillId="2" borderId="13" xfId="1" applyNumberFormat="1" applyFont="1" applyFill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left" vertical="center" wrapText="1"/>
      <protection locked="0"/>
    </xf>
    <xf numFmtId="166" fontId="2" fillId="0" borderId="14" xfId="0" applyNumberFormat="1" applyFont="1" applyBorder="1" applyAlignment="1" applyProtection="1">
      <alignment horizontal="center" vertical="center" wrapText="1"/>
      <protection hidden="1"/>
    </xf>
    <xf numFmtId="1" fontId="0" fillId="0" borderId="15" xfId="0" applyNumberFormat="1" applyBorder="1" applyProtection="1">
      <protection hidden="1"/>
    </xf>
    <xf numFmtId="166" fontId="0" fillId="0" borderId="16" xfId="0" applyNumberFormat="1" applyBorder="1" applyProtection="1">
      <protection hidden="1"/>
    </xf>
    <xf numFmtId="1" fontId="0" fillId="0" borderId="17" xfId="0" applyNumberFormat="1" applyBorder="1" applyProtection="1">
      <protection hidden="1"/>
    </xf>
    <xf numFmtId="0" fontId="0" fillId="0" borderId="18" xfId="0" applyBorder="1" applyProtection="1">
      <protection hidden="1"/>
    </xf>
    <xf numFmtId="0" fontId="0" fillId="0" borderId="19" xfId="0" applyBorder="1" applyProtection="1">
      <protection hidden="1"/>
    </xf>
    <xf numFmtId="0" fontId="0" fillId="0" borderId="18" xfId="0" applyBorder="1" applyAlignment="1" applyProtection="1">
      <alignment horizontal="left"/>
      <protection hidden="1"/>
    </xf>
    <xf numFmtId="0" fontId="0" fillId="0" borderId="18" xfId="0" applyBorder="1" applyAlignment="1" applyProtection="1">
      <alignment horizontal="center"/>
      <protection hidden="1"/>
    </xf>
    <xf numFmtId="2" fontId="0" fillId="0" borderId="18" xfId="0" applyNumberFormat="1" applyBorder="1" applyAlignment="1" applyProtection="1">
      <alignment horizontal="center"/>
      <protection hidden="1"/>
    </xf>
    <xf numFmtId="0" fontId="9" fillId="0" borderId="20" xfId="0" applyFont="1" applyBorder="1" applyAlignment="1">
      <alignment horizontal="center"/>
    </xf>
    <xf numFmtId="165" fontId="4" fillId="2" borderId="18" xfId="1" applyNumberFormat="1" applyFont="1" applyFill="1" applyBorder="1" applyProtection="1">
      <protection hidden="1"/>
    </xf>
    <xf numFmtId="0" fontId="0" fillId="0" borderId="18" xfId="0" applyBorder="1" applyAlignment="1" applyProtection="1">
      <alignment horizontal="center" vertical="center"/>
      <protection locked="0"/>
    </xf>
    <xf numFmtId="166" fontId="0" fillId="0" borderId="21" xfId="0" applyNumberFormat="1" applyBorder="1" applyProtection="1">
      <protection hidden="1"/>
    </xf>
    <xf numFmtId="14" fontId="12" fillId="3" borderId="8" xfId="0" applyNumberFormat="1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168" fontId="12" fillId="3" borderId="8" xfId="0" applyNumberFormat="1" applyFont="1" applyFill="1" applyBorder="1" applyAlignment="1">
      <alignment horizontal="center" vertical="center"/>
    </xf>
    <xf numFmtId="4" fontId="12" fillId="4" borderId="9" xfId="0" applyNumberFormat="1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 wrapText="1"/>
    </xf>
    <xf numFmtId="2" fontId="0" fillId="0" borderId="0" xfId="0" applyNumberFormat="1" applyProtection="1">
      <protection hidden="1"/>
    </xf>
    <xf numFmtId="0" fontId="8" fillId="0" borderId="0" xfId="0" applyFont="1" applyAlignment="1" applyProtection="1">
      <alignment horizontal="left" vertical="center" wrapText="1"/>
      <protection hidden="1"/>
    </xf>
    <xf numFmtId="0" fontId="8" fillId="0" borderId="7" xfId="0" applyFont="1" applyBorder="1" applyAlignment="1" applyProtection="1">
      <alignment horizontal="left" vertical="center" wrapText="1"/>
      <protection hidden="1"/>
    </xf>
    <xf numFmtId="14" fontId="12" fillId="3" borderId="6" xfId="0" applyNumberFormat="1" applyFont="1" applyFill="1" applyBorder="1" applyAlignment="1">
      <alignment horizontal="center" vertical="center" wrapText="1"/>
    </xf>
    <xf numFmtId="14" fontId="12" fillId="3" borderId="9" xfId="0" applyNumberFormat="1" applyFont="1" applyFill="1" applyBorder="1" applyAlignment="1">
      <alignment horizontal="center" vertical="center" wrapText="1"/>
    </xf>
  </cellXfs>
  <cellStyles count="2">
    <cellStyle name="Звичайний" xfId="0" builtinId="0"/>
    <cellStyle name="Фінансовий" xfId="1" builtinId="3"/>
  </cellStyles>
  <dxfs count="11"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1551711</xdr:colOff>
      <xdr:row>0</xdr:row>
      <xdr:rowOff>138548</xdr:rowOff>
    </xdr:from>
    <xdr:to>
      <xdr:col>6</xdr:col>
      <xdr:colOff>374071</xdr:colOff>
      <xdr:row>0</xdr:row>
      <xdr:rowOff>1454730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36987-B6F1-4C41-A7FA-F19C978A8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7566" y="138548"/>
          <a:ext cx="2563089" cy="1316182"/>
        </a:xfrm>
        <a:prstGeom prst="rect">
          <a:avLst/>
        </a:prstGeom>
      </xdr:spPr>
    </xdr:pic>
    <xdr:clientData/>
  </xdr:twoCellAnchor>
  <xdr:twoCellAnchor>
    <xdr:from>
      <xdr:col>2</xdr:col>
      <xdr:colOff>1385455</xdr:colOff>
      <xdr:row>1435</xdr:row>
      <xdr:rowOff>55418</xdr:rowOff>
    </xdr:from>
    <xdr:to>
      <xdr:col>2</xdr:col>
      <xdr:colOff>3935466</xdr:colOff>
      <xdr:row>1435</xdr:row>
      <xdr:rowOff>456131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6A55A679-5139-45A5-899F-68FB93479C0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4546" y="286207200"/>
          <a:ext cx="2550011" cy="400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BC86-76A5-4E76-B568-2528E534B3A6}">
  <dimension ref="A1:X1462"/>
  <sheetViews>
    <sheetView tabSelected="1" topLeftCell="D1" zoomScale="60" zoomScaleNormal="60" workbookViewId="0">
      <pane ySplit="2" topLeftCell="A3" activePane="bottomLeft" state="frozen"/>
      <selection pane="bottomLeft" activeCell="Q14" sqref="Q14"/>
    </sheetView>
  </sheetViews>
  <sheetFormatPr defaultRowHeight="15.6" x14ac:dyDescent="0.3"/>
  <cols>
    <col min="1" max="1" width="13.19921875" bestFit="1" customWidth="1"/>
    <col min="2" max="2" width="12.5" style="7" bestFit="1" customWidth="1"/>
    <col min="3" max="3" width="70.8984375" style="7" customWidth="1"/>
    <col min="4" max="4" width="26.5" style="7" customWidth="1"/>
    <col min="5" max="5" width="37.59765625" style="7" customWidth="1"/>
    <col min="6" max="7" width="11.5" style="7" customWidth="1"/>
    <col min="8" max="8" width="20.8984375" style="7" bestFit="1" customWidth="1"/>
    <col min="9" max="10" width="11.5" style="7" customWidth="1"/>
    <col min="11" max="11" width="21.59765625" style="7" customWidth="1"/>
    <col min="12" max="14" width="15.3984375" style="7" customWidth="1"/>
    <col min="15" max="15" width="11" style="14" customWidth="1"/>
    <col min="16" max="16" width="14.5" style="18" customWidth="1"/>
    <col min="17" max="17" width="18.59765625" style="7" bestFit="1" customWidth="1"/>
    <col min="18" max="18" width="12.296875" bestFit="1" customWidth="1"/>
    <col min="19" max="22" width="12.5" customWidth="1"/>
    <col min="23" max="23" width="5" customWidth="1"/>
    <col min="24" max="24" width="12.5" customWidth="1"/>
  </cols>
  <sheetData>
    <row r="1" spans="1:24" ht="123" customHeight="1" thickBot="1" x14ac:dyDescent="0.35">
      <c r="A1" s="55" t="s">
        <v>1066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  <c r="Q1" s="6">
        <v>46099</v>
      </c>
      <c r="S1" s="49" t="s">
        <v>3051</v>
      </c>
      <c r="T1" s="57" t="s">
        <v>3052</v>
      </c>
      <c r="U1" s="50" t="s">
        <v>3053</v>
      </c>
      <c r="V1" s="20" t="s">
        <v>3054</v>
      </c>
      <c r="X1" s="51" t="str">
        <f>IFERROR(IF(SUM(X3:X1433)=0, "-", Q2+V2), "-")</f>
        <v>-</v>
      </c>
    </row>
    <row r="2" spans="1:24" ht="51.6" customHeight="1" thickBot="1" x14ac:dyDescent="0.35">
      <c r="A2" s="30" t="s">
        <v>2810</v>
      </c>
      <c r="B2" s="31" t="s">
        <v>0</v>
      </c>
      <c r="C2" s="31" t="s">
        <v>1</v>
      </c>
      <c r="D2" s="32" t="s">
        <v>857</v>
      </c>
      <c r="E2" s="32" t="s">
        <v>858</v>
      </c>
      <c r="F2" s="33" t="s">
        <v>859</v>
      </c>
      <c r="G2" s="33" t="s">
        <v>860</v>
      </c>
      <c r="H2" s="33" t="s">
        <v>861</v>
      </c>
      <c r="I2" s="33" t="s">
        <v>862</v>
      </c>
      <c r="J2" s="33" t="s">
        <v>863</v>
      </c>
      <c r="K2" s="33" t="s">
        <v>864</v>
      </c>
      <c r="L2" s="33" t="s">
        <v>865</v>
      </c>
      <c r="M2" s="33" t="s">
        <v>3202</v>
      </c>
      <c r="N2" s="34" t="s">
        <v>910</v>
      </c>
      <c r="O2" s="35" t="s">
        <v>911</v>
      </c>
      <c r="P2" s="36" t="s">
        <v>912</v>
      </c>
      <c r="Q2" s="29">
        <f>SUM(P3:P1433)</f>
        <v>0</v>
      </c>
      <c r="S2" s="21"/>
      <c r="T2" s="58"/>
      <c r="U2" s="52" t="str">
        <f>IF(SUM(U3:U1433)=0, "-", SUM(U3:U1433))</f>
        <v>-</v>
      </c>
      <c r="V2" s="22" t="str">
        <f>IF(SUM(V3:V1433)=0, "-", SUM(V3:V1433))</f>
        <v>-</v>
      </c>
      <c r="W2" s="23"/>
      <c r="X2" s="53" t="s">
        <v>3055</v>
      </c>
    </row>
    <row r="3" spans="1:24" x14ac:dyDescent="0.3">
      <c r="A3" s="37">
        <v>87614014982</v>
      </c>
      <c r="B3" s="8" t="s">
        <v>1879</v>
      </c>
      <c r="C3" s="10" t="s">
        <v>3058</v>
      </c>
      <c r="D3" s="11" t="s">
        <v>890</v>
      </c>
      <c r="E3" s="11" t="s">
        <v>1002</v>
      </c>
      <c r="F3" s="9">
        <v>48</v>
      </c>
      <c r="G3" s="9">
        <v>192</v>
      </c>
      <c r="H3" s="9" t="s">
        <v>868</v>
      </c>
      <c r="I3" s="9">
        <v>36</v>
      </c>
      <c r="J3" s="9">
        <v>60</v>
      </c>
      <c r="K3" s="9" t="s">
        <v>2903</v>
      </c>
      <c r="L3" s="27">
        <v>3.1780000000000003E-2</v>
      </c>
      <c r="M3" s="28" t="s">
        <v>3204</v>
      </c>
      <c r="N3" s="17">
        <v>1.3524</v>
      </c>
      <c r="O3" s="1"/>
      <c r="P3" s="38">
        <f t="shared" ref="P3:P66" si="0">O3*N3</f>
        <v>0</v>
      </c>
      <c r="Q3" s="54"/>
      <c r="S3" s="24" t="str">
        <f>IFERROR(IF(S$2*L3=0, "-", $S$2*L3), "-")</f>
        <v>-</v>
      </c>
      <c r="T3" s="24" t="str">
        <f t="shared" ref="T3:T66" si="1">IF(O3&gt;0,N3+L3*O3/$U$2*$V$2/O3,"-")</f>
        <v>-</v>
      </c>
      <c r="U3" s="25" t="str">
        <f>IF(O3&gt;0,O3*L3, "-")</f>
        <v>-</v>
      </c>
      <c r="V3" s="26" t="str">
        <f t="shared" ref="V3" si="2">IFERROR(IF($S$2&gt;0, $S$2*U3, "-"), "-")</f>
        <v>-</v>
      </c>
      <c r="X3" s="26" t="str">
        <f t="shared" ref="X3:X66" si="3">IFERROR(IF(V3+P3=0, "-", IF(V3&gt;0, V3+P3, "-")), "-")</f>
        <v>-</v>
      </c>
    </row>
    <row r="4" spans="1:24" x14ac:dyDescent="0.3">
      <c r="A4" s="37">
        <v>87614112435</v>
      </c>
      <c r="B4" s="8" t="s">
        <v>122</v>
      </c>
      <c r="C4" s="10" t="s">
        <v>2959</v>
      </c>
      <c r="D4" s="11" t="s">
        <v>881</v>
      </c>
      <c r="E4" s="11" t="s">
        <v>939</v>
      </c>
      <c r="F4" s="9">
        <v>30</v>
      </c>
      <c r="G4" s="9">
        <v>90</v>
      </c>
      <c r="H4" s="9" t="s">
        <v>868</v>
      </c>
      <c r="I4" s="9">
        <v>36</v>
      </c>
      <c r="J4" s="9">
        <v>30</v>
      </c>
      <c r="K4" s="9" t="s">
        <v>2903</v>
      </c>
      <c r="L4" s="27">
        <v>5.5615000000000005E-2</v>
      </c>
      <c r="M4" s="28" t="s">
        <v>3204</v>
      </c>
      <c r="N4" s="17">
        <v>1.4112</v>
      </c>
      <c r="O4" s="1"/>
      <c r="P4" s="38">
        <f t="shared" si="0"/>
        <v>0</v>
      </c>
      <c r="S4" s="24" t="str">
        <f t="shared" ref="S4:S67" si="4">IFERROR(IF(S$2*L4=0, "-", $S$2*L4), "-")</f>
        <v>-</v>
      </c>
      <c r="T4" s="24" t="str">
        <f t="shared" si="1"/>
        <v>-</v>
      </c>
      <c r="U4" s="25" t="str">
        <f t="shared" ref="U4:U67" si="5">IF(O4&gt;0,O4*L4, "-")</f>
        <v>-</v>
      </c>
      <c r="V4" s="26" t="str">
        <f t="shared" ref="V4:V67" si="6">IFERROR(IF($S$2&gt;0, $S$2*U4, "-"), "-")</f>
        <v>-</v>
      </c>
      <c r="X4" s="26" t="str">
        <f t="shared" si="3"/>
        <v>-</v>
      </c>
    </row>
    <row r="5" spans="1:24" x14ac:dyDescent="0.3">
      <c r="A5" s="37">
        <v>87614023052</v>
      </c>
      <c r="B5" s="8" t="s">
        <v>1286</v>
      </c>
      <c r="C5" s="10" t="s">
        <v>3033</v>
      </c>
      <c r="D5" s="11" t="s">
        <v>890</v>
      </c>
      <c r="E5" s="11" t="s">
        <v>1002</v>
      </c>
      <c r="F5" s="9">
        <v>30</v>
      </c>
      <c r="G5" s="9">
        <v>90</v>
      </c>
      <c r="H5" s="9" t="s">
        <v>868</v>
      </c>
      <c r="I5" s="9">
        <v>36</v>
      </c>
      <c r="J5" s="9">
        <v>60</v>
      </c>
      <c r="K5" s="9" t="s">
        <v>2903</v>
      </c>
      <c r="L5" s="27">
        <v>4.5400000000000003E-2</v>
      </c>
      <c r="M5" s="28" t="s">
        <v>3204</v>
      </c>
      <c r="N5" s="17">
        <v>1.6610999999999998</v>
      </c>
      <c r="O5" s="1"/>
      <c r="P5" s="38">
        <f t="shared" si="0"/>
        <v>0</v>
      </c>
      <c r="S5" s="24" t="str">
        <f t="shared" si="4"/>
        <v>-</v>
      </c>
      <c r="T5" s="24" t="str">
        <f t="shared" si="1"/>
        <v>-</v>
      </c>
      <c r="U5" s="25" t="str">
        <f t="shared" si="5"/>
        <v>-</v>
      </c>
      <c r="V5" s="26" t="str">
        <f t="shared" si="6"/>
        <v>-</v>
      </c>
      <c r="X5" s="26" t="str">
        <f t="shared" si="3"/>
        <v>-</v>
      </c>
    </row>
    <row r="6" spans="1:24" x14ac:dyDescent="0.3">
      <c r="A6" s="37">
        <v>87614019222</v>
      </c>
      <c r="B6" s="8" t="s">
        <v>417</v>
      </c>
      <c r="C6" s="10" t="s">
        <v>3059</v>
      </c>
      <c r="D6" s="11" t="s">
        <v>874</v>
      </c>
      <c r="E6" s="11" t="s">
        <v>919</v>
      </c>
      <c r="F6" s="9">
        <v>30</v>
      </c>
      <c r="G6" s="9">
        <v>90</v>
      </c>
      <c r="H6" s="9" t="s">
        <v>868</v>
      </c>
      <c r="I6" s="9">
        <v>36</v>
      </c>
      <c r="J6" s="9">
        <v>100</v>
      </c>
      <c r="K6" s="9" t="s">
        <v>2903</v>
      </c>
      <c r="L6" s="27">
        <v>7.1504999999999999E-2</v>
      </c>
      <c r="M6" s="28" t="s">
        <v>3204</v>
      </c>
      <c r="N6" s="17">
        <v>2.1461999999999999</v>
      </c>
      <c r="O6" s="1"/>
      <c r="P6" s="38">
        <f t="shared" si="0"/>
        <v>0</v>
      </c>
      <c r="S6" s="24" t="str">
        <f t="shared" si="4"/>
        <v>-</v>
      </c>
      <c r="T6" s="24" t="str">
        <f t="shared" si="1"/>
        <v>-</v>
      </c>
      <c r="U6" s="25" t="str">
        <f t="shared" si="5"/>
        <v>-</v>
      </c>
      <c r="V6" s="26" t="str">
        <f t="shared" si="6"/>
        <v>-</v>
      </c>
      <c r="X6" s="26" t="str">
        <f t="shared" si="3"/>
        <v>-</v>
      </c>
    </row>
    <row r="7" spans="1:24" x14ac:dyDescent="0.3">
      <c r="A7" s="37">
        <v>87614210285</v>
      </c>
      <c r="B7" s="8" t="s">
        <v>653</v>
      </c>
      <c r="C7" s="10" t="s">
        <v>3024</v>
      </c>
      <c r="D7" s="11" t="s">
        <v>870</v>
      </c>
      <c r="E7" s="11" t="s">
        <v>1031</v>
      </c>
      <c r="F7" s="9">
        <v>48</v>
      </c>
      <c r="G7" s="9">
        <v>192</v>
      </c>
      <c r="H7" s="9" t="s">
        <v>868</v>
      </c>
      <c r="I7" s="9">
        <v>36</v>
      </c>
      <c r="J7" s="9">
        <v>60</v>
      </c>
      <c r="K7" s="9" t="s">
        <v>2903</v>
      </c>
      <c r="L7" s="27">
        <v>3.1780000000000003E-2</v>
      </c>
      <c r="M7" s="28" t="s">
        <v>3204</v>
      </c>
      <c r="N7" s="17">
        <v>2.2932000000000001</v>
      </c>
      <c r="O7" s="1"/>
      <c r="P7" s="38">
        <f t="shared" si="0"/>
        <v>0</v>
      </c>
      <c r="S7" s="24" t="str">
        <f t="shared" si="4"/>
        <v>-</v>
      </c>
      <c r="T7" s="24" t="str">
        <f t="shared" si="1"/>
        <v>-</v>
      </c>
      <c r="U7" s="25" t="str">
        <f t="shared" si="5"/>
        <v>-</v>
      </c>
      <c r="V7" s="26" t="str">
        <f t="shared" si="6"/>
        <v>-</v>
      </c>
      <c r="X7" s="26" t="str">
        <f t="shared" si="3"/>
        <v>-</v>
      </c>
    </row>
    <row r="8" spans="1:24" x14ac:dyDescent="0.3">
      <c r="A8" s="37">
        <v>87614020679</v>
      </c>
      <c r="B8" s="8" t="s">
        <v>631</v>
      </c>
      <c r="C8" s="10" t="s">
        <v>3021</v>
      </c>
      <c r="D8" s="11" t="s">
        <v>874</v>
      </c>
      <c r="E8" s="11" t="s">
        <v>914</v>
      </c>
      <c r="F8" s="9">
        <v>30</v>
      </c>
      <c r="G8" s="9">
        <v>90</v>
      </c>
      <c r="H8" s="9" t="s">
        <v>868</v>
      </c>
      <c r="I8" s="9">
        <v>36</v>
      </c>
      <c r="J8" s="9">
        <v>90</v>
      </c>
      <c r="K8" s="9" t="s">
        <v>2903</v>
      </c>
      <c r="L8" s="27">
        <v>5.1074999999999995E-2</v>
      </c>
      <c r="M8" s="28" t="s">
        <v>3204</v>
      </c>
      <c r="N8" s="17">
        <v>2.4418169999999999</v>
      </c>
      <c r="O8" s="1"/>
      <c r="P8" s="38">
        <f t="shared" si="0"/>
        <v>0</v>
      </c>
      <c r="S8" s="24" t="str">
        <f t="shared" si="4"/>
        <v>-</v>
      </c>
      <c r="T8" s="24" t="str">
        <f t="shared" si="1"/>
        <v>-</v>
      </c>
      <c r="U8" s="25" t="str">
        <f t="shared" si="5"/>
        <v>-</v>
      </c>
      <c r="V8" s="26" t="str">
        <f t="shared" si="6"/>
        <v>-</v>
      </c>
      <c r="X8" s="26" t="str">
        <f t="shared" si="3"/>
        <v>-</v>
      </c>
    </row>
    <row r="9" spans="1:24" x14ac:dyDescent="0.3">
      <c r="A9" s="37">
        <v>87614015026</v>
      </c>
      <c r="B9" s="8" t="s">
        <v>1880</v>
      </c>
      <c r="C9" s="10" t="s">
        <v>3060</v>
      </c>
      <c r="D9" s="11" t="s">
        <v>890</v>
      </c>
      <c r="E9" s="11" t="s">
        <v>1002</v>
      </c>
      <c r="F9" s="9">
        <v>30</v>
      </c>
      <c r="G9" s="9">
        <v>90</v>
      </c>
      <c r="H9" s="9" t="s">
        <v>868</v>
      </c>
      <c r="I9" s="9">
        <v>36</v>
      </c>
      <c r="J9" s="9">
        <v>120</v>
      </c>
      <c r="K9" s="9" t="s">
        <v>2903</v>
      </c>
      <c r="L9" s="27">
        <v>5.2209999999999999E-2</v>
      </c>
      <c r="M9" s="28" t="s">
        <v>3204</v>
      </c>
      <c r="N9" s="17">
        <v>2.4255</v>
      </c>
      <c r="O9" s="1"/>
      <c r="P9" s="38">
        <f t="shared" si="0"/>
        <v>0</v>
      </c>
      <c r="S9" s="24" t="str">
        <f t="shared" si="4"/>
        <v>-</v>
      </c>
      <c r="T9" s="24" t="str">
        <f t="shared" si="1"/>
        <v>-</v>
      </c>
      <c r="U9" s="25" t="str">
        <f t="shared" si="5"/>
        <v>-</v>
      </c>
      <c r="V9" s="26" t="str">
        <f t="shared" si="6"/>
        <v>-</v>
      </c>
      <c r="X9" s="26" t="str">
        <f t="shared" si="3"/>
        <v>-</v>
      </c>
    </row>
    <row r="10" spans="1:24" x14ac:dyDescent="0.3">
      <c r="A10" s="37">
        <v>87614113746</v>
      </c>
      <c r="B10" s="8" t="s">
        <v>174</v>
      </c>
      <c r="C10" s="10" t="s">
        <v>175</v>
      </c>
      <c r="D10" s="11" t="s">
        <v>882</v>
      </c>
      <c r="E10" s="11" t="s">
        <v>948</v>
      </c>
      <c r="F10" s="9">
        <v>30</v>
      </c>
      <c r="G10" s="9">
        <v>90</v>
      </c>
      <c r="H10" s="9" t="s">
        <v>868</v>
      </c>
      <c r="I10" s="9">
        <v>36</v>
      </c>
      <c r="J10" s="9">
        <v>60</v>
      </c>
      <c r="K10" s="9" t="s">
        <v>873</v>
      </c>
      <c r="L10" s="27">
        <v>5.1074999999999995E-2</v>
      </c>
      <c r="M10" s="28" t="s">
        <v>3204</v>
      </c>
      <c r="N10" s="17">
        <v>2.8664999999999998</v>
      </c>
      <c r="O10" s="1"/>
      <c r="P10" s="38">
        <f t="shared" si="0"/>
        <v>0</v>
      </c>
      <c r="S10" s="24" t="str">
        <f t="shared" si="4"/>
        <v>-</v>
      </c>
      <c r="T10" s="24" t="str">
        <f t="shared" si="1"/>
        <v>-</v>
      </c>
      <c r="U10" s="25" t="str">
        <f t="shared" si="5"/>
        <v>-</v>
      </c>
      <c r="V10" s="26" t="str">
        <f t="shared" si="6"/>
        <v>-</v>
      </c>
      <c r="X10" s="26" t="str">
        <f t="shared" si="3"/>
        <v>-</v>
      </c>
    </row>
    <row r="11" spans="1:24" x14ac:dyDescent="0.3">
      <c r="A11" s="37">
        <v>87614011011</v>
      </c>
      <c r="B11" s="8" t="s">
        <v>40</v>
      </c>
      <c r="C11" s="10" t="s">
        <v>2942</v>
      </c>
      <c r="D11" s="11" t="s">
        <v>882</v>
      </c>
      <c r="E11" s="11" t="s">
        <v>920</v>
      </c>
      <c r="F11" s="9">
        <v>30</v>
      </c>
      <c r="G11" s="9">
        <v>90</v>
      </c>
      <c r="H11" s="9" t="s">
        <v>868</v>
      </c>
      <c r="I11" s="9">
        <v>36</v>
      </c>
      <c r="J11" s="9">
        <v>100</v>
      </c>
      <c r="K11" s="9" t="s">
        <v>2903</v>
      </c>
      <c r="L11" s="27">
        <v>0.116905</v>
      </c>
      <c r="M11" s="28" t="s">
        <v>3204</v>
      </c>
      <c r="N11" s="17">
        <v>3.2046000000000001</v>
      </c>
      <c r="O11" s="1"/>
      <c r="P11" s="38">
        <f t="shared" si="0"/>
        <v>0</v>
      </c>
      <c r="S11" s="24" t="str">
        <f t="shared" si="4"/>
        <v>-</v>
      </c>
      <c r="T11" s="24" t="str">
        <f t="shared" si="1"/>
        <v>-</v>
      </c>
      <c r="U11" s="25" t="str">
        <f t="shared" si="5"/>
        <v>-</v>
      </c>
      <c r="V11" s="26" t="str">
        <f t="shared" si="6"/>
        <v>-</v>
      </c>
      <c r="X11" s="26" t="str">
        <f t="shared" si="3"/>
        <v>-</v>
      </c>
    </row>
    <row r="12" spans="1:24" x14ac:dyDescent="0.3">
      <c r="A12" s="37">
        <v>87614114385</v>
      </c>
      <c r="B12" s="8" t="s">
        <v>205</v>
      </c>
      <c r="C12" s="10" t="s">
        <v>2681</v>
      </c>
      <c r="D12" s="11" t="s">
        <v>866</v>
      </c>
      <c r="E12" s="11" t="s">
        <v>974</v>
      </c>
      <c r="F12" s="9">
        <v>30</v>
      </c>
      <c r="G12" s="9">
        <v>90</v>
      </c>
      <c r="H12" s="9" t="s">
        <v>868</v>
      </c>
      <c r="I12" s="9">
        <v>36</v>
      </c>
      <c r="J12" s="9">
        <v>60</v>
      </c>
      <c r="K12" s="9" t="s">
        <v>869</v>
      </c>
      <c r="L12" s="27">
        <v>6.583E-2</v>
      </c>
      <c r="M12" s="28" t="s">
        <v>3204</v>
      </c>
      <c r="N12" s="17">
        <v>3.6162000000000001</v>
      </c>
      <c r="O12" s="1"/>
      <c r="P12" s="38">
        <f t="shared" si="0"/>
        <v>0</v>
      </c>
      <c r="S12" s="24" t="str">
        <f t="shared" si="4"/>
        <v>-</v>
      </c>
      <c r="T12" s="24" t="str">
        <f t="shared" si="1"/>
        <v>-</v>
      </c>
      <c r="U12" s="25" t="str">
        <f t="shared" si="5"/>
        <v>-</v>
      </c>
      <c r="V12" s="26" t="str">
        <f t="shared" si="6"/>
        <v>-</v>
      </c>
      <c r="X12" s="26" t="str">
        <f t="shared" si="3"/>
        <v>-</v>
      </c>
    </row>
    <row r="13" spans="1:24" x14ac:dyDescent="0.3">
      <c r="A13" s="37">
        <v>87614010212</v>
      </c>
      <c r="B13" s="8" t="s">
        <v>16</v>
      </c>
      <c r="C13" s="10" t="s">
        <v>2935</v>
      </c>
      <c r="D13" s="11" t="s">
        <v>874</v>
      </c>
      <c r="E13" s="11" t="s">
        <v>914</v>
      </c>
      <c r="F13" s="9">
        <v>30</v>
      </c>
      <c r="G13" s="9">
        <v>90</v>
      </c>
      <c r="H13" s="9" t="s">
        <v>868</v>
      </c>
      <c r="I13" s="9">
        <v>36</v>
      </c>
      <c r="J13" s="9">
        <v>100</v>
      </c>
      <c r="K13" s="9" t="s">
        <v>2903</v>
      </c>
      <c r="L13" s="27">
        <v>8.1720000000000001E-2</v>
      </c>
      <c r="M13" s="28" t="s">
        <v>3204</v>
      </c>
      <c r="N13" s="17">
        <v>3.4985999999999997</v>
      </c>
      <c r="O13" s="1"/>
      <c r="P13" s="38">
        <f t="shared" si="0"/>
        <v>0</v>
      </c>
      <c r="S13" s="24" t="str">
        <f t="shared" si="4"/>
        <v>-</v>
      </c>
      <c r="T13" s="24" t="str">
        <f t="shared" si="1"/>
        <v>-</v>
      </c>
      <c r="U13" s="25" t="str">
        <f t="shared" si="5"/>
        <v>-</v>
      </c>
      <c r="V13" s="26" t="str">
        <f t="shared" si="6"/>
        <v>-</v>
      </c>
      <c r="X13" s="26" t="str">
        <f t="shared" si="3"/>
        <v>-</v>
      </c>
    </row>
    <row r="14" spans="1:24" x14ac:dyDescent="0.3">
      <c r="A14" s="37">
        <v>87614020655</v>
      </c>
      <c r="B14" s="8" t="s">
        <v>630</v>
      </c>
      <c r="C14" s="10" t="s">
        <v>3020</v>
      </c>
      <c r="D14" s="11" t="s">
        <v>882</v>
      </c>
      <c r="E14" s="11" t="s">
        <v>948</v>
      </c>
      <c r="F14" s="9">
        <v>48</v>
      </c>
      <c r="G14" s="9">
        <v>192</v>
      </c>
      <c r="H14" s="9" t="s">
        <v>868</v>
      </c>
      <c r="I14" s="9">
        <v>36</v>
      </c>
      <c r="J14" s="9">
        <v>90</v>
      </c>
      <c r="K14" s="9" t="s">
        <v>2903</v>
      </c>
      <c r="L14" s="27">
        <v>4.9939999999999998E-2</v>
      </c>
      <c r="M14" s="28" t="s">
        <v>3204</v>
      </c>
      <c r="N14" s="17">
        <v>4.1859719999999996</v>
      </c>
      <c r="O14" s="1"/>
      <c r="P14" s="38">
        <f t="shared" si="0"/>
        <v>0</v>
      </c>
      <c r="S14" s="24" t="str">
        <f t="shared" si="4"/>
        <v>-</v>
      </c>
      <c r="T14" s="24" t="str">
        <f t="shared" si="1"/>
        <v>-</v>
      </c>
      <c r="U14" s="25" t="str">
        <f t="shared" si="5"/>
        <v>-</v>
      </c>
      <c r="V14" s="26" t="str">
        <f t="shared" si="6"/>
        <v>-</v>
      </c>
      <c r="X14" s="26" t="str">
        <f t="shared" si="3"/>
        <v>-</v>
      </c>
    </row>
    <row r="15" spans="1:24" x14ac:dyDescent="0.3">
      <c r="A15" s="37">
        <v>87614018522</v>
      </c>
      <c r="B15" s="8" t="s">
        <v>388</v>
      </c>
      <c r="C15" s="10" t="s">
        <v>389</v>
      </c>
      <c r="D15" s="11" t="s">
        <v>874</v>
      </c>
      <c r="E15" s="11" t="s">
        <v>925</v>
      </c>
      <c r="F15" s="9">
        <v>30</v>
      </c>
      <c r="G15" s="9">
        <v>90</v>
      </c>
      <c r="H15" s="9" t="s">
        <v>868</v>
      </c>
      <c r="I15" s="9">
        <v>26</v>
      </c>
      <c r="J15" s="9">
        <v>100</v>
      </c>
      <c r="K15" s="9" t="s">
        <v>873</v>
      </c>
      <c r="L15" s="27">
        <v>0.103285</v>
      </c>
      <c r="M15" s="28" t="s">
        <v>3204</v>
      </c>
      <c r="N15" s="17">
        <v>4.3217999999999996</v>
      </c>
      <c r="O15" s="1"/>
      <c r="P15" s="38">
        <f t="shared" si="0"/>
        <v>0</v>
      </c>
      <c r="S15" s="24" t="str">
        <f t="shared" si="4"/>
        <v>-</v>
      </c>
      <c r="T15" s="24" t="str">
        <f t="shared" si="1"/>
        <v>-</v>
      </c>
      <c r="U15" s="25" t="str">
        <f t="shared" si="5"/>
        <v>-</v>
      </c>
      <c r="V15" s="26" t="str">
        <f t="shared" si="6"/>
        <v>-</v>
      </c>
      <c r="X15" s="26" t="str">
        <f t="shared" si="3"/>
        <v>-</v>
      </c>
    </row>
    <row r="16" spans="1:24" x14ac:dyDescent="0.3">
      <c r="A16" s="37">
        <v>87614023953</v>
      </c>
      <c r="B16" s="8" t="s">
        <v>732</v>
      </c>
      <c r="C16" s="10" t="s">
        <v>3073</v>
      </c>
      <c r="D16" s="11" t="s">
        <v>874</v>
      </c>
      <c r="E16" s="11" t="s">
        <v>914</v>
      </c>
      <c r="F16" s="9">
        <v>30</v>
      </c>
      <c r="G16" s="9">
        <v>90</v>
      </c>
      <c r="H16" s="9" t="s">
        <v>868</v>
      </c>
      <c r="I16" s="9">
        <v>36</v>
      </c>
      <c r="J16" s="9">
        <v>120</v>
      </c>
      <c r="K16" s="9" t="s">
        <v>2903</v>
      </c>
      <c r="L16" s="27">
        <v>0.17024999999999998</v>
      </c>
      <c r="M16" s="28" t="s">
        <v>3204</v>
      </c>
      <c r="N16" s="17">
        <v>4.7673569999999996</v>
      </c>
      <c r="O16" s="1"/>
      <c r="P16" s="38">
        <f t="shared" si="0"/>
        <v>0</v>
      </c>
      <c r="S16" s="24" t="str">
        <f t="shared" si="4"/>
        <v>-</v>
      </c>
      <c r="T16" s="24" t="str">
        <f t="shared" si="1"/>
        <v>-</v>
      </c>
      <c r="U16" s="25" t="str">
        <f t="shared" si="5"/>
        <v>-</v>
      </c>
      <c r="V16" s="26" t="str">
        <f t="shared" si="6"/>
        <v>-</v>
      </c>
      <c r="X16" s="26" t="str">
        <f t="shared" si="3"/>
        <v>-</v>
      </c>
    </row>
    <row r="17" spans="1:24" x14ac:dyDescent="0.3">
      <c r="A17" s="37">
        <v>87614112107</v>
      </c>
      <c r="B17" s="8" t="s">
        <v>106</v>
      </c>
      <c r="C17" s="10" t="s">
        <v>107</v>
      </c>
      <c r="D17" s="11" t="s">
        <v>870</v>
      </c>
      <c r="E17" s="11" t="s">
        <v>871</v>
      </c>
      <c r="F17" s="9">
        <v>30</v>
      </c>
      <c r="G17" s="9">
        <v>90</v>
      </c>
      <c r="H17" s="9" t="s">
        <v>868</v>
      </c>
      <c r="I17" s="9">
        <v>24</v>
      </c>
      <c r="J17" s="9">
        <v>250</v>
      </c>
      <c r="K17" s="9" t="s">
        <v>873</v>
      </c>
      <c r="L17" s="27">
        <v>0.105555</v>
      </c>
      <c r="M17" s="28" t="s">
        <v>3204</v>
      </c>
      <c r="N17" s="17">
        <v>4.8338010000000002</v>
      </c>
      <c r="O17" s="1"/>
      <c r="P17" s="38">
        <f t="shared" si="0"/>
        <v>0</v>
      </c>
      <c r="S17" s="24" t="str">
        <f t="shared" si="4"/>
        <v>-</v>
      </c>
      <c r="T17" s="24" t="str">
        <f t="shared" si="1"/>
        <v>-</v>
      </c>
      <c r="U17" s="25" t="str">
        <f t="shared" si="5"/>
        <v>-</v>
      </c>
      <c r="V17" s="26" t="str">
        <f t="shared" si="6"/>
        <v>-</v>
      </c>
      <c r="X17" s="26" t="str">
        <f t="shared" si="3"/>
        <v>-</v>
      </c>
    </row>
    <row r="18" spans="1:24" x14ac:dyDescent="0.3">
      <c r="A18" s="37">
        <v>87614110165</v>
      </c>
      <c r="B18" s="8" t="s">
        <v>41</v>
      </c>
      <c r="C18" s="10" t="s">
        <v>3076</v>
      </c>
      <c r="D18" s="11" t="s">
        <v>882</v>
      </c>
      <c r="E18" s="11" t="s">
        <v>927</v>
      </c>
      <c r="F18" s="9">
        <v>30</v>
      </c>
      <c r="G18" s="9">
        <v>90</v>
      </c>
      <c r="H18" s="9" t="s">
        <v>868</v>
      </c>
      <c r="I18" s="9">
        <v>36</v>
      </c>
      <c r="J18" s="9">
        <v>120</v>
      </c>
      <c r="K18" s="9" t="s">
        <v>2907</v>
      </c>
      <c r="L18" s="27">
        <v>5.5615000000000005E-2</v>
      </c>
      <c r="M18" s="28" t="s">
        <v>3204</v>
      </c>
      <c r="N18" s="17">
        <v>5.5419</v>
      </c>
      <c r="O18" s="1"/>
      <c r="P18" s="38">
        <f t="shared" si="0"/>
        <v>0</v>
      </c>
      <c r="S18" s="24" t="str">
        <f t="shared" si="4"/>
        <v>-</v>
      </c>
      <c r="T18" s="24" t="str">
        <f t="shared" si="1"/>
        <v>-</v>
      </c>
      <c r="U18" s="25" t="str">
        <f t="shared" si="5"/>
        <v>-</v>
      </c>
      <c r="V18" s="26" t="str">
        <f t="shared" si="6"/>
        <v>-</v>
      </c>
      <c r="X18" s="26" t="str">
        <f t="shared" si="3"/>
        <v>-</v>
      </c>
    </row>
    <row r="19" spans="1:24" x14ac:dyDescent="0.3">
      <c r="A19" s="37">
        <v>87614112589</v>
      </c>
      <c r="B19" s="8" t="s">
        <v>129</v>
      </c>
      <c r="C19" s="10" t="s">
        <v>130</v>
      </c>
      <c r="D19" s="11" t="s">
        <v>875</v>
      </c>
      <c r="E19" s="11" t="s">
        <v>935</v>
      </c>
      <c r="F19" s="9">
        <v>30</v>
      </c>
      <c r="G19" s="9">
        <v>90</v>
      </c>
      <c r="H19" s="9" t="s">
        <v>868</v>
      </c>
      <c r="I19" s="9">
        <v>36</v>
      </c>
      <c r="J19" s="9">
        <v>60</v>
      </c>
      <c r="K19" s="9" t="s">
        <v>873</v>
      </c>
      <c r="L19" s="27">
        <v>7.7180000000000012E-2</v>
      </c>
      <c r="M19" s="28" t="s">
        <v>3204</v>
      </c>
      <c r="N19" s="17">
        <v>5.8359000000000005</v>
      </c>
      <c r="O19" s="1"/>
      <c r="P19" s="38">
        <f t="shared" si="0"/>
        <v>0</v>
      </c>
      <c r="S19" s="24" t="str">
        <f t="shared" si="4"/>
        <v>-</v>
      </c>
      <c r="T19" s="24" t="str">
        <f t="shared" si="1"/>
        <v>-</v>
      </c>
      <c r="U19" s="25" t="str">
        <f t="shared" si="5"/>
        <v>-</v>
      </c>
      <c r="V19" s="26" t="str">
        <f t="shared" si="6"/>
        <v>-</v>
      </c>
      <c r="X19" s="26" t="str">
        <f t="shared" si="3"/>
        <v>-</v>
      </c>
    </row>
    <row r="20" spans="1:24" x14ac:dyDescent="0.3">
      <c r="A20" s="37">
        <v>87614025346</v>
      </c>
      <c r="B20" s="8" t="s">
        <v>764</v>
      </c>
      <c r="C20" s="10" t="s">
        <v>3079</v>
      </c>
      <c r="D20" s="11" t="s">
        <v>879</v>
      </c>
      <c r="E20" s="11" t="s">
        <v>1018</v>
      </c>
      <c r="F20" s="9">
        <v>30</v>
      </c>
      <c r="G20" s="9">
        <v>90</v>
      </c>
      <c r="H20" s="9" t="s">
        <v>868</v>
      </c>
      <c r="I20" s="9">
        <v>24</v>
      </c>
      <c r="J20" s="9">
        <v>60</v>
      </c>
      <c r="K20" s="9" t="s">
        <v>2903</v>
      </c>
      <c r="L20" s="27">
        <v>4.5400000000000003E-2</v>
      </c>
      <c r="M20" s="28" t="s">
        <v>3204</v>
      </c>
      <c r="N20" s="17">
        <v>7.2324000000000002</v>
      </c>
      <c r="O20" s="1"/>
      <c r="P20" s="38">
        <f t="shared" si="0"/>
        <v>0</v>
      </c>
      <c r="S20" s="24" t="str">
        <f t="shared" si="4"/>
        <v>-</v>
      </c>
      <c r="T20" s="24" t="str">
        <f t="shared" si="1"/>
        <v>-</v>
      </c>
      <c r="U20" s="25" t="str">
        <f t="shared" si="5"/>
        <v>-</v>
      </c>
      <c r="V20" s="26" t="str">
        <f t="shared" si="6"/>
        <v>-</v>
      </c>
      <c r="X20" s="26" t="str">
        <f t="shared" si="3"/>
        <v>-</v>
      </c>
    </row>
    <row r="21" spans="1:24" x14ac:dyDescent="0.3">
      <c r="A21" s="37">
        <v>87614029863</v>
      </c>
      <c r="B21" s="8" t="s">
        <v>852</v>
      </c>
      <c r="C21" s="10" t="s">
        <v>853</v>
      </c>
      <c r="D21" s="11" t="s">
        <v>902</v>
      </c>
      <c r="E21" s="11" t="s">
        <v>1023</v>
      </c>
      <c r="F21" s="9">
        <v>48</v>
      </c>
      <c r="G21" s="9">
        <v>192</v>
      </c>
      <c r="H21" s="9" t="s">
        <v>868</v>
      </c>
      <c r="I21" s="9">
        <v>24</v>
      </c>
      <c r="J21" s="9">
        <v>60</v>
      </c>
      <c r="K21" s="9" t="s">
        <v>869</v>
      </c>
      <c r="L21" s="27">
        <v>5.2209999999999999E-2</v>
      </c>
      <c r="M21" s="28" t="s">
        <v>3204</v>
      </c>
      <c r="N21" s="17">
        <v>7.9898909999999992</v>
      </c>
      <c r="O21" s="1"/>
      <c r="P21" s="38">
        <f t="shared" si="0"/>
        <v>0</v>
      </c>
      <c r="S21" s="24" t="str">
        <f t="shared" si="4"/>
        <v>-</v>
      </c>
      <c r="T21" s="24" t="str">
        <f t="shared" si="1"/>
        <v>-</v>
      </c>
      <c r="U21" s="25" t="str">
        <f t="shared" si="5"/>
        <v>-</v>
      </c>
      <c r="V21" s="26" t="str">
        <f t="shared" si="6"/>
        <v>-</v>
      </c>
      <c r="X21" s="26" t="str">
        <f t="shared" si="3"/>
        <v>-</v>
      </c>
    </row>
    <row r="22" spans="1:24" x14ac:dyDescent="0.3">
      <c r="A22" s="37">
        <v>87614022611</v>
      </c>
      <c r="B22" s="8" t="s">
        <v>1285</v>
      </c>
      <c r="C22" s="10" t="s">
        <v>3080</v>
      </c>
      <c r="D22" s="11" t="s">
        <v>886</v>
      </c>
      <c r="E22" s="11" t="s">
        <v>2813</v>
      </c>
      <c r="F22" s="9">
        <v>48</v>
      </c>
      <c r="G22" s="9">
        <v>192</v>
      </c>
      <c r="H22" s="9" t="s">
        <v>868</v>
      </c>
      <c r="I22" s="9">
        <v>24</v>
      </c>
      <c r="J22" s="9">
        <v>120</v>
      </c>
      <c r="K22" s="9" t="s">
        <v>2903</v>
      </c>
      <c r="L22" s="27">
        <v>4.3130000000000002E-2</v>
      </c>
      <c r="M22" s="28" t="s">
        <v>3204</v>
      </c>
      <c r="N22" s="17">
        <v>10.922099999999999</v>
      </c>
      <c r="O22" s="1"/>
      <c r="P22" s="38">
        <f t="shared" si="0"/>
        <v>0</v>
      </c>
      <c r="S22" s="24" t="str">
        <f t="shared" si="4"/>
        <v>-</v>
      </c>
      <c r="T22" s="24" t="str">
        <f t="shared" si="1"/>
        <v>-</v>
      </c>
      <c r="U22" s="25" t="str">
        <f t="shared" si="5"/>
        <v>-</v>
      </c>
      <c r="V22" s="26" t="str">
        <f t="shared" si="6"/>
        <v>-</v>
      </c>
      <c r="X22" s="26" t="str">
        <f t="shared" si="3"/>
        <v>-</v>
      </c>
    </row>
    <row r="23" spans="1:24" x14ac:dyDescent="0.3">
      <c r="A23" s="37">
        <v>87614010304</v>
      </c>
      <c r="B23" s="8" t="s">
        <v>17</v>
      </c>
      <c r="C23" s="10" t="s">
        <v>2937</v>
      </c>
      <c r="D23" s="11" t="s">
        <v>872</v>
      </c>
      <c r="E23" s="11" t="s">
        <v>915</v>
      </c>
      <c r="F23" s="9">
        <v>30</v>
      </c>
      <c r="G23" s="9">
        <v>90</v>
      </c>
      <c r="H23" s="9" t="s">
        <v>868</v>
      </c>
      <c r="I23" s="9">
        <v>36</v>
      </c>
      <c r="J23" s="9">
        <v>100</v>
      </c>
      <c r="K23" s="9" t="s">
        <v>2903</v>
      </c>
      <c r="L23" s="27">
        <v>5.4480000000000001E-2</v>
      </c>
      <c r="M23" s="28" t="s">
        <v>3204</v>
      </c>
      <c r="N23" s="17">
        <v>2.8404809999999996</v>
      </c>
      <c r="O23" s="1"/>
      <c r="P23" s="38">
        <f t="shared" si="0"/>
        <v>0</v>
      </c>
      <c r="S23" s="24" t="str">
        <f t="shared" si="4"/>
        <v>-</v>
      </c>
      <c r="T23" s="24" t="str">
        <f t="shared" si="1"/>
        <v>-</v>
      </c>
      <c r="U23" s="25" t="str">
        <f t="shared" si="5"/>
        <v>-</v>
      </c>
      <c r="V23" s="26" t="str">
        <f t="shared" si="6"/>
        <v>-</v>
      </c>
      <c r="X23" s="26" t="str">
        <f t="shared" si="3"/>
        <v>-</v>
      </c>
    </row>
    <row r="24" spans="1:24" x14ac:dyDescent="0.3">
      <c r="A24" s="37">
        <v>87614110790</v>
      </c>
      <c r="B24" s="8" t="s">
        <v>61</v>
      </c>
      <c r="C24" s="10" t="s">
        <v>2950</v>
      </c>
      <c r="D24" s="11" t="s">
        <v>881</v>
      </c>
      <c r="E24" s="11" t="s">
        <v>939</v>
      </c>
      <c r="F24" s="9">
        <v>12</v>
      </c>
      <c r="G24" s="9">
        <v>24</v>
      </c>
      <c r="H24" s="9" t="s">
        <v>868</v>
      </c>
      <c r="I24" s="9">
        <v>36</v>
      </c>
      <c r="J24" s="9">
        <v>300</v>
      </c>
      <c r="K24" s="9" t="s">
        <v>2903</v>
      </c>
      <c r="L24" s="27">
        <v>0.40632999999999997</v>
      </c>
      <c r="M24" s="28" t="s">
        <v>3204</v>
      </c>
      <c r="N24" s="17">
        <v>9.8337120000000002</v>
      </c>
      <c r="O24" s="1"/>
      <c r="P24" s="38">
        <f t="shared" si="0"/>
        <v>0</v>
      </c>
      <c r="S24" s="24" t="str">
        <f t="shared" si="4"/>
        <v>-</v>
      </c>
      <c r="T24" s="24" t="str">
        <f t="shared" si="1"/>
        <v>-</v>
      </c>
      <c r="U24" s="25" t="str">
        <f t="shared" si="5"/>
        <v>-</v>
      </c>
      <c r="V24" s="26" t="str">
        <f t="shared" si="6"/>
        <v>-</v>
      </c>
      <c r="X24" s="26" t="str">
        <f t="shared" si="3"/>
        <v>-</v>
      </c>
    </row>
    <row r="25" spans="1:24" x14ac:dyDescent="0.3">
      <c r="A25" s="37">
        <v>87614110967</v>
      </c>
      <c r="B25" s="8" t="s">
        <v>67</v>
      </c>
      <c r="C25" s="10" t="s">
        <v>2952</v>
      </c>
      <c r="D25" s="11" t="s">
        <v>876</v>
      </c>
      <c r="E25" s="11" t="s">
        <v>943</v>
      </c>
      <c r="F25" s="9">
        <v>30</v>
      </c>
      <c r="G25" s="9">
        <v>90</v>
      </c>
      <c r="H25" s="9" t="s">
        <v>868</v>
      </c>
      <c r="I25" s="9">
        <v>36</v>
      </c>
      <c r="J25" s="9">
        <v>60</v>
      </c>
      <c r="K25" s="9" t="s">
        <v>2903</v>
      </c>
      <c r="L25" s="27">
        <v>8.8529999999999998E-2</v>
      </c>
      <c r="M25" s="28" t="s">
        <v>3204</v>
      </c>
      <c r="N25" s="17">
        <v>3.8869739999999999</v>
      </c>
      <c r="O25" s="1"/>
      <c r="P25" s="38">
        <f t="shared" si="0"/>
        <v>0</v>
      </c>
      <c r="S25" s="24" t="str">
        <f t="shared" si="4"/>
        <v>-</v>
      </c>
      <c r="T25" s="24" t="str">
        <f t="shared" si="1"/>
        <v>-</v>
      </c>
      <c r="U25" s="25" t="str">
        <f t="shared" si="5"/>
        <v>-</v>
      </c>
      <c r="V25" s="26" t="str">
        <f t="shared" si="6"/>
        <v>-</v>
      </c>
      <c r="X25" s="26" t="str">
        <f t="shared" si="3"/>
        <v>-</v>
      </c>
    </row>
    <row r="26" spans="1:24" x14ac:dyDescent="0.3">
      <c r="A26" s="37">
        <v>87614111131</v>
      </c>
      <c r="B26" s="8" t="s">
        <v>74</v>
      </c>
      <c r="C26" s="10" t="s">
        <v>2953</v>
      </c>
      <c r="D26" s="11" t="s">
        <v>882</v>
      </c>
      <c r="E26" s="11" t="s">
        <v>948</v>
      </c>
      <c r="F26" s="9">
        <v>30</v>
      </c>
      <c r="G26" s="9">
        <v>90</v>
      </c>
      <c r="H26" s="9" t="s">
        <v>868</v>
      </c>
      <c r="I26" s="9">
        <v>36</v>
      </c>
      <c r="J26" s="9">
        <v>60</v>
      </c>
      <c r="K26" s="9" t="s">
        <v>2903</v>
      </c>
      <c r="L26" s="27">
        <v>4.9939999999999998E-2</v>
      </c>
      <c r="M26" s="28" t="s">
        <v>3204</v>
      </c>
      <c r="N26" s="17">
        <v>2.5082609999999996</v>
      </c>
      <c r="O26" s="1"/>
      <c r="P26" s="38">
        <f t="shared" si="0"/>
        <v>0</v>
      </c>
      <c r="S26" s="24" t="str">
        <f t="shared" si="4"/>
        <v>-</v>
      </c>
      <c r="T26" s="24" t="str">
        <f t="shared" si="1"/>
        <v>-</v>
      </c>
      <c r="U26" s="25" t="str">
        <f t="shared" si="5"/>
        <v>-</v>
      </c>
      <c r="V26" s="26" t="str">
        <f t="shared" si="6"/>
        <v>-</v>
      </c>
      <c r="X26" s="26" t="str">
        <f t="shared" si="3"/>
        <v>-</v>
      </c>
    </row>
    <row r="27" spans="1:24" x14ac:dyDescent="0.3">
      <c r="A27" s="37">
        <v>87614111537</v>
      </c>
      <c r="B27" s="8" t="s">
        <v>92</v>
      </c>
      <c r="C27" s="10" t="s">
        <v>93</v>
      </c>
      <c r="D27" s="11" t="s">
        <v>886</v>
      </c>
      <c r="E27" s="11" t="s">
        <v>957</v>
      </c>
      <c r="F27" s="9">
        <v>20</v>
      </c>
      <c r="G27" s="9">
        <v>60</v>
      </c>
      <c r="H27" s="9" t="s">
        <v>868</v>
      </c>
      <c r="I27" s="9">
        <v>36</v>
      </c>
      <c r="J27" s="9">
        <v>90</v>
      </c>
      <c r="K27" s="9" t="s">
        <v>873</v>
      </c>
      <c r="L27" s="27">
        <v>0.103285</v>
      </c>
      <c r="M27" s="28" t="s">
        <v>3204</v>
      </c>
      <c r="N27" s="17">
        <v>4.9832999999999998</v>
      </c>
      <c r="O27" s="1"/>
      <c r="P27" s="38">
        <f t="shared" si="0"/>
        <v>0</v>
      </c>
      <c r="S27" s="24" t="str">
        <f t="shared" si="4"/>
        <v>-</v>
      </c>
      <c r="T27" s="24" t="str">
        <f t="shared" si="1"/>
        <v>-</v>
      </c>
      <c r="U27" s="25" t="str">
        <f t="shared" si="5"/>
        <v>-</v>
      </c>
      <c r="V27" s="26" t="str">
        <f t="shared" si="6"/>
        <v>-</v>
      </c>
      <c r="X27" s="26" t="str">
        <f t="shared" si="3"/>
        <v>-</v>
      </c>
    </row>
    <row r="28" spans="1:24" x14ac:dyDescent="0.3">
      <c r="A28" s="37">
        <v>87614111889</v>
      </c>
      <c r="B28" s="8" t="s">
        <v>103</v>
      </c>
      <c r="C28" s="10" t="s">
        <v>3115</v>
      </c>
      <c r="D28" s="11" t="s">
        <v>870</v>
      </c>
      <c r="E28" s="11" t="s">
        <v>924</v>
      </c>
      <c r="F28" s="9">
        <v>30</v>
      </c>
      <c r="G28" s="9">
        <v>90</v>
      </c>
      <c r="H28" s="9" t="s">
        <v>868</v>
      </c>
      <c r="I28" s="9">
        <v>36</v>
      </c>
      <c r="J28" s="9">
        <v>60</v>
      </c>
      <c r="K28" s="9" t="s">
        <v>2903</v>
      </c>
      <c r="L28" s="27">
        <v>0.10214999999999999</v>
      </c>
      <c r="M28" s="28" t="s">
        <v>3204</v>
      </c>
      <c r="N28" s="17">
        <v>3.6876419999999999</v>
      </c>
      <c r="O28" s="1"/>
      <c r="P28" s="38">
        <f t="shared" si="0"/>
        <v>0</v>
      </c>
      <c r="S28" s="24" t="str">
        <f t="shared" si="4"/>
        <v>-</v>
      </c>
      <c r="T28" s="24" t="str">
        <f t="shared" si="1"/>
        <v>-</v>
      </c>
      <c r="U28" s="25" t="str">
        <f t="shared" si="5"/>
        <v>-</v>
      </c>
      <c r="V28" s="26" t="str">
        <f t="shared" si="6"/>
        <v>-</v>
      </c>
      <c r="X28" s="26" t="str">
        <f t="shared" si="3"/>
        <v>-</v>
      </c>
    </row>
    <row r="29" spans="1:24" x14ac:dyDescent="0.3">
      <c r="A29" s="37">
        <v>87614112343</v>
      </c>
      <c r="B29" s="8" t="s">
        <v>114</v>
      </c>
      <c r="C29" s="10" t="s">
        <v>115</v>
      </c>
      <c r="D29" s="11" t="s">
        <v>882</v>
      </c>
      <c r="E29" s="11" t="s">
        <v>948</v>
      </c>
      <c r="F29" s="9">
        <v>30</v>
      </c>
      <c r="G29" s="9">
        <v>90</v>
      </c>
      <c r="H29" s="9" t="s">
        <v>868</v>
      </c>
      <c r="I29" s="9">
        <v>36</v>
      </c>
      <c r="J29" s="9">
        <v>60</v>
      </c>
      <c r="K29" s="9" t="s">
        <v>873</v>
      </c>
      <c r="L29" s="27">
        <v>4.8804999999999994E-2</v>
      </c>
      <c r="M29" s="28" t="s">
        <v>3204</v>
      </c>
      <c r="N29" s="17">
        <v>2.1262079999999997</v>
      </c>
      <c r="O29" s="1"/>
      <c r="P29" s="38">
        <f t="shared" si="0"/>
        <v>0</v>
      </c>
      <c r="S29" s="24" t="str">
        <f t="shared" si="4"/>
        <v>-</v>
      </c>
      <c r="T29" s="24" t="str">
        <f t="shared" si="1"/>
        <v>-</v>
      </c>
      <c r="U29" s="25" t="str">
        <f t="shared" si="5"/>
        <v>-</v>
      </c>
      <c r="V29" s="26" t="str">
        <f t="shared" si="6"/>
        <v>-</v>
      </c>
      <c r="X29" s="26" t="str">
        <f t="shared" si="3"/>
        <v>-</v>
      </c>
    </row>
    <row r="30" spans="1:24" x14ac:dyDescent="0.3">
      <c r="A30" s="37">
        <v>87614112398</v>
      </c>
      <c r="B30" s="8" t="s">
        <v>118</v>
      </c>
      <c r="C30" s="10" t="s">
        <v>2957</v>
      </c>
      <c r="D30" s="11" t="s">
        <v>891</v>
      </c>
      <c r="E30" s="11" t="s">
        <v>968</v>
      </c>
      <c r="F30" s="9">
        <v>48</v>
      </c>
      <c r="G30" s="9">
        <v>192</v>
      </c>
      <c r="H30" s="9" t="s">
        <v>868</v>
      </c>
      <c r="I30" s="9">
        <v>36</v>
      </c>
      <c r="J30" s="9">
        <v>30</v>
      </c>
      <c r="K30" s="9" t="s">
        <v>2903</v>
      </c>
      <c r="L30" s="27">
        <v>2.2700000000000001E-2</v>
      </c>
      <c r="M30" s="28" t="s">
        <v>3204</v>
      </c>
      <c r="N30" s="17">
        <v>1.5448229999999998</v>
      </c>
      <c r="O30" s="1"/>
      <c r="P30" s="38">
        <f t="shared" si="0"/>
        <v>0</v>
      </c>
      <c r="S30" s="24" t="str">
        <f t="shared" si="4"/>
        <v>-</v>
      </c>
      <c r="T30" s="24" t="str">
        <f t="shared" si="1"/>
        <v>-</v>
      </c>
      <c r="U30" s="25" t="str">
        <f t="shared" si="5"/>
        <v>-</v>
      </c>
      <c r="V30" s="26" t="str">
        <f t="shared" si="6"/>
        <v>-</v>
      </c>
      <c r="X30" s="26" t="str">
        <f t="shared" si="3"/>
        <v>-</v>
      </c>
    </row>
    <row r="31" spans="1:24" x14ac:dyDescent="0.3">
      <c r="A31" s="37">
        <v>87614112480</v>
      </c>
      <c r="B31" s="8" t="s">
        <v>125</v>
      </c>
      <c r="C31" s="10" t="s">
        <v>2960</v>
      </c>
      <c r="D31" s="11" t="s">
        <v>872</v>
      </c>
      <c r="E31" s="11" t="s">
        <v>915</v>
      </c>
      <c r="F31" s="9">
        <v>48</v>
      </c>
      <c r="G31" s="9">
        <v>192</v>
      </c>
      <c r="H31" s="9" t="s">
        <v>868</v>
      </c>
      <c r="I31" s="9">
        <v>36</v>
      </c>
      <c r="J31" s="9">
        <v>30</v>
      </c>
      <c r="K31" s="9" t="s">
        <v>2903</v>
      </c>
      <c r="L31" s="27">
        <v>2.6105E-2</v>
      </c>
      <c r="M31" s="28" t="s">
        <v>3204</v>
      </c>
      <c r="N31" s="17">
        <v>1.245825</v>
      </c>
      <c r="O31" s="1"/>
      <c r="P31" s="38">
        <f t="shared" si="0"/>
        <v>0</v>
      </c>
      <c r="S31" s="24" t="str">
        <f t="shared" si="4"/>
        <v>-</v>
      </c>
      <c r="T31" s="24" t="str">
        <f t="shared" si="1"/>
        <v>-</v>
      </c>
      <c r="U31" s="25" t="str">
        <f t="shared" si="5"/>
        <v>-</v>
      </c>
      <c r="V31" s="26" t="str">
        <f t="shared" si="6"/>
        <v>-</v>
      </c>
      <c r="X31" s="26" t="str">
        <f t="shared" si="3"/>
        <v>-</v>
      </c>
    </row>
    <row r="32" spans="1:24" x14ac:dyDescent="0.3">
      <c r="A32" s="37">
        <v>87614112510</v>
      </c>
      <c r="B32" s="8" t="s">
        <v>126</v>
      </c>
      <c r="C32" s="10" t="s">
        <v>3116</v>
      </c>
      <c r="D32" s="11" t="s">
        <v>882</v>
      </c>
      <c r="E32" s="11" t="s">
        <v>920</v>
      </c>
      <c r="F32" s="9">
        <v>30</v>
      </c>
      <c r="G32" s="9">
        <v>90</v>
      </c>
      <c r="H32" s="9" t="s">
        <v>868</v>
      </c>
      <c r="I32" s="9">
        <v>24</v>
      </c>
      <c r="J32" s="9">
        <v>30</v>
      </c>
      <c r="K32" s="9" t="s">
        <v>2903</v>
      </c>
      <c r="L32" s="27">
        <v>6.583E-2</v>
      </c>
      <c r="M32" s="28" t="s">
        <v>3204</v>
      </c>
      <c r="N32" s="17">
        <v>1.7939879999999999</v>
      </c>
      <c r="O32" s="1"/>
      <c r="P32" s="38">
        <f t="shared" si="0"/>
        <v>0</v>
      </c>
      <c r="S32" s="24" t="str">
        <f t="shared" si="4"/>
        <v>-</v>
      </c>
      <c r="T32" s="24" t="str">
        <f t="shared" si="1"/>
        <v>-</v>
      </c>
      <c r="U32" s="25" t="str">
        <f t="shared" si="5"/>
        <v>-</v>
      </c>
      <c r="V32" s="26" t="str">
        <f t="shared" si="6"/>
        <v>-</v>
      </c>
      <c r="X32" s="26" t="str">
        <f t="shared" si="3"/>
        <v>-</v>
      </c>
    </row>
    <row r="33" spans="1:24" x14ac:dyDescent="0.3">
      <c r="A33" s="37">
        <v>87614113715</v>
      </c>
      <c r="B33" s="8" t="s">
        <v>172</v>
      </c>
      <c r="C33" s="10" t="s">
        <v>173</v>
      </c>
      <c r="D33" s="11" t="s">
        <v>870</v>
      </c>
      <c r="E33" s="11" t="s">
        <v>871</v>
      </c>
      <c r="F33" s="9">
        <v>30</v>
      </c>
      <c r="G33" s="9">
        <v>90</v>
      </c>
      <c r="H33" s="9" t="s">
        <v>868</v>
      </c>
      <c r="I33" s="9">
        <v>48</v>
      </c>
      <c r="J33" s="9">
        <v>250</v>
      </c>
      <c r="K33" s="9" t="s">
        <v>869</v>
      </c>
      <c r="L33" s="27">
        <v>0.12825500000000001</v>
      </c>
      <c r="M33" s="28" t="s">
        <v>3204</v>
      </c>
      <c r="N33" s="17">
        <v>4.7341350000000002</v>
      </c>
      <c r="O33" s="1"/>
      <c r="P33" s="38">
        <f t="shared" si="0"/>
        <v>0</v>
      </c>
      <c r="S33" s="24" t="str">
        <f t="shared" si="4"/>
        <v>-</v>
      </c>
      <c r="T33" s="24" t="str">
        <f t="shared" si="1"/>
        <v>-</v>
      </c>
      <c r="U33" s="25" t="str">
        <f t="shared" si="5"/>
        <v>-</v>
      </c>
      <c r="V33" s="26" t="str">
        <f t="shared" si="6"/>
        <v>-</v>
      </c>
      <c r="X33" s="26" t="str">
        <f t="shared" si="3"/>
        <v>-</v>
      </c>
    </row>
    <row r="34" spans="1:24" x14ac:dyDescent="0.3">
      <c r="A34" s="37">
        <v>87614113777</v>
      </c>
      <c r="B34" s="8" t="s">
        <v>176</v>
      </c>
      <c r="C34" s="10" t="s">
        <v>3118</v>
      </c>
      <c r="D34" s="11" t="s">
        <v>866</v>
      </c>
      <c r="E34" s="11" t="s">
        <v>963</v>
      </c>
      <c r="F34" s="9">
        <v>30</v>
      </c>
      <c r="G34" s="9">
        <v>90</v>
      </c>
      <c r="H34" s="9" t="s">
        <v>868</v>
      </c>
      <c r="I34" s="9">
        <v>36</v>
      </c>
      <c r="J34" s="9">
        <v>60</v>
      </c>
      <c r="K34" s="9" t="s">
        <v>2903</v>
      </c>
      <c r="L34" s="27">
        <v>5.3345000000000004E-2</v>
      </c>
      <c r="M34" s="28" t="s">
        <v>3204</v>
      </c>
      <c r="N34" s="17">
        <v>3.3388110000000002</v>
      </c>
      <c r="O34" s="1"/>
      <c r="P34" s="38">
        <f t="shared" si="0"/>
        <v>0</v>
      </c>
      <c r="S34" s="24" t="str">
        <f t="shared" si="4"/>
        <v>-</v>
      </c>
      <c r="T34" s="24" t="str">
        <f t="shared" si="1"/>
        <v>-</v>
      </c>
      <c r="U34" s="25" t="str">
        <f t="shared" si="5"/>
        <v>-</v>
      </c>
      <c r="V34" s="26" t="str">
        <f t="shared" si="6"/>
        <v>-</v>
      </c>
      <c r="X34" s="26" t="str">
        <f t="shared" si="3"/>
        <v>-</v>
      </c>
    </row>
    <row r="35" spans="1:24" x14ac:dyDescent="0.3">
      <c r="A35" s="37">
        <v>87614114118</v>
      </c>
      <c r="B35" s="8" t="s">
        <v>187</v>
      </c>
      <c r="C35" s="10" t="s">
        <v>2963</v>
      </c>
      <c r="D35" s="11" t="s">
        <v>874</v>
      </c>
      <c r="E35" s="11" t="s">
        <v>919</v>
      </c>
      <c r="F35" s="9">
        <v>30</v>
      </c>
      <c r="G35" s="9">
        <v>90</v>
      </c>
      <c r="H35" s="9" t="s">
        <v>868</v>
      </c>
      <c r="I35" s="9">
        <v>24</v>
      </c>
      <c r="J35" s="9">
        <v>60</v>
      </c>
      <c r="K35" s="9" t="s">
        <v>2903</v>
      </c>
      <c r="L35" s="27">
        <v>9.0800000000000006E-2</v>
      </c>
      <c r="M35" s="28" t="s">
        <v>3204</v>
      </c>
      <c r="N35" s="17">
        <v>11.594478000000001</v>
      </c>
      <c r="O35" s="1"/>
      <c r="P35" s="38">
        <f t="shared" si="0"/>
        <v>0</v>
      </c>
      <c r="S35" s="24" t="str">
        <f t="shared" si="4"/>
        <v>-</v>
      </c>
      <c r="T35" s="24" t="str">
        <f t="shared" si="1"/>
        <v>-</v>
      </c>
      <c r="U35" s="25" t="str">
        <f t="shared" si="5"/>
        <v>-</v>
      </c>
      <c r="V35" s="26" t="str">
        <f t="shared" si="6"/>
        <v>-</v>
      </c>
      <c r="X35" s="26" t="str">
        <f t="shared" si="3"/>
        <v>-</v>
      </c>
    </row>
    <row r="36" spans="1:24" x14ac:dyDescent="0.3">
      <c r="A36" s="37">
        <v>87614114347</v>
      </c>
      <c r="B36" s="8" t="s">
        <v>201</v>
      </c>
      <c r="C36" s="10" t="s">
        <v>202</v>
      </c>
      <c r="D36" s="11" t="s">
        <v>883</v>
      </c>
      <c r="E36" s="11" t="s">
        <v>928</v>
      </c>
      <c r="F36" s="9">
        <v>30</v>
      </c>
      <c r="G36" s="9">
        <v>90</v>
      </c>
      <c r="H36" s="9" t="s">
        <v>868</v>
      </c>
      <c r="I36" s="9">
        <v>36</v>
      </c>
      <c r="J36" s="9">
        <v>60</v>
      </c>
      <c r="K36" s="9" t="s">
        <v>873</v>
      </c>
      <c r="L36" s="27">
        <v>7.9450000000000007E-2</v>
      </c>
      <c r="M36" s="28" t="s">
        <v>3204</v>
      </c>
      <c r="N36" s="17">
        <v>5.099577</v>
      </c>
      <c r="O36" s="1"/>
      <c r="P36" s="38">
        <f t="shared" si="0"/>
        <v>0</v>
      </c>
      <c r="S36" s="24" t="str">
        <f t="shared" si="4"/>
        <v>-</v>
      </c>
      <c r="T36" s="24" t="str">
        <f t="shared" si="1"/>
        <v>-</v>
      </c>
      <c r="U36" s="25" t="str">
        <f t="shared" si="5"/>
        <v>-</v>
      </c>
      <c r="V36" s="26" t="str">
        <f t="shared" si="6"/>
        <v>-</v>
      </c>
      <c r="X36" s="26" t="str">
        <f t="shared" si="3"/>
        <v>-</v>
      </c>
    </row>
    <row r="37" spans="1:24" x14ac:dyDescent="0.3">
      <c r="A37" s="37">
        <v>87614115573</v>
      </c>
      <c r="B37" s="8" t="s">
        <v>1256</v>
      </c>
      <c r="C37" s="10" t="s">
        <v>2965</v>
      </c>
      <c r="D37" s="11" t="s">
        <v>884</v>
      </c>
      <c r="E37" s="11" t="s">
        <v>959</v>
      </c>
      <c r="F37" s="9">
        <v>30</v>
      </c>
      <c r="G37" s="9">
        <v>90</v>
      </c>
      <c r="H37" s="9" t="s">
        <v>868</v>
      </c>
      <c r="I37" s="9">
        <v>36</v>
      </c>
      <c r="J37" s="9">
        <v>30</v>
      </c>
      <c r="K37" s="9" t="s">
        <v>2903</v>
      </c>
      <c r="L37" s="27">
        <v>5.1074999999999995E-2</v>
      </c>
      <c r="M37" s="28" t="s">
        <v>3204</v>
      </c>
      <c r="N37" s="17">
        <v>1.511601</v>
      </c>
      <c r="O37" s="1"/>
      <c r="P37" s="38">
        <f t="shared" si="0"/>
        <v>0</v>
      </c>
      <c r="S37" s="24" t="str">
        <f t="shared" si="4"/>
        <v>-</v>
      </c>
      <c r="T37" s="24" t="str">
        <f t="shared" si="1"/>
        <v>-</v>
      </c>
      <c r="U37" s="25" t="str">
        <f t="shared" si="5"/>
        <v>-</v>
      </c>
      <c r="V37" s="26" t="str">
        <f t="shared" si="6"/>
        <v>-</v>
      </c>
      <c r="X37" s="26" t="str">
        <f t="shared" si="3"/>
        <v>-</v>
      </c>
    </row>
    <row r="38" spans="1:24" x14ac:dyDescent="0.3">
      <c r="A38" s="37">
        <v>87614117454</v>
      </c>
      <c r="B38" s="8" t="s">
        <v>275</v>
      </c>
      <c r="C38" s="10" t="s">
        <v>276</v>
      </c>
      <c r="D38" s="11" t="s">
        <v>899</v>
      </c>
      <c r="E38" s="11" t="s">
        <v>1013</v>
      </c>
      <c r="F38" s="9">
        <v>30</v>
      </c>
      <c r="G38" s="9">
        <v>90</v>
      </c>
      <c r="H38" s="9" t="s">
        <v>868</v>
      </c>
      <c r="I38" s="9">
        <v>36</v>
      </c>
      <c r="J38" s="9">
        <v>250</v>
      </c>
      <c r="K38" s="9" t="s">
        <v>877</v>
      </c>
      <c r="L38" s="27">
        <v>0.13392999999999999</v>
      </c>
      <c r="M38" s="28" t="s">
        <v>3204</v>
      </c>
      <c r="N38" s="17">
        <v>5.5314630000000005</v>
      </c>
      <c r="O38" s="1"/>
      <c r="P38" s="38">
        <f t="shared" si="0"/>
        <v>0</v>
      </c>
      <c r="S38" s="24" t="str">
        <f t="shared" si="4"/>
        <v>-</v>
      </c>
      <c r="T38" s="24" t="str">
        <f t="shared" si="1"/>
        <v>-</v>
      </c>
      <c r="U38" s="25" t="str">
        <f t="shared" si="5"/>
        <v>-</v>
      </c>
      <c r="V38" s="26" t="str">
        <f t="shared" si="6"/>
        <v>-</v>
      </c>
      <c r="X38" s="26" t="str">
        <f t="shared" si="3"/>
        <v>-</v>
      </c>
    </row>
    <row r="39" spans="1:24" x14ac:dyDescent="0.3">
      <c r="A39" s="37">
        <v>87614117546</v>
      </c>
      <c r="B39" s="8" t="s">
        <v>281</v>
      </c>
      <c r="C39" s="10" t="s">
        <v>282</v>
      </c>
      <c r="D39" s="11" t="s">
        <v>881</v>
      </c>
      <c r="E39" s="11" t="s">
        <v>939</v>
      </c>
      <c r="F39" s="9">
        <v>9</v>
      </c>
      <c r="G39" s="9">
        <v>36</v>
      </c>
      <c r="H39" s="9" t="s">
        <v>868</v>
      </c>
      <c r="I39" s="9">
        <v>36</v>
      </c>
      <c r="J39" s="9">
        <v>1</v>
      </c>
      <c r="K39" s="9" t="s">
        <v>880</v>
      </c>
      <c r="L39" s="27">
        <v>0.33936499999999997</v>
      </c>
      <c r="M39" s="28" t="s">
        <v>3204</v>
      </c>
      <c r="N39" s="17">
        <v>12.109419000000001</v>
      </c>
      <c r="O39" s="1"/>
      <c r="P39" s="38">
        <f t="shared" si="0"/>
        <v>0</v>
      </c>
      <c r="S39" s="24" t="str">
        <f t="shared" si="4"/>
        <v>-</v>
      </c>
      <c r="T39" s="24" t="str">
        <f t="shared" si="1"/>
        <v>-</v>
      </c>
      <c r="U39" s="25" t="str">
        <f t="shared" si="5"/>
        <v>-</v>
      </c>
      <c r="V39" s="26" t="str">
        <f t="shared" si="6"/>
        <v>-</v>
      </c>
      <c r="X39" s="26" t="str">
        <f t="shared" si="3"/>
        <v>-</v>
      </c>
    </row>
    <row r="40" spans="1:24" x14ac:dyDescent="0.3">
      <c r="A40" s="37">
        <v>87614118116</v>
      </c>
      <c r="B40" s="8" t="s">
        <v>1166</v>
      </c>
      <c r="C40" s="10" t="s">
        <v>1988</v>
      </c>
      <c r="D40" s="11" t="s">
        <v>890</v>
      </c>
      <c r="E40" s="11" t="s">
        <v>1002</v>
      </c>
      <c r="F40" s="9">
        <v>30</v>
      </c>
      <c r="G40" s="9">
        <v>90</v>
      </c>
      <c r="H40" s="9" t="s">
        <v>868</v>
      </c>
      <c r="I40" s="9">
        <v>36</v>
      </c>
      <c r="J40" s="9">
        <v>60</v>
      </c>
      <c r="K40" s="9" t="s">
        <v>873</v>
      </c>
      <c r="L40" s="27">
        <v>4.5400000000000003E-2</v>
      </c>
      <c r="M40" s="28" t="s">
        <v>3204</v>
      </c>
      <c r="N40" s="17">
        <v>3.0398129999999997</v>
      </c>
      <c r="O40" s="1"/>
      <c r="P40" s="38">
        <f t="shared" si="0"/>
        <v>0</v>
      </c>
      <c r="S40" s="24" t="str">
        <f t="shared" si="4"/>
        <v>-</v>
      </c>
      <c r="T40" s="24" t="str">
        <f t="shared" si="1"/>
        <v>-</v>
      </c>
      <c r="U40" s="25" t="str">
        <f t="shared" si="5"/>
        <v>-</v>
      </c>
      <c r="V40" s="26" t="str">
        <f t="shared" si="6"/>
        <v>-</v>
      </c>
      <c r="X40" s="26" t="str">
        <f t="shared" si="3"/>
        <v>-</v>
      </c>
    </row>
    <row r="41" spans="1:24" x14ac:dyDescent="0.3">
      <c r="A41" s="37">
        <v>87614015422</v>
      </c>
      <c r="B41" s="8" t="s">
        <v>1265</v>
      </c>
      <c r="C41" s="10" t="s">
        <v>3126</v>
      </c>
      <c r="D41" s="11" t="s">
        <v>890</v>
      </c>
      <c r="E41" s="11" t="s">
        <v>1002</v>
      </c>
      <c r="F41" s="9">
        <v>30</v>
      </c>
      <c r="G41" s="9">
        <v>90</v>
      </c>
      <c r="H41" s="9" t="s">
        <v>868</v>
      </c>
      <c r="I41" s="9">
        <v>36</v>
      </c>
      <c r="J41" s="9">
        <v>120</v>
      </c>
      <c r="K41" s="9" t="s">
        <v>873</v>
      </c>
      <c r="L41" s="27">
        <v>6.3560000000000005E-2</v>
      </c>
      <c r="M41" s="28" t="s">
        <v>3204</v>
      </c>
      <c r="N41" s="17">
        <v>2.1428189999999998</v>
      </c>
      <c r="O41" s="1"/>
      <c r="P41" s="38">
        <f t="shared" si="0"/>
        <v>0</v>
      </c>
      <c r="S41" s="24" t="str">
        <f t="shared" si="4"/>
        <v>-</v>
      </c>
      <c r="T41" s="24" t="str">
        <f t="shared" si="1"/>
        <v>-</v>
      </c>
      <c r="U41" s="25" t="str">
        <f t="shared" si="5"/>
        <v>-</v>
      </c>
      <c r="V41" s="26" t="str">
        <f t="shared" si="6"/>
        <v>-</v>
      </c>
      <c r="X41" s="26" t="str">
        <f t="shared" si="3"/>
        <v>-</v>
      </c>
    </row>
    <row r="42" spans="1:24" x14ac:dyDescent="0.3">
      <c r="A42" s="37">
        <v>87614018089</v>
      </c>
      <c r="B42" s="8" t="s">
        <v>378</v>
      </c>
      <c r="C42" s="10" t="s">
        <v>2984</v>
      </c>
      <c r="D42" s="11" t="s">
        <v>881</v>
      </c>
      <c r="E42" s="11" t="s">
        <v>939</v>
      </c>
      <c r="F42" s="9">
        <v>20</v>
      </c>
      <c r="G42" s="9">
        <v>60</v>
      </c>
      <c r="H42" s="9" t="s">
        <v>868</v>
      </c>
      <c r="I42" s="9">
        <v>36</v>
      </c>
      <c r="J42" s="9">
        <v>100</v>
      </c>
      <c r="K42" s="9" t="s">
        <v>2903</v>
      </c>
      <c r="L42" s="27">
        <v>0.144145</v>
      </c>
      <c r="M42" s="28" t="s">
        <v>3204</v>
      </c>
      <c r="N42" s="17">
        <v>3.5713650000000001</v>
      </c>
      <c r="O42" s="1"/>
      <c r="P42" s="38">
        <f t="shared" si="0"/>
        <v>0</v>
      </c>
      <c r="S42" s="24" t="str">
        <f t="shared" si="4"/>
        <v>-</v>
      </c>
      <c r="T42" s="24" t="str">
        <f t="shared" si="1"/>
        <v>-</v>
      </c>
      <c r="U42" s="25" t="str">
        <f t="shared" si="5"/>
        <v>-</v>
      </c>
      <c r="V42" s="26" t="str">
        <f t="shared" si="6"/>
        <v>-</v>
      </c>
      <c r="X42" s="26" t="str">
        <f t="shared" si="3"/>
        <v>-</v>
      </c>
    </row>
    <row r="43" spans="1:24" x14ac:dyDescent="0.3">
      <c r="A43" s="37">
        <v>87614018270</v>
      </c>
      <c r="B43" s="8" t="s">
        <v>380</v>
      </c>
      <c r="C43" s="10" t="s">
        <v>381</v>
      </c>
      <c r="D43" s="11" t="s">
        <v>897</v>
      </c>
      <c r="E43" s="11" t="s">
        <v>1034</v>
      </c>
      <c r="F43" s="9">
        <v>20</v>
      </c>
      <c r="G43" s="9">
        <v>60</v>
      </c>
      <c r="H43" s="9" t="s">
        <v>868</v>
      </c>
      <c r="I43" s="9">
        <v>24</v>
      </c>
      <c r="J43" s="9">
        <v>100</v>
      </c>
      <c r="K43" s="9" t="s">
        <v>873</v>
      </c>
      <c r="L43" s="27">
        <v>0.11577</v>
      </c>
      <c r="M43" s="28" t="s">
        <v>3204</v>
      </c>
      <c r="N43" s="17">
        <v>4.1859719999999996</v>
      </c>
      <c r="O43" s="1"/>
      <c r="P43" s="38">
        <f t="shared" si="0"/>
        <v>0</v>
      </c>
      <c r="S43" s="24" t="str">
        <f t="shared" si="4"/>
        <v>-</v>
      </c>
      <c r="T43" s="24" t="str">
        <f t="shared" si="1"/>
        <v>-</v>
      </c>
      <c r="U43" s="25" t="str">
        <f t="shared" si="5"/>
        <v>-</v>
      </c>
      <c r="V43" s="26" t="str">
        <f t="shared" si="6"/>
        <v>-</v>
      </c>
      <c r="X43" s="26" t="str">
        <f t="shared" si="3"/>
        <v>-</v>
      </c>
    </row>
    <row r="44" spans="1:24" x14ac:dyDescent="0.3">
      <c r="A44" s="37">
        <v>87614018546</v>
      </c>
      <c r="B44" s="8" t="s">
        <v>392</v>
      </c>
      <c r="C44" s="10" t="s">
        <v>2988</v>
      </c>
      <c r="D44" s="11" t="s">
        <v>885</v>
      </c>
      <c r="E44" s="11" t="s">
        <v>1021</v>
      </c>
      <c r="F44" s="9">
        <v>30</v>
      </c>
      <c r="G44" s="9">
        <v>90</v>
      </c>
      <c r="H44" s="9" t="s">
        <v>868</v>
      </c>
      <c r="I44" s="9">
        <v>36</v>
      </c>
      <c r="J44" s="9">
        <v>100</v>
      </c>
      <c r="K44" s="9" t="s">
        <v>2903</v>
      </c>
      <c r="L44" s="27">
        <v>0.116905</v>
      </c>
      <c r="M44" s="28" t="s">
        <v>3204</v>
      </c>
      <c r="N44" s="17">
        <v>10.564596</v>
      </c>
      <c r="O44" s="1"/>
      <c r="P44" s="38">
        <f t="shared" si="0"/>
        <v>0</v>
      </c>
      <c r="S44" s="24" t="str">
        <f t="shared" si="4"/>
        <v>-</v>
      </c>
      <c r="T44" s="24" t="str">
        <f t="shared" si="1"/>
        <v>-</v>
      </c>
      <c r="U44" s="25" t="str">
        <f t="shared" si="5"/>
        <v>-</v>
      </c>
      <c r="V44" s="26" t="str">
        <f t="shared" si="6"/>
        <v>-</v>
      </c>
      <c r="X44" s="26" t="str">
        <f t="shared" si="3"/>
        <v>-</v>
      </c>
    </row>
    <row r="45" spans="1:24" x14ac:dyDescent="0.3">
      <c r="A45" s="37">
        <v>87614018553</v>
      </c>
      <c r="B45" s="8" t="s">
        <v>393</v>
      </c>
      <c r="C45" s="10" t="s">
        <v>394</v>
      </c>
      <c r="D45" s="11" t="s">
        <v>876</v>
      </c>
      <c r="E45" s="11" t="s">
        <v>1036</v>
      </c>
      <c r="F45" s="9">
        <v>20</v>
      </c>
      <c r="G45" s="9">
        <v>60</v>
      </c>
      <c r="H45" s="9" t="s">
        <v>868</v>
      </c>
      <c r="I45" s="9">
        <v>36</v>
      </c>
      <c r="J45" s="9">
        <v>100</v>
      </c>
      <c r="K45" s="9" t="s">
        <v>873</v>
      </c>
      <c r="L45" s="27">
        <v>0.11463500000000001</v>
      </c>
      <c r="M45" s="28" t="s">
        <v>3204</v>
      </c>
      <c r="N45" s="17">
        <v>5.1161880000000002</v>
      </c>
      <c r="O45" s="1"/>
      <c r="P45" s="38">
        <f t="shared" si="0"/>
        <v>0</v>
      </c>
      <c r="S45" s="24" t="str">
        <f t="shared" si="4"/>
        <v>-</v>
      </c>
      <c r="T45" s="24" t="str">
        <f t="shared" si="1"/>
        <v>-</v>
      </c>
      <c r="U45" s="25" t="str">
        <f t="shared" si="5"/>
        <v>-</v>
      </c>
      <c r="V45" s="26" t="str">
        <f t="shared" si="6"/>
        <v>-</v>
      </c>
      <c r="X45" s="26" t="str">
        <f t="shared" si="3"/>
        <v>-</v>
      </c>
    </row>
    <row r="46" spans="1:24" x14ac:dyDescent="0.3">
      <c r="A46" s="37">
        <v>87614018720</v>
      </c>
      <c r="B46" s="8" t="s">
        <v>1085</v>
      </c>
      <c r="C46" s="10" t="s">
        <v>3129</v>
      </c>
      <c r="D46" s="11" t="s">
        <v>881</v>
      </c>
      <c r="E46" s="11" t="s">
        <v>996</v>
      </c>
      <c r="F46" s="9">
        <v>30</v>
      </c>
      <c r="G46" s="9">
        <v>90</v>
      </c>
      <c r="H46" s="9" t="s">
        <v>868</v>
      </c>
      <c r="I46" s="9">
        <v>26</v>
      </c>
      <c r="J46" s="9">
        <v>100</v>
      </c>
      <c r="K46" s="9" t="s">
        <v>2903</v>
      </c>
      <c r="L46" s="27">
        <v>9.9879999999999997E-2</v>
      </c>
      <c r="M46" s="28" t="s">
        <v>3204</v>
      </c>
      <c r="N46" s="17">
        <v>4.5348030000000001</v>
      </c>
      <c r="O46" s="1"/>
      <c r="P46" s="38">
        <f t="shared" si="0"/>
        <v>0</v>
      </c>
      <c r="S46" s="24" t="str">
        <f t="shared" si="4"/>
        <v>-</v>
      </c>
      <c r="T46" s="24" t="str">
        <f t="shared" si="1"/>
        <v>-</v>
      </c>
      <c r="U46" s="25" t="str">
        <f t="shared" si="5"/>
        <v>-</v>
      </c>
      <c r="V46" s="26" t="str">
        <f t="shared" si="6"/>
        <v>-</v>
      </c>
      <c r="X46" s="26" t="str">
        <f t="shared" si="3"/>
        <v>-</v>
      </c>
    </row>
    <row r="47" spans="1:24" x14ac:dyDescent="0.3">
      <c r="A47" s="37">
        <v>87614018775</v>
      </c>
      <c r="B47" s="8" t="s">
        <v>399</v>
      </c>
      <c r="C47" s="10" t="s">
        <v>2989</v>
      </c>
      <c r="D47" s="11" t="s">
        <v>891</v>
      </c>
      <c r="E47" s="11" t="s">
        <v>968</v>
      </c>
      <c r="F47" s="9">
        <v>30</v>
      </c>
      <c r="G47" s="9">
        <v>90</v>
      </c>
      <c r="H47" s="9" t="s">
        <v>868</v>
      </c>
      <c r="I47" s="9">
        <v>36</v>
      </c>
      <c r="J47" s="9">
        <v>100</v>
      </c>
      <c r="K47" s="9" t="s">
        <v>2903</v>
      </c>
      <c r="L47" s="27">
        <v>4.4264999999999999E-2</v>
      </c>
      <c r="M47" s="28" t="s">
        <v>3204</v>
      </c>
      <c r="N47" s="17">
        <v>3.5381429999999998</v>
      </c>
      <c r="O47" s="1"/>
      <c r="P47" s="38">
        <f t="shared" si="0"/>
        <v>0</v>
      </c>
      <c r="S47" s="24" t="str">
        <f t="shared" si="4"/>
        <v>-</v>
      </c>
      <c r="T47" s="24" t="str">
        <f t="shared" si="1"/>
        <v>-</v>
      </c>
      <c r="U47" s="25" t="str">
        <f t="shared" si="5"/>
        <v>-</v>
      </c>
      <c r="V47" s="26" t="str">
        <f t="shared" si="6"/>
        <v>-</v>
      </c>
      <c r="X47" s="26" t="str">
        <f t="shared" si="3"/>
        <v>-</v>
      </c>
    </row>
    <row r="48" spans="1:24" x14ac:dyDescent="0.3">
      <c r="A48" s="37">
        <v>87614018836</v>
      </c>
      <c r="B48" s="8" t="s">
        <v>403</v>
      </c>
      <c r="C48" s="10" t="s">
        <v>2990</v>
      </c>
      <c r="D48" s="11" t="s">
        <v>891</v>
      </c>
      <c r="E48" s="11" t="s">
        <v>970</v>
      </c>
      <c r="F48" s="9">
        <v>30</v>
      </c>
      <c r="G48" s="9">
        <v>90</v>
      </c>
      <c r="H48" s="9" t="s">
        <v>868</v>
      </c>
      <c r="I48" s="9">
        <v>24</v>
      </c>
      <c r="J48" s="9">
        <v>60</v>
      </c>
      <c r="K48" s="9" t="s">
        <v>3049</v>
      </c>
      <c r="L48" s="27">
        <v>0.144145</v>
      </c>
      <c r="M48" s="28" t="s">
        <v>3204</v>
      </c>
      <c r="N48" s="17">
        <v>5.8470719999999998</v>
      </c>
      <c r="O48" s="1"/>
      <c r="P48" s="38">
        <f t="shared" si="0"/>
        <v>0</v>
      </c>
      <c r="S48" s="24" t="str">
        <f t="shared" si="4"/>
        <v>-</v>
      </c>
      <c r="T48" s="24" t="str">
        <f t="shared" si="1"/>
        <v>-</v>
      </c>
      <c r="U48" s="25" t="str">
        <f t="shared" si="5"/>
        <v>-</v>
      </c>
      <c r="V48" s="26" t="str">
        <f t="shared" si="6"/>
        <v>-</v>
      </c>
      <c r="X48" s="26" t="str">
        <f t="shared" si="3"/>
        <v>-</v>
      </c>
    </row>
    <row r="49" spans="1:24" x14ac:dyDescent="0.3">
      <c r="A49" s="37">
        <v>87614019093</v>
      </c>
      <c r="B49" s="8" t="s">
        <v>408</v>
      </c>
      <c r="C49" s="10" t="s">
        <v>2991</v>
      </c>
      <c r="D49" s="11" t="s">
        <v>898</v>
      </c>
      <c r="E49" s="11" t="s">
        <v>966</v>
      </c>
      <c r="F49" s="9">
        <v>20</v>
      </c>
      <c r="G49" s="9">
        <v>60</v>
      </c>
      <c r="H49" s="9" t="s">
        <v>868</v>
      </c>
      <c r="I49" s="9">
        <v>36</v>
      </c>
      <c r="J49" s="9">
        <v>100</v>
      </c>
      <c r="K49" s="9" t="s">
        <v>2903</v>
      </c>
      <c r="L49" s="27">
        <v>0.10442</v>
      </c>
      <c r="M49" s="28" t="s">
        <v>3204</v>
      </c>
      <c r="N49" s="17">
        <v>4.235805</v>
      </c>
      <c r="O49" s="1"/>
      <c r="P49" s="38">
        <f t="shared" si="0"/>
        <v>0</v>
      </c>
      <c r="S49" s="24" t="str">
        <f t="shared" si="4"/>
        <v>-</v>
      </c>
      <c r="T49" s="24" t="str">
        <f t="shared" si="1"/>
        <v>-</v>
      </c>
      <c r="U49" s="25" t="str">
        <f t="shared" si="5"/>
        <v>-</v>
      </c>
      <c r="V49" s="26" t="str">
        <f t="shared" si="6"/>
        <v>-</v>
      </c>
      <c r="X49" s="26" t="str">
        <f t="shared" si="3"/>
        <v>-</v>
      </c>
    </row>
    <row r="50" spans="1:24" x14ac:dyDescent="0.3">
      <c r="A50" s="37">
        <v>87614019109</v>
      </c>
      <c r="B50" s="8" t="s">
        <v>409</v>
      </c>
      <c r="C50" s="10" t="s">
        <v>2992</v>
      </c>
      <c r="D50" s="11" t="s">
        <v>898</v>
      </c>
      <c r="E50" s="11" t="s">
        <v>966</v>
      </c>
      <c r="F50" s="9">
        <v>12</v>
      </c>
      <c r="G50" s="9">
        <v>24</v>
      </c>
      <c r="H50" s="9" t="s">
        <v>868</v>
      </c>
      <c r="I50" s="9">
        <v>36</v>
      </c>
      <c r="J50" s="9">
        <v>250</v>
      </c>
      <c r="K50" s="9" t="s">
        <v>2903</v>
      </c>
      <c r="L50" s="27">
        <v>0.239485</v>
      </c>
      <c r="M50" s="28" t="s">
        <v>3204</v>
      </c>
      <c r="N50" s="17">
        <v>9.3021600000000007</v>
      </c>
      <c r="O50" s="1"/>
      <c r="P50" s="38">
        <f t="shared" si="0"/>
        <v>0</v>
      </c>
      <c r="S50" s="24" t="str">
        <f t="shared" si="4"/>
        <v>-</v>
      </c>
      <c r="T50" s="24" t="str">
        <f t="shared" si="1"/>
        <v>-</v>
      </c>
      <c r="U50" s="25" t="str">
        <f t="shared" si="5"/>
        <v>-</v>
      </c>
      <c r="V50" s="26" t="str">
        <f t="shared" si="6"/>
        <v>-</v>
      </c>
      <c r="X50" s="26" t="str">
        <f t="shared" si="3"/>
        <v>-</v>
      </c>
    </row>
    <row r="51" spans="1:24" x14ac:dyDescent="0.3">
      <c r="A51" s="37">
        <v>87614019239</v>
      </c>
      <c r="B51" s="8" t="s">
        <v>418</v>
      </c>
      <c r="C51" s="10" t="s">
        <v>3131</v>
      </c>
      <c r="D51" s="11" t="s">
        <v>874</v>
      </c>
      <c r="E51" s="11" t="s">
        <v>919</v>
      </c>
      <c r="F51" s="9">
        <v>20</v>
      </c>
      <c r="G51" s="9">
        <v>60</v>
      </c>
      <c r="H51" s="9" t="s">
        <v>868</v>
      </c>
      <c r="I51" s="9">
        <v>36</v>
      </c>
      <c r="J51" s="9">
        <v>200</v>
      </c>
      <c r="K51" s="9" t="s">
        <v>2903</v>
      </c>
      <c r="L51" s="27">
        <v>0.130525</v>
      </c>
      <c r="M51" s="28" t="s">
        <v>3204</v>
      </c>
      <c r="N51" s="17">
        <v>3.8537519999999996</v>
      </c>
      <c r="O51" s="1"/>
      <c r="P51" s="38">
        <f t="shared" si="0"/>
        <v>0</v>
      </c>
      <c r="S51" s="24" t="str">
        <f t="shared" si="4"/>
        <v>-</v>
      </c>
      <c r="T51" s="24" t="str">
        <f t="shared" si="1"/>
        <v>-</v>
      </c>
      <c r="U51" s="25" t="str">
        <f t="shared" si="5"/>
        <v>-</v>
      </c>
      <c r="V51" s="26" t="str">
        <f t="shared" si="6"/>
        <v>-</v>
      </c>
      <c r="X51" s="26" t="str">
        <f t="shared" si="3"/>
        <v>-</v>
      </c>
    </row>
    <row r="52" spans="1:24" x14ac:dyDescent="0.3">
      <c r="A52" s="37">
        <v>87614019574</v>
      </c>
      <c r="B52" s="8" t="s">
        <v>428</v>
      </c>
      <c r="C52" s="10" t="s">
        <v>2993</v>
      </c>
      <c r="D52" s="11" t="s">
        <v>881</v>
      </c>
      <c r="E52" s="11" t="s">
        <v>1019</v>
      </c>
      <c r="F52" s="9">
        <v>20</v>
      </c>
      <c r="G52" s="9">
        <v>60</v>
      </c>
      <c r="H52" s="9" t="s">
        <v>868</v>
      </c>
      <c r="I52" s="9">
        <v>36</v>
      </c>
      <c r="J52" s="9">
        <v>100</v>
      </c>
      <c r="K52" s="9" t="s">
        <v>2903</v>
      </c>
      <c r="L52" s="27">
        <v>0.11463500000000001</v>
      </c>
      <c r="M52" s="28" t="s">
        <v>3204</v>
      </c>
      <c r="N52" s="17">
        <v>3.5381429999999998</v>
      </c>
      <c r="O52" s="1"/>
      <c r="P52" s="38">
        <f t="shared" si="0"/>
        <v>0</v>
      </c>
      <c r="S52" s="24" t="str">
        <f t="shared" si="4"/>
        <v>-</v>
      </c>
      <c r="T52" s="24" t="str">
        <f t="shared" si="1"/>
        <v>-</v>
      </c>
      <c r="U52" s="25" t="str">
        <f t="shared" si="5"/>
        <v>-</v>
      </c>
      <c r="V52" s="26" t="str">
        <f t="shared" si="6"/>
        <v>-</v>
      </c>
      <c r="X52" s="26" t="str">
        <f t="shared" si="3"/>
        <v>-</v>
      </c>
    </row>
    <row r="53" spans="1:24" x14ac:dyDescent="0.3">
      <c r="A53" s="37">
        <v>87614190259</v>
      </c>
      <c r="B53" s="8" t="s">
        <v>1273</v>
      </c>
      <c r="C53" s="10" t="s">
        <v>2736</v>
      </c>
      <c r="D53" s="11" t="s">
        <v>879</v>
      </c>
      <c r="E53" s="11" t="s">
        <v>1018</v>
      </c>
      <c r="F53" s="9">
        <v>48</v>
      </c>
      <c r="G53" s="9">
        <v>192</v>
      </c>
      <c r="H53" s="9" t="s">
        <v>868</v>
      </c>
      <c r="I53" s="9">
        <v>24</v>
      </c>
      <c r="J53" s="9">
        <v>30</v>
      </c>
      <c r="K53" s="9" t="s">
        <v>2903</v>
      </c>
      <c r="L53" s="27">
        <v>3.2915E-2</v>
      </c>
      <c r="M53" s="28" t="s">
        <v>3204</v>
      </c>
      <c r="N53" s="17">
        <v>5.7972390000000003</v>
      </c>
      <c r="O53" s="1"/>
      <c r="P53" s="38">
        <f t="shared" si="0"/>
        <v>0</v>
      </c>
      <c r="S53" s="24" t="str">
        <f t="shared" si="4"/>
        <v>-</v>
      </c>
      <c r="T53" s="24" t="str">
        <f t="shared" si="1"/>
        <v>-</v>
      </c>
      <c r="U53" s="25" t="str">
        <f t="shared" si="5"/>
        <v>-</v>
      </c>
      <c r="V53" s="26" t="str">
        <f t="shared" si="6"/>
        <v>-</v>
      </c>
      <c r="X53" s="26" t="str">
        <f t="shared" si="3"/>
        <v>-</v>
      </c>
    </row>
    <row r="54" spans="1:24" x14ac:dyDescent="0.3">
      <c r="A54" s="37">
        <v>87614190273</v>
      </c>
      <c r="B54" s="8" t="s">
        <v>460</v>
      </c>
      <c r="C54" s="10" t="s">
        <v>2737</v>
      </c>
      <c r="D54" s="11" t="s">
        <v>879</v>
      </c>
      <c r="E54" s="11" t="s">
        <v>1018</v>
      </c>
      <c r="F54" s="9">
        <v>30</v>
      </c>
      <c r="G54" s="9">
        <v>90</v>
      </c>
      <c r="H54" s="9" t="s">
        <v>868</v>
      </c>
      <c r="I54" s="9">
        <v>24</v>
      </c>
      <c r="J54" s="9">
        <v>60</v>
      </c>
      <c r="K54" s="9" t="s">
        <v>2903</v>
      </c>
      <c r="L54" s="27">
        <v>4.5400000000000003E-2</v>
      </c>
      <c r="M54" s="28" t="s">
        <v>3204</v>
      </c>
      <c r="N54" s="17">
        <v>6.0464039999999999</v>
      </c>
      <c r="O54" s="1"/>
      <c r="P54" s="38">
        <f t="shared" si="0"/>
        <v>0</v>
      </c>
      <c r="S54" s="24" t="str">
        <f t="shared" si="4"/>
        <v>-</v>
      </c>
      <c r="T54" s="24" t="str">
        <f t="shared" si="1"/>
        <v>-</v>
      </c>
      <c r="U54" s="25" t="str">
        <f t="shared" si="5"/>
        <v>-</v>
      </c>
      <c r="V54" s="26" t="str">
        <f t="shared" si="6"/>
        <v>-</v>
      </c>
      <c r="X54" s="26" t="str">
        <f t="shared" si="3"/>
        <v>-</v>
      </c>
    </row>
    <row r="55" spans="1:24" x14ac:dyDescent="0.3">
      <c r="A55" s="37">
        <v>87614190518</v>
      </c>
      <c r="B55" s="8" t="s">
        <v>467</v>
      </c>
      <c r="C55" s="10" t="s">
        <v>3133</v>
      </c>
      <c r="D55" s="11" t="s">
        <v>879</v>
      </c>
      <c r="E55" s="11" t="s">
        <v>1018</v>
      </c>
      <c r="F55" s="9">
        <v>30</v>
      </c>
      <c r="G55" s="9">
        <v>90</v>
      </c>
      <c r="H55" s="9" t="s">
        <v>868</v>
      </c>
      <c r="I55" s="9">
        <v>24</v>
      </c>
      <c r="J55" s="9">
        <v>60</v>
      </c>
      <c r="K55" s="9" t="s">
        <v>2903</v>
      </c>
      <c r="L55" s="27">
        <v>5.4480000000000001E-2</v>
      </c>
      <c r="M55" s="28" t="s">
        <v>3204</v>
      </c>
      <c r="N55" s="17">
        <v>5.3155200000000002</v>
      </c>
      <c r="O55" s="1"/>
      <c r="P55" s="38">
        <f t="shared" si="0"/>
        <v>0</v>
      </c>
      <c r="S55" s="24" t="str">
        <f t="shared" si="4"/>
        <v>-</v>
      </c>
      <c r="T55" s="24" t="str">
        <f t="shared" si="1"/>
        <v>-</v>
      </c>
      <c r="U55" s="25" t="str">
        <f t="shared" si="5"/>
        <v>-</v>
      </c>
      <c r="V55" s="26" t="str">
        <f t="shared" si="6"/>
        <v>-</v>
      </c>
      <c r="X55" s="26" t="str">
        <f t="shared" si="3"/>
        <v>-</v>
      </c>
    </row>
    <row r="56" spans="1:24" x14ac:dyDescent="0.3">
      <c r="A56" s="37">
        <v>87614080116</v>
      </c>
      <c r="B56" s="8" t="s">
        <v>597</v>
      </c>
      <c r="C56" s="10" t="s">
        <v>3135</v>
      </c>
      <c r="D56" s="11" t="s">
        <v>886</v>
      </c>
      <c r="E56" s="11" t="s">
        <v>1039</v>
      </c>
      <c r="F56" s="9">
        <v>30</v>
      </c>
      <c r="G56" s="9">
        <v>90</v>
      </c>
      <c r="H56" s="9" t="s">
        <v>868</v>
      </c>
      <c r="I56" s="9">
        <v>36</v>
      </c>
      <c r="J56" s="9">
        <v>60</v>
      </c>
      <c r="K56" s="9" t="s">
        <v>2903</v>
      </c>
      <c r="L56" s="27">
        <v>6.583E-2</v>
      </c>
      <c r="M56" s="28" t="s">
        <v>3204</v>
      </c>
      <c r="N56" s="17">
        <v>2.6743709999999998</v>
      </c>
      <c r="O56" s="1"/>
      <c r="P56" s="38">
        <f t="shared" si="0"/>
        <v>0</v>
      </c>
      <c r="S56" s="24" t="str">
        <f t="shared" si="4"/>
        <v>-</v>
      </c>
      <c r="T56" s="24" t="str">
        <f t="shared" si="1"/>
        <v>-</v>
      </c>
      <c r="U56" s="25" t="str">
        <f t="shared" si="5"/>
        <v>-</v>
      </c>
      <c r="V56" s="26" t="str">
        <f t="shared" si="6"/>
        <v>-</v>
      </c>
      <c r="X56" s="26" t="str">
        <f t="shared" si="3"/>
        <v>-</v>
      </c>
    </row>
    <row r="57" spans="1:24" x14ac:dyDescent="0.3">
      <c r="A57" s="37">
        <v>87614080130</v>
      </c>
      <c r="B57" s="8" t="s">
        <v>1278</v>
      </c>
      <c r="C57" s="10" t="s">
        <v>3017</v>
      </c>
      <c r="D57" s="11" t="s">
        <v>886</v>
      </c>
      <c r="E57" s="11" t="s">
        <v>952</v>
      </c>
      <c r="F57" s="9">
        <v>16</v>
      </c>
      <c r="G57" s="9">
        <v>48</v>
      </c>
      <c r="H57" s="9" t="s">
        <v>868</v>
      </c>
      <c r="I57" s="9">
        <v>36</v>
      </c>
      <c r="J57" s="9">
        <v>120</v>
      </c>
      <c r="K57" s="9" t="s">
        <v>2903</v>
      </c>
      <c r="L57" s="27">
        <v>0.1135</v>
      </c>
      <c r="M57" s="28" t="s">
        <v>3204</v>
      </c>
      <c r="N57" s="17">
        <v>5.5314630000000005</v>
      </c>
      <c r="O57" s="1"/>
      <c r="P57" s="38">
        <f t="shared" si="0"/>
        <v>0</v>
      </c>
      <c r="S57" s="24" t="str">
        <f t="shared" si="4"/>
        <v>-</v>
      </c>
      <c r="T57" s="24" t="str">
        <f t="shared" si="1"/>
        <v>-</v>
      </c>
      <c r="U57" s="25" t="str">
        <f t="shared" si="5"/>
        <v>-</v>
      </c>
      <c r="V57" s="26" t="str">
        <f t="shared" si="6"/>
        <v>-</v>
      </c>
      <c r="X57" s="26" t="str">
        <f t="shared" si="3"/>
        <v>-</v>
      </c>
    </row>
    <row r="58" spans="1:24" x14ac:dyDescent="0.3">
      <c r="A58" s="37">
        <v>87614060484</v>
      </c>
      <c r="B58" s="8" t="s">
        <v>608</v>
      </c>
      <c r="C58" s="10" t="s">
        <v>2769</v>
      </c>
      <c r="D58" s="11" t="s">
        <v>866</v>
      </c>
      <c r="E58" s="11" t="s">
        <v>956</v>
      </c>
      <c r="F58" s="9">
        <v>30</v>
      </c>
      <c r="G58" s="9">
        <v>90</v>
      </c>
      <c r="H58" s="9" t="s">
        <v>868</v>
      </c>
      <c r="I58" s="9">
        <v>36</v>
      </c>
      <c r="J58" s="9">
        <v>60</v>
      </c>
      <c r="K58" s="9" t="s">
        <v>2903</v>
      </c>
      <c r="L58" s="27">
        <v>5.9019999999999996E-2</v>
      </c>
      <c r="M58" s="28" t="s">
        <v>3204</v>
      </c>
      <c r="N58" s="17">
        <v>5.48163</v>
      </c>
      <c r="O58" s="1"/>
      <c r="P58" s="38">
        <f t="shared" si="0"/>
        <v>0</v>
      </c>
      <c r="S58" s="24" t="str">
        <f t="shared" si="4"/>
        <v>-</v>
      </c>
      <c r="T58" s="24" t="str">
        <f t="shared" si="1"/>
        <v>-</v>
      </c>
      <c r="U58" s="25" t="str">
        <f t="shared" si="5"/>
        <v>-</v>
      </c>
      <c r="V58" s="26" t="str">
        <f t="shared" si="6"/>
        <v>-</v>
      </c>
      <c r="X58" s="26" t="str">
        <f t="shared" si="3"/>
        <v>-</v>
      </c>
    </row>
    <row r="59" spans="1:24" x14ac:dyDescent="0.3">
      <c r="A59" s="37">
        <v>87614020341</v>
      </c>
      <c r="B59" s="8" t="s">
        <v>626</v>
      </c>
      <c r="C59" s="10" t="s">
        <v>3139</v>
      </c>
      <c r="D59" s="11" t="s">
        <v>874</v>
      </c>
      <c r="E59" s="11" t="s">
        <v>1032</v>
      </c>
      <c r="F59" s="9">
        <v>30</v>
      </c>
      <c r="G59" s="9">
        <v>90</v>
      </c>
      <c r="H59" s="9" t="s">
        <v>868</v>
      </c>
      <c r="I59" s="9">
        <v>36</v>
      </c>
      <c r="J59" s="9">
        <v>30</v>
      </c>
      <c r="K59" s="9" t="s">
        <v>2903</v>
      </c>
      <c r="L59" s="27">
        <v>4.9939999999999998E-2</v>
      </c>
      <c r="M59" s="28" t="s">
        <v>3204</v>
      </c>
      <c r="N59" s="17">
        <v>8.272278</v>
      </c>
      <c r="O59" s="1"/>
      <c r="P59" s="38">
        <f t="shared" si="0"/>
        <v>0</v>
      </c>
      <c r="S59" s="24" t="str">
        <f t="shared" si="4"/>
        <v>-</v>
      </c>
      <c r="T59" s="24" t="str">
        <f t="shared" si="1"/>
        <v>-</v>
      </c>
      <c r="U59" s="25" t="str">
        <f t="shared" si="5"/>
        <v>-</v>
      </c>
      <c r="V59" s="26" t="str">
        <f t="shared" si="6"/>
        <v>-</v>
      </c>
      <c r="X59" s="26" t="str">
        <f t="shared" si="3"/>
        <v>-</v>
      </c>
    </row>
    <row r="60" spans="1:24" x14ac:dyDescent="0.3">
      <c r="A60" s="37">
        <v>87614020730</v>
      </c>
      <c r="B60" s="8" t="s">
        <v>632</v>
      </c>
      <c r="C60" s="10" t="s">
        <v>3022</v>
      </c>
      <c r="D60" s="11" t="s">
        <v>881</v>
      </c>
      <c r="E60" s="11" t="s">
        <v>939</v>
      </c>
      <c r="F60" s="9">
        <v>20</v>
      </c>
      <c r="G60" s="9">
        <v>60</v>
      </c>
      <c r="H60" s="9" t="s">
        <v>868</v>
      </c>
      <c r="I60" s="9">
        <v>36</v>
      </c>
      <c r="J60" s="9">
        <v>90</v>
      </c>
      <c r="K60" s="9" t="s">
        <v>2903</v>
      </c>
      <c r="L60" s="27">
        <v>0.12939000000000001</v>
      </c>
      <c r="M60" s="28" t="s">
        <v>3204</v>
      </c>
      <c r="N60" s="17">
        <v>7.1593410000000004</v>
      </c>
      <c r="O60" s="1"/>
      <c r="P60" s="38">
        <f t="shared" si="0"/>
        <v>0</v>
      </c>
      <c r="S60" s="24" t="str">
        <f t="shared" si="4"/>
        <v>-</v>
      </c>
      <c r="T60" s="24" t="str">
        <f t="shared" si="1"/>
        <v>-</v>
      </c>
      <c r="U60" s="25" t="str">
        <f t="shared" si="5"/>
        <v>-</v>
      </c>
      <c r="V60" s="26" t="str">
        <f t="shared" si="6"/>
        <v>-</v>
      </c>
      <c r="X60" s="26" t="str">
        <f t="shared" si="3"/>
        <v>-</v>
      </c>
    </row>
    <row r="61" spans="1:24" x14ac:dyDescent="0.3">
      <c r="A61" s="37">
        <v>87614020860</v>
      </c>
      <c r="B61" s="8" t="s">
        <v>638</v>
      </c>
      <c r="C61" s="10" t="s">
        <v>639</v>
      </c>
      <c r="D61" s="11" t="s">
        <v>874</v>
      </c>
      <c r="E61" s="11" t="s">
        <v>914</v>
      </c>
      <c r="F61" s="9">
        <v>30</v>
      </c>
      <c r="G61" s="9">
        <v>90</v>
      </c>
      <c r="H61" s="9" t="s">
        <v>868</v>
      </c>
      <c r="I61" s="9">
        <v>36</v>
      </c>
      <c r="J61" s="9">
        <v>60</v>
      </c>
      <c r="K61" s="9" t="s">
        <v>873</v>
      </c>
      <c r="L61" s="27">
        <v>5.6750000000000002E-2</v>
      </c>
      <c r="M61" s="28" t="s">
        <v>3204</v>
      </c>
      <c r="N61" s="17">
        <v>2.9567580000000002</v>
      </c>
      <c r="O61" s="1"/>
      <c r="P61" s="38">
        <f t="shared" si="0"/>
        <v>0</v>
      </c>
      <c r="S61" s="24" t="str">
        <f t="shared" si="4"/>
        <v>-</v>
      </c>
      <c r="T61" s="24" t="str">
        <f t="shared" si="1"/>
        <v>-</v>
      </c>
      <c r="U61" s="25" t="str">
        <f t="shared" si="5"/>
        <v>-</v>
      </c>
      <c r="V61" s="26" t="str">
        <f t="shared" si="6"/>
        <v>-</v>
      </c>
      <c r="X61" s="26" t="str">
        <f t="shared" si="3"/>
        <v>-</v>
      </c>
    </row>
    <row r="62" spans="1:24" x14ac:dyDescent="0.3">
      <c r="A62" s="37">
        <v>87614021362</v>
      </c>
      <c r="B62" s="8" t="s">
        <v>1193</v>
      </c>
      <c r="C62" s="10" t="s">
        <v>3142</v>
      </c>
      <c r="D62" s="11" t="s">
        <v>874</v>
      </c>
      <c r="E62" s="11" t="s">
        <v>919</v>
      </c>
      <c r="F62" s="9">
        <v>30</v>
      </c>
      <c r="G62" s="9">
        <v>90</v>
      </c>
      <c r="H62" s="9" t="s">
        <v>868</v>
      </c>
      <c r="I62" s="9">
        <v>24</v>
      </c>
      <c r="J62" s="9">
        <v>60</v>
      </c>
      <c r="K62" s="9" t="s">
        <v>2903</v>
      </c>
      <c r="L62" s="27">
        <v>6.2425000000000001E-2</v>
      </c>
      <c r="M62" s="28" t="s">
        <v>3204</v>
      </c>
      <c r="N62" s="17">
        <v>5.9301269999999997</v>
      </c>
      <c r="O62" s="1"/>
      <c r="P62" s="38">
        <f t="shared" si="0"/>
        <v>0</v>
      </c>
      <c r="S62" s="24" t="str">
        <f t="shared" si="4"/>
        <v>-</v>
      </c>
      <c r="T62" s="24" t="str">
        <f t="shared" si="1"/>
        <v>-</v>
      </c>
      <c r="U62" s="25" t="str">
        <f t="shared" si="5"/>
        <v>-</v>
      </c>
      <c r="V62" s="26" t="str">
        <f t="shared" si="6"/>
        <v>-</v>
      </c>
      <c r="X62" s="26" t="str">
        <f t="shared" si="3"/>
        <v>-</v>
      </c>
    </row>
    <row r="63" spans="1:24" x14ac:dyDescent="0.3">
      <c r="A63" s="37">
        <v>87614021676</v>
      </c>
      <c r="B63" s="8" t="s">
        <v>679</v>
      </c>
      <c r="C63" s="10" t="s">
        <v>3143</v>
      </c>
      <c r="D63" s="11" t="s">
        <v>874</v>
      </c>
      <c r="E63" s="11" t="s">
        <v>919</v>
      </c>
      <c r="F63" s="9">
        <v>30</v>
      </c>
      <c r="G63" s="9">
        <v>90</v>
      </c>
      <c r="H63" s="9" t="s">
        <v>868</v>
      </c>
      <c r="I63" s="9">
        <v>24</v>
      </c>
      <c r="J63" s="9">
        <v>60</v>
      </c>
      <c r="K63" s="9" t="s">
        <v>2903</v>
      </c>
      <c r="L63" s="27">
        <v>8.8529999999999998E-2</v>
      </c>
      <c r="M63" s="28" t="s">
        <v>3204</v>
      </c>
      <c r="N63" s="17">
        <v>11.494812</v>
      </c>
      <c r="O63" s="1"/>
      <c r="P63" s="38">
        <f t="shared" si="0"/>
        <v>0</v>
      </c>
      <c r="S63" s="24" t="str">
        <f t="shared" si="4"/>
        <v>-</v>
      </c>
      <c r="T63" s="24" t="str">
        <f t="shared" si="1"/>
        <v>-</v>
      </c>
      <c r="U63" s="25" t="str">
        <f t="shared" si="5"/>
        <v>-</v>
      </c>
      <c r="V63" s="26" t="str">
        <f t="shared" si="6"/>
        <v>-</v>
      </c>
      <c r="X63" s="26" t="str">
        <f t="shared" si="3"/>
        <v>-</v>
      </c>
    </row>
    <row r="64" spans="1:24" x14ac:dyDescent="0.3">
      <c r="A64" s="37">
        <v>87614022833</v>
      </c>
      <c r="B64" s="8" t="s">
        <v>703</v>
      </c>
      <c r="C64" s="10" t="s">
        <v>704</v>
      </c>
      <c r="D64" s="11" t="s">
        <v>874</v>
      </c>
      <c r="E64" s="11" t="s">
        <v>914</v>
      </c>
      <c r="F64" s="9">
        <v>48</v>
      </c>
      <c r="G64" s="9">
        <v>192</v>
      </c>
      <c r="H64" s="9" t="s">
        <v>868</v>
      </c>
      <c r="I64" s="9">
        <v>36</v>
      </c>
      <c r="J64" s="9">
        <v>30</v>
      </c>
      <c r="K64" s="9" t="s">
        <v>873</v>
      </c>
      <c r="L64" s="27">
        <v>3.8590000000000006E-2</v>
      </c>
      <c r="M64" s="28" t="s">
        <v>3204</v>
      </c>
      <c r="N64" s="17">
        <v>2.9567580000000002</v>
      </c>
      <c r="O64" s="1"/>
      <c r="P64" s="38">
        <f t="shared" si="0"/>
        <v>0</v>
      </c>
      <c r="S64" s="24" t="str">
        <f t="shared" si="4"/>
        <v>-</v>
      </c>
      <c r="T64" s="24" t="str">
        <f t="shared" si="1"/>
        <v>-</v>
      </c>
      <c r="U64" s="25" t="str">
        <f t="shared" si="5"/>
        <v>-</v>
      </c>
      <c r="V64" s="26" t="str">
        <f t="shared" si="6"/>
        <v>-</v>
      </c>
      <c r="X64" s="26" t="str">
        <f t="shared" si="3"/>
        <v>-</v>
      </c>
    </row>
    <row r="65" spans="1:24" x14ac:dyDescent="0.3">
      <c r="A65" s="37">
        <v>87614023151</v>
      </c>
      <c r="B65" s="8" t="s">
        <v>711</v>
      </c>
      <c r="C65" s="10" t="s">
        <v>712</v>
      </c>
      <c r="D65" s="11" t="s">
        <v>884</v>
      </c>
      <c r="E65" s="11" t="s">
        <v>940</v>
      </c>
      <c r="F65" s="9">
        <v>30</v>
      </c>
      <c r="G65" s="9">
        <v>90</v>
      </c>
      <c r="H65" s="9" t="s">
        <v>868</v>
      </c>
      <c r="I65" s="9">
        <v>24</v>
      </c>
      <c r="J65" s="9">
        <v>60</v>
      </c>
      <c r="K65" s="9" t="s">
        <v>873</v>
      </c>
      <c r="L65" s="27">
        <v>4.6535E-2</v>
      </c>
      <c r="M65" s="28" t="s">
        <v>3204</v>
      </c>
      <c r="N65" s="17">
        <v>10.165932</v>
      </c>
      <c r="O65" s="1"/>
      <c r="P65" s="38">
        <f t="shared" si="0"/>
        <v>0</v>
      </c>
      <c r="S65" s="24" t="str">
        <f t="shared" si="4"/>
        <v>-</v>
      </c>
      <c r="T65" s="24" t="str">
        <f t="shared" si="1"/>
        <v>-</v>
      </c>
      <c r="U65" s="25" t="str">
        <f t="shared" si="5"/>
        <v>-</v>
      </c>
      <c r="V65" s="26" t="str">
        <f t="shared" si="6"/>
        <v>-</v>
      </c>
      <c r="X65" s="26" t="str">
        <f t="shared" si="3"/>
        <v>-</v>
      </c>
    </row>
    <row r="66" spans="1:24" x14ac:dyDescent="0.3">
      <c r="A66" s="37">
        <v>87614024387</v>
      </c>
      <c r="B66" s="8" t="s">
        <v>739</v>
      </c>
      <c r="C66" s="10" t="s">
        <v>740</v>
      </c>
      <c r="D66" s="11" t="s">
        <v>876</v>
      </c>
      <c r="E66" s="11" t="s">
        <v>1033</v>
      </c>
      <c r="F66" s="9">
        <v>30</v>
      </c>
      <c r="G66" s="9">
        <v>90</v>
      </c>
      <c r="H66" s="9" t="s">
        <v>868</v>
      </c>
      <c r="I66" s="9">
        <v>36</v>
      </c>
      <c r="J66" s="9">
        <v>60</v>
      </c>
      <c r="K66" s="9" t="s">
        <v>873</v>
      </c>
      <c r="L66" s="27">
        <v>5.7884999999999999E-2</v>
      </c>
      <c r="M66" s="28" t="s">
        <v>3204</v>
      </c>
      <c r="N66" s="17">
        <v>5.3321309999999995</v>
      </c>
      <c r="O66" s="1"/>
      <c r="P66" s="38">
        <f t="shared" si="0"/>
        <v>0</v>
      </c>
      <c r="S66" s="24" t="str">
        <f t="shared" si="4"/>
        <v>-</v>
      </c>
      <c r="T66" s="24" t="str">
        <f t="shared" si="1"/>
        <v>-</v>
      </c>
      <c r="U66" s="25" t="str">
        <f t="shared" si="5"/>
        <v>-</v>
      </c>
      <c r="V66" s="26" t="str">
        <f t="shared" si="6"/>
        <v>-</v>
      </c>
      <c r="X66" s="26" t="str">
        <f t="shared" si="3"/>
        <v>-</v>
      </c>
    </row>
    <row r="67" spans="1:24" x14ac:dyDescent="0.3">
      <c r="A67" s="37">
        <v>87614025186</v>
      </c>
      <c r="B67" s="8" t="s">
        <v>1288</v>
      </c>
      <c r="C67" s="10" t="s">
        <v>3035</v>
      </c>
      <c r="D67" s="11" t="s">
        <v>881</v>
      </c>
      <c r="E67" s="11" t="s">
        <v>2824</v>
      </c>
      <c r="F67" s="9">
        <v>48</v>
      </c>
      <c r="G67" s="9">
        <v>192</v>
      </c>
      <c r="H67" s="9" t="s">
        <v>868</v>
      </c>
      <c r="I67" s="9">
        <v>36</v>
      </c>
      <c r="J67" s="9">
        <v>60</v>
      </c>
      <c r="K67" s="9" t="s">
        <v>2903</v>
      </c>
      <c r="L67" s="27">
        <v>3.7455000000000002E-2</v>
      </c>
      <c r="M67" s="28" t="s">
        <v>3204</v>
      </c>
      <c r="N67" s="17">
        <v>4.999911</v>
      </c>
      <c r="O67" s="1"/>
      <c r="P67" s="38">
        <f t="shared" ref="P67:P130" si="7">O67*N67</f>
        <v>0</v>
      </c>
      <c r="S67" s="24" t="str">
        <f t="shared" si="4"/>
        <v>-</v>
      </c>
      <c r="T67" s="24" t="str">
        <f t="shared" ref="T67:T130" si="8">IF(O67&gt;0,N67+L67*O67/$U$2*$V$2/O67,"-")</f>
        <v>-</v>
      </c>
      <c r="U67" s="25" t="str">
        <f t="shared" si="5"/>
        <v>-</v>
      </c>
      <c r="V67" s="26" t="str">
        <f t="shared" si="6"/>
        <v>-</v>
      </c>
      <c r="X67" s="26" t="str">
        <f t="shared" ref="X67:X130" si="9">IFERROR(IF(V67+P67=0, "-", IF(V67&gt;0, V67+P67, "-")), "-")</f>
        <v>-</v>
      </c>
    </row>
    <row r="68" spans="1:24" x14ac:dyDescent="0.3">
      <c r="A68" s="37">
        <v>87614025605</v>
      </c>
      <c r="B68" s="8" t="s">
        <v>769</v>
      </c>
      <c r="C68" s="10" t="s">
        <v>3146</v>
      </c>
      <c r="D68" s="11" t="s">
        <v>874</v>
      </c>
      <c r="E68" s="11" t="s">
        <v>1032</v>
      </c>
      <c r="F68" s="9">
        <v>48</v>
      </c>
      <c r="G68" s="9">
        <v>192</v>
      </c>
      <c r="H68" s="9" t="s">
        <v>868</v>
      </c>
      <c r="I68" s="9">
        <v>36</v>
      </c>
      <c r="J68" s="9">
        <v>50</v>
      </c>
      <c r="K68" s="9" t="s">
        <v>2907</v>
      </c>
      <c r="L68" s="27">
        <v>4.9939999999999998E-2</v>
      </c>
      <c r="M68" s="28" t="s">
        <v>3204</v>
      </c>
      <c r="N68" s="17">
        <v>8.6875530000000012</v>
      </c>
      <c r="O68" s="1"/>
      <c r="P68" s="38">
        <f t="shared" si="7"/>
        <v>0</v>
      </c>
      <c r="S68" s="24" t="str">
        <f t="shared" ref="S68:S131" si="10">IFERROR(IF(S$2*L68=0, "-", $S$2*L68), "-")</f>
        <v>-</v>
      </c>
      <c r="T68" s="24" t="str">
        <f t="shared" si="8"/>
        <v>-</v>
      </c>
      <c r="U68" s="25" t="str">
        <f t="shared" ref="U68:U131" si="11">IF(O68&gt;0,O68*L68, "-")</f>
        <v>-</v>
      </c>
      <c r="V68" s="26" t="str">
        <f t="shared" ref="V68:V131" si="12">IFERROR(IF($S$2&gt;0, $S$2*U68, "-"), "-")</f>
        <v>-</v>
      </c>
      <c r="X68" s="26" t="str">
        <f t="shared" si="9"/>
        <v>-</v>
      </c>
    </row>
    <row r="69" spans="1:24" x14ac:dyDescent="0.3">
      <c r="A69" s="37">
        <v>87614026718</v>
      </c>
      <c r="B69" s="8" t="s">
        <v>1289</v>
      </c>
      <c r="C69" s="10" t="s">
        <v>2077</v>
      </c>
      <c r="D69" s="11" t="s">
        <v>866</v>
      </c>
      <c r="E69" s="11" t="s">
        <v>1041</v>
      </c>
      <c r="F69" s="9">
        <v>48</v>
      </c>
      <c r="G69" s="9">
        <v>192</v>
      </c>
      <c r="H69" s="9" t="s">
        <v>868</v>
      </c>
      <c r="I69" s="9">
        <v>24</v>
      </c>
      <c r="J69" s="9">
        <v>30</v>
      </c>
      <c r="K69" s="9" t="s">
        <v>869</v>
      </c>
      <c r="L69" s="27">
        <v>2.724E-2</v>
      </c>
      <c r="M69" s="28" t="s">
        <v>3204</v>
      </c>
      <c r="N69" s="17">
        <v>2.4750389999999998</v>
      </c>
      <c r="O69" s="1"/>
      <c r="P69" s="38">
        <f t="shared" si="7"/>
        <v>0</v>
      </c>
      <c r="S69" s="24" t="str">
        <f t="shared" si="10"/>
        <v>-</v>
      </c>
      <c r="T69" s="24" t="str">
        <f t="shared" si="8"/>
        <v>-</v>
      </c>
      <c r="U69" s="25" t="str">
        <f t="shared" si="11"/>
        <v>-</v>
      </c>
      <c r="V69" s="26" t="str">
        <f t="shared" si="12"/>
        <v>-</v>
      </c>
      <c r="X69" s="26" t="str">
        <f t="shared" si="9"/>
        <v>-</v>
      </c>
    </row>
    <row r="70" spans="1:24" x14ac:dyDescent="0.3">
      <c r="A70" s="37">
        <v>87614026725</v>
      </c>
      <c r="B70" s="8" t="s">
        <v>778</v>
      </c>
      <c r="C70" s="10" t="s">
        <v>779</v>
      </c>
      <c r="D70" s="11" t="s">
        <v>866</v>
      </c>
      <c r="E70" s="11" t="s">
        <v>1041</v>
      </c>
      <c r="F70" s="9">
        <v>48</v>
      </c>
      <c r="G70" s="9">
        <v>192</v>
      </c>
      <c r="H70" s="9" t="s">
        <v>868</v>
      </c>
      <c r="I70" s="9">
        <v>36</v>
      </c>
      <c r="J70" s="9">
        <v>30</v>
      </c>
      <c r="K70" s="9" t="s">
        <v>869</v>
      </c>
      <c r="L70" s="27">
        <v>3.1780000000000003E-2</v>
      </c>
      <c r="M70" s="28" t="s">
        <v>3204</v>
      </c>
      <c r="N70" s="17">
        <v>4.3520819999999993</v>
      </c>
      <c r="O70" s="1"/>
      <c r="P70" s="38">
        <f t="shared" si="7"/>
        <v>0</v>
      </c>
      <c r="S70" s="24" t="str">
        <f t="shared" si="10"/>
        <v>-</v>
      </c>
      <c r="T70" s="24" t="str">
        <f t="shared" si="8"/>
        <v>-</v>
      </c>
      <c r="U70" s="25" t="str">
        <f t="shared" si="11"/>
        <v>-</v>
      </c>
      <c r="V70" s="26" t="str">
        <f t="shared" si="12"/>
        <v>-</v>
      </c>
      <c r="X70" s="26" t="str">
        <f t="shared" si="9"/>
        <v>-</v>
      </c>
    </row>
    <row r="71" spans="1:24" x14ac:dyDescent="0.3">
      <c r="A71" s="37">
        <v>87614027142</v>
      </c>
      <c r="B71" s="8" t="s">
        <v>786</v>
      </c>
      <c r="C71" s="10" t="s">
        <v>2793</v>
      </c>
      <c r="D71" s="11" t="s">
        <v>875</v>
      </c>
      <c r="E71" s="11" t="s">
        <v>2811</v>
      </c>
      <c r="F71" s="9">
        <v>48</v>
      </c>
      <c r="G71" s="9">
        <v>192</v>
      </c>
      <c r="H71" s="9" t="s">
        <v>868</v>
      </c>
      <c r="I71" s="9">
        <v>24</v>
      </c>
      <c r="J71" s="9">
        <v>30</v>
      </c>
      <c r="K71" s="9" t="s">
        <v>889</v>
      </c>
      <c r="L71" s="27">
        <v>2.2700000000000001E-2</v>
      </c>
      <c r="M71" s="28" t="s">
        <v>3204</v>
      </c>
      <c r="N71" s="17">
        <v>3.122868</v>
      </c>
      <c r="O71" s="1"/>
      <c r="P71" s="38">
        <f t="shared" si="7"/>
        <v>0</v>
      </c>
      <c r="S71" s="24" t="str">
        <f t="shared" si="10"/>
        <v>-</v>
      </c>
      <c r="T71" s="24" t="str">
        <f t="shared" si="8"/>
        <v>-</v>
      </c>
      <c r="U71" s="25" t="str">
        <f t="shared" si="11"/>
        <v>-</v>
      </c>
      <c r="V71" s="26" t="str">
        <f t="shared" si="12"/>
        <v>-</v>
      </c>
      <c r="X71" s="26" t="str">
        <f t="shared" si="9"/>
        <v>-</v>
      </c>
    </row>
    <row r="72" spans="1:24" x14ac:dyDescent="0.3">
      <c r="A72" s="37">
        <v>87614027586</v>
      </c>
      <c r="B72" s="8" t="s">
        <v>1290</v>
      </c>
      <c r="C72" s="10" t="s">
        <v>2078</v>
      </c>
      <c r="D72" s="11" t="s">
        <v>875</v>
      </c>
      <c r="E72" s="11" t="s">
        <v>2811</v>
      </c>
      <c r="F72" s="9">
        <v>48</v>
      </c>
      <c r="G72" s="9">
        <v>192</v>
      </c>
      <c r="H72" s="9" t="s">
        <v>892</v>
      </c>
      <c r="I72" s="9">
        <v>24</v>
      </c>
      <c r="J72" s="9">
        <v>30</v>
      </c>
      <c r="K72" s="9" t="s">
        <v>889</v>
      </c>
      <c r="L72" s="27">
        <v>4.4264999999999999E-2</v>
      </c>
      <c r="M72" s="28" t="s">
        <v>3204</v>
      </c>
      <c r="N72" s="17">
        <v>2.6079270000000001</v>
      </c>
      <c r="O72" s="1"/>
      <c r="P72" s="38">
        <f t="shared" si="7"/>
        <v>0</v>
      </c>
      <c r="S72" s="24" t="str">
        <f t="shared" si="10"/>
        <v>-</v>
      </c>
      <c r="T72" s="24" t="str">
        <f t="shared" si="8"/>
        <v>-</v>
      </c>
      <c r="U72" s="25" t="str">
        <f t="shared" si="11"/>
        <v>-</v>
      </c>
      <c r="V72" s="26" t="str">
        <f t="shared" si="12"/>
        <v>-</v>
      </c>
      <c r="X72" s="26" t="str">
        <f t="shared" si="9"/>
        <v>-</v>
      </c>
    </row>
    <row r="73" spans="1:24" x14ac:dyDescent="0.3">
      <c r="A73" s="37">
        <v>87614028156</v>
      </c>
      <c r="B73" s="8" t="s">
        <v>809</v>
      </c>
      <c r="C73" s="10" t="s">
        <v>3149</v>
      </c>
      <c r="D73" s="11" t="s">
        <v>866</v>
      </c>
      <c r="E73" s="11" t="s">
        <v>918</v>
      </c>
      <c r="F73" s="9">
        <v>30</v>
      </c>
      <c r="G73" s="9">
        <v>90</v>
      </c>
      <c r="H73" s="9" t="s">
        <v>868</v>
      </c>
      <c r="I73" s="9">
        <v>24</v>
      </c>
      <c r="J73" s="9">
        <v>60</v>
      </c>
      <c r="K73" s="9" t="s">
        <v>2903</v>
      </c>
      <c r="L73" s="27">
        <v>6.2425000000000001E-2</v>
      </c>
      <c r="M73" s="28" t="s">
        <v>3204</v>
      </c>
      <c r="N73" s="17">
        <v>11.395146</v>
      </c>
      <c r="O73" s="1"/>
      <c r="P73" s="38">
        <f t="shared" si="7"/>
        <v>0</v>
      </c>
      <c r="S73" s="24" t="str">
        <f t="shared" si="10"/>
        <v>-</v>
      </c>
      <c r="T73" s="24" t="str">
        <f t="shared" si="8"/>
        <v>-</v>
      </c>
      <c r="U73" s="25" t="str">
        <f t="shared" si="11"/>
        <v>-</v>
      </c>
      <c r="V73" s="26" t="str">
        <f t="shared" si="12"/>
        <v>-</v>
      </c>
      <c r="X73" s="26" t="str">
        <f t="shared" si="9"/>
        <v>-</v>
      </c>
    </row>
    <row r="74" spans="1:24" x14ac:dyDescent="0.3">
      <c r="A74" s="37">
        <v>87614112367</v>
      </c>
      <c r="B74" s="8" t="s">
        <v>1246</v>
      </c>
      <c r="C74" s="10" t="s">
        <v>2049</v>
      </c>
      <c r="D74" s="11" t="s">
        <v>881</v>
      </c>
      <c r="E74" s="11" t="s">
        <v>2824</v>
      </c>
      <c r="F74" s="9">
        <v>48</v>
      </c>
      <c r="G74" s="9">
        <v>192</v>
      </c>
      <c r="H74" s="9" t="s">
        <v>868</v>
      </c>
      <c r="I74" s="9">
        <v>36</v>
      </c>
      <c r="J74" s="9">
        <v>60</v>
      </c>
      <c r="K74" s="9" t="s">
        <v>873</v>
      </c>
      <c r="L74" s="27">
        <v>3.7455000000000002E-2</v>
      </c>
      <c r="M74" s="28" t="s">
        <v>3204</v>
      </c>
      <c r="N74" s="17">
        <v>3.3221999999999996</v>
      </c>
      <c r="O74" s="1"/>
      <c r="P74" s="38">
        <f t="shared" si="7"/>
        <v>0</v>
      </c>
      <c r="S74" s="24" t="str">
        <f t="shared" si="10"/>
        <v>-</v>
      </c>
      <c r="T74" s="24" t="str">
        <f t="shared" si="8"/>
        <v>-</v>
      </c>
      <c r="U74" s="25" t="str">
        <f t="shared" si="11"/>
        <v>-</v>
      </c>
      <c r="V74" s="26" t="str">
        <f t="shared" si="12"/>
        <v>-</v>
      </c>
      <c r="X74" s="26" t="str">
        <f t="shared" si="9"/>
        <v>-</v>
      </c>
    </row>
    <row r="75" spans="1:24" x14ac:dyDescent="0.3">
      <c r="A75" s="37">
        <v>87614118130</v>
      </c>
      <c r="B75" s="8" t="s">
        <v>1167</v>
      </c>
      <c r="C75" s="10" t="s">
        <v>1989</v>
      </c>
      <c r="D75" s="11" t="s">
        <v>882</v>
      </c>
      <c r="E75" s="11" t="s">
        <v>948</v>
      </c>
      <c r="F75" s="9">
        <v>30</v>
      </c>
      <c r="G75" s="9">
        <v>90</v>
      </c>
      <c r="H75" s="9" t="s">
        <v>868</v>
      </c>
      <c r="I75" s="9">
        <v>36</v>
      </c>
      <c r="J75" s="9">
        <v>60</v>
      </c>
      <c r="K75" s="9" t="s">
        <v>873</v>
      </c>
      <c r="L75" s="27">
        <v>4.9939999999999998E-2</v>
      </c>
      <c r="M75" s="28" t="s">
        <v>3204</v>
      </c>
      <c r="N75" s="17">
        <v>3.6544200000000004</v>
      </c>
      <c r="O75" s="1"/>
      <c r="P75" s="38">
        <f t="shared" si="7"/>
        <v>0</v>
      </c>
      <c r="S75" s="24" t="str">
        <f t="shared" si="10"/>
        <v>-</v>
      </c>
      <c r="T75" s="24" t="str">
        <f t="shared" si="8"/>
        <v>-</v>
      </c>
      <c r="U75" s="25" t="str">
        <f t="shared" si="11"/>
        <v>-</v>
      </c>
      <c r="V75" s="26" t="str">
        <f t="shared" si="12"/>
        <v>-</v>
      </c>
      <c r="X75" s="26" t="str">
        <f t="shared" si="9"/>
        <v>-</v>
      </c>
    </row>
    <row r="76" spans="1:24" x14ac:dyDescent="0.3">
      <c r="A76" s="37">
        <v>87614026701</v>
      </c>
      <c r="B76" s="8" t="s">
        <v>777</v>
      </c>
      <c r="C76" s="10" t="s">
        <v>3161</v>
      </c>
      <c r="D76" s="11" t="s">
        <v>872</v>
      </c>
      <c r="E76" s="11" t="s">
        <v>915</v>
      </c>
      <c r="F76" s="9">
        <v>48</v>
      </c>
      <c r="G76" s="9">
        <v>192</v>
      </c>
      <c r="H76" s="9" t="s">
        <v>892</v>
      </c>
      <c r="I76" s="9">
        <v>24</v>
      </c>
      <c r="J76" s="9">
        <v>30</v>
      </c>
      <c r="K76" s="9" t="s">
        <v>2903</v>
      </c>
      <c r="L76" s="27">
        <v>3.4049999999999997E-2</v>
      </c>
      <c r="M76" s="28" t="s">
        <v>3204</v>
      </c>
      <c r="N76" s="17">
        <v>2.6577600000000001</v>
      </c>
      <c r="O76" s="1"/>
      <c r="P76" s="38">
        <f t="shared" si="7"/>
        <v>0</v>
      </c>
      <c r="S76" s="24" t="str">
        <f t="shared" si="10"/>
        <v>-</v>
      </c>
      <c r="T76" s="24" t="str">
        <f t="shared" si="8"/>
        <v>-</v>
      </c>
      <c r="U76" s="25" t="str">
        <f t="shared" si="11"/>
        <v>-</v>
      </c>
      <c r="V76" s="26" t="str">
        <f t="shared" si="12"/>
        <v>-</v>
      </c>
      <c r="X76" s="26" t="str">
        <f t="shared" si="9"/>
        <v>-</v>
      </c>
    </row>
    <row r="77" spans="1:24" x14ac:dyDescent="0.3">
      <c r="A77" s="37">
        <v>87614027647</v>
      </c>
      <c r="B77" s="8" t="s">
        <v>1208</v>
      </c>
      <c r="C77" s="10" t="s">
        <v>2023</v>
      </c>
      <c r="D77" s="11" t="s">
        <v>881</v>
      </c>
      <c r="E77" s="11" t="s">
        <v>2824</v>
      </c>
      <c r="F77" s="9">
        <v>48</v>
      </c>
      <c r="G77" s="9">
        <v>192</v>
      </c>
      <c r="H77" s="9" t="s">
        <v>868</v>
      </c>
      <c r="I77" s="9">
        <v>24</v>
      </c>
      <c r="J77" s="9">
        <v>30</v>
      </c>
      <c r="K77" s="9" t="s">
        <v>873</v>
      </c>
      <c r="L77" s="27">
        <v>2.6105E-2</v>
      </c>
      <c r="M77" s="28" t="s">
        <v>3204</v>
      </c>
      <c r="N77" s="17">
        <v>2.408595</v>
      </c>
      <c r="O77" s="1"/>
      <c r="P77" s="38">
        <f t="shared" si="7"/>
        <v>0</v>
      </c>
      <c r="S77" s="24" t="str">
        <f t="shared" si="10"/>
        <v>-</v>
      </c>
      <c r="T77" s="24" t="str">
        <f t="shared" si="8"/>
        <v>-</v>
      </c>
      <c r="U77" s="25" t="str">
        <f t="shared" si="11"/>
        <v>-</v>
      </c>
      <c r="V77" s="26" t="str">
        <f t="shared" si="12"/>
        <v>-</v>
      </c>
      <c r="X77" s="26" t="str">
        <f t="shared" si="9"/>
        <v>-</v>
      </c>
    </row>
    <row r="78" spans="1:24" x14ac:dyDescent="0.3">
      <c r="A78" s="37">
        <v>87614110288</v>
      </c>
      <c r="B78" s="8" t="s">
        <v>45</v>
      </c>
      <c r="C78" s="10" t="s">
        <v>46</v>
      </c>
      <c r="D78" s="11" t="s">
        <v>883</v>
      </c>
      <c r="E78" s="11" t="s">
        <v>928</v>
      </c>
      <c r="F78" s="9">
        <v>20</v>
      </c>
      <c r="G78" s="9">
        <v>60</v>
      </c>
      <c r="H78" s="9" t="s">
        <v>868</v>
      </c>
      <c r="I78" s="9">
        <v>24</v>
      </c>
      <c r="J78" s="9">
        <v>100</v>
      </c>
      <c r="K78" s="9" t="s">
        <v>873</v>
      </c>
      <c r="L78" s="27">
        <v>0.10442</v>
      </c>
      <c r="M78" s="28" t="s">
        <v>3204</v>
      </c>
      <c r="N78" s="17">
        <v>9.3353819999999992</v>
      </c>
      <c r="O78" s="1"/>
      <c r="P78" s="38">
        <f t="shared" si="7"/>
        <v>0</v>
      </c>
      <c r="S78" s="24" t="str">
        <f t="shared" si="10"/>
        <v>-</v>
      </c>
      <c r="T78" s="24" t="str">
        <f t="shared" si="8"/>
        <v>-</v>
      </c>
      <c r="U78" s="25" t="str">
        <f t="shared" si="11"/>
        <v>-</v>
      </c>
      <c r="V78" s="26" t="str">
        <f t="shared" si="12"/>
        <v>-</v>
      </c>
      <c r="X78" s="26" t="str">
        <f t="shared" si="9"/>
        <v>-</v>
      </c>
    </row>
    <row r="79" spans="1:24" x14ac:dyDescent="0.3">
      <c r="A79" s="37">
        <v>87614028965</v>
      </c>
      <c r="B79" s="8" t="s">
        <v>830</v>
      </c>
      <c r="C79" s="10" t="s">
        <v>2803</v>
      </c>
      <c r="D79" s="11" t="s">
        <v>870</v>
      </c>
      <c r="E79" s="11" t="s">
        <v>871</v>
      </c>
      <c r="F79" s="9">
        <v>20</v>
      </c>
      <c r="G79" s="9">
        <v>60</v>
      </c>
      <c r="H79" s="9" t="s">
        <v>868</v>
      </c>
      <c r="I79" s="9">
        <v>24</v>
      </c>
      <c r="J79" s="9">
        <v>60</v>
      </c>
      <c r="K79" s="9" t="s">
        <v>869</v>
      </c>
      <c r="L79" s="27">
        <v>0.13619999999999999</v>
      </c>
      <c r="M79" s="28" t="s">
        <v>3204</v>
      </c>
      <c r="N79" s="17">
        <v>4.900245</v>
      </c>
      <c r="O79" s="1"/>
      <c r="P79" s="38">
        <f t="shared" si="7"/>
        <v>0</v>
      </c>
      <c r="S79" s="24" t="str">
        <f t="shared" si="10"/>
        <v>-</v>
      </c>
      <c r="T79" s="24" t="str">
        <f t="shared" si="8"/>
        <v>-</v>
      </c>
      <c r="U79" s="25" t="str">
        <f t="shared" si="11"/>
        <v>-</v>
      </c>
      <c r="V79" s="26" t="str">
        <f t="shared" si="12"/>
        <v>-</v>
      </c>
      <c r="X79" s="26" t="str">
        <f t="shared" si="9"/>
        <v>-</v>
      </c>
    </row>
    <row r="80" spans="1:24" x14ac:dyDescent="0.3">
      <c r="A80" s="37">
        <v>87614112633</v>
      </c>
      <c r="B80" s="8" t="s">
        <v>131</v>
      </c>
      <c r="C80" s="10" t="s">
        <v>132</v>
      </c>
      <c r="D80" s="11" t="s">
        <v>874</v>
      </c>
      <c r="E80" s="11" t="s">
        <v>914</v>
      </c>
      <c r="F80" s="9">
        <v>30</v>
      </c>
      <c r="G80" s="9">
        <v>90</v>
      </c>
      <c r="H80" s="9" t="s">
        <v>868</v>
      </c>
      <c r="I80" s="9">
        <v>36</v>
      </c>
      <c r="J80" s="9">
        <v>60</v>
      </c>
      <c r="K80" s="9" t="s">
        <v>873</v>
      </c>
      <c r="L80" s="27">
        <v>6.6964999999999997E-2</v>
      </c>
      <c r="M80" s="28" t="s">
        <v>3205</v>
      </c>
      <c r="N80" s="17">
        <v>2.890314</v>
      </c>
      <c r="O80" s="1"/>
      <c r="P80" s="38">
        <f t="shared" si="7"/>
        <v>0</v>
      </c>
      <c r="S80" s="24" t="str">
        <f t="shared" si="10"/>
        <v>-</v>
      </c>
      <c r="T80" s="24" t="str">
        <f t="shared" si="8"/>
        <v>-</v>
      </c>
      <c r="U80" s="25" t="str">
        <f t="shared" si="11"/>
        <v>-</v>
      </c>
      <c r="V80" s="26" t="str">
        <f t="shared" si="12"/>
        <v>-</v>
      </c>
      <c r="X80" s="26" t="str">
        <f t="shared" si="9"/>
        <v>-</v>
      </c>
    </row>
    <row r="81" spans="1:24" x14ac:dyDescent="0.3">
      <c r="A81" s="37">
        <v>87614111612</v>
      </c>
      <c r="B81" s="8" t="s">
        <v>94</v>
      </c>
      <c r="C81" s="10" t="s">
        <v>2956</v>
      </c>
      <c r="D81" s="11" t="s">
        <v>874</v>
      </c>
      <c r="E81" s="11" t="s">
        <v>919</v>
      </c>
      <c r="F81" s="9">
        <v>30</v>
      </c>
      <c r="G81" s="9">
        <v>90</v>
      </c>
      <c r="H81" s="9" t="s">
        <v>868</v>
      </c>
      <c r="I81" s="9">
        <v>36</v>
      </c>
      <c r="J81" s="9">
        <v>60</v>
      </c>
      <c r="K81" s="9" t="s">
        <v>2903</v>
      </c>
      <c r="L81" s="27">
        <v>7.831500000000001E-2</v>
      </c>
      <c r="M81" s="28" t="s">
        <v>3205</v>
      </c>
      <c r="N81" s="17">
        <v>2.9069250000000002</v>
      </c>
      <c r="O81" s="1"/>
      <c r="P81" s="38">
        <f t="shared" si="7"/>
        <v>0</v>
      </c>
      <c r="S81" s="24" t="str">
        <f t="shared" si="10"/>
        <v>-</v>
      </c>
      <c r="T81" s="24" t="str">
        <f t="shared" si="8"/>
        <v>-</v>
      </c>
      <c r="U81" s="25" t="str">
        <f t="shared" si="11"/>
        <v>-</v>
      </c>
      <c r="V81" s="26" t="str">
        <f t="shared" si="12"/>
        <v>-</v>
      </c>
      <c r="X81" s="26" t="str">
        <f t="shared" si="9"/>
        <v>-</v>
      </c>
    </row>
    <row r="82" spans="1:24" x14ac:dyDescent="0.3">
      <c r="A82" s="37">
        <v>87614113326</v>
      </c>
      <c r="B82" s="8" t="s">
        <v>146</v>
      </c>
      <c r="C82" s="10" t="s">
        <v>3063</v>
      </c>
      <c r="D82" s="11" t="s">
        <v>872</v>
      </c>
      <c r="E82" s="11" t="s">
        <v>981</v>
      </c>
      <c r="F82" s="9">
        <v>30</v>
      </c>
      <c r="G82" s="9">
        <v>90</v>
      </c>
      <c r="H82" s="9" t="s">
        <v>868</v>
      </c>
      <c r="I82" s="9">
        <v>36</v>
      </c>
      <c r="J82" s="9">
        <v>60</v>
      </c>
      <c r="K82" s="9" t="s">
        <v>2903</v>
      </c>
      <c r="L82" s="27">
        <v>8.058499999999999E-2</v>
      </c>
      <c r="M82" s="28" t="s">
        <v>3205</v>
      </c>
      <c r="N82" s="17">
        <v>3.0065910000000002</v>
      </c>
      <c r="O82" s="1"/>
      <c r="P82" s="38">
        <f t="shared" si="7"/>
        <v>0</v>
      </c>
      <c r="S82" s="24" t="str">
        <f t="shared" si="10"/>
        <v>-</v>
      </c>
      <c r="T82" s="24" t="str">
        <f t="shared" si="8"/>
        <v>-</v>
      </c>
      <c r="U82" s="25" t="str">
        <f t="shared" si="11"/>
        <v>-</v>
      </c>
      <c r="V82" s="26" t="str">
        <f t="shared" si="12"/>
        <v>-</v>
      </c>
      <c r="X82" s="26" t="str">
        <f t="shared" si="9"/>
        <v>-</v>
      </c>
    </row>
    <row r="83" spans="1:24" x14ac:dyDescent="0.3">
      <c r="A83" s="37">
        <v>87614117065</v>
      </c>
      <c r="B83" s="8" t="s">
        <v>1317</v>
      </c>
      <c r="C83" s="10" t="s">
        <v>2101</v>
      </c>
      <c r="D83" s="11" t="s">
        <v>881</v>
      </c>
      <c r="E83" s="11" t="s">
        <v>980</v>
      </c>
      <c r="F83" s="9">
        <v>30</v>
      </c>
      <c r="G83" s="9">
        <v>90</v>
      </c>
      <c r="H83" s="9" t="s">
        <v>892</v>
      </c>
      <c r="I83" s="9">
        <v>24</v>
      </c>
      <c r="J83" s="9">
        <v>60</v>
      </c>
      <c r="K83" s="9" t="s">
        <v>873</v>
      </c>
      <c r="L83" s="27">
        <v>5.6750000000000002E-2</v>
      </c>
      <c r="M83" s="28" t="s">
        <v>3205</v>
      </c>
      <c r="N83" s="17">
        <v>3.122868</v>
      </c>
      <c r="O83" s="1"/>
      <c r="P83" s="38">
        <f t="shared" si="7"/>
        <v>0</v>
      </c>
      <c r="S83" s="24" t="str">
        <f t="shared" si="10"/>
        <v>-</v>
      </c>
      <c r="T83" s="24" t="str">
        <f t="shared" si="8"/>
        <v>-</v>
      </c>
      <c r="U83" s="25" t="str">
        <f t="shared" si="11"/>
        <v>-</v>
      </c>
      <c r="V83" s="26" t="str">
        <f t="shared" si="12"/>
        <v>-</v>
      </c>
      <c r="X83" s="26" t="str">
        <f t="shared" si="9"/>
        <v>-</v>
      </c>
    </row>
    <row r="84" spans="1:24" x14ac:dyDescent="0.3">
      <c r="A84" s="37">
        <v>87614019833</v>
      </c>
      <c r="B84" s="8" t="s">
        <v>448</v>
      </c>
      <c r="C84" s="10" t="s">
        <v>3064</v>
      </c>
      <c r="D84" s="11" t="s">
        <v>874</v>
      </c>
      <c r="E84" s="11" t="s">
        <v>919</v>
      </c>
      <c r="F84" s="9">
        <v>30</v>
      </c>
      <c r="G84" s="9">
        <v>90</v>
      </c>
      <c r="H84" s="9" t="s">
        <v>868</v>
      </c>
      <c r="I84" s="9">
        <v>36</v>
      </c>
      <c r="J84" s="9">
        <v>100</v>
      </c>
      <c r="K84" s="9" t="s">
        <v>2903</v>
      </c>
      <c r="L84" s="27">
        <v>8.6260000000000003E-2</v>
      </c>
      <c r="M84" s="28" t="s">
        <v>3205</v>
      </c>
      <c r="N84" s="17">
        <v>3.272367</v>
      </c>
      <c r="O84" s="1"/>
      <c r="P84" s="38">
        <f t="shared" si="7"/>
        <v>0</v>
      </c>
      <c r="S84" s="24" t="str">
        <f t="shared" si="10"/>
        <v>-</v>
      </c>
      <c r="T84" s="24" t="str">
        <f t="shared" si="8"/>
        <v>-</v>
      </c>
      <c r="U84" s="25" t="str">
        <f t="shared" si="11"/>
        <v>-</v>
      </c>
      <c r="V84" s="26" t="str">
        <f t="shared" si="12"/>
        <v>-</v>
      </c>
      <c r="X84" s="26" t="str">
        <f t="shared" si="9"/>
        <v>-</v>
      </c>
    </row>
    <row r="85" spans="1:24" x14ac:dyDescent="0.3">
      <c r="A85" s="37">
        <v>87614112800</v>
      </c>
      <c r="B85" s="8" t="s">
        <v>137</v>
      </c>
      <c r="C85" s="10" t="s">
        <v>138</v>
      </c>
      <c r="D85" s="11" t="s">
        <v>874</v>
      </c>
      <c r="E85" s="11" t="s">
        <v>925</v>
      </c>
      <c r="F85" s="9">
        <v>30</v>
      </c>
      <c r="G85" s="9">
        <v>90</v>
      </c>
      <c r="H85" s="9" t="s">
        <v>868</v>
      </c>
      <c r="I85" s="9">
        <v>36</v>
      </c>
      <c r="J85" s="9">
        <v>60</v>
      </c>
      <c r="K85" s="9" t="s">
        <v>873</v>
      </c>
      <c r="L85" s="27">
        <v>6.8099999999999994E-2</v>
      </c>
      <c r="M85" s="28" t="s">
        <v>3205</v>
      </c>
      <c r="N85" s="17">
        <v>3.6710310000000002</v>
      </c>
      <c r="O85" s="1"/>
      <c r="P85" s="38">
        <f t="shared" si="7"/>
        <v>0</v>
      </c>
      <c r="S85" s="24" t="str">
        <f t="shared" si="10"/>
        <v>-</v>
      </c>
      <c r="T85" s="24" t="str">
        <f t="shared" si="8"/>
        <v>-</v>
      </c>
      <c r="U85" s="25" t="str">
        <f t="shared" si="11"/>
        <v>-</v>
      </c>
      <c r="V85" s="26" t="str">
        <f t="shared" si="12"/>
        <v>-</v>
      </c>
      <c r="X85" s="26" t="str">
        <f t="shared" si="9"/>
        <v>-</v>
      </c>
    </row>
    <row r="86" spans="1:24" x14ac:dyDescent="0.3">
      <c r="A86" s="37">
        <v>87614113531</v>
      </c>
      <c r="B86" s="8" t="s">
        <v>158</v>
      </c>
      <c r="C86" s="10" t="s">
        <v>2962</v>
      </c>
      <c r="D86" s="11" t="s">
        <v>881</v>
      </c>
      <c r="E86" s="11" t="s">
        <v>980</v>
      </c>
      <c r="F86" s="9">
        <v>20</v>
      </c>
      <c r="G86" s="9">
        <v>60</v>
      </c>
      <c r="H86" s="9" t="s">
        <v>868</v>
      </c>
      <c r="I86" s="9">
        <v>36</v>
      </c>
      <c r="J86" s="9">
        <v>120</v>
      </c>
      <c r="K86" s="9" t="s">
        <v>2903</v>
      </c>
      <c r="L86" s="27">
        <v>9.8744999999999999E-2</v>
      </c>
      <c r="M86" s="28" t="s">
        <v>3205</v>
      </c>
      <c r="N86" s="17">
        <v>4.1693610000000003</v>
      </c>
      <c r="O86" s="1"/>
      <c r="P86" s="38">
        <f t="shared" si="7"/>
        <v>0</v>
      </c>
      <c r="S86" s="24" t="str">
        <f t="shared" si="10"/>
        <v>-</v>
      </c>
      <c r="T86" s="24" t="str">
        <f t="shared" si="8"/>
        <v>-</v>
      </c>
      <c r="U86" s="25" t="str">
        <f t="shared" si="11"/>
        <v>-</v>
      </c>
      <c r="V86" s="26" t="str">
        <f t="shared" si="12"/>
        <v>-</v>
      </c>
      <c r="X86" s="26" t="str">
        <f t="shared" si="9"/>
        <v>-</v>
      </c>
    </row>
    <row r="87" spans="1:24" x14ac:dyDescent="0.3">
      <c r="A87" s="37">
        <v>87614114255</v>
      </c>
      <c r="B87" s="8" t="s">
        <v>194</v>
      </c>
      <c r="C87" s="10" t="s">
        <v>195</v>
      </c>
      <c r="D87" s="11" t="s">
        <v>866</v>
      </c>
      <c r="E87" s="11" t="s">
        <v>950</v>
      </c>
      <c r="F87" s="9">
        <v>30</v>
      </c>
      <c r="G87" s="9">
        <v>90</v>
      </c>
      <c r="H87" s="9" t="s">
        <v>868</v>
      </c>
      <c r="I87" s="9">
        <v>36</v>
      </c>
      <c r="J87" s="9">
        <v>60</v>
      </c>
      <c r="K87" s="9" t="s">
        <v>873</v>
      </c>
      <c r="L87" s="27">
        <v>6.4695000000000003E-2</v>
      </c>
      <c r="M87" s="28" t="s">
        <v>3205</v>
      </c>
      <c r="N87" s="17">
        <v>4.235805</v>
      </c>
      <c r="O87" s="1"/>
      <c r="P87" s="38">
        <f t="shared" si="7"/>
        <v>0</v>
      </c>
      <c r="S87" s="24" t="str">
        <f t="shared" si="10"/>
        <v>-</v>
      </c>
      <c r="T87" s="24" t="str">
        <f t="shared" si="8"/>
        <v>-</v>
      </c>
      <c r="U87" s="25" t="str">
        <f t="shared" si="11"/>
        <v>-</v>
      </c>
      <c r="V87" s="26" t="str">
        <f t="shared" si="12"/>
        <v>-</v>
      </c>
      <c r="X87" s="26" t="str">
        <f t="shared" si="9"/>
        <v>-</v>
      </c>
    </row>
    <row r="88" spans="1:24" x14ac:dyDescent="0.3">
      <c r="A88" s="37">
        <v>87614113401</v>
      </c>
      <c r="B88" s="8" t="s">
        <v>151</v>
      </c>
      <c r="C88" s="10" t="s">
        <v>152</v>
      </c>
      <c r="D88" s="11" t="s">
        <v>882</v>
      </c>
      <c r="E88" s="11" t="s">
        <v>958</v>
      </c>
      <c r="F88" s="9">
        <v>20</v>
      </c>
      <c r="G88" s="9">
        <v>60</v>
      </c>
      <c r="H88" s="9" t="s">
        <v>868</v>
      </c>
      <c r="I88" s="9">
        <v>36</v>
      </c>
      <c r="J88" s="9">
        <v>90</v>
      </c>
      <c r="K88" s="9" t="s">
        <v>873</v>
      </c>
      <c r="L88" s="27">
        <v>8.7395E-2</v>
      </c>
      <c r="M88" s="28" t="s">
        <v>3205</v>
      </c>
      <c r="N88" s="17">
        <v>4.418526</v>
      </c>
      <c r="O88" s="1"/>
      <c r="P88" s="38">
        <f t="shared" si="7"/>
        <v>0</v>
      </c>
      <c r="S88" s="24" t="str">
        <f t="shared" si="10"/>
        <v>-</v>
      </c>
      <c r="T88" s="24" t="str">
        <f t="shared" si="8"/>
        <v>-</v>
      </c>
      <c r="U88" s="25" t="str">
        <f t="shared" si="11"/>
        <v>-</v>
      </c>
      <c r="V88" s="26" t="str">
        <f t="shared" si="12"/>
        <v>-</v>
      </c>
      <c r="X88" s="26" t="str">
        <f t="shared" si="9"/>
        <v>-</v>
      </c>
    </row>
    <row r="89" spans="1:24" x14ac:dyDescent="0.3">
      <c r="A89" s="37">
        <v>87614019888</v>
      </c>
      <c r="B89" s="8" t="s">
        <v>451</v>
      </c>
      <c r="C89" s="10" t="s">
        <v>452</v>
      </c>
      <c r="D89" s="11" t="s">
        <v>883</v>
      </c>
      <c r="E89" s="11" t="s">
        <v>977</v>
      </c>
      <c r="F89" s="9">
        <v>20</v>
      </c>
      <c r="G89" s="9">
        <v>60</v>
      </c>
      <c r="H89" s="9" t="s">
        <v>868</v>
      </c>
      <c r="I89" s="9">
        <v>36</v>
      </c>
      <c r="J89" s="9">
        <v>100</v>
      </c>
      <c r="K89" s="9" t="s">
        <v>873</v>
      </c>
      <c r="L89" s="27">
        <v>9.9879999999999997E-2</v>
      </c>
      <c r="M89" s="28" t="s">
        <v>3205</v>
      </c>
      <c r="N89" s="17">
        <v>4.4834999999999994</v>
      </c>
      <c r="O89" s="1"/>
      <c r="P89" s="38">
        <f t="shared" si="7"/>
        <v>0</v>
      </c>
      <c r="S89" s="24" t="str">
        <f t="shared" si="10"/>
        <v>-</v>
      </c>
      <c r="T89" s="24" t="str">
        <f t="shared" si="8"/>
        <v>-</v>
      </c>
      <c r="U89" s="25" t="str">
        <f t="shared" si="11"/>
        <v>-</v>
      </c>
      <c r="V89" s="26" t="str">
        <f t="shared" si="12"/>
        <v>-</v>
      </c>
      <c r="X89" s="26" t="str">
        <f t="shared" si="9"/>
        <v>-</v>
      </c>
    </row>
    <row r="90" spans="1:24" x14ac:dyDescent="0.3">
      <c r="A90" s="37">
        <v>87614113364</v>
      </c>
      <c r="B90" s="8" t="s">
        <v>148</v>
      </c>
      <c r="C90" s="10" t="s">
        <v>3072</v>
      </c>
      <c r="D90" s="11" t="s">
        <v>884</v>
      </c>
      <c r="E90" s="11" t="s">
        <v>982</v>
      </c>
      <c r="F90" s="9">
        <v>30</v>
      </c>
      <c r="G90" s="9">
        <v>90</v>
      </c>
      <c r="H90" s="9" t="s">
        <v>868</v>
      </c>
      <c r="I90" s="9">
        <v>36</v>
      </c>
      <c r="J90" s="9">
        <v>60</v>
      </c>
      <c r="K90" s="9" t="s">
        <v>2903</v>
      </c>
      <c r="L90" s="27">
        <v>8.1720000000000001E-2</v>
      </c>
      <c r="M90" s="28" t="s">
        <v>3205</v>
      </c>
      <c r="N90" s="17">
        <v>4.6344689999999993</v>
      </c>
      <c r="O90" s="1"/>
      <c r="P90" s="38">
        <f t="shared" si="7"/>
        <v>0</v>
      </c>
      <c r="S90" s="24" t="str">
        <f t="shared" si="10"/>
        <v>-</v>
      </c>
      <c r="T90" s="24" t="str">
        <f t="shared" si="8"/>
        <v>-</v>
      </c>
      <c r="U90" s="25" t="str">
        <f t="shared" si="11"/>
        <v>-</v>
      </c>
      <c r="V90" s="26" t="str">
        <f t="shared" si="12"/>
        <v>-</v>
      </c>
      <c r="X90" s="26" t="str">
        <f t="shared" si="9"/>
        <v>-</v>
      </c>
    </row>
    <row r="91" spans="1:24" x14ac:dyDescent="0.3">
      <c r="A91" s="37">
        <v>87614115894</v>
      </c>
      <c r="B91" s="8" t="s">
        <v>237</v>
      </c>
      <c r="C91" s="10" t="s">
        <v>238</v>
      </c>
      <c r="D91" s="11" t="s">
        <v>883</v>
      </c>
      <c r="E91" s="11" t="s">
        <v>977</v>
      </c>
      <c r="F91" s="9">
        <v>30</v>
      </c>
      <c r="G91" s="9">
        <v>90</v>
      </c>
      <c r="H91" s="9" t="s">
        <v>868</v>
      </c>
      <c r="I91" s="9">
        <v>36</v>
      </c>
      <c r="J91" s="9">
        <v>60</v>
      </c>
      <c r="K91" s="9" t="s">
        <v>873</v>
      </c>
      <c r="L91" s="27">
        <v>9.5340000000000008E-2</v>
      </c>
      <c r="M91" s="28" t="s">
        <v>3205</v>
      </c>
      <c r="N91" s="17">
        <v>4.6344689999999993</v>
      </c>
      <c r="O91" s="1"/>
      <c r="P91" s="38">
        <f t="shared" si="7"/>
        <v>0</v>
      </c>
      <c r="S91" s="24" t="str">
        <f t="shared" si="10"/>
        <v>-</v>
      </c>
      <c r="T91" s="24" t="str">
        <f t="shared" si="8"/>
        <v>-</v>
      </c>
      <c r="U91" s="25" t="str">
        <f t="shared" si="11"/>
        <v>-</v>
      </c>
      <c r="V91" s="26" t="str">
        <f t="shared" si="12"/>
        <v>-</v>
      </c>
      <c r="X91" s="26" t="str">
        <f t="shared" si="9"/>
        <v>-</v>
      </c>
    </row>
    <row r="92" spans="1:24" x14ac:dyDescent="0.3">
      <c r="A92" s="37">
        <v>87614019611</v>
      </c>
      <c r="B92" s="8" t="s">
        <v>432</v>
      </c>
      <c r="C92" s="10" t="s">
        <v>2994</v>
      </c>
      <c r="D92" s="11" t="s">
        <v>886</v>
      </c>
      <c r="E92" s="11" t="s">
        <v>1039</v>
      </c>
      <c r="F92" s="9">
        <v>30</v>
      </c>
      <c r="G92" s="9">
        <v>90</v>
      </c>
      <c r="H92" s="9" t="s">
        <v>868</v>
      </c>
      <c r="I92" s="9">
        <v>36</v>
      </c>
      <c r="J92" s="9">
        <v>100</v>
      </c>
      <c r="K92" s="9" t="s">
        <v>2903</v>
      </c>
      <c r="L92" s="27">
        <v>9.9879999999999997E-2</v>
      </c>
      <c r="M92" s="28" t="s">
        <v>3205</v>
      </c>
      <c r="N92" s="17">
        <v>5.0663549999999997</v>
      </c>
      <c r="O92" s="1"/>
      <c r="P92" s="38">
        <f t="shared" si="7"/>
        <v>0</v>
      </c>
      <c r="S92" s="24" t="str">
        <f t="shared" si="10"/>
        <v>-</v>
      </c>
      <c r="T92" s="24" t="str">
        <f t="shared" si="8"/>
        <v>-</v>
      </c>
      <c r="U92" s="25" t="str">
        <f t="shared" si="11"/>
        <v>-</v>
      </c>
      <c r="V92" s="26" t="str">
        <f t="shared" si="12"/>
        <v>-</v>
      </c>
      <c r="X92" s="26" t="str">
        <f t="shared" si="9"/>
        <v>-</v>
      </c>
    </row>
    <row r="93" spans="1:24" x14ac:dyDescent="0.3">
      <c r="A93" s="37">
        <v>87614010359</v>
      </c>
      <c r="B93" s="8" t="s">
        <v>19</v>
      </c>
      <c r="C93" s="10" t="s">
        <v>3074</v>
      </c>
      <c r="D93" s="11" t="s">
        <v>875</v>
      </c>
      <c r="E93" s="11" t="s">
        <v>2811</v>
      </c>
      <c r="F93" s="9">
        <v>30</v>
      </c>
      <c r="G93" s="9">
        <v>90</v>
      </c>
      <c r="H93" s="9" t="s">
        <v>868</v>
      </c>
      <c r="I93" s="9">
        <v>36</v>
      </c>
      <c r="J93" s="9">
        <v>250</v>
      </c>
      <c r="K93" s="9" t="s">
        <v>2903</v>
      </c>
      <c r="L93" s="27">
        <v>0.11236500000000001</v>
      </c>
      <c r="M93" s="28" t="s">
        <v>3205</v>
      </c>
      <c r="N93" s="17">
        <v>5.2490760000000005</v>
      </c>
      <c r="O93" s="1"/>
      <c r="P93" s="38">
        <f t="shared" si="7"/>
        <v>0</v>
      </c>
      <c r="S93" s="24" t="str">
        <f t="shared" si="10"/>
        <v>-</v>
      </c>
      <c r="T93" s="24" t="str">
        <f t="shared" si="8"/>
        <v>-</v>
      </c>
      <c r="U93" s="25" t="str">
        <f t="shared" si="11"/>
        <v>-</v>
      </c>
      <c r="V93" s="26" t="str">
        <f t="shared" si="12"/>
        <v>-</v>
      </c>
      <c r="X93" s="26" t="str">
        <f t="shared" si="9"/>
        <v>-</v>
      </c>
    </row>
    <row r="94" spans="1:24" x14ac:dyDescent="0.3">
      <c r="A94" s="37">
        <v>87614113548</v>
      </c>
      <c r="B94" s="8" t="s">
        <v>159</v>
      </c>
      <c r="C94" s="10" t="s">
        <v>160</v>
      </c>
      <c r="D94" s="11" t="s">
        <v>891</v>
      </c>
      <c r="E94" s="11" t="s">
        <v>983</v>
      </c>
      <c r="F94" s="9">
        <v>20</v>
      </c>
      <c r="G94" s="9">
        <v>60</v>
      </c>
      <c r="H94" s="9" t="s">
        <v>868</v>
      </c>
      <c r="I94" s="9">
        <v>36</v>
      </c>
      <c r="J94" s="9">
        <v>90</v>
      </c>
      <c r="K94" s="9" t="s">
        <v>873</v>
      </c>
      <c r="L94" s="27">
        <v>0.103285</v>
      </c>
      <c r="M94" s="28" t="s">
        <v>3205</v>
      </c>
      <c r="N94" s="17">
        <v>5.4317969999999995</v>
      </c>
      <c r="O94" s="1"/>
      <c r="P94" s="38">
        <f t="shared" si="7"/>
        <v>0</v>
      </c>
      <c r="S94" s="24" t="str">
        <f t="shared" si="10"/>
        <v>-</v>
      </c>
      <c r="T94" s="24" t="str">
        <f t="shared" si="8"/>
        <v>-</v>
      </c>
      <c r="U94" s="25" t="str">
        <f t="shared" si="11"/>
        <v>-</v>
      </c>
      <c r="V94" s="26" t="str">
        <f t="shared" si="12"/>
        <v>-</v>
      </c>
      <c r="X94" s="26" t="str">
        <f t="shared" si="9"/>
        <v>-</v>
      </c>
    </row>
    <row r="95" spans="1:24" x14ac:dyDescent="0.3">
      <c r="A95" s="37">
        <v>87614019024</v>
      </c>
      <c r="B95" s="8" t="s">
        <v>404</v>
      </c>
      <c r="C95" s="10" t="s">
        <v>405</v>
      </c>
      <c r="D95" s="11" t="s">
        <v>902</v>
      </c>
      <c r="E95" s="11" t="s">
        <v>933</v>
      </c>
      <c r="F95" s="9">
        <v>48</v>
      </c>
      <c r="G95" s="9">
        <v>192</v>
      </c>
      <c r="H95" s="9" t="s">
        <v>868</v>
      </c>
      <c r="I95" s="9">
        <v>24</v>
      </c>
      <c r="J95" s="9">
        <v>60</v>
      </c>
      <c r="K95" s="9" t="s">
        <v>869</v>
      </c>
      <c r="L95" s="27">
        <v>5.2209999999999999E-2</v>
      </c>
      <c r="M95" s="28" t="s">
        <v>3205</v>
      </c>
      <c r="N95" s="17">
        <v>5.6311290000000005</v>
      </c>
      <c r="O95" s="1"/>
      <c r="P95" s="38">
        <f t="shared" si="7"/>
        <v>0</v>
      </c>
      <c r="S95" s="24" t="str">
        <f t="shared" si="10"/>
        <v>-</v>
      </c>
      <c r="T95" s="24" t="str">
        <f t="shared" si="8"/>
        <v>-</v>
      </c>
      <c r="U95" s="25" t="str">
        <f t="shared" si="11"/>
        <v>-</v>
      </c>
      <c r="V95" s="26" t="str">
        <f t="shared" si="12"/>
        <v>-</v>
      </c>
      <c r="X95" s="26" t="str">
        <f t="shared" si="9"/>
        <v>-</v>
      </c>
    </row>
    <row r="96" spans="1:24" x14ac:dyDescent="0.3">
      <c r="A96" s="37">
        <v>87614114200</v>
      </c>
      <c r="B96" s="8" t="s">
        <v>190</v>
      </c>
      <c r="C96" s="10" t="s">
        <v>191</v>
      </c>
      <c r="D96" s="11" t="s">
        <v>881</v>
      </c>
      <c r="E96" s="11" t="s">
        <v>939</v>
      </c>
      <c r="F96" s="9">
        <v>20</v>
      </c>
      <c r="G96" s="9">
        <v>60</v>
      </c>
      <c r="H96" s="9" t="s">
        <v>868</v>
      </c>
      <c r="I96" s="9">
        <v>36</v>
      </c>
      <c r="J96" s="9">
        <v>90</v>
      </c>
      <c r="K96" s="9" t="s">
        <v>873</v>
      </c>
      <c r="L96" s="27">
        <v>0.13733499999999998</v>
      </c>
      <c r="M96" s="28" t="s">
        <v>3205</v>
      </c>
      <c r="N96" s="17">
        <v>6.345402</v>
      </c>
      <c r="O96" s="1"/>
      <c r="P96" s="38">
        <f t="shared" si="7"/>
        <v>0</v>
      </c>
      <c r="S96" s="24" t="str">
        <f t="shared" si="10"/>
        <v>-</v>
      </c>
      <c r="T96" s="24" t="str">
        <f t="shared" si="8"/>
        <v>-</v>
      </c>
      <c r="U96" s="25" t="str">
        <f t="shared" si="11"/>
        <v>-</v>
      </c>
      <c r="V96" s="26" t="str">
        <f t="shared" si="12"/>
        <v>-</v>
      </c>
      <c r="X96" s="26" t="str">
        <f t="shared" si="9"/>
        <v>-</v>
      </c>
    </row>
    <row r="97" spans="1:24" x14ac:dyDescent="0.3">
      <c r="A97" s="37">
        <v>87614117164</v>
      </c>
      <c r="B97" s="8" t="s">
        <v>267</v>
      </c>
      <c r="C97" s="10" t="s">
        <v>268</v>
      </c>
      <c r="D97" s="11" t="s">
        <v>872</v>
      </c>
      <c r="E97" s="11" t="s">
        <v>1011</v>
      </c>
      <c r="F97" s="9">
        <v>16</v>
      </c>
      <c r="G97" s="9">
        <v>48</v>
      </c>
      <c r="H97" s="9" t="s">
        <v>868</v>
      </c>
      <c r="I97" s="9">
        <v>36</v>
      </c>
      <c r="J97" s="9">
        <v>120</v>
      </c>
      <c r="K97" s="9" t="s">
        <v>873</v>
      </c>
      <c r="L97" s="27">
        <v>0.15436000000000002</v>
      </c>
      <c r="M97" s="28" t="s">
        <v>3205</v>
      </c>
      <c r="N97" s="17">
        <v>6.8603430000000003</v>
      </c>
      <c r="O97" s="1"/>
      <c r="P97" s="38">
        <f t="shared" si="7"/>
        <v>0</v>
      </c>
      <c r="S97" s="24" t="str">
        <f t="shared" si="10"/>
        <v>-</v>
      </c>
      <c r="T97" s="24" t="str">
        <f t="shared" si="8"/>
        <v>-</v>
      </c>
      <c r="U97" s="25" t="str">
        <f t="shared" si="11"/>
        <v>-</v>
      </c>
      <c r="V97" s="26" t="str">
        <f t="shared" si="12"/>
        <v>-</v>
      </c>
      <c r="X97" s="26" t="str">
        <f t="shared" si="9"/>
        <v>-</v>
      </c>
    </row>
    <row r="98" spans="1:24" x14ac:dyDescent="0.3">
      <c r="A98" s="37">
        <v>87614112237</v>
      </c>
      <c r="B98" s="8" t="s">
        <v>1515</v>
      </c>
      <c r="C98" s="10" t="s">
        <v>2276</v>
      </c>
      <c r="D98" s="11" t="s">
        <v>899</v>
      </c>
      <c r="E98" s="11" t="s">
        <v>967</v>
      </c>
      <c r="F98" s="9">
        <v>30</v>
      </c>
      <c r="G98" s="9">
        <v>90</v>
      </c>
      <c r="H98" s="9" t="s">
        <v>868</v>
      </c>
      <c r="I98" s="9">
        <v>36</v>
      </c>
      <c r="J98" s="9">
        <v>60</v>
      </c>
      <c r="K98" s="9" t="s">
        <v>873</v>
      </c>
      <c r="L98" s="27">
        <v>6.2425000000000001E-2</v>
      </c>
      <c r="M98" s="28" t="s">
        <v>3205</v>
      </c>
      <c r="N98" s="17">
        <v>8.8204410000000006</v>
      </c>
      <c r="O98" s="1"/>
      <c r="P98" s="38">
        <f t="shared" si="7"/>
        <v>0</v>
      </c>
      <c r="S98" s="24" t="str">
        <f t="shared" si="10"/>
        <v>-</v>
      </c>
      <c r="T98" s="24" t="str">
        <f t="shared" si="8"/>
        <v>-</v>
      </c>
      <c r="U98" s="25" t="str">
        <f t="shared" si="11"/>
        <v>-</v>
      </c>
      <c r="V98" s="26" t="str">
        <f t="shared" si="12"/>
        <v>-</v>
      </c>
      <c r="X98" s="26" t="str">
        <f t="shared" si="9"/>
        <v>-</v>
      </c>
    </row>
    <row r="99" spans="1:24" x14ac:dyDescent="0.3">
      <c r="A99" s="37">
        <v>87614141435</v>
      </c>
      <c r="B99" s="8" t="s">
        <v>548</v>
      </c>
      <c r="C99" s="10" t="s">
        <v>549</v>
      </c>
      <c r="D99" s="11" t="s">
        <v>882</v>
      </c>
      <c r="E99" s="11" t="s">
        <v>960</v>
      </c>
      <c r="F99" s="9">
        <v>20</v>
      </c>
      <c r="G99" s="9">
        <v>60</v>
      </c>
      <c r="H99" s="9" t="s">
        <v>868</v>
      </c>
      <c r="I99" s="9">
        <v>36</v>
      </c>
      <c r="J99" s="9">
        <v>90</v>
      </c>
      <c r="K99" s="9" t="s">
        <v>873</v>
      </c>
      <c r="L99" s="27">
        <v>0.10101499999999999</v>
      </c>
      <c r="M99" s="28" t="s">
        <v>3205</v>
      </c>
      <c r="N99" s="17">
        <v>8.8868849999999995</v>
      </c>
      <c r="O99" s="1"/>
      <c r="P99" s="38">
        <f t="shared" si="7"/>
        <v>0</v>
      </c>
      <c r="S99" s="24" t="str">
        <f t="shared" si="10"/>
        <v>-</v>
      </c>
      <c r="T99" s="24" t="str">
        <f t="shared" si="8"/>
        <v>-</v>
      </c>
      <c r="U99" s="25" t="str">
        <f t="shared" si="11"/>
        <v>-</v>
      </c>
      <c r="V99" s="26" t="str">
        <f t="shared" si="12"/>
        <v>-</v>
      </c>
      <c r="X99" s="26" t="str">
        <f t="shared" si="9"/>
        <v>-</v>
      </c>
    </row>
    <row r="100" spans="1:24" x14ac:dyDescent="0.3">
      <c r="A100" s="37">
        <v>87614118093</v>
      </c>
      <c r="B100" s="8" t="s">
        <v>289</v>
      </c>
      <c r="C100" s="10" t="s">
        <v>290</v>
      </c>
      <c r="D100" s="11" t="s">
        <v>870</v>
      </c>
      <c r="E100" s="11" t="s">
        <v>2846</v>
      </c>
      <c r="F100" s="9">
        <v>48</v>
      </c>
      <c r="G100" s="9">
        <v>192</v>
      </c>
      <c r="H100" s="9" t="s">
        <v>892</v>
      </c>
      <c r="I100" s="9">
        <v>24</v>
      </c>
      <c r="J100" s="9">
        <v>60</v>
      </c>
      <c r="K100" s="9" t="s">
        <v>889</v>
      </c>
      <c r="L100" s="27">
        <v>3.2915E-2</v>
      </c>
      <c r="M100" s="28" t="s">
        <v>3205</v>
      </c>
      <c r="N100" s="17">
        <v>10.680873</v>
      </c>
      <c r="O100" s="1"/>
      <c r="P100" s="38">
        <f t="shared" si="7"/>
        <v>0</v>
      </c>
      <c r="S100" s="24" t="str">
        <f t="shared" si="10"/>
        <v>-</v>
      </c>
      <c r="T100" s="24" t="str">
        <f t="shared" si="8"/>
        <v>-</v>
      </c>
      <c r="U100" s="25" t="str">
        <f t="shared" si="11"/>
        <v>-</v>
      </c>
      <c r="V100" s="26" t="str">
        <f t="shared" si="12"/>
        <v>-</v>
      </c>
      <c r="X100" s="26" t="str">
        <f t="shared" si="9"/>
        <v>-</v>
      </c>
    </row>
    <row r="101" spans="1:24" x14ac:dyDescent="0.3">
      <c r="A101" s="37">
        <v>87614010014</v>
      </c>
      <c r="B101" s="8" t="s">
        <v>2</v>
      </c>
      <c r="C101" s="10" t="s">
        <v>3</v>
      </c>
      <c r="D101" s="11" t="s">
        <v>866</v>
      </c>
      <c r="E101" s="11" t="s">
        <v>867</v>
      </c>
      <c r="F101" s="9">
        <v>30</v>
      </c>
      <c r="G101" s="9">
        <v>90</v>
      </c>
      <c r="H101" s="9" t="s">
        <v>868</v>
      </c>
      <c r="I101" s="9">
        <v>36</v>
      </c>
      <c r="J101" s="9">
        <v>250</v>
      </c>
      <c r="K101" s="9" t="s">
        <v>869</v>
      </c>
      <c r="L101" s="27">
        <v>7.3775000000000007E-2</v>
      </c>
      <c r="M101" s="28" t="s">
        <v>3205</v>
      </c>
      <c r="N101" s="17">
        <v>5.5979070000000002</v>
      </c>
      <c r="O101" s="1"/>
      <c r="P101" s="38">
        <f t="shared" si="7"/>
        <v>0</v>
      </c>
      <c r="S101" s="24" t="str">
        <f t="shared" si="10"/>
        <v>-</v>
      </c>
      <c r="T101" s="24" t="str">
        <f t="shared" si="8"/>
        <v>-</v>
      </c>
      <c r="U101" s="25" t="str">
        <f t="shared" si="11"/>
        <v>-</v>
      </c>
      <c r="V101" s="26" t="str">
        <f t="shared" si="12"/>
        <v>-</v>
      </c>
      <c r="X101" s="26" t="str">
        <f t="shared" si="9"/>
        <v>-</v>
      </c>
    </row>
    <row r="102" spans="1:24" x14ac:dyDescent="0.3">
      <c r="A102" s="37">
        <v>87614010090</v>
      </c>
      <c r="B102" s="8" t="s">
        <v>8</v>
      </c>
      <c r="C102" s="10" t="s">
        <v>9</v>
      </c>
      <c r="D102" s="11" t="s">
        <v>866</v>
      </c>
      <c r="E102" s="11" t="s">
        <v>867</v>
      </c>
      <c r="F102" s="9">
        <v>48</v>
      </c>
      <c r="G102" s="9">
        <v>192</v>
      </c>
      <c r="H102" s="9" t="s">
        <v>868</v>
      </c>
      <c r="I102" s="9">
        <v>36</v>
      </c>
      <c r="J102" s="9">
        <v>100</v>
      </c>
      <c r="K102" s="9" t="s">
        <v>869</v>
      </c>
      <c r="L102" s="27">
        <v>3.7455000000000002E-2</v>
      </c>
      <c r="M102" s="28" t="s">
        <v>3205</v>
      </c>
      <c r="N102" s="17">
        <v>2.6079270000000001</v>
      </c>
      <c r="O102" s="1"/>
      <c r="P102" s="38">
        <f t="shared" si="7"/>
        <v>0</v>
      </c>
      <c r="S102" s="24" t="str">
        <f t="shared" si="10"/>
        <v>-</v>
      </c>
      <c r="T102" s="24" t="str">
        <f t="shared" si="8"/>
        <v>-</v>
      </c>
      <c r="U102" s="25" t="str">
        <f t="shared" si="11"/>
        <v>-</v>
      </c>
      <c r="V102" s="26" t="str">
        <f t="shared" si="12"/>
        <v>-</v>
      </c>
      <c r="X102" s="26" t="str">
        <f t="shared" si="9"/>
        <v>-</v>
      </c>
    </row>
    <row r="103" spans="1:24" x14ac:dyDescent="0.3">
      <c r="A103" s="37">
        <v>87614010106</v>
      </c>
      <c r="B103" s="8" t="s">
        <v>10</v>
      </c>
      <c r="C103" s="10" t="s">
        <v>11</v>
      </c>
      <c r="D103" s="11" t="s">
        <v>866</v>
      </c>
      <c r="E103" s="11" t="s">
        <v>867</v>
      </c>
      <c r="F103" s="9">
        <v>30</v>
      </c>
      <c r="G103" s="9">
        <v>90</v>
      </c>
      <c r="H103" s="9" t="s">
        <v>868</v>
      </c>
      <c r="I103" s="9">
        <v>36</v>
      </c>
      <c r="J103" s="9">
        <v>250</v>
      </c>
      <c r="K103" s="9" t="s">
        <v>869</v>
      </c>
      <c r="L103" s="27">
        <v>7.4910000000000004E-2</v>
      </c>
      <c r="M103" s="28" t="s">
        <v>3205</v>
      </c>
      <c r="N103" s="17">
        <v>5.9301269999999997</v>
      </c>
      <c r="O103" s="1"/>
      <c r="P103" s="38">
        <f t="shared" si="7"/>
        <v>0</v>
      </c>
      <c r="S103" s="24" t="str">
        <f t="shared" si="10"/>
        <v>-</v>
      </c>
      <c r="T103" s="24" t="str">
        <f t="shared" si="8"/>
        <v>-</v>
      </c>
      <c r="U103" s="25" t="str">
        <f t="shared" si="11"/>
        <v>-</v>
      </c>
      <c r="V103" s="26" t="str">
        <f t="shared" si="12"/>
        <v>-</v>
      </c>
      <c r="X103" s="26" t="str">
        <f t="shared" si="9"/>
        <v>-</v>
      </c>
    </row>
    <row r="104" spans="1:24" x14ac:dyDescent="0.3">
      <c r="A104" s="37">
        <v>87614010182</v>
      </c>
      <c r="B104" s="8" t="s">
        <v>14</v>
      </c>
      <c r="C104" s="10" t="s">
        <v>15</v>
      </c>
      <c r="D104" s="11" t="s">
        <v>872</v>
      </c>
      <c r="E104" s="11" t="s">
        <v>913</v>
      </c>
      <c r="F104" s="9">
        <v>30</v>
      </c>
      <c r="G104" s="9">
        <v>90</v>
      </c>
      <c r="H104" s="9" t="s">
        <v>868</v>
      </c>
      <c r="I104" s="9">
        <v>36</v>
      </c>
      <c r="J104" s="9">
        <v>100</v>
      </c>
      <c r="K104" s="9" t="s">
        <v>873</v>
      </c>
      <c r="L104" s="27">
        <v>7.9450000000000007E-2</v>
      </c>
      <c r="M104" s="28" t="s">
        <v>3205</v>
      </c>
      <c r="N104" s="17">
        <v>5.2158540000000002</v>
      </c>
      <c r="O104" s="1"/>
      <c r="P104" s="38">
        <f t="shared" si="7"/>
        <v>0</v>
      </c>
      <c r="S104" s="24" t="str">
        <f t="shared" si="10"/>
        <v>-</v>
      </c>
      <c r="T104" s="24" t="str">
        <f t="shared" si="8"/>
        <v>-</v>
      </c>
      <c r="U104" s="25" t="str">
        <f t="shared" si="11"/>
        <v>-</v>
      </c>
      <c r="V104" s="26" t="str">
        <f t="shared" si="12"/>
        <v>-</v>
      </c>
      <c r="X104" s="26" t="str">
        <f t="shared" si="9"/>
        <v>-</v>
      </c>
    </row>
    <row r="105" spans="1:24" x14ac:dyDescent="0.3">
      <c r="A105" s="37">
        <v>87614010571</v>
      </c>
      <c r="B105" s="8" t="s">
        <v>30</v>
      </c>
      <c r="C105" s="10" t="s">
        <v>31</v>
      </c>
      <c r="D105" s="11" t="s">
        <v>866</v>
      </c>
      <c r="E105" s="11" t="s">
        <v>918</v>
      </c>
      <c r="F105" s="9">
        <v>30</v>
      </c>
      <c r="G105" s="9">
        <v>90</v>
      </c>
      <c r="H105" s="9" t="s">
        <v>868</v>
      </c>
      <c r="I105" s="9">
        <v>24</v>
      </c>
      <c r="J105" s="9">
        <v>100</v>
      </c>
      <c r="K105" s="9" t="s">
        <v>873</v>
      </c>
      <c r="L105" s="27">
        <v>0.10896</v>
      </c>
      <c r="M105" s="28" t="s">
        <v>3205</v>
      </c>
      <c r="N105" s="17">
        <v>7.2423960000000003</v>
      </c>
      <c r="O105" s="1"/>
      <c r="P105" s="38">
        <f t="shared" si="7"/>
        <v>0</v>
      </c>
      <c r="S105" s="24" t="str">
        <f t="shared" si="10"/>
        <v>-</v>
      </c>
      <c r="T105" s="24" t="str">
        <f t="shared" si="8"/>
        <v>-</v>
      </c>
      <c r="U105" s="25" t="str">
        <f t="shared" si="11"/>
        <v>-</v>
      </c>
      <c r="V105" s="26" t="str">
        <f t="shared" si="12"/>
        <v>-</v>
      </c>
      <c r="X105" s="26" t="str">
        <f t="shared" si="9"/>
        <v>-</v>
      </c>
    </row>
    <row r="106" spans="1:24" x14ac:dyDescent="0.3">
      <c r="A106" s="37">
        <v>87614110011</v>
      </c>
      <c r="B106" s="8" t="s">
        <v>36</v>
      </c>
      <c r="C106" s="10" t="s">
        <v>3112</v>
      </c>
      <c r="D106" s="11" t="s">
        <v>878</v>
      </c>
      <c r="E106" s="11" t="s">
        <v>921</v>
      </c>
      <c r="F106" s="9">
        <v>20</v>
      </c>
      <c r="G106" s="9">
        <v>60</v>
      </c>
      <c r="H106" s="9" t="s">
        <v>868</v>
      </c>
      <c r="I106" s="9">
        <v>36</v>
      </c>
      <c r="J106" s="9">
        <v>100</v>
      </c>
      <c r="K106" s="9" t="s">
        <v>3049</v>
      </c>
      <c r="L106" s="27">
        <v>0.19521999999999998</v>
      </c>
      <c r="M106" s="28" t="s">
        <v>3205</v>
      </c>
      <c r="N106" s="17">
        <v>13.006412999999998</v>
      </c>
      <c r="O106" s="1"/>
      <c r="P106" s="38">
        <f t="shared" si="7"/>
        <v>0</v>
      </c>
      <c r="S106" s="24" t="str">
        <f t="shared" si="10"/>
        <v>-</v>
      </c>
      <c r="T106" s="24" t="str">
        <f t="shared" si="8"/>
        <v>-</v>
      </c>
      <c r="U106" s="25" t="str">
        <f t="shared" si="11"/>
        <v>-</v>
      </c>
      <c r="V106" s="26" t="str">
        <f t="shared" si="12"/>
        <v>-</v>
      </c>
      <c r="X106" s="26" t="str">
        <f t="shared" si="9"/>
        <v>-</v>
      </c>
    </row>
    <row r="107" spans="1:24" x14ac:dyDescent="0.3">
      <c r="A107" s="37">
        <v>87614110097</v>
      </c>
      <c r="B107" s="8" t="s">
        <v>1244</v>
      </c>
      <c r="C107" s="10" t="s">
        <v>2941</v>
      </c>
      <c r="D107" s="11" t="s">
        <v>883</v>
      </c>
      <c r="E107" s="11" t="s">
        <v>926</v>
      </c>
      <c r="F107" s="9">
        <v>20</v>
      </c>
      <c r="G107" s="9">
        <v>60</v>
      </c>
      <c r="H107" s="9" t="s">
        <v>868</v>
      </c>
      <c r="I107" s="9">
        <v>36</v>
      </c>
      <c r="J107" s="9">
        <v>120</v>
      </c>
      <c r="K107" s="9" t="s">
        <v>877</v>
      </c>
      <c r="L107" s="27">
        <v>0.164575</v>
      </c>
      <c r="M107" s="28" t="s">
        <v>3205</v>
      </c>
      <c r="N107" s="17">
        <v>10.365264</v>
      </c>
      <c r="O107" s="1"/>
      <c r="P107" s="38">
        <f t="shared" si="7"/>
        <v>0</v>
      </c>
      <c r="S107" s="24" t="str">
        <f t="shared" si="10"/>
        <v>-</v>
      </c>
      <c r="T107" s="24" t="str">
        <f t="shared" si="8"/>
        <v>-</v>
      </c>
      <c r="U107" s="25" t="str">
        <f t="shared" si="11"/>
        <v>-</v>
      </c>
      <c r="V107" s="26" t="str">
        <f t="shared" si="12"/>
        <v>-</v>
      </c>
      <c r="X107" s="26" t="str">
        <f t="shared" si="9"/>
        <v>-</v>
      </c>
    </row>
    <row r="108" spans="1:24" x14ac:dyDescent="0.3">
      <c r="A108" s="37">
        <v>87614110394</v>
      </c>
      <c r="B108" s="8" t="s">
        <v>52</v>
      </c>
      <c r="C108" s="10" t="s">
        <v>53</v>
      </c>
      <c r="D108" s="11" t="s">
        <v>884</v>
      </c>
      <c r="E108" s="11" t="s">
        <v>931</v>
      </c>
      <c r="F108" s="9">
        <v>30</v>
      </c>
      <c r="G108" s="9">
        <v>90</v>
      </c>
      <c r="H108" s="9" t="s">
        <v>868</v>
      </c>
      <c r="I108" s="9">
        <v>36</v>
      </c>
      <c r="J108" s="9">
        <v>100</v>
      </c>
      <c r="K108" s="9" t="s">
        <v>873</v>
      </c>
      <c r="L108" s="27">
        <v>9.8744999999999999E-2</v>
      </c>
      <c r="M108" s="28" t="s">
        <v>3205</v>
      </c>
      <c r="N108" s="17">
        <v>4.6843019999999997</v>
      </c>
      <c r="O108" s="1"/>
      <c r="P108" s="38">
        <f t="shared" si="7"/>
        <v>0</v>
      </c>
      <c r="S108" s="24" t="str">
        <f t="shared" si="10"/>
        <v>-</v>
      </c>
      <c r="T108" s="24" t="str">
        <f t="shared" si="8"/>
        <v>-</v>
      </c>
      <c r="U108" s="25" t="str">
        <f t="shared" si="11"/>
        <v>-</v>
      </c>
      <c r="V108" s="26" t="str">
        <f t="shared" si="12"/>
        <v>-</v>
      </c>
      <c r="X108" s="26" t="str">
        <f t="shared" si="9"/>
        <v>-</v>
      </c>
    </row>
    <row r="109" spans="1:24" x14ac:dyDescent="0.3">
      <c r="A109" s="37">
        <v>87614110547</v>
      </c>
      <c r="B109" s="8" t="s">
        <v>54</v>
      </c>
      <c r="C109" s="10" t="s">
        <v>2945</v>
      </c>
      <c r="D109" s="11" t="s">
        <v>882</v>
      </c>
      <c r="E109" s="11" t="s">
        <v>920</v>
      </c>
      <c r="F109" s="9">
        <v>16</v>
      </c>
      <c r="G109" s="9">
        <v>48</v>
      </c>
      <c r="H109" s="9" t="s">
        <v>868</v>
      </c>
      <c r="I109" s="9">
        <v>24</v>
      </c>
      <c r="J109" s="9">
        <v>90</v>
      </c>
      <c r="K109" s="9" t="s">
        <v>2903</v>
      </c>
      <c r="L109" s="27">
        <v>0.164575</v>
      </c>
      <c r="M109" s="28" t="s">
        <v>3205</v>
      </c>
      <c r="N109" s="17">
        <v>4.7341350000000002</v>
      </c>
      <c r="O109" s="1"/>
      <c r="P109" s="38">
        <f t="shared" si="7"/>
        <v>0</v>
      </c>
      <c r="S109" s="24" t="str">
        <f t="shared" si="10"/>
        <v>-</v>
      </c>
      <c r="T109" s="24" t="str">
        <f t="shared" si="8"/>
        <v>-</v>
      </c>
      <c r="U109" s="25" t="str">
        <f t="shared" si="11"/>
        <v>-</v>
      </c>
      <c r="V109" s="26" t="str">
        <f t="shared" si="12"/>
        <v>-</v>
      </c>
      <c r="X109" s="26" t="str">
        <f t="shared" si="9"/>
        <v>-</v>
      </c>
    </row>
    <row r="110" spans="1:24" x14ac:dyDescent="0.3">
      <c r="A110" s="37">
        <v>87614110653</v>
      </c>
      <c r="B110" s="8" t="s">
        <v>56</v>
      </c>
      <c r="C110" s="10" t="s">
        <v>2947</v>
      </c>
      <c r="D110" s="11" t="s">
        <v>875</v>
      </c>
      <c r="E110" s="11" t="s">
        <v>935</v>
      </c>
      <c r="F110" s="9">
        <v>20</v>
      </c>
      <c r="G110" s="9">
        <v>60</v>
      </c>
      <c r="H110" s="9" t="s">
        <v>868</v>
      </c>
      <c r="I110" s="9">
        <v>36</v>
      </c>
      <c r="J110" s="9">
        <v>120</v>
      </c>
      <c r="K110" s="9" t="s">
        <v>2903</v>
      </c>
      <c r="L110" s="27">
        <v>0.105555</v>
      </c>
      <c r="M110" s="28" t="s">
        <v>3205</v>
      </c>
      <c r="N110" s="17">
        <v>4.8338010000000002</v>
      </c>
      <c r="O110" s="1"/>
      <c r="P110" s="38">
        <f t="shared" si="7"/>
        <v>0</v>
      </c>
      <c r="S110" s="24" t="str">
        <f t="shared" si="10"/>
        <v>-</v>
      </c>
      <c r="T110" s="24" t="str">
        <f t="shared" si="8"/>
        <v>-</v>
      </c>
      <c r="U110" s="25" t="str">
        <f t="shared" si="11"/>
        <v>-</v>
      </c>
      <c r="V110" s="26" t="str">
        <f t="shared" si="12"/>
        <v>-</v>
      </c>
      <c r="X110" s="26" t="str">
        <f t="shared" si="9"/>
        <v>-</v>
      </c>
    </row>
    <row r="111" spans="1:24" x14ac:dyDescent="0.3">
      <c r="A111" s="37">
        <v>87614110752</v>
      </c>
      <c r="B111" s="8" t="s">
        <v>59</v>
      </c>
      <c r="C111" s="10" t="s">
        <v>2948</v>
      </c>
      <c r="D111" s="11" t="s">
        <v>883</v>
      </c>
      <c r="E111" s="11" t="s">
        <v>938</v>
      </c>
      <c r="F111" s="9">
        <v>12</v>
      </c>
      <c r="G111" s="9">
        <v>24</v>
      </c>
      <c r="H111" s="9" t="s">
        <v>868</v>
      </c>
      <c r="I111" s="9">
        <v>36</v>
      </c>
      <c r="J111" s="9">
        <v>240</v>
      </c>
      <c r="K111" s="9" t="s">
        <v>2903</v>
      </c>
      <c r="L111" s="27">
        <v>0.30304500000000001</v>
      </c>
      <c r="M111" s="28" t="s">
        <v>3205</v>
      </c>
      <c r="N111" s="17">
        <v>7.3420620000000003</v>
      </c>
      <c r="O111" s="1"/>
      <c r="P111" s="38">
        <f t="shared" si="7"/>
        <v>0</v>
      </c>
      <c r="S111" s="24" t="str">
        <f t="shared" si="10"/>
        <v>-</v>
      </c>
      <c r="T111" s="24" t="str">
        <f t="shared" si="8"/>
        <v>-</v>
      </c>
      <c r="U111" s="25" t="str">
        <f t="shared" si="11"/>
        <v>-</v>
      </c>
      <c r="V111" s="26" t="str">
        <f t="shared" si="12"/>
        <v>-</v>
      </c>
      <c r="X111" s="26" t="str">
        <f t="shared" si="9"/>
        <v>-</v>
      </c>
    </row>
    <row r="112" spans="1:24" x14ac:dyDescent="0.3">
      <c r="A112" s="37">
        <v>87614110950</v>
      </c>
      <c r="B112" s="8" t="s">
        <v>1245</v>
      </c>
      <c r="C112" s="10" t="s">
        <v>3114</v>
      </c>
      <c r="D112" s="11" t="s">
        <v>872</v>
      </c>
      <c r="E112" s="11" t="s">
        <v>942</v>
      </c>
      <c r="F112" s="9">
        <v>30</v>
      </c>
      <c r="G112" s="9">
        <v>90</v>
      </c>
      <c r="H112" s="9" t="s">
        <v>868</v>
      </c>
      <c r="I112" s="9">
        <v>36</v>
      </c>
      <c r="J112" s="9">
        <v>60</v>
      </c>
      <c r="K112" s="9" t="s">
        <v>2903</v>
      </c>
      <c r="L112" s="27">
        <v>8.6260000000000003E-2</v>
      </c>
      <c r="M112" s="28" t="s">
        <v>3205</v>
      </c>
      <c r="N112" s="17">
        <v>6.4616789999999993</v>
      </c>
      <c r="O112" s="1"/>
      <c r="P112" s="38">
        <f t="shared" si="7"/>
        <v>0</v>
      </c>
      <c r="S112" s="24" t="str">
        <f t="shared" si="10"/>
        <v>-</v>
      </c>
      <c r="T112" s="24" t="str">
        <f t="shared" si="8"/>
        <v>-</v>
      </c>
      <c r="U112" s="25" t="str">
        <f t="shared" si="11"/>
        <v>-</v>
      </c>
      <c r="V112" s="26" t="str">
        <f t="shared" si="12"/>
        <v>-</v>
      </c>
      <c r="X112" s="26" t="str">
        <f t="shared" si="9"/>
        <v>-</v>
      </c>
    </row>
    <row r="113" spans="1:24" x14ac:dyDescent="0.3">
      <c r="A113" s="37">
        <v>87614111216</v>
      </c>
      <c r="B113" s="8" t="s">
        <v>79</v>
      </c>
      <c r="C113" s="10" t="s">
        <v>80</v>
      </c>
      <c r="D113" s="11" t="s">
        <v>884</v>
      </c>
      <c r="E113" s="11" t="s">
        <v>940</v>
      </c>
      <c r="F113" s="9">
        <v>30</v>
      </c>
      <c r="G113" s="9">
        <v>90</v>
      </c>
      <c r="H113" s="9" t="s">
        <v>868</v>
      </c>
      <c r="I113" s="9">
        <v>24</v>
      </c>
      <c r="J113" s="9">
        <v>30</v>
      </c>
      <c r="K113" s="9" t="s">
        <v>873</v>
      </c>
      <c r="L113" s="27">
        <v>4.6535E-2</v>
      </c>
      <c r="M113" s="28" t="s">
        <v>3205</v>
      </c>
      <c r="N113" s="17">
        <v>2.7075930000000001</v>
      </c>
      <c r="O113" s="1"/>
      <c r="P113" s="38">
        <f t="shared" si="7"/>
        <v>0</v>
      </c>
      <c r="S113" s="24" t="str">
        <f t="shared" si="10"/>
        <v>-</v>
      </c>
      <c r="T113" s="24" t="str">
        <f t="shared" si="8"/>
        <v>-</v>
      </c>
      <c r="U113" s="25" t="str">
        <f t="shared" si="11"/>
        <v>-</v>
      </c>
      <c r="V113" s="26" t="str">
        <f t="shared" si="12"/>
        <v>-</v>
      </c>
      <c r="X113" s="26" t="str">
        <f t="shared" si="9"/>
        <v>-</v>
      </c>
    </row>
    <row r="114" spans="1:24" x14ac:dyDescent="0.3">
      <c r="A114" s="37">
        <v>87614112428</v>
      </c>
      <c r="B114" s="8" t="s">
        <v>120</v>
      </c>
      <c r="C114" s="10" t="s">
        <v>121</v>
      </c>
      <c r="D114" s="11" t="s">
        <v>876</v>
      </c>
      <c r="E114" s="11" t="s">
        <v>955</v>
      </c>
      <c r="F114" s="9">
        <v>48</v>
      </c>
      <c r="G114" s="9">
        <v>192</v>
      </c>
      <c r="H114" s="9" t="s">
        <v>868</v>
      </c>
      <c r="I114" s="9">
        <v>36</v>
      </c>
      <c r="J114" s="9">
        <v>30</v>
      </c>
      <c r="K114" s="9" t="s">
        <v>873</v>
      </c>
      <c r="L114" s="27">
        <v>3.1780000000000003E-2</v>
      </c>
      <c r="M114" s="28" t="s">
        <v>3205</v>
      </c>
      <c r="N114" s="17">
        <v>1.677711</v>
      </c>
      <c r="O114" s="1"/>
      <c r="P114" s="38">
        <f t="shared" si="7"/>
        <v>0</v>
      </c>
      <c r="S114" s="24" t="str">
        <f t="shared" si="10"/>
        <v>-</v>
      </c>
      <c r="T114" s="24" t="str">
        <f t="shared" si="8"/>
        <v>-</v>
      </c>
      <c r="U114" s="25" t="str">
        <f t="shared" si="11"/>
        <v>-</v>
      </c>
      <c r="V114" s="26" t="str">
        <f t="shared" si="12"/>
        <v>-</v>
      </c>
      <c r="X114" s="26" t="str">
        <f t="shared" si="9"/>
        <v>-</v>
      </c>
    </row>
    <row r="115" spans="1:24" x14ac:dyDescent="0.3">
      <c r="A115" s="37">
        <v>87614112619</v>
      </c>
      <c r="B115" s="8" t="s">
        <v>1305</v>
      </c>
      <c r="C115" s="10" t="s">
        <v>2090</v>
      </c>
      <c r="D115" s="11" t="s">
        <v>879</v>
      </c>
      <c r="E115" s="11" t="s">
        <v>930</v>
      </c>
      <c r="F115" s="9">
        <v>30</v>
      </c>
      <c r="G115" s="9">
        <v>90</v>
      </c>
      <c r="H115" s="9" t="s">
        <v>868</v>
      </c>
      <c r="I115" s="9">
        <v>36</v>
      </c>
      <c r="J115" s="9">
        <v>60</v>
      </c>
      <c r="K115" s="9" t="s">
        <v>873</v>
      </c>
      <c r="L115" s="27">
        <v>7.0370000000000002E-2</v>
      </c>
      <c r="M115" s="28" t="s">
        <v>3205</v>
      </c>
      <c r="N115" s="17">
        <v>3.5879759999999998</v>
      </c>
      <c r="O115" s="1"/>
      <c r="P115" s="38">
        <f t="shared" si="7"/>
        <v>0</v>
      </c>
      <c r="S115" s="24" t="str">
        <f t="shared" si="10"/>
        <v>-</v>
      </c>
      <c r="T115" s="24" t="str">
        <f t="shared" si="8"/>
        <v>-</v>
      </c>
      <c r="U115" s="25" t="str">
        <f t="shared" si="11"/>
        <v>-</v>
      </c>
      <c r="V115" s="26" t="str">
        <f t="shared" si="12"/>
        <v>-</v>
      </c>
      <c r="X115" s="26" t="str">
        <f t="shared" si="9"/>
        <v>-</v>
      </c>
    </row>
    <row r="116" spans="1:24" x14ac:dyDescent="0.3">
      <c r="A116" s="37">
        <v>87614112862</v>
      </c>
      <c r="B116" s="8" t="s">
        <v>139</v>
      </c>
      <c r="C116" s="10" t="s">
        <v>140</v>
      </c>
      <c r="D116" s="11" t="s">
        <v>883</v>
      </c>
      <c r="E116" s="11" t="s">
        <v>938</v>
      </c>
      <c r="F116" s="9">
        <v>30</v>
      </c>
      <c r="G116" s="9">
        <v>90</v>
      </c>
      <c r="H116" s="9" t="s">
        <v>868</v>
      </c>
      <c r="I116" s="9">
        <v>36</v>
      </c>
      <c r="J116" s="9">
        <v>60</v>
      </c>
      <c r="K116" s="9" t="s">
        <v>873</v>
      </c>
      <c r="L116" s="27">
        <v>8.6260000000000003E-2</v>
      </c>
      <c r="M116" s="28" t="s">
        <v>3205</v>
      </c>
      <c r="N116" s="17">
        <v>3.172701</v>
      </c>
      <c r="O116" s="1"/>
      <c r="P116" s="38">
        <f t="shared" si="7"/>
        <v>0</v>
      </c>
      <c r="S116" s="24" t="str">
        <f t="shared" si="10"/>
        <v>-</v>
      </c>
      <c r="T116" s="24" t="str">
        <f t="shared" si="8"/>
        <v>-</v>
      </c>
      <c r="U116" s="25" t="str">
        <f t="shared" si="11"/>
        <v>-</v>
      </c>
      <c r="V116" s="26" t="str">
        <f t="shared" si="12"/>
        <v>-</v>
      </c>
      <c r="X116" s="26" t="str">
        <f t="shared" si="9"/>
        <v>-</v>
      </c>
    </row>
    <row r="117" spans="1:24" x14ac:dyDescent="0.3">
      <c r="A117" s="37">
        <v>87614113203</v>
      </c>
      <c r="B117" s="8" t="s">
        <v>142</v>
      </c>
      <c r="C117" s="10" t="s">
        <v>143</v>
      </c>
      <c r="D117" s="11" t="s">
        <v>883</v>
      </c>
      <c r="E117" s="11" t="s">
        <v>977</v>
      </c>
      <c r="F117" s="9">
        <v>30</v>
      </c>
      <c r="G117" s="9">
        <v>90</v>
      </c>
      <c r="H117" s="9" t="s">
        <v>868</v>
      </c>
      <c r="I117" s="9">
        <v>36</v>
      </c>
      <c r="J117" s="9">
        <v>60</v>
      </c>
      <c r="K117" s="9" t="s">
        <v>873</v>
      </c>
      <c r="L117" s="27">
        <v>8.8529999999999998E-2</v>
      </c>
      <c r="M117" s="28" t="s">
        <v>3205</v>
      </c>
      <c r="N117" s="17">
        <v>3.8039189999999996</v>
      </c>
      <c r="O117" s="1"/>
      <c r="P117" s="38">
        <f t="shared" si="7"/>
        <v>0</v>
      </c>
      <c r="S117" s="24" t="str">
        <f t="shared" si="10"/>
        <v>-</v>
      </c>
      <c r="T117" s="24" t="str">
        <f t="shared" si="8"/>
        <v>-</v>
      </c>
      <c r="U117" s="25" t="str">
        <f t="shared" si="11"/>
        <v>-</v>
      </c>
      <c r="V117" s="26" t="str">
        <f t="shared" si="12"/>
        <v>-</v>
      </c>
      <c r="X117" s="26" t="str">
        <f t="shared" si="9"/>
        <v>-</v>
      </c>
    </row>
    <row r="118" spans="1:24" x14ac:dyDescent="0.3">
      <c r="A118" s="37">
        <v>87614113524</v>
      </c>
      <c r="B118" s="8" t="s">
        <v>157</v>
      </c>
      <c r="C118" s="10" t="s">
        <v>2961</v>
      </c>
      <c r="D118" s="11" t="s">
        <v>881</v>
      </c>
      <c r="E118" s="11" t="s">
        <v>980</v>
      </c>
      <c r="F118" s="9">
        <v>30</v>
      </c>
      <c r="G118" s="9">
        <v>90</v>
      </c>
      <c r="H118" s="9" t="s">
        <v>868</v>
      </c>
      <c r="I118" s="9">
        <v>36</v>
      </c>
      <c r="J118" s="9">
        <v>60</v>
      </c>
      <c r="K118" s="9" t="s">
        <v>2903</v>
      </c>
      <c r="L118" s="27">
        <v>5.5615000000000005E-2</v>
      </c>
      <c r="M118" s="28" t="s">
        <v>3205</v>
      </c>
      <c r="N118" s="17">
        <v>2.1262079999999997</v>
      </c>
      <c r="O118" s="1"/>
      <c r="P118" s="38">
        <f t="shared" si="7"/>
        <v>0</v>
      </c>
      <c r="S118" s="24" t="str">
        <f t="shared" si="10"/>
        <v>-</v>
      </c>
      <c r="T118" s="24" t="str">
        <f t="shared" si="8"/>
        <v>-</v>
      </c>
      <c r="U118" s="25" t="str">
        <f t="shared" si="11"/>
        <v>-</v>
      </c>
      <c r="V118" s="26" t="str">
        <f t="shared" si="12"/>
        <v>-</v>
      </c>
      <c r="X118" s="26" t="str">
        <f t="shared" si="9"/>
        <v>-</v>
      </c>
    </row>
    <row r="119" spans="1:24" x14ac:dyDescent="0.3">
      <c r="A119" s="37">
        <v>87614113623</v>
      </c>
      <c r="B119" s="8" t="s">
        <v>166</v>
      </c>
      <c r="C119" s="10" t="s">
        <v>167</v>
      </c>
      <c r="D119" s="11" t="s">
        <v>884</v>
      </c>
      <c r="E119" s="11" t="s">
        <v>941</v>
      </c>
      <c r="F119" s="9">
        <v>30</v>
      </c>
      <c r="G119" s="9">
        <v>90</v>
      </c>
      <c r="H119" s="9" t="s">
        <v>868</v>
      </c>
      <c r="I119" s="9">
        <v>36</v>
      </c>
      <c r="J119" s="9">
        <v>60</v>
      </c>
      <c r="K119" s="9" t="s">
        <v>873</v>
      </c>
      <c r="L119" s="27">
        <v>6.3560000000000005E-2</v>
      </c>
      <c r="M119" s="28" t="s">
        <v>3205</v>
      </c>
      <c r="N119" s="17">
        <v>2.6743709999999998</v>
      </c>
      <c r="O119" s="1"/>
      <c r="P119" s="38">
        <f t="shared" si="7"/>
        <v>0</v>
      </c>
      <c r="S119" s="24" t="str">
        <f t="shared" si="10"/>
        <v>-</v>
      </c>
      <c r="T119" s="24" t="str">
        <f t="shared" si="8"/>
        <v>-</v>
      </c>
      <c r="U119" s="25" t="str">
        <f t="shared" si="11"/>
        <v>-</v>
      </c>
      <c r="V119" s="26" t="str">
        <f t="shared" si="12"/>
        <v>-</v>
      </c>
      <c r="X119" s="26" t="str">
        <f t="shared" si="9"/>
        <v>-</v>
      </c>
    </row>
    <row r="120" spans="1:24" x14ac:dyDescent="0.3">
      <c r="A120" s="37">
        <v>87614114040</v>
      </c>
      <c r="B120" s="8" t="s">
        <v>181</v>
      </c>
      <c r="C120" s="10" t="s">
        <v>182</v>
      </c>
      <c r="D120" s="11" t="s">
        <v>879</v>
      </c>
      <c r="E120" s="11" t="s">
        <v>930</v>
      </c>
      <c r="F120" s="9">
        <v>30</v>
      </c>
      <c r="G120" s="9">
        <v>90</v>
      </c>
      <c r="H120" s="9" t="s">
        <v>868</v>
      </c>
      <c r="I120" s="9">
        <v>36</v>
      </c>
      <c r="J120" s="9">
        <v>60</v>
      </c>
      <c r="K120" s="9" t="s">
        <v>873</v>
      </c>
      <c r="L120" s="27">
        <v>7.1504999999999999E-2</v>
      </c>
      <c r="M120" s="28" t="s">
        <v>3205</v>
      </c>
      <c r="N120" s="17">
        <v>4.518192</v>
      </c>
      <c r="O120" s="1"/>
      <c r="P120" s="38">
        <f t="shared" si="7"/>
        <v>0</v>
      </c>
      <c r="S120" s="24" t="str">
        <f t="shared" si="10"/>
        <v>-</v>
      </c>
      <c r="T120" s="24" t="str">
        <f t="shared" si="8"/>
        <v>-</v>
      </c>
      <c r="U120" s="25" t="str">
        <f t="shared" si="11"/>
        <v>-</v>
      </c>
      <c r="V120" s="26" t="str">
        <f t="shared" si="12"/>
        <v>-</v>
      </c>
      <c r="X120" s="26" t="str">
        <f t="shared" si="9"/>
        <v>-</v>
      </c>
    </row>
    <row r="121" spans="1:24" x14ac:dyDescent="0.3">
      <c r="A121" s="37">
        <v>87614114088</v>
      </c>
      <c r="B121" s="8" t="s">
        <v>183</v>
      </c>
      <c r="C121" s="10" t="s">
        <v>184</v>
      </c>
      <c r="D121" s="11" t="s">
        <v>881</v>
      </c>
      <c r="E121" s="11" t="s">
        <v>936</v>
      </c>
      <c r="F121" s="9">
        <v>30</v>
      </c>
      <c r="G121" s="9">
        <v>90</v>
      </c>
      <c r="H121" s="9" t="s">
        <v>868</v>
      </c>
      <c r="I121" s="9">
        <v>36</v>
      </c>
      <c r="J121" s="9">
        <v>60</v>
      </c>
      <c r="K121" s="9" t="s">
        <v>873</v>
      </c>
      <c r="L121" s="27">
        <v>6.583E-2</v>
      </c>
      <c r="M121" s="28" t="s">
        <v>3205</v>
      </c>
      <c r="N121" s="17">
        <v>3.8371409999999999</v>
      </c>
      <c r="O121" s="1"/>
      <c r="P121" s="38">
        <f t="shared" si="7"/>
        <v>0</v>
      </c>
      <c r="S121" s="24" t="str">
        <f t="shared" si="10"/>
        <v>-</v>
      </c>
      <c r="T121" s="24" t="str">
        <f t="shared" si="8"/>
        <v>-</v>
      </c>
      <c r="U121" s="25" t="str">
        <f t="shared" si="11"/>
        <v>-</v>
      </c>
      <c r="V121" s="26" t="str">
        <f t="shared" si="12"/>
        <v>-</v>
      </c>
      <c r="X121" s="26" t="str">
        <f t="shared" si="9"/>
        <v>-</v>
      </c>
    </row>
    <row r="122" spans="1:24" x14ac:dyDescent="0.3">
      <c r="A122" s="37">
        <v>87614114286</v>
      </c>
      <c r="B122" s="8" t="s">
        <v>199</v>
      </c>
      <c r="C122" s="10" t="s">
        <v>200</v>
      </c>
      <c r="D122" s="11" t="s">
        <v>878</v>
      </c>
      <c r="E122" s="11" t="s">
        <v>991</v>
      </c>
      <c r="F122" s="9">
        <v>30</v>
      </c>
      <c r="G122" s="9">
        <v>90</v>
      </c>
      <c r="H122" s="9" t="s">
        <v>868</v>
      </c>
      <c r="I122" s="9">
        <v>36</v>
      </c>
      <c r="J122" s="9">
        <v>60</v>
      </c>
      <c r="K122" s="9" t="s">
        <v>873</v>
      </c>
      <c r="L122" s="27">
        <v>7.2639999999999996E-2</v>
      </c>
      <c r="M122" s="28" t="s">
        <v>3205</v>
      </c>
      <c r="N122" s="17">
        <v>4.999911</v>
      </c>
      <c r="O122" s="1"/>
      <c r="P122" s="38">
        <f t="shared" si="7"/>
        <v>0</v>
      </c>
      <c r="S122" s="24" t="str">
        <f t="shared" si="10"/>
        <v>-</v>
      </c>
      <c r="T122" s="24" t="str">
        <f t="shared" si="8"/>
        <v>-</v>
      </c>
      <c r="U122" s="25" t="str">
        <f t="shared" si="11"/>
        <v>-</v>
      </c>
      <c r="V122" s="26" t="str">
        <f t="shared" si="12"/>
        <v>-</v>
      </c>
      <c r="X122" s="26" t="str">
        <f t="shared" si="9"/>
        <v>-</v>
      </c>
    </row>
    <row r="123" spans="1:24" x14ac:dyDescent="0.3">
      <c r="A123" s="37">
        <v>87614114378</v>
      </c>
      <c r="B123" s="8" t="s">
        <v>1253</v>
      </c>
      <c r="C123" s="10" t="s">
        <v>2055</v>
      </c>
      <c r="D123" s="11" t="s">
        <v>866</v>
      </c>
      <c r="E123" s="11" t="s">
        <v>974</v>
      </c>
      <c r="F123" s="9">
        <v>48</v>
      </c>
      <c r="G123" s="9">
        <v>192</v>
      </c>
      <c r="H123" s="9" t="s">
        <v>868</v>
      </c>
      <c r="I123" s="9">
        <v>36</v>
      </c>
      <c r="J123" s="9">
        <v>60</v>
      </c>
      <c r="K123" s="9" t="s">
        <v>869</v>
      </c>
      <c r="L123" s="27">
        <v>4.1994999999999998E-2</v>
      </c>
      <c r="M123" s="28" t="s">
        <v>3205</v>
      </c>
      <c r="N123" s="17">
        <v>2.7574259999999997</v>
      </c>
      <c r="O123" s="1"/>
      <c r="P123" s="38">
        <f t="shared" si="7"/>
        <v>0</v>
      </c>
      <c r="S123" s="24" t="str">
        <f t="shared" si="10"/>
        <v>-</v>
      </c>
      <c r="T123" s="24" t="str">
        <f t="shared" si="8"/>
        <v>-</v>
      </c>
      <c r="U123" s="25" t="str">
        <f t="shared" si="11"/>
        <v>-</v>
      </c>
      <c r="V123" s="26" t="str">
        <f t="shared" si="12"/>
        <v>-</v>
      </c>
      <c r="X123" s="26" t="str">
        <f t="shared" si="9"/>
        <v>-</v>
      </c>
    </row>
    <row r="124" spans="1:24" x14ac:dyDescent="0.3">
      <c r="A124" s="37">
        <v>87614115023</v>
      </c>
      <c r="B124" s="8" t="s">
        <v>213</v>
      </c>
      <c r="C124" s="10" t="s">
        <v>214</v>
      </c>
      <c r="D124" s="11" t="s">
        <v>890</v>
      </c>
      <c r="E124" s="11" t="s">
        <v>993</v>
      </c>
      <c r="F124" s="9">
        <v>30</v>
      </c>
      <c r="G124" s="9">
        <v>90</v>
      </c>
      <c r="H124" s="9" t="s">
        <v>868</v>
      </c>
      <c r="I124" s="9">
        <v>36</v>
      </c>
      <c r="J124" s="9">
        <v>60</v>
      </c>
      <c r="K124" s="9" t="s">
        <v>873</v>
      </c>
      <c r="L124" s="27">
        <v>8.8529999999999998E-2</v>
      </c>
      <c r="M124" s="28" t="s">
        <v>3205</v>
      </c>
      <c r="N124" s="17">
        <v>5.0663549999999997</v>
      </c>
      <c r="O124" s="1"/>
      <c r="P124" s="38">
        <f t="shared" si="7"/>
        <v>0</v>
      </c>
      <c r="S124" s="24" t="str">
        <f t="shared" si="10"/>
        <v>-</v>
      </c>
      <c r="T124" s="24" t="str">
        <f t="shared" si="8"/>
        <v>-</v>
      </c>
      <c r="U124" s="25" t="str">
        <f t="shared" si="11"/>
        <v>-</v>
      </c>
      <c r="V124" s="26" t="str">
        <f t="shared" si="12"/>
        <v>-</v>
      </c>
      <c r="X124" s="26" t="str">
        <f t="shared" si="9"/>
        <v>-</v>
      </c>
    </row>
    <row r="125" spans="1:24" x14ac:dyDescent="0.3">
      <c r="A125" s="37">
        <v>87614115108</v>
      </c>
      <c r="B125" s="8" t="s">
        <v>216</v>
      </c>
      <c r="C125" s="10" t="s">
        <v>217</v>
      </c>
      <c r="D125" s="11" t="s">
        <v>870</v>
      </c>
      <c r="E125" s="11" t="s">
        <v>871</v>
      </c>
      <c r="F125" s="9">
        <v>48</v>
      </c>
      <c r="G125" s="9">
        <v>192</v>
      </c>
      <c r="H125" s="9" t="s">
        <v>868</v>
      </c>
      <c r="I125" s="9">
        <v>48</v>
      </c>
      <c r="J125" s="9">
        <v>60</v>
      </c>
      <c r="K125" s="9" t="s">
        <v>873</v>
      </c>
      <c r="L125" s="27">
        <v>3.4049999999999997E-2</v>
      </c>
      <c r="M125" s="28" t="s">
        <v>3205</v>
      </c>
      <c r="N125" s="17">
        <v>1.4949899999999998</v>
      </c>
      <c r="O125" s="1"/>
      <c r="P125" s="38">
        <f t="shared" si="7"/>
        <v>0</v>
      </c>
      <c r="S125" s="24" t="str">
        <f t="shared" si="10"/>
        <v>-</v>
      </c>
      <c r="T125" s="24" t="str">
        <f t="shared" si="8"/>
        <v>-</v>
      </c>
      <c r="U125" s="25" t="str">
        <f t="shared" si="11"/>
        <v>-</v>
      </c>
      <c r="V125" s="26" t="str">
        <f t="shared" si="12"/>
        <v>-</v>
      </c>
      <c r="X125" s="26" t="str">
        <f t="shared" si="9"/>
        <v>-</v>
      </c>
    </row>
    <row r="126" spans="1:24" x14ac:dyDescent="0.3">
      <c r="A126" s="37">
        <v>87614115443</v>
      </c>
      <c r="B126" s="8" t="s">
        <v>1204</v>
      </c>
      <c r="C126" s="10" t="s">
        <v>2019</v>
      </c>
      <c r="D126" s="11" t="s">
        <v>881</v>
      </c>
      <c r="E126" s="11" t="s">
        <v>996</v>
      </c>
      <c r="F126" s="9">
        <v>30</v>
      </c>
      <c r="G126" s="9">
        <v>90</v>
      </c>
      <c r="H126" s="9" t="s">
        <v>868</v>
      </c>
      <c r="I126" s="9">
        <v>36</v>
      </c>
      <c r="J126" s="9">
        <v>60</v>
      </c>
      <c r="K126" s="9" t="s">
        <v>873</v>
      </c>
      <c r="L126" s="27">
        <v>5.5615000000000005E-2</v>
      </c>
      <c r="M126" s="28" t="s">
        <v>3205</v>
      </c>
      <c r="N126" s="17">
        <v>2.9069250000000002</v>
      </c>
      <c r="O126" s="1"/>
      <c r="P126" s="38">
        <f t="shared" si="7"/>
        <v>0</v>
      </c>
      <c r="S126" s="24" t="str">
        <f t="shared" si="10"/>
        <v>-</v>
      </c>
      <c r="T126" s="24" t="str">
        <f t="shared" si="8"/>
        <v>-</v>
      </c>
      <c r="U126" s="25" t="str">
        <f t="shared" si="11"/>
        <v>-</v>
      </c>
      <c r="V126" s="26" t="str">
        <f t="shared" si="12"/>
        <v>-</v>
      </c>
      <c r="X126" s="26" t="str">
        <f t="shared" si="9"/>
        <v>-</v>
      </c>
    </row>
    <row r="127" spans="1:24" x14ac:dyDescent="0.3">
      <c r="A127" s="37">
        <v>87614115788</v>
      </c>
      <c r="B127" s="8" t="s">
        <v>227</v>
      </c>
      <c r="C127" s="10" t="s">
        <v>228</v>
      </c>
      <c r="D127" s="11" t="s">
        <v>878</v>
      </c>
      <c r="E127" s="11" t="s">
        <v>997</v>
      </c>
      <c r="F127" s="9">
        <v>30</v>
      </c>
      <c r="G127" s="9">
        <v>90</v>
      </c>
      <c r="H127" s="9" t="s">
        <v>868</v>
      </c>
      <c r="I127" s="9">
        <v>36</v>
      </c>
      <c r="J127" s="9">
        <v>60</v>
      </c>
      <c r="K127" s="9" t="s">
        <v>873</v>
      </c>
      <c r="L127" s="27">
        <v>6.4695000000000003E-2</v>
      </c>
      <c r="M127" s="28" t="s">
        <v>3205</v>
      </c>
      <c r="N127" s="17">
        <v>2.0929859999999998</v>
      </c>
      <c r="O127" s="1"/>
      <c r="P127" s="38">
        <f t="shared" si="7"/>
        <v>0</v>
      </c>
      <c r="S127" s="24" t="str">
        <f t="shared" si="10"/>
        <v>-</v>
      </c>
      <c r="T127" s="24" t="str">
        <f t="shared" si="8"/>
        <v>-</v>
      </c>
      <c r="U127" s="25" t="str">
        <f t="shared" si="11"/>
        <v>-</v>
      </c>
      <c r="V127" s="26" t="str">
        <f t="shared" si="12"/>
        <v>-</v>
      </c>
      <c r="X127" s="26" t="str">
        <f t="shared" si="9"/>
        <v>-</v>
      </c>
    </row>
    <row r="128" spans="1:24" x14ac:dyDescent="0.3">
      <c r="A128" s="37">
        <v>87614116136</v>
      </c>
      <c r="B128" s="8" t="s">
        <v>243</v>
      </c>
      <c r="C128" s="10" t="s">
        <v>2688</v>
      </c>
      <c r="D128" s="11" t="s">
        <v>883</v>
      </c>
      <c r="E128" s="11" t="s">
        <v>938</v>
      </c>
      <c r="F128" s="9">
        <v>30</v>
      </c>
      <c r="G128" s="9">
        <v>90</v>
      </c>
      <c r="H128" s="9" t="s">
        <v>868</v>
      </c>
      <c r="I128" s="9">
        <v>36</v>
      </c>
      <c r="J128" s="9">
        <v>60</v>
      </c>
      <c r="K128" s="9" t="s">
        <v>2903</v>
      </c>
      <c r="L128" s="27">
        <v>8.058499999999999E-2</v>
      </c>
      <c r="M128" s="28" t="s">
        <v>3205</v>
      </c>
      <c r="N128" s="17">
        <v>4.7839679999999998</v>
      </c>
      <c r="O128" s="1"/>
      <c r="P128" s="38">
        <f t="shared" si="7"/>
        <v>0</v>
      </c>
      <c r="S128" s="24" t="str">
        <f t="shared" si="10"/>
        <v>-</v>
      </c>
      <c r="T128" s="24" t="str">
        <f t="shared" si="8"/>
        <v>-</v>
      </c>
      <c r="U128" s="25" t="str">
        <f t="shared" si="11"/>
        <v>-</v>
      </c>
      <c r="V128" s="26" t="str">
        <f t="shared" si="12"/>
        <v>-</v>
      </c>
      <c r="X128" s="26" t="str">
        <f t="shared" si="9"/>
        <v>-</v>
      </c>
    </row>
    <row r="129" spans="1:24" x14ac:dyDescent="0.3">
      <c r="A129" s="37">
        <v>87614116860</v>
      </c>
      <c r="B129" s="8" t="s">
        <v>253</v>
      </c>
      <c r="C129" s="10" t="s">
        <v>254</v>
      </c>
      <c r="D129" s="11" t="s">
        <v>891</v>
      </c>
      <c r="E129" s="11" t="s">
        <v>968</v>
      </c>
      <c r="F129" s="9">
        <v>30</v>
      </c>
      <c r="G129" s="9">
        <v>90</v>
      </c>
      <c r="H129" s="9" t="s">
        <v>868</v>
      </c>
      <c r="I129" s="9">
        <v>24</v>
      </c>
      <c r="J129" s="9">
        <v>60</v>
      </c>
      <c r="K129" s="9" t="s">
        <v>869</v>
      </c>
      <c r="L129" s="27">
        <v>6.1289999999999997E-2</v>
      </c>
      <c r="M129" s="28" t="s">
        <v>3205</v>
      </c>
      <c r="N129" s="17">
        <v>6.3786239999999994</v>
      </c>
      <c r="O129" s="1"/>
      <c r="P129" s="38">
        <f t="shared" si="7"/>
        <v>0</v>
      </c>
      <c r="S129" s="24" t="str">
        <f t="shared" si="10"/>
        <v>-</v>
      </c>
      <c r="T129" s="24" t="str">
        <f t="shared" si="8"/>
        <v>-</v>
      </c>
      <c r="U129" s="25" t="str">
        <f t="shared" si="11"/>
        <v>-</v>
      </c>
      <c r="V129" s="26" t="str">
        <f t="shared" si="12"/>
        <v>-</v>
      </c>
      <c r="X129" s="26" t="str">
        <f t="shared" si="9"/>
        <v>-</v>
      </c>
    </row>
    <row r="130" spans="1:24" x14ac:dyDescent="0.3">
      <c r="A130" s="37">
        <v>87614116907</v>
      </c>
      <c r="B130" s="8" t="s">
        <v>257</v>
      </c>
      <c r="C130" s="10" t="s">
        <v>258</v>
      </c>
      <c r="D130" s="11" t="s">
        <v>876</v>
      </c>
      <c r="E130" s="11" t="s">
        <v>1007</v>
      </c>
      <c r="F130" s="9">
        <v>30</v>
      </c>
      <c r="G130" s="9">
        <v>90</v>
      </c>
      <c r="H130" s="9" t="s">
        <v>868</v>
      </c>
      <c r="I130" s="9">
        <v>36</v>
      </c>
      <c r="J130" s="9">
        <v>90</v>
      </c>
      <c r="K130" s="9" t="s">
        <v>873</v>
      </c>
      <c r="L130" s="27">
        <v>7.2639999999999996E-2</v>
      </c>
      <c r="M130" s="28" t="s">
        <v>3205</v>
      </c>
      <c r="N130" s="17">
        <v>3.9201959999999998</v>
      </c>
      <c r="O130" s="1"/>
      <c r="P130" s="38">
        <f t="shared" si="7"/>
        <v>0</v>
      </c>
      <c r="S130" s="24" t="str">
        <f t="shared" si="10"/>
        <v>-</v>
      </c>
      <c r="T130" s="24" t="str">
        <f t="shared" si="8"/>
        <v>-</v>
      </c>
      <c r="U130" s="25" t="str">
        <f t="shared" si="11"/>
        <v>-</v>
      </c>
      <c r="V130" s="26" t="str">
        <f t="shared" si="12"/>
        <v>-</v>
      </c>
      <c r="X130" s="26" t="str">
        <f t="shared" si="9"/>
        <v>-</v>
      </c>
    </row>
    <row r="131" spans="1:24" x14ac:dyDescent="0.3">
      <c r="A131" s="37">
        <v>87614117072</v>
      </c>
      <c r="B131" s="8" t="s">
        <v>265</v>
      </c>
      <c r="C131" s="10" t="s">
        <v>2969</v>
      </c>
      <c r="D131" s="11" t="s">
        <v>884</v>
      </c>
      <c r="E131" s="11" t="s">
        <v>940</v>
      </c>
      <c r="F131" s="9">
        <v>16</v>
      </c>
      <c r="G131" s="9">
        <v>48</v>
      </c>
      <c r="H131" s="9" t="s">
        <v>868</v>
      </c>
      <c r="I131" s="9">
        <v>36</v>
      </c>
      <c r="J131" s="9">
        <v>120</v>
      </c>
      <c r="K131" s="9" t="s">
        <v>2903</v>
      </c>
      <c r="L131" s="27">
        <v>0.14755000000000001</v>
      </c>
      <c r="M131" s="28" t="s">
        <v>3205</v>
      </c>
      <c r="N131" s="17">
        <v>5.9467379999999999</v>
      </c>
      <c r="O131" s="1"/>
      <c r="P131" s="38">
        <f t="shared" ref="P131:P194" si="13">O131*N131</f>
        <v>0</v>
      </c>
      <c r="S131" s="24" t="str">
        <f t="shared" si="10"/>
        <v>-</v>
      </c>
      <c r="T131" s="24" t="str">
        <f t="shared" ref="T131:T194" si="14">IF(O131&gt;0,N131+L131*O131/$U$2*$V$2/O131,"-")</f>
        <v>-</v>
      </c>
      <c r="U131" s="25" t="str">
        <f t="shared" si="11"/>
        <v>-</v>
      </c>
      <c r="V131" s="26" t="str">
        <f t="shared" si="12"/>
        <v>-</v>
      </c>
      <c r="X131" s="26" t="str">
        <f t="shared" ref="X131:X194" si="15">IFERROR(IF(V131+P131=0, "-", IF(V131&gt;0, V131+P131, "-")), "-")</f>
        <v>-</v>
      </c>
    </row>
    <row r="132" spans="1:24" x14ac:dyDescent="0.3">
      <c r="A132" s="37">
        <v>87614117676</v>
      </c>
      <c r="B132" s="8" t="s">
        <v>1258</v>
      </c>
      <c r="C132" s="10" t="s">
        <v>2057</v>
      </c>
      <c r="D132" s="11" t="s">
        <v>882</v>
      </c>
      <c r="E132" s="11" t="s">
        <v>2845</v>
      </c>
      <c r="F132" s="9">
        <v>30</v>
      </c>
      <c r="G132" s="9">
        <v>90</v>
      </c>
      <c r="H132" s="9" t="s">
        <v>868</v>
      </c>
      <c r="I132" s="9">
        <v>36</v>
      </c>
      <c r="J132" s="9">
        <v>60</v>
      </c>
      <c r="K132" s="9" t="s">
        <v>873</v>
      </c>
      <c r="L132" s="27">
        <v>7.4910000000000004E-2</v>
      </c>
      <c r="M132" s="28" t="s">
        <v>3205</v>
      </c>
      <c r="N132" s="17">
        <v>4.8338010000000002</v>
      </c>
      <c r="O132" s="1"/>
      <c r="P132" s="38">
        <f t="shared" si="13"/>
        <v>0</v>
      </c>
      <c r="S132" s="24" t="str">
        <f t="shared" ref="S132:S195" si="16">IFERROR(IF(S$2*L132=0, "-", $S$2*L132), "-")</f>
        <v>-</v>
      </c>
      <c r="T132" s="24" t="str">
        <f t="shared" si="14"/>
        <v>-</v>
      </c>
      <c r="U132" s="25" t="str">
        <f t="shared" ref="U132:U195" si="17">IF(O132&gt;0,O132*L132, "-")</f>
        <v>-</v>
      </c>
      <c r="V132" s="26" t="str">
        <f t="shared" ref="V132:V195" si="18">IFERROR(IF($S$2&gt;0, $S$2*U132, "-"), "-")</f>
        <v>-</v>
      </c>
      <c r="X132" s="26" t="str">
        <f t="shared" si="15"/>
        <v>-</v>
      </c>
    </row>
    <row r="133" spans="1:24" x14ac:dyDescent="0.3">
      <c r="A133" s="37">
        <v>87614118673</v>
      </c>
      <c r="B133" s="8" t="s">
        <v>312</v>
      </c>
      <c r="C133" s="10" t="s">
        <v>313</v>
      </c>
      <c r="D133" s="11" t="s">
        <v>866</v>
      </c>
      <c r="E133" s="11" t="s">
        <v>1000</v>
      </c>
      <c r="F133" s="9">
        <v>24</v>
      </c>
      <c r="G133" s="9">
        <v>24</v>
      </c>
      <c r="H133" s="9" t="s">
        <v>868</v>
      </c>
      <c r="I133" s="9">
        <v>36</v>
      </c>
      <c r="J133" s="9">
        <v>60</v>
      </c>
      <c r="K133" s="9" t="s">
        <v>901</v>
      </c>
      <c r="L133" s="27">
        <v>0.22359500000000002</v>
      </c>
      <c r="M133" s="28" t="s">
        <v>3205</v>
      </c>
      <c r="N133" s="17">
        <v>9.8171009999999992</v>
      </c>
      <c r="O133" s="1"/>
      <c r="P133" s="38">
        <f t="shared" si="13"/>
        <v>0</v>
      </c>
      <c r="S133" s="24" t="str">
        <f t="shared" si="16"/>
        <v>-</v>
      </c>
      <c r="T133" s="24" t="str">
        <f t="shared" si="14"/>
        <v>-</v>
      </c>
      <c r="U133" s="25" t="str">
        <f t="shared" si="17"/>
        <v>-</v>
      </c>
      <c r="V133" s="26" t="str">
        <f t="shared" si="18"/>
        <v>-</v>
      </c>
      <c r="X133" s="26" t="str">
        <f t="shared" si="15"/>
        <v>-</v>
      </c>
    </row>
    <row r="134" spans="1:24" x14ac:dyDescent="0.3">
      <c r="A134" s="37">
        <v>87614012230</v>
      </c>
      <c r="B134" s="8" t="s">
        <v>322</v>
      </c>
      <c r="C134" s="10" t="s">
        <v>2722</v>
      </c>
      <c r="D134" s="11" t="s">
        <v>866</v>
      </c>
      <c r="E134" s="11" t="s">
        <v>963</v>
      </c>
      <c r="F134" s="9">
        <v>30</v>
      </c>
      <c r="G134" s="9">
        <v>90</v>
      </c>
      <c r="H134" s="9" t="s">
        <v>868</v>
      </c>
      <c r="I134" s="9">
        <v>36</v>
      </c>
      <c r="J134" s="9">
        <v>300</v>
      </c>
      <c r="K134" s="9" t="s">
        <v>877</v>
      </c>
      <c r="L134" s="27">
        <v>0.12257999999999999</v>
      </c>
      <c r="M134" s="28" t="s">
        <v>3205</v>
      </c>
      <c r="N134" s="17">
        <v>4.8005789999999999</v>
      </c>
      <c r="O134" s="1"/>
      <c r="P134" s="38">
        <f t="shared" si="13"/>
        <v>0</v>
      </c>
      <c r="S134" s="24" t="str">
        <f t="shared" si="16"/>
        <v>-</v>
      </c>
      <c r="T134" s="24" t="str">
        <f t="shared" si="14"/>
        <v>-</v>
      </c>
      <c r="U134" s="25" t="str">
        <f t="shared" si="17"/>
        <v>-</v>
      </c>
      <c r="V134" s="26" t="str">
        <f t="shared" si="18"/>
        <v>-</v>
      </c>
      <c r="X134" s="26" t="str">
        <f t="shared" si="15"/>
        <v>-</v>
      </c>
    </row>
    <row r="135" spans="1:24" x14ac:dyDescent="0.3">
      <c r="A135" s="37">
        <v>87614012353</v>
      </c>
      <c r="B135" s="8" t="s">
        <v>323</v>
      </c>
      <c r="C135" s="10" t="s">
        <v>324</v>
      </c>
      <c r="D135" s="11" t="s">
        <v>874</v>
      </c>
      <c r="E135" s="11" t="s">
        <v>914</v>
      </c>
      <c r="F135" s="9">
        <v>30</v>
      </c>
      <c r="G135" s="9">
        <v>90</v>
      </c>
      <c r="H135" s="9" t="s">
        <v>868</v>
      </c>
      <c r="I135" s="9">
        <v>36</v>
      </c>
      <c r="J135" s="9">
        <v>200</v>
      </c>
      <c r="K135" s="9" t="s">
        <v>873</v>
      </c>
      <c r="L135" s="27">
        <v>8.2854999999999998E-2</v>
      </c>
      <c r="M135" s="28" t="s">
        <v>3205</v>
      </c>
      <c r="N135" s="17">
        <v>4.4019149999999998</v>
      </c>
      <c r="O135" s="1"/>
      <c r="P135" s="38">
        <f t="shared" si="13"/>
        <v>0</v>
      </c>
      <c r="S135" s="24" t="str">
        <f t="shared" si="16"/>
        <v>-</v>
      </c>
      <c r="T135" s="24" t="str">
        <f t="shared" si="14"/>
        <v>-</v>
      </c>
      <c r="U135" s="25" t="str">
        <f t="shared" si="17"/>
        <v>-</v>
      </c>
      <c r="V135" s="26" t="str">
        <f t="shared" si="18"/>
        <v>-</v>
      </c>
      <c r="X135" s="26" t="str">
        <f t="shared" si="15"/>
        <v>-</v>
      </c>
    </row>
    <row r="136" spans="1:24" x14ac:dyDescent="0.3">
      <c r="A136" s="37">
        <v>87614012681</v>
      </c>
      <c r="B136" s="8" t="s">
        <v>329</v>
      </c>
      <c r="C136" s="10" t="s">
        <v>330</v>
      </c>
      <c r="D136" s="11" t="s">
        <v>882</v>
      </c>
      <c r="E136" s="11" t="s">
        <v>1026</v>
      </c>
      <c r="F136" s="9">
        <v>20</v>
      </c>
      <c r="G136" s="9">
        <v>60</v>
      </c>
      <c r="H136" s="9" t="s">
        <v>868</v>
      </c>
      <c r="I136" s="9">
        <v>36</v>
      </c>
      <c r="J136" s="9">
        <v>100</v>
      </c>
      <c r="K136" s="9" t="s">
        <v>873</v>
      </c>
      <c r="L136" s="27">
        <v>0.12598500000000001</v>
      </c>
      <c r="M136" s="28" t="s">
        <v>3205</v>
      </c>
      <c r="N136" s="17">
        <v>3.4384770000000002</v>
      </c>
      <c r="O136" s="1"/>
      <c r="P136" s="38">
        <f t="shared" si="13"/>
        <v>0</v>
      </c>
      <c r="S136" s="24" t="str">
        <f t="shared" si="16"/>
        <v>-</v>
      </c>
      <c r="T136" s="24" t="str">
        <f t="shared" si="14"/>
        <v>-</v>
      </c>
      <c r="U136" s="25" t="str">
        <f t="shared" si="17"/>
        <v>-</v>
      </c>
      <c r="V136" s="26" t="str">
        <f t="shared" si="18"/>
        <v>-</v>
      </c>
      <c r="X136" s="26" t="str">
        <f t="shared" si="15"/>
        <v>-</v>
      </c>
    </row>
    <row r="137" spans="1:24" x14ac:dyDescent="0.3">
      <c r="A137" s="37">
        <v>87614013640</v>
      </c>
      <c r="B137" s="8" t="s">
        <v>335</v>
      </c>
      <c r="C137" s="10" t="s">
        <v>336</v>
      </c>
      <c r="D137" s="11" t="s">
        <v>874</v>
      </c>
      <c r="E137" s="11" t="s">
        <v>2819</v>
      </c>
      <c r="F137" s="9">
        <v>16</v>
      </c>
      <c r="G137" s="9">
        <v>48</v>
      </c>
      <c r="H137" s="9" t="s">
        <v>868</v>
      </c>
      <c r="I137" s="9">
        <v>36</v>
      </c>
      <c r="J137" s="9">
        <v>100</v>
      </c>
      <c r="K137" s="9" t="s">
        <v>869</v>
      </c>
      <c r="L137" s="27">
        <v>0.19975999999999999</v>
      </c>
      <c r="M137" s="28" t="s">
        <v>3205</v>
      </c>
      <c r="N137" s="17">
        <v>8.8868849999999995</v>
      </c>
      <c r="O137" s="1"/>
      <c r="P137" s="38">
        <f t="shared" si="13"/>
        <v>0</v>
      </c>
      <c r="S137" s="24" t="str">
        <f t="shared" si="16"/>
        <v>-</v>
      </c>
      <c r="T137" s="24" t="str">
        <f t="shared" si="14"/>
        <v>-</v>
      </c>
      <c r="U137" s="25" t="str">
        <f t="shared" si="17"/>
        <v>-</v>
      </c>
      <c r="V137" s="26" t="str">
        <f t="shared" si="18"/>
        <v>-</v>
      </c>
      <c r="X137" s="26" t="str">
        <f t="shared" si="15"/>
        <v>-</v>
      </c>
    </row>
    <row r="138" spans="1:24" x14ac:dyDescent="0.3">
      <c r="A138" s="37">
        <v>87614014241</v>
      </c>
      <c r="B138" s="8" t="s">
        <v>343</v>
      </c>
      <c r="C138" s="10" t="s">
        <v>344</v>
      </c>
      <c r="D138" s="11" t="s">
        <v>882</v>
      </c>
      <c r="E138" s="11" t="s">
        <v>958</v>
      </c>
      <c r="F138" s="9">
        <v>20</v>
      </c>
      <c r="G138" s="9">
        <v>60</v>
      </c>
      <c r="H138" s="9" t="s">
        <v>868</v>
      </c>
      <c r="I138" s="9">
        <v>36</v>
      </c>
      <c r="J138" s="9">
        <v>100</v>
      </c>
      <c r="K138" s="9" t="s">
        <v>873</v>
      </c>
      <c r="L138" s="27">
        <v>0.116905</v>
      </c>
      <c r="M138" s="28" t="s">
        <v>3205</v>
      </c>
      <c r="N138" s="17">
        <v>5.48163</v>
      </c>
      <c r="O138" s="1"/>
      <c r="P138" s="38">
        <f t="shared" si="13"/>
        <v>0</v>
      </c>
      <c r="S138" s="24" t="str">
        <f t="shared" si="16"/>
        <v>-</v>
      </c>
      <c r="T138" s="24" t="str">
        <f t="shared" si="14"/>
        <v>-</v>
      </c>
      <c r="U138" s="25" t="str">
        <f t="shared" si="17"/>
        <v>-</v>
      </c>
      <c r="V138" s="26" t="str">
        <f t="shared" si="18"/>
        <v>-</v>
      </c>
      <c r="X138" s="26" t="str">
        <f t="shared" si="15"/>
        <v>-</v>
      </c>
    </row>
    <row r="139" spans="1:24" x14ac:dyDescent="0.3">
      <c r="A139" s="37">
        <v>87614015064</v>
      </c>
      <c r="B139" s="8" t="s">
        <v>1324</v>
      </c>
      <c r="C139" s="10" t="s">
        <v>2108</v>
      </c>
      <c r="D139" s="11" t="s">
        <v>881</v>
      </c>
      <c r="E139" s="11" t="s">
        <v>969</v>
      </c>
      <c r="F139" s="9">
        <v>20</v>
      </c>
      <c r="G139" s="9">
        <v>60</v>
      </c>
      <c r="H139" s="9" t="s">
        <v>868</v>
      </c>
      <c r="I139" s="9">
        <v>36</v>
      </c>
      <c r="J139" s="9">
        <v>100</v>
      </c>
      <c r="K139" s="9" t="s">
        <v>873</v>
      </c>
      <c r="L139" s="27">
        <v>9.9879999999999997E-2</v>
      </c>
      <c r="M139" s="28" t="s">
        <v>3205</v>
      </c>
      <c r="N139" s="17">
        <v>5.6809619999999992</v>
      </c>
      <c r="O139" s="1"/>
      <c r="P139" s="38">
        <f t="shared" si="13"/>
        <v>0</v>
      </c>
      <c r="S139" s="24" t="str">
        <f t="shared" si="16"/>
        <v>-</v>
      </c>
      <c r="T139" s="24" t="str">
        <f t="shared" si="14"/>
        <v>-</v>
      </c>
      <c r="U139" s="25" t="str">
        <f t="shared" si="17"/>
        <v>-</v>
      </c>
      <c r="V139" s="26" t="str">
        <f t="shared" si="18"/>
        <v>-</v>
      </c>
      <c r="X139" s="26" t="str">
        <f t="shared" si="15"/>
        <v>-</v>
      </c>
    </row>
    <row r="140" spans="1:24" x14ac:dyDescent="0.3">
      <c r="A140" s="37">
        <v>87614015149</v>
      </c>
      <c r="B140" s="8" t="s">
        <v>349</v>
      </c>
      <c r="C140" s="10" t="s">
        <v>350</v>
      </c>
      <c r="D140" s="11" t="s">
        <v>882</v>
      </c>
      <c r="E140" s="11" t="s">
        <v>1028</v>
      </c>
      <c r="F140" s="9">
        <v>20</v>
      </c>
      <c r="G140" s="9">
        <v>60</v>
      </c>
      <c r="H140" s="9" t="s">
        <v>868</v>
      </c>
      <c r="I140" s="9">
        <v>36</v>
      </c>
      <c r="J140" s="9">
        <v>100</v>
      </c>
      <c r="K140" s="9" t="s">
        <v>873</v>
      </c>
      <c r="L140" s="27">
        <v>0.12031</v>
      </c>
      <c r="M140" s="28" t="s">
        <v>3205</v>
      </c>
      <c r="N140" s="17">
        <v>5.2822979999999999</v>
      </c>
      <c r="O140" s="1"/>
      <c r="P140" s="38">
        <f t="shared" si="13"/>
        <v>0</v>
      </c>
      <c r="S140" s="24" t="str">
        <f t="shared" si="16"/>
        <v>-</v>
      </c>
      <c r="T140" s="24" t="str">
        <f t="shared" si="14"/>
        <v>-</v>
      </c>
      <c r="U140" s="25" t="str">
        <f t="shared" si="17"/>
        <v>-</v>
      </c>
      <c r="V140" s="26" t="str">
        <f t="shared" si="18"/>
        <v>-</v>
      </c>
      <c r="X140" s="26" t="str">
        <f t="shared" si="15"/>
        <v>-</v>
      </c>
    </row>
    <row r="141" spans="1:24" x14ac:dyDescent="0.3">
      <c r="A141" s="37">
        <v>87614015262</v>
      </c>
      <c r="B141" s="8" t="s">
        <v>1220</v>
      </c>
      <c r="C141" s="10" t="s">
        <v>2032</v>
      </c>
      <c r="D141" s="11" t="s">
        <v>886</v>
      </c>
      <c r="E141" s="11" t="s">
        <v>2813</v>
      </c>
      <c r="F141" s="9">
        <v>30</v>
      </c>
      <c r="G141" s="9">
        <v>90</v>
      </c>
      <c r="H141" s="9" t="s">
        <v>868</v>
      </c>
      <c r="I141" s="9">
        <v>24</v>
      </c>
      <c r="J141" s="9">
        <v>120</v>
      </c>
      <c r="K141" s="9" t="s">
        <v>873</v>
      </c>
      <c r="L141" s="27">
        <v>6.583E-2</v>
      </c>
      <c r="M141" s="28" t="s">
        <v>3205</v>
      </c>
      <c r="N141" s="17">
        <v>4.7839679999999998</v>
      </c>
      <c r="O141" s="1"/>
      <c r="P141" s="38">
        <f t="shared" si="13"/>
        <v>0</v>
      </c>
      <c r="S141" s="24" t="str">
        <f t="shared" si="16"/>
        <v>-</v>
      </c>
      <c r="T141" s="24" t="str">
        <f t="shared" si="14"/>
        <v>-</v>
      </c>
      <c r="U141" s="25" t="str">
        <f t="shared" si="17"/>
        <v>-</v>
      </c>
      <c r="V141" s="26" t="str">
        <f t="shared" si="18"/>
        <v>-</v>
      </c>
      <c r="X141" s="26" t="str">
        <f t="shared" si="15"/>
        <v>-</v>
      </c>
    </row>
    <row r="142" spans="1:24" x14ac:dyDescent="0.3">
      <c r="A142" s="37">
        <v>87614015330</v>
      </c>
      <c r="B142" s="8" t="s">
        <v>359</v>
      </c>
      <c r="C142" s="10" t="s">
        <v>360</v>
      </c>
      <c r="D142" s="11" t="s">
        <v>875</v>
      </c>
      <c r="E142" s="11" t="s">
        <v>935</v>
      </c>
      <c r="F142" s="9">
        <v>20</v>
      </c>
      <c r="G142" s="9">
        <v>60</v>
      </c>
      <c r="H142" s="9" t="s">
        <v>868</v>
      </c>
      <c r="I142" s="9">
        <v>36</v>
      </c>
      <c r="J142" s="9">
        <v>100</v>
      </c>
      <c r="K142" s="9" t="s">
        <v>873</v>
      </c>
      <c r="L142" s="27">
        <v>0.12031</v>
      </c>
      <c r="M142" s="28" t="s">
        <v>3205</v>
      </c>
      <c r="N142" s="17">
        <v>4.8005789999999999</v>
      </c>
      <c r="O142" s="1"/>
      <c r="P142" s="38">
        <f t="shared" si="13"/>
        <v>0</v>
      </c>
      <c r="S142" s="24" t="str">
        <f t="shared" si="16"/>
        <v>-</v>
      </c>
      <c r="T142" s="24" t="str">
        <f t="shared" si="14"/>
        <v>-</v>
      </c>
      <c r="U142" s="25" t="str">
        <f t="shared" si="17"/>
        <v>-</v>
      </c>
      <c r="V142" s="26" t="str">
        <f t="shared" si="18"/>
        <v>-</v>
      </c>
      <c r="X142" s="26" t="str">
        <f t="shared" si="15"/>
        <v>-</v>
      </c>
    </row>
    <row r="143" spans="1:24" x14ac:dyDescent="0.3">
      <c r="A143" s="37">
        <v>87614015996</v>
      </c>
      <c r="B143" s="8" t="s">
        <v>365</v>
      </c>
      <c r="C143" s="10" t="s">
        <v>366</v>
      </c>
      <c r="D143" s="11" t="s">
        <v>870</v>
      </c>
      <c r="E143" s="11" t="s">
        <v>1031</v>
      </c>
      <c r="F143" s="9">
        <v>30</v>
      </c>
      <c r="G143" s="9">
        <v>90</v>
      </c>
      <c r="H143" s="9" t="s">
        <v>868</v>
      </c>
      <c r="I143" s="9">
        <v>36</v>
      </c>
      <c r="J143" s="9">
        <v>250</v>
      </c>
      <c r="K143" s="9" t="s">
        <v>873</v>
      </c>
      <c r="L143" s="27">
        <v>9.307E-2</v>
      </c>
      <c r="M143" s="28" t="s">
        <v>3205</v>
      </c>
      <c r="N143" s="17">
        <v>5.863683</v>
      </c>
      <c r="O143" s="1"/>
      <c r="P143" s="38">
        <f t="shared" si="13"/>
        <v>0</v>
      </c>
      <c r="S143" s="24" t="str">
        <f t="shared" si="16"/>
        <v>-</v>
      </c>
      <c r="T143" s="24" t="str">
        <f t="shared" si="14"/>
        <v>-</v>
      </c>
      <c r="U143" s="25" t="str">
        <f t="shared" si="17"/>
        <v>-</v>
      </c>
      <c r="V143" s="26" t="str">
        <f t="shared" si="18"/>
        <v>-</v>
      </c>
      <c r="X143" s="26" t="str">
        <f t="shared" si="15"/>
        <v>-</v>
      </c>
    </row>
    <row r="144" spans="1:24" x14ac:dyDescent="0.3">
      <c r="A144" s="37">
        <v>87614018744</v>
      </c>
      <c r="B144" s="8" t="s">
        <v>397</v>
      </c>
      <c r="C144" s="10" t="s">
        <v>398</v>
      </c>
      <c r="D144" s="11" t="s">
        <v>876</v>
      </c>
      <c r="E144" s="11" t="s">
        <v>916</v>
      </c>
      <c r="F144" s="9">
        <v>20</v>
      </c>
      <c r="G144" s="9">
        <v>60</v>
      </c>
      <c r="H144" s="9" t="s">
        <v>868</v>
      </c>
      <c r="I144" s="9">
        <v>24</v>
      </c>
      <c r="J144" s="9">
        <v>100</v>
      </c>
      <c r="K144" s="9" t="s">
        <v>873</v>
      </c>
      <c r="L144" s="27">
        <v>0.153225</v>
      </c>
      <c r="M144" s="28" t="s">
        <v>3205</v>
      </c>
      <c r="N144" s="17">
        <v>7.9400579999999996</v>
      </c>
      <c r="O144" s="1"/>
      <c r="P144" s="38">
        <f t="shared" si="13"/>
        <v>0</v>
      </c>
      <c r="S144" s="24" t="str">
        <f t="shared" si="16"/>
        <v>-</v>
      </c>
      <c r="T144" s="24" t="str">
        <f t="shared" si="14"/>
        <v>-</v>
      </c>
      <c r="U144" s="25" t="str">
        <f t="shared" si="17"/>
        <v>-</v>
      </c>
      <c r="V144" s="26" t="str">
        <f t="shared" si="18"/>
        <v>-</v>
      </c>
      <c r="X144" s="26" t="str">
        <f t="shared" si="15"/>
        <v>-</v>
      </c>
    </row>
    <row r="145" spans="1:24" x14ac:dyDescent="0.3">
      <c r="A145" s="37">
        <v>87614019048</v>
      </c>
      <c r="B145" s="8" t="s">
        <v>1329</v>
      </c>
      <c r="C145" s="10" t="s">
        <v>2111</v>
      </c>
      <c r="D145" s="11" t="s">
        <v>902</v>
      </c>
      <c r="E145" s="11" t="s">
        <v>933</v>
      </c>
      <c r="F145" s="9">
        <v>30</v>
      </c>
      <c r="G145" s="9">
        <v>90</v>
      </c>
      <c r="H145" s="9" t="s">
        <v>868</v>
      </c>
      <c r="I145" s="9">
        <v>24</v>
      </c>
      <c r="J145" s="9">
        <v>120</v>
      </c>
      <c r="K145" s="9" t="s">
        <v>869</v>
      </c>
      <c r="L145" s="27">
        <v>7.0370000000000002E-2</v>
      </c>
      <c r="M145" s="28" t="s">
        <v>3205</v>
      </c>
      <c r="N145" s="17">
        <v>9.0529949999999992</v>
      </c>
      <c r="O145" s="1"/>
      <c r="P145" s="38">
        <f t="shared" si="13"/>
        <v>0</v>
      </c>
      <c r="S145" s="24" t="str">
        <f t="shared" si="16"/>
        <v>-</v>
      </c>
      <c r="T145" s="24" t="str">
        <f t="shared" si="14"/>
        <v>-</v>
      </c>
      <c r="U145" s="25" t="str">
        <f t="shared" si="17"/>
        <v>-</v>
      </c>
      <c r="V145" s="26" t="str">
        <f t="shared" si="18"/>
        <v>-</v>
      </c>
      <c r="X145" s="26" t="str">
        <f t="shared" si="15"/>
        <v>-</v>
      </c>
    </row>
    <row r="146" spans="1:24" x14ac:dyDescent="0.3">
      <c r="A146" s="37">
        <v>87614019406</v>
      </c>
      <c r="B146" s="8" t="s">
        <v>421</v>
      </c>
      <c r="C146" s="10" t="s">
        <v>3132</v>
      </c>
      <c r="D146" s="11" t="s">
        <v>883</v>
      </c>
      <c r="E146" s="11" t="s">
        <v>938</v>
      </c>
      <c r="F146" s="9">
        <v>20</v>
      </c>
      <c r="G146" s="9">
        <v>60</v>
      </c>
      <c r="H146" s="9" t="s">
        <v>868</v>
      </c>
      <c r="I146" s="9">
        <v>36</v>
      </c>
      <c r="J146" s="9">
        <v>100</v>
      </c>
      <c r="K146" s="9" t="s">
        <v>2903</v>
      </c>
      <c r="L146" s="27">
        <v>0.13166</v>
      </c>
      <c r="M146" s="28" t="s">
        <v>3205</v>
      </c>
      <c r="N146" s="17">
        <v>3.3055889999999999</v>
      </c>
      <c r="O146" s="1"/>
      <c r="P146" s="38">
        <f t="shared" si="13"/>
        <v>0</v>
      </c>
      <c r="S146" s="24" t="str">
        <f t="shared" si="16"/>
        <v>-</v>
      </c>
      <c r="T146" s="24" t="str">
        <f t="shared" si="14"/>
        <v>-</v>
      </c>
      <c r="U146" s="25" t="str">
        <f t="shared" si="17"/>
        <v>-</v>
      </c>
      <c r="V146" s="26" t="str">
        <f t="shared" si="18"/>
        <v>-</v>
      </c>
      <c r="X146" s="26" t="str">
        <f t="shared" si="15"/>
        <v>-</v>
      </c>
    </row>
    <row r="147" spans="1:24" x14ac:dyDescent="0.3">
      <c r="A147" s="37">
        <v>87614019505</v>
      </c>
      <c r="B147" s="8" t="s">
        <v>426</v>
      </c>
      <c r="C147" s="10" t="s">
        <v>427</v>
      </c>
      <c r="D147" s="11" t="s">
        <v>898</v>
      </c>
      <c r="E147" s="11" t="s">
        <v>979</v>
      </c>
      <c r="F147" s="9">
        <v>48</v>
      </c>
      <c r="G147" s="9">
        <v>192</v>
      </c>
      <c r="H147" s="9" t="s">
        <v>868</v>
      </c>
      <c r="I147" s="9">
        <v>24</v>
      </c>
      <c r="J147" s="9">
        <v>60</v>
      </c>
      <c r="K147" s="9" t="s">
        <v>869</v>
      </c>
      <c r="L147" s="27">
        <v>5.3345000000000004E-2</v>
      </c>
      <c r="M147" s="28" t="s">
        <v>3205</v>
      </c>
      <c r="N147" s="17">
        <v>6.2789579999999994</v>
      </c>
      <c r="O147" s="1"/>
      <c r="P147" s="38">
        <f t="shared" si="13"/>
        <v>0</v>
      </c>
      <c r="S147" s="24" t="str">
        <f t="shared" si="16"/>
        <v>-</v>
      </c>
      <c r="T147" s="24" t="str">
        <f t="shared" si="14"/>
        <v>-</v>
      </c>
      <c r="U147" s="25" t="str">
        <f t="shared" si="17"/>
        <v>-</v>
      </c>
      <c r="V147" s="26" t="str">
        <f t="shared" si="18"/>
        <v>-</v>
      </c>
      <c r="X147" s="26" t="str">
        <f t="shared" si="15"/>
        <v>-</v>
      </c>
    </row>
    <row r="148" spans="1:24" x14ac:dyDescent="0.3">
      <c r="A148" s="37">
        <v>87614019666</v>
      </c>
      <c r="B148" s="8" t="s">
        <v>433</v>
      </c>
      <c r="C148" s="10" t="s">
        <v>2995</v>
      </c>
      <c r="D148" s="11" t="s">
        <v>884</v>
      </c>
      <c r="E148" s="11" t="s">
        <v>959</v>
      </c>
      <c r="F148" s="9">
        <v>20</v>
      </c>
      <c r="G148" s="9">
        <v>60</v>
      </c>
      <c r="H148" s="9" t="s">
        <v>868</v>
      </c>
      <c r="I148" s="9">
        <v>36</v>
      </c>
      <c r="J148" s="9">
        <v>100</v>
      </c>
      <c r="K148" s="9" t="s">
        <v>2903</v>
      </c>
      <c r="L148" s="27">
        <v>0.12712000000000001</v>
      </c>
      <c r="M148" s="28" t="s">
        <v>3205</v>
      </c>
      <c r="N148" s="17">
        <v>3.6378089999999998</v>
      </c>
      <c r="O148" s="1"/>
      <c r="P148" s="38">
        <f t="shared" si="13"/>
        <v>0</v>
      </c>
      <c r="S148" s="24" t="str">
        <f t="shared" si="16"/>
        <v>-</v>
      </c>
      <c r="T148" s="24" t="str">
        <f t="shared" si="14"/>
        <v>-</v>
      </c>
      <c r="U148" s="25" t="str">
        <f t="shared" si="17"/>
        <v>-</v>
      </c>
      <c r="V148" s="26" t="str">
        <f t="shared" si="18"/>
        <v>-</v>
      </c>
      <c r="X148" s="26" t="str">
        <f t="shared" si="15"/>
        <v>-</v>
      </c>
    </row>
    <row r="149" spans="1:24" x14ac:dyDescent="0.3">
      <c r="A149" s="37">
        <v>87614019680</v>
      </c>
      <c r="B149" s="8" t="s">
        <v>434</v>
      </c>
      <c r="C149" s="10" t="s">
        <v>435</v>
      </c>
      <c r="D149" s="11" t="s">
        <v>898</v>
      </c>
      <c r="E149" s="11" t="s">
        <v>979</v>
      </c>
      <c r="F149" s="9">
        <v>20</v>
      </c>
      <c r="G149" s="9">
        <v>60</v>
      </c>
      <c r="H149" s="9" t="s">
        <v>868</v>
      </c>
      <c r="I149" s="9">
        <v>36</v>
      </c>
      <c r="J149" s="9">
        <v>100</v>
      </c>
      <c r="K149" s="9" t="s">
        <v>873</v>
      </c>
      <c r="L149" s="27">
        <v>0.10442</v>
      </c>
      <c r="M149" s="28" t="s">
        <v>3205</v>
      </c>
      <c r="N149" s="17">
        <v>3.9201959999999998</v>
      </c>
      <c r="O149" s="1"/>
      <c r="P149" s="38">
        <f t="shared" si="13"/>
        <v>0</v>
      </c>
      <c r="S149" s="24" t="str">
        <f t="shared" si="16"/>
        <v>-</v>
      </c>
      <c r="T149" s="24" t="str">
        <f t="shared" si="14"/>
        <v>-</v>
      </c>
      <c r="U149" s="25" t="str">
        <f t="shared" si="17"/>
        <v>-</v>
      </c>
      <c r="V149" s="26" t="str">
        <f t="shared" si="18"/>
        <v>-</v>
      </c>
      <c r="X149" s="26" t="str">
        <f t="shared" si="15"/>
        <v>-</v>
      </c>
    </row>
    <row r="150" spans="1:24" x14ac:dyDescent="0.3">
      <c r="A150" s="37">
        <v>87614019826</v>
      </c>
      <c r="B150" s="8" t="s">
        <v>446</v>
      </c>
      <c r="C150" s="10" t="s">
        <v>447</v>
      </c>
      <c r="D150" s="11" t="s">
        <v>874</v>
      </c>
      <c r="E150" s="11" t="s">
        <v>919</v>
      </c>
      <c r="F150" s="9">
        <v>30</v>
      </c>
      <c r="G150" s="9">
        <v>90</v>
      </c>
      <c r="H150" s="9" t="s">
        <v>868</v>
      </c>
      <c r="I150" s="9">
        <v>24</v>
      </c>
      <c r="J150" s="9">
        <v>120</v>
      </c>
      <c r="K150" s="9" t="s">
        <v>873</v>
      </c>
      <c r="L150" s="27">
        <v>7.9450000000000007E-2</v>
      </c>
      <c r="M150" s="28" t="s">
        <v>3205</v>
      </c>
      <c r="N150" s="17">
        <v>7.2922289999999998</v>
      </c>
      <c r="O150" s="1"/>
      <c r="P150" s="38">
        <f t="shared" si="13"/>
        <v>0</v>
      </c>
      <c r="S150" s="24" t="str">
        <f t="shared" si="16"/>
        <v>-</v>
      </c>
      <c r="T150" s="24" t="str">
        <f t="shared" si="14"/>
        <v>-</v>
      </c>
      <c r="U150" s="25" t="str">
        <f t="shared" si="17"/>
        <v>-</v>
      </c>
      <c r="V150" s="26" t="str">
        <f t="shared" si="18"/>
        <v>-</v>
      </c>
      <c r="X150" s="26" t="str">
        <f t="shared" si="15"/>
        <v>-</v>
      </c>
    </row>
    <row r="151" spans="1:24" x14ac:dyDescent="0.3">
      <c r="A151" s="37">
        <v>87614190242</v>
      </c>
      <c r="B151" s="8" t="s">
        <v>459</v>
      </c>
      <c r="C151" s="10" t="s">
        <v>2735</v>
      </c>
      <c r="D151" s="11" t="s">
        <v>879</v>
      </c>
      <c r="E151" s="11" t="s">
        <v>1018</v>
      </c>
      <c r="F151" s="9">
        <v>30</v>
      </c>
      <c r="G151" s="9">
        <v>90</v>
      </c>
      <c r="H151" s="9" t="s">
        <v>868</v>
      </c>
      <c r="I151" s="9">
        <v>24</v>
      </c>
      <c r="J151" s="9">
        <v>60</v>
      </c>
      <c r="K151" s="9" t="s">
        <v>2903</v>
      </c>
      <c r="L151" s="27">
        <v>4.7670000000000004E-2</v>
      </c>
      <c r="M151" s="28" t="s">
        <v>3205</v>
      </c>
      <c r="N151" s="17">
        <v>7.2590070000000004</v>
      </c>
      <c r="O151" s="1"/>
      <c r="P151" s="38">
        <f t="shared" si="13"/>
        <v>0</v>
      </c>
      <c r="S151" s="24" t="str">
        <f t="shared" si="16"/>
        <v>-</v>
      </c>
      <c r="T151" s="24" t="str">
        <f t="shared" si="14"/>
        <v>-</v>
      </c>
      <c r="U151" s="25" t="str">
        <f t="shared" si="17"/>
        <v>-</v>
      </c>
      <c r="V151" s="26" t="str">
        <f t="shared" si="18"/>
        <v>-</v>
      </c>
      <c r="X151" s="26" t="str">
        <f t="shared" si="15"/>
        <v>-</v>
      </c>
    </row>
    <row r="152" spans="1:24" x14ac:dyDescent="0.3">
      <c r="A152" s="37">
        <v>87614070896</v>
      </c>
      <c r="B152" s="8" t="s">
        <v>475</v>
      </c>
      <c r="C152" s="10" t="s">
        <v>476</v>
      </c>
      <c r="D152" s="11" t="s">
        <v>875</v>
      </c>
      <c r="E152" s="11" t="s">
        <v>2863</v>
      </c>
      <c r="F152" s="9">
        <v>20</v>
      </c>
      <c r="G152" s="9">
        <v>60</v>
      </c>
      <c r="H152" s="9" t="s">
        <v>892</v>
      </c>
      <c r="I152" s="9">
        <v>24</v>
      </c>
      <c r="J152" s="9">
        <v>120</v>
      </c>
      <c r="K152" s="9" t="s">
        <v>889</v>
      </c>
      <c r="L152" s="27">
        <v>0.1135</v>
      </c>
      <c r="M152" s="28" t="s">
        <v>3205</v>
      </c>
      <c r="N152" s="17">
        <v>11.594478000000001</v>
      </c>
      <c r="O152" s="1"/>
      <c r="P152" s="38">
        <f t="shared" si="13"/>
        <v>0</v>
      </c>
      <c r="S152" s="24" t="str">
        <f t="shared" si="16"/>
        <v>-</v>
      </c>
      <c r="T152" s="24" t="str">
        <f t="shared" si="14"/>
        <v>-</v>
      </c>
      <c r="U152" s="25" t="str">
        <f t="shared" si="17"/>
        <v>-</v>
      </c>
      <c r="V152" s="26" t="str">
        <f t="shared" si="18"/>
        <v>-</v>
      </c>
      <c r="X152" s="26" t="str">
        <f t="shared" si="15"/>
        <v>-</v>
      </c>
    </row>
    <row r="153" spans="1:24" x14ac:dyDescent="0.3">
      <c r="A153" s="37">
        <v>87614071046</v>
      </c>
      <c r="B153" s="8" t="s">
        <v>1096</v>
      </c>
      <c r="C153" s="10" t="s">
        <v>2745</v>
      </c>
      <c r="D153" s="11" t="s">
        <v>890</v>
      </c>
      <c r="E153" s="11" t="s">
        <v>1119</v>
      </c>
      <c r="F153" s="9">
        <v>30</v>
      </c>
      <c r="G153" s="9">
        <v>90</v>
      </c>
      <c r="H153" s="9" t="s">
        <v>868</v>
      </c>
      <c r="I153" s="9">
        <v>24</v>
      </c>
      <c r="J153" s="9">
        <v>60</v>
      </c>
      <c r="K153" s="9" t="s">
        <v>2903</v>
      </c>
      <c r="L153" s="27">
        <v>8.6260000000000003E-2</v>
      </c>
      <c r="M153" s="28" t="s">
        <v>3205</v>
      </c>
      <c r="N153" s="17">
        <v>5.3985750000000001</v>
      </c>
      <c r="O153" s="1"/>
      <c r="P153" s="38">
        <f t="shared" si="13"/>
        <v>0</v>
      </c>
      <c r="S153" s="24" t="str">
        <f t="shared" si="16"/>
        <v>-</v>
      </c>
      <c r="T153" s="24" t="str">
        <f t="shared" si="14"/>
        <v>-</v>
      </c>
      <c r="U153" s="25" t="str">
        <f t="shared" si="17"/>
        <v>-</v>
      </c>
      <c r="V153" s="26" t="str">
        <f t="shared" si="18"/>
        <v>-</v>
      </c>
      <c r="X153" s="26" t="str">
        <f t="shared" si="15"/>
        <v>-</v>
      </c>
    </row>
    <row r="154" spans="1:24" x14ac:dyDescent="0.3">
      <c r="A154" s="37">
        <v>87614142876</v>
      </c>
      <c r="B154" s="8" t="s">
        <v>1276</v>
      </c>
      <c r="C154" s="10" t="s">
        <v>3015</v>
      </c>
      <c r="D154" s="11" t="s">
        <v>881</v>
      </c>
      <c r="E154" s="11" t="s">
        <v>1019</v>
      </c>
      <c r="F154" s="9">
        <v>30</v>
      </c>
      <c r="G154" s="9">
        <v>90</v>
      </c>
      <c r="H154" s="9" t="s">
        <v>868</v>
      </c>
      <c r="I154" s="9">
        <v>24</v>
      </c>
      <c r="J154" s="9">
        <v>60</v>
      </c>
      <c r="K154" s="9" t="s">
        <v>2903</v>
      </c>
      <c r="L154" s="27">
        <v>6.9235000000000005E-2</v>
      </c>
      <c r="M154" s="28" t="s">
        <v>3205</v>
      </c>
      <c r="N154" s="17">
        <v>5.2656869999999998</v>
      </c>
      <c r="O154" s="1"/>
      <c r="P154" s="38">
        <f t="shared" si="13"/>
        <v>0</v>
      </c>
      <c r="S154" s="24" t="str">
        <f t="shared" si="16"/>
        <v>-</v>
      </c>
      <c r="T154" s="24" t="str">
        <f t="shared" si="14"/>
        <v>-</v>
      </c>
      <c r="U154" s="25" t="str">
        <f t="shared" si="17"/>
        <v>-</v>
      </c>
      <c r="V154" s="26" t="str">
        <f t="shared" si="18"/>
        <v>-</v>
      </c>
      <c r="X154" s="26" t="str">
        <f t="shared" si="15"/>
        <v>-</v>
      </c>
    </row>
    <row r="155" spans="1:24" x14ac:dyDescent="0.3">
      <c r="A155" s="37">
        <v>87614020969</v>
      </c>
      <c r="B155" s="8" t="s">
        <v>642</v>
      </c>
      <c r="C155" s="10" t="s">
        <v>643</v>
      </c>
      <c r="D155" s="11" t="s">
        <v>874</v>
      </c>
      <c r="E155" s="11" t="s">
        <v>998</v>
      </c>
      <c r="F155" s="9">
        <v>20</v>
      </c>
      <c r="G155" s="9">
        <v>60</v>
      </c>
      <c r="H155" s="9" t="s">
        <v>868</v>
      </c>
      <c r="I155" s="9">
        <v>36</v>
      </c>
      <c r="J155" s="9">
        <v>60</v>
      </c>
      <c r="K155" s="9" t="s">
        <v>869</v>
      </c>
      <c r="L155" s="27">
        <v>0.14301</v>
      </c>
      <c r="M155" s="28" t="s">
        <v>3205</v>
      </c>
      <c r="N155" s="17">
        <v>6.6610109999999993</v>
      </c>
      <c r="O155" s="1"/>
      <c r="P155" s="38">
        <f t="shared" si="13"/>
        <v>0</v>
      </c>
      <c r="S155" s="24" t="str">
        <f t="shared" si="16"/>
        <v>-</v>
      </c>
      <c r="T155" s="24" t="str">
        <f t="shared" si="14"/>
        <v>-</v>
      </c>
      <c r="U155" s="25" t="str">
        <f t="shared" si="17"/>
        <v>-</v>
      </c>
      <c r="V155" s="26" t="str">
        <f t="shared" si="18"/>
        <v>-</v>
      </c>
      <c r="X155" s="26" t="str">
        <f t="shared" si="15"/>
        <v>-</v>
      </c>
    </row>
    <row r="156" spans="1:24" x14ac:dyDescent="0.3">
      <c r="A156" s="37">
        <v>87614210032</v>
      </c>
      <c r="B156" s="8" t="s">
        <v>644</v>
      </c>
      <c r="C156" s="10" t="s">
        <v>3023</v>
      </c>
      <c r="D156" s="11" t="s">
        <v>881</v>
      </c>
      <c r="E156" s="11" t="s">
        <v>1019</v>
      </c>
      <c r="F156" s="9">
        <v>30</v>
      </c>
      <c r="G156" s="9">
        <v>90</v>
      </c>
      <c r="H156" s="9" t="s">
        <v>868</v>
      </c>
      <c r="I156" s="9">
        <v>36</v>
      </c>
      <c r="J156" s="9">
        <v>60</v>
      </c>
      <c r="K156" s="9" t="s">
        <v>2903</v>
      </c>
      <c r="L156" s="27">
        <v>5.4480000000000001E-2</v>
      </c>
      <c r="M156" s="28" t="s">
        <v>3205</v>
      </c>
      <c r="N156" s="17">
        <v>6.063015</v>
      </c>
      <c r="O156" s="1"/>
      <c r="P156" s="38">
        <f t="shared" si="13"/>
        <v>0</v>
      </c>
      <c r="S156" s="24" t="str">
        <f t="shared" si="16"/>
        <v>-</v>
      </c>
      <c r="T156" s="24" t="str">
        <f t="shared" si="14"/>
        <v>-</v>
      </c>
      <c r="U156" s="25" t="str">
        <f t="shared" si="17"/>
        <v>-</v>
      </c>
      <c r="V156" s="26" t="str">
        <f t="shared" si="18"/>
        <v>-</v>
      </c>
      <c r="X156" s="26" t="str">
        <f t="shared" si="15"/>
        <v>-</v>
      </c>
    </row>
    <row r="157" spans="1:24" x14ac:dyDescent="0.3">
      <c r="A157" s="37">
        <v>87614210346</v>
      </c>
      <c r="B157" s="8" t="s">
        <v>1281</v>
      </c>
      <c r="C157" s="10" t="s">
        <v>2072</v>
      </c>
      <c r="D157" s="11" t="s">
        <v>891</v>
      </c>
      <c r="E157" s="11" t="s">
        <v>1016</v>
      </c>
      <c r="F157" s="9">
        <v>30</v>
      </c>
      <c r="G157" s="9">
        <v>90</v>
      </c>
      <c r="H157" s="9" t="s">
        <v>868</v>
      </c>
      <c r="I157" s="9">
        <v>36</v>
      </c>
      <c r="J157" s="9">
        <v>60</v>
      </c>
      <c r="K157" s="9" t="s">
        <v>873</v>
      </c>
      <c r="L157" s="27">
        <v>7.1504999999999999E-2</v>
      </c>
      <c r="M157" s="28" t="s">
        <v>3205</v>
      </c>
      <c r="N157" s="17">
        <v>5.48163</v>
      </c>
      <c r="O157" s="1"/>
      <c r="P157" s="38">
        <f t="shared" si="13"/>
        <v>0</v>
      </c>
      <c r="S157" s="24" t="str">
        <f t="shared" si="16"/>
        <v>-</v>
      </c>
      <c r="T157" s="24" t="str">
        <f t="shared" si="14"/>
        <v>-</v>
      </c>
      <c r="U157" s="25" t="str">
        <f t="shared" si="17"/>
        <v>-</v>
      </c>
      <c r="V157" s="26" t="str">
        <f t="shared" si="18"/>
        <v>-</v>
      </c>
      <c r="X157" s="26" t="str">
        <f t="shared" si="15"/>
        <v>-</v>
      </c>
    </row>
    <row r="158" spans="1:24" x14ac:dyDescent="0.3">
      <c r="A158" s="37">
        <v>87614210827</v>
      </c>
      <c r="B158" s="8" t="s">
        <v>1282</v>
      </c>
      <c r="C158" s="10" t="s">
        <v>2073</v>
      </c>
      <c r="D158" s="11" t="s">
        <v>881</v>
      </c>
      <c r="E158" s="11" t="s">
        <v>939</v>
      </c>
      <c r="F158" s="9">
        <v>12</v>
      </c>
      <c r="G158" s="9">
        <v>24</v>
      </c>
      <c r="H158" s="9" t="s">
        <v>868</v>
      </c>
      <c r="I158" s="9">
        <v>36</v>
      </c>
      <c r="J158" s="9">
        <v>240</v>
      </c>
      <c r="K158" s="9" t="s">
        <v>877</v>
      </c>
      <c r="L158" s="27">
        <v>0.42676000000000003</v>
      </c>
      <c r="M158" s="28" t="s">
        <v>3205</v>
      </c>
      <c r="N158" s="17">
        <v>12.308751000000001</v>
      </c>
      <c r="O158" s="1"/>
      <c r="P158" s="38">
        <f t="shared" si="13"/>
        <v>0</v>
      </c>
      <c r="S158" s="24" t="str">
        <f t="shared" si="16"/>
        <v>-</v>
      </c>
      <c r="T158" s="24" t="str">
        <f t="shared" si="14"/>
        <v>-</v>
      </c>
      <c r="U158" s="25" t="str">
        <f t="shared" si="17"/>
        <v>-</v>
      </c>
      <c r="V158" s="26" t="str">
        <f t="shared" si="18"/>
        <v>-</v>
      </c>
      <c r="X158" s="26" t="str">
        <f t="shared" si="15"/>
        <v>-</v>
      </c>
    </row>
    <row r="159" spans="1:24" x14ac:dyDescent="0.3">
      <c r="A159" s="37">
        <v>87614021102</v>
      </c>
      <c r="B159" s="8" t="s">
        <v>659</v>
      </c>
      <c r="C159" s="10" t="s">
        <v>660</v>
      </c>
      <c r="D159" s="11" t="s">
        <v>881</v>
      </c>
      <c r="E159" s="11" t="s">
        <v>1052</v>
      </c>
      <c r="F159" s="9">
        <v>30</v>
      </c>
      <c r="G159" s="9">
        <v>90</v>
      </c>
      <c r="H159" s="9" t="s">
        <v>868</v>
      </c>
      <c r="I159" s="9">
        <v>36</v>
      </c>
      <c r="J159" s="9">
        <v>60</v>
      </c>
      <c r="K159" s="9" t="s">
        <v>889</v>
      </c>
      <c r="L159" s="27">
        <v>5.5615000000000005E-2</v>
      </c>
      <c r="M159" s="28" t="s">
        <v>3205</v>
      </c>
      <c r="N159" s="17">
        <v>11.843643</v>
      </c>
      <c r="O159" s="1"/>
      <c r="P159" s="38">
        <f t="shared" si="13"/>
        <v>0</v>
      </c>
      <c r="S159" s="24" t="str">
        <f t="shared" si="16"/>
        <v>-</v>
      </c>
      <c r="T159" s="24" t="str">
        <f t="shared" si="14"/>
        <v>-</v>
      </c>
      <c r="U159" s="25" t="str">
        <f t="shared" si="17"/>
        <v>-</v>
      </c>
      <c r="V159" s="26" t="str">
        <f t="shared" si="18"/>
        <v>-</v>
      </c>
      <c r="X159" s="26" t="str">
        <f t="shared" si="15"/>
        <v>-</v>
      </c>
    </row>
    <row r="160" spans="1:24" x14ac:dyDescent="0.3">
      <c r="A160" s="37">
        <v>87614021256</v>
      </c>
      <c r="B160" s="8" t="s">
        <v>1346</v>
      </c>
      <c r="C160" s="10" t="s">
        <v>2126</v>
      </c>
      <c r="D160" s="11" t="s">
        <v>876</v>
      </c>
      <c r="E160" s="11" t="s">
        <v>1053</v>
      </c>
      <c r="F160" s="9">
        <v>48</v>
      </c>
      <c r="G160" s="9">
        <v>192</v>
      </c>
      <c r="H160" s="9" t="s">
        <v>868</v>
      </c>
      <c r="I160" s="9">
        <v>24</v>
      </c>
      <c r="J160" s="9">
        <v>30</v>
      </c>
      <c r="K160" s="9" t="s">
        <v>869</v>
      </c>
      <c r="L160" s="27">
        <v>4.086E-2</v>
      </c>
      <c r="M160" s="28" t="s">
        <v>3205</v>
      </c>
      <c r="N160" s="17">
        <v>7.9234470000000004</v>
      </c>
      <c r="O160" s="1"/>
      <c r="P160" s="38">
        <f t="shared" si="13"/>
        <v>0</v>
      </c>
      <c r="S160" s="24" t="str">
        <f t="shared" si="16"/>
        <v>-</v>
      </c>
      <c r="T160" s="24" t="str">
        <f t="shared" si="14"/>
        <v>-</v>
      </c>
      <c r="U160" s="25" t="str">
        <f t="shared" si="17"/>
        <v>-</v>
      </c>
      <c r="V160" s="26" t="str">
        <f t="shared" si="18"/>
        <v>-</v>
      </c>
      <c r="X160" s="26" t="str">
        <f t="shared" si="15"/>
        <v>-</v>
      </c>
    </row>
    <row r="161" spans="1:24" x14ac:dyDescent="0.3">
      <c r="A161" s="37">
        <v>87614021904</v>
      </c>
      <c r="B161" s="8" t="s">
        <v>682</v>
      </c>
      <c r="C161" s="10" t="s">
        <v>3144</v>
      </c>
      <c r="D161" s="11" t="s">
        <v>874</v>
      </c>
      <c r="E161" s="11" t="s">
        <v>919</v>
      </c>
      <c r="F161" s="9">
        <v>20</v>
      </c>
      <c r="G161" s="9">
        <v>60</v>
      </c>
      <c r="H161" s="9" t="s">
        <v>868</v>
      </c>
      <c r="I161" s="9">
        <v>24</v>
      </c>
      <c r="J161" s="9">
        <v>120</v>
      </c>
      <c r="K161" s="9" t="s">
        <v>2903</v>
      </c>
      <c r="L161" s="27">
        <v>0.110095</v>
      </c>
      <c r="M161" s="28" t="s">
        <v>3205</v>
      </c>
      <c r="N161" s="17">
        <v>11.478201</v>
      </c>
      <c r="O161" s="1"/>
      <c r="P161" s="38">
        <f t="shared" si="13"/>
        <v>0</v>
      </c>
      <c r="S161" s="24" t="str">
        <f t="shared" si="16"/>
        <v>-</v>
      </c>
      <c r="T161" s="24" t="str">
        <f t="shared" si="14"/>
        <v>-</v>
      </c>
      <c r="U161" s="25" t="str">
        <f t="shared" si="17"/>
        <v>-</v>
      </c>
      <c r="V161" s="26" t="str">
        <f t="shared" si="18"/>
        <v>-</v>
      </c>
      <c r="X161" s="26" t="str">
        <f t="shared" si="15"/>
        <v>-</v>
      </c>
    </row>
    <row r="162" spans="1:24" x14ac:dyDescent="0.3">
      <c r="A162" s="37">
        <v>87614022048</v>
      </c>
      <c r="B162" s="8" t="s">
        <v>1283</v>
      </c>
      <c r="C162" s="10" t="s">
        <v>2074</v>
      </c>
      <c r="D162" s="11" t="s">
        <v>874</v>
      </c>
      <c r="E162" s="11" t="s">
        <v>917</v>
      </c>
      <c r="F162" s="9">
        <v>30</v>
      </c>
      <c r="G162" s="9">
        <v>90</v>
      </c>
      <c r="H162" s="9" t="s">
        <v>868</v>
      </c>
      <c r="I162" s="9">
        <v>24</v>
      </c>
      <c r="J162" s="9">
        <v>60</v>
      </c>
      <c r="K162" s="9" t="s">
        <v>873</v>
      </c>
      <c r="L162" s="27">
        <v>5.5615000000000005E-2</v>
      </c>
      <c r="M162" s="28" t="s">
        <v>3205</v>
      </c>
      <c r="N162" s="17">
        <v>5.963349</v>
      </c>
      <c r="O162" s="1"/>
      <c r="P162" s="38">
        <f t="shared" si="13"/>
        <v>0</v>
      </c>
      <c r="S162" s="24" t="str">
        <f t="shared" si="16"/>
        <v>-</v>
      </c>
      <c r="T162" s="24" t="str">
        <f t="shared" si="14"/>
        <v>-</v>
      </c>
      <c r="U162" s="25" t="str">
        <f t="shared" si="17"/>
        <v>-</v>
      </c>
      <c r="V162" s="26" t="str">
        <f t="shared" si="18"/>
        <v>-</v>
      </c>
      <c r="X162" s="26" t="str">
        <f t="shared" si="15"/>
        <v>-</v>
      </c>
    </row>
    <row r="163" spans="1:24" x14ac:dyDescent="0.3">
      <c r="A163" s="37">
        <v>87614022819</v>
      </c>
      <c r="B163" s="8" t="s">
        <v>701</v>
      </c>
      <c r="C163" s="10" t="s">
        <v>702</v>
      </c>
      <c r="D163" s="11" t="s">
        <v>879</v>
      </c>
      <c r="E163" s="11" t="s">
        <v>1057</v>
      </c>
      <c r="F163" s="9">
        <v>30</v>
      </c>
      <c r="G163" s="9">
        <v>90</v>
      </c>
      <c r="H163" s="9" t="s">
        <v>868</v>
      </c>
      <c r="I163" s="9">
        <v>24</v>
      </c>
      <c r="J163" s="9">
        <v>60</v>
      </c>
      <c r="K163" s="9" t="s">
        <v>873</v>
      </c>
      <c r="L163" s="27">
        <v>4.7670000000000004E-2</v>
      </c>
      <c r="M163" s="28" t="s">
        <v>3205</v>
      </c>
      <c r="N163" s="17">
        <v>14.650901999999999</v>
      </c>
      <c r="O163" s="1"/>
      <c r="P163" s="38">
        <f t="shared" si="13"/>
        <v>0</v>
      </c>
      <c r="S163" s="24" t="str">
        <f t="shared" si="16"/>
        <v>-</v>
      </c>
      <c r="T163" s="24" t="str">
        <f t="shared" si="14"/>
        <v>-</v>
      </c>
      <c r="U163" s="25" t="str">
        <f t="shared" si="17"/>
        <v>-</v>
      </c>
      <c r="V163" s="26" t="str">
        <f t="shared" si="18"/>
        <v>-</v>
      </c>
      <c r="X163" s="26" t="str">
        <f t="shared" si="15"/>
        <v>-</v>
      </c>
    </row>
    <row r="164" spans="1:24" x14ac:dyDescent="0.3">
      <c r="A164" s="37">
        <v>87614023755</v>
      </c>
      <c r="B164" s="8" t="s">
        <v>724</v>
      </c>
      <c r="C164" s="10" t="s">
        <v>725</v>
      </c>
      <c r="D164" s="11" t="s">
        <v>898</v>
      </c>
      <c r="E164" s="11" t="s">
        <v>979</v>
      </c>
      <c r="F164" s="9">
        <v>30</v>
      </c>
      <c r="G164" s="9">
        <v>90</v>
      </c>
      <c r="H164" s="9" t="s">
        <v>868</v>
      </c>
      <c r="I164" s="9">
        <v>36</v>
      </c>
      <c r="J164" s="9">
        <v>90</v>
      </c>
      <c r="K164" s="9" t="s">
        <v>873</v>
      </c>
      <c r="L164" s="27">
        <v>6.2425000000000001E-2</v>
      </c>
      <c r="M164" s="28" t="s">
        <v>3205</v>
      </c>
      <c r="N164" s="17">
        <v>12.092808</v>
      </c>
      <c r="O164" s="1"/>
      <c r="P164" s="38">
        <f t="shared" si="13"/>
        <v>0</v>
      </c>
      <c r="S164" s="24" t="str">
        <f t="shared" si="16"/>
        <v>-</v>
      </c>
      <c r="T164" s="24" t="str">
        <f t="shared" si="14"/>
        <v>-</v>
      </c>
      <c r="U164" s="25" t="str">
        <f t="shared" si="17"/>
        <v>-</v>
      </c>
      <c r="V164" s="26" t="str">
        <f t="shared" si="18"/>
        <v>-</v>
      </c>
      <c r="X164" s="26" t="str">
        <f t="shared" si="15"/>
        <v>-</v>
      </c>
    </row>
    <row r="165" spans="1:24" x14ac:dyDescent="0.3">
      <c r="A165" s="37">
        <v>87614024196</v>
      </c>
      <c r="B165" s="8" t="s">
        <v>737</v>
      </c>
      <c r="C165" s="10" t="s">
        <v>738</v>
      </c>
      <c r="D165" s="11" t="s">
        <v>874</v>
      </c>
      <c r="E165" s="11" t="s">
        <v>925</v>
      </c>
      <c r="F165" s="9">
        <v>48</v>
      </c>
      <c r="G165" s="9">
        <v>192</v>
      </c>
      <c r="H165" s="9" t="s">
        <v>868</v>
      </c>
      <c r="I165" s="9">
        <v>36</v>
      </c>
      <c r="J165" s="9">
        <v>30</v>
      </c>
      <c r="K165" s="9" t="s">
        <v>873</v>
      </c>
      <c r="L165" s="27">
        <v>2.3835000000000002E-2</v>
      </c>
      <c r="M165" s="28" t="s">
        <v>3205</v>
      </c>
      <c r="N165" s="17">
        <v>7.2756179999999997</v>
      </c>
      <c r="O165" s="1"/>
      <c r="P165" s="38">
        <f t="shared" si="13"/>
        <v>0</v>
      </c>
      <c r="S165" s="24" t="str">
        <f t="shared" si="16"/>
        <v>-</v>
      </c>
      <c r="T165" s="24" t="str">
        <f t="shared" si="14"/>
        <v>-</v>
      </c>
      <c r="U165" s="25" t="str">
        <f t="shared" si="17"/>
        <v>-</v>
      </c>
      <c r="V165" s="26" t="str">
        <f t="shared" si="18"/>
        <v>-</v>
      </c>
      <c r="X165" s="26" t="str">
        <f t="shared" si="15"/>
        <v>-</v>
      </c>
    </row>
    <row r="166" spans="1:24" x14ac:dyDescent="0.3">
      <c r="A166" s="37">
        <v>87614025308</v>
      </c>
      <c r="B166" s="8" t="s">
        <v>762</v>
      </c>
      <c r="C166" s="10" t="s">
        <v>763</v>
      </c>
      <c r="D166" s="11" t="s">
        <v>874</v>
      </c>
      <c r="E166" s="11" t="s">
        <v>914</v>
      </c>
      <c r="F166" s="9">
        <v>30</v>
      </c>
      <c r="G166" s="9">
        <v>90</v>
      </c>
      <c r="H166" s="9" t="s">
        <v>868</v>
      </c>
      <c r="I166" s="9">
        <v>26</v>
      </c>
      <c r="J166" s="9">
        <v>30</v>
      </c>
      <c r="K166" s="9" t="s">
        <v>873</v>
      </c>
      <c r="L166" s="27">
        <v>4.6535E-2</v>
      </c>
      <c r="M166" s="28" t="s">
        <v>3205</v>
      </c>
      <c r="N166" s="17">
        <v>6.1626810000000001</v>
      </c>
      <c r="O166" s="1"/>
      <c r="P166" s="38">
        <f t="shared" si="13"/>
        <v>0</v>
      </c>
      <c r="S166" s="24" t="str">
        <f t="shared" si="16"/>
        <v>-</v>
      </c>
      <c r="T166" s="24" t="str">
        <f t="shared" si="14"/>
        <v>-</v>
      </c>
      <c r="U166" s="25" t="str">
        <f t="shared" si="17"/>
        <v>-</v>
      </c>
      <c r="V166" s="26" t="str">
        <f t="shared" si="18"/>
        <v>-</v>
      </c>
      <c r="X166" s="26" t="str">
        <f t="shared" si="15"/>
        <v>-</v>
      </c>
    </row>
    <row r="167" spans="1:24" x14ac:dyDescent="0.3">
      <c r="A167" s="37">
        <v>87614025612</v>
      </c>
      <c r="B167" s="8" t="s">
        <v>770</v>
      </c>
      <c r="C167" s="10" t="s">
        <v>3147</v>
      </c>
      <c r="D167" s="11" t="s">
        <v>874</v>
      </c>
      <c r="E167" s="11" t="s">
        <v>1032</v>
      </c>
      <c r="F167" s="9">
        <v>30</v>
      </c>
      <c r="G167" s="9">
        <v>90</v>
      </c>
      <c r="H167" s="9" t="s">
        <v>868</v>
      </c>
      <c r="I167" s="9">
        <v>36</v>
      </c>
      <c r="J167" s="9">
        <v>100</v>
      </c>
      <c r="K167" s="9" t="s">
        <v>2907</v>
      </c>
      <c r="L167" s="27">
        <v>9.4205000000000011E-2</v>
      </c>
      <c r="M167" s="28" t="s">
        <v>3205</v>
      </c>
      <c r="N167" s="17">
        <v>15.697394999999998</v>
      </c>
      <c r="O167" s="1"/>
      <c r="P167" s="38">
        <f t="shared" si="13"/>
        <v>0</v>
      </c>
      <c r="S167" s="24" t="str">
        <f t="shared" si="16"/>
        <v>-</v>
      </c>
      <c r="T167" s="24" t="str">
        <f t="shared" si="14"/>
        <v>-</v>
      </c>
      <c r="U167" s="25" t="str">
        <f t="shared" si="17"/>
        <v>-</v>
      </c>
      <c r="V167" s="26" t="str">
        <f t="shared" si="18"/>
        <v>-</v>
      </c>
      <c r="X167" s="26" t="str">
        <f t="shared" si="15"/>
        <v>-</v>
      </c>
    </row>
    <row r="168" spans="1:24" x14ac:dyDescent="0.3">
      <c r="A168" s="37">
        <v>87614026763</v>
      </c>
      <c r="B168" s="8" t="s">
        <v>780</v>
      </c>
      <c r="C168" s="10" t="s">
        <v>781</v>
      </c>
      <c r="D168" s="11" t="s">
        <v>881</v>
      </c>
      <c r="E168" s="11" t="s">
        <v>996</v>
      </c>
      <c r="F168" s="9">
        <v>30</v>
      </c>
      <c r="G168" s="9">
        <v>90</v>
      </c>
      <c r="H168" s="9" t="s">
        <v>868</v>
      </c>
      <c r="I168" s="9">
        <v>36</v>
      </c>
      <c r="J168" s="9">
        <v>60</v>
      </c>
      <c r="K168" s="9" t="s">
        <v>889</v>
      </c>
      <c r="L168" s="27">
        <v>9.307E-2</v>
      </c>
      <c r="M168" s="28" t="s">
        <v>3205</v>
      </c>
      <c r="N168" s="17">
        <v>5.7141839999999995</v>
      </c>
      <c r="O168" s="1"/>
      <c r="P168" s="38">
        <f t="shared" si="13"/>
        <v>0</v>
      </c>
      <c r="S168" s="24" t="str">
        <f t="shared" si="16"/>
        <v>-</v>
      </c>
      <c r="T168" s="24" t="str">
        <f t="shared" si="14"/>
        <v>-</v>
      </c>
      <c r="U168" s="25" t="str">
        <f t="shared" si="17"/>
        <v>-</v>
      </c>
      <c r="V168" s="26" t="str">
        <f t="shared" si="18"/>
        <v>-</v>
      </c>
      <c r="X168" s="26" t="str">
        <f t="shared" si="15"/>
        <v>-</v>
      </c>
    </row>
    <row r="169" spans="1:24" x14ac:dyDescent="0.3">
      <c r="A169" s="37">
        <v>87614027005</v>
      </c>
      <c r="B169" s="8" t="s">
        <v>1172</v>
      </c>
      <c r="C169" s="10" t="s">
        <v>3036</v>
      </c>
      <c r="D169" s="11" t="s">
        <v>881</v>
      </c>
      <c r="E169" s="11" t="s">
        <v>939</v>
      </c>
      <c r="F169" s="9">
        <v>20</v>
      </c>
      <c r="G169" s="9">
        <v>60</v>
      </c>
      <c r="H169" s="9" t="s">
        <v>868</v>
      </c>
      <c r="I169" s="9">
        <v>36</v>
      </c>
      <c r="J169" s="9">
        <v>90</v>
      </c>
      <c r="K169" s="9" t="s">
        <v>2903</v>
      </c>
      <c r="L169" s="27">
        <v>0.13733499999999998</v>
      </c>
      <c r="M169" s="28" t="s">
        <v>3205</v>
      </c>
      <c r="N169" s="17">
        <v>35.647205999999997</v>
      </c>
      <c r="O169" s="1"/>
      <c r="P169" s="38">
        <f t="shared" si="13"/>
        <v>0</v>
      </c>
      <c r="S169" s="24" t="str">
        <f t="shared" si="16"/>
        <v>-</v>
      </c>
      <c r="T169" s="24" t="str">
        <f t="shared" si="14"/>
        <v>-</v>
      </c>
      <c r="U169" s="25" t="str">
        <f t="shared" si="17"/>
        <v>-</v>
      </c>
      <c r="V169" s="26" t="str">
        <f t="shared" si="18"/>
        <v>-</v>
      </c>
      <c r="X169" s="26" t="str">
        <f t="shared" si="15"/>
        <v>-</v>
      </c>
    </row>
    <row r="170" spans="1:24" x14ac:dyDescent="0.3">
      <c r="A170" s="37">
        <v>87614027197</v>
      </c>
      <c r="B170" s="8" t="s">
        <v>789</v>
      </c>
      <c r="C170" s="10" t="s">
        <v>3148</v>
      </c>
      <c r="D170" s="11" t="s">
        <v>891</v>
      </c>
      <c r="E170" s="11" t="s">
        <v>968</v>
      </c>
      <c r="F170" s="9">
        <v>48</v>
      </c>
      <c r="G170" s="9">
        <v>192</v>
      </c>
      <c r="H170" s="9" t="s">
        <v>868</v>
      </c>
      <c r="I170" s="9">
        <v>24</v>
      </c>
      <c r="J170" s="9">
        <v>60</v>
      </c>
      <c r="K170" s="9" t="s">
        <v>3049</v>
      </c>
      <c r="L170" s="27">
        <v>5.5615000000000005E-2</v>
      </c>
      <c r="M170" s="28" t="s">
        <v>3205</v>
      </c>
      <c r="N170" s="17">
        <v>6.8437319999999993</v>
      </c>
      <c r="O170" s="1"/>
      <c r="P170" s="38">
        <f t="shared" si="13"/>
        <v>0</v>
      </c>
      <c r="S170" s="24" t="str">
        <f t="shared" si="16"/>
        <v>-</v>
      </c>
      <c r="T170" s="24" t="str">
        <f t="shared" si="14"/>
        <v>-</v>
      </c>
      <c r="U170" s="25" t="str">
        <f t="shared" si="17"/>
        <v>-</v>
      </c>
      <c r="V170" s="26" t="str">
        <f t="shared" si="18"/>
        <v>-</v>
      </c>
      <c r="X170" s="26" t="str">
        <f t="shared" si="15"/>
        <v>-</v>
      </c>
    </row>
    <row r="171" spans="1:24" x14ac:dyDescent="0.3">
      <c r="A171" s="37">
        <v>87614027302</v>
      </c>
      <c r="B171" s="8" t="s">
        <v>792</v>
      </c>
      <c r="C171" s="10" t="s">
        <v>793</v>
      </c>
      <c r="D171" s="11" t="s">
        <v>902</v>
      </c>
      <c r="E171" s="11" t="s">
        <v>1056</v>
      </c>
      <c r="F171" s="9">
        <v>30</v>
      </c>
      <c r="G171" s="9">
        <v>90</v>
      </c>
      <c r="H171" s="9" t="s">
        <v>868</v>
      </c>
      <c r="I171" s="9">
        <v>36</v>
      </c>
      <c r="J171" s="9">
        <v>60</v>
      </c>
      <c r="K171" s="9" t="s">
        <v>869</v>
      </c>
      <c r="L171" s="27">
        <v>7.2639999999999996E-2</v>
      </c>
      <c r="M171" s="28" t="s">
        <v>3205</v>
      </c>
      <c r="N171" s="17">
        <v>8.8702740000000002</v>
      </c>
      <c r="O171" s="1"/>
      <c r="P171" s="38">
        <f t="shared" si="13"/>
        <v>0</v>
      </c>
      <c r="S171" s="24" t="str">
        <f t="shared" si="16"/>
        <v>-</v>
      </c>
      <c r="T171" s="24" t="str">
        <f t="shared" si="14"/>
        <v>-</v>
      </c>
      <c r="U171" s="25" t="str">
        <f t="shared" si="17"/>
        <v>-</v>
      </c>
      <c r="V171" s="26" t="str">
        <f t="shared" si="18"/>
        <v>-</v>
      </c>
      <c r="X171" s="26" t="str">
        <f t="shared" si="15"/>
        <v>-</v>
      </c>
    </row>
    <row r="172" spans="1:24" x14ac:dyDescent="0.3">
      <c r="A172" s="37">
        <v>87614027838</v>
      </c>
      <c r="B172" s="8" t="s">
        <v>806</v>
      </c>
      <c r="C172" s="10" t="s">
        <v>2796</v>
      </c>
      <c r="D172" s="11" t="s">
        <v>872</v>
      </c>
      <c r="E172" s="11" t="s">
        <v>915</v>
      </c>
      <c r="F172" s="9">
        <v>48</v>
      </c>
      <c r="G172" s="9">
        <v>192</v>
      </c>
      <c r="H172" s="9" t="s">
        <v>868</v>
      </c>
      <c r="I172" s="9">
        <v>36</v>
      </c>
      <c r="J172" s="9">
        <v>60</v>
      </c>
      <c r="K172" s="9" t="s">
        <v>877</v>
      </c>
      <c r="L172" s="27">
        <v>4.3130000000000002E-2</v>
      </c>
      <c r="M172" s="28" t="s">
        <v>3205</v>
      </c>
      <c r="N172" s="17">
        <v>5.8138500000000004</v>
      </c>
      <c r="O172" s="1"/>
      <c r="P172" s="38">
        <f t="shared" si="13"/>
        <v>0</v>
      </c>
      <c r="S172" s="24" t="str">
        <f t="shared" si="16"/>
        <v>-</v>
      </c>
      <c r="T172" s="24" t="str">
        <f t="shared" si="14"/>
        <v>-</v>
      </c>
      <c r="U172" s="25" t="str">
        <f t="shared" si="17"/>
        <v>-</v>
      </c>
      <c r="V172" s="26" t="str">
        <f t="shared" si="18"/>
        <v>-</v>
      </c>
      <c r="X172" s="26" t="str">
        <f t="shared" si="15"/>
        <v>-</v>
      </c>
    </row>
    <row r="173" spans="1:24" x14ac:dyDescent="0.3">
      <c r="A173" s="37">
        <v>87614028385</v>
      </c>
      <c r="B173" s="8" t="s">
        <v>817</v>
      </c>
      <c r="C173" s="10" t="s">
        <v>818</v>
      </c>
      <c r="D173" s="11" t="s">
        <v>866</v>
      </c>
      <c r="E173" s="11" t="s">
        <v>963</v>
      </c>
      <c r="F173" s="9">
        <v>48</v>
      </c>
      <c r="G173" s="9">
        <v>192</v>
      </c>
      <c r="H173" s="9" t="s">
        <v>868</v>
      </c>
      <c r="I173" s="9">
        <v>36</v>
      </c>
      <c r="J173" s="9">
        <v>60</v>
      </c>
      <c r="K173" s="9" t="s">
        <v>889</v>
      </c>
      <c r="L173" s="27">
        <v>3.7455000000000002E-2</v>
      </c>
      <c r="M173" s="28" t="s">
        <v>3205</v>
      </c>
      <c r="N173" s="17">
        <v>4.3354710000000001</v>
      </c>
      <c r="O173" s="1"/>
      <c r="P173" s="38">
        <f t="shared" si="13"/>
        <v>0</v>
      </c>
      <c r="S173" s="24" t="str">
        <f t="shared" si="16"/>
        <v>-</v>
      </c>
      <c r="T173" s="24" t="str">
        <f t="shared" si="14"/>
        <v>-</v>
      </c>
      <c r="U173" s="25" t="str">
        <f t="shared" si="17"/>
        <v>-</v>
      </c>
      <c r="V173" s="26" t="str">
        <f t="shared" si="18"/>
        <v>-</v>
      </c>
      <c r="X173" s="26" t="str">
        <f t="shared" si="15"/>
        <v>-</v>
      </c>
    </row>
    <row r="174" spans="1:24" x14ac:dyDescent="0.3">
      <c r="A174" s="37">
        <v>87614029139</v>
      </c>
      <c r="B174" s="8" t="s">
        <v>1292</v>
      </c>
      <c r="C174" s="10" t="s">
        <v>2080</v>
      </c>
      <c r="D174" s="11" t="s">
        <v>881</v>
      </c>
      <c r="E174" s="11" t="s">
        <v>2899</v>
      </c>
      <c r="F174" s="9">
        <v>30</v>
      </c>
      <c r="G174" s="9">
        <v>90</v>
      </c>
      <c r="H174" s="9" t="s">
        <v>868</v>
      </c>
      <c r="I174" s="9">
        <v>36</v>
      </c>
      <c r="J174" s="9">
        <v>60</v>
      </c>
      <c r="K174" s="9" t="s">
        <v>889</v>
      </c>
      <c r="L174" s="27">
        <v>4.9939999999999998E-2</v>
      </c>
      <c r="M174" s="28" t="s">
        <v>3205</v>
      </c>
      <c r="N174" s="17">
        <v>4.0032509999999997</v>
      </c>
      <c r="O174" s="1"/>
      <c r="P174" s="38">
        <f t="shared" si="13"/>
        <v>0</v>
      </c>
      <c r="S174" s="24" t="str">
        <f t="shared" si="16"/>
        <v>-</v>
      </c>
      <c r="T174" s="24" t="str">
        <f t="shared" si="14"/>
        <v>-</v>
      </c>
      <c r="U174" s="25" t="str">
        <f t="shared" si="17"/>
        <v>-</v>
      </c>
      <c r="V174" s="26" t="str">
        <f t="shared" si="18"/>
        <v>-</v>
      </c>
      <c r="X174" s="26" t="str">
        <f t="shared" si="15"/>
        <v>-</v>
      </c>
    </row>
    <row r="175" spans="1:24" x14ac:dyDescent="0.3">
      <c r="A175" s="37">
        <v>87614029818</v>
      </c>
      <c r="B175" s="8" t="s">
        <v>850</v>
      </c>
      <c r="C175" s="10" t="s">
        <v>851</v>
      </c>
      <c r="D175" s="11" t="s">
        <v>902</v>
      </c>
      <c r="E175" s="11" t="s">
        <v>933</v>
      </c>
      <c r="F175" s="9">
        <v>30</v>
      </c>
      <c r="G175" s="9">
        <v>90</v>
      </c>
      <c r="H175" s="9" t="s">
        <v>868</v>
      </c>
      <c r="I175" s="9">
        <v>32</v>
      </c>
      <c r="J175" s="9">
        <v>60</v>
      </c>
      <c r="K175" s="9" t="s">
        <v>869</v>
      </c>
      <c r="L175" s="27">
        <v>6.8099999999999994E-2</v>
      </c>
      <c r="M175" s="28" t="s">
        <v>3205</v>
      </c>
      <c r="N175" s="17">
        <v>9.717435</v>
      </c>
      <c r="O175" s="1"/>
      <c r="P175" s="38">
        <f t="shared" si="13"/>
        <v>0</v>
      </c>
      <c r="S175" s="24" t="str">
        <f t="shared" si="16"/>
        <v>-</v>
      </c>
      <c r="T175" s="24" t="str">
        <f t="shared" si="14"/>
        <v>-</v>
      </c>
      <c r="U175" s="25" t="str">
        <f t="shared" si="17"/>
        <v>-</v>
      </c>
      <c r="V175" s="26" t="str">
        <f t="shared" si="18"/>
        <v>-</v>
      </c>
      <c r="X175" s="26" t="str">
        <f t="shared" si="15"/>
        <v>-</v>
      </c>
    </row>
    <row r="176" spans="1:24" x14ac:dyDescent="0.3">
      <c r="A176" s="37">
        <v>87614029900</v>
      </c>
      <c r="B176" s="8" t="s">
        <v>854</v>
      </c>
      <c r="C176" s="10" t="s">
        <v>855</v>
      </c>
      <c r="D176" s="11" t="s">
        <v>902</v>
      </c>
      <c r="E176" s="11" t="s">
        <v>933</v>
      </c>
      <c r="F176" s="9">
        <v>30</v>
      </c>
      <c r="G176" s="9">
        <v>90</v>
      </c>
      <c r="H176" s="9" t="s">
        <v>868</v>
      </c>
      <c r="I176" s="9">
        <v>24</v>
      </c>
      <c r="J176" s="9">
        <v>120</v>
      </c>
      <c r="K176" s="9" t="s">
        <v>869</v>
      </c>
      <c r="L176" s="27">
        <v>6.6964999999999997E-2</v>
      </c>
      <c r="M176" s="28" t="s">
        <v>3205</v>
      </c>
      <c r="N176" s="17">
        <v>9.5014919999999989</v>
      </c>
      <c r="O176" s="1"/>
      <c r="P176" s="38">
        <f t="shared" si="13"/>
        <v>0</v>
      </c>
      <c r="S176" s="24" t="str">
        <f t="shared" si="16"/>
        <v>-</v>
      </c>
      <c r="T176" s="24" t="str">
        <f t="shared" si="14"/>
        <v>-</v>
      </c>
      <c r="U176" s="25" t="str">
        <f t="shared" si="17"/>
        <v>-</v>
      </c>
      <c r="V176" s="26" t="str">
        <f t="shared" si="18"/>
        <v>-</v>
      </c>
      <c r="X176" s="26" t="str">
        <f t="shared" si="15"/>
        <v>-</v>
      </c>
    </row>
    <row r="177" spans="1:24" x14ac:dyDescent="0.3">
      <c r="A177" s="37">
        <v>87614029948</v>
      </c>
      <c r="B177" s="8" t="s">
        <v>1294</v>
      </c>
      <c r="C177" s="10" t="s">
        <v>3047</v>
      </c>
      <c r="D177" s="11" t="s">
        <v>902</v>
      </c>
      <c r="E177" s="11" t="s">
        <v>933</v>
      </c>
      <c r="F177" s="9">
        <v>30</v>
      </c>
      <c r="G177" s="9">
        <v>90</v>
      </c>
      <c r="H177" s="9" t="s">
        <v>868</v>
      </c>
      <c r="I177" s="9">
        <v>24</v>
      </c>
      <c r="J177" s="9">
        <v>120</v>
      </c>
      <c r="K177" s="9" t="s">
        <v>869</v>
      </c>
      <c r="L177" s="27">
        <v>9.4205000000000011E-2</v>
      </c>
      <c r="M177" s="28" t="s">
        <v>3205</v>
      </c>
      <c r="N177" s="17">
        <v>10.913427</v>
      </c>
      <c r="O177" s="1"/>
      <c r="P177" s="38">
        <f t="shared" si="13"/>
        <v>0</v>
      </c>
      <c r="S177" s="24" t="str">
        <f t="shared" si="16"/>
        <v>-</v>
      </c>
      <c r="T177" s="24" t="str">
        <f t="shared" si="14"/>
        <v>-</v>
      </c>
      <c r="U177" s="25" t="str">
        <f t="shared" si="17"/>
        <v>-</v>
      </c>
      <c r="V177" s="26" t="str">
        <f t="shared" si="18"/>
        <v>-</v>
      </c>
      <c r="X177" s="26" t="str">
        <f t="shared" si="15"/>
        <v>-</v>
      </c>
    </row>
    <row r="178" spans="1:24" x14ac:dyDescent="0.3">
      <c r="A178" s="37">
        <v>87614010076</v>
      </c>
      <c r="B178" s="8" t="s">
        <v>6</v>
      </c>
      <c r="C178" s="10" t="s">
        <v>7</v>
      </c>
      <c r="D178" s="11" t="s">
        <v>866</v>
      </c>
      <c r="E178" s="11" t="s">
        <v>867</v>
      </c>
      <c r="F178" s="9">
        <v>48</v>
      </c>
      <c r="G178" s="9">
        <v>192</v>
      </c>
      <c r="H178" s="9" t="s">
        <v>868</v>
      </c>
      <c r="I178" s="9">
        <v>24</v>
      </c>
      <c r="J178" s="9">
        <v>100</v>
      </c>
      <c r="K178" s="9" t="s">
        <v>869</v>
      </c>
      <c r="L178" s="27">
        <v>4.6535E-2</v>
      </c>
      <c r="M178" s="28" t="s">
        <v>3205</v>
      </c>
      <c r="N178" s="17">
        <v>3.8205300000000002</v>
      </c>
      <c r="O178" s="1"/>
      <c r="P178" s="38">
        <f t="shared" si="13"/>
        <v>0</v>
      </c>
      <c r="S178" s="24" t="str">
        <f t="shared" si="16"/>
        <v>-</v>
      </c>
      <c r="T178" s="24" t="str">
        <f t="shared" si="14"/>
        <v>-</v>
      </c>
      <c r="U178" s="25" t="str">
        <f t="shared" si="17"/>
        <v>-</v>
      </c>
      <c r="V178" s="26" t="str">
        <f t="shared" si="18"/>
        <v>-</v>
      </c>
      <c r="X178" s="26" t="str">
        <f t="shared" si="15"/>
        <v>-</v>
      </c>
    </row>
    <row r="179" spans="1:24" x14ac:dyDescent="0.3">
      <c r="A179" s="37">
        <v>87614010434</v>
      </c>
      <c r="B179" s="8" t="s">
        <v>22</v>
      </c>
      <c r="C179" s="10" t="s">
        <v>23</v>
      </c>
      <c r="D179" s="11" t="s">
        <v>874</v>
      </c>
      <c r="E179" s="11" t="s">
        <v>917</v>
      </c>
      <c r="F179" s="9">
        <v>30</v>
      </c>
      <c r="G179" s="9">
        <v>90</v>
      </c>
      <c r="H179" s="9" t="s">
        <v>868</v>
      </c>
      <c r="I179" s="9">
        <v>36</v>
      </c>
      <c r="J179" s="9">
        <v>250</v>
      </c>
      <c r="K179" s="9" t="s">
        <v>877</v>
      </c>
      <c r="L179" s="27">
        <v>0.17252000000000001</v>
      </c>
      <c r="M179" s="28" t="s">
        <v>3205</v>
      </c>
      <c r="N179" s="17">
        <v>5.3985750000000001</v>
      </c>
      <c r="O179" s="1"/>
      <c r="P179" s="38">
        <f t="shared" si="13"/>
        <v>0</v>
      </c>
      <c r="S179" s="24" t="str">
        <f t="shared" si="16"/>
        <v>-</v>
      </c>
      <c r="T179" s="24" t="str">
        <f t="shared" si="14"/>
        <v>-</v>
      </c>
      <c r="U179" s="25" t="str">
        <f t="shared" si="17"/>
        <v>-</v>
      </c>
      <c r="V179" s="26" t="str">
        <f t="shared" si="18"/>
        <v>-</v>
      </c>
      <c r="X179" s="26" t="str">
        <f t="shared" si="15"/>
        <v>-</v>
      </c>
    </row>
    <row r="180" spans="1:24" x14ac:dyDescent="0.3">
      <c r="A180" s="37">
        <v>87614112381</v>
      </c>
      <c r="B180" s="8" t="s">
        <v>116</v>
      </c>
      <c r="C180" s="10" t="s">
        <v>117</v>
      </c>
      <c r="D180" s="11" t="s">
        <v>881</v>
      </c>
      <c r="E180" s="11" t="s">
        <v>936</v>
      </c>
      <c r="F180" s="9">
        <v>30</v>
      </c>
      <c r="G180" s="9">
        <v>90</v>
      </c>
      <c r="H180" s="9" t="s">
        <v>868</v>
      </c>
      <c r="I180" s="9">
        <v>24</v>
      </c>
      <c r="J180" s="9">
        <v>60</v>
      </c>
      <c r="K180" s="9" t="s">
        <v>889</v>
      </c>
      <c r="L180" s="27">
        <v>8.8529999999999998E-2</v>
      </c>
      <c r="M180" s="28" t="s">
        <v>3205</v>
      </c>
      <c r="N180" s="17">
        <v>7.1261189999999992</v>
      </c>
      <c r="O180" s="1"/>
      <c r="P180" s="38">
        <f t="shared" si="13"/>
        <v>0</v>
      </c>
      <c r="S180" s="24" t="str">
        <f t="shared" si="16"/>
        <v>-</v>
      </c>
      <c r="T180" s="24" t="str">
        <f t="shared" si="14"/>
        <v>-</v>
      </c>
      <c r="U180" s="25" t="str">
        <f t="shared" si="17"/>
        <v>-</v>
      </c>
      <c r="V180" s="26" t="str">
        <f t="shared" si="18"/>
        <v>-</v>
      </c>
      <c r="X180" s="26" t="str">
        <f t="shared" si="15"/>
        <v>-</v>
      </c>
    </row>
    <row r="181" spans="1:24" x14ac:dyDescent="0.3">
      <c r="A181" s="37">
        <v>87614112473</v>
      </c>
      <c r="B181" s="8" t="s">
        <v>123</v>
      </c>
      <c r="C181" s="10" t="s">
        <v>124</v>
      </c>
      <c r="D181" s="11" t="s">
        <v>872</v>
      </c>
      <c r="E181" s="11" t="s">
        <v>961</v>
      </c>
      <c r="F181" s="9">
        <v>30</v>
      </c>
      <c r="G181" s="9">
        <v>90</v>
      </c>
      <c r="H181" s="9" t="s">
        <v>868</v>
      </c>
      <c r="I181" s="9">
        <v>36</v>
      </c>
      <c r="J181" s="9">
        <v>30</v>
      </c>
      <c r="K181" s="9" t="s">
        <v>873</v>
      </c>
      <c r="L181" s="27">
        <v>3.9725000000000003E-2</v>
      </c>
      <c r="M181" s="28" t="s">
        <v>3205</v>
      </c>
      <c r="N181" s="17">
        <v>1.4119349999999999</v>
      </c>
      <c r="O181" s="1"/>
      <c r="P181" s="38">
        <f t="shared" si="13"/>
        <v>0</v>
      </c>
      <c r="S181" s="24" t="str">
        <f t="shared" si="16"/>
        <v>-</v>
      </c>
      <c r="T181" s="24" t="str">
        <f t="shared" si="14"/>
        <v>-</v>
      </c>
      <c r="U181" s="25" t="str">
        <f t="shared" si="17"/>
        <v>-</v>
      </c>
      <c r="V181" s="26" t="str">
        <f t="shared" si="18"/>
        <v>-</v>
      </c>
      <c r="X181" s="26" t="str">
        <f t="shared" si="15"/>
        <v>-</v>
      </c>
    </row>
    <row r="182" spans="1:24" x14ac:dyDescent="0.3">
      <c r="A182" s="37">
        <v>87614113876</v>
      </c>
      <c r="B182" s="8" t="s">
        <v>1913</v>
      </c>
      <c r="C182" s="10" t="s">
        <v>2637</v>
      </c>
      <c r="D182" s="11" t="s">
        <v>874</v>
      </c>
      <c r="E182" s="11" t="s">
        <v>914</v>
      </c>
      <c r="F182" s="9">
        <v>30</v>
      </c>
      <c r="G182" s="9">
        <v>90</v>
      </c>
      <c r="H182" s="9" t="s">
        <v>868</v>
      </c>
      <c r="I182" s="9">
        <v>36</v>
      </c>
      <c r="J182" s="9">
        <v>60</v>
      </c>
      <c r="K182" s="9" t="s">
        <v>873</v>
      </c>
      <c r="L182" s="27">
        <v>7.7180000000000012E-2</v>
      </c>
      <c r="M182" s="28" t="s">
        <v>3205</v>
      </c>
      <c r="N182" s="17">
        <v>6.3952350000000004</v>
      </c>
      <c r="O182" s="1"/>
      <c r="P182" s="38">
        <f t="shared" si="13"/>
        <v>0</v>
      </c>
      <c r="S182" s="24" t="str">
        <f t="shared" si="16"/>
        <v>-</v>
      </c>
      <c r="T182" s="24" t="str">
        <f t="shared" si="14"/>
        <v>-</v>
      </c>
      <c r="U182" s="25" t="str">
        <f t="shared" si="17"/>
        <v>-</v>
      </c>
      <c r="V182" s="26" t="str">
        <f t="shared" si="18"/>
        <v>-</v>
      </c>
      <c r="X182" s="26" t="str">
        <f t="shared" si="15"/>
        <v>-</v>
      </c>
    </row>
    <row r="183" spans="1:24" x14ac:dyDescent="0.3">
      <c r="A183" s="37">
        <v>87614114934</v>
      </c>
      <c r="B183" s="8" t="s">
        <v>1391</v>
      </c>
      <c r="C183" s="10" t="s">
        <v>2171</v>
      </c>
      <c r="D183" s="11" t="s">
        <v>884</v>
      </c>
      <c r="E183" s="11" t="s">
        <v>946</v>
      </c>
      <c r="F183" s="9">
        <v>30</v>
      </c>
      <c r="G183" s="9">
        <v>90</v>
      </c>
      <c r="H183" s="9" t="s">
        <v>868</v>
      </c>
      <c r="I183" s="9">
        <v>36</v>
      </c>
      <c r="J183" s="9">
        <v>60</v>
      </c>
      <c r="K183" s="9" t="s">
        <v>873</v>
      </c>
      <c r="L183" s="27">
        <v>8.1720000000000001E-2</v>
      </c>
      <c r="M183" s="28" t="s">
        <v>3205</v>
      </c>
      <c r="N183" s="17">
        <v>4.6510800000000003</v>
      </c>
      <c r="O183" s="1"/>
      <c r="P183" s="38">
        <f t="shared" si="13"/>
        <v>0</v>
      </c>
      <c r="S183" s="24" t="str">
        <f t="shared" si="16"/>
        <v>-</v>
      </c>
      <c r="T183" s="24" t="str">
        <f t="shared" si="14"/>
        <v>-</v>
      </c>
      <c r="U183" s="25" t="str">
        <f t="shared" si="17"/>
        <v>-</v>
      </c>
      <c r="V183" s="26" t="str">
        <f t="shared" si="18"/>
        <v>-</v>
      </c>
      <c r="X183" s="26" t="str">
        <f t="shared" si="15"/>
        <v>-</v>
      </c>
    </row>
    <row r="184" spans="1:24" x14ac:dyDescent="0.3">
      <c r="A184" s="37">
        <v>87614115276</v>
      </c>
      <c r="B184" s="8" t="s">
        <v>222</v>
      </c>
      <c r="C184" s="10" t="s">
        <v>223</v>
      </c>
      <c r="D184" s="11" t="s">
        <v>891</v>
      </c>
      <c r="E184" s="11" t="s">
        <v>995</v>
      </c>
      <c r="F184" s="9">
        <v>48</v>
      </c>
      <c r="G184" s="9">
        <v>192</v>
      </c>
      <c r="H184" s="9" t="s">
        <v>868</v>
      </c>
      <c r="I184" s="9">
        <v>24</v>
      </c>
      <c r="J184" s="9">
        <v>60</v>
      </c>
      <c r="K184" s="9" t="s">
        <v>873</v>
      </c>
      <c r="L184" s="27">
        <v>2.9509999999999998E-2</v>
      </c>
      <c r="M184" s="28" t="s">
        <v>3205</v>
      </c>
      <c r="N184" s="17">
        <v>4.7175240000000001</v>
      </c>
      <c r="O184" s="1"/>
      <c r="P184" s="38">
        <f t="shared" si="13"/>
        <v>0</v>
      </c>
      <c r="S184" s="24" t="str">
        <f t="shared" si="16"/>
        <v>-</v>
      </c>
      <c r="T184" s="24" t="str">
        <f t="shared" si="14"/>
        <v>-</v>
      </c>
      <c r="U184" s="25" t="str">
        <f t="shared" si="17"/>
        <v>-</v>
      </c>
      <c r="V184" s="26" t="str">
        <f t="shared" si="18"/>
        <v>-</v>
      </c>
      <c r="X184" s="26" t="str">
        <f t="shared" si="15"/>
        <v>-</v>
      </c>
    </row>
    <row r="185" spans="1:24" x14ac:dyDescent="0.3">
      <c r="A185" s="37">
        <v>87614115870</v>
      </c>
      <c r="B185" s="8" t="s">
        <v>233</v>
      </c>
      <c r="C185" s="10" t="s">
        <v>234</v>
      </c>
      <c r="D185" s="11" t="s">
        <v>866</v>
      </c>
      <c r="E185" s="11" t="s">
        <v>963</v>
      </c>
      <c r="F185" s="9">
        <v>48</v>
      </c>
      <c r="G185" s="9">
        <v>192</v>
      </c>
      <c r="H185" s="9" t="s">
        <v>868</v>
      </c>
      <c r="I185" s="9">
        <v>36</v>
      </c>
      <c r="J185" s="9">
        <v>60</v>
      </c>
      <c r="K185" s="9" t="s">
        <v>873</v>
      </c>
      <c r="L185" s="27">
        <v>4.1994999999999998E-2</v>
      </c>
      <c r="M185" s="28" t="s">
        <v>3205</v>
      </c>
      <c r="N185" s="17">
        <v>3.1062570000000003</v>
      </c>
      <c r="O185" s="1"/>
      <c r="P185" s="38">
        <f t="shared" si="13"/>
        <v>0</v>
      </c>
      <c r="S185" s="24" t="str">
        <f t="shared" si="16"/>
        <v>-</v>
      </c>
      <c r="T185" s="24" t="str">
        <f t="shared" si="14"/>
        <v>-</v>
      </c>
      <c r="U185" s="25" t="str">
        <f t="shared" si="17"/>
        <v>-</v>
      </c>
      <c r="V185" s="26" t="str">
        <f t="shared" si="18"/>
        <v>-</v>
      </c>
      <c r="X185" s="26" t="str">
        <f t="shared" si="15"/>
        <v>-</v>
      </c>
    </row>
    <row r="186" spans="1:24" x14ac:dyDescent="0.3">
      <c r="A186" s="37">
        <v>87614116693</v>
      </c>
      <c r="B186" s="8" t="s">
        <v>249</v>
      </c>
      <c r="C186" s="10" t="s">
        <v>250</v>
      </c>
      <c r="D186" s="11" t="s">
        <v>882</v>
      </c>
      <c r="E186" s="11" t="s">
        <v>920</v>
      </c>
      <c r="F186" s="9">
        <v>30</v>
      </c>
      <c r="G186" s="9">
        <v>90</v>
      </c>
      <c r="H186" s="9" t="s">
        <v>868</v>
      </c>
      <c r="I186" s="9">
        <v>24</v>
      </c>
      <c r="J186" s="9">
        <v>60</v>
      </c>
      <c r="K186" s="9" t="s">
        <v>873</v>
      </c>
      <c r="L186" s="27">
        <v>8.058499999999999E-2</v>
      </c>
      <c r="M186" s="28" t="s">
        <v>3205</v>
      </c>
      <c r="N186" s="17">
        <v>5.0165219999999993</v>
      </c>
      <c r="O186" s="1"/>
      <c r="P186" s="38">
        <f t="shared" si="13"/>
        <v>0</v>
      </c>
      <c r="S186" s="24" t="str">
        <f t="shared" si="16"/>
        <v>-</v>
      </c>
      <c r="T186" s="24" t="str">
        <f t="shared" si="14"/>
        <v>-</v>
      </c>
      <c r="U186" s="25" t="str">
        <f t="shared" si="17"/>
        <v>-</v>
      </c>
      <c r="V186" s="26" t="str">
        <f t="shared" si="18"/>
        <v>-</v>
      </c>
      <c r="X186" s="26" t="str">
        <f t="shared" si="15"/>
        <v>-</v>
      </c>
    </row>
    <row r="187" spans="1:24" x14ac:dyDescent="0.3">
      <c r="A187" s="37">
        <v>87614116839</v>
      </c>
      <c r="B187" s="8" t="s">
        <v>252</v>
      </c>
      <c r="C187" s="10" t="s">
        <v>2968</v>
      </c>
      <c r="D187" s="11" t="s">
        <v>874</v>
      </c>
      <c r="E187" s="11" t="s">
        <v>919</v>
      </c>
      <c r="F187" s="9">
        <v>30</v>
      </c>
      <c r="G187" s="9">
        <v>90</v>
      </c>
      <c r="H187" s="9" t="s">
        <v>868</v>
      </c>
      <c r="I187" s="9">
        <v>36</v>
      </c>
      <c r="J187" s="9">
        <v>60</v>
      </c>
      <c r="K187" s="9" t="s">
        <v>2903</v>
      </c>
      <c r="L187" s="27">
        <v>7.4910000000000004E-2</v>
      </c>
      <c r="M187" s="28" t="s">
        <v>3205</v>
      </c>
      <c r="N187" s="17">
        <v>7.5247830000000002</v>
      </c>
      <c r="O187" s="1"/>
      <c r="P187" s="38">
        <f t="shared" si="13"/>
        <v>0</v>
      </c>
      <c r="S187" s="24" t="str">
        <f t="shared" si="16"/>
        <v>-</v>
      </c>
      <c r="T187" s="24" t="str">
        <f t="shared" si="14"/>
        <v>-</v>
      </c>
      <c r="U187" s="25" t="str">
        <f t="shared" si="17"/>
        <v>-</v>
      </c>
      <c r="V187" s="26" t="str">
        <f t="shared" si="18"/>
        <v>-</v>
      </c>
      <c r="X187" s="26" t="str">
        <f t="shared" si="15"/>
        <v>-</v>
      </c>
    </row>
    <row r="188" spans="1:24" x14ac:dyDescent="0.3">
      <c r="A188" s="37">
        <v>87614118192</v>
      </c>
      <c r="B188" s="8" t="s">
        <v>1073</v>
      </c>
      <c r="C188" s="10" t="s">
        <v>3151</v>
      </c>
      <c r="D188" s="11" t="s">
        <v>893</v>
      </c>
      <c r="E188" s="11" t="s">
        <v>1080</v>
      </c>
      <c r="F188" s="9">
        <v>30</v>
      </c>
      <c r="G188" s="9">
        <v>90</v>
      </c>
      <c r="H188" s="9" t="s">
        <v>868</v>
      </c>
      <c r="I188" s="9">
        <v>36</v>
      </c>
      <c r="J188" s="9">
        <v>30</v>
      </c>
      <c r="K188" s="9" t="s">
        <v>2903</v>
      </c>
      <c r="L188" s="27">
        <v>4.8804999999999994E-2</v>
      </c>
      <c r="M188" s="28" t="s">
        <v>3205</v>
      </c>
      <c r="N188" s="17">
        <v>28.753641000000002</v>
      </c>
      <c r="O188" s="1"/>
      <c r="P188" s="38">
        <f t="shared" si="13"/>
        <v>0</v>
      </c>
      <c r="S188" s="24" t="str">
        <f t="shared" si="16"/>
        <v>-</v>
      </c>
      <c r="T188" s="24" t="str">
        <f t="shared" si="14"/>
        <v>-</v>
      </c>
      <c r="U188" s="25" t="str">
        <f t="shared" si="17"/>
        <v>-</v>
      </c>
      <c r="V188" s="26" t="str">
        <f t="shared" si="18"/>
        <v>-</v>
      </c>
      <c r="X188" s="26" t="str">
        <f t="shared" si="15"/>
        <v>-</v>
      </c>
    </row>
    <row r="189" spans="1:24" x14ac:dyDescent="0.3">
      <c r="A189" s="37">
        <v>87614018577</v>
      </c>
      <c r="B189" s="8" t="s">
        <v>395</v>
      </c>
      <c r="C189" s="10" t="s">
        <v>396</v>
      </c>
      <c r="D189" s="11" t="s">
        <v>874</v>
      </c>
      <c r="E189" s="11" t="s">
        <v>1032</v>
      </c>
      <c r="F189" s="9">
        <v>48</v>
      </c>
      <c r="G189" s="9">
        <v>192</v>
      </c>
      <c r="H189" s="9" t="s">
        <v>868</v>
      </c>
      <c r="I189" s="9">
        <v>24</v>
      </c>
      <c r="J189" s="9">
        <v>100</v>
      </c>
      <c r="K189" s="9" t="s">
        <v>873</v>
      </c>
      <c r="L189" s="27">
        <v>3.9725000000000003E-2</v>
      </c>
      <c r="M189" s="28" t="s">
        <v>3205</v>
      </c>
      <c r="N189" s="17">
        <v>3.554754</v>
      </c>
      <c r="O189" s="1"/>
      <c r="P189" s="38">
        <f t="shared" si="13"/>
        <v>0</v>
      </c>
      <c r="S189" s="24" t="str">
        <f t="shared" si="16"/>
        <v>-</v>
      </c>
      <c r="T189" s="24" t="str">
        <f t="shared" si="14"/>
        <v>-</v>
      </c>
      <c r="U189" s="25" t="str">
        <f t="shared" si="17"/>
        <v>-</v>
      </c>
      <c r="V189" s="26" t="str">
        <f t="shared" si="18"/>
        <v>-</v>
      </c>
      <c r="X189" s="26" t="str">
        <f t="shared" si="15"/>
        <v>-</v>
      </c>
    </row>
    <row r="190" spans="1:24" x14ac:dyDescent="0.3">
      <c r="A190" s="37">
        <v>87614190037</v>
      </c>
      <c r="B190" s="8" t="s">
        <v>457</v>
      </c>
      <c r="C190" s="10" t="s">
        <v>2731</v>
      </c>
      <c r="D190" s="11" t="s">
        <v>879</v>
      </c>
      <c r="E190" s="11" t="s">
        <v>1018</v>
      </c>
      <c r="F190" s="9">
        <v>30</v>
      </c>
      <c r="G190" s="9">
        <v>90</v>
      </c>
      <c r="H190" s="9" t="s">
        <v>868</v>
      </c>
      <c r="I190" s="9">
        <v>24</v>
      </c>
      <c r="J190" s="9">
        <v>60</v>
      </c>
      <c r="K190" s="9" t="s">
        <v>2903</v>
      </c>
      <c r="L190" s="27">
        <v>5.3345000000000004E-2</v>
      </c>
      <c r="M190" s="28" t="s">
        <v>3205</v>
      </c>
      <c r="N190" s="17">
        <v>4.9666889999999997</v>
      </c>
      <c r="O190" s="1"/>
      <c r="P190" s="38">
        <f t="shared" si="13"/>
        <v>0</v>
      </c>
      <c r="S190" s="24" t="str">
        <f t="shared" si="16"/>
        <v>-</v>
      </c>
      <c r="T190" s="24" t="str">
        <f t="shared" si="14"/>
        <v>-</v>
      </c>
      <c r="U190" s="25" t="str">
        <f t="shared" si="17"/>
        <v>-</v>
      </c>
      <c r="V190" s="26" t="str">
        <f t="shared" si="18"/>
        <v>-</v>
      </c>
      <c r="X190" s="26" t="str">
        <f t="shared" si="15"/>
        <v>-</v>
      </c>
    </row>
    <row r="191" spans="1:24" x14ac:dyDescent="0.3">
      <c r="A191" s="37">
        <v>87614170084</v>
      </c>
      <c r="B191" s="8" t="s">
        <v>509</v>
      </c>
      <c r="C191" s="10" t="s">
        <v>510</v>
      </c>
      <c r="D191" s="11" t="s">
        <v>874</v>
      </c>
      <c r="E191" s="11" t="s">
        <v>2819</v>
      </c>
      <c r="F191" s="9">
        <v>30</v>
      </c>
      <c r="G191" s="9">
        <v>90</v>
      </c>
      <c r="H191" s="9" t="s">
        <v>868</v>
      </c>
      <c r="I191" s="9">
        <v>24</v>
      </c>
      <c r="J191" s="9">
        <v>100</v>
      </c>
      <c r="K191" s="9" t="s">
        <v>869</v>
      </c>
      <c r="L191" s="27">
        <v>0.10896</v>
      </c>
      <c r="M191" s="28" t="s">
        <v>3205</v>
      </c>
      <c r="N191" s="17">
        <v>7.5247830000000002</v>
      </c>
      <c r="O191" s="1"/>
      <c r="P191" s="38">
        <f t="shared" si="13"/>
        <v>0</v>
      </c>
      <c r="S191" s="24" t="str">
        <f t="shared" si="16"/>
        <v>-</v>
      </c>
      <c r="T191" s="24" t="str">
        <f t="shared" si="14"/>
        <v>-</v>
      </c>
      <c r="U191" s="25" t="str">
        <f t="shared" si="17"/>
        <v>-</v>
      </c>
      <c r="V191" s="26" t="str">
        <f t="shared" si="18"/>
        <v>-</v>
      </c>
      <c r="X191" s="26" t="str">
        <f t="shared" si="15"/>
        <v>-</v>
      </c>
    </row>
    <row r="192" spans="1:24" x14ac:dyDescent="0.3">
      <c r="A192" s="37">
        <v>87614141145</v>
      </c>
      <c r="B192" s="8" t="s">
        <v>535</v>
      </c>
      <c r="C192" s="10" t="s">
        <v>3154</v>
      </c>
      <c r="D192" s="11" t="s">
        <v>874</v>
      </c>
      <c r="E192" s="11" t="s">
        <v>919</v>
      </c>
      <c r="F192" s="9">
        <v>30</v>
      </c>
      <c r="G192" s="9">
        <v>90</v>
      </c>
      <c r="H192" s="9" t="s">
        <v>868</v>
      </c>
      <c r="I192" s="9">
        <v>36</v>
      </c>
      <c r="J192" s="9">
        <v>90</v>
      </c>
      <c r="K192" s="9" t="s">
        <v>2903</v>
      </c>
      <c r="L192" s="27">
        <v>6.3560000000000005E-2</v>
      </c>
      <c r="M192" s="28" t="s">
        <v>3205</v>
      </c>
      <c r="N192" s="17">
        <v>3.8703629999999998</v>
      </c>
      <c r="O192" s="1"/>
      <c r="P192" s="38">
        <f t="shared" si="13"/>
        <v>0</v>
      </c>
      <c r="S192" s="24" t="str">
        <f t="shared" si="16"/>
        <v>-</v>
      </c>
      <c r="T192" s="24" t="str">
        <f t="shared" si="14"/>
        <v>-</v>
      </c>
      <c r="U192" s="25" t="str">
        <f t="shared" si="17"/>
        <v>-</v>
      </c>
      <c r="V192" s="26" t="str">
        <f t="shared" si="18"/>
        <v>-</v>
      </c>
      <c r="X192" s="26" t="str">
        <f t="shared" si="15"/>
        <v>-</v>
      </c>
    </row>
    <row r="193" spans="1:24" x14ac:dyDescent="0.3">
      <c r="A193" s="37">
        <v>87614141909</v>
      </c>
      <c r="B193" s="8" t="s">
        <v>578</v>
      </c>
      <c r="C193" s="10" t="s">
        <v>3013</v>
      </c>
      <c r="D193" s="11" t="s">
        <v>891</v>
      </c>
      <c r="E193" s="11" t="s">
        <v>983</v>
      </c>
      <c r="F193" s="9">
        <v>30</v>
      </c>
      <c r="G193" s="9">
        <v>90</v>
      </c>
      <c r="H193" s="9" t="s">
        <v>868</v>
      </c>
      <c r="I193" s="9">
        <v>24</v>
      </c>
      <c r="J193" s="9">
        <v>60</v>
      </c>
      <c r="K193" s="9" t="s">
        <v>2903</v>
      </c>
      <c r="L193" s="27">
        <v>8.2854999999999998E-2</v>
      </c>
      <c r="M193" s="28" t="s">
        <v>3205</v>
      </c>
      <c r="N193" s="17">
        <v>6.4118459999999997</v>
      </c>
      <c r="O193" s="1"/>
      <c r="P193" s="38">
        <f t="shared" si="13"/>
        <v>0</v>
      </c>
      <c r="S193" s="24" t="str">
        <f t="shared" si="16"/>
        <v>-</v>
      </c>
      <c r="T193" s="24" t="str">
        <f t="shared" si="14"/>
        <v>-</v>
      </c>
      <c r="U193" s="25" t="str">
        <f t="shared" si="17"/>
        <v>-</v>
      </c>
      <c r="V193" s="26" t="str">
        <f t="shared" si="18"/>
        <v>-</v>
      </c>
      <c r="X193" s="26" t="str">
        <f t="shared" si="15"/>
        <v>-</v>
      </c>
    </row>
    <row r="194" spans="1:24" x14ac:dyDescent="0.3">
      <c r="A194" s="37">
        <v>87614142142</v>
      </c>
      <c r="B194" s="8" t="s">
        <v>583</v>
      </c>
      <c r="C194" s="10" t="s">
        <v>584</v>
      </c>
      <c r="D194" s="11" t="s">
        <v>872</v>
      </c>
      <c r="E194" s="11" t="s">
        <v>1049</v>
      </c>
      <c r="F194" s="9">
        <v>48</v>
      </c>
      <c r="G194" s="9">
        <v>192</v>
      </c>
      <c r="H194" s="9" t="s">
        <v>868</v>
      </c>
      <c r="I194" s="9">
        <v>24</v>
      </c>
      <c r="J194" s="9">
        <v>30</v>
      </c>
      <c r="K194" s="9" t="s">
        <v>889</v>
      </c>
      <c r="L194" s="27">
        <v>3.4049999999999997E-2</v>
      </c>
      <c r="M194" s="28" t="s">
        <v>3205</v>
      </c>
      <c r="N194" s="17">
        <v>4.4351370000000001</v>
      </c>
      <c r="O194" s="1"/>
      <c r="P194" s="38">
        <f t="shared" si="13"/>
        <v>0</v>
      </c>
      <c r="S194" s="24" t="str">
        <f t="shared" si="16"/>
        <v>-</v>
      </c>
      <c r="T194" s="24" t="str">
        <f t="shared" si="14"/>
        <v>-</v>
      </c>
      <c r="U194" s="25" t="str">
        <f t="shared" si="17"/>
        <v>-</v>
      </c>
      <c r="V194" s="26" t="str">
        <f t="shared" si="18"/>
        <v>-</v>
      </c>
      <c r="X194" s="26" t="str">
        <f t="shared" si="15"/>
        <v>-</v>
      </c>
    </row>
    <row r="195" spans="1:24" x14ac:dyDescent="0.3">
      <c r="A195" s="37">
        <v>87614142845</v>
      </c>
      <c r="B195" s="8" t="s">
        <v>592</v>
      </c>
      <c r="C195" s="10" t="s">
        <v>593</v>
      </c>
      <c r="D195" s="11" t="s">
        <v>883</v>
      </c>
      <c r="E195" s="11" t="s">
        <v>1050</v>
      </c>
      <c r="F195" s="9">
        <v>16</v>
      </c>
      <c r="G195" s="9">
        <v>48</v>
      </c>
      <c r="H195" s="9" t="s">
        <v>868</v>
      </c>
      <c r="I195" s="9">
        <v>36</v>
      </c>
      <c r="J195" s="9">
        <v>120</v>
      </c>
      <c r="K195" s="9" t="s">
        <v>889</v>
      </c>
      <c r="L195" s="27">
        <v>0.10896</v>
      </c>
      <c r="M195" s="28" t="s">
        <v>3205</v>
      </c>
      <c r="N195" s="17">
        <v>19.318593</v>
      </c>
      <c r="O195" s="1"/>
      <c r="P195" s="38">
        <f t="shared" ref="P195:P258" si="19">O195*N195</f>
        <v>0</v>
      </c>
      <c r="S195" s="24" t="str">
        <f t="shared" si="16"/>
        <v>-</v>
      </c>
      <c r="T195" s="24" t="str">
        <f t="shared" ref="T195:T258" si="20">IF(O195&gt;0,N195+L195*O195/$U$2*$V$2/O195,"-")</f>
        <v>-</v>
      </c>
      <c r="U195" s="25" t="str">
        <f t="shared" si="17"/>
        <v>-</v>
      </c>
      <c r="V195" s="26" t="str">
        <f t="shared" si="18"/>
        <v>-</v>
      </c>
      <c r="X195" s="26" t="str">
        <f t="shared" ref="X195:X258" si="21">IFERROR(IF(V195+P195=0, "-", IF(V195&gt;0, V195+P195, "-")), "-")</f>
        <v>-</v>
      </c>
    </row>
    <row r="196" spans="1:24" x14ac:dyDescent="0.3">
      <c r="A196" s="37">
        <v>87614080291</v>
      </c>
      <c r="B196" s="8" t="s">
        <v>598</v>
      </c>
      <c r="C196" s="10" t="s">
        <v>599</v>
      </c>
      <c r="D196" s="11" t="s">
        <v>886</v>
      </c>
      <c r="E196" s="11" t="s">
        <v>1048</v>
      </c>
      <c r="F196" s="9">
        <v>16</v>
      </c>
      <c r="G196" s="9">
        <v>48</v>
      </c>
      <c r="H196" s="9" t="s">
        <v>868</v>
      </c>
      <c r="I196" s="9">
        <v>36</v>
      </c>
      <c r="J196" s="9">
        <v>120</v>
      </c>
      <c r="K196" s="9" t="s">
        <v>873</v>
      </c>
      <c r="L196" s="27">
        <v>0.173655</v>
      </c>
      <c r="M196" s="28" t="s">
        <v>3205</v>
      </c>
      <c r="N196" s="17">
        <v>14.202405000000001</v>
      </c>
      <c r="O196" s="1"/>
      <c r="P196" s="38">
        <f t="shared" si="19"/>
        <v>0</v>
      </c>
      <c r="S196" s="24" t="str">
        <f t="shared" ref="S196:S259" si="22">IFERROR(IF(S$2*L196=0, "-", $S$2*L196), "-")</f>
        <v>-</v>
      </c>
      <c r="T196" s="24" t="str">
        <f t="shared" si="20"/>
        <v>-</v>
      </c>
      <c r="U196" s="25" t="str">
        <f t="shared" ref="U196:U259" si="23">IF(O196&gt;0,O196*L196, "-")</f>
        <v>-</v>
      </c>
      <c r="V196" s="26" t="str">
        <f t="shared" ref="V196:V259" si="24">IFERROR(IF($S$2&gt;0, $S$2*U196, "-"), "-")</f>
        <v>-</v>
      </c>
      <c r="X196" s="26" t="str">
        <f t="shared" si="21"/>
        <v>-</v>
      </c>
    </row>
    <row r="197" spans="1:24" x14ac:dyDescent="0.3">
      <c r="A197" s="37">
        <v>87614210278</v>
      </c>
      <c r="B197" s="8" t="s">
        <v>651</v>
      </c>
      <c r="C197" s="10" t="s">
        <v>652</v>
      </c>
      <c r="D197" s="11" t="s">
        <v>874</v>
      </c>
      <c r="E197" s="11" t="s">
        <v>914</v>
      </c>
      <c r="F197" s="9">
        <v>48</v>
      </c>
      <c r="G197" s="9">
        <v>192</v>
      </c>
      <c r="H197" s="9" t="s">
        <v>868</v>
      </c>
      <c r="I197" s="9">
        <v>24</v>
      </c>
      <c r="J197" s="9">
        <v>60</v>
      </c>
      <c r="K197" s="9" t="s">
        <v>873</v>
      </c>
      <c r="L197" s="27">
        <v>3.0644999999999999E-2</v>
      </c>
      <c r="M197" s="28" t="s">
        <v>3205</v>
      </c>
      <c r="N197" s="17">
        <v>3.7540859999999996</v>
      </c>
      <c r="O197" s="1"/>
      <c r="P197" s="38">
        <f t="shared" si="19"/>
        <v>0</v>
      </c>
      <c r="S197" s="24" t="str">
        <f t="shared" si="22"/>
        <v>-</v>
      </c>
      <c r="T197" s="24" t="str">
        <f t="shared" si="20"/>
        <v>-</v>
      </c>
      <c r="U197" s="25" t="str">
        <f t="shared" si="23"/>
        <v>-</v>
      </c>
      <c r="V197" s="26" t="str">
        <f t="shared" si="24"/>
        <v>-</v>
      </c>
      <c r="X197" s="26" t="str">
        <f t="shared" si="21"/>
        <v>-</v>
      </c>
    </row>
    <row r="198" spans="1:24" x14ac:dyDescent="0.3">
      <c r="A198" s="37">
        <v>87614021713</v>
      </c>
      <c r="B198" s="8" t="s">
        <v>680</v>
      </c>
      <c r="C198" s="10" t="s">
        <v>2785</v>
      </c>
      <c r="D198" s="11" t="s">
        <v>874</v>
      </c>
      <c r="E198" s="11" t="s">
        <v>914</v>
      </c>
      <c r="F198" s="9">
        <v>30</v>
      </c>
      <c r="G198" s="9">
        <v>90</v>
      </c>
      <c r="H198" s="9" t="s">
        <v>868</v>
      </c>
      <c r="I198" s="9">
        <v>36</v>
      </c>
      <c r="J198" s="9">
        <v>120</v>
      </c>
      <c r="K198" s="9" t="s">
        <v>873</v>
      </c>
      <c r="L198" s="27">
        <v>4.8804999999999994E-2</v>
      </c>
      <c r="M198" s="28" t="s">
        <v>3205</v>
      </c>
      <c r="N198" s="17">
        <v>4.4849700000000006</v>
      </c>
      <c r="O198" s="1"/>
      <c r="P198" s="38">
        <f t="shared" si="19"/>
        <v>0</v>
      </c>
      <c r="S198" s="24" t="str">
        <f t="shared" si="22"/>
        <v>-</v>
      </c>
      <c r="T198" s="24" t="str">
        <f t="shared" si="20"/>
        <v>-</v>
      </c>
      <c r="U198" s="25" t="str">
        <f t="shared" si="23"/>
        <v>-</v>
      </c>
      <c r="V198" s="26" t="str">
        <f t="shared" si="24"/>
        <v>-</v>
      </c>
      <c r="X198" s="26" t="str">
        <f t="shared" si="21"/>
        <v>-</v>
      </c>
    </row>
    <row r="199" spans="1:24" x14ac:dyDescent="0.3">
      <c r="A199" s="37">
        <v>87614022215</v>
      </c>
      <c r="B199" s="8" t="s">
        <v>686</v>
      </c>
      <c r="C199" s="10" t="s">
        <v>687</v>
      </c>
      <c r="D199" s="11" t="s">
        <v>878</v>
      </c>
      <c r="E199" s="11" t="s">
        <v>1043</v>
      </c>
      <c r="F199" s="9">
        <v>30</v>
      </c>
      <c r="G199" s="9">
        <v>90</v>
      </c>
      <c r="H199" s="9" t="s">
        <v>892</v>
      </c>
      <c r="I199" s="9">
        <v>24</v>
      </c>
      <c r="J199" s="9">
        <v>120</v>
      </c>
      <c r="K199" s="9" t="s">
        <v>873</v>
      </c>
      <c r="L199" s="27">
        <v>7.7180000000000012E-2</v>
      </c>
      <c r="M199" s="28" t="s">
        <v>3205</v>
      </c>
      <c r="N199" s="17">
        <v>9.8835449999999998</v>
      </c>
      <c r="O199" s="1"/>
      <c r="P199" s="38">
        <f t="shared" si="19"/>
        <v>0</v>
      </c>
      <c r="S199" s="24" t="str">
        <f t="shared" si="22"/>
        <v>-</v>
      </c>
      <c r="T199" s="24" t="str">
        <f t="shared" si="20"/>
        <v>-</v>
      </c>
      <c r="U199" s="25" t="str">
        <f t="shared" si="23"/>
        <v>-</v>
      </c>
      <c r="V199" s="26" t="str">
        <f t="shared" si="24"/>
        <v>-</v>
      </c>
      <c r="X199" s="26" t="str">
        <f t="shared" si="21"/>
        <v>-</v>
      </c>
    </row>
    <row r="200" spans="1:24" x14ac:dyDescent="0.3">
      <c r="A200" s="37">
        <v>87614022826</v>
      </c>
      <c r="B200" s="8" t="s">
        <v>1348</v>
      </c>
      <c r="C200" s="10" t="s">
        <v>2129</v>
      </c>
      <c r="D200" s="11" t="s">
        <v>874</v>
      </c>
      <c r="E200" s="11" t="s">
        <v>914</v>
      </c>
      <c r="F200" s="9">
        <v>48</v>
      </c>
      <c r="G200" s="9">
        <v>192</v>
      </c>
      <c r="H200" s="9" t="s">
        <v>868</v>
      </c>
      <c r="I200" s="9">
        <v>36</v>
      </c>
      <c r="J200" s="9">
        <v>30</v>
      </c>
      <c r="K200" s="9" t="s">
        <v>873</v>
      </c>
      <c r="L200" s="27">
        <v>2.9509999999999998E-2</v>
      </c>
      <c r="M200" s="28" t="s">
        <v>3205</v>
      </c>
      <c r="N200" s="17">
        <v>2.3255400000000002</v>
      </c>
      <c r="O200" s="1"/>
      <c r="P200" s="38">
        <f t="shared" si="19"/>
        <v>0</v>
      </c>
      <c r="S200" s="24" t="str">
        <f t="shared" si="22"/>
        <v>-</v>
      </c>
      <c r="T200" s="24" t="str">
        <f t="shared" si="20"/>
        <v>-</v>
      </c>
      <c r="U200" s="25" t="str">
        <f t="shared" si="23"/>
        <v>-</v>
      </c>
      <c r="V200" s="26" t="str">
        <f t="shared" si="24"/>
        <v>-</v>
      </c>
      <c r="X200" s="26" t="str">
        <f t="shared" si="21"/>
        <v>-</v>
      </c>
    </row>
    <row r="201" spans="1:24" x14ac:dyDescent="0.3">
      <c r="A201" s="37">
        <v>87614025261</v>
      </c>
      <c r="B201" s="8" t="s">
        <v>759</v>
      </c>
      <c r="C201" s="10" t="s">
        <v>760</v>
      </c>
      <c r="D201" s="11" t="s">
        <v>866</v>
      </c>
      <c r="E201" s="11" t="s">
        <v>974</v>
      </c>
      <c r="F201" s="9">
        <v>48</v>
      </c>
      <c r="G201" s="9">
        <v>192</v>
      </c>
      <c r="H201" s="9" t="s">
        <v>868</v>
      </c>
      <c r="I201" s="9">
        <v>24</v>
      </c>
      <c r="J201" s="9">
        <v>60</v>
      </c>
      <c r="K201" s="9" t="s">
        <v>869</v>
      </c>
      <c r="L201" s="27">
        <v>3.4049999999999997E-2</v>
      </c>
      <c r="M201" s="28" t="s">
        <v>3205</v>
      </c>
      <c r="N201" s="17">
        <v>16.129280999999999</v>
      </c>
      <c r="O201" s="1"/>
      <c r="P201" s="38">
        <f t="shared" si="19"/>
        <v>0</v>
      </c>
      <c r="S201" s="24" t="str">
        <f t="shared" si="22"/>
        <v>-</v>
      </c>
      <c r="T201" s="24" t="str">
        <f t="shared" si="20"/>
        <v>-</v>
      </c>
      <c r="U201" s="25" t="str">
        <f t="shared" si="23"/>
        <v>-</v>
      </c>
      <c r="V201" s="26" t="str">
        <f t="shared" si="24"/>
        <v>-</v>
      </c>
      <c r="X201" s="26" t="str">
        <f t="shared" si="21"/>
        <v>-</v>
      </c>
    </row>
    <row r="202" spans="1:24" x14ac:dyDescent="0.3">
      <c r="A202" s="37">
        <v>87614028309</v>
      </c>
      <c r="B202" s="8" t="s">
        <v>812</v>
      </c>
      <c r="C202" s="10" t="s">
        <v>2800</v>
      </c>
      <c r="D202" s="11" t="s">
        <v>870</v>
      </c>
      <c r="E202" s="11" t="s">
        <v>871</v>
      </c>
      <c r="F202" s="9">
        <v>20</v>
      </c>
      <c r="G202" s="9">
        <v>60</v>
      </c>
      <c r="H202" s="9" t="s">
        <v>868</v>
      </c>
      <c r="I202" s="9">
        <v>36</v>
      </c>
      <c r="J202" s="9">
        <v>60</v>
      </c>
      <c r="K202" s="9" t="s">
        <v>869</v>
      </c>
      <c r="L202" s="27">
        <v>0.13392999999999999</v>
      </c>
      <c r="M202" s="28" t="s">
        <v>3205</v>
      </c>
      <c r="N202" s="17">
        <v>4.3686930000000004</v>
      </c>
      <c r="O202" s="1"/>
      <c r="P202" s="38">
        <f t="shared" si="19"/>
        <v>0</v>
      </c>
      <c r="S202" s="24" t="str">
        <f t="shared" si="22"/>
        <v>-</v>
      </c>
      <c r="T202" s="24" t="str">
        <f t="shared" si="20"/>
        <v>-</v>
      </c>
      <c r="U202" s="25" t="str">
        <f t="shared" si="23"/>
        <v>-</v>
      </c>
      <c r="V202" s="26" t="str">
        <f t="shared" si="24"/>
        <v>-</v>
      </c>
      <c r="X202" s="26" t="str">
        <f t="shared" si="21"/>
        <v>-</v>
      </c>
    </row>
    <row r="203" spans="1:24" x14ac:dyDescent="0.3">
      <c r="A203" s="37">
        <v>87614028354</v>
      </c>
      <c r="B203" s="8" t="s">
        <v>815</v>
      </c>
      <c r="C203" s="10" t="s">
        <v>816</v>
      </c>
      <c r="D203" s="11" t="s">
        <v>876</v>
      </c>
      <c r="E203" s="11" t="s">
        <v>1020</v>
      </c>
      <c r="F203" s="9">
        <v>48</v>
      </c>
      <c r="G203" s="9">
        <v>192</v>
      </c>
      <c r="H203" s="9" t="s">
        <v>868</v>
      </c>
      <c r="I203" s="9">
        <v>24</v>
      </c>
      <c r="J203" s="9">
        <v>30</v>
      </c>
      <c r="K203" s="9" t="s">
        <v>889</v>
      </c>
      <c r="L203" s="27">
        <v>3.0644999999999999E-2</v>
      </c>
      <c r="M203" s="28" t="s">
        <v>3205</v>
      </c>
      <c r="N203" s="17">
        <v>9.8835449999999998</v>
      </c>
      <c r="O203" s="1"/>
      <c r="P203" s="38">
        <f t="shared" si="19"/>
        <v>0</v>
      </c>
      <c r="S203" s="24" t="str">
        <f t="shared" si="22"/>
        <v>-</v>
      </c>
      <c r="T203" s="24" t="str">
        <f t="shared" si="20"/>
        <v>-</v>
      </c>
      <c r="U203" s="25" t="str">
        <f t="shared" si="23"/>
        <v>-</v>
      </c>
      <c r="V203" s="26" t="str">
        <f t="shared" si="24"/>
        <v>-</v>
      </c>
      <c r="X203" s="26" t="str">
        <f t="shared" si="21"/>
        <v>-</v>
      </c>
    </row>
    <row r="204" spans="1:24" x14ac:dyDescent="0.3">
      <c r="A204" s="37">
        <v>87614029252</v>
      </c>
      <c r="B204" s="8" t="s">
        <v>1354</v>
      </c>
      <c r="C204" s="10" t="s">
        <v>2134</v>
      </c>
      <c r="D204" s="11" t="s">
        <v>902</v>
      </c>
      <c r="E204" s="11" t="s">
        <v>1056</v>
      </c>
      <c r="F204" s="9">
        <v>48</v>
      </c>
      <c r="G204" s="9">
        <v>192</v>
      </c>
      <c r="H204" s="9" t="s">
        <v>868</v>
      </c>
      <c r="I204" s="9">
        <v>27</v>
      </c>
      <c r="J204" s="9">
        <v>60</v>
      </c>
      <c r="K204" s="9" t="s">
        <v>869</v>
      </c>
      <c r="L204" s="27">
        <v>5.1074999999999995E-2</v>
      </c>
      <c r="M204" s="28" t="s">
        <v>3205</v>
      </c>
      <c r="N204" s="17">
        <v>11.644310999999998</v>
      </c>
      <c r="O204" s="1"/>
      <c r="P204" s="38">
        <f t="shared" si="19"/>
        <v>0</v>
      </c>
      <c r="S204" s="24" t="str">
        <f t="shared" si="22"/>
        <v>-</v>
      </c>
      <c r="T204" s="24" t="str">
        <f t="shared" si="20"/>
        <v>-</v>
      </c>
      <c r="U204" s="25" t="str">
        <f t="shared" si="23"/>
        <v>-</v>
      </c>
      <c r="V204" s="26" t="str">
        <f t="shared" si="24"/>
        <v>-</v>
      </c>
      <c r="X204" s="26" t="str">
        <f t="shared" si="21"/>
        <v>-</v>
      </c>
    </row>
    <row r="205" spans="1:24" x14ac:dyDescent="0.3">
      <c r="A205" s="37">
        <v>87614029634</v>
      </c>
      <c r="B205" s="8" t="s">
        <v>1176</v>
      </c>
      <c r="C205" s="10" t="s">
        <v>1995</v>
      </c>
      <c r="D205" s="11" t="s">
        <v>881</v>
      </c>
      <c r="E205" s="11" t="s">
        <v>2824</v>
      </c>
      <c r="F205" s="9">
        <v>48</v>
      </c>
      <c r="G205" s="9">
        <v>192</v>
      </c>
      <c r="H205" s="9" t="s">
        <v>868</v>
      </c>
      <c r="I205" s="9">
        <v>36</v>
      </c>
      <c r="J205" s="9">
        <v>60</v>
      </c>
      <c r="K205" s="9" t="s">
        <v>873</v>
      </c>
      <c r="L205" s="27">
        <v>4.4264999999999999E-2</v>
      </c>
      <c r="M205" s="28" t="s">
        <v>3205</v>
      </c>
      <c r="N205" s="17">
        <v>7.9400579999999996</v>
      </c>
      <c r="O205" s="1"/>
      <c r="P205" s="38">
        <f t="shared" si="19"/>
        <v>0</v>
      </c>
      <c r="S205" s="24" t="str">
        <f t="shared" si="22"/>
        <v>-</v>
      </c>
      <c r="T205" s="24" t="str">
        <f t="shared" si="20"/>
        <v>-</v>
      </c>
      <c r="U205" s="25" t="str">
        <f t="shared" si="23"/>
        <v>-</v>
      </c>
      <c r="V205" s="26" t="str">
        <f t="shared" si="24"/>
        <v>-</v>
      </c>
      <c r="X205" s="26" t="str">
        <f t="shared" si="21"/>
        <v>-</v>
      </c>
    </row>
    <row r="206" spans="1:24" x14ac:dyDescent="0.3">
      <c r="A206" s="37">
        <v>87614029795</v>
      </c>
      <c r="B206" s="8" t="s">
        <v>1355</v>
      </c>
      <c r="C206" s="10" t="s">
        <v>2135</v>
      </c>
      <c r="D206" s="11" t="s">
        <v>902</v>
      </c>
      <c r="E206" s="11" t="s">
        <v>933</v>
      </c>
      <c r="F206" s="9">
        <v>48</v>
      </c>
      <c r="G206" s="9">
        <v>192</v>
      </c>
      <c r="H206" s="9" t="s">
        <v>868</v>
      </c>
      <c r="I206" s="9">
        <v>36</v>
      </c>
      <c r="J206" s="9">
        <v>60</v>
      </c>
      <c r="K206" s="9" t="s">
        <v>869</v>
      </c>
      <c r="L206" s="27">
        <v>2.8375000000000001E-2</v>
      </c>
      <c r="M206" s="28" t="s">
        <v>3205</v>
      </c>
      <c r="N206" s="17">
        <v>3.4384770000000002</v>
      </c>
      <c r="O206" s="1"/>
      <c r="P206" s="38">
        <f t="shared" si="19"/>
        <v>0</v>
      </c>
      <c r="S206" s="24" t="str">
        <f t="shared" si="22"/>
        <v>-</v>
      </c>
      <c r="T206" s="24" t="str">
        <f t="shared" si="20"/>
        <v>-</v>
      </c>
      <c r="U206" s="25" t="str">
        <f t="shared" si="23"/>
        <v>-</v>
      </c>
      <c r="V206" s="26" t="str">
        <f t="shared" si="24"/>
        <v>-</v>
      </c>
      <c r="X206" s="26" t="str">
        <f t="shared" si="21"/>
        <v>-</v>
      </c>
    </row>
    <row r="207" spans="1:24" x14ac:dyDescent="0.3">
      <c r="A207" s="37">
        <v>87614029917</v>
      </c>
      <c r="B207" s="8" t="s">
        <v>856</v>
      </c>
      <c r="C207" s="10" t="s">
        <v>3045</v>
      </c>
      <c r="D207" s="11" t="s">
        <v>874</v>
      </c>
      <c r="E207" s="11" t="s">
        <v>917</v>
      </c>
      <c r="F207" s="9">
        <v>30</v>
      </c>
      <c r="G207" s="9">
        <v>90</v>
      </c>
      <c r="H207" s="9" t="s">
        <v>868</v>
      </c>
      <c r="I207" s="9">
        <v>36</v>
      </c>
      <c r="J207" s="9">
        <v>60</v>
      </c>
      <c r="K207" s="9" t="s">
        <v>2903</v>
      </c>
      <c r="L207" s="27">
        <v>7.1504999999999999E-2</v>
      </c>
      <c r="M207" s="28" t="s">
        <v>3205</v>
      </c>
      <c r="N207" s="17">
        <v>7.1427300000000002</v>
      </c>
      <c r="O207" s="1"/>
      <c r="P207" s="38">
        <f t="shared" si="19"/>
        <v>0</v>
      </c>
      <c r="S207" s="24" t="str">
        <f t="shared" si="22"/>
        <v>-</v>
      </c>
      <c r="T207" s="24" t="str">
        <f t="shared" si="20"/>
        <v>-</v>
      </c>
      <c r="U207" s="25" t="str">
        <f t="shared" si="23"/>
        <v>-</v>
      </c>
      <c r="V207" s="26" t="str">
        <f t="shared" si="24"/>
        <v>-</v>
      </c>
      <c r="X207" s="26" t="str">
        <f t="shared" si="21"/>
        <v>-</v>
      </c>
    </row>
    <row r="208" spans="1:24" x14ac:dyDescent="0.3">
      <c r="A208" s="37">
        <v>87614029931</v>
      </c>
      <c r="B208" s="8" t="s">
        <v>1293</v>
      </c>
      <c r="C208" s="10" t="s">
        <v>3046</v>
      </c>
      <c r="D208" s="11" t="s">
        <v>902</v>
      </c>
      <c r="E208" s="11" t="s">
        <v>933</v>
      </c>
      <c r="F208" s="9">
        <v>48</v>
      </c>
      <c r="G208" s="9">
        <v>192</v>
      </c>
      <c r="H208" s="9" t="s">
        <v>868</v>
      </c>
      <c r="I208" s="9">
        <v>24</v>
      </c>
      <c r="J208" s="9">
        <v>60</v>
      </c>
      <c r="K208" s="9" t="s">
        <v>869</v>
      </c>
      <c r="L208" s="27">
        <v>5.2209999999999999E-2</v>
      </c>
      <c r="M208" s="28" t="s">
        <v>3205</v>
      </c>
      <c r="N208" s="17">
        <v>5.8969049999999994</v>
      </c>
      <c r="O208" s="1"/>
      <c r="P208" s="38">
        <f t="shared" si="19"/>
        <v>0</v>
      </c>
      <c r="S208" s="24" t="str">
        <f t="shared" si="22"/>
        <v>-</v>
      </c>
      <c r="T208" s="24" t="str">
        <f t="shared" si="20"/>
        <v>-</v>
      </c>
      <c r="U208" s="25" t="str">
        <f t="shared" si="23"/>
        <v>-</v>
      </c>
      <c r="V208" s="26" t="str">
        <f t="shared" si="24"/>
        <v>-</v>
      </c>
      <c r="X208" s="26" t="str">
        <f t="shared" si="21"/>
        <v>-</v>
      </c>
    </row>
    <row r="209" spans="1:24" x14ac:dyDescent="0.3">
      <c r="A209" s="37">
        <v>87614010168</v>
      </c>
      <c r="B209" s="8" t="s">
        <v>12</v>
      </c>
      <c r="C209" s="10" t="s">
        <v>13</v>
      </c>
      <c r="D209" s="11" t="s">
        <v>872</v>
      </c>
      <c r="E209" s="11" t="s">
        <v>913</v>
      </c>
      <c r="F209" s="9">
        <v>16</v>
      </c>
      <c r="G209" s="9">
        <v>48</v>
      </c>
      <c r="H209" s="9" t="s">
        <v>868</v>
      </c>
      <c r="I209" s="9">
        <v>24</v>
      </c>
      <c r="J209" s="9">
        <v>250</v>
      </c>
      <c r="K209" s="9" t="s">
        <v>873</v>
      </c>
      <c r="L209" s="27">
        <v>0.16116999999999998</v>
      </c>
      <c r="M209" s="28" t="s">
        <v>3205</v>
      </c>
      <c r="N209" s="17">
        <v>16.544556</v>
      </c>
      <c r="O209" s="1"/>
      <c r="P209" s="38">
        <f t="shared" si="19"/>
        <v>0</v>
      </c>
      <c r="S209" s="24" t="str">
        <f t="shared" si="22"/>
        <v>-</v>
      </c>
      <c r="T209" s="24" t="str">
        <f t="shared" si="20"/>
        <v>-</v>
      </c>
      <c r="U209" s="25" t="str">
        <f t="shared" si="23"/>
        <v>-</v>
      </c>
      <c r="V209" s="26" t="str">
        <f t="shared" si="24"/>
        <v>-</v>
      </c>
      <c r="X209" s="26" t="str">
        <f t="shared" si="21"/>
        <v>-</v>
      </c>
    </row>
    <row r="210" spans="1:24" x14ac:dyDescent="0.3">
      <c r="A210" s="37">
        <v>87614010557</v>
      </c>
      <c r="B210" s="8" t="s">
        <v>1295</v>
      </c>
      <c r="C210" s="10" t="s">
        <v>2081</v>
      </c>
      <c r="D210" s="11" t="s">
        <v>866</v>
      </c>
      <c r="E210" s="11" t="s">
        <v>918</v>
      </c>
      <c r="F210" s="9">
        <v>16</v>
      </c>
      <c r="G210" s="9">
        <v>48</v>
      </c>
      <c r="H210" s="9" t="s">
        <v>868</v>
      </c>
      <c r="I210" s="9">
        <v>24</v>
      </c>
      <c r="J210" s="9">
        <v>100</v>
      </c>
      <c r="K210" s="9" t="s">
        <v>873</v>
      </c>
      <c r="L210" s="27">
        <v>0.15776500000000002</v>
      </c>
      <c r="M210" s="28" t="s">
        <v>3205</v>
      </c>
      <c r="N210" s="17">
        <v>12.724025999999999</v>
      </c>
      <c r="O210" s="1"/>
      <c r="P210" s="38">
        <f t="shared" si="19"/>
        <v>0</v>
      </c>
      <c r="S210" s="24" t="str">
        <f t="shared" si="22"/>
        <v>-</v>
      </c>
      <c r="T210" s="24" t="str">
        <f t="shared" si="20"/>
        <v>-</v>
      </c>
      <c r="U210" s="25" t="str">
        <f t="shared" si="23"/>
        <v>-</v>
      </c>
      <c r="V210" s="26" t="str">
        <f t="shared" si="24"/>
        <v>-</v>
      </c>
      <c r="X210" s="26" t="str">
        <f t="shared" si="21"/>
        <v>-</v>
      </c>
    </row>
    <row r="211" spans="1:24" x14ac:dyDescent="0.3">
      <c r="A211" s="37">
        <v>87614010564</v>
      </c>
      <c r="B211" s="8" t="s">
        <v>28</v>
      </c>
      <c r="C211" s="10" t="s">
        <v>29</v>
      </c>
      <c r="D211" s="11" t="s">
        <v>866</v>
      </c>
      <c r="E211" s="11" t="s">
        <v>918</v>
      </c>
      <c r="F211" s="9">
        <v>12</v>
      </c>
      <c r="G211" s="9">
        <v>24</v>
      </c>
      <c r="H211" s="9" t="s">
        <v>868</v>
      </c>
      <c r="I211" s="9">
        <v>24</v>
      </c>
      <c r="J211" s="9">
        <v>300</v>
      </c>
      <c r="K211" s="9" t="s">
        <v>873</v>
      </c>
      <c r="L211" s="27">
        <v>0.43016500000000002</v>
      </c>
      <c r="M211" s="28" t="s">
        <v>3205</v>
      </c>
      <c r="N211" s="17">
        <v>34.451214</v>
      </c>
      <c r="O211" s="1"/>
      <c r="P211" s="38">
        <f t="shared" si="19"/>
        <v>0</v>
      </c>
      <c r="S211" s="24" t="str">
        <f t="shared" si="22"/>
        <v>-</v>
      </c>
      <c r="T211" s="24" t="str">
        <f t="shared" si="20"/>
        <v>-</v>
      </c>
      <c r="U211" s="25" t="str">
        <f t="shared" si="23"/>
        <v>-</v>
      </c>
      <c r="V211" s="26" t="str">
        <f t="shared" si="24"/>
        <v>-</v>
      </c>
      <c r="X211" s="26" t="str">
        <f t="shared" si="21"/>
        <v>-</v>
      </c>
    </row>
    <row r="212" spans="1:24" x14ac:dyDescent="0.3">
      <c r="A212" s="37">
        <v>87614113791</v>
      </c>
      <c r="B212" s="8" t="s">
        <v>177</v>
      </c>
      <c r="C212" s="10" t="s">
        <v>178</v>
      </c>
      <c r="D212" s="11" t="s">
        <v>893</v>
      </c>
      <c r="E212" s="11" t="s">
        <v>987</v>
      </c>
      <c r="F212" s="9">
        <v>30</v>
      </c>
      <c r="G212" s="9">
        <v>90</v>
      </c>
      <c r="H212" s="9" t="s">
        <v>868</v>
      </c>
      <c r="I212" s="9">
        <v>24</v>
      </c>
      <c r="J212" s="9">
        <v>60</v>
      </c>
      <c r="K212" s="9" t="s">
        <v>889</v>
      </c>
      <c r="L212" s="27">
        <v>7.9450000000000007E-2</v>
      </c>
      <c r="M212" s="28" t="s">
        <v>3205</v>
      </c>
      <c r="N212" s="17">
        <v>5.3155200000000002</v>
      </c>
      <c r="O212" s="1"/>
      <c r="P212" s="38">
        <f t="shared" si="19"/>
        <v>0</v>
      </c>
      <c r="S212" s="24" t="str">
        <f t="shared" si="22"/>
        <v>-</v>
      </c>
      <c r="T212" s="24" t="str">
        <f t="shared" si="20"/>
        <v>-</v>
      </c>
      <c r="U212" s="25" t="str">
        <f t="shared" si="23"/>
        <v>-</v>
      </c>
      <c r="V212" s="26" t="str">
        <f t="shared" si="24"/>
        <v>-</v>
      </c>
      <c r="X212" s="26" t="str">
        <f t="shared" si="21"/>
        <v>-</v>
      </c>
    </row>
    <row r="213" spans="1:24" x14ac:dyDescent="0.3">
      <c r="A213" s="37">
        <v>87614011486</v>
      </c>
      <c r="B213" s="8" t="s">
        <v>1312</v>
      </c>
      <c r="C213" s="10" t="s">
        <v>2097</v>
      </c>
      <c r="D213" s="11" t="s">
        <v>866</v>
      </c>
      <c r="E213" s="11" t="s">
        <v>974</v>
      </c>
      <c r="F213" s="9">
        <v>30</v>
      </c>
      <c r="G213" s="9">
        <v>90</v>
      </c>
      <c r="H213" s="9" t="s">
        <v>868</v>
      </c>
      <c r="I213" s="9">
        <v>24</v>
      </c>
      <c r="J213" s="9">
        <v>100</v>
      </c>
      <c r="K213" s="9" t="s">
        <v>869</v>
      </c>
      <c r="L213" s="27">
        <v>6.4695000000000003E-2</v>
      </c>
      <c r="M213" s="28" t="s">
        <v>3205</v>
      </c>
      <c r="N213" s="17">
        <v>5.8470719999999998</v>
      </c>
      <c r="O213" s="1"/>
      <c r="P213" s="38">
        <f t="shared" si="19"/>
        <v>0</v>
      </c>
      <c r="S213" s="24" t="str">
        <f t="shared" si="22"/>
        <v>-</v>
      </c>
      <c r="T213" s="24" t="str">
        <f t="shared" si="20"/>
        <v>-</v>
      </c>
      <c r="U213" s="25" t="str">
        <f t="shared" si="23"/>
        <v>-</v>
      </c>
      <c r="V213" s="26" t="str">
        <f t="shared" si="24"/>
        <v>-</v>
      </c>
      <c r="X213" s="26" t="str">
        <f t="shared" si="21"/>
        <v>-</v>
      </c>
    </row>
    <row r="214" spans="1:24" x14ac:dyDescent="0.3">
      <c r="A214" s="37">
        <v>87614116976</v>
      </c>
      <c r="B214" s="8" t="s">
        <v>1590</v>
      </c>
      <c r="C214" s="10" t="s">
        <v>2351</v>
      </c>
      <c r="D214" s="11" t="s">
        <v>876</v>
      </c>
      <c r="E214" s="11" t="s">
        <v>1009</v>
      </c>
      <c r="F214" s="9">
        <v>48</v>
      </c>
      <c r="G214" s="9">
        <v>192</v>
      </c>
      <c r="H214" s="9" t="s">
        <v>868</v>
      </c>
      <c r="I214" s="9">
        <v>24</v>
      </c>
      <c r="J214" s="9">
        <v>60</v>
      </c>
      <c r="K214" s="9" t="s">
        <v>873</v>
      </c>
      <c r="L214" s="27">
        <v>3.0644999999999999E-2</v>
      </c>
      <c r="M214" s="28" t="s">
        <v>3205</v>
      </c>
      <c r="N214" s="17">
        <v>5.3985750000000001</v>
      </c>
      <c r="O214" s="1"/>
      <c r="P214" s="38">
        <f t="shared" si="19"/>
        <v>0</v>
      </c>
      <c r="S214" s="24" t="str">
        <f t="shared" si="22"/>
        <v>-</v>
      </c>
      <c r="T214" s="24" t="str">
        <f t="shared" si="20"/>
        <v>-</v>
      </c>
      <c r="U214" s="25" t="str">
        <f t="shared" si="23"/>
        <v>-</v>
      </c>
      <c r="V214" s="26" t="str">
        <f t="shared" si="24"/>
        <v>-</v>
      </c>
      <c r="X214" s="26" t="str">
        <f t="shared" si="21"/>
        <v>-</v>
      </c>
    </row>
    <row r="215" spans="1:24" x14ac:dyDescent="0.3">
      <c r="A215" s="37">
        <v>87614118048</v>
      </c>
      <c r="B215" s="8" t="s">
        <v>287</v>
      </c>
      <c r="C215" s="10" t="s">
        <v>2972</v>
      </c>
      <c r="D215" s="11" t="s">
        <v>870</v>
      </c>
      <c r="E215" s="11" t="s">
        <v>2846</v>
      </c>
      <c r="F215" s="9">
        <v>48</v>
      </c>
      <c r="G215" s="9">
        <v>192</v>
      </c>
      <c r="H215" s="9" t="s">
        <v>868</v>
      </c>
      <c r="I215" s="9">
        <v>24</v>
      </c>
      <c r="J215" s="9">
        <v>60</v>
      </c>
      <c r="K215" s="9" t="s">
        <v>2903</v>
      </c>
      <c r="L215" s="27">
        <v>3.2915E-2</v>
      </c>
      <c r="M215" s="28" t="s">
        <v>3205</v>
      </c>
      <c r="N215" s="17">
        <v>17.208995999999999</v>
      </c>
      <c r="O215" s="1"/>
      <c r="P215" s="38">
        <f t="shared" si="19"/>
        <v>0</v>
      </c>
      <c r="S215" s="24" t="str">
        <f t="shared" si="22"/>
        <v>-</v>
      </c>
      <c r="T215" s="24" t="str">
        <f t="shared" si="20"/>
        <v>-</v>
      </c>
      <c r="U215" s="25" t="str">
        <f t="shared" si="23"/>
        <v>-</v>
      </c>
      <c r="V215" s="26" t="str">
        <f t="shared" si="24"/>
        <v>-</v>
      </c>
      <c r="X215" s="26" t="str">
        <f t="shared" si="21"/>
        <v>-</v>
      </c>
    </row>
    <row r="216" spans="1:24" x14ac:dyDescent="0.3">
      <c r="A216" s="37">
        <v>87614013503</v>
      </c>
      <c r="B216" s="8" t="s">
        <v>333</v>
      </c>
      <c r="C216" s="10" t="s">
        <v>334</v>
      </c>
      <c r="D216" s="11" t="s">
        <v>879</v>
      </c>
      <c r="E216" s="11" t="s">
        <v>1027</v>
      </c>
      <c r="F216" s="9">
        <v>12</v>
      </c>
      <c r="G216" s="9">
        <v>24</v>
      </c>
      <c r="H216" s="9" t="s">
        <v>868</v>
      </c>
      <c r="I216" s="9">
        <v>24</v>
      </c>
      <c r="J216" s="9">
        <v>250</v>
      </c>
      <c r="K216" s="9" t="s">
        <v>889</v>
      </c>
      <c r="L216" s="27">
        <v>0.23267499999999999</v>
      </c>
      <c r="M216" s="28" t="s">
        <v>3205</v>
      </c>
      <c r="N216" s="17">
        <v>17.125940999999997</v>
      </c>
      <c r="O216" s="1"/>
      <c r="P216" s="38">
        <f t="shared" si="19"/>
        <v>0</v>
      </c>
      <c r="S216" s="24" t="str">
        <f t="shared" si="22"/>
        <v>-</v>
      </c>
      <c r="T216" s="24" t="str">
        <f t="shared" si="20"/>
        <v>-</v>
      </c>
      <c r="U216" s="25" t="str">
        <f t="shared" si="23"/>
        <v>-</v>
      </c>
      <c r="V216" s="26" t="str">
        <f t="shared" si="24"/>
        <v>-</v>
      </c>
      <c r="X216" s="26" t="str">
        <f t="shared" si="21"/>
        <v>-</v>
      </c>
    </row>
    <row r="217" spans="1:24" x14ac:dyDescent="0.3">
      <c r="A217" s="37">
        <v>87614013930</v>
      </c>
      <c r="B217" s="8" t="s">
        <v>337</v>
      </c>
      <c r="C217" s="10" t="s">
        <v>338</v>
      </c>
      <c r="D217" s="11" t="s">
        <v>874</v>
      </c>
      <c r="E217" s="11" t="s">
        <v>914</v>
      </c>
      <c r="F217" s="9">
        <v>30</v>
      </c>
      <c r="G217" s="9">
        <v>90</v>
      </c>
      <c r="H217" s="9" t="s">
        <v>868</v>
      </c>
      <c r="I217" s="9">
        <v>36</v>
      </c>
      <c r="J217" s="9">
        <v>250</v>
      </c>
      <c r="K217" s="9" t="s">
        <v>869</v>
      </c>
      <c r="L217" s="27">
        <v>9.4205000000000011E-2</v>
      </c>
      <c r="M217" s="28" t="s">
        <v>3205</v>
      </c>
      <c r="N217" s="17">
        <v>5.7474059999999998</v>
      </c>
      <c r="O217" s="1"/>
      <c r="P217" s="38">
        <f t="shared" si="19"/>
        <v>0</v>
      </c>
      <c r="S217" s="24" t="str">
        <f t="shared" si="22"/>
        <v>-</v>
      </c>
      <c r="T217" s="24" t="str">
        <f t="shared" si="20"/>
        <v>-</v>
      </c>
      <c r="U217" s="25" t="str">
        <f t="shared" si="23"/>
        <v>-</v>
      </c>
      <c r="V217" s="26" t="str">
        <f t="shared" si="24"/>
        <v>-</v>
      </c>
      <c r="X217" s="26" t="str">
        <f t="shared" si="21"/>
        <v>-</v>
      </c>
    </row>
    <row r="218" spans="1:24" x14ac:dyDescent="0.3">
      <c r="A218" s="37">
        <v>87614018621</v>
      </c>
      <c r="B218" s="8" t="s">
        <v>1180</v>
      </c>
      <c r="C218" s="10" t="s">
        <v>1999</v>
      </c>
      <c r="D218" s="11" t="s">
        <v>870</v>
      </c>
      <c r="E218" s="11" t="s">
        <v>924</v>
      </c>
      <c r="F218" s="9">
        <v>20</v>
      </c>
      <c r="G218" s="9">
        <v>60</v>
      </c>
      <c r="H218" s="9" t="s">
        <v>868</v>
      </c>
      <c r="I218" s="9">
        <v>36</v>
      </c>
      <c r="J218" s="9">
        <v>100</v>
      </c>
      <c r="K218" s="9" t="s">
        <v>877</v>
      </c>
      <c r="L218" s="27">
        <v>0.22246000000000002</v>
      </c>
      <c r="M218" s="28" t="s">
        <v>3205</v>
      </c>
      <c r="N218" s="17">
        <v>4.9334670000000003</v>
      </c>
      <c r="O218" s="1"/>
      <c r="P218" s="38">
        <f t="shared" si="19"/>
        <v>0</v>
      </c>
      <c r="S218" s="24" t="str">
        <f t="shared" si="22"/>
        <v>-</v>
      </c>
      <c r="T218" s="24" t="str">
        <f t="shared" si="20"/>
        <v>-</v>
      </c>
      <c r="U218" s="25" t="str">
        <f t="shared" si="23"/>
        <v>-</v>
      </c>
      <c r="V218" s="26" t="str">
        <f t="shared" si="24"/>
        <v>-</v>
      </c>
      <c r="X218" s="26" t="str">
        <f t="shared" si="21"/>
        <v>-</v>
      </c>
    </row>
    <row r="219" spans="1:24" x14ac:dyDescent="0.3">
      <c r="A219" s="37">
        <v>87614140056</v>
      </c>
      <c r="B219" s="8" t="s">
        <v>1157</v>
      </c>
      <c r="C219" s="10" t="s">
        <v>1981</v>
      </c>
      <c r="D219" s="11" t="s">
        <v>882</v>
      </c>
      <c r="E219" s="11" t="s">
        <v>965</v>
      </c>
      <c r="F219" s="9">
        <v>20</v>
      </c>
      <c r="G219" s="9">
        <v>60</v>
      </c>
      <c r="H219" s="9" t="s">
        <v>868</v>
      </c>
      <c r="I219" s="9">
        <v>18</v>
      </c>
      <c r="J219" s="9">
        <v>120</v>
      </c>
      <c r="K219" s="9" t="s">
        <v>873</v>
      </c>
      <c r="L219" s="27">
        <v>0.116905</v>
      </c>
      <c r="M219" s="28" t="s">
        <v>3205</v>
      </c>
      <c r="N219" s="17">
        <v>14.933288999999998</v>
      </c>
      <c r="O219" s="1"/>
      <c r="P219" s="38">
        <f t="shared" si="19"/>
        <v>0</v>
      </c>
      <c r="S219" s="24" t="str">
        <f t="shared" si="22"/>
        <v>-</v>
      </c>
      <c r="T219" s="24" t="str">
        <f t="shared" si="20"/>
        <v>-</v>
      </c>
      <c r="U219" s="25" t="str">
        <f t="shared" si="23"/>
        <v>-</v>
      </c>
      <c r="V219" s="26" t="str">
        <f t="shared" si="24"/>
        <v>-</v>
      </c>
      <c r="X219" s="26" t="str">
        <f t="shared" si="21"/>
        <v>-</v>
      </c>
    </row>
    <row r="220" spans="1:24" x14ac:dyDescent="0.3">
      <c r="A220" s="37">
        <v>87614210445</v>
      </c>
      <c r="B220" s="8" t="s">
        <v>1781</v>
      </c>
      <c r="C220" s="10" t="s">
        <v>2518</v>
      </c>
      <c r="D220" s="11" t="s">
        <v>879</v>
      </c>
      <c r="E220" s="11" t="s">
        <v>2889</v>
      </c>
      <c r="F220" s="9">
        <v>20</v>
      </c>
      <c r="G220" s="9">
        <v>60</v>
      </c>
      <c r="H220" s="9" t="s">
        <v>868</v>
      </c>
      <c r="I220" s="9">
        <v>36</v>
      </c>
      <c r="J220" s="9">
        <v>120</v>
      </c>
      <c r="K220" s="9" t="s">
        <v>873</v>
      </c>
      <c r="L220" s="27">
        <v>0.105555</v>
      </c>
      <c r="M220" s="28" t="s">
        <v>3205</v>
      </c>
      <c r="N220" s="17">
        <v>8.4716100000000001</v>
      </c>
      <c r="O220" s="1"/>
      <c r="P220" s="38">
        <f t="shared" si="19"/>
        <v>0</v>
      </c>
      <c r="S220" s="24" t="str">
        <f t="shared" si="22"/>
        <v>-</v>
      </c>
      <c r="T220" s="24" t="str">
        <f t="shared" si="20"/>
        <v>-</v>
      </c>
      <c r="U220" s="25" t="str">
        <f t="shared" si="23"/>
        <v>-</v>
      </c>
      <c r="V220" s="26" t="str">
        <f t="shared" si="24"/>
        <v>-</v>
      </c>
      <c r="X220" s="26" t="str">
        <f t="shared" si="21"/>
        <v>-</v>
      </c>
    </row>
    <row r="221" spans="1:24" x14ac:dyDescent="0.3">
      <c r="A221" s="37">
        <v>87614027173</v>
      </c>
      <c r="B221" s="8" t="s">
        <v>1833</v>
      </c>
      <c r="C221" s="10" t="s">
        <v>2568</v>
      </c>
      <c r="D221" s="11" t="s">
        <v>874</v>
      </c>
      <c r="E221" s="11" t="s">
        <v>925</v>
      </c>
      <c r="F221" s="9">
        <v>48</v>
      </c>
      <c r="G221" s="9">
        <v>192</v>
      </c>
      <c r="H221" s="9" t="s">
        <v>868</v>
      </c>
      <c r="I221" s="9">
        <v>24</v>
      </c>
      <c r="J221" s="9">
        <v>30</v>
      </c>
      <c r="K221" s="9" t="s">
        <v>873</v>
      </c>
      <c r="L221" s="27">
        <v>2.9509999999999998E-2</v>
      </c>
      <c r="M221" s="28" t="s">
        <v>3205</v>
      </c>
      <c r="N221" s="17">
        <v>13.172523</v>
      </c>
      <c r="O221" s="1"/>
      <c r="P221" s="38">
        <f t="shared" si="19"/>
        <v>0</v>
      </c>
      <c r="S221" s="24" t="str">
        <f t="shared" si="22"/>
        <v>-</v>
      </c>
      <c r="T221" s="24" t="str">
        <f t="shared" si="20"/>
        <v>-</v>
      </c>
      <c r="U221" s="25" t="str">
        <f t="shared" si="23"/>
        <v>-</v>
      </c>
      <c r="V221" s="26" t="str">
        <f t="shared" si="24"/>
        <v>-</v>
      </c>
      <c r="X221" s="26" t="str">
        <f t="shared" si="21"/>
        <v>-</v>
      </c>
    </row>
    <row r="222" spans="1:24" x14ac:dyDescent="0.3">
      <c r="A222" s="37">
        <v>87614113975</v>
      </c>
      <c r="B222" s="8" t="s">
        <v>179</v>
      </c>
      <c r="C222" s="10" t="s">
        <v>180</v>
      </c>
      <c r="D222" s="11" t="s">
        <v>866</v>
      </c>
      <c r="E222" s="11" t="s">
        <v>956</v>
      </c>
      <c r="F222" s="9">
        <v>30</v>
      </c>
      <c r="G222" s="9">
        <v>90</v>
      </c>
      <c r="H222" s="9" t="s">
        <v>892</v>
      </c>
      <c r="I222" s="9">
        <v>24</v>
      </c>
      <c r="J222" s="9">
        <v>60</v>
      </c>
      <c r="K222" s="9" t="s">
        <v>873</v>
      </c>
      <c r="L222" s="27">
        <v>7.3775000000000007E-2</v>
      </c>
      <c r="M222" s="28" t="s">
        <v>3205</v>
      </c>
      <c r="N222" s="17">
        <v>4.5348030000000001</v>
      </c>
      <c r="O222" s="1"/>
      <c r="P222" s="38">
        <f t="shared" si="19"/>
        <v>0</v>
      </c>
      <c r="S222" s="24" t="str">
        <f t="shared" si="22"/>
        <v>-</v>
      </c>
      <c r="T222" s="24" t="str">
        <f t="shared" si="20"/>
        <v>-</v>
      </c>
      <c r="U222" s="25" t="str">
        <f t="shared" si="23"/>
        <v>-</v>
      </c>
      <c r="V222" s="26" t="str">
        <f t="shared" si="24"/>
        <v>-</v>
      </c>
      <c r="X222" s="26" t="str">
        <f t="shared" si="21"/>
        <v>-</v>
      </c>
    </row>
    <row r="223" spans="1:24" x14ac:dyDescent="0.3">
      <c r="A223" s="37">
        <v>87614116624</v>
      </c>
      <c r="B223" s="8" t="s">
        <v>247</v>
      </c>
      <c r="C223" s="10" t="s">
        <v>248</v>
      </c>
      <c r="D223" s="11" t="s">
        <v>882</v>
      </c>
      <c r="E223" s="11" t="s">
        <v>976</v>
      </c>
      <c r="F223" s="9">
        <v>30</v>
      </c>
      <c r="G223" s="9">
        <v>90</v>
      </c>
      <c r="H223" s="9" t="s">
        <v>868</v>
      </c>
      <c r="I223" s="9">
        <v>36</v>
      </c>
      <c r="J223" s="9">
        <v>100</v>
      </c>
      <c r="K223" s="9" t="s">
        <v>873</v>
      </c>
      <c r="L223" s="27">
        <v>0.10896</v>
      </c>
      <c r="M223" s="28" t="s">
        <v>3205</v>
      </c>
      <c r="N223" s="17">
        <v>14.019684</v>
      </c>
      <c r="O223" s="1"/>
      <c r="P223" s="38">
        <f t="shared" si="19"/>
        <v>0</v>
      </c>
      <c r="S223" s="24" t="str">
        <f t="shared" si="22"/>
        <v>-</v>
      </c>
      <c r="T223" s="24" t="str">
        <f t="shared" si="20"/>
        <v>-</v>
      </c>
      <c r="U223" s="25" t="str">
        <f t="shared" si="23"/>
        <v>-</v>
      </c>
      <c r="V223" s="26" t="str">
        <f t="shared" si="24"/>
        <v>-</v>
      </c>
      <c r="X223" s="26" t="str">
        <f t="shared" si="21"/>
        <v>-</v>
      </c>
    </row>
    <row r="224" spans="1:24" x14ac:dyDescent="0.3">
      <c r="A224" s="37">
        <v>87614112411</v>
      </c>
      <c r="B224" s="8" t="s">
        <v>1247</v>
      </c>
      <c r="C224" s="10" t="s">
        <v>2050</v>
      </c>
      <c r="D224" s="11" t="s">
        <v>870</v>
      </c>
      <c r="E224" s="11" t="s">
        <v>871</v>
      </c>
      <c r="F224" s="9">
        <v>48</v>
      </c>
      <c r="G224" s="9">
        <v>192</v>
      </c>
      <c r="H224" s="9" t="s">
        <v>868</v>
      </c>
      <c r="I224" s="9">
        <v>48</v>
      </c>
      <c r="J224" s="9">
        <v>30</v>
      </c>
      <c r="K224" s="9" t="s">
        <v>873</v>
      </c>
      <c r="L224" s="27">
        <v>2.4969999999999999E-2</v>
      </c>
      <c r="M224" s="28" t="s">
        <v>3203</v>
      </c>
      <c r="N224" s="17">
        <v>1.0963259999999999</v>
      </c>
      <c r="O224" s="1"/>
      <c r="P224" s="38">
        <f t="shared" si="19"/>
        <v>0</v>
      </c>
      <c r="S224" s="24" t="str">
        <f t="shared" si="22"/>
        <v>-</v>
      </c>
      <c r="T224" s="24" t="str">
        <f t="shared" si="20"/>
        <v>-</v>
      </c>
      <c r="U224" s="25" t="str">
        <f t="shared" si="23"/>
        <v>-</v>
      </c>
      <c r="V224" s="26" t="str">
        <f t="shared" si="24"/>
        <v>-</v>
      </c>
      <c r="X224" s="26" t="str">
        <f t="shared" si="21"/>
        <v>-</v>
      </c>
    </row>
    <row r="225" spans="1:24" x14ac:dyDescent="0.3">
      <c r="A225" s="37">
        <v>87614113357</v>
      </c>
      <c r="B225" s="8" t="s">
        <v>147</v>
      </c>
      <c r="C225" s="10" t="s">
        <v>3065</v>
      </c>
      <c r="D225" s="11" t="s">
        <v>874</v>
      </c>
      <c r="E225" s="11" t="s">
        <v>919</v>
      </c>
      <c r="F225" s="9">
        <v>20</v>
      </c>
      <c r="G225" s="9">
        <v>60</v>
      </c>
      <c r="H225" s="9" t="s">
        <v>868</v>
      </c>
      <c r="I225" s="9">
        <v>36</v>
      </c>
      <c r="J225" s="9">
        <v>90</v>
      </c>
      <c r="K225" s="9" t="s">
        <v>2903</v>
      </c>
      <c r="L225" s="27">
        <v>0.11803999999999999</v>
      </c>
      <c r="M225" s="28" t="s">
        <v>3203</v>
      </c>
      <c r="N225" s="17">
        <v>3.5713650000000001</v>
      </c>
      <c r="O225" s="1"/>
      <c r="P225" s="38">
        <f t="shared" si="19"/>
        <v>0</v>
      </c>
      <c r="S225" s="24" t="str">
        <f t="shared" si="22"/>
        <v>-</v>
      </c>
      <c r="T225" s="24" t="str">
        <f t="shared" si="20"/>
        <v>-</v>
      </c>
      <c r="U225" s="25" t="str">
        <f t="shared" si="23"/>
        <v>-</v>
      </c>
      <c r="V225" s="26" t="str">
        <f t="shared" si="24"/>
        <v>-</v>
      </c>
      <c r="X225" s="26" t="str">
        <f t="shared" si="21"/>
        <v>-</v>
      </c>
    </row>
    <row r="226" spans="1:24" x14ac:dyDescent="0.3">
      <c r="A226" s="37">
        <v>87614112695</v>
      </c>
      <c r="B226" s="8" t="s">
        <v>1524</v>
      </c>
      <c r="C226" s="10" t="s">
        <v>2285</v>
      </c>
      <c r="D226" s="11" t="s">
        <v>885</v>
      </c>
      <c r="E226" s="11" t="s">
        <v>934</v>
      </c>
      <c r="F226" s="9">
        <v>30</v>
      </c>
      <c r="G226" s="9">
        <v>90</v>
      </c>
      <c r="H226" s="9" t="s">
        <v>868</v>
      </c>
      <c r="I226" s="9">
        <v>36</v>
      </c>
      <c r="J226" s="9">
        <v>60</v>
      </c>
      <c r="K226" s="9" t="s">
        <v>873</v>
      </c>
      <c r="L226" s="27">
        <v>6.3560000000000005E-2</v>
      </c>
      <c r="M226" s="28" t="s">
        <v>3203</v>
      </c>
      <c r="N226" s="17">
        <v>3.9534180000000001</v>
      </c>
      <c r="O226" s="1"/>
      <c r="P226" s="38">
        <f t="shared" si="19"/>
        <v>0</v>
      </c>
      <c r="S226" s="24" t="str">
        <f t="shared" si="22"/>
        <v>-</v>
      </c>
      <c r="T226" s="24" t="str">
        <f t="shared" si="20"/>
        <v>-</v>
      </c>
      <c r="U226" s="25" t="str">
        <f t="shared" si="23"/>
        <v>-</v>
      </c>
      <c r="V226" s="26" t="str">
        <f t="shared" si="24"/>
        <v>-</v>
      </c>
      <c r="X226" s="26" t="str">
        <f t="shared" si="21"/>
        <v>-</v>
      </c>
    </row>
    <row r="227" spans="1:24" x14ac:dyDescent="0.3">
      <c r="A227" s="37">
        <v>87614014234</v>
      </c>
      <c r="B227" s="8" t="s">
        <v>1263</v>
      </c>
      <c r="C227" s="10" t="s">
        <v>3068</v>
      </c>
      <c r="D227" s="11" t="s">
        <v>882</v>
      </c>
      <c r="E227" s="11" t="s">
        <v>976</v>
      </c>
      <c r="F227" s="9">
        <v>20</v>
      </c>
      <c r="G227" s="9">
        <v>60</v>
      </c>
      <c r="H227" s="9" t="s">
        <v>868</v>
      </c>
      <c r="I227" s="9">
        <v>36</v>
      </c>
      <c r="J227" s="9">
        <v>100</v>
      </c>
      <c r="K227" s="9" t="s">
        <v>2903</v>
      </c>
      <c r="L227" s="27">
        <v>0.103285</v>
      </c>
      <c r="M227" s="28" t="s">
        <v>3203</v>
      </c>
      <c r="N227" s="17">
        <v>4.235805</v>
      </c>
      <c r="O227" s="1"/>
      <c r="P227" s="38">
        <f t="shared" si="19"/>
        <v>0</v>
      </c>
      <c r="S227" s="24" t="str">
        <f t="shared" si="22"/>
        <v>-</v>
      </c>
      <c r="T227" s="24" t="str">
        <f t="shared" si="20"/>
        <v>-</v>
      </c>
      <c r="U227" s="25" t="str">
        <f t="shared" si="23"/>
        <v>-</v>
      </c>
      <c r="V227" s="26" t="str">
        <f t="shared" si="24"/>
        <v>-</v>
      </c>
      <c r="X227" s="26" t="str">
        <f t="shared" si="21"/>
        <v>-</v>
      </c>
    </row>
    <row r="228" spans="1:24" x14ac:dyDescent="0.3">
      <c r="A228" s="37">
        <v>87614019802</v>
      </c>
      <c r="B228" s="8" t="s">
        <v>1631</v>
      </c>
      <c r="C228" s="10" t="s">
        <v>2393</v>
      </c>
      <c r="D228" s="11" t="s">
        <v>886</v>
      </c>
      <c r="E228" s="11" t="s">
        <v>952</v>
      </c>
      <c r="F228" s="9">
        <v>30</v>
      </c>
      <c r="G228" s="9">
        <v>90</v>
      </c>
      <c r="H228" s="9" t="s">
        <v>868</v>
      </c>
      <c r="I228" s="9">
        <v>36</v>
      </c>
      <c r="J228" s="9">
        <v>100</v>
      </c>
      <c r="K228" s="9" t="s">
        <v>873</v>
      </c>
      <c r="L228" s="27">
        <v>6.2425000000000001E-2</v>
      </c>
      <c r="M228" s="28" t="s">
        <v>3203</v>
      </c>
      <c r="N228" s="17">
        <v>4.418526</v>
      </c>
      <c r="O228" s="1"/>
      <c r="P228" s="38">
        <f t="shared" si="19"/>
        <v>0</v>
      </c>
      <c r="S228" s="24" t="str">
        <f t="shared" si="22"/>
        <v>-</v>
      </c>
      <c r="T228" s="24" t="str">
        <f t="shared" si="20"/>
        <v>-</v>
      </c>
      <c r="U228" s="25" t="str">
        <f t="shared" si="23"/>
        <v>-</v>
      </c>
      <c r="V228" s="26" t="str">
        <f t="shared" si="24"/>
        <v>-</v>
      </c>
      <c r="X228" s="26" t="str">
        <f t="shared" si="21"/>
        <v>-</v>
      </c>
    </row>
    <row r="229" spans="1:24" x14ac:dyDescent="0.3">
      <c r="A229" s="37">
        <v>87614018263</v>
      </c>
      <c r="B229" s="8" t="s">
        <v>379</v>
      </c>
      <c r="C229" s="10" t="s">
        <v>3070</v>
      </c>
      <c r="D229" s="11" t="s">
        <v>897</v>
      </c>
      <c r="E229" s="11" t="s">
        <v>999</v>
      </c>
      <c r="F229" s="9">
        <v>20</v>
      </c>
      <c r="G229" s="9">
        <v>60</v>
      </c>
      <c r="H229" s="9" t="s">
        <v>868</v>
      </c>
      <c r="I229" s="9">
        <v>26</v>
      </c>
      <c r="J229" s="9">
        <v>100</v>
      </c>
      <c r="K229" s="9" t="s">
        <v>2903</v>
      </c>
      <c r="L229" s="27">
        <v>0.1135</v>
      </c>
      <c r="M229" s="28" t="s">
        <v>3203</v>
      </c>
      <c r="N229" s="17">
        <v>4.6012469999999999</v>
      </c>
      <c r="O229" s="1"/>
      <c r="P229" s="38">
        <f t="shared" si="19"/>
        <v>0</v>
      </c>
      <c r="S229" s="24" t="str">
        <f t="shared" si="22"/>
        <v>-</v>
      </c>
      <c r="T229" s="24" t="str">
        <f t="shared" si="20"/>
        <v>-</v>
      </c>
      <c r="U229" s="25" t="str">
        <f t="shared" si="23"/>
        <v>-</v>
      </c>
      <c r="V229" s="26" t="str">
        <f t="shared" si="24"/>
        <v>-</v>
      </c>
      <c r="X229" s="26" t="str">
        <f t="shared" si="21"/>
        <v>-</v>
      </c>
    </row>
    <row r="230" spans="1:24" x14ac:dyDescent="0.3">
      <c r="A230" s="37">
        <v>87614019864</v>
      </c>
      <c r="B230" s="8" t="s">
        <v>449</v>
      </c>
      <c r="C230" s="10" t="s">
        <v>450</v>
      </c>
      <c r="D230" s="11" t="s">
        <v>879</v>
      </c>
      <c r="E230" s="11" t="s">
        <v>1040</v>
      </c>
      <c r="F230" s="9">
        <v>20</v>
      </c>
      <c r="G230" s="9">
        <v>60</v>
      </c>
      <c r="H230" s="9" t="s">
        <v>868</v>
      </c>
      <c r="I230" s="9">
        <v>36</v>
      </c>
      <c r="J230" s="9">
        <v>100</v>
      </c>
      <c r="K230" s="9" t="s">
        <v>873</v>
      </c>
      <c r="L230" s="27">
        <v>0.110095</v>
      </c>
      <c r="M230" s="28" t="s">
        <v>3203</v>
      </c>
      <c r="N230" s="17">
        <v>4.7175240000000001</v>
      </c>
      <c r="O230" s="1"/>
      <c r="P230" s="38">
        <f t="shared" si="19"/>
        <v>0</v>
      </c>
      <c r="S230" s="24" t="str">
        <f t="shared" si="22"/>
        <v>-</v>
      </c>
      <c r="T230" s="24" t="str">
        <f t="shared" si="20"/>
        <v>-</v>
      </c>
      <c r="U230" s="25" t="str">
        <f t="shared" si="23"/>
        <v>-</v>
      </c>
      <c r="V230" s="26" t="str">
        <f t="shared" si="24"/>
        <v>-</v>
      </c>
      <c r="X230" s="26" t="str">
        <f t="shared" si="21"/>
        <v>-</v>
      </c>
    </row>
    <row r="231" spans="1:24" x14ac:dyDescent="0.3">
      <c r="A231" s="37">
        <v>87614040134</v>
      </c>
      <c r="B231" s="8" t="s">
        <v>489</v>
      </c>
      <c r="C231" s="10" t="s">
        <v>490</v>
      </c>
      <c r="D231" s="11" t="s">
        <v>878</v>
      </c>
      <c r="E231" s="11" t="s">
        <v>1043</v>
      </c>
      <c r="F231" s="9">
        <v>30</v>
      </c>
      <c r="G231" s="9">
        <v>90</v>
      </c>
      <c r="H231" s="9" t="s">
        <v>868</v>
      </c>
      <c r="I231" s="9">
        <v>36</v>
      </c>
      <c r="J231" s="9">
        <v>120</v>
      </c>
      <c r="K231" s="9" t="s">
        <v>877</v>
      </c>
      <c r="L231" s="27">
        <v>7.2639999999999996E-2</v>
      </c>
      <c r="M231" s="28" t="s">
        <v>3203</v>
      </c>
      <c r="N231" s="17">
        <v>4.8171900000000001</v>
      </c>
      <c r="O231" s="1"/>
      <c r="P231" s="38">
        <f t="shared" si="19"/>
        <v>0</v>
      </c>
      <c r="S231" s="24" t="str">
        <f t="shared" si="22"/>
        <v>-</v>
      </c>
      <c r="T231" s="24" t="str">
        <f t="shared" si="20"/>
        <v>-</v>
      </c>
      <c r="U231" s="25" t="str">
        <f t="shared" si="23"/>
        <v>-</v>
      </c>
      <c r="V231" s="26" t="str">
        <f t="shared" si="24"/>
        <v>-</v>
      </c>
      <c r="X231" s="26" t="str">
        <f t="shared" si="21"/>
        <v>-</v>
      </c>
    </row>
    <row r="232" spans="1:24" x14ac:dyDescent="0.3">
      <c r="A232" s="37">
        <v>87614019123</v>
      </c>
      <c r="B232" s="8" t="s">
        <v>410</v>
      </c>
      <c r="C232" s="10" t="s">
        <v>2729</v>
      </c>
      <c r="D232" s="11" t="s">
        <v>902</v>
      </c>
      <c r="E232" s="11" t="s">
        <v>933</v>
      </c>
      <c r="F232" s="9">
        <v>48</v>
      </c>
      <c r="G232" s="9">
        <v>192</v>
      </c>
      <c r="H232" s="9" t="s">
        <v>868</v>
      </c>
      <c r="I232" s="9">
        <v>36</v>
      </c>
      <c r="J232" s="9">
        <v>100</v>
      </c>
      <c r="K232" s="9" t="s">
        <v>869</v>
      </c>
      <c r="L232" s="27">
        <v>5.3345000000000004E-2</v>
      </c>
      <c r="M232" s="28" t="s">
        <v>3203</v>
      </c>
      <c r="N232" s="17">
        <v>5.2989089999999992</v>
      </c>
      <c r="O232" s="1"/>
      <c r="P232" s="38">
        <f t="shared" si="19"/>
        <v>0</v>
      </c>
      <c r="S232" s="24" t="str">
        <f t="shared" si="22"/>
        <v>-</v>
      </c>
      <c r="T232" s="24" t="str">
        <f t="shared" si="20"/>
        <v>-</v>
      </c>
      <c r="U232" s="25" t="str">
        <f t="shared" si="23"/>
        <v>-</v>
      </c>
      <c r="V232" s="26" t="str">
        <f t="shared" si="24"/>
        <v>-</v>
      </c>
      <c r="X232" s="26" t="str">
        <f t="shared" si="21"/>
        <v>-</v>
      </c>
    </row>
    <row r="233" spans="1:24" x14ac:dyDescent="0.3">
      <c r="A233" s="37">
        <v>87614060545</v>
      </c>
      <c r="B233" s="8" t="s">
        <v>617</v>
      </c>
      <c r="C233" s="10" t="s">
        <v>618</v>
      </c>
      <c r="D233" s="11" t="s">
        <v>879</v>
      </c>
      <c r="E233" s="11" t="s">
        <v>930</v>
      </c>
      <c r="F233" s="9">
        <v>20</v>
      </c>
      <c r="G233" s="9">
        <v>60</v>
      </c>
      <c r="H233" s="9" t="s">
        <v>868</v>
      </c>
      <c r="I233" s="9">
        <v>36</v>
      </c>
      <c r="J233" s="9">
        <v>90</v>
      </c>
      <c r="K233" s="9" t="s">
        <v>873</v>
      </c>
      <c r="L233" s="27">
        <v>0.1135</v>
      </c>
      <c r="M233" s="28" t="s">
        <v>3203</v>
      </c>
      <c r="N233" s="17">
        <v>5.2989089999999992</v>
      </c>
      <c r="O233" s="1"/>
      <c r="P233" s="38">
        <f t="shared" si="19"/>
        <v>0</v>
      </c>
      <c r="S233" s="24" t="str">
        <f t="shared" si="22"/>
        <v>-</v>
      </c>
      <c r="T233" s="24" t="str">
        <f t="shared" si="20"/>
        <v>-</v>
      </c>
      <c r="U233" s="25" t="str">
        <f t="shared" si="23"/>
        <v>-</v>
      </c>
      <c r="V233" s="26" t="str">
        <f t="shared" si="24"/>
        <v>-</v>
      </c>
      <c r="X233" s="26" t="str">
        <f t="shared" si="21"/>
        <v>-</v>
      </c>
    </row>
    <row r="234" spans="1:24" x14ac:dyDescent="0.3">
      <c r="A234" s="37">
        <v>87614013169</v>
      </c>
      <c r="B234" s="8" t="s">
        <v>1322</v>
      </c>
      <c r="C234" s="10" t="s">
        <v>2106</v>
      </c>
      <c r="D234" s="11" t="s">
        <v>872</v>
      </c>
      <c r="E234" s="11" t="s">
        <v>1115</v>
      </c>
      <c r="F234" s="9">
        <v>30</v>
      </c>
      <c r="G234" s="9">
        <v>90</v>
      </c>
      <c r="H234" s="9" t="s">
        <v>868</v>
      </c>
      <c r="I234" s="9">
        <v>36</v>
      </c>
      <c r="J234" s="9">
        <v>100</v>
      </c>
      <c r="K234" s="9" t="s">
        <v>873</v>
      </c>
      <c r="L234" s="27">
        <v>9.9879999999999997E-2</v>
      </c>
      <c r="M234" s="28" t="s">
        <v>3203</v>
      </c>
      <c r="N234" s="17">
        <v>5.3487419999999997</v>
      </c>
      <c r="O234" s="1"/>
      <c r="P234" s="38">
        <f t="shared" si="19"/>
        <v>0</v>
      </c>
      <c r="S234" s="24" t="str">
        <f t="shared" si="22"/>
        <v>-</v>
      </c>
      <c r="T234" s="24" t="str">
        <f t="shared" si="20"/>
        <v>-</v>
      </c>
      <c r="U234" s="25" t="str">
        <f t="shared" si="23"/>
        <v>-</v>
      </c>
      <c r="V234" s="26" t="str">
        <f t="shared" si="24"/>
        <v>-</v>
      </c>
      <c r="X234" s="26" t="str">
        <f t="shared" si="21"/>
        <v>-</v>
      </c>
    </row>
    <row r="235" spans="1:24" x14ac:dyDescent="0.3">
      <c r="A235" s="37">
        <v>87614015217</v>
      </c>
      <c r="B235" s="8" t="s">
        <v>351</v>
      </c>
      <c r="C235" s="10" t="s">
        <v>352</v>
      </c>
      <c r="D235" s="11" t="s">
        <v>879</v>
      </c>
      <c r="E235" s="11" t="s">
        <v>978</v>
      </c>
      <c r="F235" s="9">
        <v>20</v>
      </c>
      <c r="G235" s="9">
        <v>60</v>
      </c>
      <c r="H235" s="9" t="s">
        <v>868</v>
      </c>
      <c r="I235" s="9">
        <v>36</v>
      </c>
      <c r="J235" s="9">
        <v>100</v>
      </c>
      <c r="K235" s="9" t="s">
        <v>873</v>
      </c>
      <c r="L235" s="27">
        <v>0.11123000000000001</v>
      </c>
      <c r="M235" s="28" t="s">
        <v>3203</v>
      </c>
      <c r="N235" s="17">
        <v>5.5314630000000005</v>
      </c>
      <c r="O235" s="1"/>
      <c r="P235" s="38">
        <f t="shared" si="19"/>
        <v>0</v>
      </c>
      <c r="S235" s="24" t="str">
        <f t="shared" si="22"/>
        <v>-</v>
      </c>
      <c r="T235" s="24" t="str">
        <f t="shared" si="20"/>
        <v>-</v>
      </c>
      <c r="U235" s="25" t="str">
        <f t="shared" si="23"/>
        <v>-</v>
      </c>
      <c r="V235" s="26" t="str">
        <f t="shared" si="24"/>
        <v>-</v>
      </c>
      <c r="X235" s="26" t="str">
        <f t="shared" si="21"/>
        <v>-</v>
      </c>
    </row>
    <row r="236" spans="1:24" x14ac:dyDescent="0.3">
      <c r="A236" s="37">
        <v>87614111155</v>
      </c>
      <c r="B236" s="8" t="s">
        <v>77</v>
      </c>
      <c r="C236" s="10" t="s">
        <v>78</v>
      </c>
      <c r="D236" s="11" t="s">
        <v>866</v>
      </c>
      <c r="E236" s="11" t="s">
        <v>950</v>
      </c>
      <c r="F236" s="9">
        <v>30</v>
      </c>
      <c r="G236" s="9">
        <v>90</v>
      </c>
      <c r="H236" s="9" t="s">
        <v>868</v>
      </c>
      <c r="I236" s="9">
        <v>36</v>
      </c>
      <c r="J236" s="9">
        <v>60</v>
      </c>
      <c r="K236" s="9" t="s">
        <v>873</v>
      </c>
      <c r="L236" s="27">
        <v>9.307E-2</v>
      </c>
      <c r="M236" s="28" t="s">
        <v>3203</v>
      </c>
      <c r="N236" s="17">
        <v>5.5314630000000005</v>
      </c>
      <c r="O236" s="1"/>
      <c r="P236" s="38">
        <f t="shared" si="19"/>
        <v>0</v>
      </c>
      <c r="S236" s="24" t="str">
        <f t="shared" si="22"/>
        <v>-</v>
      </c>
      <c r="T236" s="24" t="str">
        <f t="shared" si="20"/>
        <v>-</v>
      </c>
      <c r="U236" s="25" t="str">
        <f t="shared" si="23"/>
        <v>-</v>
      </c>
      <c r="V236" s="26" t="str">
        <f t="shared" si="24"/>
        <v>-</v>
      </c>
      <c r="X236" s="26" t="str">
        <f t="shared" si="21"/>
        <v>-</v>
      </c>
    </row>
    <row r="237" spans="1:24" x14ac:dyDescent="0.3">
      <c r="A237" s="37">
        <v>87614111193</v>
      </c>
      <c r="B237" s="8" t="s">
        <v>1169</v>
      </c>
      <c r="C237" s="10" t="s">
        <v>2954</v>
      </c>
      <c r="D237" s="11" t="s">
        <v>881</v>
      </c>
      <c r="E237" s="11" t="s">
        <v>949</v>
      </c>
      <c r="F237" s="9">
        <v>16</v>
      </c>
      <c r="G237" s="9">
        <v>48</v>
      </c>
      <c r="H237" s="9" t="s">
        <v>868</v>
      </c>
      <c r="I237" s="9">
        <v>36</v>
      </c>
      <c r="J237" s="9">
        <v>120</v>
      </c>
      <c r="K237" s="9" t="s">
        <v>2903</v>
      </c>
      <c r="L237" s="27">
        <v>0.153225</v>
      </c>
      <c r="M237" s="28" t="s">
        <v>3203</v>
      </c>
      <c r="N237" s="17">
        <v>5.5480739999999997</v>
      </c>
      <c r="O237" s="1"/>
      <c r="P237" s="38">
        <f t="shared" si="19"/>
        <v>0</v>
      </c>
      <c r="S237" s="24" t="str">
        <f t="shared" si="22"/>
        <v>-</v>
      </c>
      <c r="T237" s="24" t="str">
        <f t="shared" si="20"/>
        <v>-</v>
      </c>
      <c r="U237" s="25" t="str">
        <f t="shared" si="23"/>
        <v>-</v>
      </c>
      <c r="V237" s="26" t="str">
        <f t="shared" si="24"/>
        <v>-</v>
      </c>
      <c r="X237" s="26" t="str">
        <f t="shared" si="21"/>
        <v>-</v>
      </c>
    </row>
    <row r="238" spans="1:24" x14ac:dyDescent="0.3">
      <c r="A238" s="37">
        <v>87614110301</v>
      </c>
      <c r="B238" s="8" t="s">
        <v>47</v>
      </c>
      <c r="C238" s="10" t="s">
        <v>48</v>
      </c>
      <c r="D238" s="11" t="s">
        <v>870</v>
      </c>
      <c r="E238" s="11" t="s">
        <v>871</v>
      </c>
      <c r="F238" s="9">
        <v>30</v>
      </c>
      <c r="G238" s="9">
        <v>90</v>
      </c>
      <c r="H238" s="9" t="s">
        <v>868</v>
      </c>
      <c r="I238" s="9">
        <v>48</v>
      </c>
      <c r="J238" s="9">
        <v>250</v>
      </c>
      <c r="K238" s="9" t="s">
        <v>873</v>
      </c>
      <c r="L238" s="27">
        <v>0.10214999999999999</v>
      </c>
      <c r="M238" s="28" t="s">
        <v>3203</v>
      </c>
      <c r="N238" s="17">
        <v>5.6477399999999998</v>
      </c>
      <c r="O238" s="1"/>
      <c r="P238" s="38">
        <f t="shared" si="19"/>
        <v>0</v>
      </c>
      <c r="S238" s="24" t="str">
        <f t="shared" si="22"/>
        <v>-</v>
      </c>
      <c r="T238" s="24" t="str">
        <f t="shared" si="20"/>
        <v>-</v>
      </c>
      <c r="U238" s="25" t="str">
        <f t="shared" si="23"/>
        <v>-</v>
      </c>
      <c r="V238" s="26" t="str">
        <f t="shared" si="24"/>
        <v>-</v>
      </c>
      <c r="X238" s="26" t="str">
        <f t="shared" si="21"/>
        <v>-</v>
      </c>
    </row>
    <row r="239" spans="1:24" x14ac:dyDescent="0.3">
      <c r="A239" s="37">
        <v>87614019932</v>
      </c>
      <c r="B239" s="8" t="s">
        <v>453</v>
      </c>
      <c r="C239" s="10" t="s">
        <v>3077</v>
      </c>
      <c r="D239" s="11" t="s">
        <v>879</v>
      </c>
      <c r="E239" s="11" t="s">
        <v>922</v>
      </c>
      <c r="F239" s="9">
        <v>16</v>
      </c>
      <c r="G239" s="9">
        <v>48</v>
      </c>
      <c r="H239" s="9" t="s">
        <v>868</v>
      </c>
      <c r="I239" s="9">
        <v>36</v>
      </c>
      <c r="J239" s="9">
        <v>100</v>
      </c>
      <c r="K239" s="9" t="s">
        <v>2903</v>
      </c>
      <c r="L239" s="27">
        <v>0.13847000000000001</v>
      </c>
      <c r="M239" s="28" t="s">
        <v>3203</v>
      </c>
      <c r="N239" s="17">
        <v>5.7806280000000001</v>
      </c>
      <c r="O239" s="1"/>
      <c r="P239" s="38">
        <f t="shared" si="19"/>
        <v>0</v>
      </c>
      <c r="S239" s="24" t="str">
        <f t="shared" si="22"/>
        <v>-</v>
      </c>
      <c r="T239" s="24" t="str">
        <f t="shared" si="20"/>
        <v>-</v>
      </c>
      <c r="U239" s="25" t="str">
        <f t="shared" si="23"/>
        <v>-</v>
      </c>
      <c r="V239" s="26" t="str">
        <f t="shared" si="24"/>
        <v>-</v>
      </c>
      <c r="X239" s="26" t="str">
        <f t="shared" si="21"/>
        <v>-</v>
      </c>
    </row>
    <row r="240" spans="1:24" x14ac:dyDescent="0.3">
      <c r="A240" s="37">
        <v>87614142258</v>
      </c>
      <c r="B240" s="8" t="s">
        <v>585</v>
      </c>
      <c r="C240" s="10" t="s">
        <v>2759</v>
      </c>
      <c r="D240" s="11" t="s">
        <v>885</v>
      </c>
      <c r="E240" s="11" t="s">
        <v>934</v>
      </c>
      <c r="F240" s="9">
        <v>48</v>
      </c>
      <c r="G240" s="9">
        <v>192</v>
      </c>
      <c r="H240" s="9" t="s">
        <v>892</v>
      </c>
      <c r="I240" s="9">
        <v>24</v>
      </c>
      <c r="J240" s="9">
        <v>30</v>
      </c>
      <c r="K240" s="9" t="s">
        <v>2903</v>
      </c>
      <c r="L240" s="27">
        <v>3.0644999999999999E-2</v>
      </c>
      <c r="M240" s="28" t="s">
        <v>3203</v>
      </c>
      <c r="N240" s="17">
        <v>6.1294589999999998</v>
      </c>
      <c r="O240" s="1"/>
      <c r="P240" s="38">
        <f t="shared" si="19"/>
        <v>0</v>
      </c>
      <c r="S240" s="24" t="str">
        <f t="shared" si="22"/>
        <v>-</v>
      </c>
      <c r="T240" s="24" t="str">
        <f t="shared" si="20"/>
        <v>-</v>
      </c>
      <c r="U240" s="25" t="str">
        <f t="shared" si="23"/>
        <v>-</v>
      </c>
      <c r="V240" s="26" t="str">
        <f t="shared" si="24"/>
        <v>-</v>
      </c>
      <c r="X240" s="26" t="str">
        <f t="shared" si="21"/>
        <v>-</v>
      </c>
    </row>
    <row r="241" spans="1:24" x14ac:dyDescent="0.3">
      <c r="A241" s="37">
        <v>87614022598</v>
      </c>
      <c r="B241" s="8" t="s">
        <v>699</v>
      </c>
      <c r="C241" s="10" t="s">
        <v>700</v>
      </c>
      <c r="D241" s="11" t="s">
        <v>884</v>
      </c>
      <c r="E241" s="11" t="s">
        <v>2847</v>
      </c>
      <c r="F241" s="9">
        <v>20</v>
      </c>
      <c r="G241" s="9">
        <v>60</v>
      </c>
      <c r="H241" s="9" t="s">
        <v>868</v>
      </c>
      <c r="I241" s="9">
        <v>24</v>
      </c>
      <c r="J241" s="9">
        <v>60</v>
      </c>
      <c r="K241" s="9" t="s">
        <v>869</v>
      </c>
      <c r="L241" s="27">
        <v>0.15890000000000001</v>
      </c>
      <c r="M241" s="28" t="s">
        <v>3203</v>
      </c>
      <c r="N241" s="17">
        <v>6.2789579999999994</v>
      </c>
      <c r="O241" s="1"/>
      <c r="P241" s="38">
        <f t="shared" si="19"/>
        <v>0</v>
      </c>
      <c r="S241" s="24" t="str">
        <f t="shared" si="22"/>
        <v>-</v>
      </c>
      <c r="T241" s="24" t="str">
        <f t="shared" si="20"/>
        <v>-</v>
      </c>
      <c r="U241" s="25" t="str">
        <f t="shared" si="23"/>
        <v>-</v>
      </c>
      <c r="V241" s="26" t="str">
        <f t="shared" si="24"/>
        <v>-</v>
      </c>
      <c r="X241" s="26" t="str">
        <f t="shared" si="21"/>
        <v>-</v>
      </c>
    </row>
    <row r="242" spans="1:24" x14ac:dyDescent="0.3">
      <c r="A242" s="37">
        <v>87614019659</v>
      </c>
      <c r="B242" s="8" t="s">
        <v>1630</v>
      </c>
      <c r="C242" s="10" t="s">
        <v>2392</v>
      </c>
      <c r="D242" s="11" t="s">
        <v>879</v>
      </c>
      <c r="E242" s="11" t="s">
        <v>930</v>
      </c>
      <c r="F242" s="9">
        <v>20</v>
      </c>
      <c r="G242" s="9">
        <v>60</v>
      </c>
      <c r="H242" s="9" t="s">
        <v>868</v>
      </c>
      <c r="I242" s="9">
        <v>36</v>
      </c>
      <c r="J242" s="9">
        <v>100</v>
      </c>
      <c r="K242" s="9" t="s">
        <v>873</v>
      </c>
      <c r="L242" s="27">
        <v>0.10214999999999999</v>
      </c>
      <c r="M242" s="28" t="s">
        <v>3203</v>
      </c>
      <c r="N242" s="17">
        <v>6.3121799999999997</v>
      </c>
      <c r="O242" s="1"/>
      <c r="P242" s="38">
        <f t="shared" si="19"/>
        <v>0</v>
      </c>
      <c r="S242" s="24" t="str">
        <f t="shared" si="22"/>
        <v>-</v>
      </c>
      <c r="T242" s="24" t="str">
        <f t="shared" si="20"/>
        <v>-</v>
      </c>
      <c r="U242" s="25" t="str">
        <f t="shared" si="23"/>
        <v>-</v>
      </c>
      <c r="V242" s="26" t="str">
        <f t="shared" si="24"/>
        <v>-</v>
      </c>
      <c r="X242" s="26" t="str">
        <f t="shared" si="21"/>
        <v>-</v>
      </c>
    </row>
    <row r="243" spans="1:24" x14ac:dyDescent="0.3">
      <c r="A243" s="37">
        <v>87614111285</v>
      </c>
      <c r="B243" s="8" t="s">
        <v>81</v>
      </c>
      <c r="C243" s="10" t="s">
        <v>2955</v>
      </c>
      <c r="D243" s="11" t="s">
        <v>881</v>
      </c>
      <c r="E243" s="11" t="s">
        <v>951</v>
      </c>
      <c r="F243" s="9">
        <v>20</v>
      </c>
      <c r="G243" s="9">
        <v>60</v>
      </c>
      <c r="H243" s="9" t="s">
        <v>868</v>
      </c>
      <c r="I243" s="9">
        <v>36</v>
      </c>
      <c r="J243" s="9">
        <v>90</v>
      </c>
      <c r="K243" s="9" t="s">
        <v>2903</v>
      </c>
      <c r="L243" s="27">
        <v>0.1135</v>
      </c>
      <c r="M243" s="28" t="s">
        <v>3203</v>
      </c>
      <c r="N243" s="17">
        <v>6.4118459999999997</v>
      </c>
      <c r="O243" s="1"/>
      <c r="P243" s="38">
        <f t="shared" si="19"/>
        <v>0</v>
      </c>
      <c r="S243" s="24" t="str">
        <f t="shared" si="22"/>
        <v>-</v>
      </c>
      <c r="T243" s="24" t="str">
        <f t="shared" si="20"/>
        <v>-</v>
      </c>
      <c r="U243" s="25" t="str">
        <f t="shared" si="23"/>
        <v>-</v>
      </c>
      <c r="V243" s="26" t="str">
        <f t="shared" si="24"/>
        <v>-</v>
      </c>
      <c r="X243" s="26" t="str">
        <f t="shared" si="21"/>
        <v>-</v>
      </c>
    </row>
    <row r="244" spans="1:24" x14ac:dyDescent="0.3">
      <c r="A244" s="37">
        <v>87614117331</v>
      </c>
      <c r="B244" s="8" t="s">
        <v>269</v>
      </c>
      <c r="C244" s="10" t="s">
        <v>270</v>
      </c>
      <c r="D244" s="11" t="s">
        <v>876</v>
      </c>
      <c r="E244" s="11" t="s">
        <v>1012</v>
      </c>
      <c r="F244" s="9">
        <v>48</v>
      </c>
      <c r="G244" s="9">
        <v>192</v>
      </c>
      <c r="H244" s="9" t="s">
        <v>868</v>
      </c>
      <c r="I244" s="9">
        <v>36</v>
      </c>
      <c r="J244" s="9">
        <v>90</v>
      </c>
      <c r="K244" s="9" t="s">
        <v>873</v>
      </c>
      <c r="L244" s="27">
        <v>3.2915E-2</v>
      </c>
      <c r="M244" s="28" t="s">
        <v>3203</v>
      </c>
      <c r="N244" s="17">
        <v>6.4284569999999999</v>
      </c>
      <c r="O244" s="1"/>
      <c r="P244" s="38">
        <f t="shared" si="19"/>
        <v>0</v>
      </c>
      <c r="S244" s="24" t="str">
        <f t="shared" si="22"/>
        <v>-</v>
      </c>
      <c r="T244" s="24" t="str">
        <f t="shared" si="20"/>
        <v>-</v>
      </c>
      <c r="U244" s="25" t="str">
        <f t="shared" si="23"/>
        <v>-</v>
      </c>
      <c r="V244" s="26" t="str">
        <f t="shared" si="24"/>
        <v>-</v>
      </c>
      <c r="X244" s="26" t="str">
        <f t="shared" si="21"/>
        <v>-</v>
      </c>
    </row>
    <row r="245" spans="1:24" x14ac:dyDescent="0.3">
      <c r="A245" s="37">
        <v>87614110257</v>
      </c>
      <c r="B245" s="8" t="s">
        <v>44</v>
      </c>
      <c r="C245" s="10" t="s">
        <v>2944</v>
      </c>
      <c r="D245" s="11" t="s">
        <v>874</v>
      </c>
      <c r="E245" s="11" t="s">
        <v>919</v>
      </c>
      <c r="F245" s="9">
        <v>16</v>
      </c>
      <c r="G245" s="9">
        <v>48</v>
      </c>
      <c r="H245" s="9" t="s">
        <v>868</v>
      </c>
      <c r="I245" s="9">
        <v>36</v>
      </c>
      <c r="J245" s="9">
        <v>180</v>
      </c>
      <c r="K245" s="9" t="s">
        <v>2903</v>
      </c>
      <c r="L245" s="27">
        <v>0.144145</v>
      </c>
      <c r="M245" s="28" t="s">
        <v>3203</v>
      </c>
      <c r="N245" s="17">
        <v>7.0596750000000004</v>
      </c>
      <c r="O245" s="1"/>
      <c r="P245" s="38">
        <f t="shared" si="19"/>
        <v>0</v>
      </c>
      <c r="S245" s="24" t="str">
        <f t="shared" si="22"/>
        <v>-</v>
      </c>
      <c r="T245" s="24" t="str">
        <f t="shared" si="20"/>
        <v>-</v>
      </c>
      <c r="U245" s="25" t="str">
        <f t="shared" si="23"/>
        <v>-</v>
      </c>
      <c r="V245" s="26" t="str">
        <f t="shared" si="24"/>
        <v>-</v>
      </c>
      <c r="X245" s="26" t="str">
        <f t="shared" si="21"/>
        <v>-</v>
      </c>
    </row>
    <row r="246" spans="1:24" x14ac:dyDescent="0.3">
      <c r="A246" s="37">
        <v>87614115122</v>
      </c>
      <c r="B246" s="8" t="s">
        <v>218</v>
      </c>
      <c r="C246" s="10" t="s">
        <v>3078</v>
      </c>
      <c r="D246" s="11" t="s">
        <v>882</v>
      </c>
      <c r="E246" s="11" t="s">
        <v>976</v>
      </c>
      <c r="F246" s="9">
        <v>12</v>
      </c>
      <c r="G246" s="9">
        <v>24</v>
      </c>
      <c r="H246" s="9" t="s">
        <v>868</v>
      </c>
      <c r="I246" s="9">
        <v>36</v>
      </c>
      <c r="J246" s="9">
        <v>180</v>
      </c>
      <c r="K246" s="9" t="s">
        <v>2903</v>
      </c>
      <c r="L246" s="27">
        <v>0.185005</v>
      </c>
      <c r="M246" s="28" t="s">
        <v>3203</v>
      </c>
      <c r="N246" s="17">
        <v>7.1427300000000002</v>
      </c>
      <c r="O246" s="1"/>
      <c r="P246" s="38">
        <f t="shared" si="19"/>
        <v>0</v>
      </c>
      <c r="S246" s="24" t="str">
        <f t="shared" si="22"/>
        <v>-</v>
      </c>
      <c r="T246" s="24" t="str">
        <f t="shared" si="20"/>
        <v>-</v>
      </c>
      <c r="U246" s="25" t="str">
        <f t="shared" si="23"/>
        <v>-</v>
      </c>
      <c r="V246" s="26" t="str">
        <f t="shared" si="24"/>
        <v>-</v>
      </c>
      <c r="X246" s="26" t="str">
        <f t="shared" si="21"/>
        <v>-</v>
      </c>
    </row>
    <row r="247" spans="1:24" x14ac:dyDescent="0.3">
      <c r="A247" s="37">
        <v>87614080062</v>
      </c>
      <c r="B247" s="8" t="s">
        <v>1460</v>
      </c>
      <c r="C247" s="10" t="s">
        <v>2232</v>
      </c>
      <c r="D247" s="11" t="s">
        <v>886</v>
      </c>
      <c r="E247" s="11" t="s">
        <v>2882</v>
      </c>
      <c r="F247" s="9">
        <v>30</v>
      </c>
      <c r="G247" s="9">
        <v>90</v>
      </c>
      <c r="H247" s="9" t="s">
        <v>868</v>
      </c>
      <c r="I247" s="9">
        <v>36</v>
      </c>
      <c r="J247" s="9">
        <v>90</v>
      </c>
      <c r="K247" s="9" t="s">
        <v>877</v>
      </c>
      <c r="L247" s="27">
        <v>0.16797999999999999</v>
      </c>
      <c r="M247" s="28" t="s">
        <v>3203</v>
      </c>
      <c r="N247" s="17">
        <v>7.1759519999999997</v>
      </c>
      <c r="O247" s="1"/>
      <c r="P247" s="38">
        <f t="shared" si="19"/>
        <v>0</v>
      </c>
      <c r="S247" s="24" t="str">
        <f t="shared" si="22"/>
        <v>-</v>
      </c>
      <c r="T247" s="24" t="str">
        <f t="shared" si="20"/>
        <v>-</v>
      </c>
      <c r="U247" s="25" t="str">
        <f t="shared" si="23"/>
        <v>-</v>
      </c>
      <c r="V247" s="26" t="str">
        <f t="shared" si="24"/>
        <v>-</v>
      </c>
      <c r="X247" s="26" t="str">
        <f t="shared" si="21"/>
        <v>-</v>
      </c>
    </row>
    <row r="248" spans="1:24" x14ac:dyDescent="0.3">
      <c r="A248" s="37">
        <v>87614021126</v>
      </c>
      <c r="B248" s="8" t="s">
        <v>661</v>
      </c>
      <c r="C248" s="10" t="s">
        <v>662</v>
      </c>
      <c r="D248" s="11" t="s">
        <v>883</v>
      </c>
      <c r="E248" s="11" t="s">
        <v>926</v>
      </c>
      <c r="F248" s="9">
        <v>15</v>
      </c>
      <c r="G248" s="9">
        <v>30</v>
      </c>
      <c r="H248" s="9" t="s">
        <v>868</v>
      </c>
      <c r="I248" s="9">
        <v>24</v>
      </c>
      <c r="J248" s="9">
        <v>120</v>
      </c>
      <c r="K248" s="9" t="s">
        <v>877</v>
      </c>
      <c r="L248" s="27">
        <v>0.33822999999999998</v>
      </c>
      <c r="M248" s="28" t="s">
        <v>3203</v>
      </c>
      <c r="N248" s="17">
        <v>7.2257849999999992</v>
      </c>
      <c r="O248" s="1"/>
      <c r="P248" s="38">
        <f t="shared" si="19"/>
        <v>0</v>
      </c>
      <c r="S248" s="24" t="str">
        <f t="shared" si="22"/>
        <v>-</v>
      </c>
      <c r="T248" s="24" t="str">
        <f t="shared" si="20"/>
        <v>-</v>
      </c>
      <c r="U248" s="25" t="str">
        <f t="shared" si="23"/>
        <v>-</v>
      </c>
      <c r="V248" s="26" t="str">
        <f t="shared" si="24"/>
        <v>-</v>
      </c>
      <c r="X248" s="26" t="str">
        <f t="shared" si="21"/>
        <v>-</v>
      </c>
    </row>
    <row r="249" spans="1:24" x14ac:dyDescent="0.3">
      <c r="A249" s="37">
        <v>87614040196</v>
      </c>
      <c r="B249" s="8" t="s">
        <v>491</v>
      </c>
      <c r="C249" s="10" t="s">
        <v>492</v>
      </c>
      <c r="D249" s="11" t="s">
        <v>878</v>
      </c>
      <c r="E249" s="11" t="s">
        <v>1001</v>
      </c>
      <c r="F249" s="9">
        <v>20</v>
      </c>
      <c r="G249" s="9">
        <v>60</v>
      </c>
      <c r="H249" s="9" t="s">
        <v>868</v>
      </c>
      <c r="I249" s="9">
        <v>24</v>
      </c>
      <c r="J249" s="9">
        <v>240</v>
      </c>
      <c r="K249" s="9" t="s">
        <v>877</v>
      </c>
      <c r="L249" s="27">
        <v>0.21451500000000001</v>
      </c>
      <c r="M249" s="28" t="s">
        <v>3203</v>
      </c>
      <c r="N249" s="17">
        <v>7.3254509999999993</v>
      </c>
      <c r="O249" s="1"/>
      <c r="P249" s="38">
        <f t="shared" si="19"/>
        <v>0</v>
      </c>
      <c r="S249" s="24" t="str">
        <f t="shared" si="22"/>
        <v>-</v>
      </c>
      <c r="T249" s="24" t="str">
        <f t="shared" si="20"/>
        <v>-</v>
      </c>
      <c r="U249" s="25" t="str">
        <f t="shared" si="23"/>
        <v>-</v>
      </c>
      <c r="V249" s="26" t="str">
        <f t="shared" si="24"/>
        <v>-</v>
      </c>
      <c r="X249" s="26" t="str">
        <f t="shared" si="21"/>
        <v>-</v>
      </c>
    </row>
    <row r="250" spans="1:24" x14ac:dyDescent="0.3">
      <c r="A250" s="37">
        <v>87614141121</v>
      </c>
      <c r="B250" s="8" t="s">
        <v>533</v>
      </c>
      <c r="C250" s="10" t="s">
        <v>534</v>
      </c>
      <c r="D250" s="11" t="s">
        <v>883</v>
      </c>
      <c r="E250" s="11" t="s">
        <v>944</v>
      </c>
      <c r="F250" s="9">
        <v>30</v>
      </c>
      <c r="G250" s="9">
        <v>90</v>
      </c>
      <c r="H250" s="9" t="s">
        <v>868</v>
      </c>
      <c r="I250" s="9">
        <v>24</v>
      </c>
      <c r="J250" s="9">
        <v>60</v>
      </c>
      <c r="K250" s="9" t="s">
        <v>873</v>
      </c>
      <c r="L250" s="27">
        <v>8.058499999999999E-2</v>
      </c>
      <c r="M250" s="28" t="s">
        <v>3203</v>
      </c>
      <c r="N250" s="17">
        <v>7.8071700000000002</v>
      </c>
      <c r="O250" s="1"/>
      <c r="P250" s="38">
        <f t="shared" si="19"/>
        <v>0</v>
      </c>
      <c r="S250" s="24" t="str">
        <f t="shared" si="22"/>
        <v>-</v>
      </c>
      <c r="T250" s="24" t="str">
        <f t="shared" si="20"/>
        <v>-</v>
      </c>
      <c r="U250" s="25" t="str">
        <f t="shared" si="23"/>
        <v>-</v>
      </c>
      <c r="V250" s="26" t="str">
        <f t="shared" si="24"/>
        <v>-</v>
      </c>
      <c r="X250" s="26" t="str">
        <f t="shared" si="21"/>
        <v>-</v>
      </c>
    </row>
    <row r="251" spans="1:24" x14ac:dyDescent="0.3">
      <c r="A251" s="37">
        <v>87614019352</v>
      </c>
      <c r="B251" s="8" t="s">
        <v>1330</v>
      </c>
      <c r="C251" s="10" t="s">
        <v>2112</v>
      </c>
      <c r="D251" s="11" t="s">
        <v>874</v>
      </c>
      <c r="E251" s="11" t="s">
        <v>925</v>
      </c>
      <c r="F251" s="9">
        <v>15</v>
      </c>
      <c r="G251" s="9">
        <v>30</v>
      </c>
      <c r="H251" s="9" t="s">
        <v>868</v>
      </c>
      <c r="I251" s="9">
        <v>26</v>
      </c>
      <c r="J251" s="9">
        <v>200</v>
      </c>
      <c r="K251" s="9" t="s">
        <v>873</v>
      </c>
      <c r="L251" s="27">
        <v>0.198625</v>
      </c>
      <c r="M251" s="28" t="s">
        <v>3203</v>
      </c>
      <c r="N251" s="17">
        <v>8.0895569999999992</v>
      </c>
      <c r="O251" s="1"/>
      <c r="P251" s="38">
        <f t="shared" si="19"/>
        <v>0</v>
      </c>
      <c r="S251" s="24" t="str">
        <f t="shared" si="22"/>
        <v>-</v>
      </c>
      <c r="T251" s="24" t="str">
        <f t="shared" si="20"/>
        <v>-</v>
      </c>
      <c r="U251" s="25" t="str">
        <f t="shared" si="23"/>
        <v>-</v>
      </c>
      <c r="V251" s="26" t="str">
        <f t="shared" si="24"/>
        <v>-</v>
      </c>
      <c r="X251" s="26" t="str">
        <f t="shared" si="21"/>
        <v>-</v>
      </c>
    </row>
    <row r="252" spans="1:24" x14ac:dyDescent="0.3">
      <c r="A252" s="37">
        <v>87614110042</v>
      </c>
      <c r="B252" s="8" t="s">
        <v>39</v>
      </c>
      <c r="C252" s="10" t="s">
        <v>2939</v>
      </c>
      <c r="D252" s="11" t="s">
        <v>881</v>
      </c>
      <c r="E252" s="11" t="s">
        <v>923</v>
      </c>
      <c r="F252" s="9">
        <v>30</v>
      </c>
      <c r="G252" s="9">
        <v>90</v>
      </c>
      <c r="H252" s="9" t="s">
        <v>868</v>
      </c>
      <c r="I252" s="9">
        <v>36</v>
      </c>
      <c r="J252" s="9">
        <v>100</v>
      </c>
      <c r="K252" s="9" t="s">
        <v>2903</v>
      </c>
      <c r="L252" s="27">
        <v>8.9664999999999995E-2</v>
      </c>
      <c r="M252" s="28" t="s">
        <v>3203</v>
      </c>
      <c r="N252" s="17">
        <v>8.1227789999999995</v>
      </c>
      <c r="O252" s="1"/>
      <c r="P252" s="38">
        <f t="shared" si="19"/>
        <v>0</v>
      </c>
      <c r="S252" s="24" t="str">
        <f t="shared" si="22"/>
        <v>-</v>
      </c>
      <c r="T252" s="24" t="str">
        <f t="shared" si="20"/>
        <v>-</v>
      </c>
      <c r="U252" s="25" t="str">
        <f t="shared" si="23"/>
        <v>-</v>
      </c>
      <c r="V252" s="26" t="str">
        <f t="shared" si="24"/>
        <v>-</v>
      </c>
      <c r="X252" s="26" t="str">
        <f t="shared" si="21"/>
        <v>-</v>
      </c>
    </row>
    <row r="253" spans="1:24" x14ac:dyDescent="0.3">
      <c r="A253" s="37">
        <v>87614142265</v>
      </c>
      <c r="B253" s="8" t="s">
        <v>586</v>
      </c>
      <c r="C253" s="10" t="s">
        <v>2760</v>
      </c>
      <c r="D253" s="11" t="s">
        <v>883</v>
      </c>
      <c r="E253" s="11" t="s">
        <v>985</v>
      </c>
      <c r="F253" s="9">
        <v>30</v>
      </c>
      <c r="G253" s="9">
        <v>90</v>
      </c>
      <c r="H253" s="9" t="s">
        <v>868</v>
      </c>
      <c r="I253" s="9">
        <v>36</v>
      </c>
      <c r="J253" s="9">
        <v>60</v>
      </c>
      <c r="K253" s="9" t="s">
        <v>889</v>
      </c>
      <c r="L253" s="27">
        <v>7.7180000000000012E-2</v>
      </c>
      <c r="M253" s="28" t="s">
        <v>3203</v>
      </c>
      <c r="N253" s="17">
        <v>8.2390559999999997</v>
      </c>
      <c r="O253" s="1"/>
      <c r="P253" s="38">
        <f t="shared" si="19"/>
        <v>0</v>
      </c>
      <c r="S253" s="24" t="str">
        <f t="shared" si="22"/>
        <v>-</v>
      </c>
      <c r="T253" s="24" t="str">
        <f t="shared" si="20"/>
        <v>-</v>
      </c>
      <c r="U253" s="25" t="str">
        <f t="shared" si="23"/>
        <v>-</v>
      </c>
      <c r="V253" s="26" t="str">
        <f t="shared" si="24"/>
        <v>-</v>
      </c>
      <c r="X253" s="26" t="str">
        <f t="shared" si="21"/>
        <v>-</v>
      </c>
    </row>
    <row r="254" spans="1:24" x14ac:dyDescent="0.3">
      <c r="A254" s="37">
        <v>87614029955</v>
      </c>
      <c r="B254" s="8" t="s">
        <v>1500</v>
      </c>
      <c r="C254" s="10" t="s">
        <v>2261</v>
      </c>
      <c r="D254" s="11" t="s">
        <v>874</v>
      </c>
      <c r="E254" s="11" t="s">
        <v>998</v>
      </c>
      <c r="F254" s="9">
        <v>16</v>
      </c>
      <c r="G254" s="9">
        <v>48</v>
      </c>
      <c r="H254" s="9" t="s">
        <v>868</v>
      </c>
      <c r="I254" s="9">
        <v>24</v>
      </c>
      <c r="J254" s="9">
        <v>90</v>
      </c>
      <c r="K254" s="9" t="s">
        <v>869</v>
      </c>
      <c r="L254" s="27">
        <v>0.19408500000000001</v>
      </c>
      <c r="M254" s="28" t="s">
        <v>3203</v>
      </c>
      <c r="N254" s="17">
        <v>8.6709420000000001</v>
      </c>
      <c r="O254" s="1"/>
      <c r="P254" s="38">
        <f t="shared" si="19"/>
        <v>0</v>
      </c>
      <c r="S254" s="24" t="str">
        <f t="shared" si="22"/>
        <v>-</v>
      </c>
      <c r="T254" s="24" t="str">
        <f t="shared" si="20"/>
        <v>-</v>
      </c>
      <c r="U254" s="25" t="str">
        <f t="shared" si="23"/>
        <v>-</v>
      </c>
      <c r="V254" s="26" t="str">
        <f t="shared" si="24"/>
        <v>-</v>
      </c>
      <c r="X254" s="26" t="str">
        <f t="shared" si="21"/>
        <v>-</v>
      </c>
    </row>
    <row r="255" spans="1:24" x14ac:dyDescent="0.3">
      <c r="A255" s="37">
        <v>87614115924</v>
      </c>
      <c r="B255" s="8" t="s">
        <v>239</v>
      </c>
      <c r="C255" s="10" t="s">
        <v>240</v>
      </c>
      <c r="D255" s="11" t="s">
        <v>883</v>
      </c>
      <c r="E255" s="11" t="s">
        <v>938</v>
      </c>
      <c r="F255" s="9">
        <v>30</v>
      </c>
      <c r="G255" s="9">
        <v>90</v>
      </c>
      <c r="H255" s="9" t="s">
        <v>868</v>
      </c>
      <c r="I255" s="9">
        <v>36</v>
      </c>
      <c r="J255" s="9">
        <v>60</v>
      </c>
      <c r="K255" s="9" t="s">
        <v>873</v>
      </c>
      <c r="L255" s="27">
        <v>8.7395E-2</v>
      </c>
      <c r="M255" s="28" t="s">
        <v>3203</v>
      </c>
      <c r="N255" s="17">
        <v>9.1194389999999999</v>
      </c>
      <c r="O255" s="1"/>
      <c r="P255" s="38">
        <f t="shared" si="19"/>
        <v>0</v>
      </c>
      <c r="S255" s="24" t="str">
        <f t="shared" si="22"/>
        <v>-</v>
      </c>
      <c r="T255" s="24" t="str">
        <f t="shared" si="20"/>
        <v>-</v>
      </c>
      <c r="U255" s="25" t="str">
        <f t="shared" si="23"/>
        <v>-</v>
      </c>
      <c r="V255" s="26" t="str">
        <f t="shared" si="24"/>
        <v>-</v>
      </c>
      <c r="X255" s="26" t="str">
        <f t="shared" si="21"/>
        <v>-</v>
      </c>
    </row>
    <row r="256" spans="1:24" x14ac:dyDescent="0.3">
      <c r="A256" s="37">
        <v>87614141459</v>
      </c>
      <c r="B256" s="8" t="s">
        <v>552</v>
      </c>
      <c r="C256" s="10" t="s">
        <v>553</v>
      </c>
      <c r="D256" s="11" t="s">
        <v>876</v>
      </c>
      <c r="E256" s="11" t="s">
        <v>1007</v>
      </c>
      <c r="F256" s="9">
        <v>30</v>
      </c>
      <c r="G256" s="9">
        <v>90</v>
      </c>
      <c r="H256" s="9" t="s">
        <v>868</v>
      </c>
      <c r="I256" s="9">
        <v>36</v>
      </c>
      <c r="J256" s="9">
        <v>90</v>
      </c>
      <c r="K256" s="9" t="s">
        <v>873</v>
      </c>
      <c r="L256" s="27">
        <v>8.7395E-2</v>
      </c>
      <c r="M256" s="28" t="s">
        <v>3203</v>
      </c>
      <c r="N256" s="17">
        <v>9.4682700000000004</v>
      </c>
      <c r="O256" s="1"/>
      <c r="P256" s="38">
        <f t="shared" si="19"/>
        <v>0</v>
      </c>
      <c r="S256" s="24" t="str">
        <f t="shared" si="22"/>
        <v>-</v>
      </c>
      <c r="T256" s="24" t="str">
        <f t="shared" si="20"/>
        <v>-</v>
      </c>
      <c r="U256" s="25" t="str">
        <f t="shared" si="23"/>
        <v>-</v>
      </c>
      <c r="V256" s="26" t="str">
        <f t="shared" si="24"/>
        <v>-</v>
      </c>
      <c r="X256" s="26" t="str">
        <f t="shared" si="21"/>
        <v>-</v>
      </c>
    </row>
    <row r="257" spans="1:24" x14ac:dyDescent="0.3">
      <c r="A257" s="37">
        <v>87614060569</v>
      </c>
      <c r="B257" s="8" t="s">
        <v>619</v>
      </c>
      <c r="C257" s="10" t="s">
        <v>620</v>
      </c>
      <c r="D257" s="11" t="s">
        <v>866</v>
      </c>
      <c r="E257" s="11" t="s">
        <v>956</v>
      </c>
      <c r="F257" s="9">
        <v>30</v>
      </c>
      <c r="G257" s="9">
        <v>90</v>
      </c>
      <c r="H257" s="9" t="s">
        <v>868</v>
      </c>
      <c r="I257" s="9">
        <v>36</v>
      </c>
      <c r="J257" s="9">
        <v>90</v>
      </c>
      <c r="K257" s="9" t="s">
        <v>906</v>
      </c>
      <c r="L257" s="27">
        <v>8.8529999999999998E-2</v>
      </c>
      <c r="M257" s="28" t="s">
        <v>3203</v>
      </c>
      <c r="N257" s="17">
        <v>9.9333779999999994</v>
      </c>
      <c r="O257" s="1"/>
      <c r="P257" s="38">
        <f t="shared" si="19"/>
        <v>0</v>
      </c>
      <c r="S257" s="24" t="str">
        <f t="shared" si="22"/>
        <v>-</v>
      </c>
      <c r="T257" s="24" t="str">
        <f t="shared" si="20"/>
        <v>-</v>
      </c>
      <c r="U257" s="25" t="str">
        <f t="shared" si="23"/>
        <v>-</v>
      </c>
      <c r="V257" s="26" t="str">
        <f t="shared" si="24"/>
        <v>-</v>
      </c>
      <c r="X257" s="26" t="str">
        <f t="shared" si="21"/>
        <v>-</v>
      </c>
    </row>
    <row r="258" spans="1:24" x14ac:dyDescent="0.3">
      <c r="A258" s="37">
        <v>87614110776</v>
      </c>
      <c r="B258" s="8" t="s">
        <v>60</v>
      </c>
      <c r="C258" s="10" t="s">
        <v>2949</v>
      </c>
      <c r="D258" s="11" t="s">
        <v>879</v>
      </c>
      <c r="E258" s="11" t="s">
        <v>922</v>
      </c>
      <c r="F258" s="9">
        <v>12</v>
      </c>
      <c r="G258" s="9">
        <v>24</v>
      </c>
      <c r="H258" s="9" t="s">
        <v>868</v>
      </c>
      <c r="I258" s="9">
        <v>36</v>
      </c>
      <c r="J258" s="9">
        <v>300</v>
      </c>
      <c r="K258" s="9" t="s">
        <v>2903</v>
      </c>
      <c r="L258" s="27">
        <v>0.32688</v>
      </c>
      <c r="M258" s="28" t="s">
        <v>3203</v>
      </c>
      <c r="N258" s="17">
        <v>11.262258000000001</v>
      </c>
      <c r="O258" s="1"/>
      <c r="P258" s="38">
        <f t="shared" si="19"/>
        <v>0</v>
      </c>
      <c r="S258" s="24" t="str">
        <f t="shared" si="22"/>
        <v>-</v>
      </c>
      <c r="T258" s="24" t="str">
        <f t="shared" si="20"/>
        <v>-</v>
      </c>
      <c r="U258" s="25" t="str">
        <f t="shared" si="23"/>
        <v>-</v>
      </c>
      <c r="V258" s="26" t="str">
        <f t="shared" si="24"/>
        <v>-</v>
      </c>
      <c r="X258" s="26" t="str">
        <f t="shared" si="21"/>
        <v>-</v>
      </c>
    </row>
    <row r="259" spans="1:24" x14ac:dyDescent="0.3">
      <c r="A259" s="37">
        <v>87614140278</v>
      </c>
      <c r="B259" s="8" t="s">
        <v>1707</v>
      </c>
      <c r="C259" s="10" t="s">
        <v>2067</v>
      </c>
      <c r="D259" s="11" t="s">
        <v>876</v>
      </c>
      <c r="E259" s="11" t="s">
        <v>955</v>
      </c>
      <c r="F259" s="9">
        <v>30</v>
      </c>
      <c r="G259" s="9">
        <v>90</v>
      </c>
      <c r="H259" s="9" t="s">
        <v>868</v>
      </c>
      <c r="I259" s="9">
        <v>36</v>
      </c>
      <c r="J259" s="9">
        <v>120</v>
      </c>
      <c r="K259" s="9" t="s">
        <v>873</v>
      </c>
      <c r="L259" s="27">
        <v>7.7180000000000012E-2</v>
      </c>
      <c r="M259" s="28" t="s">
        <v>3203</v>
      </c>
      <c r="N259" s="17">
        <v>11.561256</v>
      </c>
      <c r="O259" s="1"/>
      <c r="P259" s="38">
        <f t="shared" ref="P259:P322" si="25">O259*N259</f>
        <v>0</v>
      </c>
      <c r="S259" s="24" t="str">
        <f t="shared" si="22"/>
        <v>-</v>
      </c>
      <c r="T259" s="24" t="str">
        <f t="shared" ref="T259:T322" si="26">IF(O259&gt;0,N259+L259*O259/$U$2*$V$2/O259,"-")</f>
        <v>-</v>
      </c>
      <c r="U259" s="25" t="str">
        <f t="shared" si="23"/>
        <v>-</v>
      </c>
      <c r="V259" s="26" t="str">
        <f t="shared" si="24"/>
        <v>-</v>
      </c>
      <c r="X259" s="26" t="str">
        <f t="shared" ref="X259:X322" si="27">IFERROR(IF(V259+P259=0, "-", IF(V259&gt;0, V259+P259, "-")), "-")</f>
        <v>-</v>
      </c>
    </row>
    <row r="260" spans="1:24" x14ac:dyDescent="0.3">
      <c r="A260" s="37">
        <v>87614118598</v>
      </c>
      <c r="B260" s="8" t="s">
        <v>308</v>
      </c>
      <c r="C260" s="10" t="s">
        <v>309</v>
      </c>
      <c r="D260" s="11" t="s">
        <v>870</v>
      </c>
      <c r="E260" s="11" t="s">
        <v>871</v>
      </c>
      <c r="F260" s="9">
        <v>36</v>
      </c>
      <c r="G260" s="9">
        <v>72</v>
      </c>
      <c r="H260" s="9" t="s">
        <v>892</v>
      </c>
      <c r="I260" s="9">
        <v>18</v>
      </c>
      <c r="J260" s="9">
        <v>60</v>
      </c>
      <c r="K260" s="9" t="s">
        <v>901</v>
      </c>
      <c r="L260" s="27">
        <v>0.22700000000000001</v>
      </c>
      <c r="M260" s="28" t="s">
        <v>3203</v>
      </c>
      <c r="N260" s="17">
        <v>12.391806000000001</v>
      </c>
      <c r="O260" s="1"/>
      <c r="P260" s="38">
        <f t="shared" si="25"/>
        <v>0</v>
      </c>
      <c r="S260" s="24" t="str">
        <f t="shared" ref="S260:S323" si="28">IFERROR(IF(S$2*L260=0, "-", $S$2*L260), "-")</f>
        <v>-</v>
      </c>
      <c r="T260" s="24" t="str">
        <f t="shared" si="26"/>
        <v>-</v>
      </c>
      <c r="U260" s="25" t="str">
        <f t="shared" ref="U260:U323" si="29">IF(O260&gt;0,O260*L260, "-")</f>
        <v>-</v>
      </c>
      <c r="V260" s="26" t="str">
        <f t="shared" ref="V260:V323" si="30">IFERROR(IF($S$2&gt;0, $S$2*U260, "-"), "-")</f>
        <v>-</v>
      </c>
      <c r="X260" s="26" t="str">
        <f t="shared" si="27"/>
        <v>-</v>
      </c>
    </row>
    <row r="261" spans="1:24" x14ac:dyDescent="0.3">
      <c r="A261" s="37">
        <v>87614210223</v>
      </c>
      <c r="B261" s="8" t="s">
        <v>647</v>
      </c>
      <c r="C261" s="10" t="s">
        <v>648</v>
      </c>
      <c r="D261" s="11" t="s">
        <v>898</v>
      </c>
      <c r="E261" s="11" t="s">
        <v>979</v>
      </c>
      <c r="F261" s="9">
        <v>30</v>
      </c>
      <c r="G261" s="9">
        <v>90</v>
      </c>
      <c r="H261" s="9" t="s">
        <v>892</v>
      </c>
      <c r="I261" s="9">
        <v>24</v>
      </c>
      <c r="J261" s="9">
        <v>60</v>
      </c>
      <c r="K261" s="9" t="s">
        <v>869</v>
      </c>
      <c r="L261" s="27">
        <v>6.1289999999999997E-2</v>
      </c>
      <c r="M261" s="28" t="s">
        <v>3203</v>
      </c>
      <c r="N261" s="17">
        <v>13.870184999999999</v>
      </c>
      <c r="O261" s="1"/>
      <c r="P261" s="38">
        <f t="shared" si="25"/>
        <v>0</v>
      </c>
      <c r="S261" s="24" t="str">
        <f t="shared" si="28"/>
        <v>-</v>
      </c>
      <c r="T261" s="24" t="str">
        <f t="shared" si="26"/>
        <v>-</v>
      </c>
      <c r="U261" s="25" t="str">
        <f t="shared" si="29"/>
        <v>-</v>
      </c>
      <c r="V261" s="26" t="str">
        <f t="shared" si="30"/>
        <v>-</v>
      </c>
      <c r="X261" s="26" t="str">
        <f t="shared" si="27"/>
        <v>-</v>
      </c>
    </row>
    <row r="262" spans="1:24" x14ac:dyDescent="0.3">
      <c r="A262" s="37">
        <v>87614019581</v>
      </c>
      <c r="B262" s="8" t="s">
        <v>429</v>
      </c>
      <c r="C262" s="10" t="s">
        <v>3084</v>
      </c>
      <c r="D262" s="11" t="s">
        <v>902</v>
      </c>
      <c r="E262" s="11" t="s">
        <v>933</v>
      </c>
      <c r="F262" s="9">
        <v>30</v>
      </c>
      <c r="G262" s="9">
        <v>90</v>
      </c>
      <c r="H262" s="9" t="s">
        <v>868</v>
      </c>
      <c r="I262" s="9">
        <v>36</v>
      </c>
      <c r="J262" s="9">
        <v>100</v>
      </c>
      <c r="K262" s="9" t="s">
        <v>2903</v>
      </c>
      <c r="L262" s="27">
        <v>0.10214999999999999</v>
      </c>
      <c r="M262" s="28" t="s">
        <v>3203</v>
      </c>
      <c r="N262" s="17">
        <v>14.850234</v>
      </c>
      <c r="O262" s="1"/>
      <c r="P262" s="38">
        <f t="shared" si="25"/>
        <v>0</v>
      </c>
      <c r="S262" s="24" t="str">
        <f t="shared" si="28"/>
        <v>-</v>
      </c>
      <c r="T262" s="24" t="str">
        <f t="shared" si="26"/>
        <v>-</v>
      </c>
      <c r="U262" s="25" t="str">
        <f t="shared" si="29"/>
        <v>-</v>
      </c>
      <c r="V262" s="26" t="str">
        <f t="shared" si="30"/>
        <v>-</v>
      </c>
      <c r="X262" s="26" t="str">
        <f t="shared" si="27"/>
        <v>-</v>
      </c>
    </row>
    <row r="263" spans="1:24" x14ac:dyDescent="0.3">
      <c r="A263" s="37">
        <v>87614116495</v>
      </c>
      <c r="B263" s="8" t="s">
        <v>245</v>
      </c>
      <c r="C263" s="10" t="s">
        <v>3085</v>
      </c>
      <c r="D263" s="11" t="s">
        <v>876</v>
      </c>
      <c r="E263" s="11" t="s">
        <v>1003</v>
      </c>
      <c r="F263" s="9">
        <v>20</v>
      </c>
      <c r="G263" s="9">
        <v>60</v>
      </c>
      <c r="H263" s="9" t="s">
        <v>868</v>
      </c>
      <c r="I263" s="9">
        <v>36</v>
      </c>
      <c r="J263" s="9">
        <v>100</v>
      </c>
      <c r="K263" s="9" t="s">
        <v>889</v>
      </c>
      <c r="L263" s="27">
        <v>0.12371500000000001</v>
      </c>
      <c r="M263" s="28" t="s">
        <v>3203</v>
      </c>
      <c r="N263" s="17">
        <v>16.627610999999998</v>
      </c>
      <c r="O263" s="1"/>
      <c r="P263" s="38">
        <f t="shared" si="25"/>
        <v>0</v>
      </c>
      <c r="S263" s="24" t="str">
        <f t="shared" si="28"/>
        <v>-</v>
      </c>
      <c r="T263" s="24" t="str">
        <f t="shared" si="26"/>
        <v>-</v>
      </c>
      <c r="U263" s="25" t="str">
        <f t="shared" si="29"/>
        <v>-</v>
      </c>
      <c r="V263" s="26" t="str">
        <f t="shared" si="30"/>
        <v>-</v>
      </c>
      <c r="X263" s="26" t="str">
        <f t="shared" si="27"/>
        <v>-</v>
      </c>
    </row>
    <row r="264" spans="1:24" x14ac:dyDescent="0.3">
      <c r="A264" s="37">
        <v>87614170770</v>
      </c>
      <c r="B264" s="8" t="s">
        <v>1443</v>
      </c>
      <c r="C264" s="10" t="s">
        <v>2217</v>
      </c>
      <c r="D264" s="11" t="s">
        <v>874</v>
      </c>
      <c r="E264" s="11" t="s">
        <v>1118</v>
      </c>
      <c r="F264" s="9">
        <v>16</v>
      </c>
      <c r="G264" s="9">
        <v>48</v>
      </c>
      <c r="H264" s="9" t="s">
        <v>868</v>
      </c>
      <c r="I264" s="9">
        <v>36</v>
      </c>
      <c r="J264" s="9">
        <v>60</v>
      </c>
      <c r="K264" s="9" t="s">
        <v>869</v>
      </c>
      <c r="L264" s="27">
        <v>0.14982000000000001</v>
      </c>
      <c r="M264" s="28" t="s">
        <v>3203</v>
      </c>
      <c r="N264" s="17">
        <v>17.192384999999998</v>
      </c>
      <c r="O264" s="1"/>
      <c r="P264" s="38">
        <f t="shared" si="25"/>
        <v>0</v>
      </c>
      <c r="S264" s="24" t="str">
        <f t="shared" si="28"/>
        <v>-</v>
      </c>
      <c r="T264" s="24" t="str">
        <f t="shared" si="26"/>
        <v>-</v>
      </c>
      <c r="U264" s="25" t="str">
        <f t="shared" si="29"/>
        <v>-</v>
      </c>
      <c r="V264" s="26" t="str">
        <f t="shared" si="30"/>
        <v>-</v>
      </c>
      <c r="X264" s="26" t="str">
        <f t="shared" si="27"/>
        <v>-</v>
      </c>
    </row>
    <row r="265" spans="1:24" x14ac:dyDescent="0.3">
      <c r="A265" s="37">
        <v>87614024936</v>
      </c>
      <c r="B265" s="8" t="s">
        <v>749</v>
      </c>
      <c r="C265" s="10" t="s">
        <v>750</v>
      </c>
      <c r="D265" s="11" t="s">
        <v>883</v>
      </c>
      <c r="E265" s="11" t="s">
        <v>938</v>
      </c>
      <c r="F265" s="9">
        <v>30</v>
      </c>
      <c r="G265" s="9">
        <v>90</v>
      </c>
      <c r="H265" s="9" t="s">
        <v>868</v>
      </c>
      <c r="I265" s="9">
        <v>24</v>
      </c>
      <c r="J265" s="9">
        <v>60</v>
      </c>
      <c r="K265" s="9" t="s">
        <v>873</v>
      </c>
      <c r="L265" s="27">
        <v>8.2854999999999998E-2</v>
      </c>
      <c r="M265" s="28" t="s">
        <v>3203</v>
      </c>
      <c r="N265" s="17">
        <v>19.218927000000001</v>
      </c>
      <c r="O265" s="1"/>
      <c r="P265" s="38">
        <f t="shared" si="25"/>
        <v>0</v>
      </c>
      <c r="S265" s="24" t="str">
        <f t="shared" si="28"/>
        <v>-</v>
      </c>
      <c r="T265" s="24" t="str">
        <f t="shared" si="26"/>
        <v>-</v>
      </c>
      <c r="U265" s="25" t="str">
        <f t="shared" si="29"/>
        <v>-</v>
      </c>
      <c r="V265" s="26" t="str">
        <f t="shared" si="30"/>
        <v>-</v>
      </c>
      <c r="X265" s="26" t="str">
        <f t="shared" si="27"/>
        <v>-</v>
      </c>
    </row>
    <row r="266" spans="1:24" x14ac:dyDescent="0.3">
      <c r="A266" s="37">
        <v>87614111148</v>
      </c>
      <c r="B266" s="8" t="s">
        <v>75</v>
      </c>
      <c r="C266" s="10" t="s">
        <v>76</v>
      </c>
      <c r="D266" s="11" t="s">
        <v>881</v>
      </c>
      <c r="E266" s="11" t="s">
        <v>949</v>
      </c>
      <c r="F266" s="9">
        <v>12</v>
      </c>
      <c r="G266" s="9">
        <v>24</v>
      </c>
      <c r="H266" s="9" t="s">
        <v>868</v>
      </c>
      <c r="I266" s="9">
        <v>36</v>
      </c>
      <c r="J266" s="9">
        <v>180</v>
      </c>
      <c r="K266" s="9" t="s">
        <v>873</v>
      </c>
      <c r="L266" s="27">
        <v>0.22586500000000001</v>
      </c>
      <c r="M266" s="28" t="s">
        <v>3203</v>
      </c>
      <c r="N266" s="17">
        <v>21.378357000000001</v>
      </c>
      <c r="O266" s="1"/>
      <c r="P266" s="38">
        <f t="shared" si="25"/>
        <v>0</v>
      </c>
      <c r="S266" s="24" t="str">
        <f t="shared" si="28"/>
        <v>-</v>
      </c>
      <c r="T266" s="24" t="str">
        <f t="shared" si="26"/>
        <v>-</v>
      </c>
      <c r="U266" s="25" t="str">
        <f t="shared" si="29"/>
        <v>-</v>
      </c>
      <c r="V266" s="26" t="str">
        <f t="shared" si="30"/>
        <v>-</v>
      </c>
      <c r="X266" s="26" t="str">
        <f t="shared" si="27"/>
        <v>-</v>
      </c>
    </row>
    <row r="267" spans="1:24" x14ac:dyDescent="0.3">
      <c r="A267" s="37">
        <v>87614023854</v>
      </c>
      <c r="B267" s="8" t="s">
        <v>728</v>
      </c>
      <c r="C267" s="10" t="s">
        <v>729</v>
      </c>
      <c r="D267" s="11" t="s">
        <v>866</v>
      </c>
      <c r="E267" s="11" t="s">
        <v>963</v>
      </c>
      <c r="F267" s="9">
        <v>42</v>
      </c>
      <c r="G267" s="9">
        <v>42</v>
      </c>
      <c r="H267" s="9" t="s">
        <v>868</v>
      </c>
      <c r="I267" s="9">
        <v>60</v>
      </c>
      <c r="J267" s="9">
        <v>1</v>
      </c>
      <c r="K267" s="9" t="s">
        <v>887</v>
      </c>
      <c r="L267" s="27">
        <v>0.393845</v>
      </c>
      <c r="M267" s="28" t="s">
        <v>3203</v>
      </c>
      <c r="N267" s="17">
        <v>24.783612000000002</v>
      </c>
      <c r="O267" s="1"/>
      <c r="P267" s="38">
        <f t="shared" si="25"/>
        <v>0</v>
      </c>
      <c r="S267" s="24" t="str">
        <f t="shared" si="28"/>
        <v>-</v>
      </c>
      <c r="T267" s="24" t="str">
        <f t="shared" si="26"/>
        <v>-</v>
      </c>
      <c r="U267" s="25" t="str">
        <f t="shared" si="29"/>
        <v>-</v>
      </c>
      <c r="V267" s="26" t="str">
        <f t="shared" si="30"/>
        <v>-</v>
      </c>
      <c r="X267" s="26" t="str">
        <f t="shared" si="27"/>
        <v>-</v>
      </c>
    </row>
    <row r="268" spans="1:24" x14ac:dyDescent="0.3">
      <c r="A268" s="37">
        <v>87614118215</v>
      </c>
      <c r="B268" s="8" t="s">
        <v>295</v>
      </c>
      <c r="C268" s="10" t="s">
        <v>2695</v>
      </c>
      <c r="D268" s="11" t="s">
        <v>879</v>
      </c>
      <c r="E268" s="11" t="s">
        <v>1018</v>
      </c>
      <c r="F268" s="9">
        <v>36</v>
      </c>
      <c r="G268" s="9">
        <v>72</v>
      </c>
      <c r="H268" s="9" t="s">
        <v>868</v>
      </c>
      <c r="I268" s="9">
        <v>24</v>
      </c>
      <c r="J268" s="9">
        <v>60</v>
      </c>
      <c r="K268" s="9" t="s">
        <v>901</v>
      </c>
      <c r="L268" s="27">
        <v>0.22700000000000001</v>
      </c>
      <c r="M268" s="28" t="s">
        <v>3203</v>
      </c>
      <c r="N268" s="17">
        <v>26.378268000000002</v>
      </c>
      <c r="O268" s="1"/>
      <c r="P268" s="38">
        <f t="shared" si="25"/>
        <v>0</v>
      </c>
      <c r="S268" s="24" t="str">
        <f t="shared" si="28"/>
        <v>-</v>
      </c>
      <c r="T268" s="24" t="str">
        <f t="shared" si="26"/>
        <v>-</v>
      </c>
      <c r="U268" s="25" t="str">
        <f t="shared" si="29"/>
        <v>-</v>
      </c>
      <c r="V268" s="26" t="str">
        <f t="shared" si="30"/>
        <v>-</v>
      </c>
      <c r="X268" s="26" t="str">
        <f t="shared" si="27"/>
        <v>-</v>
      </c>
    </row>
    <row r="269" spans="1:24" x14ac:dyDescent="0.3">
      <c r="A269" s="37">
        <v>87614022178</v>
      </c>
      <c r="B269" s="8" t="s">
        <v>684</v>
      </c>
      <c r="C269" s="10" t="s">
        <v>685</v>
      </c>
      <c r="D269" s="11" t="s">
        <v>881</v>
      </c>
      <c r="E269" s="11" t="s">
        <v>1055</v>
      </c>
      <c r="F269" s="9">
        <v>40</v>
      </c>
      <c r="G269" s="9">
        <v>40</v>
      </c>
      <c r="H269" s="9" t="s">
        <v>868</v>
      </c>
      <c r="I269" s="9">
        <v>24</v>
      </c>
      <c r="J269" s="9">
        <v>60</v>
      </c>
      <c r="K269" s="9" t="s">
        <v>877</v>
      </c>
      <c r="L269" s="27">
        <v>8.058499999999999E-2</v>
      </c>
      <c r="M269" s="28" t="s">
        <v>3203</v>
      </c>
      <c r="N269" s="17">
        <v>30.879848999999997</v>
      </c>
      <c r="O269" s="1"/>
      <c r="P269" s="38">
        <f t="shared" si="25"/>
        <v>0</v>
      </c>
      <c r="S269" s="24" t="str">
        <f t="shared" si="28"/>
        <v>-</v>
      </c>
      <c r="T269" s="24" t="str">
        <f t="shared" si="26"/>
        <v>-</v>
      </c>
      <c r="U269" s="25" t="str">
        <f t="shared" si="29"/>
        <v>-</v>
      </c>
      <c r="V269" s="26" t="str">
        <f t="shared" si="30"/>
        <v>-</v>
      </c>
      <c r="X269" s="26" t="str">
        <f t="shared" si="27"/>
        <v>-</v>
      </c>
    </row>
    <row r="270" spans="1:24" x14ac:dyDescent="0.3">
      <c r="A270" s="37">
        <v>87614010526</v>
      </c>
      <c r="B270" s="8" t="s">
        <v>26</v>
      </c>
      <c r="C270" s="10" t="s">
        <v>27</v>
      </c>
      <c r="D270" s="11" t="s">
        <v>874</v>
      </c>
      <c r="E270" s="11" t="s">
        <v>917</v>
      </c>
      <c r="F270" s="9">
        <v>12</v>
      </c>
      <c r="G270" s="9">
        <v>24</v>
      </c>
      <c r="H270" s="9" t="s">
        <v>868</v>
      </c>
      <c r="I270" s="9">
        <v>36</v>
      </c>
      <c r="J270" s="9">
        <v>250</v>
      </c>
      <c r="K270" s="9" t="s">
        <v>873</v>
      </c>
      <c r="L270" s="27">
        <v>0.307585</v>
      </c>
      <c r="M270" s="28" t="s">
        <v>3203</v>
      </c>
      <c r="N270" s="17">
        <v>11.013093</v>
      </c>
      <c r="O270" s="1"/>
      <c r="P270" s="38">
        <f t="shared" si="25"/>
        <v>0</v>
      </c>
      <c r="S270" s="24" t="str">
        <f t="shared" si="28"/>
        <v>-</v>
      </c>
      <c r="T270" s="24" t="str">
        <f t="shared" si="26"/>
        <v>-</v>
      </c>
      <c r="U270" s="25" t="str">
        <f t="shared" si="29"/>
        <v>-</v>
      </c>
      <c r="V270" s="26" t="str">
        <f t="shared" si="30"/>
        <v>-</v>
      </c>
      <c r="X270" s="26" t="str">
        <f t="shared" si="27"/>
        <v>-</v>
      </c>
    </row>
    <row r="271" spans="1:24" x14ac:dyDescent="0.3">
      <c r="A271" s="37">
        <v>87614110349</v>
      </c>
      <c r="B271" s="8" t="s">
        <v>49</v>
      </c>
      <c r="C271" s="10" t="s">
        <v>3113</v>
      </c>
      <c r="D271" s="11" t="s">
        <v>874</v>
      </c>
      <c r="E271" s="11" t="s">
        <v>914</v>
      </c>
      <c r="F271" s="9">
        <v>30</v>
      </c>
      <c r="G271" s="9">
        <v>90</v>
      </c>
      <c r="H271" s="9" t="s">
        <v>868</v>
      </c>
      <c r="I271" s="9">
        <v>36</v>
      </c>
      <c r="J271" s="9">
        <v>60</v>
      </c>
      <c r="K271" s="9" t="s">
        <v>2903</v>
      </c>
      <c r="L271" s="27">
        <v>7.9450000000000007E-2</v>
      </c>
      <c r="M271" s="28" t="s">
        <v>3203</v>
      </c>
      <c r="N271" s="17">
        <v>3.4052549999999999</v>
      </c>
      <c r="O271" s="1"/>
      <c r="P271" s="38">
        <f t="shared" si="25"/>
        <v>0</v>
      </c>
      <c r="S271" s="24" t="str">
        <f t="shared" si="28"/>
        <v>-</v>
      </c>
      <c r="T271" s="24" t="str">
        <f t="shared" si="26"/>
        <v>-</v>
      </c>
      <c r="U271" s="25" t="str">
        <f t="shared" si="29"/>
        <v>-</v>
      </c>
      <c r="V271" s="26" t="str">
        <f t="shared" si="30"/>
        <v>-</v>
      </c>
      <c r="X271" s="26" t="str">
        <f t="shared" si="27"/>
        <v>-</v>
      </c>
    </row>
    <row r="272" spans="1:24" x14ac:dyDescent="0.3">
      <c r="A272" s="37">
        <v>87614011066</v>
      </c>
      <c r="B272" s="8" t="s">
        <v>55</v>
      </c>
      <c r="C272" s="10" t="s">
        <v>2946</v>
      </c>
      <c r="D272" s="11" t="s">
        <v>882</v>
      </c>
      <c r="E272" s="11" t="s">
        <v>920</v>
      </c>
      <c r="F272" s="9">
        <v>12</v>
      </c>
      <c r="G272" s="9">
        <v>24</v>
      </c>
      <c r="H272" s="9" t="s">
        <v>868</v>
      </c>
      <c r="I272" s="9">
        <v>24</v>
      </c>
      <c r="J272" s="9">
        <v>250</v>
      </c>
      <c r="K272" s="9" t="s">
        <v>2903</v>
      </c>
      <c r="L272" s="27">
        <v>0.42335499999999998</v>
      </c>
      <c r="M272" s="28" t="s">
        <v>3203</v>
      </c>
      <c r="N272" s="17">
        <v>11.710754999999999</v>
      </c>
      <c r="O272" s="1"/>
      <c r="P272" s="38">
        <f t="shared" si="25"/>
        <v>0</v>
      </c>
      <c r="S272" s="24" t="str">
        <f t="shared" si="28"/>
        <v>-</v>
      </c>
      <c r="T272" s="24" t="str">
        <f t="shared" si="26"/>
        <v>-</v>
      </c>
      <c r="U272" s="25" t="str">
        <f t="shared" si="29"/>
        <v>-</v>
      </c>
      <c r="V272" s="26" t="str">
        <f t="shared" si="30"/>
        <v>-</v>
      </c>
      <c r="X272" s="26" t="str">
        <f t="shared" si="27"/>
        <v>-</v>
      </c>
    </row>
    <row r="273" spans="1:24" x14ac:dyDescent="0.3">
      <c r="A273" s="37">
        <v>87614110974</v>
      </c>
      <c r="B273" s="8" t="s">
        <v>68</v>
      </c>
      <c r="C273" s="10" t="s">
        <v>69</v>
      </c>
      <c r="D273" s="11" t="s">
        <v>874</v>
      </c>
      <c r="E273" s="11" t="s">
        <v>925</v>
      </c>
      <c r="F273" s="9">
        <v>30</v>
      </c>
      <c r="G273" s="9">
        <v>90</v>
      </c>
      <c r="H273" s="9" t="s">
        <v>868</v>
      </c>
      <c r="I273" s="9">
        <v>24</v>
      </c>
      <c r="J273" s="9">
        <v>60</v>
      </c>
      <c r="K273" s="9" t="s">
        <v>873</v>
      </c>
      <c r="L273" s="27">
        <v>8.6260000000000003E-2</v>
      </c>
      <c r="M273" s="28" t="s">
        <v>3203</v>
      </c>
      <c r="N273" s="17">
        <v>7.9234470000000004</v>
      </c>
      <c r="O273" s="1"/>
      <c r="P273" s="38">
        <f t="shared" si="25"/>
        <v>0</v>
      </c>
      <c r="S273" s="24" t="str">
        <f t="shared" si="28"/>
        <v>-</v>
      </c>
      <c r="T273" s="24" t="str">
        <f t="shared" si="26"/>
        <v>-</v>
      </c>
      <c r="U273" s="25" t="str">
        <f t="shared" si="29"/>
        <v>-</v>
      </c>
      <c r="V273" s="26" t="str">
        <f t="shared" si="30"/>
        <v>-</v>
      </c>
      <c r="X273" s="26" t="str">
        <f t="shared" si="27"/>
        <v>-</v>
      </c>
    </row>
    <row r="274" spans="1:24" x14ac:dyDescent="0.3">
      <c r="A274" s="37">
        <v>87614111360</v>
      </c>
      <c r="B274" s="8" t="s">
        <v>84</v>
      </c>
      <c r="C274" s="10" t="s">
        <v>85</v>
      </c>
      <c r="D274" s="11" t="s">
        <v>872</v>
      </c>
      <c r="E274" s="11" t="s">
        <v>942</v>
      </c>
      <c r="F274" s="9">
        <v>30</v>
      </c>
      <c r="G274" s="9">
        <v>90</v>
      </c>
      <c r="H274" s="9" t="s">
        <v>868</v>
      </c>
      <c r="I274" s="9">
        <v>36</v>
      </c>
      <c r="J274" s="9">
        <v>90</v>
      </c>
      <c r="K274" s="9" t="s">
        <v>873</v>
      </c>
      <c r="L274" s="27">
        <v>8.6260000000000003E-2</v>
      </c>
      <c r="M274" s="28" t="s">
        <v>3203</v>
      </c>
      <c r="N274" s="17">
        <v>8.9865509999999986</v>
      </c>
      <c r="O274" s="1"/>
      <c r="P274" s="38">
        <f t="shared" si="25"/>
        <v>0</v>
      </c>
      <c r="S274" s="24" t="str">
        <f t="shared" si="28"/>
        <v>-</v>
      </c>
      <c r="T274" s="24" t="str">
        <f t="shared" si="26"/>
        <v>-</v>
      </c>
      <c r="U274" s="25" t="str">
        <f t="shared" si="29"/>
        <v>-</v>
      </c>
      <c r="V274" s="26" t="str">
        <f t="shared" si="30"/>
        <v>-</v>
      </c>
      <c r="X274" s="26" t="str">
        <f t="shared" si="27"/>
        <v>-</v>
      </c>
    </row>
    <row r="275" spans="1:24" x14ac:dyDescent="0.3">
      <c r="A275" s="37">
        <v>87614111858</v>
      </c>
      <c r="B275" s="8" t="s">
        <v>101</v>
      </c>
      <c r="C275" s="10" t="s">
        <v>102</v>
      </c>
      <c r="D275" s="11" t="s">
        <v>884</v>
      </c>
      <c r="E275" s="11" t="s">
        <v>946</v>
      </c>
      <c r="F275" s="9">
        <v>30</v>
      </c>
      <c r="G275" s="9">
        <v>90</v>
      </c>
      <c r="H275" s="9" t="s">
        <v>868</v>
      </c>
      <c r="I275" s="9">
        <v>24</v>
      </c>
      <c r="J275" s="9">
        <v>60</v>
      </c>
      <c r="K275" s="9" t="s">
        <v>873</v>
      </c>
      <c r="L275" s="27">
        <v>9.0800000000000006E-2</v>
      </c>
      <c r="M275" s="28" t="s">
        <v>3203</v>
      </c>
      <c r="N275" s="17">
        <v>9.8835449999999998</v>
      </c>
      <c r="O275" s="1"/>
      <c r="P275" s="38">
        <f t="shared" si="25"/>
        <v>0</v>
      </c>
      <c r="S275" s="24" t="str">
        <f t="shared" si="28"/>
        <v>-</v>
      </c>
      <c r="T275" s="24" t="str">
        <f t="shared" si="26"/>
        <v>-</v>
      </c>
      <c r="U275" s="25" t="str">
        <f t="shared" si="29"/>
        <v>-</v>
      </c>
      <c r="V275" s="26" t="str">
        <f t="shared" si="30"/>
        <v>-</v>
      </c>
      <c r="X275" s="26" t="str">
        <f t="shared" si="27"/>
        <v>-</v>
      </c>
    </row>
    <row r="276" spans="1:24" x14ac:dyDescent="0.3">
      <c r="A276" s="37">
        <v>87614112299</v>
      </c>
      <c r="B276" s="8" t="s">
        <v>112</v>
      </c>
      <c r="C276" s="10" t="s">
        <v>113</v>
      </c>
      <c r="D276" s="11" t="s">
        <v>884</v>
      </c>
      <c r="E276" s="11" t="s">
        <v>940</v>
      </c>
      <c r="F276" s="9">
        <v>30</v>
      </c>
      <c r="G276" s="9">
        <v>90</v>
      </c>
      <c r="H276" s="9" t="s">
        <v>868</v>
      </c>
      <c r="I276" s="9">
        <v>36</v>
      </c>
      <c r="J276" s="9">
        <v>60</v>
      </c>
      <c r="K276" s="9" t="s">
        <v>889</v>
      </c>
      <c r="L276" s="27">
        <v>7.3775000000000007E-2</v>
      </c>
      <c r="M276" s="28" t="s">
        <v>3203</v>
      </c>
      <c r="N276" s="17">
        <v>6.3287909999999998</v>
      </c>
      <c r="O276" s="1"/>
      <c r="P276" s="38">
        <f t="shared" si="25"/>
        <v>0</v>
      </c>
      <c r="S276" s="24" t="str">
        <f t="shared" si="28"/>
        <v>-</v>
      </c>
      <c r="T276" s="24" t="str">
        <f t="shared" si="26"/>
        <v>-</v>
      </c>
      <c r="U276" s="25" t="str">
        <f t="shared" si="29"/>
        <v>-</v>
      </c>
      <c r="V276" s="26" t="str">
        <f t="shared" si="30"/>
        <v>-</v>
      </c>
      <c r="X276" s="26" t="str">
        <f t="shared" si="27"/>
        <v>-</v>
      </c>
    </row>
    <row r="277" spans="1:24" x14ac:dyDescent="0.3">
      <c r="A277" s="37">
        <v>87614112404</v>
      </c>
      <c r="B277" s="8" t="s">
        <v>119</v>
      </c>
      <c r="C277" s="10" t="s">
        <v>2958</v>
      </c>
      <c r="D277" s="11" t="s">
        <v>883</v>
      </c>
      <c r="E277" s="11" t="s">
        <v>938</v>
      </c>
      <c r="F277" s="9">
        <v>30</v>
      </c>
      <c r="G277" s="9">
        <v>90</v>
      </c>
      <c r="H277" s="9" t="s">
        <v>868</v>
      </c>
      <c r="I277" s="9">
        <v>36</v>
      </c>
      <c r="J277" s="9">
        <v>30</v>
      </c>
      <c r="K277" s="9" t="s">
        <v>2903</v>
      </c>
      <c r="L277" s="27">
        <v>5.1074999999999995E-2</v>
      </c>
      <c r="M277" s="28" t="s">
        <v>3203</v>
      </c>
      <c r="N277" s="17">
        <v>1.3787129999999999</v>
      </c>
      <c r="O277" s="1"/>
      <c r="P277" s="38">
        <f t="shared" si="25"/>
        <v>0</v>
      </c>
      <c r="S277" s="24" t="str">
        <f t="shared" si="28"/>
        <v>-</v>
      </c>
      <c r="T277" s="24" t="str">
        <f t="shared" si="26"/>
        <v>-</v>
      </c>
      <c r="U277" s="25" t="str">
        <f t="shared" si="29"/>
        <v>-</v>
      </c>
      <c r="V277" s="26" t="str">
        <f t="shared" si="30"/>
        <v>-</v>
      </c>
      <c r="X277" s="26" t="str">
        <f t="shared" si="27"/>
        <v>-</v>
      </c>
    </row>
    <row r="278" spans="1:24" x14ac:dyDescent="0.3">
      <c r="A278" s="37">
        <v>87614113555</v>
      </c>
      <c r="B278" s="8" t="s">
        <v>161</v>
      </c>
      <c r="C278" s="10" t="s">
        <v>162</v>
      </c>
      <c r="D278" s="11" t="s">
        <v>884</v>
      </c>
      <c r="E278" s="11" t="s">
        <v>984</v>
      </c>
      <c r="F278" s="9">
        <v>20</v>
      </c>
      <c r="G278" s="9">
        <v>60</v>
      </c>
      <c r="H278" s="9" t="s">
        <v>868</v>
      </c>
      <c r="I278" s="9">
        <v>36</v>
      </c>
      <c r="J278" s="9">
        <v>120</v>
      </c>
      <c r="K278" s="9" t="s">
        <v>873</v>
      </c>
      <c r="L278" s="27">
        <v>8.1720000000000001E-2</v>
      </c>
      <c r="M278" s="28" t="s">
        <v>3203</v>
      </c>
      <c r="N278" s="17">
        <v>5.5480739999999997</v>
      </c>
      <c r="O278" s="1"/>
      <c r="P278" s="38">
        <f t="shared" si="25"/>
        <v>0</v>
      </c>
      <c r="S278" s="24" t="str">
        <f t="shared" si="28"/>
        <v>-</v>
      </c>
      <c r="T278" s="24" t="str">
        <f t="shared" si="26"/>
        <v>-</v>
      </c>
      <c r="U278" s="25" t="str">
        <f t="shared" si="29"/>
        <v>-</v>
      </c>
      <c r="V278" s="26" t="str">
        <f t="shared" si="30"/>
        <v>-</v>
      </c>
      <c r="X278" s="26" t="str">
        <f t="shared" si="27"/>
        <v>-</v>
      </c>
    </row>
    <row r="279" spans="1:24" x14ac:dyDescent="0.3">
      <c r="A279" s="37">
        <v>87614011363</v>
      </c>
      <c r="B279" s="8" t="s">
        <v>1248</v>
      </c>
      <c r="C279" s="10" t="s">
        <v>2051</v>
      </c>
      <c r="D279" s="11" t="s">
        <v>866</v>
      </c>
      <c r="E279" s="11" t="s">
        <v>974</v>
      </c>
      <c r="F279" s="9">
        <v>30</v>
      </c>
      <c r="G279" s="9">
        <v>90</v>
      </c>
      <c r="H279" s="9" t="s">
        <v>868</v>
      </c>
      <c r="I279" s="9">
        <v>36</v>
      </c>
      <c r="J279" s="9">
        <v>100</v>
      </c>
      <c r="K279" s="9" t="s">
        <v>869</v>
      </c>
      <c r="L279" s="27">
        <v>6.4695000000000003E-2</v>
      </c>
      <c r="M279" s="28" t="s">
        <v>3203</v>
      </c>
      <c r="N279" s="17">
        <v>4.4849700000000006</v>
      </c>
      <c r="O279" s="1"/>
      <c r="P279" s="38">
        <f t="shared" si="25"/>
        <v>0</v>
      </c>
      <c r="S279" s="24" t="str">
        <f t="shared" si="28"/>
        <v>-</v>
      </c>
      <c r="T279" s="24" t="str">
        <f t="shared" si="26"/>
        <v>-</v>
      </c>
      <c r="U279" s="25" t="str">
        <f t="shared" si="29"/>
        <v>-</v>
      </c>
      <c r="V279" s="26" t="str">
        <f t="shared" si="30"/>
        <v>-</v>
      </c>
      <c r="X279" s="26" t="str">
        <f t="shared" si="27"/>
        <v>-</v>
      </c>
    </row>
    <row r="280" spans="1:24" x14ac:dyDescent="0.3">
      <c r="A280" s="37">
        <v>87614113647</v>
      </c>
      <c r="B280" s="8" t="s">
        <v>1249</v>
      </c>
      <c r="C280" s="10" t="s">
        <v>3117</v>
      </c>
      <c r="D280" s="11" t="s">
        <v>881</v>
      </c>
      <c r="E280" s="11" t="s">
        <v>939</v>
      </c>
      <c r="F280" s="9">
        <v>16</v>
      </c>
      <c r="G280" s="9">
        <v>48</v>
      </c>
      <c r="H280" s="9" t="s">
        <v>868</v>
      </c>
      <c r="I280" s="9">
        <v>36</v>
      </c>
      <c r="J280" s="9">
        <v>120</v>
      </c>
      <c r="K280" s="9" t="s">
        <v>3049</v>
      </c>
      <c r="L280" s="27">
        <v>0.19408500000000001</v>
      </c>
      <c r="M280" s="28" t="s">
        <v>3203</v>
      </c>
      <c r="N280" s="17">
        <v>11.112759</v>
      </c>
      <c r="O280" s="1"/>
      <c r="P280" s="38">
        <f t="shared" si="25"/>
        <v>0</v>
      </c>
      <c r="S280" s="24" t="str">
        <f t="shared" si="28"/>
        <v>-</v>
      </c>
      <c r="T280" s="24" t="str">
        <f t="shared" si="26"/>
        <v>-</v>
      </c>
      <c r="U280" s="25" t="str">
        <f t="shared" si="29"/>
        <v>-</v>
      </c>
      <c r="V280" s="26" t="str">
        <f t="shared" si="30"/>
        <v>-</v>
      </c>
      <c r="X280" s="26" t="str">
        <f t="shared" si="27"/>
        <v>-</v>
      </c>
    </row>
    <row r="281" spans="1:24" x14ac:dyDescent="0.3">
      <c r="A281" s="37">
        <v>87614114446</v>
      </c>
      <c r="B281" s="8" t="s">
        <v>1254</v>
      </c>
      <c r="C281" s="10" t="s">
        <v>2964</v>
      </c>
      <c r="D281" s="11" t="s">
        <v>882</v>
      </c>
      <c r="E281" s="11" t="s">
        <v>960</v>
      </c>
      <c r="F281" s="9">
        <v>30</v>
      </c>
      <c r="G281" s="9">
        <v>90</v>
      </c>
      <c r="H281" s="9" t="s">
        <v>868</v>
      </c>
      <c r="I281" s="9">
        <v>36</v>
      </c>
      <c r="J281" s="9">
        <v>60</v>
      </c>
      <c r="K281" s="9" t="s">
        <v>2903</v>
      </c>
      <c r="L281" s="27">
        <v>8.5124999999999992E-2</v>
      </c>
      <c r="M281" s="28" t="s">
        <v>3203</v>
      </c>
      <c r="N281" s="17">
        <v>4.8005789999999999</v>
      </c>
      <c r="O281" s="1"/>
      <c r="P281" s="38">
        <f t="shared" si="25"/>
        <v>0</v>
      </c>
      <c r="S281" s="24" t="str">
        <f t="shared" si="28"/>
        <v>-</v>
      </c>
      <c r="T281" s="24" t="str">
        <f t="shared" si="26"/>
        <v>-</v>
      </c>
      <c r="U281" s="25" t="str">
        <f t="shared" si="29"/>
        <v>-</v>
      </c>
      <c r="V281" s="26" t="str">
        <f t="shared" si="30"/>
        <v>-</v>
      </c>
      <c r="X281" s="26" t="str">
        <f t="shared" si="27"/>
        <v>-</v>
      </c>
    </row>
    <row r="282" spans="1:24" x14ac:dyDescent="0.3">
      <c r="A282" s="37">
        <v>87614114590</v>
      </c>
      <c r="B282" s="8" t="s">
        <v>1388</v>
      </c>
      <c r="C282" s="10" t="s">
        <v>2168</v>
      </c>
      <c r="D282" s="11" t="s">
        <v>875</v>
      </c>
      <c r="E282" s="11" t="s">
        <v>935</v>
      </c>
      <c r="F282" s="9">
        <v>12</v>
      </c>
      <c r="G282" s="9">
        <v>96</v>
      </c>
      <c r="H282" s="9" t="s">
        <v>892</v>
      </c>
      <c r="I282" s="9">
        <v>60</v>
      </c>
      <c r="J282" s="9">
        <v>1</v>
      </c>
      <c r="K282" s="9" t="s">
        <v>895</v>
      </c>
      <c r="L282" s="27">
        <v>0.103285</v>
      </c>
      <c r="M282" s="28" t="s">
        <v>3203</v>
      </c>
      <c r="N282" s="17">
        <v>7.1427300000000002</v>
      </c>
      <c r="O282" s="1"/>
      <c r="P282" s="38">
        <f t="shared" si="25"/>
        <v>0</v>
      </c>
      <c r="S282" s="24" t="str">
        <f t="shared" si="28"/>
        <v>-</v>
      </c>
      <c r="T282" s="24" t="str">
        <f t="shared" si="26"/>
        <v>-</v>
      </c>
      <c r="U282" s="25" t="str">
        <f t="shared" si="29"/>
        <v>-</v>
      </c>
      <c r="V282" s="26" t="str">
        <f t="shared" si="30"/>
        <v>-</v>
      </c>
      <c r="X282" s="26" t="str">
        <f t="shared" si="27"/>
        <v>-</v>
      </c>
    </row>
    <row r="283" spans="1:24" x14ac:dyDescent="0.3">
      <c r="A283" s="37">
        <v>87614114903</v>
      </c>
      <c r="B283" s="8" t="s">
        <v>209</v>
      </c>
      <c r="C283" s="10" t="s">
        <v>210</v>
      </c>
      <c r="D283" s="11" t="s">
        <v>884</v>
      </c>
      <c r="E283" s="11" t="s">
        <v>946</v>
      </c>
      <c r="F283" s="9">
        <v>12</v>
      </c>
      <c r="G283" s="9">
        <v>24</v>
      </c>
      <c r="H283" s="9" t="s">
        <v>868</v>
      </c>
      <c r="I283" s="9">
        <v>36</v>
      </c>
      <c r="J283" s="9">
        <v>180</v>
      </c>
      <c r="K283" s="9" t="s">
        <v>873</v>
      </c>
      <c r="L283" s="27">
        <v>0.18841000000000002</v>
      </c>
      <c r="M283" s="28" t="s">
        <v>3203</v>
      </c>
      <c r="N283" s="17">
        <v>7.6908930000000009</v>
      </c>
      <c r="O283" s="1"/>
      <c r="P283" s="38">
        <f t="shared" si="25"/>
        <v>0</v>
      </c>
      <c r="S283" s="24" t="str">
        <f t="shared" si="28"/>
        <v>-</v>
      </c>
      <c r="T283" s="24" t="str">
        <f t="shared" si="26"/>
        <v>-</v>
      </c>
      <c r="U283" s="25" t="str">
        <f t="shared" si="29"/>
        <v>-</v>
      </c>
      <c r="V283" s="26" t="str">
        <f t="shared" si="30"/>
        <v>-</v>
      </c>
      <c r="X283" s="26" t="str">
        <f t="shared" si="27"/>
        <v>-</v>
      </c>
    </row>
    <row r="284" spans="1:24" x14ac:dyDescent="0.3">
      <c r="A284" s="37">
        <v>87614116297</v>
      </c>
      <c r="B284" s="8" t="s">
        <v>244</v>
      </c>
      <c r="C284" s="10" t="s">
        <v>2966</v>
      </c>
      <c r="D284" s="11" t="s">
        <v>874</v>
      </c>
      <c r="E284" s="11" t="s">
        <v>919</v>
      </c>
      <c r="F284" s="9">
        <v>20</v>
      </c>
      <c r="G284" s="9">
        <v>60</v>
      </c>
      <c r="H284" s="9" t="s">
        <v>868</v>
      </c>
      <c r="I284" s="9">
        <v>24</v>
      </c>
      <c r="J284" s="9">
        <v>90</v>
      </c>
      <c r="K284" s="9" t="s">
        <v>2903</v>
      </c>
      <c r="L284" s="27">
        <v>0.1135</v>
      </c>
      <c r="M284" s="28" t="s">
        <v>3203</v>
      </c>
      <c r="N284" s="17">
        <v>11.528034</v>
      </c>
      <c r="O284" s="1"/>
      <c r="P284" s="38">
        <f t="shared" si="25"/>
        <v>0</v>
      </c>
      <c r="S284" s="24" t="str">
        <f t="shared" si="28"/>
        <v>-</v>
      </c>
      <c r="T284" s="24" t="str">
        <f t="shared" si="26"/>
        <v>-</v>
      </c>
      <c r="U284" s="25" t="str">
        <f t="shared" si="29"/>
        <v>-</v>
      </c>
      <c r="V284" s="26" t="str">
        <f t="shared" si="30"/>
        <v>-</v>
      </c>
      <c r="X284" s="26" t="str">
        <f t="shared" si="27"/>
        <v>-</v>
      </c>
    </row>
    <row r="285" spans="1:24" x14ac:dyDescent="0.3">
      <c r="A285" s="37">
        <v>87614116716</v>
      </c>
      <c r="B285" s="8" t="s">
        <v>251</v>
      </c>
      <c r="C285" s="10" t="s">
        <v>3120</v>
      </c>
      <c r="D285" s="11" t="s">
        <v>885</v>
      </c>
      <c r="E285" s="11" t="s">
        <v>1004</v>
      </c>
      <c r="F285" s="9">
        <v>30</v>
      </c>
      <c r="G285" s="9">
        <v>90</v>
      </c>
      <c r="H285" s="9" t="s">
        <v>868</v>
      </c>
      <c r="I285" s="9">
        <v>36</v>
      </c>
      <c r="J285" s="9">
        <v>60</v>
      </c>
      <c r="K285" s="9" t="s">
        <v>2903</v>
      </c>
      <c r="L285" s="27">
        <v>8.6260000000000003E-2</v>
      </c>
      <c r="M285" s="28" t="s">
        <v>3203</v>
      </c>
      <c r="N285" s="17">
        <v>13.388465999999999</v>
      </c>
      <c r="O285" s="1"/>
      <c r="P285" s="38">
        <f t="shared" si="25"/>
        <v>0</v>
      </c>
      <c r="S285" s="24" t="str">
        <f t="shared" si="28"/>
        <v>-</v>
      </c>
      <c r="T285" s="24" t="str">
        <f t="shared" si="26"/>
        <v>-</v>
      </c>
      <c r="U285" s="25" t="str">
        <f t="shared" si="29"/>
        <v>-</v>
      </c>
      <c r="V285" s="26" t="str">
        <f t="shared" si="30"/>
        <v>-</v>
      </c>
      <c r="X285" s="26" t="str">
        <f t="shared" si="27"/>
        <v>-</v>
      </c>
    </row>
    <row r="286" spans="1:24" x14ac:dyDescent="0.3">
      <c r="A286" s="37">
        <v>87614117096</v>
      </c>
      <c r="B286" s="8" t="s">
        <v>1318</v>
      </c>
      <c r="C286" s="10" t="s">
        <v>2102</v>
      </c>
      <c r="D286" s="11" t="s">
        <v>874</v>
      </c>
      <c r="E286" s="11" t="s">
        <v>914</v>
      </c>
      <c r="F286" s="9">
        <v>48</v>
      </c>
      <c r="G286" s="9">
        <v>192</v>
      </c>
      <c r="H286" s="9" t="s">
        <v>868</v>
      </c>
      <c r="I286" s="9">
        <v>36</v>
      </c>
      <c r="J286" s="9">
        <v>60</v>
      </c>
      <c r="K286" s="9" t="s">
        <v>873</v>
      </c>
      <c r="L286" s="27">
        <v>3.1780000000000003E-2</v>
      </c>
      <c r="M286" s="28" t="s">
        <v>3203</v>
      </c>
      <c r="N286" s="17">
        <v>2.9069250000000002</v>
      </c>
      <c r="O286" s="1"/>
      <c r="P286" s="38">
        <f t="shared" si="25"/>
        <v>0</v>
      </c>
      <c r="S286" s="24" t="str">
        <f t="shared" si="28"/>
        <v>-</v>
      </c>
      <c r="T286" s="24" t="str">
        <f t="shared" si="26"/>
        <v>-</v>
      </c>
      <c r="U286" s="25" t="str">
        <f t="shared" si="29"/>
        <v>-</v>
      </c>
      <c r="V286" s="26" t="str">
        <f t="shared" si="30"/>
        <v>-</v>
      </c>
      <c r="X286" s="26" t="str">
        <f t="shared" si="27"/>
        <v>-</v>
      </c>
    </row>
    <row r="287" spans="1:24" x14ac:dyDescent="0.3">
      <c r="A287" s="37">
        <v>87614117133</v>
      </c>
      <c r="B287" s="8" t="s">
        <v>266</v>
      </c>
      <c r="C287" s="10" t="s">
        <v>3121</v>
      </c>
      <c r="D287" s="11" t="s">
        <v>874</v>
      </c>
      <c r="E287" s="11" t="s">
        <v>925</v>
      </c>
      <c r="F287" s="9">
        <v>20</v>
      </c>
      <c r="G287" s="9">
        <v>60</v>
      </c>
      <c r="H287" s="9" t="s">
        <v>868</v>
      </c>
      <c r="I287" s="9">
        <v>36</v>
      </c>
      <c r="J287" s="9">
        <v>90</v>
      </c>
      <c r="K287" s="9" t="s">
        <v>2903</v>
      </c>
      <c r="L287" s="27">
        <v>0.13733499999999998</v>
      </c>
      <c r="M287" s="28" t="s">
        <v>3203</v>
      </c>
      <c r="N287" s="17">
        <v>5.8304609999999997</v>
      </c>
      <c r="O287" s="1"/>
      <c r="P287" s="38">
        <f t="shared" si="25"/>
        <v>0</v>
      </c>
      <c r="S287" s="24" t="str">
        <f t="shared" si="28"/>
        <v>-</v>
      </c>
      <c r="T287" s="24" t="str">
        <f t="shared" si="26"/>
        <v>-</v>
      </c>
      <c r="U287" s="25" t="str">
        <f t="shared" si="29"/>
        <v>-</v>
      </c>
      <c r="V287" s="26" t="str">
        <f t="shared" si="30"/>
        <v>-</v>
      </c>
      <c r="X287" s="26" t="str">
        <f t="shared" si="27"/>
        <v>-</v>
      </c>
    </row>
    <row r="288" spans="1:24" x14ac:dyDescent="0.3">
      <c r="A288" s="37">
        <v>87614118727</v>
      </c>
      <c r="B288" s="8" t="s">
        <v>314</v>
      </c>
      <c r="C288" s="10" t="s">
        <v>2700</v>
      </c>
      <c r="D288" s="11" t="s">
        <v>882</v>
      </c>
      <c r="E288" s="11" t="s">
        <v>920</v>
      </c>
      <c r="F288" s="9">
        <v>16</v>
      </c>
      <c r="G288" s="9">
        <v>16</v>
      </c>
      <c r="H288" s="9" t="s">
        <v>868</v>
      </c>
      <c r="I288" s="9">
        <v>24</v>
      </c>
      <c r="J288" s="9">
        <v>60</v>
      </c>
      <c r="K288" s="9" t="s">
        <v>901</v>
      </c>
      <c r="L288" s="27">
        <v>0.26672499999999999</v>
      </c>
      <c r="M288" s="28" t="s">
        <v>3203</v>
      </c>
      <c r="N288" s="17">
        <v>10.531374</v>
      </c>
      <c r="O288" s="1"/>
      <c r="P288" s="38">
        <f t="shared" si="25"/>
        <v>0</v>
      </c>
      <c r="S288" s="24" t="str">
        <f t="shared" si="28"/>
        <v>-</v>
      </c>
      <c r="T288" s="24" t="str">
        <f t="shared" si="26"/>
        <v>-</v>
      </c>
      <c r="U288" s="25" t="str">
        <f t="shared" si="29"/>
        <v>-</v>
      </c>
      <c r="V288" s="26" t="str">
        <f t="shared" si="30"/>
        <v>-</v>
      </c>
      <c r="X288" s="26" t="str">
        <f t="shared" si="27"/>
        <v>-</v>
      </c>
    </row>
    <row r="289" spans="1:24" x14ac:dyDescent="0.3">
      <c r="A289" s="37">
        <v>87614118772</v>
      </c>
      <c r="B289" s="8" t="s">
        <v>315</v>
      </c>
      <c r="C289" s="10" t="s">
        <v>2701</v>
      </c>
      <c r="D289" s="11" t="s">
        <v>883</v>
      </c>
      <c r="E289" s="11" t="s">
        <v>938</v>
      </c>
      <c r="F289" s="9">
        <v>20</v>
      </c>
      <c r="G289" s="9">
        <v>60</v>
      </c>
      <c r="H289" s="9" t="s">
        <v>868</v>
      </c>
      <c r="I289" s="9">
        <v>36</v>
      </c>
      <c r="J289" s="9">
        <v>90</v>
      </c>
      <c r="K289" s="9" t="s">
        <v>2903</v>
      </c>
      <c r="L289" s="27">
        <v>0.11123000000000001</v>
      </c>
      <c r="M289" s="28" t="s">
        <v>3203</v>
      </c>
      <c r="N289" s="17">
        <v>5.6477399999999998</v>
      </c>
      <c r="O289" s="1"/>
      <c r="P289" s="38">
        <f t="shared" si="25"/>
        <v>0</v>
      </c>
      <c r="S289" s="24" t="str">
        <f t="shared" si="28"/>
        <v>-</v>
      </c>
      <c r="T289" s="24" t="str">
        <f t="shared" si="26"/>
        <v>-</v>
      </c>
      <c r="U289" s="25" t="str">
        <f t="shared" si="29"/>
        <v>-</v>
      </c>
      <c r="V289" s="26" t="str">
        <f t="shared" si="30"/>
        <v>-</v>
      </c>
      <c r="X289" s="26" t="str">
        <f t="shared" si="27"/>
        <v>-</v>
      </c>
    </row>
    <row r="290" spans="1:24" x14ac:dyDescent="0.3">
      <c r="A290" s="37">
        <v>87614012506</v>
      </c>
      <c r="B290" s="8" t="s">
        <v>325</v>
      </c>
      <c r="C290" s="10" t="s">
        <v>2723</v>
      </c>
      <c r="D290" s="11" t="s">
        <v>866</v>
      </c>
      <c r="E290" s="11" t="s">
        <v>1000</v>
      </c>
      <c r="F290" s="9">
        <v>20</v>
      </c>
      <c r="G290" s="9">
        <v>60</v>
      </c>
      <c r="H290" s="9" t="s">
        <v>868</v>
      </c>
      <c r="I290" s="9">
        <v>24</v>
      </c>
      <c r="J290" s="9">
        <v>130</v>
      </c>
      <c r="K290" s="9" t="s">
        <v>877</v>
      </c>
      <c r="L290" s="27">
        <v>0.24743000000000001</v>
      </c>
      <c r="M290" s="28" t="s">
        <v>3203</v>
      </c>
      <c r="N290" s="17">
        <v>8.4217770000000005</v>
      </c>
      <c r="O290" s="1"/>
      <c r="P290" s="38">
        <f t="shared" si="25"/>
        <v>0</v>
      </c>
      <c r="S290" s="24" t="str">
        <f t="shared" si="28"/>
        <v>-</v>
      </c>
      <c r="T290" s="24" t="str">
        <f t="shared" si="26"/>
        <v>-</v>
      </c>
      <c r="U290" s="25" t="str">
        <f t="shared" si="29"/>
        <v>-</v>
      </c>
      <c r="V290" s="26" t="str">
        <f t="shared" si="30"/>
        <v>-</v>
      </c>
      <c r="X290" s="26" t="str">
        <f t="shared" si="27"/>
        <v>-</v>
      </c>
    </row>
    <row r="291" spans="1:24" x14ac:dyDescent="0.3">
      <c r="A291" s="37">
        <v>87614012827</v>
      </c>
      <c r="B291" s="8" t="s">
        <v>1262</v>
      </c>
      <c r="C291" s="10" t="s">
        <v>2061</v>
      </c>
      <c r="D291" s="11" t="s">
        <v>879</v>
      </c>
      <c r="E291" s="11" t="s">
        <v>1018</v>
      </c>
      <c r="F291" s="9">
        <v>30</v>
      </c>
      <c r="G291" s="9">
        <v>90</v>
      </c>
      <c r="H291" s="9" t="s">
        <v>868</v>
      </c>
      <c r="I291" s="9">
        <v>24</v>
      </c>
      <c r="J291" s="9">
        <v>100</v>
      </c>
      <c r="K291" s="9" t="s">
        <v>873</v>
      </c>
      <c r="L291" s="27">
        <v>7.9450000000000007E-2</v>
      </c>
      <c r="M291" s="28" t="s">
        <v>3203</v>
      </c>
      <c r="N291" s="17">
        <v>3.7706970000000002</v>
      </c>
      <c r="O291" s="1"/>
      <c r="P291" s="38">
        <f t="shared" si="25"/>
        <v>0</v>
      </c>
      <c r="S291" s="24" t="str">
        <f t="shared" si="28"/>
        <v>-</v>
      </c>
      <c r="T291" s="24" t="str">
        <f t="shared" si="26"/>
        <v>-</v>
      </c>
      <c r="U291" s="25" t="str">
        <f t="shared" si="29"/>
        <v>-</v>
      </c>
      <c r="V291" s="26" t="str">
        <f t="shared" si="30"/>
        <v>-</v>
      </c>
      <c r="X291" s="26" t="str">
        <f t="shared" si="27"/>
        <v>-</v>
      </c>
    </row>
    <row r="292" spans="1:24" x14ac:dyDescent="0.3">
      <c r="A292" s="37">
        <v>87614012834</v>
      </c>
      <c r="B292" s="8" t="s">
        <v>1321</v>
      </c>
      <c r="C292" s="10" t="s">
        <v>2105</v>
      </c>
      <c r="D292" s="11" t="s">
        <v>879</v>
      </c>
      <c r="E292" s="11" t="s">
        <v>1018</v>
      </c>
      <c r="F292" s="9">
        <v>12</v>
      </c>
      <c r="G292" s="9">
        <v>24</v>
      </c>
      <c r="H292" s="9" t="s">
        <v>868</v>
      </c>
      <c r="I292" s="9">
        <v>24</v>
      </c>
      <c r="J292" s="9">
        <v>250</v>
      </c>
      <c r="K292" s="9" t="s">
        <v>873</v>
      </c>
      <c r="L292" s="27">
        <v>0.185005</v>
      </c>
      <c r="M292" s="28" t="s">
        <v>3203</v>
      </c>
      <c r="N292" s="17">
        <v>8.1227789999999995</v>
      </c>
      <c r="O292" s="1"/>
      <c r="P292" s="38">
        <f t="shared" si="25"/>
        <v>0</v>
      </c>
      <c r="S292" s="24" t="str">
        <f t="shared" si="28"/>
        <v>-</v>
      </c>
      <c r="T292" s="24" t="str">
        <f t="shared" si="26"/>
        <v>-</v>
      </c>
      <c r="U292" s="25" t="str">
        <f t="shared" si="29"/>
        <v>-</v>
      </c>
      <c r="V292" s="26" t="str">
        <f t="shared" si="30"/>
        <v>-</v>
      </c>
      <c r="X292" s="26" t="str">
        <f t="shared" si="27"/>
        <v>-</v>
      </c>
    </row>
    <row r="293" spans="1:24" x14ac:dyDescent="0.3">
      <c r="A293" s="37">
        <v>87614014159</v>
      </c>
      <c r="B293" s="8" t="s">
        <v>339</v>
      </c>
      <c r="C293" s="10" t="s">
        <v>340</v>
      </c>
      <c r="D293" s="11" t="s">
        <v>874</v>
      </c>
      <c r="E293" s="11" t="s">
        <v>925</v>
      </c>
      <c r="F293" s="9">
        <v>20</v>
      </c>
      <c r="G293" s="9">
        <v>60</v>
      </c>
      <c r="H293" s="9" t="s">
        <v>868</v>
      </c>
      <c r="I293" s="9">
        <v>36</v>
      </c>
      <c r="J293" s="9">
        <v>100</v>
      </c>
      <c r="K293" s="9" t="s">
        <v>873</v>
      </c>
      <c r="L293" s="27">
        <v>0.10442</v>
      </c>
      <c r="M293" s="28" t="s">
        <v>3203</v>
      </c>
      <c r="N293" s="17">
        <v>4.7507459999999995</v>
      </c>
      <c r="O293" s="1"/>
      <c r="P293" s="38">
        <f t="shared" si="25"/>
        <v>0</v>
      </c>
      <c r="S293" s="24" t="str">
        <f t="shared" si="28"/>
        <v>-</v>
      </c>
      <c r="T293" s="24" t="str">
        <f t="shared" si="26"/>
        <v>-</v>
      </c>
      <c r="U293" s="25" t="str">
        <f t="shared" si="29"/>
        <v>-</v>
      </c>
      <c r="V293" s="26" t="str">
        <f t="shared" si="30"/>
        <v>-</v>
      </c>
      <c r="X293" s="26" t="str">
        <f t="shared" si="27"/>
        <v>-</v>
      </c>
    </row>
    <row r="294" spans="1:24" x14ac:dyDescent="0.3">
      <c r="A294" s="37">
        <v>87614015040</v>
      </c>
      <c r="B294" s="8" t="s">
        <v>347</v>
      </c>
      <c r="C294" s="10" t="s">
        <v>348</v>
      </c>
      <c r="D294" s="11" t="s">
        <v>882</v>
      </c>
      <c r="E294" s="11" t="s">
        <v>965</v>
      </c>
      <c r="F294" s="9">
        <v>30</v>
      </c>
      <c r="G294" s="9">
        <v>90</v>
      </c>
      <c r="H294" s="9" t="s">
        <v>868</v>
      </c>
      <c r="I294" s="9">
        <v>36</v>
      </c>
      <c r="J294" s="9">
        <v>100</v>
      </c>
      <c r="K294" s="9" t="s">
        <v>873</v>
      </c>
      <c r="L294" s="27">
        <v>9.4205000000000011E-2</v>
      </c>
      <c r="M294" s="28" t="s">
        <v>3203</v>
      </c>
      <c r="N294" s="17">
        <v>3.1893119999999997</v>
      </c>
      <c r="O294" s="1"/>
      <c r="P294" s="38">
        <f t="shared" si="25"/>
        <v>0</v>
      </c>
      <c r="S294" s="24" t="str">
        <f t="shared" si="28"/>
        <v>-</v>
      </c>
      <c r="T294" s="24" t="str">
        <f t="shared" si="26"/>
        <v>-</v>
      </c>
      <c r="U294" s="25" t="str">
        <f t="shared" si="29"/>
        <v>-</v>
      </c>
      <c r="V294" s="26" t="str">
        <f t="shared" si="30"/>
        <v>-</v>
      </c>
      <c r="X294" s="26" t="str">
        <f t="shared" si="27"/>
        <v>-</v>
      </c>
    </row>
    <row r="295" spans="1:24" x14ac:dyDescent="0.3">
      <c r="A295" s="37">
        <v>87614015354</v>
      </c>
      <c r="B295" s="8" t="s">
        <v>361</v>
      </c>
      <c r="C295" s="10" t="s">
        <v>362</v>
      </c>
      <c r="D295" s="11" t="s">
        <v>879</v>
      </c>
      <c r="E295" s="11" t="s">
        <v>1030</v>
      </c>
      <c r="F295" s="9">
        <v>20</v>
      </c>
      <c r="G295" s="9">
        <v>60</v>
      </c>
      <c r="H295" s="9" t="s">
        <v>868</v>
      </c>
      <c r="I295" s="9">
        <v>36</v>
      </c>
      <c r="J295" s="9">
        <v>100</v>
      </c>
      <c r="K295" s="9" t="s">
        <v>873</v>
      </c>
      <c r="L295" s="27">
        <v>0.130525</v>
      </c>
      <c r="M295" s="28" t="s">
        <v>3203</v>
      </c>
      <c r="N295" s="17">
        <v>4.1859719999999996</v>
      </c>
      <c r="O295" s="1"/>
      <c r="P295" s="38">
        <f t="shared" si="25"/>
        <v>0</v>
      </c>
      <c r="S295" s="24" t="str">
        <f t="shared" si="28"/>
        <v>-</v>
      </c>
      <c r="T295" s="24" t="str">
        <f t="shared" si="26"/>
        <v>-</v>
      </c>
      <c r="U295" s="25" t="str">
        <f t="shared" si="29"/>
        <v>-</v>
      </c>
      <c r="V295" s="26" t="str">
        <f t="shared" si="30"/>
        <v>-</v>
      </c>
      <c r="X295" s="26" t="str">
        <f t="shared" si="27"/>
        <v>-</v>
      </c>
    </row>
    <row r="296" spans="1:24" x14ac:dyDescent="0.3">
      <c r="A296" s="37">
        <v>87614015453</v>
      </c>
      <c r="B296" s="8" t="s">
        <v>363</v>
      </c>
      <c r="C296" s="10" t="s">
        <v>364</v>
      </c>
      <c r="D296" s="11" t="s">
        <v>874</v>
      </c>
      <c r="E296" s="11" t="s">
        <v>914</v>
      </c>
      <c r="F296" s="9">
        <v>30</v>
      </c>
      <c r="G296" s="9">
        <v>90</v>
      </c>
      <c r="H296" s="9" t="s">
        <v>868</v>
      </c>
      <c r="I296" s="9">
        <v>36</v>
      </c>
      <c r="J296" s="9">
        <v>300</v>
      </c>
      <c r="K296" s="9" t="s">
        <v>873</v>
      </c>
      <c r="L296" s="27">
        <v>0.10101499999999999</v>
      </c>
      <c r="M296" s="28" t="s">
        <v>3203</v>
      </c>
      <c r="N296" s="17">
        <v>5.6477399999999998</v>
      </c>
      <c r="O296" s="1"/>
      <c r="P296" s="38">
        <f t="shared" si="25"/>
        <v>0</v>
      </c>
      <c r="S296" s="24" t="str">
        <f t="shared" si="28"/>
        <v>-</v>
      </c>
      <c r="T296" s="24" t="str">
        <f t="shared" si="26"/>
        <v>-</v>
      </c>
      <c r="U296" s="25" t="str">
        <f t="shared" si="29"/>
        <v>-</v>
      </c>
      <c r="V296" s="26" t="str">
        <f t="shared" si="30"/>
        <v>-</v>
      </c>
      <c r="X296" s="26" t="str">
        <f t="shared" si="27"/>
        <v>-</v>
      </c>
    </row>
    <row r="297" spans="1:24" x14ac:dyDescent="0.3">
      <c r="A297" s="37">
        <v>87614016276</v>
      </c>
      <c r="B297" s="8" t="s">
        <v>369</v>
      </c>
      <c r="C297" s="10" t="s">
        <v>3127</v>
      </c>
      <c r="D297" s="11" t="s">
        <v>874</v>
      </c>
      <c r="E297" s="11" t="s">
        <v>1032</v>
      </c>
      <c r="F297" s="9">
        <v>30</v>
      </c>
      <c r="G297" s="9">
        <v>90</v>
      </c>
      <c r="H297" s="9" t="s">
        <v>868</v>
      </c>
      <c r="I297" s="9">
        <v>36</v>
      </c>
      <c r="J297" s="9">
        <v>60</v>
      </c>
      <c r="K297" s="9" t="s">
        <v>2903</v>
      </c>
      <c r="L297" s="27">
        <v>5.5615000000000005E-2</v>
      </c>
      <c r="M297" s="28" t="s">
        <v>3203</v>
      </c>
      <c r="N297" s="17">
        <v>3.8039189999999996</v>
      </c>
      <c r="O297" s="1"/>
      <c r="P297" s="38">
        <f t="shared" si="25"/>
        <v>0</v>
      </c>
      <c r="S297" s="24" t="str">
        <f t="shared" si="28"/>
        <v>-</v>
      </c>
      <c r="T297" s="24" t="str">
        <f t="shared" si="26"/>
        <v>-</v>
      </c>
      <c r="U297" s="25" t="str">
        <f t="shared" si="29"/>
        <v>-</v>
      </c>
      <c r="V297" s="26" t="str">
        <f t="shared" si="30"/>
        <v>-</v>
      </c>
      <c r="X297" s="26" t="str">
        <f t="shared" si="27"/>
        <v>-</v>
      </c>
    </row>
    <row r="298" spans="1:24" x14ac:dyDescent="0.3">
      <c r="A298" s="37">
        <v>87614017730</v>
      </c>
      <c r="B298" s="8" t="s">
        <v>374</v>
      </c>
      <c r="C298" s="10" t="s">
        <v>375</v>
      </c>
      <c r="D298" s="11" t="s">
        <v>874</v>
      </c>
      <c r="E298" s="11" t="s">
        <v>914</v>
      </c>
      <c r="F298" s="9">
        <v>12</v>
      </c>
      <c r="G298" s="9">
        <v>24</v>
      </c>
      <c r="H298" s="9" t="s">
        <v>868</v>
      </c>
      <c r="I298" s="9">
        <v>36</v>
      </c>
      <c r="J298" s="9">
        <v>250</v>
      </c>
      <c r="K298" s="9" t="s">
        <v>873</v>
      </c>
      <c r="L298" s="27">
        <v>0.31099000000000004</v>
      </c>
      <c r="M298" s="28" t="s">
        <v>3203</v>
      </c>
      <c r="N298" s="17">
        <v>9.4848809999999997</v>
      </c>
      <c r="O298" s="1"/>
      <c r="P298" s="38">
        <f t="shared" si="25"/>
        <v>0</v>
      </c>
      <c r="S298" s="24" t="str">
        <f t="shared" si="28"/>
        <v>-</v>
      </c>
      <c r="T298" s="24" t="str">
        <f t="shared" si="26"/>
        <v>-</v>
      </c>
      <c r="U298" s="25" t="str">
        <f t="shared" si="29"/>
        <v>-</v>
      </c>
      <c r="V298" s="26" t="str">
        <f t="shared" si="30"/>
        <v>-</v>
      </c>
      <c r="X298" s="26" t="str">
        <f t="shared" si="27"/>
        <v>-</v>
      </c>
    </row>
    <row r="299" spans="1:24" x14ac:dyDescent="0.3">
      <c r="A299" s="37">
        <v>87614018539</v>
      </c>
      <c r="B299" s="8" t="s">
        <v>390</v>
      </c>
      <c r="C299" s="10" t="s">
        <v>391</v>
      </c>
      <c r="D299" s="11" t="s">
        <v>882</v>
      </c>
      <c r="E299" s="11" t="s">
        <v>1035</v>
      </c>
      <c r="F299" s="9">
        <v>30</v>
      </c>
      <c r="G299" s="9">
        <v>90</v>
      </c>
      <c r="H299" s="9" t="s">
        <v>868</v>
      </c>
      <c r="I299" s="9">
        <v>36</v>
      </c>
      <c r="J299" s="9">
        <v>100</v>
      </c>
      <c r="K299" s="9" t="s">
        <v>873</v>
      </c>
      <c r="L299" s="27">
        <v>7.831500000000001E-2</v>
      </c>
      <c r="M299" s="28" t="s">
        <v>3203</v>
      </c>
      <c r="N299" s="17">
        <v>13.288799999999998</v>
      </c>
      <c r="O299" s="1"/>
      <c r="P299" s="38">
        <f t="shared" si="25"/>
        <v>0</v>
      </c>
      <c r="S299" s="24" t="str">
        <f t="shared" si="28"/>
        <v>-</v>
      </c>
      <c r="T299" s="24" t="str">
        <f t="shared" si="26"/>
        <v>-</v>
      </c>
      <c r="U299" s="25" t="str">
        <f t="shared" si="29"/>
        <v>-</v>
      </c>
      <c r="V299" s="26" t="str">
        <f t="shared" si="30"/>
        <v>-</v>
      </c>
      <c r="X299" s="26" t="str">
        <f t="shared" si="27"/>
        <v>-</v>
      </c>
    </row>
    <row r="300" spans="1:24" x14ac:dyDescent="0.3">
      <c r="A300" s="37">
        <v>87614019208</v>
      </c>
      <c r="B300" s="8" t="s">
        <v>415</v>
      </c>
      <c r="C300" s="10" t="s">
        <v>416</v>
      </c>
      <c r="D300" s="11" t="s">
        <v>881</v>
      </c>
      <c r="E300" s="11" t="s">
        <v>937</v>
      </c>
      <c r="F300" s="9">
        <v>16</v>
      </c>
      <c r="G300" s="9">
        <v>48</v>
      </c>
      <c r="H300" s="9" t="s">
        <v>868</v>
      </c>
      <c r="I300" s="9">
        <v>24</v>
      </c>
      <c r="J300" s="9">
        <v>100</v>
      </c>
      <c r="K300" s="9" t="s">
        <v>873</v>
      </c>
      <c r="L300" s="27">
        <v>0.17138500000000001</v>
      </c>
      <c r="M300" s="28" t="s">
        <v>3203</v>
      </c>
      <c r="N300" s="17">
        <v>9.0862169999999995</v>
      </c>
      <c r="O300" s="1"/>
      <c r="P300" s="38">
        <f t="shared" si="25"/>
        <v>0</v>
      </c>
      <c r="S300" s="24" t="str">
        <f t="shared" si="28"/>
        <v>-</v>
      </c>
      <c r="T300" s="24" t="str">
        <f t="shared" si="26"/>
        <v>-</v>
      </c>
      <c r="U300" s="25" t="str">
        <f t="shared" si="29"/>
        <v>-</v>
      </c>
      <c r="V300" s="26" t="str">
        <f t="shared" si="30"/>
        <v>-</v>
      </c>
      <c r="X300" s="26" t="str">
        <f t="shared" si="27"/>
        <v>-</v>
      </c>
    </row>
    <row r="301" spans="1:24" x14ac:dyDescent="0.3">
      <c r="A301" s="37">
        <v>87614019598</v>
      </c>
      <c r="B301" s="8" t="s">
        <v>430</v>
      </c>
      <c r="C301" s="10" t="s">
        <v>431</v>
      </c>
      <c r="D301" s="11" t="s">
        <v>883</v>
      </c>
      <c r="E301" s="11" t="s">
        <v>1038</v>
      </c>
      <c r="F301" s="9">
        <v>20</v>
      </c>
      <c r="G301" s="9">
        <v>60</v>
      </c>
      <c r="H301" s="9" t="s">
        <v>868</v>
      </c>
      <c r="I301" s="9">
        <v>36</v>
      </c>
      <c r="J301" s="9">
        <v>100</v>
      </c>
      <c r="K301" s="9" t="s">
        <v>873</v>
      </c>
      <c r="L301" s="27">
        <v>0.12825500000000001</v>
      </c>
      <c r="M301" s="28" t="s">
        <v>3203</v>
      </c>
      <c r="N301" s="17">
        <v>6.3287909999999998</v>
      </c>
      <c r="O301" s="1"/>
      <c r="P301" s="38">
        <f t="shared" si="25"/>
        <v>0</v>
      </c>
      <c r="S301" s="24" t="str">
        <f t="shared" si="28"/>
        <v>-</v>
      </c>
      <c r="T301" s="24" t="str">
        <f t="shared" si="26"/>
        <v>-</v>
      </c>
      <c r="U301" s="25" t="str">
        <f t="shared" si="29"/>
        <v>-</v>
      </c>
      <c r="V301" s="26" t="str">
        <f t="shared" si="30"/>
        <v>-</v>
      </c>
      <c r="X301" s="26" t="str">
        <f t="shared" si="27"/>
        <v>-</v>
      </c>
    </row>
    <row r="302" spans="1:24" x14ac:dyDescent="0.3">
      <c r="A302" s="37">
        <v>87614019697</v>
      </c>
      <c r="B302" s="8" t="s">
        <v>436</v>
      </c>
      <c r="C302" s="10" t="s">
        <v>437</v>
      </c>
      <c r="D302" s="11" t="s">
        <v>872</v>
      </c>
      <c r="E302" s="11" t="s">
        <v>942</v>
      </c>
      <c r="F302" s="9">
        <v>20</v>
      </c>
      <c r="G302" s="9">
        <v>60</v>
      </c>
      <c r="H302" s="9" t="s">
        <v>868</v>
      </c>
      <c r="I302" s="9">
        <v>36</v>
      </c>
      <c r="J302" s="9">
        <v>100</v>
      </c>
      <c r="K302" s="9" t="s">
        <v>873</v>
      </c>
      <c r="L302" s="27">
        <v>0.105555</v>
      </c>
      <c r="M302" s="28" t="s">
        <v>3203</v>
      </c>
      <c r="N302" s="17">
        <v>11.079537</v>
      </c>
      <c r="O302" s="1"/>
      <c r="P302" s="38">
        <f t="shared" si="25"/>
        <v>0</v>
      </c>
      <c r="S302" s="24" t="str">
        <f t="shared" si="28"/>
        <v>-</v>
      </c>
      <c r="T302" s="24" t="str">
        <f t="shared" si="26"/>
        <v>-</v>
      </c>
      <c r="U302" s="25" t="str">
        <f t="shared" si="29"/>
        <v>-</v>
      </c>
      <c r="V302" s="26" t="str">
        <f t="shared" si="30"/>
        <v>-</v>
      </c>
      <c r="X302" s="26" t="str">
        <f t="shared" si="27"/>
        <v>-</v>
      </c>
    </row>
    <row r="303" spans="1:24" x14ac:dyDescent="0.3">
      <c r="A303" s="37">
        <v>87614019789</v>
      </c>
      <c r="B303" s="8" t="s">
        <v>444</v>
      </c>
      <c r="C303" s="10" t="s">
        <v>445</v>
      </c>
      <c r="D303" s="11" t="s">
        <v>872</v>
      </c>
      <c r="E303" s="11" t="s">
        <v>945</v>
      </c>
      <c r="F303" s="9">
        <v>20</v>
      </c>
      <c r="G303" s="9">
        <v>60</v>
      </c>
      <c r="H303" s="9" t="s">
        <v>868</v>
      </c>
      <c r="I303" s="9">
        <v>36</v>
      </c>
      <c r="J303" s="9">
        <v>100</v>
      </c>
      <c r="K303" s="9" t="s">
        <v>873</v>
      </c>
      <c r="L303" s="27">
        <v>0.116905</v>
      </c>
      <c r="M303" s="28" t="s">
        <v>3203</v>
      </c>
      <c r="N303" s="17">
        <v>6.0464039999999999</v>
      </c>
      <c r="O303" s="1"/>
      <c r="P303" s="38">
        <f t="shared" si="25"/>
        <v>0</v>
      </c>
      <c r="S303" s="24" t="str">
        <f t="shared" si="28"/>
        <v>-</v>
      </c>
      <c r="T303" s="24" t="str">
        <f t="shared" si="26"/>
        <v>-</v>
      </c>
      <c r="U303" s="25" t="str">
        <f t="shared" si="29"/>
        <v>-</v>
      </c>
      <c r="V303" s="26" t="str">
        <f t="shared" si="30"/>
        <v>-</v>
      </c>
      <c r="X303" s="26" t="str">
        <f t="shared" si="27"/>
        <v>-</v>
      </c>
    </row>
    <row r="304" spans="1:24" x14ac:dyDescent="0.3">
      <c r="A304" s="37">
        <v>87614190129</v>
      </c>
      <c r="B304" s="8" t="s">
        <v>458</v>
      </c>
      <c r="C304" s="10" t="s">
        <v>2732</v>
      </c>
      <c r="D304" s="11" t="s">
        <v>879</v>
      </c>
      <c r="E304" s="11" t="s">
        <v>1018</v>
      </c>
      <c r="F304" s="9">
        <v>30</v>
      </c>
      <c r="G304" s="9">
        <v>90</v>
      </c>
      <c r="H304" s="9" t="s">
        <v>868</v>
      </c>
      <c r="I304" s="9">
        <v>24</v>
      </c>
      <c r="J304" s="9">
        <v>30</v>
      </c>
      <c r="K304" s="9" t="s">
        <v>2903</v>
      </c>
      <c r="L304" s="27">
        <v>4.7670000000000004E-2</v>
      </c>
      <c r="M304" s="28" t="s">
        <v>3203</v>
      </c>
      <c r="N304" s="17">
        <v>5.9799599999999993</v>
      </c>
      <c r="O304" s="1"/>
      <c r="P304" s="38">
        <f t="shared" si="25"/>
        <v>0</v>
      </c>
      <c r="S304" s="24" t="str">
        <f t="shared" si="28"/>
        <v>-</v>
      </c>
      <c r="T304" s="24" t="str">
        <f t="shared" si="26"/>
        <v>-</v>
      </c>
      <c r="U304" s="25" t="str">
        <f t="shared" si="29"/>
        <v>-</v>
      </c>
      <c r="V304" s="26" t="str">
        <f t="shared" si="30"/>
        <v>-</v>
      </c>
      <c r="X304" s="26" t="str">
        <f t="shared" si="27"/>
        <v>-</v>
      </c>
    </row>
    <row r="305" spans="1:24" x14ac:dyDescent="0.3">
      <c r="A305" s="37">
        <v>87614190167</v>
      </c>
      <c r="B305" s="8" t="s">
        <v>1272</v>
      </c>
      <c r="C305" s="10" t="s">
        <v>2733</v>
      </c>
      <c r="D305" s="11" t="s">
        <v>879</v>
      </c>
      <c r="E305" s="11" t="s">
        <v>1018</v>
      </c>
      <c r="F305" s="9">
        <v>48</v>
      </c>
      <c r="G305" s="9">
        <v>192</v>
      </c>
      <c r="H305" s="9" t="s">
        <v>868</v>
      </c>
      <c r="I305" s="9">
        <v>24</v>
      </c>
      <c r="J305" s="9">
        <v>30</v>
      </c>
      <c r="K305" s="9" t="s">
        <v>2903</v>
      </c>
      <c r="L305" s="27">
        <v>2.724E-2</v>
      </c>
      <c r="M305" s="28" t="s">
        <v>3203</v>
      </c>
      <c r="N305" s="17">
        <v>3.8703629999999998</v>
      </c>
      <c r="O305" s="1"/>
      <c r="P305" s="38">
        <f t="shared" si="25"/>
        <v>0</v>
      </c>
      <c r="S305" s="24" t="str">
        <f t="shared" si="28"/>
        <v>-</v>
      </c>
      <c r="T305" s="24" t="str">
        <f t="shared" si="26"/>
        <v>-</v>
      </c>
      <c r="U305" s="25" t="str">
        <f t="shared" si="29"/>
        <v>-</v>
      </c>
      <c r="V305" s="26" t="str">
        <f t="shared" si="30"/>
        <v>-</v>
      </c>
      <c r="X305" s="26" t="str">
        <f t="shared" si="27"/>
        <v>-</v>
      </c>
    </row>
    <row r="306" spans="1:24" x14ac:dyDescent="0.3">
      <c r="A306" s="37">
        <v>87614190303</v>
      </c>
      <c r="B306" s="8" t="s">
        <v>463</v>
      </c>
      <c r="C306" s="10" t="s">
        <v>2996</v>
      </c>
      <c r="D306" s="11" t="s">
        <v>879</v>
      </c>
      <c r="E306" s="11" t="s">
        <v>1018</v>
      </c>
      <c r="F306" s="9">
        <v>30</v>
      </c>
      <c r="G306" s="9">
        <v>90</v>
      </c>
      <c r="H306" s="9" t="s">
        <v>868</v>
      </c>
      <c r="I306" s="9">
        <v>24</v>
      </c>
      <c r="J306" s="9">
        <v>30</v>
      </c>
      <c r="K306" s="9" t="s">
        <v>2903</v>
      </c>
      <c r="L306" s="27">
        <v>4.4264999999999999E-2</v>
      </c>
      <c r="M306" s="28" t="s">
        <v>3203</v>
      </c>
      <c r="N306" s="17">
        <v>10.365264</v>
      </c>
      <c r="O306" s="1"/>
      <c r="P306" s="38">
        <f t="shared" si="25"/>
        <v>0</v>
      </c>
      <c r="S306" s="24" t="str">
        <f t="shared" si="28"/>
        <v>-</v>
      </c>
      <c r="T306" s="24" t="str">
        <f t="shared" si="26"/>
        <v>-</v>
      </c>
      <c r="U306" s="25" t="str">
        <f t="shared" si="29"/>
        <v>-</v>
      </c>
      <c r="V306" s="26" t="str">
        <f t="shared" si="30"/>
        <v>-</v>
      </c>
      <c r="X306" s="26" t="str">
        <f t="shared" si="27"/>
        <v>-</v>
      </c>
    </row>
    <row r="307" spans="1:24" x14ac:dyDescent="0.3">
      <c r="A307" s="37">
        <v>87614190402</v>
      </c>
      <c r="B307" s="8" t="s">
        <v>1428</v>
      </c>
      <c r="C307" s="10" t="s">
        <v>2204</v>
      </c>
      <c r="D307" s="11" t="s">
        <v>879</v>
      </c>
      <c r="E307" s="11" t="s">
        <v>1018</v>
      </c>
      <c r="F307" s="9">
        <v>20</v>
      </c>
      <c r="G307" s="9">
        <v>60</v>
      </c>
      <c r="H307" s="9" t="s">
        <v>868</v>
      </c>
      <c r="I307" s="9">
        <v>24</v>
      </c>
      <c r="J307" s="9">
        <v>120</v>
      </c>
      <c r="K307" s="9" t="s">
        <v>873</v>
      </c>
      <c r="L307" s="27">
        <v>9.4205000000000011E-2</v>
      </c>
      <c r="M307" s="28" t="s">
        <v>3203</v>
      </c>
      <c r="N307" s="17">
        <v>4.1859719999999996</v>
      </c>
      <c r="O307" s="1"/>
      <c r="P307" s="38">
        <f t="shared" si="25"/>
        <v>0</v>
      </c>
      <c r="S307" s="24" t="str">
        <f t="shared" si="28"/>
        <v>-</v>
      </c>
      <c r="T307" s="24" t="str">
        <f t="shared" si="26"/>
        <v>-</v>
      </c>
      <c r="U307" s="25" t="str">
        <f t="shared" si="29"/>
        <v>-</v>
      </c>
      <c r="V307" s="26" t="str">
        <f t="shared" si="30"/>
        <v>-</v>
      </c>
      <c r="X307" s="26" t="str">
        <f t="shared" si="27"/>
        <v>-</v>
      </c>
    </row>
    <row r="308" spans="1:24" x14ac:dyDescent="0.3">
      <c r="A308" s="37">
        <v>87614040066</v>
      </c>
      <c r="B308" s="8" t="s">
        <v>488</v>
      </c>
      <c r="C308" s="10" t="s">
        <v>3004</v>
      </c>
      <c r="D308" s="11" t="s">
        <v>878</v>
      </c>
      <c r="E308" s="11" t="s">
        <v>1001</v>
      </c>
      <c r="F308" s="9">
        <v>30</v>
      </c>
      <c r="G308" s="9">
        <v>90</v>
      </c>
      <c r="H308" s="9" t="s">
        <v>868</v>
      </c>
      <c r="I308" s="9">
        <v>24</v>
      </c>
      <c r="J308" s="9">
        <v>60</v>
      </c>
      <c r="K308" s="9" t="s">
        <v>3049</v>
      </c>
      <c r="L308" s="27">
        <v>0.12825500000000001</v>
      </c>
      <c r="M308" s="28" t="s">
        <v>3203</v>
      </c>
      <c r="N308" s="17">
        <v>8.4882209999999993</v>
      </c>
      <c r="O308" s="1"/>
      <c r="P308" s="38">
        <f t="shared" si="25"/>
        <v>0</v>
      </c>
      <c r="S308" s="24" t="str">
        <f t="shared" si="28"/>
        <v>-</v>
      </c>
      <c r="T308" s="24" t="str">
        <f t="shared" si="26"/>
        <v>-</v>
      </c>
      <c r="U308" s="25" t="str">
        <f t="shared" si="29"/>
        <v>-</v>
      </c>
      <c r="V308" s="26" t="str">
        <f t="shared" si="30"/>
        <v>-</v>
      </c>
      <c r="X308" s="26" t="str">
        <f t="shared" si="27"/>
        <v>-</v>
      </c>
    </row>
    <row r="309" spans="1:24" x14ac:dyDescent="0.3">
      <c r="A309" s="37">
        <v>87614040363</v>
      </c>
      <c r="B309" s="8" t="s">
        <v>493</v>
      </c>
      <c r="C309" s="10" t="s">
        <v>3134</v>
      </c>
      <c r="D309" s="11" t="s">
        <v>878</v>
      </c>
      <c r="E309" s="11" t="s">
        <v>1022</v>
      </c>
      <c r="F309" s="9">
        <v>30</v>
      </c>
      <c r="G309" s="9">
        <v>90</v>
      </c>
      <c r="H309" s="9" t="s">
        <v>868</v>
      </c>
      <c r="I309" s="9">
        <v>36</v>
      </c>
      <c r="J309" s="9">
        <v>120</v>
      </c>
      <c r="K309" s="9" t="s">
        <v>877</v>
      </c>
      <c r="L309" s="27">
        <v>0.116905</v>
      </c>
      <c r="M309" s="28" t="s">
        <v>3203</v>
      </c>
      <c r="N309" s="17">
        <v>4.2025830000000006</v>
      </c>
      <c r="O309" s="1"/>
      <c r="P309" s="38">
        <f t="shared" si="25"/>
        <v>0</v>
      </c>
      <c r="S309" s="24" t="str">
        <f t="shared" si="28"/>
        <v>-</v>
      </c>
      <c r="T309" s="24" t="str">
        <f t="shared" si="26"/>
        <v>-</v>
      </c>
      <c r="U309" s="25" t="str">
        <f t="shared" si="29"/>
        <v>-</v>
      </c>
      <c r="V309" s="26" t="str">
        <f t="shared" si="30"/>
        <v>-</v>
      </c>
      <c r="X309" s="26" t="str">
        <f t="shared" si="27"/>
        <v>-</v>
      </c>
    </row>
    <row r="310" spans="1:24" x14ac:dyDescent="0.3">
      <c r="A310" s="37">
        <v>87614170633</v>
      </c>
      <c r="B310" s="8" t="s">
        <v>515</v>
      </c>
      <c r="C310" s="10" t="s">
        <v>516</v>
      </c>
      <c r="D310" s="11" t="s">
        <v>874</v>
      </c>
      <c r="E310" s="11" t="s">
        <v>2819</v>
      </c>
      <c r="F310" s="9">
        <v>30</v>
      </c>
      <c r="G310" s="9">
        <v>90</v>
      </c>
      <c r="H310" s="9" t="s">
        <v>868</v>
      </c>
      <c r="I310" s="9">
        <v>36</v>
      </c>
      <c r="J310" s="9">
        <v>60</v>
      </c>
      <c r="K310" s="9" t="s">
        <v>906</v>
      </c>
      <c r="L310" s="27">
        <v>6.3560000000000005E-2</v>
      </c>
      <c r="M310" s="28" t="s">
        <v>3203</v>
      </c>
      <c r="N310" s="17">
        <v>4.999911</v>
      </c>
      <c r="O310" s="1"/>
      <c r="P310" s="38">
        <f t="shared" si="25"/>
        <v>0</v>
      </c>
      <c r="S310" s="24" t="str">
        <f t="shared" si="28"/>
        <v>-</v>
      </c>
      <c r="T310" s="24" t="str">
        <f t="shared" si="26"/>
        <v>-</v>
      </c>
      <c r="U310" s="25" t="str">
        <f t="shared" si="29"/>
        <v>-</v>
      </c>
      <c r="V310" s="26" t="str">
        <f t="shared" si="30"/>
        <v>-</v>
      </c>
      <c r="X310" s="26" t="str">
        <f t="shared" si="27"/>
        <v>-</v>
      </c>
    </row>
    <row r="311" spans="1:24" x14ac:dyDescent="0.3">
      <c r="A311" s="37">
        <v>87614140513</v>
      </c>
      <c r="B311" s="8" t="s">
        <v>521</v>
      </c>
      <c r="C311" s="10" t="s">
        <v>522</v>
      </c>
      <c r="D311" s="11" t="s">
        <v>884</v>
      </c>
      <c r="E311" s="11" t="s">
        <v>959</v>
      </c>
      <c r="F311" s="9">
        <v>20</v>
      </c>
      <c r="G311" s="9">
        <v>60</v>
      </c>
      <c r="H311" s="9" t="s">
        <v>868</v>
      </c>
      <c r="I311" s="9">
        <v>24</v>
      </c>
      <c r="J311" s="9">
        <v>120</v>
      </c>
      <c r="K311" s="9" t="s">
        <v>873</v>
      </c>
      <c r="L311" s="27">
        <v>0.116905</v>
      </c>
      <c r="M311" s="28" t="s">
        <v>3203</v>
      </c>
      <c r="N311" s="17">
        <v>7.5081719999999992</v>
      </c>
      <c r="O311" s="1"/>
      <c r="P311" s="38">
        <f t="shared" si="25"/>
        <v>0</v>
      </c>
      <c r="S311" s="24" t="str">
        <f t="shared" si="28"/>
        <v>-</v>
      </c>
      <c r="T311" s="24" t="str">
        <f t="shared" si="26"/>
        <v>-</v>
      </c>
      <c r="U311" s="25" t="str">
        <f t="shared" si="29"/>
        <v>-</v>
      </c>
      <c r="V311" s="26" t="str">
        <f t="shared" si="30"/>
        <v>-</v>
      </c>
      <c r="X311" s="26" t="str">
        <f t="shared" si="27"/>
        <v>-</v>
      </c>
    </row>
    <row r="312" spans="1:24" x14ac:dyDescent="0.3">
      <c r="A312" s="37">
        <v>87614140773</v>
      </c>
      <c r="B312" s="8" t="s">
        <v>529</v>
      </c>
      <c r="C312" s="10" t="s">
        <v>530</v>
      </c>
      <c r="D312" s="11" t="s">
        <v>879</v>
      </c>
      <c r="E312" s="11" t="s">
        <v>972</v>
      </c>
      <c r="F312" s="9">
        <v>30</v>
      </c>
      <c r="G312" s="9">
        <v>90</v>
      </c>
      <c r="H312" s="9" t="s">
        <v>868</v>
      </c>
      <c r="I312" s="9">
        <v>24</v>
      </c>
      <c r="J312" s="9">
        <v>60</v>
      </c>
      <c r="K312" s="9" t="s">
        <v>873</v>
      </c>
      <c r="L312" s="27">
        <v>5.5615000000000005E-2</v>
      </c>
      <c r="M312" s="28" t="s">
        <v>3203</v>
      </c>
      <c r="N312" s="17">
        <v>4.3686930000000004</v>
      </c>
      <c r="O312" s="1"/>
      <c r="P312" s="38">
        <f t="shared" si="25"/>
        <v>0</v>
      </c>
      <c r="S312" s="24" t="str">
        <f t="shared" si="28"/>
        <v>-</v>
      </c>
      <c r="T312" s="24" t="str">
        <f t="shared" si="26"/>
        <v>-</v>
      </c>
      <c r="U312" s="25" t="str">
        <f t="shared" si="29"/>
        <v>-</v>
      </c>
      <c r="V312" s="26" t="str">
        <f t="shared" si="30"/>
        <v>-</v>
      </c>
      <c r="X312" s="26" t="str">
        <f t="shared" si="27"/>
        <v>-</v>
      </c>
    </row>
    <row r="313" spans="1:24" x14ac:dyDescent="0.3">
      <c r="A313" s="37">
        <v>87614140995</v>
      </c>
      <c r="B313" s="8" t="s">
        <v>531</v>
      </c>
      <c r="C313" s="10" t="s">
        <v>532</v>
      </c>
      <c r="D313" s="11" t="s">
        <v>872</v>
      </c>
      <c r="E313" s="11" t="s">
        <v>961</v>
      </c>
      <c r="F313" s="9">
        <v>30</v>
      </c>
      <c r="G313" s="9">
        <v>90</v>
      </c>
      <c r="H313" s="9" t="s">
        <v>868</v>
      </c>
      <c r="I313" s="9">
        <v>36</v>
      </c>
      <c r="J313" s="9">
        <v>60</v>
      </c>
      <c r="K313" s="9" t="s">
        <v>873</v>
      </c>
      <c r="L313" s="27">
        <v>8.058499999999999E-2</v>
      </c>
      <c r="M313" s="28" t="s">
        <v>3203</v>
      </c>
      <c r="N313" s="17">
        <v>3.6544200000000004</v>
      </c>
      <c r="O313" s="1"/>
      <c r="P313" s="38">
        <f t="shared" si="25"/>
        <v>0</v>
      </c>
      <c r="S313" s="24" t="str">
        <f t="shared" si="28"/>
        <v>-</v>
      </c>
      <c r="T313" s="24" t="str">
        <f t="shared" si="26"/>
        <v>-</v>
      </c>
      <c r="U313" s="25" t="str">
        <f t="shared" si="29"/>
        <v>-</v>
      </c>
      <c r="V313" s="26" t="str">
        <f t="shared" si="30"/>
        <v>-</v>
      </c>
      <c r="X313" s="26" t="str">
        <f t="shared" si="27"/>
        <v>-</v>
      </c>
    </row>
    <row r="314" spans="1:24" x14ac:dyDescent="0.3">
      <c r="A314" s="37">
        <v>87614141527</v>
      </c>
      <c r="B314" s="8" t="s">
        <v>554</v>
      </c>
      <c r="C314" s="10" t="s">
        <v>555</v>
      </c>
      <c r="D314" s="11" t="s">
        <v>875</v>
      </c>
      <c r="E314" s="11" t="s">
        <v>935</v>
      </c>
      <c r="F314" s="9">
        <v>30</v>
      </c>
      <c r="G314" s="9">
        <v>90</v>
      </c>
      <c r="H314" s="9" t="s">
        <v>868</v>
      </c>
      <c r="I314" s="9">
        <v>24</v>
      </c>
      <c r="J314" s="9">
        <v>100</v>
      </c>
      <c r="K314" s="9" t="s">
        <v>873</v>
      </c>
      <c r="L314" s="27">
        <v>9.4205000000000011E-2</v>
      </c>
      <c r="M314" s="28" t="s">
        <v>3203</v>
      </c>
      <c r="N314" s="17">
        <v>8.2224449999999987</v>
      </c>
      <c r="O314" s="1"/>
      <c r="P314" s="38">
        <f t="shared" si="25"/>
        <v>0</v>
      </c>
      <c r="S314" s="24" t="str">
        <f t="shared" si="28"/>
        <v>-</v>
      </c>
      <c r="T314" s="24" t="str">
        <f t="shared" si="26"/>
        <v>-</v>
      </c>
      <c r="U314" s="25" t="str">
        <f t="shared" si="29"/>
        <v>-</v>
      </c>
      <c r="V314" s="26" t="str">
        <f t="shared" si="30"/>
        <v>-</v>
      </c>
      <c r="X314" s="26" t="str">
        <f t="shared" si="27"/>
        <v>-</v>
      </c>
    </row>
    <row r="315" spans="1:24" x14ac:dyDescent="0.3">
      <c r="A315" s="37">
        <v>87614142050</v>
      </c>
      <c r="B315" s="8" t="s">
        <v>581</v>
      </c>
      <c r="C315" s="10" t="s">
        <v>582</v>
      </c>
      <c r="D315" s="11" t="s">
        <v>872</v>
      </c>
      <c r="E315" s="11" t="s">
        <v>1049</v>
      </c>
      <c r="F315" s="9">
        <v>30</v>
      </c>
      <c r="G315" s="9">
        <v>90</v>
      </c>
      <c r="H315" s="9" t="s">
        <v>868</v>
      </c>
      <c r="I315" s="9">
        <v>24</v>
      </c>
      <c r="J315" s="9">
        <v>60</v>
      </c>
      <c r="K315" s="9" t="s">
        <v>889</v>
      </c>
      <c r="L315" s="27">
        <v>6.4695000000000003E-2</v>
      </c>
      <c r="M315" s="28" t="s">
        <v>3203</v>
      </c>
      <c r="N315" s="17">
        <v>7.5413940000000004</v>
      </c>
      <c r="O315" s="1"/>
      <c r="P315" s="38">
        <f t="shared" si="25"/>
        <v>0</v>
      </c>
      <c r="S315" s="24" t="str">
        <f t="shared" si="28"/>
        <v>-</v>
      </c>
      <c r="T315" s="24" t="str">
        <f t="shared" si="26"/>
        <v>-</v>
      </c>
      <c r="U315" s="25" t="str">
        <f t="shared" si="29"/>
        <v>-</v>
      </c>
      <c r="V315" s="26" t="str">
        <f t="shared" si="30"/>
        <v>-</v>
      </c>
      <c r="X315" s="26" t="str">
        <f t="shared" si="27"/>
        <v>-</v>
      </c>
    </row>
    <row r="316" spans="1:24" x14ac:dyDescent="0.3">
      <c r="A316" s="37">
        <v>87614142609</v>
      </c>
      <c r="B316" s="8" t="s">
        <v>1275</v>
      </c>
      <c r="C316" s="10" t="s">
        <v>2070</v>
      </c>
      <c r="D316" s="11" t="s">
        <v>874</v>
      </c>
      <c r="E316" s="11" t="s">
        <v>917</v>
      </c>
      <c r="F316" s="9">
        <v>30</v>
      </c>
      <c r="G316" s="9">
        <v>90</v>
      </c>
      <c r="H316" s="9" t="s">
        <v>868</v>
      </c>
      <c r="I316" s="9">
        <v>24</v>
      </c>
      <c r="J316" s="9">
        <v>30</v>
      </c>
      <c r="K316" s="9" t="s">
        <v>889</v>
      </c>
      <c r="L316" s="27">
        <v>4.5400000000000003E-2</v>
      </c>
      <c r="M316" s="28" t="s">
        <v>3203</v>
      </c>
      <c r="N316" s="17">
        <v>6.8105099999999998</v>
      </c>
      <c r="O316" s="1"/>
      <c r="P316" s="38">
        <f t="shared" si="25"/>
        <v>0</v>
      </c>
      <c r="S316" s="24" t="str">
        <f t="shared" si="28"/>
        <v>-</v>
      </c>
      <c r="T316" s="24" t="str">
        <f t="shared" si="26"/>
        <v>-</v>
      </c>
      <c r="U316" s="25" t="str">
        <f t="shared" si="29"/>
        <v>-</v>
      </c>
      <c r="V316" s="26" t="str">
        <f t="shared" si="30"/>
        <v>-</v>
      </c>
      <c r="X316" s="26" t="str">
        <f t="shared" si="27"/>
        <v>-</v>
      </c>
    </row>
    <row r="317" spans="1:24" x14ac:dyDescent="0.3">
      <c r="A317" s="37">
        <v>87614060101</v>
      </c>
      <c r="B317" s="8" t="s">
        <v>1280</v>
      </c>
      <c r="C317" s="10" t="s">
        <v>3136</v>
      </c>
      <c r="D317" s="11" t="s">
        <v>866</v>
      </c>
      <c r="E317" s="11" t="s">
        <v>956</v>
      </c>
      <c r="F317" s="9">
        <v>30</v>
      </c>
      <c r="G317" s="9">
        <v>90</v>
      </c>
      <c r="H317" s="9" t="s">
        <v>868</v>
      </c>
      <c r="I317" s="9">
        <v>36</v>
      </c>
      <c r="J317" s="9">
        <v>180</v>
      </c>
      <c r="K317" s="9" t="s">
        <v>3049</v>
      </c>
      <c r="L317" s="27">
        <v>0.164575</v>
      </c>
      <c r="M317" s="28" t="s">
        <v>3203</v>
      </c>
      <c r="N317" s="17">
        <v>7.7739479999999999</v>
      </c>
      <c r="O317" s="1"/>
      <c r="P317" s="38">
        <f t="shared" si="25"/>
        <v>0</v>
      </c>
      <c r="S317" s="24" t="str">
        <f t="shared" si="28"/>
        <v>-</v>
      </c>
      <c r="T317" s="24" t="str">
        <f t="shared" si="26"/>
        <v>-</v>
      </c>
      <c r="U317" s="25" t="str">
        <f t="shared" si="29"/>
        <v>-</v>
      </c>
      <c r="V317" s="26" t="str">
        <f t="shared" si="30"/>
        <v>-</v>
      </c>
      <c r="X317" s="26" t="str">
        <f t="shared" si="27"/>
        <v>-</v>
      </c>
    </row>
    <row r="318" spans="1:24" x14ac:dyDescent="0.3">
      <c r="A318" s="37">
        <v>87614060446</v>
      </c>
      <c r="B318" s="8" t="s">
        <v>607</v>
      </c>
      <c r="C318" s="10" t="s">
        <v>3137</v>
      </c>
      <c r="D318" s="11" t="s">
        <v>866</v>
      </c>
      <c r="E318" s="11" t="s">
        <v>956</v>
      </c>
      <c r="F318" s="9">
        <v>30</v>
      </c>
      <c r="G318" s="9">
        <v>90</v>
      </c>
      <c r="H318" s="9" t="s">
        <v>868</v>
      </c>
      <c r="I318" s="9">
        <v>36</v>
      </c>
      <c r="J318" s="9">
        <v>180</v>
      </c>
      <c r="K318" s="9" t="s">
        <v>3049</v>
      </c>
      <c r="L318" s="27">
        <v>0.13166</v>
      </c>
      <c r="M318" s="28" t="s">
        <v>3203</v>
      </c>
      <c r="N318" s="17">
        <v>6.6776220000000004</v>
      </c>
      <c r="O318" s="1"/>
      <c r="P318" s="38">
        <f t="shared" si="25"/>
        <v>0</v>
      </c>
      <c r="S318" s="24" t="str">
        <f t="shared" si="28"/>
        <v>-</v>
      </c>
      <c r="T318" s="24" t="str">
        <f t="shared" si="26"/>
        <v>-</v>
      </c>
      <c r="U318" s="25" t="str">
        <f t="shared" si="29"/>
        <v>-</v>
      </c>
      <c r="V318" s="26" t="str">
        <f t="shared" si="30"/>
        <v>-</v>
      </c>
      <c r="X318" s="26" t="str">
        <f t="shared" si="27"/>
        <v>-</v>
      </c>
    </row>
    <row r="319" spans="1:24" x14ac:dyDescent="0.3">
      <c r="A319" s="37">
        <v>87614020358</v>
      </c>
      <c r="B319" s="8" t="s">
        <v>627</v>
      </c>
      <c r="C319" s="10" t="s">
        <v>3140</v>
      </c>
      <c r="D319" s="11" t="s">
        <v>874</v>
      </c>
      <c r="E319" s="11" t="s">
        <v>1032</v>
      </c>
      <c r="F319" s="9">
        <v>20</v>
      </c>
      <c r="G319" s="9">
        <v>60</v>
      </c>
      <c r="H319" s="9" t="s">
        <v>868</v>
      </c>
      <c r="I319" s="9">
        <v>36</v>
      </c>
      <c r="J319" s="9">
        <v>90</v>
      </c>
      <c r="K319" s="9" t="s">
        <v>2903</v>
      </c>
      <c r="L319" s="27">
        <v>0.110095</v>
      </c>
      <c r="M319" s="28" t="s">
        <v>3203</v>
      </c>
      <c r="N319" s="17">
        <v>20.365085999999998</v>
      </c>
      <c r="O319" s="1"/>
      <c r="P319" s="38">
        <f t="shared" si="25"/>
        <v>0</v>
      </c>
      <c r="S319" s="24" t="str">
        <f t="shared" si="28"/>
        <v>-</v>
      </c>
      <c r="T319" s="24" t="str">
        <f t="shared" si="26"/>
        <v>-</v>
      </c>
      <c r="U319" s="25" t="str">
        <f t="shared" si="29"/>
        <v>-</v>
      </c>
      <c r="V319" s="26" t="str">
        <f t="shared" si="30"/>
        <v>-</v>
      </c>
      <c r="X319" s="26" t="str">
        <f t="shared" si="27"/>
        <v>-</v>
      </c>
    </row>
    <row r="320" spans="1:24" x14ac:dyDescent="0.3">
      <c r="A320" s="37">
        <v>87614021225</v>
      </c>
      <c r="B320" s="8" t="s">
        <v>663</v>
      </c>
      <c r="C320" s="10" t="s">
        <v>3141</v>
      </c>
      <c r="D320" s="11" t="s">
        <v>872</v>
      </c>
      <c r="E320" s="11" t="s">
        <v>915</v>
      </c>
      <c r="F320" s="9">
        <v>48</v>
      </c>
      <c r="G320" s="9">
        <v>192</v>
      </c>
      <c r="H320" s="9" t="s">
        <v>868</v>
      </c>
      <c r="I320" s="9">
        <v>24</v>
      </c>
      <c r="J320" s="9">
        <v>60</v>
      </c>
      <c r="K320" s="9" t="s">
        <v>3049</v>
      </c>
      <c r="L320" s="27">
        <v>4.4264999999999999E-2</v>
      </c>
      <c r="M320" s="28" t="s">
        <v>3203</v>
      </c>
      <c r="N320" s="17">
        <v>9.5845470000000006</v>
      </c>
      <c r="O320" s="1"/>
      <c r="P320" s="38">
        <f t="shared" si="25"/>
        <v>0</v>
      </c>
      <c r="S320" s="24" t="str">
        <f t="shared" si="28"/>
        <v>-</v>
      </c>
      <c r="T320" s="24" t="str">
        <f t="shared" si="26"/>
        <v>-</v>
      </c>
      <c r="U320" s="25" t="str">
        <f t="shared" si="29"/>
        <v>-</v>
      </c>
      <c r="V320" s="26" t="str">
        <f t="shared" si="30"/>
        <v>-</v>
      </c>
      <c r="X320" s="26" t="str">
        <f t="shared" si="27"/>
        <v>-</v>
      </c>
    </row>
    <row r="321" spans="1:24" x14ac:dyDescent="0.3">
      <c r="A321" s="37">
        <v>87614024219</v>
      </c>
      <c r="B321" s="8" t="s">
        <v>1215</v>
      </c>
      <c r="C321" s="10" t="s">
        <v>2029</v>
      </c>
      <c r="D321" s="11" t="s">
        <v>866</v>
      </c>
      <c r="E321" s="11" t="s">
        <v>963</v>
      </c>
      <c r="F321" s="9">
        <v>30</v>
      </c>
      <c r="G321" s="9">
        <v>90</v>
      </c>
      <c r="H321" s="9" t="s">
        <v>868</v>
      </c>
      <c r="I321" s="9">
        <v>36</v>
      </c>
      <c r="J321" s="9">
        <v>60</v>
      </c>
      <c r="K321" s="9" t="s">
        <v>873</v>
      </c>
      <c r="L321" s="27">
        <v>9.7609999999999988E-2</v>
      </c>
      <c r="M321" s="28" t="s">
        <v>3203</v>
      </c>
      <c r="N321" s="17">
        <v>3.554754</v>
      </c>
      <c r="O321" s="1"/>
      <c r="P321" s="38">
        <f t="shared" si="25"/>
        <v>0</v>
      </c>
      <c r="S321" s="24" t="str">
        <f t="shared" si="28"/>
        <v>-</v>
      </c>
      <c r="T321" s="24" t="str">
        <f t="shared" si="26"/>
        <v>-</v>
      </c>
      <c r="U321" s="25" t="str">
        <f t="shared" si="29"/>
        <v>-</v>
      </c>
      <c r="V321" s="26" t="str">
        <f t="shared" si="30"/>
        <v>-</v>
      </c>
      <c r="X321" s="26" t="str">
        <f t="shared" si="27"/>
        <v>-</v>
      </c>
    </row>
    <row r="322" spans="1:24" x14ac:dyDescent="0.3">
      <c r="A322" s="37">
        <v>87614024660</v>
      </c>
      <c r="B322" s="8" t="s">
        <v>747</v>
      </c>
      <c r="C322" s="10" t="s">
        <v>748</v>
      </c>
      <c r="D322" s="11" t="s">
        <v>884</v>
      </c>
      <c r="E322" s="11" t="s">
        <v>940</v>
      </c>
      <c r="F322" s="9">
        <v>20</v>
      </c>
      <c r="G322" s="9">
        <v>60</v>
      </c>
      <c r="H322" s="9" t="s">
        <v>868</v>
      </c>
      <c r="I322" s="9">
        <v>24</v>
      </c>
      <c r="J322" s="9">
        <v>90</v>
      </c>
      <c r="K322" s="9" t="s">
        <v>873</v>
      </c>
      <c r="L322" s="27">
        <v>0.1135</v>
      </c>
      <c r="M322" s="28" t="s">
        <v>3203</v>
      </c>
      <c r="N322" s="17">
        <v>4.617858</v>
      </c>
      <c r="O322" s="1"/>
      <c r="P322" s="38">
        <f t="shared" si="25"/>
        <v>0</v>
      </c>
      <c r="S322" s="24" t="str">
        <f t="shared" si="28"/>
        <v>-</v>
      </c>
      <c r="T322" s="24" t="str">
        <f t="shared" si="26"/>
        <v>-</v>
      </c>
      <c r="U322" s="25" t="str">
        <f t="shared" si="29"/>
        <v>-</v>
      </c>
      <c r="V322" s="26" t="str">
        <f t="shared" si="30"/>
        <v>-</v>
      </c>
      <c r="X322" s="26" t="str">
        <f t="shared" si="27"/>
        <v>-</v>
      </c>
    </row>
    <row r="323" spans="1:24" x14ac:dyDescent="0.3">
      <c r="A323" s="37">
        <v>87614024684</v>
      </c>
      <c r="B323" s="8" t="s">
        <v>1287</v>
      </c>
      <c r="C323" s="10" t="s">
        <v>2076</v>
      </c>
      <c r="D323" s="11" t="s">
        <v>866</v>
      </c>
      <c r="E323" s="11" t="s">
        <v>963</v>
      </c>
      <c r="F323" s="9">
        <v>48</v>
      </c>
      <c r="G323" s="9">
        <v>192</v>
      </c>
      <c r="H323" s="9" t="s">
        <v>868</v>
      </c>
      <c r="I323" s="9">
        <v>36</v>
      </c>
      <c r="J323" s="9">
        <v>60</v>
      </c>
      <c r="K323" s="9" t="s">
        <v>873</v>
      </c>
      <c r="L323" s="27">
        <v>3.2915E-2</v>
      </c>
      <c r="M323" s="28" t="s">
        <v>3203</v>
      </c>
      <c r="N323" s="17">
        <v>2.0431529999999998</v>
      </c>
      <c r="O323" s="1"/>
      <c r="P323" s="38">
        <f t="shared" ref="P323:P386" si="31">O323*N323</f>
        <v>0</v>
      </c>
      <c r="S323" s="24" t="str">
        <f t="shared" si="28"/>
        <v>-</v>
      </c>
      <c r="T323" s="24" t="str">
        <f t="shared" ref="T323:T386" si="32">IF(O323&gt;0,N323+L323*O323/$U$2*$V$2/O323,"-")</f>
        <v>-</v>
      </c>
      <c r="U323" s="25" t="str">
        <f t="shared" si="29"/>
        <v>-</v>
      </c>
      <c r="V323" s="26" t="str">
        <f t="shared" si="30"/>
        <v>-</v>
      </c>
      <c r="X323" s="26" t="str">
        <f t="shared" ref="X323:X386" si="33">IFERROR(IF(V323+P323=0, "-", IF(V323&gt;0, V323+P323, "-")), "-")</f>
        <v>-</v>
      </c>
    </row>
    <row r="324" spans="1:24" x14ac:dyDescent="0.3">
      <c r="A324" s="37">
        <v>87614025094</v>
      </c>
      <c r="B324" s="8" t="s">
        <v>1351</v>
      </c>
      <c r="C324" s="10" t="s">
        <v>2132</v>
      </c>
      <c r="D324" s="11" t="s">
        <v>890</v>
      </c>
      <c r="E324" s="11" t="s">
        <v>2894</v>
      </c>
      <c r="F324" s="9">
        <v>30</v>
      </c>
      <c r="G324" s="9">
        <v>90</v>
      </c>
      <c r="H324" s="9" t="s">
        <v>868</v>
      </c>
      <c r="I324" s="9">
        <v>36</v>
      </c>
      <c r="J324" s="9">
        <v>60</v>
      </c>
      <c r="K324" s="9" t="s">
        <v>889</v>
      </c>
      <c r="L324" s="27">
        <v>7.4910000000000004E-2</v>
      </c>
      <c r="M324" s="28" t="s">
        <v>3203</v>
      </c>
      <c r="N324" s="17">
        <v>4.4351370000000001</v>
      </c>
      <c r="O324" s="1"/>
      <c r="P324" s="38">
        <f t="shared" si="31"/>
        <v>0</v>
      </c>
      <c r="S324" s="24" t="str">
        <f t="shared" ref="S324:S387" si="34">IFERROR(IF(S$2*L324=0, "-", $S$2*L324), "-")</f>
        <v>-</v>
      </c>
      <c r="T324" s="24" t="str">
        <f t="shared" si="32"/>
        <v>-</v>
      </c>
      <c r="U324" s="25" t="str">
        <f t="shared" ref="U324:U387" si="35">IF(O324&gt;0,O324*L324, "-")</f>
        <v>-</v>
      </c>
      <c r="V324" s="26" t="str">
        <f t="shared" ref="V324:V387" si="36">IFERROR(IF($S$2&gt;0, $S$2*U324, "-"), "-")</f>
        <v>-</v>
      </c>
      <c r="X324" s="26" t="str">
        <f t="shared" si="33"/>
        <v>-</v>
      </c>
    </row>
    <row r="325" spans="1:24" x14ac:dyDescent="0.3">
      <c r="A325" s="37">
        <v>87614027203</v>
      </c>
      <c r="B325" s="8" t="s">
        <v>790</v>
      </c>
      <c r="C325" s="10" t="s">
        <v>791</v>
      </c>
      <c r="D325" s="11" t="s">
        <v>874</v>
      </c>
      <c r="E325" s="11" t="s">
        <v>925</v>
      </c>
      <c r="F325" s="9">
        <v>30</v>
      </c>
      <c r="G325" s="9">
        <v>90</v>
      </c>
      <c r="H325" s="9" t="s">
        <v>868</v>
      </c>
      <c r="I325" s="9">
        <v>24</v>
      </c>
      <c r="J325" s="9">
        <v>60</v>
      </c>
      <c r="K325" s="9" t="s">
        <v>873</v>
      </c>
      <c r="L325" s="27">
        <v>8.8529999999999998E-2</v>
      </c>
      <c r="M325" s="28" t="s">
        <v>3203</v>
      </c>
      <c r="N325" s="17">
        <v>14.999733000000001</v>
      </c>
      <c r="O325" s="1"/>
      <c r="P325" s="38">
        <f t="shared" si="31"/>
        <v>0</v>
      </c>
      <c r="S325" s="24" t="str">
        <f t="shared" si="34"/>
        <v>-</v>
      </c>
      <c r="T325" s="24" t="str">
        <f t="shared" si="32"/>
        <v>-</v>
      </c>
      <c r="U325" s="25" t="str">
        <f t="shared" si="35"/>
        <v>-</v>
      </c>
      <c r="V325" s="26" t="str">
        <f t="shared" si="36"/>
        <v>-</v>
      </c>
      <c r="X325" s="26" t="str">
        <f t="shared" si="33"/>
        <v>-</v>
      </c>
    </row>
    <row r="326" spans="1:24" x14ac:dyDescent="0.3">
      <c r="A326" s="37">
        <v>87614028187</v>
      </c>
      <c r="B326" s="8" t="s">
        <v>1222</v>
      </c>
      <c r="C326" s="10" t="s">
        <v>2799</v>
      </c>
      <c r="D326" s="11" t="s">
        <v>872</v>
      </c>
      <c r="E326" s="11" t="s">
        <v>2898</v>
      </c>
      <c r="F326" s="9">
        <v>48</v>
      </c>
      <c r="G326" s="9">
        <v>192</v>
      </c>
      <c r="H326" s="9" t="s">
        <v>868</v>
      </c>
      <c r="I326" s="9">
        <v>24</v>
      </c>
      <c r="J326" s="9">
        <v>30</v>
      </c>
      <c r="K326" s="9" t="s">
        <v>2903</v>
      </c>
      <c r="L326" s="27">
        <v>2.2700000000000001E-2</v>
      </c>
      <c r="M326" s="28" t="s">
        <v>3203</v>
      </c>
      <c r="N326" s="17">
        <v>5.4982410000000002</v>
      </c>
      <c r="O326" s="1"/>
      <c r="P326" s="38">
        <f t="shared" si="31"/>
        <v>0</v>
      </c>
      <c r="S326" s="24" t="str">
        <f t="shared" si="34"/>
        <v>-</v>
      </c>
      <c r="T326" s="24" t="str">
        <f t="shared" si="32"/>
        <v>-</v>
      </c>
      <c r="U326" s="25" t="str">
        <f t="shared" si="35"/>
        <v>-</v>
      </c>
      <c r="V326" s="26" t="str">
        <f t="shared" si="36"/>
        <v>-</v>
      </c>
      <c r="X326" s="26" t="str">
        <f t="shared" si="33"/>
        <v>-</v>
      </c>
    </row>
    <row r="327" spans="1:24" x14ac:dyDescent="0.3">
      <c r="A327" s="37">
        <v>87614028491</v>
      </c>
      <c r="B327" s="8" t="s">
        <v>823</v>
      </c>
      <c r="C327" s="10" t="s">
        <v>2802</v>
      </c>
      <c r="D327" s="11" t="s">
        <v>884</v>
      </c>
      <c r="E327" s="11" t="s">
        <v>941</v>
      </c>
      <c r="F327" s="9">
        <v>30</v>
      </c>
      <c r="G327" s="9">
        <v>90</v>
      </c>
      <c r="H327" s="9" t="s">
        <v>868</v>
      </c>
      <c r="I327" s="9">
        <v>36</v>
      </c>
      <c r="J327" s="9">
        <v>60</v>
      </c>
      <c r="K327" s="9" t="s">
        <v>2903</v>
      </c>
      <c r="L327" s="27">
        <v>8.3989999999999995E-2</v>
      </c>
      <c r="M327" s="28" t="s">
        <v>3203</v>
      </c>
      <c r="N327" s="17">
        <v>9.1858830000000005</v>
      </c>
      <c r="O327" s="1"/>
      <c r="P327" s="38">
        <f t="shared" si="31"/>
        <v>0</v>
      </c>
      <c r="S327" s="24" t="str">
        <f t="shared" si="34"/>
        <v>-</v>
      </c>
      <c r="T327" s="24" t="str">
        <f t="shared" si="32"/>
        <v>-</v>
      </c>
      <c r="U327" s="25" t="str">
        <f t="shared" si="35"/>
        <v>-</v>
      </c>
      <c r="V327" s="26" t="str">
        <f t="shared" si="36"/>
        <v>-</v>
      </c>
      <c r="X327" s="26" t="str">
        <f t="shared" si="33"/>
        <v>-</v>
      </c>
    </row>
    <row r="328" spans="1:24" x14ac:dyDescent="0.3">
      <c r="A328" s="37">
        <v>87614010311</v>
      </c>
      <c r="B328" s="8" t="s">
        <v>18</v>
      </c>
      <c r="C328" s="10" t="s">
        <v>2938</v>
      </c>
      <c r="D328" s="11" t="s">
        <v>872</v>
      </c>
      <c r="E328" s="11" t="s">
        <v>915</v>
      </c>
      <c r="F328" s="9">
        <v>30</v>
      </c>
      <c r="G328" s="9">
        <v>90</v>
      </c>
      <c r="H328" s="9" t="s">
        <v>868</v>
      </c>
      <c r="I328" s="9">
        <v>36</v>
      </c>
      <c r="J328" s="9">
        <v>250</v>
      </c>
      <c r="K328" s="9" t="s">
        <v>2903</v>
      </c>
      <c r="L328" s="27">
        <v>0.10896</v>
      </c>
      <c r="M328" s="28" t="s">
        <v>3203</v>
      </c>
      <c r="N328" s="17">
        <v>6.2789579999999994</v>
      </c>
      <c r="O328" s="1"/>
      <c r="P328" s="38">
        <f t="shared" si="31"/>
        <v>0</v>
      </c>
      <c r="S328" s="24" t="str">
        <f t="shared" si="34"/>
        <v>-</v>
      </c>
      <c r="T328" s="24" t="str">
        <f t="shared" si="32"/>
        <v>-</v>
      </c>
      <c r="U328" s="25" t="str">
        <f t="shared" si="35"/>
        <v>-</v>
      </c>
      <c r="V328" s="26" t="str">
        <f t="shared" si="36"/>
        <v>-</v>
      </c>
      <c r="X328" s="26" t="str">
        <f t="shared" si="33"/>
        <v>-</v>
      </c>
    </row>
    <row r="329" spans="1:24" x14ac:dyDescent="0.3">
      <c r="A329" s="37">
        <v>87614010472</v>
      </c>
      <c r="B329" s="8" t="s">
        <v>24</v>
      </c>
      <c r="C329" s="10" t="s">
        <v>25</v>
      </c>
      <c r="D329" s="11" t="s">
        <v>874</v>
      </c>
      <c r="E329" s="11" t="s">
        <v>917</v>
      </c>
      <c r="F329" s="9">
        <v>12</v>
      </c>
      <c r="G329" s="9">
        <v>24</v>
      </c>
      <c r="H329" s="9" t="s">
        <v>868</v>
      </c>
      <c r="I329" s="9">
        <v>36</v>
      </c>
      <c r="J329" s="9">
        <v>250</v>
      </c>
      <c r="K329" s="9" t="s">
        <v>873</v>
      </c>
      <c r="L329" s="27">
        <v>0.328015</v>
      </c>
      <c r="M329" s="28" t="s">
        <v>3203</v>
      </c>
      <c r="N329" s="17">
        <v>12.375195</v>
      </c>
      <c r="O329" s="1"/>
      <c r="P329" s="38">
        <f t="shared" si="31"/>
        <v>0</v>
      </c>
      <c r="S329" s="24" t="str">
        <f t="shared" si="34"/>
        <v>-</v>
      </c>
      <c r="T329" s="24" t="str">
        <f t="shared" si="32"/>
        <v>-</v>
      </c>
      <c r="U329" s="25" t="str">
        <f t="shared" si="35"/>
        <v>-</v>
      </c>
      <c r="V329" s="26" t="str">
        <f t="shared" si="36"/>
        <v>-</v>
      </c>
      <c r="X329" s="26" t="str">
        <f t="shared" si="33"/>
        <v>-</v>
      </c>
    </row>
    <row r="330" spans="1:24" x14ac:dyDescent="0.3">
      <c r="A330" s="37">
        <v>87614110240</v>
      </c>
      <c r="B330" s="8" t="s">
        <v>42</v>
      </c>
      <c r="C330" s="10" t="s">
        <v>43</v>
      </c>
      <c r="D330" s="11" t="s">
        <v>874</v>
      </c>
      <c r="E330" s="11" t="s">
        <v>925</v>
      </c>
      <c r="F330" s="9">
        <v>30</v>
      </c>
      <c r="G330" s="9">
        <v>90</v>
      </c>
      <c r="H330" s="9" t="s">
        <v>868</v>
      </c>
      <c r="I330" s="9">
        <v>36</v>
      </c>
      <c r="J330" s="9">
        <v>60</v>
      </c>
      <c r="K330" s="9" t="s">
        <v>873</v>
      </c>
      <c r="L330" s="27">
        <v>6.0155E-2</v>
      </c>
      <c r="M330" s="28" t="s">
        <v>3203</v>
      </c>
      <c r="N330" s="17">
        <v>3.5879759999999998</v>
      </c>
      <c r="O330" s="1"/>
      <c r="P330" s="38">
        <f t="shared" si="31"/>
        <v>0</v>
      </c>
      <c r="S330" s="24" t="str">
        <f t="shared" si="34"/>
        <v>-</v>
      </c>
      <c r="T330" s="24" t="str">
        <f t="shared" si="32"/>
        <v>-</v>
      </c>
      <c r="U330" s="25" t="str">
        <f t="shared" si="35"/>
        <v>-</v>
      </c>
      <c r="V330" s="26" t="str">
        <f t="shared" si="36"/>
        <v>-</v>
      </c>
      <c r="X330" s="26" t="str">
        <f t="shared" si="33"/>
        <v>-</v>
      </c>
    </row>
    <row r="331" spans="1:24" x14ac:dyDescent="0.3">
      <c r="A331" s="37">
        <v>87614110738</v>
      </c>
      <c r="B331" s="8" t="s">
        <v>57</v>
      </c>
      <c r="C331" s="10" t="s">
        <v>58</v>
      </c>
      <c r="D331" s="11" t="s">
        <v>881</v>
      </c>
      <c r="E331" s="11" t="s">
        <v>937</v>
      </c>
      <c r="F331" s="9">
        <v>12</v>
      </c>
      <c r="G331" s="9">
        <v>24</v>
      </c>
      <c r="H331" s="9" t="s">
        <v>868</v>
      </c>
      <c r="I331" s="9">
        <v>24</v>
      </c>
      <c r="J331" s="9">
        <v>240</v>
      </c>
      <c r="K331" s="9" t="s">
        <v>873</v>
      </c>
      <c r="L331" s="27">
        <v>0.39270999999999995</v>
      </c>
      <c r="M331" s="28" t="s">
        <v>3203</v>
      </c>
      <c r="N331" s="17">
        <v>21.345134999999999</v>
      </c>
      <c r="O331" s="1"/>
      <c r="P331" s="38">
        <f t="shared" si="31"/>
        <v>0</v>
      </c>
      <c r="S331" s="24" t="str">
        <f t="shared" si="34"/>
        <v>-</v>
      </c>
      <c r="T331" s="24" t="str">
        <f t="shared" si="32"/>
        <v>-</v>
      </c>
      <c r="U331" s="25" t="str">
        <f t="shared" si="35"/>
        <v>-</v>
      </c>
      <c r="V331" s="26" t="str">
        <f t="shared" si="36"/>
        <v>-</v>
      </c>
      <c r="X331" s="26" t="str">
        <f t="shared" si="33"/>
        <v>-</v>
      </c>
    </row>
    <row r="332" spans="1:24" x14ac:dyDescent="0.3">
      <c r="A332" s="37">
        <v>87614111087</v>
      </c>
      <c r="B332" s="8" t="s">
        <v>72</v>
      </c>
      <c r="C332" s="10" t="s">
        <v>73</v>
      </c>
      <c r="D332" s="11" t="s">
        <v>885</v>
      </c>
      <c r="E332" s="11" t="s">
        <v>947</v>
      </c>
      <c r="F332" s="9">
        <v>20</v>
      </c>
      <c r="G332" s="9">
        <v>60</v>
      </c>
      <c r="H332" s="9" t="s">
        <v>868</v>
      </c>
      <c r="I332" s="9">
        <v>36</v>
      </c>
      <c r="J332" s="9">
        <v>90</v>
      </c>
      <c r="K332" s="9" t="s">
        <v>873</v>
      </c>
      <c r="L332" s="27">
        <v>9.5340000000000008E-2</v>
      </c>
      <c r="M332" s="28" t="s">
        <v>3203</v>
      </c>
      <c r="N332" s="17">
        <v>5.5646849999999999</v>
      </c>
      <c r="O332" s="1"/>
      <c r="P332" s="38">
        <f t="shared" si="31"/>
        <v>0</v>
      </c>
      <c r="S332" s="24" t="str">
        <f t="shared" si="34"/>
        <v>-</v>
      </c>
      <c r="T332" s="24" t="str">
        <f t="shared" si="32"/>
        <v>-</v>
      </c>
      <c r="U332" s="25" t="str">
        <f t="shared" si="35"/>
        <v>-</v>
      </c>
      <c r="V332" s="26" t="str">
        <f t="shared" si="36"/>
        <v>-</v>
      </c>
      <c r="X332" s="26" t="str">
        <f t="shared" si="33"/>
        <v>-</v>
      </c>
    </row>
    <row r="333" spans="1:24" x14ac:dyDescent="0.3">
      <c r="A333" s="37">
        <v>87614111377</v>
      </c>
      <c r="B333" s="8" t="s">
        <v>86</v>
      </c>
      <c r="C333" s="10" t="s">
        <v>87</v>
      </c>
      <c r="D333" s="11" t="s">
        <v>879</v>
      </c>
      <c r="E333" s="11" t="s">
        <v>922</v>
      </c>
      <c r="F333" s="9">
        <v>20</v>
      </c>
      <c r="G333" s="9">
        <v>60</v>
      </c>
      <c r="H333" s="9" t="s">
        <v>868</v>
      </c>
      <c r="I333" s="9">
        <v>36</v>
      </c>
      <c r="J333" s="9">
        <v>90</v>
      </c>
      <c r="K333" s="9" t="s">
        <v>873</v>
      </c>
      <c r="L333" s="27">
        <v>0.10442</v>
      </c>
      <c r="M333" s="28" t="s">
        <v>3203</v>
      </c>
      <c r="N333" s="17">
        <v>5.2158540000000002</v>
      </c>
      <c r="O333" s="1"/>
      <c r="P333" s="38">
        <f t="shared" si="31"/>
        <v>0</v>
      </c>
      <c r="S333" s="24" t="str">
        <f t="shared" si="34"/>
        <v>-</v>
      </c>
      <c r="T333" s="24" t="str">
        <f t="shared" si="32"/>
        <v>-</v>
      </c>
      <c r="U333" s="25" t="str">
        <f t="shared" si="35"/>
        <v>-</v>
      </c>
      <c r="V333" s="26" t="str">
        <f t="shared" si="36"/>
        <v>-</v>
      </c>
      <c r="X333" s="26" t="str">
        <f t="shared" si="33"/>
        <v>-</v>
      </c>
    </row>
    <row r="334" spans="1:24" x14ac:dyDescent="0.3">
      <c r="A334" s="37">
        <v>87614111575</v>
      </c>
      <c r="B334" s="8" t="s">
        <v>1302</v>
      </c>
      <c r="C334" s="10" t="s">
        <v>2087</v>
      </c>
      <c r="D334" s="11" t="s">
        <v>866</v>
      </c>
      <c r="E334" s="11" t="s">
        <v>2817</v>
      </c>
      <c r="F334" s="9">
        <v>20</v>
      </c>
      <c r="G334" s="9">
        <v>60</v>
      </c>
      <c r="H334" s="9" t="s">
        <v>868</v>
      </c>
      <c r="I334" s="9">
        <v>36</v>
      </c>
      <c r="J334" s="9">
        <v>90</v>
      </c>
      <c r="K334" s="9" t="s">
        <v>873</v>
      </c>
      <c r="L334" s="27">
        <v>9.4205000000000011E-2</v>
      </c>
      <c r="M334" s="28" t="s">
        <v>3203</v>
      </c>
      <c r="N334" s="17">
        <v>6.4284569999999999</v>
      </c>
      <c r="O334" s="1"/>
      <c r="P334" s="38">
        <f t="shared" si="31"/>
        <v>0</v>
      </c>
      <c r="S334" s="24" t="str">
        <f t="shared" si="34"/>
        <v>-</v>
      </c>
      <c r="T334" s="24" t="str">
        <f t="shared" si="32"/>
        <v>-</v>
      </c>
      <c r="U334" s="25" t="str">
        <f t="shared" si="35"/>
        <v>-</v>
      </c>
      <c r="V334" s="26" t="str">
        <f t="shared" si="36"/>
        <v>-</v>
      </c>
      <c r="X334" s="26" t="str">
        <f t="shared" si="33"/>
        <v>-</v>
      </c>
    </row>
    <row r="335" spans="1:24" x14ac:dyDescent="0.3">
      <c r="A335" s="37">
        <v>87614111643</v>
      </c>
      <c r="B335" s="8" t="s">
        <v>95</v>
      </c>
      <c r="C335" s="10" t="s">
        <v>96</v>
      </c>
      <c r="D335" s="11" t="s">
        <v>876</v>
      </c>
      <c r="E335" s="11" t="s">
        <v>916</v>
      </c>
      <c r="F335" s="9">
        <v>9</v>
      </c>
      <c r="G335" s="9">
        <v>27</v>
      </c>
      <c r="H335" s="9" t="s">
        <v>868</v>
      </c>
      <c r="I335" s="9">
        <v>24</v>
      </c>
      <c r="J335" s="9">
        <v>1</v>
      </c>
      <c r="K335" s="9" t="s">
        <v>880</v>
      </c>
      <c r="L335" s="27">
        <v>0.328015</v>
      </c>
      <c r="M335" s="28" t="s">
        <v>3203</v>
      </c>
      <c r="N335" s="17">
        <v>19.135871999999999</v>
      </c>
      <c r="O335" s="1"/>
      <c r="P335" s="38">
        <f t="shared" si="31"/>
        <v>0</v>
      </c>
      <c r="S335" s="24" t="str">
        <f t="shared" si="34"/>
        <v>-</v>
      </c>
      <c r="T335" s="24" t="str">
        <f t="shared" si="32"/>
        <v>-</v>
      </c>
      <c r="U335" s="25" t="str">
        <f t="shared" si="35"/>
        <v>-</v>
      </c>
      <c r="V335" s="26" t="str">
        <f t="shared" si="36"/>
        <v>-</v>
      </c>
      <c r="X335" s="26" t="str">
        <f t="shared" si="33"/>
        <v>-</v>
      </c>
    </row>
    <row r="336" spans="1:24" x14ac:dyDescent="0.3">
      <c r="A336" s="37">
        <v>87614113470</v>
      </c>
      <c r="B336" s="8" t="s">
        <v>155</v>
      </c>
      <c r="C336" s="10" t="s">
        <v>156</v>
      </c>
      <c r="D336" s="11" t="s">
        <v>881</v>
      </c>
      <c r="E336" s="11" t="s">
        <v>936</v>
      </c>
      <c r="F336" s="9">
        <v>20</v>
      </c>
      <c r="G336" s="9">
        <v>60</v>
      </c>
      <c r="H336" s="9" t="s">
        <v>868</v>
      </c>
      <c r="I336" s="9">
        <v>36</v>
      </c>
      <c r="J336" s="9">
        <v>90</v>
      </c>
      <c r="K336" s="9" t="s">
        <v>873</v>
      </c>
      <c r="L336" s="27">
        <v>0.11123000000000001</v>
      </c>
      <c r="M336" s="28" t="s">
        <v>3203</v>
      </c>
      <c r="N336" s="17">
        <v>7.7075039999999992</v>
      </c>
      <c r="O336" s="1"/>
      <c r="P336" s="38">
        <f t="shared" si="31"/>
        <v>0</v>
      </c>
      <c r="S336" s="24" t="str">
        <f t="shared" si="34"/>
        <v>-</v>
      </c>
      <c r="T336" s="24" t="str">
        <f t="shared" si="32"/>
        <v>-</v>
      </c>
      <c r="U336" s="25" t="str">
        <f t="shared" si="35"/>
        <v>-</v>
      </c>
      <c r="V336" s="26" t="str">
        <f t="shared" si="36"/>
        <v>-</v>
      </c>
      <c r="X336" s="26" t="str">
        <f t="shared" si="33"/>
        <v>-</v>
      </c>
    </row>
    <row r="337" spans="1:24" x14ac:dyDescent="0.3">
      <c r="A337" s="37">
        <v>87614113616</v>
      </c>
      <c r="B337" s="8" t="s">
        <v>165</v>
      </c>
      <c r="C337" s="10" t="s">
        <v>2679</v>
      </c>
      <c r="D337" s="11" t="s">
        <v>874</v>
      </c>
      <c r="E337" s="11" t="s">
        <v>2819</v>
      </c>
      <c r="F337" s="9">
        <v>30</v>
      </c>
      <c r="G337" s="9">
        <v>90</v>
      </c>
      <c r="H337" s="9" t="s">
        <v>868</v>
      </c>
      <c r="I337" s="9">
        <v>36</v>
      </c>
      <c r="J337" s="9">
        <v>60</v>
      </c>
      <c r="K337" s="9" t="s">
        <v>873</v>
      </c>
      <c r="L337" s="27">
        <v>6.1289999999999997E-2</v>
      </c>
      <c r="M337" s="28" t="s">
        <v>3203</v>
      </c>
      <c r="N337" s="17">
        <v>4.6012469999999999</v>
      </c>
      <c r="O337" s="1"/>
      <c r="P337" s="38">
        <f t="shared" si="31"/>
        <v>0</v>
      </c>
      <c r="S337" s="24" t="str">
        <f t="shared" si="34"/>
        <v>-</v>
      </c>
      <c r="T337" s="24" t="str">
        <f t="shared" si="32"/>
        <v>-</v>
      </c>
      <c r="U337" s="25" t="str">
        <f t="shared" si="35"/>
        <v>-</v>
      </c>
      <c r="V337" s="26" t="str">
        <f t="shared" si="36"/>
        <v>-</v>
      </c>
      <c r="X337" s="26" t="str">
        <f t="shared" si="33"/>
        <v>-</v>
      </c>
    </row>
    <row r="338" spans="1:24" x14ac:dyDescent="0.3">
      <c r="A338" s="37">
        <v>87614113852</v>
      </c>
      <c r="B338" s="8" t="s">
        <v>1251</v>
      </c>
      <c r="C338" s="10" t="s">
        <v>2053</v>
      </c>
      <c r="D338" s="11" t="s">
        <v>882</v>
      </c>
      <c r="E338" s="11" t="s">
        <v>960</v>
      </c>
      <c r="F338" s="9">
        <v>30</v>
      </c>
      <c r="G338" s="9">
        <v>90</v>
      </c>
      <c r="H338" s="9" t="s">
        <v>868</v>
      </c>
      <c r="I338" s="9">
        <v>36</v>
      </c>
      <c r="J338" s="9">
        <v>60</v>
      </c>
      <c r="K338" s="9" t="s">
        <v>873</v>
      </c>
      <c r="L338" s="27">
        <v>6.9235000000000005E-2</v>
      </c>
      <c r="M338" s="28" t="s">
        <v>3203</v>
      </c>
      <c r="N338" s="17">
        <v>5.6643509999999999</v>
      </c>
      <c r="O338" s="1"/>
      <c r="P338" s="38">
        <f t="shared" si="31"/>
        <v>0</v>
      </c>
      <c r="S338" s="24" t="str">
        <f t="shared" si="34"/>
        <v>-</v>
      </c>
      <c r="T338" s="24" t="str">
        <f t="shared" si="32"/>
        <v>-</v>
      </c>
      <c r="U338" s="25" t="str">
        <f t="shared" si="35"/>
        <v>-</v>
      </c>
      <c r="V338" s="26" t="str">
        <f t="shared" si="36"/>
        <v>-</v>
      </c>
      <c r="X338" s="26" t="str">
        <f t="shared" si="33"/>
        <v>-</v>
      </c>
    </row>
    <row r="339" spans="1:24" x14ac:dyDescent="0.3">
      <c r="A339" s="37">
        <v>87614113869</v>
      </c>
      <c r="B339" s="8" t="s">
        <v>1308</v>
      </c>
      <c r="C339" s="10" t="s">
        <v>2093</v>
      </c>
      <c r="D339" s="11" t="s">
        <v>882</v>
      </c>
      <c r="E339" s="11" t="s">
        <v>960</v>
      </c>
      <c r="F339" s="9">
        <v>30</v>
      </c>
      <c r="G339" s="9">
        <v>90</v>
      </c>
      <c r="H339" s="9" t="s">
        <v>868</v>
      </c>
      <c r="I339" s="9">
        <v>36</v>
      </c>
      <c r="J339" s="9">
        <v>60</v>
      </c>
      <c r="K339" s="9" t="s">
        <v>873</v>
      </c>
      <c r="L339" s="27">
        <v>7.9450000000000007E-2</v>
      </c>
      <c r="M339" s="28" t="s">
        <v>3203</v>
      </c>
      <c r="N339" s="17">
        <v>5.6477399999999998</v>
      </c>
      <c r="O339" s="1"/>
      <c r="P339" s="38">
        <f t="shared" si="31"/>
        <v>0</v>
      </c>
      <c r="S339" s="24" t="str">
        <f t="shared" si="34"/>
        <v>-</v>
      </c>
      <c r="T339" s="24" t="str">
        <f t="shared" si="32"/>
        <v>-</v>
      </c>
      <c r="U339" s="25" t="str">
        <f t="shared" si="35"/>
        <v>-</v>
      </c>
      <c r="V339" s="26" t="str">
        <f t="shared" si="36"/>
        <v>-</v>
      </c>
      <c r="X339" s="26" t="str">
        <f t="shared" si="33"/>
        <v>-</v>
      </c>
    </row>
    <row r="340" spans="1:24" x14ac:dyDescent="0.3">
      <c r="A340" s="37">
        <v>87614114187</v>
      </c>
      <c r="B340" s="8" t="s">
        <v>188</v>
      </c>
      <c r="C340" s="10" t="s">
        <v>189</v>
      </c>
      <c r="D340" s="11" t="s">
        <v>874</v>
      </c>
      <c r="E340" s="11" t="s">
        <v>914</v>
      </c>
      <c r="F340" s="9">
        <v>20</v>
      </c>
      <c r="G340" s="9">
        <v>60</v>
      </c>
      <c r="H340" s="9" t="s">
        <v>892</v>
      </c>
      <c r="I340" s="9">
        <v>24</v>
      </c>
      <c r="J340" s="9">
        <v>120</v>
      </c>
      <c r="K340" s="9" t="s">
        <v>873</v>
      </c>
      <c r="L340" s="27">
        <v>0.13733499999999998</v>
      </c>
      <c r="M340" s="28" t="s">
        <v>3203</v>
      </c>
      <c r="N340" s="17">
        <v>8.6044979999999995</v>
      </c>
      <c r="O340" s="1"/>
      <c r="P340" s="38">
        <f t="shared" si="31"/>
        <v>0</v>
      </c>
      <c r="S340" s="24" t="str">
        <f t="shared" si="34"/>
        <v>-</v>
      </c>
      <c r="T340" s="24" t="str">
        <f t="shared" si="32"/>
        <v>-</v>
      </c>
      <c r="U340" s="25" t="str">
        <f t="shared" si="35"/>
        <v>-</v>
      </c>
      <c r="V340" s="26" t="str">
        <f t="shared" si="36"/>
        <v>-</v>
      </c>
      <c r="X340" s="26" t="str">
        <f t="shared" si="33"/>
        <v>-</v>
      </c>
    </row>
    <row r="341" spans="1:24" x14ac:dyDescent="0.3">
      <c r="A341" s="37">
        <v>87614011455</v>
      </c>
      <c r="B341" s="8" t="s">
        <v>207</v>
      </c>
      <c r="C341" s="10" t="s">
        <v>2683</v>
      </c>
      <c r="D341" s="11" t="s">
        <v>866</v>
      </c>
      <c r="E341" s="11" t="s">
        <v>974</v>
      </c>
      <c r="F341" s="9">
        <v>12</v>
      </c>
      <c r="G341" s="9">
        <v>24</v>
      </c>
      <c r="H341" s="9" t="s">
        <v>868</v>
      </c>
      <c r="I341" s="9">
        <v>24</v>
      </c>
      <c r="J341" s="9">
        <v>250</v>
      </c>
      <c r="K341" s="9" t="s">
        <v>869</v>
      </c>
      <c r="L341" s="27">
        <v>0.480105</v>
      </c>
      <c r="M341" s="28" t="s">
        <v>3203</v>
      </c>
      <c r="N341" s="17">
        <v>38.122244999999999</v>
      </c>
      <c r="O341" s="1"/>
      <c r="P341" s="38">
        <f t="shared" si="31"/>
        <v>0</v>
      </c>
      <c r="S341" s="24" t="str">
        <f t="shared" si="34"/>
        <v>-</v>
      </c>
      <c r="T341" s="24" t="str">
        <f t="shared" si="32"/>
        <v>-</v>
      </c>
      <c r="U341" s="25" t="str">
        <f t="shared" si="35"/>
        <v>-</v>
      </c>
      <c r="V341" s="26" t="str">
        <f t="shared" si="36"/>
        <v>-</v>
      </c>
      <c r="X341" s="26" t="str">
        <f t="shared" si="33"/>
        <v>-</v>
      </c>
    </row>
    <row r="342" spans="1:24" x14ac:dyDescent="0.3">
      <c r="A342" s="37">
        <v>87614114606</v>
      </c>
      <c r="B342" s="8" t="s">
        <v>1549</v>
      </c>
      <c r="C342" s="10" t="s">
        <v>2310</v>
      </c>
      <c r="D342" s="11" t="s">
        <v>875</v>
      </c>
      <c r="E342" s="11" t="s">
        <v>935</v>
      </c>
      <c r="F342" s="9">
        <v>12</v>
      </c>
      <c r="G342" s="9">
        <v>72</v>
      </c>
      <c r="H342" s="9" t="s">
        <v>892</v>
      </c>
      <c r="I342" s="9">
        <v>60</v>
      </c>
      <c r="J342" s="9">
        <v>1</v>
      </c>
      <c r="K342" s="9" t="s">
        <v>895</v>
      </c>
      <c r="L342" s="27">
        <v>0.103285</v>
      </c>
      <c r="M342" s="28" t="s">
        <v>3203</v>
      </c>
      <c r="N342" s="17">
        <v>10.481541</v>
      </c>
      <c r="O342" s="1"/>
      <c r="P342" s="38">
        <f t="shared" si="31"/>
        <v>0</v>
      </c>
      <c r="S342" s="24" t="str">
        <f t="shared" si="34"/>
        <v>-</v>
      </c>
      <c r="T342" s="24" t="str">
        <f t="shared" si="32"/>
        <v>-</v>
      </c>
      <c r="U342" s="25" t="str">
        <f t="shared" si="35"/>
        <v>-</v>
      </c>
      <c r="V342" s="26" t="str">
        <f t="shared" si="36"/>
        <v>-</v>
      </c>
      <c r="X342" s="26" t="str">
        <f t="shared" si="33"/>
        <v>-</v>
      </c>
    </row>
    <row r="343" spans="1:24" x14ac:dyDescent="0.3">
      <c r="A343" s="37">
        <v>87614114927</v>
      </c>
      <c r="B343" s="8" t="s">
        <v>211</v>
      </c>
      <c r="C343" s="10" t="s">
        <v>212</v>
      </c>
      <c r="D343" s="11" t="s">
        <v>884</v>
      </c>
      <c r="E343" s="11" t="s">
        <v>940</v>
      </c>
      <c r="F343" s="9">
        <v>30</v>
      </c>
      <c r="G343" s="9">
        <v>90</v>
      </c>
      <c r="H343" s="9" t="s">
        <v>868</v>
      </c>
      <c r="I343" s="9">
        <v>36</v>
      </c>
      <c r="J343" s="9">
        <v>60</v>
      </c>
      <c r="K343" s="9" t="s">
        <v>873</v>
      </c>
      <c r="L343" s="27">
        <v>7.831500000000001E-2</v>
      </c>
      <c r="M343" s="28" t="s">
        <v>3203</v>
      </c>
      <c r="N343" s="17">
        <v>4.0696950000000003</v>
      </c>
      <c r="O343" s="1"/>
      <c r="P343" s="38">
        <f t="shared" si="31"/>
        <v>0</v>
      </c>
      <c r="S343" s="24" t="str">
        <f t="shared" si="34"/>
        <v>-</v>
      </c>
      <c r="T343" s="24" t="str">
        <f t="shared" si="32"/>
        <v>-</v>
      </c>
      <c r="U343" s="25" t="str">
        <f t="shared" si="35"/>
        <v>-</v>
      </c>
      <c r="V343" s="26" t="str">
        <f t="shared" si="36"/>
        <v>-</v>
      </c>
      <c r="X343" s="26" t="str">
        <f t="shared" si="33"/>
        <v>-</v>
      </c>
    </row>
    <row r="344" spans="1:24" x14ac:dyDescent="0.3">
      <c r="A344" s="37">
        <v>87614011516</v>
      </c>
      <c r="B344" s="8" t="s">
        <v>215</v>
      </c>
      <c r="C344" s="10" t="s">
        <v>2685</v>
      </c>
      <c r="D344" s="11" t="s">
        <v>866</v>
      </c>
      <c r="E344" s="11" t="s">
        <v>974</v>
      </c>
      <c r="F344" s="9">
        <v>30</v>
      </c>
      <c r="G344" s="9">
        <v>90</v>
      </c>
      <c r="H344" s="9" t="s">
        <v>868</v>
      </c>
      <c r="I344" s="9">
        <v>24</v>
      </c>
      <c r="J344" s="9">
        <v>100</v>
      </c>
      <c r="K344" s="9" t="s">
        <v>869</v>
      </c>
      <c r="L344" s="27">
        <v>0.103285</v>
      </c>
      <c r="M344" s="28" t="s">
        <v>3203</v>
      </c>
      <c r="N344" s="17">
        <v>9.1360499999999991</v>
      </c>
      <c r="O344" s="1"/>
      <c r="P344" s="38">
        <f t="shared" si="31"/>
        <v>0</v>
      </c>
      <c r="S344" s="24" t="str">
        <f t="shared" si="34"/>
        <v>-</v>
      </c>
      <c r="T344" s="24" t="str">
        <f t="shared" si="32"/>
        <v>-</v>
      </c>
      <c r="U344" s="25" t="str">
        <f t="shared" si="35"/>
        <v>-</v>
      </c>
      <c r="V344" s="26" t="str">
        <f t="shared" si="36"/>
        <v>-</v>
      </c>
      <c r="X344" s="26" t="str">
        <f t="shared" si="33"/>
        <v>-</v>
      </c>
    </row>
    <row r="345" spans="1:24" x14ac:dyDescent="0.3">
      <c r="A345" s="37">
        <v>87614115832</v>
      </c>
      <c r="B345" s="8" t="s">
        <v>229</v>
      </c>
      <c r="C345" s="10" t="s">
        <v>230</v>
      </c>
      <c r="D345" s="11" t="s">
        <v>874</v>
      </c>
      <c r="E345" s="11" t="s">
        <v>914</v>
      </c>
      <c r="F345" s="9">
        <v>15</v>
      </c>
      <c r="G345" s="9">
        <v>30</v>
      </c>
      <c r="H345" s="9" t="s">
        <v>868</v>
      </c>
      <c r="I345" s="9">
        <v>36</v>
      </c>
      <c r="J345" s="9">
        <v>90</v>
      </c>
      <c r="K345" s="9" t="s">
        <v>869</v>
      </c>
      <c r="L345" s="27">
        <v>0.24402499999999999</v>
      </c>
      <c r="M345" s="28" t="s">
        <v>3203</v>
      </c>
      <c r="N345" s="17">
        <v>10.033043999999999</v>
      </c>
      <c r="O345" s="1"/>
      <c r="P345" s="38">
        <f t="shared" si="31"/>
        <v>0</v>
      </c>
      <c r="S345" s="24" t="str">
        <f t="shared" si="34"/>
        <v>-</v>
      </c>
      <c r="T345" s="24" t="str">
        <f t="shared" si="32"/>
        <v>-</v>
      </c>
      <c r="U345" s="25" t="str">
        <f t="shared" si="35"/>
        <v>-</v>
      </c>
      <c r="V345" s="26" t="str">
        <f t="shared" si="36"/>
        <v>-</v>
      </c>
      <c r="X345" s="26" t="str">
        <f t="shared" si="33"/>
        <v>-</v>
      </c>
    </row>
    <row r="346" spans="1:24" x14ac:dyDescent="0.3">
      <c r="A346" s="37">
        <v>87614117089</v>
      </c>
      <c r="B346" s="8" t="s">
        <v>1402</v>
      </c>
      <c r="C346" s="10" t="s">
        <v>2691</v>
      </c>
      <c r="D346" s="11" t="s">
        <v>881</v>
      </c>
      <c r="E346" s="11" t="s">
        <v>939</v>
      </c>
      <c r="F346" s="9">
        <v>30</v>
      </c>
      <c r="G346" s="9">
        <v>90</v>
      </c>
      <c r="H346" s="9" t="s">
        <v>868</v>
      </c>
      <c r="I346" s="9">
        <v>36</v>
      </c>
      <c r="J346" s="9">
        <v>60</v>
      </c>
      <c r="K346" s="9" t="s">
        <v>3049</v>
      </c>
      <c r="L346" s="27">
        <v>0.15095500000000001</v>
      </c>
      <c r="M346" s="28" t="s">
        <v>3203</v>
      </c>
      <c r="N346" s="17">
        <v>8.272278</v>
      </c>
      <c r="O346" s="1"/>
      <c r="P346" s="38">
        <f t="shared" si="31"/>
        <v>0</v>
      </c>
      <c r="S346" s="24" t="str">
        <f t="shared" si="34"/>
        <v>-</v>
      </c>
      <c r="T346" s="24" t="str">
        <f t="shared" si="32"/>
        <v>-</v>
      </c>
      <c r="U346" s="25" t="str">
        <f t="shared" si="35"/>
        <v>-</v>
      </c>
      <c r="V346" s="26" t="str">
        <f t="shared" si="36"/>
        <v>-</v>
      </c>
      <c r="X346" s="26" t="str">
        <f t="shared" si="33"/>
        <v>-</v>
      </c>
    </row>
    <row r="347" spans="1:24" x14ac:dyDescent="0.3">
      <c r="A347" s="37">
        <v>87614117522</v>
      </c>
      <c r="B347" s="8" t="s">
        <v>277</v>
      </c>
      <c r="C347" s="10" t="s">
        <v>278</v>
      </c>
      <c r="D347" s="11" t="s">
        <v>874</v>
      </c>
      <c r="E347" s="11" t="s">
        <v>919</v>
      </c>
      <c r="F347" s="9">
        <v>20</v>
      </c>
      <c r="G347" s="9">
        <v>60</v>
      </c>
      <c r="H347" s="9" t="s">
        <v>868</v>
      </c>
      <c r="I347" s="9">
        <v>36</v>
      </c>
      <c r="J347" s="9">
        <v>120</v>
      </c>
      <c r="K347" s="9" t="s">
        <v>873</v>
      </c>
      <c r="L347" s="27">
        <v>9.5340000000000008E-2</v>
      </c>
      <c r="M347" s="28" t="s">
        <v>3203</v>
      </c>
      <c r="N347" s="17">
        <v>4.5348030000000001</v>
      </c>
      <c r="O347" s="1"/>
      <c r="P347" s="38">
        <f t="shared" si="31"/>
        <v>0</v>
      </c>
      <c r="S347" s="24" t="str">
        <f t="shared" si="34"/>
        <v>-</v>
      </c>
      <c r="T347" s="24" t="str">
        <f t="shared" si="32"/>
        <v>-</v>
      </c>
      <c r="U347" s="25" t="str">
        <f t="shared" si="35"/>
        <v>-</v>
      </c>
      <c r="V347" s="26" t="str">
        <f t="shared" si="36"/>
        <v>-</v>
      </c>
      <c r="X347" s="26" t="str">
        <f t="shared" si="33"/>
        <v>-</v>
      </c>
    </row>
    <row r="348" spans="1:24" x14ac:dyDescent="0.3">
      <c r="A348" s="37">
        <v>87614011806</v>
      </c>
      <c r="B348" s="8" t="s">
        <v>285</v>
      </c>
      <c r="C348" s="10" t="s">
        <v>3150</v>
      </c>
      <c r="D348" s="11" t="s">
        <v>870</v>
      </c>
      <c r="E348" s="11" t="s">
        <v>1014</v>
      </c>
      <c r="F348" s="9">
        <v>15</v>
      </c>
      <c r="G348" s="9">
        <v>30</v>
      </c>
      <c r="H348" s="9" t="s">
        <v>868</v>
      </c>
      <c r="I348" s="9">
        <v>36</v>
      </c>
      <c r="J348" s="9">
        <v>150</v>
      </c>
      <c r="K348" s="9" t="s">
        <v>2903</v>
      </c>
      <c r="L348" s="27">
        <v>0.22586500000000001</v>
      </c>
      <c r="M348" s="28" t="s">
        <v>3203</v>
      </c>
      <c r="N348" s="17">
        <v>6.8935649999999997</v>
      </c>
      <c r="O348" s="1"/>
      <c r="P348" s="38">
        <f t="shared" si="31"/>
        <v>0</v>
      </c>
      <c r="S348" s="24" t="str">
        <f t="shared" si="34"/>
        <v>-</v>
      </c>
      <c r="T348" s="24" t="str">
        <f t="shared" si="32"/>
        <v>-</v>
      </c>
      <c r="U348" s="25" t="str">
        <f t="shared" si="35"/>
        <v>-</v>
      </c>
      <c r="V348" s="26" t="str">
        <f t="shared" si="36"/>
        <v>-</v>
      </c>
      <c r="X348" s="26" t="str">
        <f t="shared" si="33"/>
        <v>-</v>
      </c>
    </row>
    <row r="349" spans="1:24" x14ac:dyDescent="0.3">
      <c r="A349" s="37">
        <v>87614012063</v>
      </c>
      <c r="B349" s="8" t="s">
        <v>318</v>
      </c>
      <c r="C349" s="10" t="s">
        <v>319</v>
      </c>
      <c r="D349" s="11" t="s">
        <v>882</v>
      </c>
      <c r="E349" s="11" t="s">
        <v>948</v>
      </c>
      <c r="F349" s="9">
        <v>12</v>
      </c>
      <c r="G349" s="9">
        <v>24</v>
      </c>
      <c r="H349" s="9" t="s">
        <v>868</v>
      </c>
      <c r="I349" s="9">
        <v>36</v>
      </c>
      <c r="J349" s="9">
        <v>250</v>
      </c>
      <c r="K349" s="9" t="s">
        <v>873</v>
      </c>
      <c r="L349" s="27">
        <v>0.26105</v>
      </c>
      <c r="M349" s="28" t="s">
        <v>3203</v>
      </c>
      <c r="N349" s="17">
        <v>9.8503229999999995</v>
      </c>
      <c r="O349" s="1"/>
      <c r="P349" s="38">
        <f t="shared" si="31"/>
        <v>0</v>
      </c>
      <c r="S349" s="24" t="str">
        <f t="shared" si="34"/>
        <v>-</v>
      </c>
      <c r="T349" s="24" t="str">
        <f t="shared" si="32"/>
        <v>-</v>
      </c>
      <c r="U349" s="25" t="str">
        <f t="shared" si="35"/>
        <v>-</v>
      </c>
      <c r="V349" s="26" t="str">
        <f t="shared" si="36"/>
        <v>-</v>
      </c>
      <c r="X349" s="26" t="str">
        <f t="shared" si="33"/>
        <v>-</v>
      </c>
    </row>
    <row r="350" spans="1:24" x14ac:dyDescent="0.3">
      <c r="A350" s="37">
        <v>87614015316</v>
      </c>
      <c r="B350" s="8" t="s">
        <v>355</v>
      </c>
      <c r="C350" s="10" t="s">
        <v>356</v>
      </c>
      <c r="D350" s="11" t="s">
        <v>883</v>
      </c>
      <c r="E350" s="11" t="s">
        <v>1029</v>
      </c>
      <c r="F350" s="9">
        <v>20</v>
      </c>
      <c r="G350" s="9">
        <v>60</v>
      </c>
      <c r="H350" s="9" t="s">
        <v>868</v>
      </c>
      <c r="I350" s="9">
        <v>36</v>
      </c>
      <c r="J350" s="9">
        <v>100</v>
      </c>
      <c r="K350" s="9" t="s">
        <v>873</v>
      </c>
      <c r="L350" s="27">
        <v>9.7609999999999988E-2</v>
      </c>
      <c r="M350" s="28" t="s">
        <v>3203</v>
      </c>
      <c r="N350" s="17">
        <v>5.3321309999999995</v>
      </c>
      <c r="O350" s="1"/>
      <c r="P350" s="38">
        <f t="shared" si="31"/>
        <v>0</v>
      </c>
      <c r="S350" s="24" t="str">
        <f t="shared" si="34"/>
        <v>-</v>
      </c>
      <c r="T350" s="24" t="str">
        <f t="shared" si="32"/>
        <v>-</v>
      </c>
      <c r="U350" s="25" t="str">
        <f t="shared" si="35"/>
        <v>-</v>
      </c>
      <c r="V350" s="26" t="str">
        <f t="shared" si="36"/>
        <v>-</v>
      </c>
      <c r="X350" s="26" t="str">
        <f t="shared" si="33"/>
        <v>-</v>
      </c>
    </row>
    <row r="351" spans="1:24" x14ac:dyDescent="0.3">
      <c r="A351" s="37">
        <v>87614017105</v>
      </c>
      <c r="B351" s="8" t="s">
        <v>1325</v>
      </c>
      <c r="C351" s="10" t="s">
        <v>2109</v>
      </c>
      <c r="D351" s="11" t="s">
        <v>874</v>
      </c>
      <c r="E351" s="11" t="s">
        <v>919</v>
      </c>
      <c r="F351" s="9">
        <v>30</v>
      </c>
      <c r="G351" s="9">
        <v>90</v>
      </c>
      <c r="H351" s="9" t="s">
        <v>892</v>
      </c>
      <c r="I351" s="9">
        <v>24</v>
      </c>
      <c r="J351" s="9">
        <v>120</v>
      </c>
      <c r="K351" s="9" t="s">
        <v>873</v>
      </c>
      <c r="L351" s="27">
        <v>5.3345000000000004E-2</v>
      </c>
      <c r="M351" s="28" t="s">
        <v>3203</v>
      </c>
      <c r="N351" s="17">
        <v>6.7440659999999992</v>
      </c>
      <c r="O351" s="1"/>
      <c r="P351" s="38">
        <f t="shared" si="31"/>
        <v>0</v>
      </c>
      <c r="S351" s="24" t="str">
        <f t="shared" si="34"/>
        <v>-</v>
      </c>
      <c r="T351" s="24" t="str">
        <f t="shared" si="32"/>
        <v>-</v>
      </c>
      <c r="U351" s="25" t="str">
        <f t="shared" si="35"/>
        <v>-</v>
      </c>
      <c r="V351" s="26" t="str">
        <f t="shared" si="36"/>
        <v>-</v>
      </c>
      <c r="X351" s="26" t="str">
        <f t="shared" si="33"/>
        <v>-</v>
      </c>
    </row>
    <row r="352" spans="1:24" x14ac:dyDescent="0.3">
      <c r="A352" s="37">
        <v>87614017129</v>
      </c>
      <c r="B352" s="8" t="s">
        <v>372</v>
      </c>
      <c r="C352" s="10" t="s">
        <v>373</v>
      </c>
      <c r="D352" s="11" t="s">
        <v>879</v>
      </c>
      <c r="E352" s="11" t="s">
        <v>990</v>
      </c>
      <c r="F352" s="9">
        <v>30</v>
      </c>
      <c r="G352" s="9">
        <v>90</v>
      </c>
      <c r="H352" s="9" t="s">
        <v>868</v>
      </c>
      <c r="I352" s="9">
        <v>24</v>
      </c>
      <c r="J352" s="9">
        <v>90</v>
      </c>
      <c r="K352" s="9" t="s">
        <v>877</v>
      </c>
      <c r="L352" s="27">
        <v>0.10442</v>
      </c>
      <c r="M352" s="28" t="s">
        <v>3203</v>
      </c>
      <c r="N352" s="17">
        <v>10.896815999999999</v>
      </c>
      <c r="O352" s="1"/>
      <c r="P352" s="38">
        <f t="shared" si="31"/>
        <v>0</v>
      </c>
      <c r="S352" s="24" t="str">
        <f t="shared" si="34"/>
        <v>-</v>
      </c>
      <c r="T352" s="24" t="str">
        <f t="shared" si="32"/>
        <v>-</v>
      </c>
      <c r="U352" s="25" t="str">
        <f t="shared" si="35"/>
        <v>-</v>
      </c>
      <c r="V352" s="26" t="str">
        <f t="shared" si="36"/>
        <v>-</v>
      </c>
      <c r="X352" s="26" t="str">
        <f t="shared" si="33"/>
        <v>-</v>
      </c>
    </row>
    <row r="353" spans="1:24" x14ac:dyDescent="0.3">
      <c r="A353" s="37">
        <v>87614017907</v>
      </c>
      <c r="B353" s="8" t="s">
        <v>376</v>
      </c>
      <c r="C353" s="10" t="s">
        <v>377</v>
      </c>
      <c r="D353" s="11" t="s">
        <v>874</v>
      </c>
      <c r="E353" s="11" t="s">
        <v>914</v>
      </c>
      <c r="F353" s="9">
        <v>30</v>
      </c>
      <c r="G353" s="9">
        <v>90</v>
      </c>
      <c r="H353" s="9" t="s">
        <v>868</v>
      </c>
      <c r="I353" s="9">
        <v>24</v>
      </c>
      <c r="J353" s="9">
        <v>60</v>
      </c>
      <c r="K353" s="9" t="s">
        <v>869</v>
      </c>
      <c r="L353" s="27">
        <v>6.6964999999999997E-2</v>
      </c>
      <c r="M353" s="28" t="s">
        <v>3203</v>
      </c>
      <c r="N353" s="17">
        <v>4.4351370000000001</v>
      </c>
      <c r="O353" s="1"/>
      <c r="P353" s="38">
        <f t="shared" si="31"/>
        <v>0</v>
      </c>
      <c r="S353" s="24" t="str">
        <f t="shared" si="34"/>
        <v>-</v>
      </c>
      <c r="T353" s="24" t="str">
        <f t="shared" si="32"/>
        <v>-</v>
      </c>
      <c r="U353" s="25" t="str">
        <f t="shared" si="35"/>
        <v>-</v>
      </c>
      <c r="V353" s="26" t="str">
        <f t="shared" si="36"/>
        <v>-</v>
      </c>
      <c r="X353" s="26" t="str">
        <f t="shared" si="33"/>
        <v>-</v>
      </c>
    </row>
    <row r="354" spans="1:24" x14ac:dyDescent="0.3">
      <c r="A354" s="37">
        <v>87614018324</v>
      </c>
      <c r="B354" s="8" t="s">
        <v>382</v>
      </c>
      <c r="C354" s="10" t="s">
        <v>2985</v>
      </c>
      <c r="D354" s="11" t="s">
        <v>866</v>
      </c>
      <c r="E354" s="11" t="s">
        <v>1000</v>
      </c>
      <c r="F354" s="9">
        <v>20</v>
      </c>
      <c r="G354" s="9">
        <v>60</v>
      </c>
      <c r="H354" s="9" t="s">
        <v>868</v>
      </c>
      <c r="I354" s="9">
        <v>24</v>
      </c>
      <c r="J354" s="9">
        <v>130</v>
      </c>
      <c r="K354" s="9" t="s">
        <v>3049</v>
      </c>
      <c r="L354" s="27">
        <v>0.24288999999999999</v>
      </c>
      <c r="M354" s="28" t="s">
        <v>3203</v>
      </c>
      <c r="N354" s="17">
        <v>8.8702740000000002</v>
      </c>
      <c r="O354" s="1"/>
      <c r="P354" s="38">
        <f t="shared" si="31"/>
        <v>0</v>
      </c>
      <c r="S354" s="24" t="str">
        <f t="shared" si="34"/>
        <v>-</v>
      </c>
      <c r="T354" s="24" t="str">
        <f t="shared" si="32"/>
        <v>-</v>
      </c>
      <c r="U354" s="25" t="str">
        <f t="shared" si="35"/>
        <v>-</v>
      </c>
      <c r="V354" s="26" t="str">
        <f t="shared" si="36"/>
        <v>-</v>
      </c>
      <c r="X354" s="26" t="str">
        <f t="shared" si="33"/>
        <v>-</v>
      </c>
    </row>
    <row r="355" spans="1:24" x14ac:dyDescent="0.3">
      <c r="A355" s="37">
        <v>87614019062</v>
      </c>
      <c r="B355" s="8" t="s">
        <v>406</v>
      </c>
      <c r="C355" s="10" t="s">
        <v>407</v>
      </c>
      <c r="D355" s="11" t="s">
        <v>898</v>
      </c>
      <c r="E355" s="11" t="s">
        <v>979</v>
      </c>
      <c r="F355" s="9">
        <v>30</v>
      </c>
      <c r="G355" s="9">
        <v>90</v>
      </c>
      <c r="H355" s="9" t="s">
        <v>868</v>
      </c>
      <c r="I355" s="9">
        <v>24</v>
      </c>
      <c r="J355" s="9">
        <v>120</v>
      </c>
      <c r="K355" s="9" t="s">
        <v>869</v>
      </c>
      <c r="L355" s="27">
        <v>9.4205000000000011E-2</v>
      </c>
      <c r="M355" s="28" t="s">
        <v>3203</v>
      </c>
      <c r="N355" s="17">
        <v>11.262258000000001</v>
      </c>
      <c r="O355" s="1"/>
      <c r="P355" s="38">
        <f t="shared" si="31"/>
        <v>0</v>
      </c>
      <c r="S355" s="24" t="str">
        <f t="shared" si="34"/>
        <v>-</v>
      </c>
      <c r="T355" s="24" t="str">
        <f t="shared" si="32"/>
        <v>-</v>
      </c>
      <c r="U355" s="25" t="str">
        <f t="shared" si="35"/>
        <v>-</v>
      </c>
      <c r="V355" s="26" t="str">
        <f t="shared" si="36"/>
        <v>-</v>
      </c>
      <c r="X355" s="26" t="str">
        <f t="shared" si="33"/>
        <v>-</v>
      </c>
    </row>
    <row r="356" spans="1:24" x14ac:dyDescent="0.3">
      <c r="A356" s="37">
        <v>87614019444</v>
      </c>
      <c r="B356" s="8" t="s">
        <v>422</v>
      </c>
      <c r="C356" s="10" t="s">
        <v>423</v>
      </c>
      <c r="D356" s="11" t="s">
        <v>882</v>
      </c>
      <c r="E356" s="11" t="s">
        <v>920</v>
      </c>
      <c r="F356" s="9">
        <v>20</v>
      </c>
      <c r="G356" s="9">
        <v>60</v>
      </c>
      <c r="H356" s="9" t="s">
        <v>868</v>
      </c>
      <c r="I356" s="9">
        <v>24</v>
      </c>
      <c r="J356" s="9">
        <v>100</v>
      </c>
      <c r="K356" s="9" t="s">
        <v>873</v>
      </c>
      <c r="L356" s="27">
        <v>0.15436000000000002</v>
      </c>
      <c r="M356" s="28" t="s">
        <v>3203</v>
      </c>
      <c r="N356" s="17">
        <v>6.6942329999999997</v>
      </c>
      <c r="O356" s="1"/>
      <c r="P356" s="38">
        <f t="shared" si="31"/>
        <v>0</v>
      </c>
      <c r="S356" s="24" t="str">
        <f t="shared" si="34"/>
        <v>-</v>
      </c>
      <c r="T356" s="24" t="str">
        <f t="shared" si="32"/>
        <v>-</v>
      </c>
      <c r="U356" s="25" t="str">
        <f t="shared" si="35"/>
        <v>-</v>
      </c>
      <c r="V356" s="26" t="str">
        <f t="shared" si="36"/>
        <v>-</v>
      </c>
      <c r="X356" s="26" t="str">
        <f t="shared" si="33"/>
        <v>-</v>
      </c>
    </row>
    <row r="357" spans="1:24" x14ac:dyDescent="0.3">
      <c r="A357" s="37">
        <v>87614019482</v>
      </c>
      <c r="B357" s="8" t="s">
        <v>424</v>
      </c>
      <c r="C357" s="10" t="s">
        <v>425</v>
      </c>
      <c r="D357" s="11" t="s">
        <v>882</v>
      </c>
      <c r="E357" s="11" t="s">
        <v>920</v>
      </c>
      <c r="F357" s="9">
        <v>16</v>
      </c>
      <c r="G357" s="9">
        <v>48</v>
      </c>
      <c r="H357" s="9" t="s">
        <v>868</v>
      </c>
      <c r="I357" s="9">
        <v>24</v>
      </c>
      <c r="J357" s="9">
        <v>250</v>
      </c>
      <c r="K357" s="9" t="s">
        <v>877</v>
      </c>
      <c r="L357" s="27">
        <v>0.27466999999999997</v>
      </c>
      <c r="M357" s="28" t="s">
        <v>3203</v>
      </c>
      <c r="N357" s="17">
        <v>12.391806000000001</v>
      </c>
      <c r="O357" s="1"/>
      <c r="P357" s="38">
        <f t="shared" si="31"/>
        <v>0</v>
      </c>
      <c r="S357" s="24" t="str">
        <f t="shared" si="34"/>
        <v>-</v>
      </c>
      <c r="T357" s="24" t="str">
        <f t="shared" si="32"/>
        <v>-</v>
      </c>
      <c r="U357" s="25" t="str">
        <f t="shared" si="35"/>
        <v>-</v>
      </c>
      <c r="V357" s="26" t="str">
        <f t="shared" si="36"/>
        <v>-</v>
      </c>
      <c r="X357" s="26" t="str">
        <f t="shared" si="33"/>
        <v>-</v>
      </c>
    </row>
    <row r="358" spans="1:24" x14ac:dyDescent="0.3">
      <c r="A358" s="37">
        <v>87614019765</v>
      </c>
      <c r="B358" s="8" t="s">
        <v>442</v>
      </c>
      <c r="C358" s="10" t="s">
        <v>443</v>
      </c>
      <c r="D358" s="11" t="s">
        <v>879</v>
      </c>
      <c r="E358" s="11" t="s">
        <v>930</v>
      </c>
      <c r="F358" s="9">
        <v>20</v>
      </c>
      <c r="G358" s="9">
        <v>60</v>
      </c>
      <c r="H358" s="9" t="s">
        <v>868</v>
      </c>
      <c r="I358" s="9">
        <v>36</v>
      </c>
      <c r="J358" s="9">
        <v>100</v>
      </c>
      <c r="K358" s="9" t="s">
        <v>873</v>
      </c>
      <c r="L358" s="27">
        <v>0.10896</v>
      </c>
      <c r="M358" s="28" t="s">
        <v>3203</v>
      </c>
      <c r="N358" s="17">
        <v>4.1693610000000003</v>
      </c>
      <c r="O358" s="1"/>
      <c r="P358" s="38">
        <f t="shared" si="31"/>
        <v>0</v>
      </c>
      <c r="S358" s="24" t="str">
        <f t="shared" si="34"/>
        <v>-</v>
      </c>
      <c r="T358" s="24" t="str">
        <f t="shared" si="32"/>
        <v>-</v>
      </c>
      <c r="U358" s="25" t="str">
        <f t="shared" si="35"/>
        <v>-</v>
      </c>
      <c r="V358" s="26" t="str">
        <f t="shared" si="36"/>
        <v>-</v>
      </c>
      <c r="X358" s="26" t="str">
        <f t="shared" si="33"/>
        <v>-</v>
      </c>
    </row>
    <row r="359" spans="1:24" x14ac:dyDescent="0.3">
      <c r="A359" s="37">
        <v>87614019949</v>
      </c>
      <c r="B359" s="8" t="s">
        <v>454</v>
      </c>
      <c r="C359" s="10" t="s">
        <v>455</v>
      </c>
      <c r="D359" s="11" t="s">
        <v>866</v>
      </c>
      <c r="E359" s="11" t="s">
        <v>1041</v>
      </c>
      <c r="F359" s="9">
        <v>48</v>
      </c>
      <c r="G359" s="9">
        <v>192</v>
      </c>
      <c r="H359" s="9" t="s">
        <v>868</v>
      </c>
      <c r="I359" s="9">
        <v>36</v>
      </c>
      <c r="J359" s="9">
        <v>100</v>
      </c>
      <c r="K359" s="9" t="s">
        <v>877</v>
      </c>
      <c r="L359" s="27">
        <v>5.2209999999999999E-2</v>
      </c>
      <c r="M359" s="28" t="s">
        <v>3203</v>
      </c>
      <c r="N359" s="17">
        <v>2.8072589999999997</v>
      </c>
      <c r="O359" s="1"/>
      <c r="P359" s="38">
        <f t="shared" si="31"/>
        <v>0</v>
      </c>
      <c r="S359" s="24" t="str">
        <f t="shared" si="34"/>
        <v>-</v>
      </c>
      <c r="T359" s="24" t="str">
        <f t="shared" si="32"/>
        <v>-</v>
      </c>
      <c r="U359" s="25" t="str">
        <f t="shared" si="35"/>
        <v>-</v>
      </c>
      <c r="V359" s="26" t="str">
        <f t="shared" si="36"/>
        <v>-</v>
      </c>
      <c r="X359" s="26" t="str">
        <f t="shared" si="33"/>
        <v>-</v>
      </c>
    </row>
    <row r="360" spans="1:24" x14ac:dyDescent="0.3">
      <c r="A360" s="37">
        <v>87614070384</v>
      </c>
      <c r="B360" s="8" t="s">
        <v>468</v>
      </c>
      <c r="C360" s="10" t="s">
        <v>469</v>
      </c>
      <c r="D360" s="11" t="s">
        <v>899</v>
      </c>
      <c r="E360" s="11" t="s">
        <v>1042</v>
      </c>
      <c r="F360" s="9">
        <v>20</v>
      </c>
      <c r="G360" s="9">
        <v>60</v>
      </c>
      <c r="H360" s="9" t="s">
        <v>868</v>
      </c>
      <c r="I360" s="9">
        <v>24</v>
      </c>
      <c r="J360" s="9">
        <v>90</v>
      </c>
      <c r="K360" s="9" t="s">
        <v>873</v>
      </c>
      <c r="L360" s="27">
        <v>0.12712000000000001</v>
      </c>
      <c r="M360" s="28" t="s">
        <v>3203</v>
      </c>
      <c r="N360" s="17">
        <v>11.096147999999999</v>
      </c>
      <c r="O360" s="1"/>
      <c r="P360" s="38">
        <f t="shared" si="31"/>
        <v>0</v>
      </c>
      <c r="S360" s="24" t="str">
        <f t="shared" si="34"/>
        <v>-</v>
      </c>
      <c r="T360" s="24" t="str">
        <f t="shared" si="32"/>
        <v>-</v>
      </c>
      <c r="U360" s="25" t="str">
        <f t="shared" si="35"/>
        <v>-</v>
      </c>
      <c r="V360" s="26" t="str">
        <f t="shared" si="36"/>
        <v>-</v>
      </c>
      <c r="X360" s="26" t="str">
        <f t="shared" si="33"/>
        <v>-</v>
      </c>
    </row>
    <row r="361" spans="1:24" x14ac:dyDescent="0.3">
      <c r="A361" s="37">
        <v>87614070940</v>
      </c>
      <c r="B361" s="8" t="s">
        <v>480</v>
      </c>
      <c r="C361" s="10" t="s">
        <v>3153</v>
      </c>
      <c r="D361" s="11" t="s">
        <v>876</v>
      </c>
      <c r="E361" s="11" t="s">
        <v>1020</v>
      </c>
      <c r="F361" s="9">
        <v>30</v>
      </c>
      <c r="G361" s="9">
        <v>90</v>
      </c>
      <c r="H361" s="9" t="s">
        <v>868</v>
      </c>
      <c r="I361" s="9">
        <v>24</v>
      </c>
      <c r="J361" s="9">
        <v>60</v>
      </c>
      <c r="K361" s="9" t="s">
        <v>873</v>
      </c>
      <c r="L361" s="27">
        <v>8.9664999999999995E-2</v>
      </c>
      <c r="M361" s="28" t="s">
        <v>3203</v>
      </c>
      <c r="N361" s="17">
        <v>9.8503229999999995</v>
      </c>
      <c r="O361" s="1"/>
      <c r="P361" s="38">
        <f t="shared" si="31"/>
        <v>0</v>
      </c>
      <c r="S361" s="24" t="str">
        <f t="shared" si="34"/>
        <v>-</v>
      </c>
      <c r="T361" s="24" t="str">
        <f t="shared" si="32"/>
        <v>-</v>
      </c>
      <c r="U361" s="25" t="str">
        <f t="shared" si="35"/>
        <v>-</v>
      </c>
      <c r="V361" s="26" t="str">
        <f t="shared" si="36"/>
        <v>-</v>
      </c>
      <c r="X361" s="26" t="str">
        <f t="shared" si="33"/>
        <v>-</v>
      </c>
    </row>
    <row r="362" spans="1:24" x14ac:dyDescent="0.3">
      <c r="A362" s="37">
        <v>87614071015</v>
      </c>
      <c r="B362" s="8" t="s">
        <v>481</v>
      </c>
      <c r="C362" s="10" t="s">
        <v>482</v>
      </c>
      <c r="D362" s="11" t="s">
        <v>884</v>
      </c>
      <c r="E362" s="11" t="s">
        <v>946</v>
      </c>
      <c r="F362" s="9">
        <v>30</v>
      </c>
      <c r="G362" s="9">
        <v>90</v>
      </c>
      <c r="H362" s="9" t="s">
        <v>868</v>
      </c>
      <c r="I362" s="9">
        <v>24</v>
      </c>
      <c r="J362" s="9">
        <v>60</v>
      </c>
      <c r="K362" s="9" t="s">
        <v>889</v>
      </c>
      <c r="L362" s="27">
        <v>9.9879999999999997E-2</v>
      </c>
      <c r="M362" s="28" t="s">
        <v>3203</v>
      </c>
      <c r="N362" s="17">
        <v>7.0264529999999992</v>
      </c>
      <c r="O362" s="1"/>
      <c r="P362" s="38">
        <f t="shared" si="31"/>
        <v>0</v>
      </c>
      <c r="S362" s="24" t="str">
        <f t="shared" si="34"/>
        <v>-</v>
      </c>
      <c r="T362" s="24" t="str">
        <f t="shared" si="32"/>
        <v>-</v>
      </c>
      <c r="U362" s="25" t="str">
        <f t="shared" si="35"/>
        <v>-</v>
      </c>
      <c r="V362" s="26" t="str">
        <f t="shared" si="36"/>
        <v>-</v>
      </c>
      <c r="X362" s="26" t="str">
        <f t="shared" si="33"/>
        <v>-</v>
      </c>
    </row>
    <row r="363" spans="1:24" x14ac:dyDescent="0.3">
      <c r="A363" s="37">
        <v>87614071022</v>
      </c>
      <c r="B363" s="8" t="s">
        <v>483</v>
      </c>
      <c r="C363" s="10" t="s">
        <v>2744</v>
      </c>
      <c r="D363" s="11" t="s">
        <v>898</v>
      </c>
      <c r="E363" s="11" t="s">
        <v>979</v>
      </c>
      <c r="F363" s="9">
        <v>20</v>
      </c>
      <c r="G363" s="9">
        <v>60</v>
      </c>
      <c r="H363" s="9" t="s">
        <v>868</v>
      </c>
      <c r="I363" s="9">
        <v>24</v>
      </c>
      <c r="J363" s="9">
        <v>90</v>
      </c>
      <c r="K363" s="9" t="s">
        <v>2903</v>
      </c>
      <c r="L363" s="27">
        <v>0.1135</v>
      </c>
      <c r="M363" s="28" t="s">
        <v>3203</v>
      </c>
      <c r="N363" s="17">
        <v>11.029703999999999</v>
      </c>
      <c r="O363" s="1"/>
      <c r="P363" s="38">
        <f t="shared" si="31"/>
        <v>0</v>
      </c>
      <c r="S363" s="24" t="str">
        <f t="shared" si="34"/>
        <v>-</v>
      </c>
      <c r="T363" s="24" t="str">
        <f t="shared" si="32"/>
        <v>-</v>
      </c>
      <c r="U363" s="25" t="str">
        <f t="shared" si="35"/>
        <v>-</v>
      </c>
      <c r="V363" s="26" t="str">
        <f t="shared" si="36"/>
        <v>-</v>
      </c>
      <c r="X363" s="26" t="str">
        <f t="shared" si="33"/>
        <v>-</v>
      </c>
    </row>
    <row r="364" spans="1:24" x14ac:dyDescent="0.3">
      <c r="A364" s="37">
        <v>87614071114</v>
      </c>
      <c r="B364" s="8" t="s">
        <v>486</v>
      </c>
      <c r="C364" s="10" t="s">
        <v>487</v>
      </c>
      <c r="D364" s="11" t="s">
        <v>884</v>
      </c>
      <c r="E364" s="11" t="s">
        <v>940</v>
      </c>
      <c r="F364" s="9">
        <v>30</v>
      </c>
      <c r="G364" s="9">
        <v>90</v>
      </c>
      <c r="H364" s="9" t="s">
        <v>868</v>
      </c>
      <c r="I364" s="9">
        <v>24</v>
      </c>
      <c r="J364" s="9">
        <v>90</v>
      </c>
      <c r="K364" s="9" t="s">
        <v>889</v>
      </c>
      <c r="L364" s="27">
        <v>9.5340000000000008E-2</v>
      </c>
      <c r="M364" s="28" t="s">
        <v>3203</v>
      </c>
      <c r="N364" s="17">
        <v>8.454998999999999</v>
      </c>
      <c r="O364" s="1"/>
      <c r="P364" s="38">
        <f t="shared" si="31"/>
        <v>0</v>
      </c>
      <c r="S364" s="24" t="str">
        <f t="shared" si="34"/>
        <v>-</v>
      </c>
      <c r="T364" s="24" t="str">
        <f t="shared" si="32"/>
        <v>-</v>
      </c>
      <c r="U364" s="25" t="str">
        <f t="shared" si="35"/>
        <v>-</v>
      </c>
      <c r="V364" s="26" t="str">
        <f t="shared" si="36"/>
        <v>-</v>
      </c>
      <c r="X364" s="26" t="str">
        <f t="shared" si="33"/>
        <v>-</v>
      </c>
    </row>
    <row r="365" spans="1:24" x14ac:dyDescent="0.3">
      <c r="A365" s="37">
        <v>87614170015</v>
      </c>
      <c r="B365" s="8" t="s">
        <v>503</v>
      </c>
      <c r="C365" s="10" t="s">
        <v>504</v>
      </c>
      <c r="D365" s="11" t="s">
        <v>874</v>
      </c>
      <c r="E365" s="11" t="s">
        <v>2819</v>
      </c>
      <c r="F365" s="9">
        <v>16</v>
      </c>
      <c r="G365" s="9">
        <v>48</v>
      </c>
      <c r="H365" s="9" t="s">
        <v>868</v>
      </c>
      <c r="I365" s="9">
        <v>36</v>
      </c>
      <c r="J365" s="9">
        <v>100</v>
      </c>
      <c r="K365" s="9" t="s">
        <v>869</v>
      </c>
      <c r="L365" s="27">
        <v>0.19408500000000001</v>
      </c>
      <c r="M365" s="28" t="s">
        <v>3203</v>
      </c>
      <c r="N365" s="17">
        <v>6.7440659999999992</v>
      </c>
      <c r="O365" s="1"/>
      <c r="P365" s="38">
        <f t="shared" si="31"/>
        <v>0</v>
      </c>
      <c r="S365" s="24" t="str">
        <f t="shared" si="34"/>
        <v>-</v>
      </c>
      <c r="T365" s="24" t="str">
        <f t="shared" si="32"/>
        <v>-</v>
      </c>
      <c r="U365" s="25" t="str">
        <f t="shared" si="35"/>
        <v>-</v>
      </c>
      <c r="V365" s="26" t="str">
        <f t="shared" si="36"/>
        <v>-</v>
      </c>
      <c r="X365" s="26" t="str">
        <f t="shared" si="33"/>
        <v>-</v>
      </c>
    </row>
    <row r="366" spans="1:24" x14ac:dyDescent="0.3">
      <c r="A366" s="37">
        <v>87614170596</v>
      </c>
      <c r="B366" s="8" t="s">
        <v>1086</v>
      </c>
      <c r="C366" s="10" t="s">
        <v>1087</v>
      </c>
      <c r="D366" s="11" t="s">
        <v>874</v>
      </c>
      <c r="E366" s="11" t="s">
        <v>1118</v>
      </c>
      <c r="F366" s="9">
        <v>30</v>
      </c>
      <c r="G366" s="9">
        <v>90</v>
      </c>
      <c r="H366" s="9" t="s">
        <v>868</v>
      </c>
      <c r="I366" s="9">
        <v>24</v>
      </c>
      <c r="J366" s="9">
        <v>60</v>
      </c>
      <c r="K366" s="9" t="s">
        <v>869</v>
      </c>
      <c r="L366" s="27">
        <v>8.8529999999999998E-2</v>
      </c>
      <c r="M366" s="28" t="s">
        <v>3203</v>
      </c>
      <c r="N366" s="17">
        <v>18.720596999999998</v>
      </c>
      <c r="O366" s="1"/>
      <c r="P366" s="38">
        <f t="shared" si="31"/>
        <v>0</v>
      </c>
      <c r="S366" s="24" t="str">
        <f t="shared" si="34"/>
        <v>-</v>
      </c>
      <c r="T366" s="24" t="str">
        <f t="shared" si="32"/>
        <v>-</v>
      </c>
      <c r="U366" s="25" t="str">
        <f t="shared" si="35"/>
        <v>-</v>
      </c>
      <c r="V366" s="26" t="str">
        <f t="shared" si="36"/>
        <v>-</v>
      </c>
      <c r="X366" s="26" t="str">
        <f t="shared" si="33"/>
        <v>-</v>
      </c>
    </row>
    <row r="367" spans="1:24" x14ac:dyDescent="0.3">
      <c r="A367" s="37">
        <v>87614170640</v>
      </c>
      <c r="B367" s="8" t="s">
        <v>1934</v>
      </c>
      <c r="C367" s="10" t="s">
        <v>2656</v>
      </c>
      <c r="D367" s="11" t="s">
        <v>874</v>
      </c>
      <c r="E367" s="11" t="s">
        <v>1118</v>
      </c>
      <c r="F367" s="9">
        <v>20</v>
      </c>
      <c r="G367" s="9">
        <v>60</v>
      </c>
      <c r="H367" s="9" t="s">
        <v>868</v>
      </c>
      <c r="I367" s="9">
        <v>36</v>
      </c>
      <c r="J367" s="9">
        <v>60</v>
      </c>
      <c r="K367" s="9" t="s">
        <v>869</v>
      </c>
      <c r="L367" s="27">
        <v>0.132795</v>
      </c>
      <c r="M367" s="28" t="s">
        <v>3203</v>
      </c>
      <c r="N367" s="17">
        <v>13.886795999999999</v>
      </c>
      <c r="O367" s="1"/>
      <c r="P367" s="38">
        <f t="shared" si="31"/>
        <v>0</v>
      </c>
      <c r="S367" s="24" t="str">
        <f t="shared" si="34"/>
        <v>-</v>
      </c>
      <c r="T367" s="24" t="str">
        <f t="shared" si="32"/>
        <v>-</v>
      </c>
      <c r="U367" s="25" t="str">
        <f t="shared" si="35"/>
        <v>-</v>
      </c>
      <c r="V367" s="26" t="str">
        <f t="shared" si="36"/>
        <v>-</v>
      </c>
      <c r="X367" s="26" t="str">
        <f t="shared" si="33"/>
        <v>-</v>
      </c>
    </row>
    <row r="368" spans="1:24" x14ac:dyDescent="0.3">
      <c r="A368" s="37">
        <v>87614140100</v>
      </c>
      <c r="B368" s="8" t="s">
        <v>1334</v>
      </c>
      <c r="C368" s="10" t="s">
        <v>2116</v>
      </c>
      <c r="D368" s="11" t="s">
        <v>883</v>
      </c>
      <c r="E368" s="11" t="s">
        <v>977</v>
      </c>
      <c r="F368" s="9">
        <v>16</v>
      </c>
      <c r="G368" s="9">
        <v>48</v>
      </c>
      <c r="H368" s="9" t="s">
        <v>868</v>
      </c>
      <c r="I368" s="9">
        <v>24</v>
      </c>
      <c r="J368" s="9">
        <v>120</v>
      </c>
      <c r="K368" s="9" t="s">
        <v>873</v>
      </c>
      <c r="L368" s="27">
        <v>0.13392999999999999</v>
      </c>
      <c r="M368" s="28" t="s">
        <v>3203</v>
      </c>
      <c r="N368" s="17">
        <v>11.29548</v>
      </c>
      <c r="O368" s="1"/>
      <c r="P368" s="38">
        <f t="shared" si="31"/>
        <v>0</v>
      </c>
      <c r="S368" s="24" t="str">
        <f t="shared" si="34"/>
        <v>-</v>
      </c>
      <c r="T368" s="24" t="str">
        <f t="shared" si="32"/>
        <v>-</v>
      </c>
      <c r="U368" s="25" t="str">
        <f t="shared" si="35"/>
        <v>-</v>
      </c>
      <c r="V368" s="26" t="str">
        <f t="shared" si="36"/>
        <v>-</v>
      </c>
      <c r="X368" s="26" t="str">
        <f t="shared" si="33"/>
        <v>-</v>
      </c>
    </row>
    <row r="369" spans="1:24" x14ac:dyDescent="0.3">
      <c r="A369" s="37">
        <v>87614140742</v>
      </c>
      <c r="B369" s="8" t="s">
        <v>527</v>
      </c>
      <c r="C369" s="10" t="s">
        <v>528</v>
      </c>
      <c r="D369" s="11" t="s">
        <v>876</v>
      </c>
      <c r="E369" s="11" t="s">
        <v>955</v>
      </c>
      <c r="F369" s="9">
        <v>30</v>
      </c>
      <c r="G369" s="9">
        <v>90</v>
      </c>
      <c r="H369" s="9" t="s">
        <v>868</v>
      </c>
      <c r="I369" s="9">
        <v>24</v>
      </c>
      <c r="J369" s="9">
        <v>60</v>
      </c>
      <c r="K369" s="9" t="s">
        <v>873</v>
      </c>
      <c r="L369" s="27">
        <v>5.6750000000000002E-2</v>
      </c>
      <c r="M369" s="28" t="s">
        <v>3203</v>
      </c>
      <c r="N369" s="17">
        <v>4.8338010000000002</v>
      </c>
      <c r="O369" s="1"/>
      <c r="P369" s="38">
        <f t="shared" si="31"/>
        <v>0</v>
      </c>
      <c r="S369" s="24" t="str">
        <f t="shared" si="34"/>
        <v>-</v>
      </c>
      <c r="T369" s="24" t="str">
        <f t="shared" si="32"/>
        <v>-</v>
      </c>
      <c r="U369" s="25" t="str">
        <f t="shared" si="35"/>
        <v>-</v>
      </c>
      <c r="V369" s="26" t="str">
        <f t="shared" si="36"/>
        <v>-</v>
      </c>
      <c r="X369" s="26" t="str">
        <f t="shared" si="33"/>
        <v>-</v>
      </c>
    </row>
    <row r="370" spans="1:24" x14ac:dyDescent="0.3">
      <c r="A370" s="37">
        <v>87614141398</v>
      </c>
      <c r="B370" s="8" t="s">
        <v>544</v>
      </c>
      <c r="C370" s="10" t="s">
        <v>545</v>
      </c>
      <c r="D370" s="11" t="s">
        <v>874</v>
      </c>
      <c r="E370" s="11" t="s">
        <v>925</v>
      </c>
      <c r="F370" s="9">
        <v>30</v>
      </c>
      <c r="G370" s="9">
        <v>90</v>
      </c>
      <c r="H370" s="9" t="s">
        <v>868</v>
      </c>
      <c r="I370" s="9">
        <v>24</v>
      </c>
      <c r="J370" s="9">
        <v>60</v>
      </c>
      <c r="K370" s="9" t="s">
        <v>873</v>
      </c>
      <c r="L370" s="27">
        <v>9.6475000000000005E-2</v>
      </c>
      <c r="M370" s="28" t="s">
        <v>3203</v>
      </c>
      <c r="N370" s="17">
        <v>7.2590070000000004</v>
      </c>
      <c r="O370" s="1"/>
      <c r="P370" s="38">
        <f t="shared" si="31"/>
        <v>0</v>
      </c>
      <c r="S370" s="24" t="str">
        <f t="shared" si="34"/>
        <v>-</v>
      </c>
      <c r="T370" s="24" t="str">
        <f t="shared" si="32"/>
        <v>-</v>
      </c>
      <c r="U370" s="25" t="str">
        <f t="shared" si="35"/>
        <v>-</v>
      </c>
      <c r="V370" s="26" t="str">
        <f t="shared" si="36"/>
        <v>-</v>
      </c>
      <c r="X370" s="26" t="str">
        <f t="shared" si="33"/>
        <v>-</v>
      </c>
    </row>
    <row r="371" spans="1:24" x14ac:dyDescent="0.3">
      <c r="A371" s="37">
        <v>87614141503</v>
      </c>
      <c r="B371" s="8" t="s">
        <v>1903</v>
      </c>
      <c r="C371" s="10" t="s">
        <v>2627</v>
      </c>
      <c r="D371" s="11" t="s">
        <v>882</v>
      </c>
      <c r="E371" s="11" t="s">
        <v>960</v>
      </c>
      <c r="F371" s="9">
        <v>16</v>
      </c>
      <c r="G371" s="9">
        <v>48</v>
      </c>
      <c r="H371" s="9" t="s">
        <v>892</v>
      </c>
      <c r="I371" s="9">
        <v>24</v>
      </c>
      <c r="J371" s="9">
        <v>120</v>
      </c>
      <c r="K371" s="9" t="s">
        <v>873</v>
      </c>
      <c r="L371" s="27">
        <v>0.144145</v>
      </c>
      <c r="M371" s="28" t="s">
        <v>3203</v>
      </c>
      <c r="N371" s="17">
        <v>14.700735</v>
      </c>
      <c r="O371" s="1"/>
      <c r="P371" s="38">
        <f t="shared" si="31"/>
        <v>0</v>
      </c>
      <c r="S371" s="24" t="str">
        <f t="shared" si="34"/>
        <v>-</v>
      </c>
      <c r="T371" s="24" t="str">
        <f t="shared" si="32"/>
        <v>-</v>
      </c>
      <c r="U371" s="25" t="str">
        <f t="shared" si="35"/>
        <v>-</v>
      </c>
      <c r="V371" s="26" t="str">
        <f t="shared" si="36"/>
        <v>-</v>
      </c>
      <c r="X371" s="26" t="str">
        <f t="shared" si="33"/>
        <v>-</v>
      </c>
    </row>
    <row r="372" spans="1:24" x14ac:dyDescent="0.3">
      <c r="A372" s="37">
        <v>87614141565</v>
      </c>
      <c r="B372" s="8" t="s">
        <v>556</v>
      </c>
      <c r="C372" s="10" t="s">
        <v>557</v>
      </c>
      <c r="D372" s="11" t="s">
        <v>884</v>
      </c>
      <c r="E372" s="11" t="s">
        <v>940</v>
      </c>
      <c r="F372" s="9">
        <v>30</v>
      </c>
      <c r="G372" s="9">
        <v>90</v>
      </c>
      <c r="H372" s="9" t="s">
        <v>868</v>
      </c>
      <c r="I372" s="9">
        <v>24</v>
      </c>
      <c r="J372" s="9">
        <v>60</v>
      </c>
      <c r="K372" s="9" t="s">
        <v>873</v>
      </c>
      <c r="L372" s="27">
        <v>6.6964999999999997E-2</v>
      </c>
      <c r="M372" s="28" t="s">
        <v>3203</v>
      </c>
      <c r="N372" s="17">
        <v>5.1327989999999994</v>
      </c>
      <c r="O372" s="1"/>
      <c r="P372" s="38">
        <f t="shared" si="31"/>
        <v>0</v>
      </c>
      <c r="S372" s="24" t="str">
        <f t="shared" si="34"/>
        <v>-</v>
      </c>
      <c r="T372" s="24" t="str">
        <f t="shared" si="32"/>
        <v>-</v>
      </c>
      <c r="U372" s="25" t="str">
        <f t="shared" si="35"/>
        <v>-</v>
      </c>
      <c r="V372" s="26" t="str">
        <f t="shared" si="36"/>
        <v>-</v>
      </c>
      <c r="X372" s="26" t="str">
        <f t="shared" si="33"/>
        <v>-</v>
      </c>
    </row>
    <row r="373" spans="1:24" x14ac:dyDescent="0.3">
      <c r="A373" s="37">
        <v>87614141596</v>
      </c>
      <c r="B373" s="8" t="s">
        <v>558</v>
      </c>
      <c r="C373" s="10" t="s">
        <v>559</v>
      </c>
      <c r="D373" s="11" t="s">
        <v>874</v>
      </c>
      <c r="E373" s="11" t="s">
        <v>925</v>
      </c>
      <c r="F373" s="9">
        <v>16</v>
      </c>
      <c r="G373" s="9">
        <v>48</v>
      </c>
      <c r="H373" s="9" t="s">
        <v>868</v>
      </c>
      <c r="I373" s="9">
        <v>36</v>
      </c>
      <c r="J373" s="9">
        <v>120</v>
      </c>
      <c r="K373" s="9" t="s">
        <v>873</v>
      </c>
      <c r="L373" s="27">
        <v>0.144145</v>
      </c>
      <c r="M373" s="28" t="s">
        <v>3203</v>
      </c>
      <c r="N373" s="17">
        <v>8.5214429999999997</v>
      </c>
      <c r="O373" s="1"/>
      <c r="P373" s="38">
        <f t="shared" si="31"/>
        <v>0</v>
      </c>
      <c r="S373" s="24" t="str">
        <f t="shared" si="34"/>
        <v>-</v>
      </c>
      <c r="T373" s="24" t="str">
        <f t="shared" si="32"/>
        <v>-</v>
      </c>
      <c r="U373" s="25" t="str">
        <f t="shared" si="35"/>
        <v>-</v>
      </c>
      <c r="V373" s="26" t="str">
        <f t="shared" si="36"/>
        <v>-</v>
      </c>
      <c r="X373" s="26" t="str">
        <f t="shared" si="33"/>
        <v>-</v>
      </c>
    </row>
    <row r="374" spans="1:24" x14ac:dyDescent="0.3">
      <c r="A374" s="37">
        <v>87614141602</v>
      </c>
      <c r="B374" s="8" t="s">
        <v>560</v>
      </c>
      <c r="C374" s="10" t="s">
        <v>561</v>
      </c>
      <c r="D374" s="11" t="s">
        <v>874</v>
      </c>
      <c r="E374" s="11" t="s">
        <v>914</v>
      </c>
      <c r="F374" s="9">
        <v>30</v>
      </c>
      <c r="G374" s="9">
        <v>90</v>
      </c>
      <c r="H374" s="9" t="s">
        <v>868</v>
      </c>
      <c r="I374" s="9">
        <v>24</v>
      </c>
      <c r="J374" s="9">
        <v>100</v>
      </c>
      <c r="K374" s="9" t="s">
        <v>873</v>
      </c>
      <c r="L374" s="27">
        <v>6.9235000000000005E-2</v>
      </c>
      <c r="M374" s="28" t="s">
        <v>3203</v>
      </c>
      <c r="N374" s="17">
        <v>7.4915609999999999</v>
      </c>
      <c r="O374" s="1"/>
      <c r="P374" s="38">
        <f t="shared" si="31"/>
        <v>0</v>
      </c>
      <c r="S374" s="24" t="str">
        <f t="shared" si="34"/>
        <v>-</v>
      </c>
      <c r="T374" s="24" t="str">
        <f t="shared" si="32"/>
        <v>-</v>
      </c>
      <c r="U374" s="25" t="str">
        <f t="shared" si="35"/>
        <v>-</v>
      </c>
      <c r="V374" s="26" t="str">
        <f t="shared" si="36"/>
        <v>-</v>
      </c>
      <c r="X374" s="26" t="str">
        <f t="shared" si="33"/>
        <v>-</v>
      </c>
    </row>
    <row r="375" spans="1:24" x14ac:dyDescent="0.3">
      <c r="A375" s="37">
        <v>87614141619</v>
      </c>
      <c r="B375" s="8" t="s">
        <v>562</v>
      </c>
      <c r="C375" s="10" t="s">
        <v>563</v>
      </c>
      <c r="D375" s="11" t="s">
        <v>879</v>
      </c>
      <c r="E375" s="11" t="s">
        <v>1025</v>
      </c>
      <c r="F375" s="9">
        <v>20</v>
      </c>
      <c r="G375" s="9">
        <v>60</v>
      </c>
      <c r="H375" s="9" t="s">
        <v>868</v>
      </c>
      <c r="I375" s="9">
        <v>36</v>
      </c>
      <c r="J375" s="9">
        <v>100</v>
      </c>
      <c r="K375" s="9" t="s">
        <v>869</v>
      </c>
      <c r="L375" s="27">
        <v>0.16116999999999998</v>
      </c>
      <c r="M375" s="28" t="s">
        <v>3203</v>
      </c>
      <c r="N375" s="17">
        <v>6.0796259999999993</v>
      </c>
      <c r="O375" s="1"/>
      <c r="P375" s="38">
        <f t="shared" si="31"/>
        <v>0</v>
      </c>
      <c r="S375" s="24" t="str">
        <f t="shared" si="34"/>
        <v>-</v>
      </c>
      <c r="T375" s="24" t="str">
        <f t="shared" si="32"/>
        <v>-</v>
      </c>
      <c r="U375" s="25" t="str">
        <f t="shared" si="35"/>
        <v>-</v>
      </c>
      <c r="V375" s="26" t="str">
        <f t="shared" si="36"/>
        <v>-</v>
      </c>
      <c r="X375" s="26" t="str">
        <f t="shared" si="33"/>
        <v>-</v>
      </c>
    </row>
    <row r="376" spans="1:24" x14ac:dyDescent="0.3">
      <c r="A376" s="37">
        <v>87614141732</v>
      </c>
      <c r="B376" s="8" t="s">
        <v>566</v>
      </c>
      <c r="C376" s="10" t="s">
        <v>567</v>
      </c>
      <c r="D376" s="11" t="s">
        <v>882</v>
      </c>
      <c r="E376" s="11" t="s">
        <v>920</v>
      </c>
      <c r="F376" s="9">
        <v>30</v>
      </c>
      <c r="G376" s="9">
        <v>90</v>
      </c>
      <c r="H376" s="9" t="s">
        <v>868</v>
      </c>
      <c r="I376" s="9">
        <v>24</v>
      </c>
      <c r="J376" s="9">
        <v>60</v>
      </c>
      <c r="K376" s="9" t="s">
        <v>873</v>
      </c>
      <c r="L376" s="27">
        <v>8.058499999999999E-2</v>
      </c>
      <c r="M376" s="28" t="s">
        <v>3203</v>
      </c>
      <c r="N376" s="17">
        <v>9.4682700000000004</v>
      </c>
      <c r="O376" s="1"/>
      <c r="P376" s="38">
        <f t="shared" si="31"/>
        <v>0</v>
      </c>
      <c r="S376" s="24" t="str">
        <f t="shared" si="34"/>
        <v>-</v>
      </c>
      <c r="T376" s="24" t="str">
        <f t="shared" si="32"/>
        <v>-</v>
      </c>
      <c r="U376" s="25" t="str">
        <f t="shared" si="35"/>
        <v>-</v>
      </c>
      <c r="V376" s="26" t="str">
        <f t="shared" si="36"/>
        <v>-</v>
      </c>
      <c r="X376" s="26" t="str">
        <f t="shared" si="33"/>
        <v>-</v>
      </c>
    </row>
    <row r="377" spans="1:24" x14ac:dyDescent="0.3">
      <c r="A377" s="37">
        <v>87614141763</v>
      </c>
      <c r="B377" s="8" t="s">
        <v>570</v>
      </c>
      <c r="C377" s="10" t="s">
        <v>571</v>
      </c>
      <c r="D377" s="11" t="s">
        <v>875</v>
      </c>
      <c r="E377" s="11" t="s">
        <v>935</v>
      </c>
      <c r="F377" s="9">
        <v>16</v>
      </c>
      <c r="G377" s="9">
        <v>48</v>
      </c>
      <c r="H377" s="9" t="s">
        <v>892</v>
      </c>
      <c r="I377" s="9">
        <v>24</v>
      </c>
      <c r="J377" s="9">
        <v>120</v>
      </c>
      <c r="K377" s="9" t="s">
        <v>873</v>
      </c>
      <c r="L377" s="27">
        <v>0.144145</v>
      </c>
      <c r="M377" s="28" t="s">
        <v>3203</v>
      </c>
      <c r="N377" s="17">
        <v>11.312090999999999</v>
      </c>
      <c r="O377" s="1"/>
      <c r="P377" s="38">
        <f t="shared" si="31"/>
        <v>0</v>
      </c>
      <c r="S377" s="24" t="str">
        <f t="shared" si="34"/>
        <v>-</v>
      </c>
      <c r="T377" s="24" t="str">
        <f t="shared" si="32"/>
        <v>-</v>
      </c>
      <c r="U377" s="25" t="str">
        <f t="shared" si="35"/>
        <v>-</v>
      </c>
      <c r="V377" s="26" t="str">
        <f t="shared" si="36"/>
        <v>-</v>
      </c>
      <c r="X377" s="26" t="str">
        <f t="shared" si="33"/>
        <v>-</v>
      </c>
    </row>
    <row r="378" spans="1:24" x14ac:dyDescent="0.3">
      <c r="A378" s="37">
        <v>87614141794</v>
      </c>
      <c r="B378" s="8" t="s">
        <v>574</v>
      </c>
      <c r="C378" s="10" t="s">
        <v>575</v>
      </c>
      <c r="D378" s="11" t="s">
        <v>886</v>
      </c>
      <c r="E378" s="11" t="s">
        <v>957</v>
      </c>
      <c r="F378" s="9">
        <v>30</v>
      </c>
      <c r="G378" s="9">
        <v>90</v>
      </c>
      <c r="H378" s="9" t="s">
        <v>868</v>
      </c>
      <c r="I378" s="9">
        <v>36</v>
      </c>
      <c r="J378" s="9">
        <v>60</v>
      </c>
      <c r="K378" s="9" t="s">
        <v>873</v>
      </c>
      <c r="L378" s="27">
        <v>7.9450000000000007E-2</v>
      </c>
      <c r="M378" s="28" t="s">
        <v>3203</v>
      </c>
      <c r="N378" s="17">
        <v>7.2922289999999998</v>
      </c>
      <c r="O378" s="1"/>
      <c r="P378" s="38">
        <f t="shared" si="31"/>
        <v>0</v>
      </c>
      <c r="S378" s="24" t="str">
        <f t="shared" si="34"/>
        <v>-</v>
      </c>
      <c r="T378" s="24" t="str">
        <f t="shared" si="32"/>
        <v>-</v>
      </c>
      <c r="U378" s="25" t="str">
        <f t="shared" si="35"/>
        <v>-</v>
      </c>
      <c r="V378" s="26" t="str">
        <f t="shared" si="36"/>
        <v>-</v>
      </c>
      <c r="X378" s="26" t="str">
        <f t="shared" si="33"/>
        <v>-</v>
      </c>
    </row>
    <row r="379" spans="1:24" x14ac:dyDescent="0.3">
      <c r="A379" s="37">
        <v>87614142319</v>
      </c>
      <c r="B379" s="8" t="s">
        <v>587</v>
      </c>
      <c r="C379" s="10" t="s">
        <v>2761</v>
      </c>
      <c r="D379" s="11" t="s">
        <v>872</v>
      </c>
      <c r="E379" s="11" t="s">
        <v>1011</v>
      </c>
      <c r="F379" s="9">
        <v>30</v>
      </c>
      <c r="G379" s="9">
        <v>90</v>
      </c>
      <c r="H379" s="9" t="s">
        <v>868</v>
      </c>
      <c r="I379" s="9">
        <v>24</v>
      </c>
      <c r="J379" s="9">
        <v>60</v>
      </c>
      <c r="K379" s="9" t="s">
        <v>2903</v>
      </c>
      <c r="L379" s="27">
        <v>8.7395E-2</v>
      </c>
      <c r="M379" s="28" t="s">
        <v>3203</v>
      </c>
      <c r="N379" s="17">
        <v>9.717435</v>
      </c>
      <c r="O379" s="1"/>
      <c r="P379" s="38">
        <f t="shared" si="31"/>
        <v>0</v>
      </c>
      <c r="S379" s="24" t="str">
        <f t="shared" si="34"/>
        <v>-</v>
      </c>
      <c r="T379" s="24" t="str">
        <f t="shared" si="32"/>
        <v>-</v>
      </c>
      <c r="U379" s="25" t="str">
        <f t="shared" si="35"/>
        <v>-</v>
      </c>
      <c r="V379" s="26" t="str">
        <f t="shared" si="36"/>
        <v>-</v>
      </c>
      <c r="X379" s="26" t="str">
        <f t="shared" si="33"/>
        <v>-</v>
      </c>
    </row>
    <row r="380" spans="1:24" x14ac:dyDescent="0.3">
      <c r="A380" s="37">
        <v>87614060538</v>
      </c>
      <c r="B380" s="8" t="s">
        <v>615</v>
      </c>
      <c r="C380" s="10" t="s">
        <v>616</v>
      </c>
      <c r="D380" s="11" t="s">
        <v>866</v>
      </c>
      <c r="E380" s="11" t="s">
        <v>956</v>
      </c>
      <c r="F380" s="9">
        <v>30</v>
      </c>
      <c r="G380" s="9">
        <v>90</v>
      </c>
      <c r="H380" s="9" t="s">
        <v>868</v>
      </c>
      <c r="I380" s="9">
        <v>24</v>
      </c>
      <c r="J380" s="9">
        <v>30</v>
      </c>
      <c r="K380" s="9" t="s">
        <v>889</v>
      </c>
      <c r="L380" s="27">
        <v>3.2915E-2</v>
      </c>
      <c r="M380" s="28" t="s">
        <v>3203</v>
      </c>
      <c r="N380" s="17">
        <v>7.0264529999999992</v>
      </c>
      <c r="O380" s="1"/>
      <c r="P380" s="38">
        <f t="shared" si="31"/>
        <v>0</v>
      </c>
      <c r="S380" s="24" t="str">
        <f t="shared" si="34"/>
        <v>-</v>
      </c>
      <c r="T380" s="24" t="str">
        <f t="shared" si="32"/>
        <v>-</v>
      </c>
      <c r="U380" s="25" t="str">
        <f t="shared" si="35"/>
        <v>-</v>
      </c>
      <c r="V380" s="26" t="str">
        <f t="shared" si="36"/>
        <v>-</v>
      </c>
      <c r="X380" s="26" t="str">
        <f t="shared" si="33"/>
        <v>-</v>
      </c>
    </row>
    <row r="381" spans="1:24" x14ac:dyDescent="0.3">
      <c r="A381" s="37">
        <v>87614020334</v>
      </c>
      <c r="B381" s="8" t="s">
        <v>625</v>
      </c>
      <c r="C381" s="10" t="s">
        <v>3019</v>
      </c>
      <c r="D381" s="11" t="s">
        <v>876</v>
      </c>
      <c r="E381" s="11" t="s">
        <v>955</v>
      </c>
      <c r="F381" s="9">
        <v>30</v>
      </c>
      <c r="G381" s="9">
        <v>90</v>
      </c>
      <c r="H381" s="9" t="s">
        <v>868</v>
      </c>
      <c r="I381" s="9">
        <v>36</v>
      </c>
      <c r="J381" s="9">
        <v>100</v>
      </c>
      <c r="K381" s="9" t="s">
        <v>2903</v>
      </c>
      <c r="L381" s="27">
        <v>0.10214999999999999</v>
      </c>
      <c r="M381" s="28" t="s">
        <v>3203</v>
      </c>
      <c r="N381" s="17">
        <v>8.5712759999999992</v>
      </c>
      <c r="O381" s="1"/>
      <c r="P381" s="38">
        <f t="shared" si="31"/>
        <v>0</v>
      </c>
      <c r="S381" s="24" t="str">
        <f t="shared" si="34"/>
        <v>-</v>
      </c>
      <c r="T381" s="24" t="str">
        <f t="shared" si="32"/>
        <v>-</v>
      </c>
      <c r="U381" s="25" t="str">
        <f t="shared" si="35"/>
        <v>-</v>
      </c>
      <c r="V381" s="26" t="str">
        <f t="shared" si="36"/>
        <v>-</v>
      </c>
      <c r="X381" s="26" t="str">
        <f t="shared" si="33"/>
        <v>-</v>
      </c>
    </row>
    <row r="382" spans="1:24" x14ac:dyDescent="0.3">
      <c r="A382" s="37">
        <v>87614020624</v>
      </c>
      <c r="B382" s="8" t="s">
        <v>628</v>
      </c>
      <c r="C382" s="10" t="s">
        <v>629</v>
      </c>
      <c r="D382" s="11" t="s">
        <v>866</v>
      </c>
      <c r="E382" s="11" t="s">
        <v>963</v>
      </c>
      <c r="F382" s="9">
        <v>16</v>
      </c>
      <c r="G382" s="9">
        <v>48</v>
      </c>
      <c r="H382" s="9" t="s">
        <v>892</v>
      </c>
      <c r="I382" s="9">
        <v>24</v>
      </c>
      <c r="J382" s="9">
        <v>120</v>
      </c>
      <c r="K382" s="9" t="s">
        <v>873</v>
      </c>
      <c r="L382" s="27">
        <v>0.19068000000000002</v>
      </c>
      <c r="M382" s="28" t="s">
        <v>3203</v>
      </c>
      <c r="N382" s="17">
        <v>11.278869</v>
      </c>
      <c r="O382" s="1"/>
      <c r="P382" s="38">
        <f t="shared" si="31"/>
        <v>0</v>
      </c>
      <c r="S382" s="24" t="str">
        <f t="shared" si="34"/>
        <v>-</v>
      </c>
      <c r="T382" s="24" t="str">
        <f t="shared" si="32"/>
        <v>-</v>
      </c>
      <c r="U382" s="25" t="str">
        <f t="shared" si="35"/>
        <v>-</v>
      </c>
      <c r="V382" s="26" t="str">
        <f t="shared" si="36"/>
        <v>-</v>
      </c>
      <c r="X382" s="26" t="str">
        <f t="shared" si="33"/>
        <v>-</v>
      </c>
    </row>
    <row r="383" spans="1:24" x14ac:dyDescent="0.3">
      <c r="A383" s="37">
        <v>87614020792</v>
      </c>
      <c r="B383" s="8" t="s">
        <v>635</v>
      </c>
      <c r="C383" s="10" t="s">
        <v>2775</v>
      </c>
      <c r="D383" s="11" t="s">
        <v>879</v>
      </c>
      <c r="E383" s="11" t="s">
        <v>1018</v>
      </c>
      <c r="F383" s="9">
        <v>16</v>
      </c>
      <c r="G383" s="9">
        <v>48</v>
      </c>
      <c r="H383" s="9" t="s">
        <v>868</v>
      </c>
      <c r="I383" s="9">
        <v>24</v>
      </c>
      <c r="J383" s="9">
        <v>120</v>
      </c>
      <c r="K383" s="9" t="s">
        <v>2903</v>
      </c>
      <c r="L383" s="27">
        <v>0.14527999999999999</v>
      </c>
      <c r="M383" s="28" t="s">
        <v>3203</v>
      </c>
      <c r="N383" s="17">
        <v>12.325362</v>
      </c>
      <c r="O383" s="1"/>
      <c r="P383" s="38">
        <f t="shared" si="31"/>
        <v>0</v>
      </c>
      <c r="S383" s="24" t="str">
        <f t="shared" si="34"/>
        <v>-</v>
      </c>
      <c r="T383" s="24" t="str">
        <f t="shared" si="32"/>
        <v>-</v>
      </c>
      <c r="U383" s="25" t="str">
        <f t="shared" si="35"/>
        <v>-</v>
      </c>
      <c r="V383" s="26" t="str">
        <f t="shared" si="36"/>
        <v>-</v>
      </c>
      <c r="X383" s="26" t="str">
        <f t="shared" si="33"/>
        <v>-</v>
      </c>
    </row>
    <row r="384" spans="1:24" x14ac:dyDescent="0.3">
      <c r="A384" s="37">
        <v>87614021300</v>
      </c>
      <c r="B384" s="8" t="s">
        <v>668</v>
      </c>
      <c r="C384" s="10" t="s">
        <v>669</v>
      </c>
      <c r="D384" s="11" t="s">
        <v>879</v>
      </c>
      <c r="E384" s="11" t="s">
        <v>990</v>
      </c>
      <c r="F384" s="9">
        <v>30</v>
      </c>
      <c r="G384" s="9">
        <v>90</v>
      </c>
      <c r="H384" s="9" t="s">
        <v>868</v>
      </c>
      <c r="I384" s="9">
        <v>36</v>
      </c>
      <c r="J384" s="9">
        <v>60</v>
      </c>
      <c r="K384" s="9" t="s">
        <v>873</v>
      </c>
      <c r="L384" s="27">
        <v>5.9019999999999996E-2</v>
      </c>
      <c r="M384" s="28" t="s">
        <v>3203</v>
      </c>
      <c r="N384" s="17">
        <v>7.1593410000000004</v>
      </c>
      <c r="O384" s="1"/>
      <c r="P384" s="38">
        <f t="shared" si="31"/>
        <v>0</v>
      </c>
      <c r="S384" s="24" t="str">
        <f t="shared" si="34"/>
        <v>-</v>
      </c>
      <c r="T384" s="24" t="str">
        <f t="shared" si="32"/>
        <v>-</v>
      </c>
      <c r="U384" s="25" t="str">
        <f t="shared" si="35"/>
        <v>-</v>
      </c>
      <c r="V384" s="26" t="str">
        <f t="shared" si="36"/>
        <v>-</v>
      </c>
      <c r="X384" s="26" t="str">
        <f t="shared" si="33"/>
        <v>-</v>
      </c>
    </row>
    <row r="385" spans="1:24" x14ac:dyDescent="0.3">
      <c r="A385" s="37">
        <v>87614023168</v>
      </c>
      <c r="B385" s="8" t="s">
        <v>1474</v>
      </c>
      <c r="C385" s="10" t="s">
        <v>3158</v>
      </c>
      <c r="D385" s="11" t="s">
        <v>876</v>
      </c>
      <c r="E385" s="11" t="s">
        <v>1033</v>
      </c>
      <c r="F385" s="9">
        <v>30</v>
      </c>
      <c r="G385" s="9">
        <v>90</v>
      </c>
      <c r="H385" s="9" t="s">
        <v>868</v>
      </c>
      <c r="I385" s="9">
        <v>24</v>
      </c>
      <c r="J385" s="9">
        <v>60</v>
      </c>
      <c r="K385" s="9" t="s">
        <v>873</v>
      </c>
      <c r="L385" s="27">
        <v>5.7884999999999999E-2</v>
      </c>
      <c r="M385" s="28" t="s">
        <v>3203</v>
      </c>
      <c r="N385" s="17">
        <v>3.8703629999999998</v>
      </c>
      <c r="O385" s="1"/>
      <c r="P385" s="38">
        <f t="shared" si="31"/>
        <v>0</v>
      </c>
      <c r="S385" s="24" t="str">
        <f t="shared" si="34"/>
        <v>-</v>
      </c>
      <c r="T385" s="24" t="str">
        <f t="shared" si="32"/>
        <v>-</v>
      </c>
      <c r="U385" s="25" t="str">
        <f t="shared" si="35"/>
        <v>-</v>
      </c>
      <c r="V385" s="26" t="str">
        <f t="shared" si="36"/>
        <v>-</v>
      </c>
      <c r="X385" s="26" t="str">
        <f t="shared" si="33"/>
        <v>-</v>
      </c>
    </row>
    <row r="386" spans="1:24" x14ac:dyDescent="0.3">
      <c r="A386" s="37">
        <v>87614023656</v>
      </c>
      <c r="B386" s="8" t="s">
        <v>715</v>
      </c>
      <c r="C386" s="10" t="s">
        <v>3159</v>
      </c>
      <c r="D386" s="11" t="s">
        <v>874</v>
      </c>
      <c r="E386" s="11" t="s">
        <v>1032</v>
      </c>
      <c r="F386" s="9">
        <v>30</v>
      </c>
      <c r="G386" s="9">
        <v>90</v>
      </c>
      <c r="H386" s="9" t="s">
        <v>868</v>
      </c>
      <c r="I386" s="9">
        <v>36</v>
      </c>
      <c r="J386" s="9">
        <v>100</v>
      </c>
      <c r="K386" s="9" t="s">
        <v>873</v>
      </c>
      <c r="L386" s="27">
        <v>9.5340000000000008E-2</v>
      </c>
      <c r="M386" s="28" t="s">
        <v>3203</v>
      </c>
      <c r="N386" s="17">
        <v>19.401647999999998</v>
      </c>
      <c r="O386" s="1"/>
      <c r="P386" s="38">
        <f t="shared" si="31"/>
        <v>0</v>
      </c>
      <c r="S386" s="24" t="str">
        <f t="shared" si="34"/>
        <v>-</v>
      </c>
      <c r="T386" s="24" t="str">
        <f t="shared" si="32"/>
        <v>-</v>
      </c>
      <c r="U386" s="25" t="str">
        <f t="shared" si="35"/>
        <v>-</v>
      </c>
      <c r="V386" s="26" t="str">
        <f t="shared" si="36"/>
        <v>-</v>
      </c>
      <c r="X386" s="26" t="str">
        <f t="shared" si="33"/>
        <v>-</v>
      </c>
    </row>
    <row r="387" spans="1:24" x14ac:dyDescent="0.3">
      <c r="A387" s="37">
        <v>87614023717</v>
      </c>
      <c r="B387" s="8" t="s">
        <v>720</v>
      </c>
      <c r="C387" s="10" t="s">
        <v>721</v>
      </c>
      <c r="D387" s="11" t="s">
        <v>883</v>
      </c>
      <c r="E387" s="11" t="s">
        <v>928</v>
      </c>
      <c r="F387" s="9">
        <v>30</v>
      </c>
      <c r="G387" s="9">
        <v>90</v>
      </c>
      <c r="H387" s="9" t="s">
        <v>868</v>
      </c>
      <c r="I387" s="9">
        <v>24</v>
      </c>
      <c r="J387" s="9">
        <v>60</v>
      </c>
      <c r="K387" s="9" t="s">
        <v>873</v>
      </c>
      <c r="L387" s="27">
        <v>7.3775000000000007E-2</v>
      </c>
      <c r="M387" s="28" t="s">
        <v>3203</v>
      </c>
      <c r="N387" s="17">
        <v>10.298820000000001</v>
      </c>
      <c r="O387" s="1"/>
      <c r="P387" s="38">
        <f t="shared" ref="P387:P450" si="37">O387*N387</f>
        <v>0</v>
      </c>
      <c r="S387" s="24" t="str">
        <f t="shared" si="34"/>
        <v>-</v>
      </c>
      <c r="T387" s="24" t="str">
        <f t="shared" ref="T387:T450" si="38">IF(O387&gt;0,N387+L387*O387/$U$2*$V$2/O387,"-")</f>
        <v>-</v>
      </c>
      <c r="U387" s="25" t="str">
        <f t="shared" si="35"/>
        <v>-</v>
      </c>
      <c r="V387" s="26" t="str">
        <f t="shared" si="36"/>
        <v>-</v>
      </c>
      <c r="X387" s="26" t="str">
        <f t="shared" ref="X387:X450" si="39">IFERROR(IF(V387+P387=0, "-", IF(V387&gt;0, V387+P387, "-")), "-")</f>
        <v>-</v>
      </c>
    </row>
    <row r="388" spans="1:24" x14ac:dyDescent="0.3">
      <c r="A388" s="37">
        <v>87614023779</v>
      </c>
      <c r="B388" s="8" t="s">
        <v>726</v>
      </c>
      <c r="C388" s="10" t="s">
        <v>727</v>
      </c>
      <c r="D388" s="11" t="s">
        <v>874</v>
      </c>
      <c r="E388" s="11" t="s">
        <v>1059</v>
      </c>
      <c r="F388" s="9">
        <v>30</v>
      </c>
      <c r="G388" s="9">
        <v>90</v>
      </c>
      <c r="H388" s="9" t="s">
        <v>868</v>
      </c>
      <c r="I388" s="9">
        <v>36</v>
      </c>
      <c r="J388" s="9">
        <v>60</v>
      </c>
      <c r="K388" s="9" t="s">
        <v>869</v>
      </c>
      <c r="L388" s="27">
        <v>7.2639999999999996E-2</v>
      </c>
      <c r="M388" s="28" t="s">
        <v>3203</v>
      </c>
      <c r="N388" s="17">
        <v>32.923001999999997</v>
      </c>
      <c r="O388" s="1"/>
      <c r="P388" s="38">
        <f t="shared" si="37"/>
        <v>0</v>
      </c>
      <c r="S388" s="24" t="str">
        <f t="shared" ref="S388:S451" si="40">IFERROR(IF(S$2*L388=0, "-", $S$2*L388), "-")</f>
        <v>-</v>
      </c>
      <c r="T388" s="24" t="str">
        <f t="shared" si="38"/>
        <v>-</v>
      </c>
      <c r="U388" s="25" t="str">
        <f t="shared" ref="U388:U451" si="41">IF(O388&gt;0,O388*L388, "-")</f>
        <v>-</v>
      </c>
      <c r="V388" s="26" t="str">
        <f t="shared" ref="V388:V451" si="42">IFERROR(IF($S$2&gt;0, $S$2*U388, "-"), "-")</f>
        <v>-</v>
      </c>
      <c r="X388" s="26" t="str">
        <f t="shared" si="39"/>
        <v>-</v>
      </c>
    </row>
    <row r="389" spans="1:24" x14ac:dyDescent="0.3">
      <c r="A389" s="37">
        <v>87614024516</v>
      </c>
      <c r="B389" s="8" t="s">
        <v>743</v>
      </c>
      <c r="C389" s="10" t="s">
        <v>3160</v>
      </c>
      <c r="D389" s="11" t="s">
        <v>884</v>
      </c>
      <c r="E389" s="11" t="s">
        <v>940</v>
      </c>
      <c r="F389" s="9">
        <v>30</v>
      </c>
      <c r="G389" s="9">
        <v>90</v>
      </c>
      <c r="H389" s="9" t="s">
        <v>868</v>
      </c>
      <c r="I389" s="9">
        <v>24</v>
      </c>
      <c r="J389" s="9">
        <v>60</v>
      </c>
      <c r="K389" s="9" t="s">
        <v>2903</v>
      </c>
      <c r="L389" s="27">
        <v>8.7395E-2</v>
      </c>
      <c r="M389" s="28" t="s">
        <v>3203</v>
      </c>
      <c r="N389" s="17">
        <v>10.365264</v>
      </c>
      <c r="O389" s="1"/>
      <c r="P389" s="38">
        <f t="shared" si="37"/>
        <v>0</v>
      </c>
      <c r="S389" s="24" t="str">
        <f t="shared" si="40"/>
        <v>-</v>
      </c>
      <c r="T389" s="24" t="str">
        <f t="shared" si="38"/>
        <v>-</v>
      </c>
      <c r="U389" s="25" t="str">
        <f t="shared" si="41"/>
        <v>-</v>
      </c>
      <c r="V389" s="26" t="str">
        <f t="shared" si="42"/>
        <v>-</v>
      </c>
      <c r="X389" s="26" t="str">
        <f t="shared" si="39"/>
        <v>-</v>
      </c>
    </row>
    <row r="390" spans="1:24" x14ac:dyDescent="0.3">
      <c r="A390" s="37">
        <v>87614024585</v>
      </c>
      <c r="B390" s="8" t="s">
        <v>745</v>
      </c>
      <c r="C390" s="10" t="s">
        <v>746</v>
      </c>
      <c r="D390" s="11" t="s">
        <v>885</v>
      </c>
      <c r="E390" s="11" t="s">
        <v>1021</v>
      </c>
      <c r="F390" s="9">
        <v>30</v>
      </c>
      <c r="G390" s="9">
        <v>90</v>
      </c>
      <c r="H390" s="9" t="s">
        <v>868</v>
      </c>
      <c r="I390" s="9">
        <v>30</v>
      </c>
      <c r="J390" s="9">
        <v>60</v>
      </c>
      <c r="K390" s="9" t="s">
        <v>889</v>
      </c>
      <c r="L390" s="27">
        <v>9.5340000000000008E-2</v>
      </c>
      <c r="M390" s="28" t="s">
        <v>3203</v>
      </c>
      <c r="N390" s="17">
        <v>14.102739</v>
      </c>
      <c r="O390" s="1"/>
      <c r="P390" s="38">
        <f t="shared" si="37"/>
        <v>0</v>
      </c>
      <c r="S390" s="24" t="str">
        <f t="shared" si="40"/>
        <v>-</v>
      </c>
      <c r="T390" s="24" t="str">
        <f t="shared" si="38"/>
        <v>-</v>
      </c>
      <c r="U390" s="25" t="str">
        <f t="shared" si="41"/>
        <v>-</v>
      </c>
      <c r="V390" s="26" t="str">
        <f t="shared" si="42"/>
        <v>-</v>
      </c>
      <c r="X390" s="26" t="str">
        <f t="shared" si="39"/>
        <v>-</v>
      </c>
    </row>
    <row r="391" spans="1:24" x14ac:dyDescent="0.3">
      <c r="A391" s="37">
        <v>87614026657</v>
      </c>
      <c r="B391" s="8" t="s">
        <v>773</v>
      </c>
      <c r="C391" s="10" t="s">
        <v>774</v>
      </c>
      <c r="D391" s="11" t="s">
        <v>881</v>
      </c>
      <c r="E391" s="11" t="s">
        <v>939</v>
      </c>
      <c r="F391" s="9">
        <v>30</v>
      </c>
      <c r="G391" s="9">
        <v>90</v>
      </c>
      <c r="H391" s="9" t="s">
        <v>868</v>
      </c>
      <c r="I391" s="9">
        <v>36</v>
      </c>
      <c r="J391" s="9">
        <v>60</v>
      </c>
      <c r="K391" s="9" t="s">
        <v>873</v>
      </c>
      <c r="L391" s="27">
        <v>8.8529999999999998E-2</v>
      </c>
      <c r="M391" s="28" t="s">
        <v>3203</v>
      </c>
      <c r="N391" s="17">
        <v>6.4949010000000005</v>
      </c>
      <c r="O391" s="1"/>
      <c r="P391" s="38">
        <f t="shared" si="37"/>
        <v>0</v>
      </c>
      <c r="S391" s="24" t="str">
        <f t="shared" si="40"/>
        <v>-</v>
      </c>
      <c r="T391" s="24" t="str">
        <f t="shared" si="38"/>
        <v>-</v>
      </c>
      <c r="U391" s="25" t="str">
        <f t="shared" si="41"/>
        <v>-</v>
      </c>
      <c r="V391" s="26" t="str">
        <f t="shared" si="42"/>
        <v>-</v>
      </c>
      <c r="X391" s="26" t="str">
        <f t="shared" si="39"/>
        <v>-</v>
      </c>
    </row>
    <row r="392" spans="1:24" x14ac:dyDescent="0.3">
      <c r="A392" s="37">
        <v>87614027463</v>
      </c>
      <c r="B392" s="8" t="s">
        <v>796</v>
      </c>
      <c r="C392" s="10" t="s">
        <v>2794</v>
      </c>
      <c r="D392" s="11" t="s">
        <v>882</v>
      </c>
      <c r="E392" s="11" t="s">
        <v>1035</v>
      </c>
      <c r="F392" s="9">
        <v>48</v>
      </c>
      <c r="G392" s="9">
        <v>192</v>
      </c>
      <c r="H392" s="9" t="s">
        <v>868</v>
      </c>
      <c r="I392" s="9">
        <v>24</v>
      </c>
      <c r="J392" s="9">
        <v>30</v>
      </c>
      <c r="K392" s="9" t="s">
        <v>2903</v>
      </c>
      <c r="L392" s="27">
        <v>3.1780000000000003E-2</v>
      </c>
      <c r="M392" s="28" t="s">
        <v>3203</v>
      </c>
      <c r="N392" s="17">
        <v>12.790470000000001</v>
      </c>
      <c r="O392" s="1"/>
      <c r="P392" s="38">
        <f t="shared" si="37"/>
        <v>0</v>
      </c>
      <c r="S392" s="24" t="str">
        <f t="shared" si="40"/>
        <v>-</v>
      </c>
      <c r="T392" s="24" t="str">
        <f t="shared" si="38"/>
        <v>-</v>
      </c>
      <c r="U392" s="25" t="str">
        <f t="shared" si="41"/>
        <v>-</v>
      </c>
      <c r="V392" s="26" t="str">
        <f t="shared" si="42"/>
        <v>-</v>
      </c>
      <c r="X392" s="26" t="str">
        <f t="shared" si="39"/>
        <v>-</v>
      </c>
    </row>
    <row r="393" spans="1:24" x14ac:dyDescent="0.3">
      <c r="A393" s="37">
        <v>87614028200</v>
      </c>
      <c r="B393" s="8" t="s">
        <v>810</v>
      </c>
      <c r="C393" s="10" t="s">
        <v>811</v>
      </c>
      <c r="D393" s="11" t="s">
        <v>879</v>
      </c>
      <c r="E393" s="11" t="s">
        <v>990</v>
      </c>
      <c r="F393" s="9">
        <v>30</v>
      </c>
      <c r="G393" s="9">
        <v>90</v>
      </c>
      <c r="H393" s="9" t="s">
        <v>868</v>
      </c>
      <c r="I393" s="9">
        <v>24</v>
      </c>
      <c r="J393" s="9">
        <v>60</v>
      </c>
      <c r="K393" s="9" t="s">
        <v>889</v>
      </c>
      <c r="L393" s="27">
        <v>8.058499999999999E-2</v>
      </c>
      <c r="M393" s="28" t="s">
        <v>3203</v>
      </c>
      <c r="N393" s="17">
        <v>12.375195</v>
      </c>
      <c r="O393" s="1"/>
      <c r="P393" s="38">
        <f t="shared" si="37"/>
        <v>0</v>
      </c>
      <c r="S393" s="24" t="str">
        <f t="shared" si="40"/>
        <v>-</v>
      </c>
      <c r="T393" s="24" t="str">
        <f t="shared" si="38"/>
        <v>-</v>
      </c>
      <c r="U393" s="25" t="str">
        <f t="shared" si="41"/>
        <v>-</v>
      </c>
      <c r="V393" s="26" t="str">
        <f t="shared" si="42"/>
        <v>-</v>
      </c>
      <c r="X393" s="26" t="str">
        <f t="shared" si="39"/>
        <v>-</v>
      </c>
    </row>
    <row r="394" spans="1:24" x14ac:dyDescent="0.3">
      <c r="A394" s="37">
        <v>87614028293</v>
      </c>
      <c r="B394" s="8" t="s">
        <v>1138</v>
      </c>
      <c r="C394" s="10" t="s">
        <v>1966</v>
      </c>
      <c r="D394" s="11" t="s">
        <v>876</v>
      </c>
      <c r="E394" s="11" t="s">
        <v>1020</v>
      </c>
      <c r="F394" s="9">
        <v>30</v>
      </c>
      <c r="G394" s="9">
        <v>90</v>
      </c>
      <c r="H394" s="9" t="s">
        <v>868</v>
      </c>
      <c r="I394" s="9">
        <v>24</v>
      </c>
      <c r="J394" s="9">
        <v>60</v>
      </c>
      <c r="K394" s="9" t="s">
        <v>889</v>
      </c>
      <c r="L394" s="27">
        <v>5.5615000000000005E-2</v>
      </c>
      <c r="M394" s="28" t="s">
        <v>3203</v>
      </c>
      <c r="N394" s="17">
        <v>12.607749</v>
      </c>
      <c r="O394" s="1"/>
      <c r="P394" s="38">
        <f t="shared" si="37"/>
        <v>0</v>
      </c>
      <c r="S394" s="24" t="str">
        <f t="shared" si="40"/>
        <v>-</v>
      </c>
      <c r="T394" s="24" t="str">
        <f t="shared" si="38"/>
        <v>-</v>
      </c>
      <c r="U394" s="25" t="str">
        <f t="shared" si="41"/>
        <v>-</v>
      </c>
      <c r="V394" s="26" t="str">
        <f t="shared" si="42"/>
        <v>-</v>
      </c>
      <c r="X394" s="26" t="str">
        <f t="shared" si="39"/>
        <v>-</v>
      </c>
    </row>
    <row r="395" spans="1:24" x14ac:dyDescent="0.3">
      <c r="A395" s="37">
        <v>87614029764</v>
      </c>
      <c r="B395" s="8" t="s">
        <v>848</v>
      </c>
      <c r="C395" s="10" t="s">
        <v>849</v>
      </c>
      <c r="D395" s="11" t="s">
        <v>874</v>
      </c>
      <c r="E395" s="11" t="s">
        <v>919</v>
      </c>
      <c r="F395" s="9">
        <v>30</v>
      </c>
      <c r="G395" s="9">
        <v>90</v>
      </c>
      <c r="H395" s="9" t="s">
        <v>868</v>
      </c>
      <c r="I395" s="9">
        <v>24</v>
      </c>
      <c r="J395" s="9">
        <v>60</v>
      </c>
      <c r="K395" s="9" t="s">
        <v>873</v>
      </c>
      <c r="L395" s="27">
        <v>5.5615000000000005E-2</v>
      </c>
      <c r="M395" s="28" t="s">
        <v>3203</v>
      </c>
      <c r="N395" s="17">
        <v>9.6177689999999991</v>
      </c>
      <c r="O395" s="1"/>
      <c r="P395" s="38">
        <f t="shared" si="37"/>
        <v>0</v>
      </c>
      <c r="S395" s="24" t="str">
        <f t="shared" si="40"/>
        <v>-</v>
      </c>
      <c r="T395" s="24" t="str">
        <f t="shared" si="38"/>
        <v>-</v>
      </c>
      <c r="U395" s="25" t="str">
        <f t="shared" si="41"/>
        <v>-</v>
      </c>
      <c r="V395" s="26" t="str">
        <f t="shared" si="42"/>
        <v>-</v>
      </c>
      <c r="X395" s="26" t="str">
        <f t="shared" si="39"/>
        <v>-</v>
      </c>
    </row>
    <row r="396" spans="1:24" x14ac:dyDescent="0.3">
      <c r="A396" s="37">
        <v>87614029894</v>
      </c>
      <c r="B396" s="8" t="s">
        <v>1876</v>
      </c>
      <c r="C396" s="10" t="s">
        <v>2604</v>
      </c>
      <c r="D396" s="11" t="s">
        <v>902</v>
      </c>
      <c r="E396" s="11" t="s">
        <v>933</v>
      </c>
      <c r="F396" s="9">
        <v>48</v>
      </c>
      <c r="G396" s="9">
        <v>192</v>
      </c>
      <c r="H396" s="9" t="s">
        <v>868</v>
      </c>
      <c r="I396" s="9">
        <v>24</v>
      </c>
      <c r="J396" s="9">
        <v>60</v>
      </c>
      <c r="K396" s="9" t="s">
        <v>869</v>
      </c>
      <c r="L396" s="27">
        <v>3.8590000000000006E-2</v>
      </c>
      <c r="M396" s="28" t="s">
        <v>3203</v>
      </c>
      <c r="N396" s="17">
        <v>4.9334670000000003</v>
      </c>
      <c r="O396" s="1"/>
      <c r="P396" s="38">
        <f t="shared" si="37"/>
        <v>0</v>
      </c>
      <c r="S396" s="24" t="str">
        <f t="shared" si="40"/>
        <v>-</v>
      </c>
      <c r="T396" s="24" t="str">
        <f t="shared" si="38"/>
        <v>-</v>
      </c>
      <c r="U396" s="25" t="str">
        <f t="shared" si="41"/>
        <v>-</v>
      </c>
      <c r="V396" s="26" t="str">
        <f t="shared" si="42"/>
        <v>-</v>
      </c>
      <c r="X396" s="26" t="str">
        <f t="shared" si="39"/>
        <v>-</v>
      </c>
    </row>
    <row r="397" spans="1:24" x14ac:dyDescent="0.3">
      <c r="A397" s="37">
        <v>87614010045</v>
      </c>
      <c r="B397" s="8" t="s">
        <v>4</v>
      </c>
      <c r="C397" s="10" t="s">
        <v>5</v>
      </c>
      <c r="D397" s="11" t="s">
        <v>870</v>
      </c>
      <c r="E397" s="11" t="s">
        <v>871</v>
      </c>
      <c r="F397" s="9">
        <v>30</v>
      </c>
      <c r="G397" s="9">
        <v>90</v>
      </c>
      <c r="H397" s="9" t="s">
        <v>868</v>
      </c>
      <c r="I397" s="9">
        <v>24</v>
      </c>
      <c r="J397" s="9">
        <v>250</v>
      </c>
      <c r="K397" s="9" t="s">
        <v>869</v>
      </c>
      <c r="L397" s="27">
        <v>0.116905</v>
      </c>
      <c r="M397" s="28" t="s">
        <v>3203</v>
      </c>
      <c r="N397" s="17">
        <v>6.2125140000000005</v>
      </c>
      <c r="O397" s="1"/>
      <c r="P397" s="38">
        <f t="shared" si="37"/>
        <v>0</v>
      </c>
      <c r="S397" s="24" t="str">
        <f t="shared" si="40"/>
        <v>-</v>
      </c>
      <c r="T397" s="24" t="str">
        <f t="shared" si="38"/>
        <v>-</v>
      </c>
      <c r="U397" s="25" t="str">
        <f t="shared" si="41"/>
        <v>-</v>
      </c>
      <c r="V397" s="26" t="str">
        <f t="shared" si="42"/>
        <v>-</v>
      </c>
      <c r="X397" s="26" t="str">
        <f t="shared" si="39"/>
        <v>-</v>
      </c>
    </row>
    <row r="398" spans="1:24" x14ac:dyDescent="0.3">
      <c r="A398" s="37">
        <v>87614010588</v>
      </c>
      <c r="B398" s="8" t="s">
        <v>32</v>
      </c>
      <c r="C398" s="10" t="s">
        <v>33</v>
      </c>
      <c r="D398" s="11" t="s">
        <v>866</v>
      </c>
      <c r="E398" s="11" t="s">
        <v>918</v>
      </c>
      <c r="F398" s="9">
        <v>12</v>
      </c>
      <c r="G398" s="9">
        <v>24</v>
      </c>
      <c r="H398" s="9" t="s">
        <v>868</v>
      </c>
      <c r="I398" s="9">
        <v>24</v>
      </c>
      <c r="J398" s="9">
        <v>250</v>
      </c>
      <c r="K398" s="9" t="s">
        <v>873</v>
      </c>
      <c r="L398" s="27">
        <v>0.25537500000000002</v>
      </c>
      <c r="M398" s="28" t="s">
        <v>3203</v>
      </c>
      <c r="N398" s="17">
        <v>17.142551999999998</v>
      </c>
      <c r="O398" s="1"/>
      <c r="P398" s="38">
        <f t="shared" si="37"/>
        <v>0</v>
      </c>
      <c r="S398" s="24" t="str">
        <f t="shared" si="40"/>
        <v>-</v>
      </c>
      <c r="T398" s="24" t="str">
        <f t="shared" si="38"/>
        <v>-</v>
      </c>
      <c r="U398" s="25" t="str">
        <f t="shared" si="41"/>
        <v>-</v>
      </c>
      <c r="V398" s="26" t="str">
        <f t="shared" si="42"/>
        <v>-</v>
      </c>
      <c r="X398" s="26" t="str">
        <f t="shared" si="39"/>
        <v>-</v>
      </c>
    </row>
    <row r="399" spans="1:24" x14ac:dyDescent="0.3">
      <c r="A399" s="37">
        <v>87614010656</v>
      </c>
      <c r="B399" s="8" t="s">
        <v>34</v>
      </c>
      <c r="C399" s="10" t="s">
        <v>35</v>
      </c>
      <c r="D399" s="11" t="s">
        <v>874</v>
      </c>
      <c r="E399" s="11" t="s">
        <v>919</v>
      </c>
      <c r="F399" s="9">
        <v>12</v>
      </c>
      <c r="G399" s="9">
        <v>24</v>
      </c>
      <c r="H399" s="9" t="s">
        <v>868</v>
      </c>
      <c r="I399" s="9">
        <v>36</v>
      </c>
      <c r="J399" s="9">
        <v>250</v>
      </c>
      <c r="K399" s="9" t="s">
        <v>873</v>
      </c>
      <c r="L399" s="27">
        <v>0.31893500000000002</v>
      </c>
      <c r="M399" s="28" t="s">
        <v>3203</v>
      </c>
      <c r="N399" s="17">
        <v>29.152304999999998</v>
      </c>
      <c r="O399" s="1"/>
      <c r="P399" s="38">
        <f t="shared" si="37"/>
        <v>0</v>
      </c>
      <c r="S399" s="24" t="str">
        <f t="shared" si="40"/>
        <v>-</v>
      </c>
      <c r="T399" s="24" t="str">
        <f t="shared" si="38"/>
        <v>-</v>
      </c>
      <c r="U399" s="25" t="str">
        <f t="shared" si="41"/>
        <v>-</v>
      </c>
      <c r="V399" s="26" t="str">
        <f t="shared" si="42"/>
        <v>-</v>
      </c>
      <c r="X399" s="26" t="str">
        <f t="shared" si="39"/>
        <v>-</v>
      </c>
    </row>
    <row r="400" spans="1:24" x14ac:dyDescent="0.3">
      <c r="A400" s="37">
        <v>87614110066</v>
      </c>
      <c r="B400" s="8" t="s">
        <v>1359</v>
      </c>
      <c r="C400" s="10" t="s">
        <v>2138</v>
      </c>
      <c r="D400" s="11" t="s">
        <v>870</v>
      </c>
      <c r="E400" s="11" t="s">
        <v>924</v>
      </c>
      <c r="F400" s="9">
        <v>16</v>
      </c>
      <c r="G400" s="9">
        <v>48</v>
      </c>
      <c r="H400" s="9" t="s">
        <v>868</v>
      </c>
      <c r="I400" s="9">
        <v>36</v>
      </c>
      <c r="J400" s="9">
        <v>100</v>
      </c>
      <c r="K400" s="9" t="s">
        <v>873</v>
      </c>
      <c r="L400" s="27">
        <v>0.16230499999999998</v>
      </c>
      <c r="M400" s="28" t="s">
        <v>3203</v>
      </c>
      <c r="N400" s="17">
        <v>4.7341350000000002</v>
      </c>
      <c r="O400" s="1"/>
      <c r="P400" s="38">
        <f t="shared" si="37"/>
        <v>0</v>
      </c>
      <c r="S400" s="24" t="str">
        <f t="shared" si="40"/>
        <v>-</v>
      </c>
      <c r="T400" s="24" t="str">
        <f t="shared" si="38"/>
        <v>-</v>
      </c>
      <c r="U400" s="25" t="str">
        <f t="shared" si="41"/>
        <v>-</v>
      </c>
      <c r="V400" s="26" t="str">
        <f t="shared" si="42"/>
        <v>-</v>
      </c>
      <c r="X400" s="26" t="str">
        <f t="shared" si="39"/>
        <v>-</v>
      </c>
    </row>
    <row r="401" spans="1:24" x14ac:dyDescent="0.3">
      <c r="A401" s="37">
        <v>87614110820</v>
      </c>
      <c r="B401" s="8" t="s">
        <v>62</v>
      </c>
      <c r="C401" s="10" t="s">
        <v>63</v>
      </c>
      <c r="D401" s="11" t="s">
        <v>874</v>
      </c>
      <c r="E401" s="11" t="s">
        <v>914</v>
      </c>
      <c r="F401" s="9">
        <v>16</v>
      </c>
      <c r="G401" s="9">
        <v>48</v>
      </c>
      <c r="H401" s="9" t="s">
        <v>868</v>
      </c>
      <c r="I401" s="9">
        <v>36</v>
      </c>
      <c r="J401" s="9">
        <v>120</v>
      </c>
      <c r="K401" s="9" t="s">
        <v>873</v>
      </c>
      <c r="L401" s="27">
        <v>0.141875</v>
      </c>
      <c r="M401" s="28" t="s">
        <v>3203</v>
      </c>
      <c r="N401" s="17">
        <v>7.3586729999999996</v>
      </c>
      <c r="O401" s="1"/>
      <c r="P401" s="38">
        <f t="shared" si="37"/>
        <v>0</v>
      </c>
      <c r="S401" s="24" t="str">
        <f t="shared" si="40"/>
        <v>-</v>
      </c>
      <c r="T401" s="24" t="str">
        <f t="shared" si="38"/>
        <v>-</v>
      </c>
      <c r="U401" s="25" t="str">
        <f t="shared" si="41"/>
        <v>-</v>
      </c>
      <c r="V401" s="26" t="str">
        <f t="shared" si="42"/>
        <v>-</v>
      </c>
      <c r="X401" s="26" t="str">
        <f t="shared" si="39"/>
        <v>-</v>
      </c>
    </row>
    <row r="402" spans="1:24" x14ac:dyDescent="0.3">
      <c r="A402" s="37">
        <v>87614110868</v>
      </c>
      <c r="B402" s="8" t="s">
        <v>64</v>
      </c>
      <c r="C402" s="10" t="s">
        <v>65</v>
      </c>
      <c r="D402" s="11" t="s">
        <v>884</v>
      </c>
      <c r="E402" s="11" t="s">
        <v>940</v>
      </c>
      <c r="F402" s="9">
        <v>30</v>
      </c>
      <c r="G402" s="9">
        <v>90</v>
      </c>
      <c r="H402" s="9" t="s">
        <v>868</v>
      </c>
      <c r="I402" s="9">
        <v>36</v>
      </c>
      <c r="J402" s="9">
        <v>60</v>
      </c>
      <c r="K402" s="9" t="s">
        <v>873</v>
      </c>
      <c r="L402" s="27">
        <v>7.6045000000000001E-2</v>
      </c>
      <c r="M402" s="28" t="s">
        <v>3203</v>
      </c>
      <c r="N402" s="17">
        <v>19.152483</v>
      </c>
      <c r="O402" s="1"/>
      <c r="P402" s="38">
        <f t="shared" si="37"/>
        <v>0</v>
      </c>
      <c r="S402" s="24" t="str">
        <f t="shared" si="40"/>
        <v>-</v>
      </c>
      <c r="T402" s="24" t="str">
        <f t="shared" si="38"/>
        <v>-</v>
      </c>
      <c r="U402" s="25" t="str">
        <f t="shared" si="41"/>
        <v>-</v>
      </c>
      <c r="V402" s="26" t="str">
        <f t="shared" si="42"/>
        <v>-</v>
      </c>
      <c r="X402" s="26" t="str">
        <f t="shared" si="39"/>
        <v>-</v>
      </c>
    </row>
    <row r="403" spans="1:24" x14ac:dyDescent="0.3">
      <c r="A403" s="37">
        <v>87614110912</v>
      </c>
      <c r="B403" s="8" t="s">
        <v>66</v>
      </c>
      <c r="C403" s="10" t="s">
        <v>2951</v>
      </c>
      <c r="D403" s="11" t="s">
        <v>884</v>
      </c>
      <c r="E403" s="11" t="s">
        <v>941</v>
      </c>
      <c r="F403" s="9">
        <v>16</v>
      </c>
      <c r="G403" s="9">
        <v>48</v>
      </c>
      <c r="H403" s="9" t="s">
        <v>868</v>
      </c>
      <c r="I403" s="9">
        <v>36</v>
      </c>
      <c r="J403" s="9">
        <v>120</v>
      </c>
      <c r="K403" s="9" t="s">
        <v>2903</v>
      </c>
      <c r="L403" s="27">
        <v>0.13733499999999998</v>
      </c>
      <c r="M403" s="28" t="s">
        <v>3203</v>
      </c>
      <c r="N403" s="17">
        <v>7.8403919999999996</v>
      </c>
      <c r="O403" s="1"/>
      <c r="P403" s="38">
        <f t="shared" si="37"/>
        <v>0</v>
      </c>
      <c r="S403" s="24" t="str">
        <f t="shared" si="40"/>
        <v>-</v>
      </c>
      <c r="T403" s="24" t="str">
        <f t="shared" si="38"/>
        <v>-</v>
      </c>
      <c r="U403" s="25" t="str">
        <f t="shared" si="41"/>
        <v>-</v>
      </c>
      <c r="V403" s="26" t="str">
        <f t="shared" si="42"/>
        <v>-</v>
      </c>
      <c r="X403" s="26" t="str">
        <f t="shared" si="39"/>
        <v>-</v>
      </c>
    </row>
    <row r="404" spans="1:24" x14ac:dyDescent="0.3">
      <c r="A404" s="37">
        <v>87614110981</v>
      </c>
      <c r="B404" s="8" t="s">
        <v>1361</v>
      </c>
      <c r="C404" s="10" t="s">
        <v>2141</v>
      </c>
      <c r="D404" s="11" t="s">
        <v>883</v>
      </c>
      <c r="E404" s="11" t="s">
        <v>944</v>
      </c>
      <c r="F404" s="9">
        <v>16</v>
      </c>
      <c r="G404" s="9">
        <v>48</v>
      </c>
      <c r="H404" s="9" t="s">
        <v>868</v>
      </c>
      <c r="I404" s="9">
        <v>36</v>
      </c>
      <c r="J404" s="9">
        <v>120</v>
      </c>
      <c r="K404" s="9" t="s">
        <v>873</v>
      </c>
      <c r="L404" s="27">
        <v>0.14641500000000002</v>
      </c>
      <c r="M404" s="28" t="s">
        <v>3203</v>
      </c>
      <c r="N404" s="17">
        <v>11.162592</v>
      </c>
      <c r="O404" s="1"/>
      <c r="P404" s="38">
        <f t="shared" si="37"/>
        <v>0</v>
      </c>
      <c r="S404" s="24" t="str">
        <f t="shared" si="40"/>
        <v>-</v>
      </c>
      <c r="T404" s="24" t="str">
        <f t="shared" si="38"/>
        <v>-</v>
      </c>
      <c r="U404" s="25" t="str">
        <f t="shared" si="41"/>
        <v>-</v>
      </c>
      <c r="V404" s="26" t="str">
        <f t="shared" si="42"/>
        <v>-</v>
      </c>
      <c r="X404" s="26" t="str">
        <f t="shared" si="39"/>
        <v>-</v>
      </c>
    </row>
    <row r="405" spans="1:24" x14ac:dyDescent="0.3">
      <c r="A405" s="37">
        <v>87614111957</v>
      </c>
      <c r="B405" s="8" t="s">
        <v>104</v>
      </c>
      <c r="C405" s="10" t="s">
        <v>105</v>
      </c>
      <c r="D405" s="11" t="s">
        <v>870</v>
      </c>
      <c r="E405" s="11" t="s">
        <v>962</v>
      </c>
      <c r="F405" s="9">
        <v>30</v>
      </c>
      <c r="G405" s="9">
        <v>90</v>
      </c>
      <c r="H405" s="9" t="s">
        <v>868</v>
      </c>
      <c r="I405" s="9">
        <v>36</v>
      </c>
      <c r="J405" s="9">
        <v>60</v>
      </c>
      <c r="K405" s="9" t="s">
        <v>873</v>
      </c>
      <c r="L405" s="27">
        <v>0.173655</v>
      </c>
      <c r="M405" s="28" t="s">
        <v>3203</v>
      </c>
      <c r="N405" s="17">
        <v>8.6377199999999998</v>
      </c>
      <c r="O405" s="1"/>
      <c r="P405" s="38">
        <f t="shared" si="37"/>
        <v>0</v>
      </c>
      <c r="S405" s="24" t="str">
        <f t="shared" si="40"/>
        <v>-</v>
      </c>
      <c r="T405" s="24" t="str">
        <f t="shared" si="38"/>
        <v>-</v>
      </c>
      <c r="U405" s="25" t="str">
        <f t="shared" si="41"/>
        <v>-</v>
      </c>
      <c r="V405" s="26" t="str">
        <f t="shared" si="42"/>
        <v>-</v>
      </c>
      <c r="X405" s="26" t="str">
        <f t="shared" si="39"/>
        <v>-</v>
      </c>
    </row>
    <row r="406" spans="1:24" x14ac:dyDescent="0.3">
      <c r="A406" s="37">
        <v>87614112657</v>
      </c>
      <c r="B406" s="8" t="s">
        <v>133</v>
      </c>
      <c r="C406" s="10" t="s">
        <v>134</v>
      </c>
      <c r="D406" s="11" t="s">
        <v>879</v>
      </c>
      <c r="E406" s="11" t="s">
        <v>930</v>
      </c>
      <c r="F406" s="9">
        <v>30</v>
      </c>
      <c r="G406" s="9">
        <v>90</v>
      </c>
      <c r="H406" s="9" t="s">
        <v>868</v>
      </c>
      <c r="I406" s="9">
        <v>36</v>
      </c>
      <c r="J406" s="9">
        <v>60</v>
      </c>
      <c r="K406" s="9" t="s">
        <v>873</v>
      </c>
      <c r="L406" s="27">
        <v>5.6750000000000002E-2</v>
      </c>
      <c r="M406" s="28" t="s">
        <v>3203</v>
      </c>
      <c r="N406" s="17">
        <v>3.2557559999999999</v>
      </c>
      <c r="O406" s="1"/>
      <c r="P406" s="38">
        <f t="shared" si="37"/>
        <v>0</v>
      </c>
      <c r="S406" s="24" t="str">
        <f t="shared" si="40"/>
        <v>-</v>
      </c>
      <c r="T406" s="24" t="str">
        <f t="shared" si="38"/>
        <v>-</v>
      </c>
      <c r="U406" s="25" t="str">
        <f t="shared" si="41"/>
        <v>-</v>
      </c>
      <c r="V406" s="26" t="str">
        <f t="shared" si="42"/>
        <v>-</v>
      </c>
      <c r="X406" s="26" t="str">
        <f t="shared" si="39"/>
        <v>-</v>
      </c>
    </row>
    <row r="407" spans="1:24" x14ac:dyDescent="0.3">
      <c r="A407" s="37">
        <v>87614113456</v>
      </c>
      <c r="B407" s="8" t="s">
        <v>153</v>
      </c>
      <c r="C407" s="10" t="s">
        <v>154</v>
      </c>
      <c r="D407" s="11" t="s">
        <v>872</v>
      </c>
      <c r="E407" s="11" t="s">
        <v>945</v>
      </c>
      <c r="F407" s="9">
        <v>16</v>
      </c>
      <c r="G407" s="9">
        <v>48</v>
      </c>
      <c r="H407" s="9" t="s">
        <v>868</v>
      </c>
      <c r="I407" s="9">
        <v>36</v>
      </c>
      <c r="J407" s="9">
        <v>120</v>
      </c>
      <c r="K407" s="9" t="s">
        <v>873</v>
      </c>
      <c r="L407" s="27">
        <v>0.132795</v>
      </c>
      <c r="M407" s="28" t="s">
        <v>3203</v>
      </c>
      <c r="N407" s="17">
        <v>6.6111779999999998</v>
      </c>
      <c r="O407" s="1"/>
      <c r="P407" s="38">
        <f t="shared" si="37"/>
        <v>0</v>
      </c>
      <c r="S407" s="24" t="str">
        <f t="shared" si="40"/>
        <v>-</v>
      </c>
      <c r="T407" s="24" t="str">
        <f t="shared" si="38"/>
        <v>-</v>
      </c>
      <c r="U407" s="25" t="str">
        <f t="shared" si="41"/>
        <v>-</v>
      </c>
      <c r="V407" s="26" t="str">
        <f t="shared" si="42"/>
        <v>-</v>
      </c>
      <c r="X407" s="26" t="str">
        <f t="shared" si="39"/>
        <v>-</v>
      </c>
    </row>
    <row r="408" spans="1:24" x14ac:dyDescent="0.3">
      <c r="A408" s="37">
        <v>87614113562</v>
      </c>
      <c r="B408" s="8" t="s">
        <v>163</v>
      </c>
      <c r="C408" s="10" t="s">
        <v>164</v>
      </c>
      <c r="D408" s="11" t="s">
        <v>883</v>
      </c>
      <c r="E408" s="11" t="s">
        <v>985</v>
      </c>
      <c r="F408" s="9">
        <v>20</v>
      </c>
      <c r="G408" s="9">
        <v>60</v>
      </c>
      <c r="H408" s="9" t="s">
        <v>868</v>
      </c>
      <c r="I408" s="9">
        <v>36</v>
      </c>
      <c r="J408" s="9">
        <v>90</v>
      </c>
      <c r="K408" s="9" t="s">
        <v>873</v>
      </c>
      <c r="L408" s="27">
        <v>0.105555</v>
      </c>
      <c r="M408" s="28" t="s">
        <v>3203</v>
      </c>
      <c r="N408" s="17">
        <v>4.999911</v>
      </c>
      <c r="O408" s="1"/>
      <c r="P408" s="38">
        <f t="shared" si="37"/>
        <v>0</v>
      </c>
      <c r="S408" s="24" t="str">
        <f t="shared" si="40"/>
        <v>-</v>
      </c>
      <c r="T408" s="24" t="str">
        <f t="shared" si="38"/>
        <v>-</v>
      </c>
      <c r="U408" s="25" t="str">
        <f t="shared" si="41"/>
        <v>-</v>
      </c>
      <c r="V408" s="26" t="str">
        <f t="shared" si="42"/>
        <v>-</v>
      </c>
      <c r="X408" s="26" t="str">
        <f t="shared" si="39"/>
        <v>-</v>
      </c>
    </row>
    <row r="409" spans="1:24" x14ac:dyDescent="0.3">
      <c r="A409" s="37">
        <v>87614114361</v>
      </c>
      <c r="B409" s="8" t="s">
        <v>203</v>
      </c>
      <c r="C409" s="10" t="s">
        <v>204</v>
      </c>
      <c r="D409" s="11" t="s">
        <v>886</v>
      </c>
      <c r="E409" s="11" t="s">
        <v>952</v>
      </c>
      <c r="F409" s="9">
        <v>30</v>
      </c>
      <c r="G409" s="9">
        <v>90</v>
      </c>
      <c r="H409" s="9" t="s">
        <v>868</v>
      </c>
      <c r="I409" s="9">
        <v>36</v>
      </c>
      <c r="J409" s="9">
        <v>60</v>
      </c>
      <c r="K409" s="9" t="s">
        <v>873</v>
      </c>
      <c r="L409" s="27">
        <v>7.9450000000000007E-2</v>
      </c>
      <c r="M409" s="28" t="s">
        <v>3203</v>
      </c>
      <c r="N409" s="17">
        <v>2.9401470000000001</v>
      </c>
      <c r="O409" s="1"/>
      <c r="P409" s="38">
        <f t="shared" si="37"/>
        <v>0</v>
      </c>
      <c r="S409" s="24" t="str">
        <f t="shared" si="40"/>
        <v>-</v>
      </c>
      <c r="T409" s="24" t="str">
        <f t="shared" si="38"/>
        <v>-</v>
      </c>
      <c r="U409" s="25" t="str">
        <f t="shared" si="41"/>
        <v>-</v>
      </c>
      <c r="V409" s="26" t="str">
        <f t="shared" si="42"/>
        <v>-</v>
      </c>
      <c r="X409" s="26" t="str">
        <f t="shared" si="39"/>
        <v>-</v>
      </c>
    </row>
    <row r="410" spans="1:24" x14ac:dyDescent="0.3">
      <c r="A410" s="37">
        <v>87614114897</v>
      </c>
      <c r="B410" s="8" t="s">
        <v>1557</v>
      </c>
      <c r="C410" s="10" t="s">
        <v>2318</v>
      </c>
      <c r="D410" s="11" t="s">
        <v>883</v>
      </c>
      <c r="E410" s="11" t="s">
        <v>938</v>
      </c>
      <c r="F410" s="9">
        <v>30</v>
      </c>
      <c r="G410" s="9">
        <v>90</v>
      </c>
      <c r="H410" s="9" t="s">
        <v>868</v>
      </c>
      <c r="I410" s="9">
        <v>36</v>
      </c>
      <c r="J410" s="9">
        <v>60</v>
      </c>
      <c r="K410" s="9" t="s">
        <v>889</v>
      </c>
      <c r="L410" s="27">
        <v>8.7395E-2</v>
      </c>
      <c r="M410" s="28" t="s">
        <v>3203</v>
      </c>
      <c r="N410" s="17">
        <v>4.6344689999999993</v>
      </c>
      <c r="O410" s="1"/>
      <c r="P410" s="38">
        <f t="shared" si="37"/>
        <v>0</v>
      </c>
      <c r="S410" s="24" t="str">
        <f t="shared" si="40"/>
        <v>-</v>
      </c>
      <c r="T410" s="24" t="str">
        <f t="shared" si="38"/>
        <v>-</v>
      </c>
      <c r="U410" s="25" t="str">
        <f t="shared" si="41"/>
        <v>-</v>
      </c>
      <c r="V410" s="26" t="str">
        <f t="shared" si="42"/>
        <v>-</v>
      </c>
      <c r="X410" s="26" t="str">
        <f t="shared" si="39"/>
        <v>-</v>
      </c>
    </row>
    <row r="411" spans="1:24" x14ac:dyDescent="0.3">
      <c r="A411" s="37">
        <v>87614011523</v>
      </c>
      <c r="B411" s="8" t="s">
        <v>219</v>
      </c>
      <c r="C411" s="10" t="s">
        <v>2686</v>
      </c>
      <c r="D411" s="11" t="s">
        <v>866</v>
      </c>
      <c r="E411" s="11" t="s">
        <v>974</v>
      </c>
      <c r="F411" s="9">
        <v>15</v>
      </c>
      <c r="G411" s="9">
        <v>30</v>
      </c>
      <c r="H411" s="9" t="s">
        <v>868</v>
      </c>
      <c r="I411" s="9">
        <v>24</v>
      </c>
      <c r="J411" s="9">
        <v>250</v>
      </c>
      <c r="K411" s="9" t="s">
        <v>869</v>
      </c>
      <c r="L411" s="27">
        <v>0.23607999999999998</v>
      </c>
      <c r="M411" s="28" t="s">
        <v>3203</v>
      </c>
      <c r="N411" s="17">
        <v>22.242128999999998</v>
      </c>
      <c r="O411" s="1"/>
      <c r="P411" s="38">
        <f t="shared" si="37"/>
        <v>0</v>
      </c>
      <c r="S411" s="24" t="str">
        <f t="shared" si="40"/>
        <v>-</v>
      </c>
      <c r="T411" s="24" t="str">
        <f t="shared" si="38"/>
        <v>-</v>
      </c>
      <c r="U411" s="25" t="str">
        <f t="shared" si="41"/>
        <v>-</v>
      </c>
      <c r="V411" s="26" t="str">
        <f t="shared" si="42"/>
        <v>-</v>
      </c>
      <c r="X411" s="26" t="str">
        <f t="shared" si="39"/>
        <v>-</v>
      </c>
    </row>
    <row r="412" spans="1:24" x14ac:dyDescent="0.3">
      <c r="A412" s="37">
        <v>87614115252</v>
      </c>
      <c r="B412" s="8" t="s">
        <v>220</v>
      </c>
      <c r="C412" s="10" t="s">
        <v>221</v>
      </c>
      <c r="D412" s="11" t="s">
        <v>881</v>
      </c>
      <c r="E412" s="11" t="s">
        <v>939</v>
      </c>
      <c r="F412" s="9">
        <v>15</v>
      </c>
      <c r="G412" s="9">
        <v>30</v>
      </c>
      <c r="H412" s="9" t="s">
        <v>868</v>
      </c>
      <c r="I412" s="9">
        <v>36</v>
      </c>
      <c r="J412" s="9">
        <v>120</v>
      </c>
      <c r="K412" s="9" t="s">
        <v>873</v>
      </c>
      <c r="L412" s="27">
        <v>0.19068000000000002</v>
      </c>
      <c r="M412" s="28" t="s">
        <v>3203</v>
      </c>
      <c r="N412" s="17">
        <v>9.4848809999999997</v>
      </c>
      <c r="O412" s="1"/>
      <c r="P412" s="38">
        <f t="shared" si="37"/>
        <v>0</v>
      </c>
      <c r="S412" s="24" t="str">
        <f t="shared" si="40"/>
        <v>-</v>
      </c>
      <c r="T412" s="24" t="str">
        <f t="shared" si="38"/>
        <v>-</v>
      </c>
      <c r="U412" s="25" t="str">
        <f t="shared" si="41"/>
        <v>-</v>
      </c>
      <c r="V412" s="26" t="str">
        <f t="shared" si="42"/>
        <v>-</v>
      </c>
      <c r="X412" s="26" t="str">
        <f t="shared" si="39"/>
        <v>-</v>
      </c>
    </row>
    <row r="413" spans="1:24" x14ac:dyDescent="0.3">
      <c r="A413" s="37">
        <v>87614115290</v>
      </c>
      <c r="B413" s="8" t="s">
        <v>1563</v>
      </c>
      <c r="C413" s="10" t="s">
        <v>2324</v>
      </c>
      <c r="D413" s="11" t="s">
        <v>874</v>
      </c>
      <c r="E413" s="11" t="s">
        <v>914</v>
      </c>
      <c r="F413" s="9">
        <v>15</v>
      </c>
      <c r="G413" s="9">
        <v>30</v>
      </c>
      <c r="H413" s="9" t="s">
        <v>868</v>
      </c>
      <c r="I413" s="9">
        <v>36</v>
      </c>
      <c r="J413" s="9">
        <v>250</v>
      </c>
      <c r="K413" s="9" t="s">
        <v>869</v>
      </c>
      <c r="L413" s="27">
        <v>0.307585</v>
      </c>
      <c r="M413" s="28" t="s">
        <v>3203</v>
      </c>
      <c r="N413" s="17">
        <v>13.238967000000001</v>
      </c>
      <c r="O413" s="1"/>
      <c r="P413" s="38">
        <f t="shared" si="37"/>
        <v>0</v>
      </c>
      <c r="S413" s="24" t="str">
        <f t="shared" si="40"/>
        <v>-</v>
      </c>
      <c r="T413" s="24" t="str">
        <f t="shared" si="38"/>
        <v>-</v>
      </c>
      <c r="U413" s="25" t="str">
        <f t="shared" si="41"/>
        <v>-</v>
      </c>
      <c r="V413" s="26" t="str">
        <f t="shared" si="42"/>
        <v>-</v>
      </c>
      <c r="X413" s="26" t="str">
        <f t="shared" si="39"/>
        <v>-</v>
      </c>
    </row>
    <row r="414" spans="1:24" x14ac:dyDescent="0.3">
      <c r="A414" s="37">
        <v>87614115863</v>
      </c>
      <c r="B414" s="8" t="s">
        <v>231</v>
      </c>
      <c r="C414" s="10" t="s">
        <v>232</v>
      </c>
      <c r="D414" s="11" t="s">
        <v>883</v>
      </c>
      <c r="E414" s="11" t="s">
        <v>938</v>
      </c>
      <c r="F414" s="9">
        <v>30</v>
      </c>
      <c r="G414" s="9">
        <v>90</v>
      </c>
      <c r="H414" s="9" t="s">
        <v>868</v>
      </c>
      <c r="I414" s="9">
        <v>36</v>
      </c>
      <c r="J414" s="9">
        <v>60</v>
      </c>
      <c r="K414" s="9" t="s">
        <v>873</v>
      </c>
      <c r="L414" s="27">
        <v>8.5124999999999992E-2</v>
      </c>
      <c r="M414" s="28" t="s">
        <v>3203</v>
      </c>
      <c r="N414" s="17">
        <v>4.7507459999999995</v>
      </c>
      <c r="O414" s="1"/>
      <c r="P414" s="38">
        <f t="shared" si="37"/>
        <v>0</v>
      </c>
      <c r="S414" s="24" t="str">
        <f t="shared" si="40"/>
        <v>-</v>
      </c>
      <c r="T414" s="24" t="str">
        <f t="shared" si="38"/>
        <v>-</v>
      </c>
      <c r="U414" s="25" t="str">
        <f t="shared" si="41"/>
        <v>-</v>
      </c>
      <c r="V414" s="26" t="str">
        <f t="shared" si="42"/>
        <v>-</v>
      </c>
      <c r="X414" s="26" t="str">
        <f t="shared" si="39"/>
        <v>-</v>
      </c>
    </row>
    <row r="415" spans="1:24" x14ac:dyDescent="0.3">
      <c r="A415" s="37">
        <v>87614116082</v>
      </c>
      <c r="B415" s="8" t="s">
        <v>241</v>
      </c>
      <c r="C415" s="10" t="s">
        <v>242</v>
      </c>
      <c r="D415" s="11" t="s">
        <v>897</v>
      </c>
      <c r="E415" s="11" t="s">
        <v>999</v>
      </c>
      <c r="F415" s="9">
        <v>30</v>
      </c>
      <c r="G415" s="9">
        <v>90</v>
      </c>
      <c r="H415" s="9" t="s">
        <v>868</v>
      </c>
      <c r="I415" s="9">
        <v>24</v>
      </c>
      <c r="J415" s="9">
        <v>60</v>
      </c>
      <c r="K415" s="9" t="s">
        <v>889</v>
      </c>
      <c r="L415" s="27">
        <v>7.1504999999999999E-2</v>
      </c>
      <c r="M415" s="28" t="s">
        <v>3203</v>
      </c>
      <c r="N415" s="17">
        <v>5.48163</v>
      </c>
      <c r="O415" s="1"/>
      <c r="P415" s="38">
        <f t="shared" si="37"/>
        <v>0</v>
      </c>
      <c r="S415" s="24" t="str">
        <f t="shared" si="40"/>
        <v>-</v>
      </c>
      <c r="T415" s="24" t="str">
        <f t="shared" si="38"/>
        <v>-</v>
      </c>
      <c r="U415" s="25" t="str">
        <f t="shared" si="41"/>
        <v>-</v>
      </c>
      <c r="V415" s="26" t="str">
        <f t="shared" si="42"/>
        <v>-</v>
      </c>
      <c r="X415" s="26" t="str">
        <f t="shared" si="39"/>
        <v>-</v>
      </c>
    </row>
    <row r="416" spans="1:24" x14ac:dyDescent="0.3">
      <c r="A416" s="37">
        <v>87614116501</v>
      </c>
      <c r="B416" s="8" t="s">
        <v>246</v>
      </c>
      <c r="C416" s="10" t="s">
        <v>2967</v>
      </c>
      <c r="D416" s="11" t="s">
        <v>876</v>
      </c>
      <c r="E416" s="11" t="s">
        <v>1003</v>
      </c>
      <c r="F416" s="9">
        <v>12</v>
      </c>
      <c r="G416" s="9">
        <v>24</v>
      </c>
      <c r="H416" s="9" t="s">
        <v>868</v>
      </c>
      <c r="I416" s="9">
        <v>36</v>
      </c>
      <c r="J416" s="9">
        <v>240</v>
      </c>
      <c r="K416" s="9" t="s">
        <v>2903</v>
      </c>
      <c r="L416" s="27">
        <v>0.28828999999999999</v>
      </c>
      <c r="M416" s="28" t="s">
        <v>3203</v>
      </c>
      <c r="N416" s="17">
        <v>29.517747000000004</v>
      </c>
      <c r="O416" s="1"/>
      <c r="P416" s="38">
        <f t="shared" si="37"/>
        <v>0</v>
      </c>
      <c r="S416" s="24" t="str">
        <f t="shared" si="40"/>
        <v>-</v>
      </c>
      <c r="T416" s="24" t="str">
        <f t="shared" si="38"/>
        <v>-</v>
      </c>
      <c r="U416" s="25" t="str">
        <f t="shared" si="41"/>
        <v>-</v>
      </c>
      <c r="V416" s="26" t="str">
        <f t="shared" si="42"/>
        <v>-</v>
      </c>
      <c r="X416" s="26" t="str">
        <f t="shared" si="39"/>
        <v>-</v>
      </c>
    </row>
    <row r="417" spans="1:24" x14ac:dyDescent="0.3">
      <c r="A417" s="37">
        <v>87614116884</v>
      </c>
      <c r="B417" s="8" t="s">
        <v>255</v>
      </c>
      <c r="C417" s="10" t="s">
        <v>256</v>
      </c>
      <c r="D417" s="11" t="s">
        <v>866</v>
      </c>
      <c r="E417" s="11" t="s">
        <v>918</v>
      </c>
      <c r="F417" s="9">
        <v>20</v>
      </c>
      <c r="G417" s="9">
        <v>60</v>
      </c>
      <c r="H417" s="9" t="s">
        <v>868</v>
      </c>
      <c r="I417" s="9">
        <v>24</v>
      </c>
      <c r="J417" s="9">
        <v>100</v>
      </c>
      <c r="K417" s="9" t="s">
        <v>877</v>
      </c>
      <c r="L417" s="27">
        <v>0.20543500000000001</v>
      </c>
      <c r="M417" s="28" t="s">
        <v>3203</v>
      </c>
      <c r="N417" s="17">
        <v>16.444889999999997</v>
      </c>
      <c r="O417" s="1"/>
      <c r="P417" s="38">
        <f t="shared" si="37"/>
        <v>0</v>
      </c>
      <c r="S417" s="24" t="str">
        <f t="shared" si="40"/>
        <v>-</v>
      </c>
      <c r="T417" s="24" t="str">
        <f t="shared" si="38"/>
        <v>-</v>
      </c>
      <c r="U417" s="25" t="str">
        <f t="shared" si="41"/>
        <v>-</v>
      </c>
      <c r="V417" s="26" t="str">
        <f t="shared" si="42"/>
        <v>-</v>
      </c>
      <c r="X417" s="26" t="str">
        <f t="shared" si="39"/>
        <v>-</v>
      </c>
    </row>
    <row r="418" spans="1:24" x14ac:dyDescent="0.3">
      <c r="A418" s="37">
        <v>87614117058</v>
      </c>
      <c r="B418" s="8" t="s">
        <v>263</v>
      </c>
      <c r="C418" s="10" t="s">
        <v>264</v>
      </c>
      <c r="D418" s="11" t="s">
        <v>876</v>
      </c>
      <c r="E418" s="11" t="s">
        <v>1009</v>
      </c>
      <c r="F418" s="9">
        <v>48</v>
      </c>
      <c r="G418" s="9">
        <v>192</v>
      </c>
      <c r="H418" s="9" t="s">
        <v>892</v>
      </c>
      <c r="I418" s="9">
        <v>24</v>
      </c>
      <c r="J418" s="9">
        <v>30</v>
      </c>
      <c r="K418" s="9" t="s">
        <v>873</v>
      </c>
      <c r="L418" s="27">
        <v>2.3835000000000002E-2</v>
      </c>
      <c r="M418" s="28" t="s">
        <v>3203</v>
      </c>
      <c r="N418" s="17">
        <v>6.727455</v>
      </c>
      <c r="O418" s="1"/>
      <c r="P418" s="38">
        <f t="shared" si="37"/>
        <v>0</v>
      </c>
      <c r="S418" s="24" t="str">
        <f t="shared" si="40"/>
        <v>-</v>
      </c>
      <c r="T418" s="24" t="str">
        <f t="shared" si="38"/>
        <v>-</v>
      </c>
      <c r="U418" s="25" t="str">
        <f t="shared" si="41"/>
        <v>-</v>
      </c>
      <c r="V418" s="26" t="str">
        <f t="shared" si="42"/>
        <v>-</v>
      </c>
      <c r="X418" s="26" t="str">
        <f t="shared" si="39"/>
        <v>-</v>
      </c>
    </row>
    <row r="419" spans="1:24" x14ac:dyDescent="0.3">
      <c r="A419" s="37">
        <v>87614117126</v>
      </c>
      <c r="B419" s="8" t="s">
        <v>1161</v>
      </c>
      <c r="C419" s="10" t="s">
        <v>1984</v>
      </c>
      <c r="D419" s="11" t="s">
        <v>881</v>
      </c>
      <c r="E419" s="11" t="s">
        <v>2815</v>
      </c>
      <c r="F419" s="9">
        <v>12</v>
      </c>
      <c r="G419" s="9">
        <v>24</v>
      </c>
      <c r="H419" s="9" t="s">
        <v>868</v>
      </c>
      <c r="I419" s="9">
        <v>36</v>
      </c>
      <c r="J419" s="9">
        <v>180</v>
      </c>
      <c r="K419" s="9" t="s">
        <v>873</v>
      </c>
      <c r="L419" s="27">
        <v>0.22132500000000002</v>
      </c>
      <c r="M419" s="28" t="s">
        <v>3203</v>
      </c>
      <c r="N419" s="17">
        <v>17.375106000000002</v>
      </c>
      <c r="O419" s="1"/>
      <c r="P419" s="38">
        <f t="shared" si="37"/>
        <v>0</v>
      </c>
      <c r="S419" s="24" t="str">
        <f t="shared" si="40"/>
        <v>-</v>
      </c>
      <c r="T419" s="24" t="str">
        <f t="shared" si="38"/>
        <v>-</v>
      </c>
      <c r="U419" s="25" t="str">
        <f t="shared" si="41"/>
        <v>-</v>
      </c>
      <c r="V419" s="26" t="str">
        <f t="shared" si="42"/>
        <v>-</v>
      </c>
      <c r="X419" s="26" t="str">
        <f t="shared" si="39"/>
        <v>-</v>
      </c>
    </row>
    <row r="420" spans="1:24" x14ac:dyDescent="0.3">
      <c r="A420" s="37">
        <v>87614118086</v>
      </c>
      <c r="B420" s="8" t="s">
        <v>288</v>
      </c>
      <c r="C420" s="10" t="s">
        <v>2694</v>
      </c>
      <c r="D420" s="11" t="s">
        <v>885</v>
      </c>
      <c r="E420" s="11" t="s">
        <v>975</v>
      </c>
      <c r="F420" s="9">
        <v>30</v>
      </c>
      <c r="G420" s="9">
        <v>90</v>
      </c>
      <c r="H420" s="9" t="s">
        <v>868</v>
      </c>
      <c r="I420" s="9">
        <v>36</v>
      </c>
      <c r="J420" s="9">
        <v>60</v>
      </c>
      <c r="K420" s="9" t="s">
        <v>873</v>
      </c>
      <c r="L420" s="27">
        <v>6.6964999999999997E-2</v>
      </c>
      <c r="M420" s="28" t="s">
        <v>3203</v>
      </c>
      <c r="N420" s="17">
        <v>5.5480739999999997</v>
      </c>
      <c r="O420" s="1"/>
      <c r="P420" s="38">
        <f t="shared" si="37"/>
        <v>0</v>
      </c>
      <c r="S420" s="24" t="str">
        <f t="shared" si="40"/>
        <v>-</v>
      </c>
      <c r="T420" s="24" t="str">
        <f t="shared" si="38"/>
        <v>-</v>
      </c>
      <c r="U420" s="25" t="str">
        <f t="shared" si="41"/>
        <v>-</v>
      </c>
      <c r="V420" s="26" t="str">
        <f t="shared" si="42"/>
        <v>-</v>
      </c>
      <c r="X420" s="26" t="str">
        <f t="shared" si="39"/>
        <v>-</v>
      </c>
    </row>
    <row r="421" spans="1:24" x14ac:dyDescent="0.3">
      <c r="A421" s="37">
        <v>87614118260</v>
      </c>
      <c r="B421" s="8" t="s">
        <v>298</v>
      </c>
      <c r="C421" s="10" t="s">
        <v>299</v>
      </c>
      <c r="D421" s="11" t="s">
        <v>878</v>
      </c>
      <c r="E421" s="11" t="s">
        <v>1001</v>
      </c>
      <c r="F421" s="9">
        <v>30</v>
      </c>
      <c r="G421" s="9">
        <v>90</v>
      </c>
      <c r="H421" s="9" t="s">
        <v>892</v>
      </c>
      <c r="I421" s="9">
        <v>24</v>
      </c>
      <c r="J421" s="9">
        <v>60</v>
      </c>
      <c r="K421" s="9" t="s">
        <v>889</v>
      </c>
      <c r="L421" s="27">
        <v>6.4695000000000003E-2</v>
      </c>
      <c r="M421" s="28" t="s">
        <v>3203</v>
      </c>
      <c r="N421" s="17">
        <v>24.783612000000002</v>
      </c>
      <c r="O421" s="1"/>
      <c r="P421" s="38">
        <f t="shared" si="37"/>
        <v>0</v>
      </c>
      <c r="S421" s="24" t="str">
        <f t="shared" si="40"/>
        <v>-</v>
      </c>
      <c r="T421" s="24" t="str">
        <f t="shared" si="38"/>
        <v>-</v>
      </c>
      <c r="U421" s="25" t="str">
        <f t="shared" si="41"/>
        <v>-</v>
      </c>
      <c r="V421" s="26" t="str">
        <f t="shared" si="42"/>
        <v>-</v>
      </c>
      <c r="X421" s="26" t="str">
        <f t="shared" si="39"/>
        <v>-</v>
      </c>
    </row>
    <row r="422" spans="1:24" x14ac:dyDescent="0.3">
      <c r="A422" s="37">
        <v>87614119366</v>
      </c>
      <c r="B422" s="8" t="s">
        <v>1165</v>
      </c>
      <c r="C422" s="10" t="s">
        <v>1987</v>
      </c>
      <c r="D422" s="11" t="s">
        <v>882</v>
      </c>
      <c r="E422" s="11" t="s">
        <v>960</v>
      </c>
      <c r="F422" s="9">
        <v>30</v>
      </c>
      <c r="G422" s="9">
        <v>90</v>
      </c>
      <c r="H422" s="9" t="s">
        <v>868</v>
      </c>
      <c r="I422" s="9">
        <v>36</v>
      </c>
      <c r="J422" s="9">
        <v>60</v>
      </c>
      <c r="K422" s="9" t="s">
        <v>2903</v>
      </c>
      <c r="L422" s="27">
        <v>7.6045000000000001E-2</v>
      </c>
      <c r="M422" s="28" t="s">
        <v>3203</v>
      </c>
      <c r="N422" s="17">
        <v>10.531374</v>
      </c>
      <c r="O422" s="1"/>
      <c r="P422" s="38">
        <f t="shared" si="37"/>
        <v>0</v>
      </c>
      <c r="S422" s="24" t="str">
        <f t="shared" si="40"/>
        <v>-</v>
      </c>
      <c r="T422" s="24" t="str">
        <f t="shared" si="38"/>
        <v>-</v>
      </c>
      <c r="U422" s="25" t="str">
        <f t="shared" si="41"/>
        <v>-</v>
      </c>
      <c r="V422" s="26" t="str">
        <f t="shared" si="42"/>
        <v>-</v>
      </c>
      <c r="X422" s="26" t="str">
        <f t="shared" si="39"/>
        <v>-</v>
      </c>
    </row>
    <row r="423" spans="1:24" x14ac:dyDescent="0.3">
      <c r="A423" s="37">
        <v>87614012568</v>
      </c>
      <c r="B423" s="8" t="s">
        <v>326</v>
      </c>
      <c r="C423" s="10" t="s">
        <v>2724</v>
      </c>
      <c r="D423" s="11" t="s">
        <v>866</v>
      </c>
      <c r="E423" s="11" t="s">
        <v>1000</v>
      </c>
      <c r="F423" s="9">
        <v>16</v>
      </c>
      <c r="G423" s="9">
        <v>48</v>
      </c>
      <c r="H423" s="9" t="s">
        <v>892</v>
      </c>
      <c r="I423" s="9">
        <v>24</v>
      </c>
      <c r="J423" s="9">
        <v>100</v>
      </c>
      <c r="K423" s="9" t="s">
        <v>873</v>
      </c>
      <c r="L423" s="27">
        <v>0.18387000000000001</v>
      </c>
      <c r="M423" s="28" t="s">
        <v>3203</v>
      </c>
      <c r="N423" s="17">
        <v>10.946648999999999</v>
      </c>
      <c r="O423" s="1"/>
      <c r="P423" s="38">
        <f t="shared" si="37"/>
        <v>0</v>
      </c>
      <c r="S423" s="24" t="str">
        <f t="shared" si="40"/>
        <v>-</v>
      </c>
      <c r="T423" s="24" t="str">
        <f t="shared" si="38"/>
        <v>-</v>
      </c>
      <c r="U423" s="25" t="str">
        <f t="shared" si="41"/>
        <v>-</v>
      </c>
      <c r="V423" s="26" t="str">
        <f t="shared" si="42"/>
        <v>-</v>
      </c>
      <c r="X423" s="26" t="str">
        <f t="shared" si="39"/>
        <v>-</v>
      </c>
    </row>
    <row r="424" spans="1:24" x14ac:dyDescent="0.3">
      <c r="A424" s="37">
        <v>87614012612</v>
      </c>
      <c r="B424" s="8" t="s">
        <v>327</v>
      </c>
      <c r="C424" s="10" t="s">
        <v>328</v>
      </c>
      <c r="D424" s="11" t="s">
        <v>879</v>
      </c>
      <c r="E424" s="11" t="s">
        <v>1025</v>
      </c>
      <c r="F424" s="9">
        <v>12</v>
      </c>
      <c r="G424" s="9">
        <v>12</v>
      </c>
      <c r="H424" s="9" t="s">
        <v>868</v>
      </c>
      <c r="I424" s="9">
        <v>24</v>
      </c>
      <c r="J424" s="9">
        <v>1</v>
      </c>
      <c r="K424" s="9" t="s">
        <v>903</v>
      </c>
      <c r="L424" s="27">
        <v>1.1667799999999999</v>
      </c>
      <c r="M424" s="28" t="s">
        <v>3203</v>
      </c>
      <c r="N424" s="17">
        <v>13.222356</v>
      </c>
      <c r="O424" s="1"/>
      <c r="P424" s="38">
        <f t="shared" si="37"/>
        <v>0</v>
      </c>
      <c r="S424" s="24" t="str">
        <f t="shared" si="40"/>
        <v>-</v>
      </c>
      <c r="T424" s="24" t="str">
        <f t="shared" si="38"/>
        <v>-</v>
      </c>
      <c r="U424" s="25" t="str">
        <f t="shared" si="41"/>
        <v>-</v>
      </c>
      <c r="V424" s="26" t="str">
        <f t="shared" si="42"/>
        <v>-</v>
      </c>
      <c r="X424" s="26" t="str">
        <f t="shared" si="39"/>
        <v>-</v>
      </c>
    </row>
    <row r="425" spans="1:24" x14ac:dyDescent="0.3">
      <c r="A425" s="37">
        <v>87614014906</v>
      </c>
      <c r="B425" s="8" t="s">
        <v>345</v>
      </c>
      <c r="C425" s="10" t="s">
        <v>2725</v>
      </c>
      <c r="D425" s="11" t="s">
        <v>866</v>
      </c>
      <c r="E425" s="11" t="s">
        <v>1000</v>
      </c>
      <c r="F425" s="9">
        <v>15</v>
      </c>
      <c r="G425" s="9">
        <v>30</v>
      </c>
      <c r="H425" s="9" t="s">
        <v>868</v>
      </c>
      <c r="I425" s="9">
        <v>24</v>
      </c>
      <c r="J425" s="9">
        <v>120</v>
      </c>
      <c r="K425" s="9" t="s">
        <v>869</v>
      </c>
      <c r="L425" s="27">
        <v>0.35865999999999998</v>
      </c>
      <c r="M425" s="28" t="s">
        <v>3203</v>
      </c>
      <c r="N425" s="17">
        <v>15.780449999999998</v>
      </c>
      <c r="O425" s="1"/>
      <c r="P425" s="38">
        <f t="shared" si="37"/>
        <v>0</v>
      </c>
      <c r="S425" s="24" t="str">
        <f t="shared" si="40"/>
        <v>-</v>
      </c>
      <c r="T425" s="24" t="str">
        <f t="shared" si="38"/>
        <v>-</v>
      </c>
      <c r="U425" s="25" t="str">
        <f t="shared" si="41"/>
        <v>-</v>
      </c>
      <c r="V425" s="26" t="str">
        <f t="shared" si="42"/>
        <v>-</v>
      </c>
      <c r="X425" s="26" t="str">
        <f t="shared" si="39"/>
        <v>-</v>
      </c>
    </row>
    <row r="426" spans="1:24" x14ac:dyDescent="0.3">
      <c r="A426" s="37">
        <v>87614016122</v>
      </c>
      <c r="B426" s="8" t="s">
        <v>367</v>
      </c>
      <c r="C426" s="10" t="s">
        <v>368</v>
      </c>
      <c r="D426" s="11" t="s">
        <v>874</v>
      </c>
      <c r="E426" s="11" t="s">
        <v>914</v>
      </c>
      <c r="F426" s="9">
        <v>48</v>
      </c>
      <c r="G426" s="9">
        <v>192</v>
      </c>
      <c r="H426" s="9" t="s">
        <v>868</v>
      </c>
      <c r="I426" s="9">
        <v>36</v>
      </c>
      <c r="J426" s="9">
        <v>50</v>
      </c>
      <c r="K426" s="9" t="s">
        <v>873</v>
      </c>
      <c r="L426" s="27">
        <v>2.724E-2</v>
      </c>
      <c r="M426" s="28" t="s">
        <v>3203</v>
      </c>
      <c r="N426" s="17">
        <v>27.790203000000002</v>
      </c>
      <c r="O426" s="1"/>
      <c r="P426" s="38">
        <f t="shared" si="37"/>
        <v>0</v>
      </c>
      <c r="S426" s="24" t="str">
        <f t="shared" si="40"/>
        <v>-</v>
      </c>
      <c r="T426" s="24" t="str">
        <f t="shared" si="38"/>
        <v>-</v>
      </c>
      <c r="U426" s="25" t="str">
        <f t="shared" si="41"/>
        <v>-</v>
      </c>
      <c r="V426" s="26" t="str">
        <f t="shared" si="42"/>
        <v>-</v>
      </c>
      <c r="X426" s="26" t="str">
        <f t="shared" si="39"/>
        <v>-</v>
      </c>
    </row>
    <row r="427" spans="1:24" x14ac:dyDescent="0.3">
      <c r="A427" s="37">
        <v>87614016689</v>
      </c>
      <c r="B427" s="8" t="s">
        <v>370</v>
      </c>
      <c r="C427" s="10" t="s">
        <v>371</v>
      </c>
      <c r="D427" s="11" t="s">
        <v>879</v>
      </c>
      <c r="E427" s="11" t="s">
        <v>990</v>
      </c>
      <c r="F427" s="9">
        <v>20</v>
      </c>
      <c r="G427" s="9">
        <v>60</v>
      </c>
      <c r="H427" s="9" t="s">
        <v>868</v>
      </c>
      <c r="I427" s="9">
        <v>24</v>
      </c>
      <c r="J427" s="9">
        <v>180</v>
      </c>
      <c r="K427" s="9" t="s">
        <v>877</v>
      </c>
      <c r="L427" s="27">
        <v>0.19521999999999998</v>
      </c>
      <c r="M427" s="28" t="s">
        <v>3203</v>
      </c>
      <c r="N427" s="17">
        <v>21.444801000000002</v>
      </c>
      <c r="O427" s="1"/>
      <c r="P427" s="38">
        <f t="shared" si="37"/>
        <v>0</v>
      </c>
      <c r="S427" s="24" t="str">
        <f t="shared" si="40"/>
        <v>-</v>
      </c>
      <c r="T427" s="24" t="str">
        <f t="shared" si="38"/>
        <v>-</v>
      </c>
      <c r="U427" s="25" t="str">
        <f t="shared" si="41"/>
        <v>-</v>
      </c>
      <c r="V427" s="26" t="str">
        <f t="shared" si="42"/>
        <v>-</v>
      </c>
      <c r="X427" s="26" t="str">
        <f t="shared" si="39"/>
        <v>-</v>
      </c>
    </row>
    <row r="428" spans="1:24" x14ac:dyDescent="0.3">
      <c r="A428" s="37">
        <v>87614018409</v>
      </c>
      <c r="B428" s="8" t="s">
        <v>384</v>
      </c>
      <c r="C428" s="10" t="s">
        <v>385</v>
      </c>
      <c r="D428" s="11" t="s">
        <v>882</v>
      </c>
      <c r="E428" s="11" t="s">
        <v>948</v>
      </c>
      <c r="F428" s="9">
        <v>15</v>
      </c>
      <c r="G428" s="9">
        <v>30</v>
      </c>
      <c r="H428" s="9" t="s">
        <v>868</v>
      </c>
      <c r="I428" s="9">
        <v>24</v>
      </c>
      <c r="J428" s="9">
        <v>200</v>
      </c>
      <c r="K428" s="9" t="s">
        <v>904</v>
      </c>
      <c r="L428" s="27">
        <v>0.30304500000000001</v>
      </c>
      <c r="M428" s="28" t="s">
        <v>3203</v>
      </c>
      <c r="N428" s="17">
        <v>9.6842129999999997</v>
      </c>
      <c r="O428" s="1"/>
      <c r="P428" s="38">
        <f t="shared" si="37"/>
        <v>0</v>
      </c>
      <c r="S428" s="24" t="str">
        <f t="shared" si="40"/>
        <v>-</v>
      </c>
      <c r="T428" s="24" t="str">
        <f t="shared" si="38"/>
        <v>-</v>
      </c>
      <c r="U428" s="25" t="str">
        <f t="shared" si="41"/>
        <v>-</v>
      </c>
      <c r="V428" s="26" t="str">
        <f t="shared" si="42"/>
        <v>-</v>
      </c>
      <c r="X428" s="26" t="str">
        <f t="shared" si="39"/>
        <v>-</v>
      </c>
    </row>
    <row r="429" spans="1:24" x14ac:dyDescent="0.3">
      <c r="A429" s="37">
        <v>87614018805</v>
      </c>
      <c r="B429" s="8" t="s">
        <v>400</v>
      </c>
      <c r="C429" s="10" t="s">
        <v>401</v>
      </c>
      <c r="D429" s="11" t="s">
        <v>882</v>
      </c>
      <c r="E429" s="11" t="s">
        <v>920</v>
      </c>
      <c r="F429" s="9">
        <v>16</v>
      </c>
      <c r="G429" s="9">
        <v>48</v>
      </c>
      <c r="H429" s="9" t="s">
        <v>868</v>
      </c>
      <c r="I429" s="9">
        <v>24</v>
      </c>
      <c r="J429" s="9">
        <v>120</v>
      </c>
      <c r="K429" s="9" t="s">
        <v>873</v>
      </c>
      <c r="L429" s="27">
        <v>0.14982000000000001</v>
      </c>
      <c r="M429" s="28" t="s">
        <v>3203</v>
      </c>
      <c r="N429" s="17">
        <v>14.302071</v>
      </c>
      <c r="O429" s="1"/>
      <c r="P429" s="38">
        <f t="shared" si="37"/>
        <v>0</v>
      </c>
      <c r="S429" s="24" t="str">
        <f t="shared" si="40"/>
        <v>-</v>
      </c>
      <c r="T429" s="24" t="str">
        <f t="shared" si="38"/>
        <v>-</v>
      </c>
      <c r="U429" s="25" t="str">
        <f t="shared" si="41"/>
        <v>-</v>
      </c>
      <c r="V429" s="26" t="str">
        <f t="shared" si="42"/>
        <v>-</v>
      </c>
      <c r="X429" s="26" t="str">
        <f t="shared" si="39"/>
        <v>-</v>
      </c>
    </row>
    <row r="430" spans="1:24" x14ac:dyDescent="0.3">
      <c r="A430" s="37">
        <v>87614019130</v>
      </c>
      <c r="B430" s="8" t="s">
        <v>411</v>
      </c>
      <c r="C430" s="10" t="s">
        <v>412</v>
      </c>
      <c r="D430" s="11" t="s">
        <v>884</v>
      </c>
      <c r="E430" s="11" t="s">
        <v>946</v>
      </c>
      <c r="F430" s="9">
        <v>12</v>
      </c>
      <c r="G430" s="9">
        <v>48</v>
      </c>
      <c r="H430" s="9" t="s">
        <v>868</v>
      </c>
      <c r="I430" s="9">
        <v>24</v>
      </c>
      <c r="J430" s="9">
        <v>1</v>
      </c>
      <c r="K430" s="9" t="s">
        <v>880</v>
      </c>
      <c r="L430" s="27">
        <v>9.4205000000000011E-2</v>
      </c>
      <c r="M430" s="28" t="s">
        <v>3203</v>
      </c>
      <c r="N430" s="17">
        <v>15.730617000000001</v>
      </c>
      <c r="O430" s="1"/>
      <c r="P430" s="38">
        <f t="shared" si="37"/>
        <v>0</v>
      </c>
      <c r="S430" s="24" t="str">
        <f t="shared" si="40"/>
        <v>-</v>
      </c>
      <c r="T430" s="24" t="str">
        <f t="shared" si="38"/>
        <v>-</v>
      </c>
      <c r="U430" s="25" t="str">
        <f t="shared" si="41"/>
        <v>-</v>
      </c>
      <c r="V430" s="26" t="str">
        <f t="shared" si="42"/>
        <v>-</v>
      </c>
      <c r="X430" s="26" t="str">
        <f t="shared" si="39"/>
        <v>-</v>
      </c>
    </row>
    <row r="431" spans="1:24" x14ac:dyDescent="0.3">
      <c r="A431" s="37">
        <v>87614019161</v>
      </c>
      <c r="B431" s="8" t="s">
        <v>413</v>
      </c>
      <c r="C431" s="10" t="s">
        <v>414</v>
      </c>
      <c r="D431" s="11" t="s">
        <v>888</v>
      </c>
      <c r="E431" s="11" t="s">
        <v>964</v>
      </c>
      <c r="F431" s="9">
        <v>12</v>
      </c>
      <c r="G431" s="9">
        <v>24</v>
      </c>
      <c r="H431" s="9" t="s">
        <v>868</v>
      </c>
      <c r="I431" s="9">
        <v>36</v>
      </c>
      <c r="J431" s="9">
        <v>100</v>
      </c>
      <c r="K431" s="9" t="s">
        <v>900</v>
      </c>
      <c r="L431" s="27">
        <v>0.175925</v>
      </c>
      <c r="M431" s="28" t="s">
        <v>3203</v>
      </c>
      <c r="N431" s="17">
        <v>9.3353819999999992</v>
      </c>
      <c r="O431" s="1"/>
      <c r="P431" s="38">
        <f t="shared" si="37"/>
        <v>0</v>
      </c>
      <c r="S431" s="24" t="str">
        <f t="shared" si="40"/>
        <v>-</v>
      </c>
      <c r="T431" s="24" t="str">
        <f t="shared" si="38"/>
        <v>-</v>
      </c>
      <c r="U431" s="25" t="str">
        <f t="shared" si="41"/>
        <v>-</v>
      </c>
      <c r="V431" s="26" t="str">
        <f t="shared" si="42"/>
        <v>-</v>
      </c>
      <c r="X431" s="26" t="str">
        <f t="shared" si="39"/>
        <v>-</v>
      </c>
    </row>
    <row r="432" spans="1:24" x14ac:dyDescent="0.3">
      <c r="A432" s="37">
        <v>87614019277</v>
      </c>
      <c r="B432" s="8" t="s">
        <v>419</v>
      </c>
      <c r="C432" s="10" t="s">
        <v>420</v>
      </c>
      <c r="D432" s="11" t="s">
        <v>897</v>
      </c>
      <c r="E432" s="11" t="s">
        <v>1037</v>
      </c>
      <c r="F432" s="9">
        <v>16</v>
      </c>
      <c r="G432" s="9">
        <v>48</v>
      </c>
      <c r="H432" s="9" t="s">
        <v>868</v>
      </c>
      <c r="I432" s="9">
        <v>24</v>
      </c>
      <c r="J432" s="9">
        <v>100</v>
      </c>
      <c r="K432" s="9" t="s">
        <v>873</v>
      </c>
      <c r="L432" s="27">
        <v>0.13619999999999999</v>
      </c>
      <c r="M432" s="28" t="s">
        <v>3203</v>
      </c>
      <c r="N432" s="17">
        <v>10.116099</v>
      </c>
      <c r="O432" s="1"/>
      <c r="P432" s="38">
        <f t="shared" si="37"/>
        <v>0</v>
      </c>
      <c r="S432" s="24" t="str">
        <f t="shared" si="40"/>
        <v>-</v>
      </c>
      <c r="T432" s="24" t="str">
        <f t="shared" si="38"/>
        <v>-</v>
      </c>
      <c r="U432" s="25" t="str">
        <f t="shared" si="41"/>
        <v>-</v>
      </c>
      <c r="V432" s="26" t="str">
        <f t="shared" si="42"/>
        <v>-</v>
      </c>
      <c r="X432" s="26" t="str">
        <f t="shared" si="39"/>
        <v>-</v>
      </c>
    </row>
    <row r="433" spans="1:24" x14ac:dyDescent="0.3">
      <c r="A433" s="37">
        <v>87614019710</v>
      </c>
      <c r="B433" s="8" t="s">
        <v>438</v>
      </c>
      <c r="C433" s="10" t="s">
        <v>439</v>
      </c>
      <c r="D433" s="11" t="s">
        <v>879</v>
      </c>
      <c r="E433" s="11" t="s">
        <v>930</v>
      </c>
      <c r="F433" s="9">
        <v>20</v>
      </c>
      <c r="G433" s="9">
        <v>60</v>
      </c>
      <c r="H433" s="9" t="s">
        <v>868</v>
      </c>
      <c r="I433" s="9">
        <v>36</v>
      </c>
      <c r="J433" s="9">
        <v>100</v>
      </c>
      <c r="K433" s="9" t="s">
        <v>873</v>
      </c>
      <c r="L433" s="27">
        <v>0.10896</v>
      </c>
      <c r="M433" s="28" t="s">
        <v>3203</v>
      </c>
      <c r="N433" s="17">
        <v>7.5580049999999996</v>
      </c>
      <c r="O433" s="1"/>
      <c r="P433" s="38">
        <f t="shared" si="37"/>
        <v>0</v>
      </c>
      <c r="S433" s="24" t="str">
        <f t="shared" si="40"/>
        <v>-</v>
      </c>
      <c r="T433" s="24" t="str">
        <f t="shared" si="38"/>
        <v>-</v>
      </c>
      <c r="U433" s="25" t="str">
        <f t="shared" si="41"/>
        <v>-</v>
      </c>
      <c r="V433" s="26" t="str">
        <f t="shared" si="42"/>
        <v>-</v>
      </c>
      <c r="X433" s="26" t="str">
        <f t="shared" si="39"/>
        <v>-</v>
      </c>
    </row>
    <row r="434" spans="1:24" x14ac:dyDescent="0.3">
      <c r="A434" s="37">
        <v>87614019727</v>
      </c>
      <c r="B434" s="8" t="s">
        <v>440</v>
      </c>
      <c r="C434" s="10" t="s">
        <v>441</v>
      </c>
      <c r="D434" s="11" t="s">
        <v>879</v>
      </c>
      <c r="E434" s="11" t="s">
        <v>930</v>
      </c>
      <c r="F434" s="9">
        <v>20</v>
      </c>
      <c r="G434" s="9">
        <v>60</v>
      </c>
      <c r="H434" s="9" t="s">
        <v>868</v>
      </c>
      <c r="I434" s="9">
        <v>36</v>
      </c>
      <c r="J434" s="9">
        <v>100</v>
      </c>
      <c r="K434" s="9" t="s">
        <v>873</v>
      </c>
      <c r="L434" s="27">
        <v>0.107825</v>
      </c>
      <c r="M434" s="28" t="s">
        <v>3203</v>
      </c>
      <c r="N434" s="17">
        <v>10.780539000000001</v>
      </c>
      <c r="O434" s="1"/>
      <c r="P434" s="38">
        <f t="shared" si="37"/>
        <v>0</v>
      </c>
      <c r="S434" s="24" t="str">
        <f t="shared" si="40"/>
        <v>-</v>
      </c>
      <c r="T434" s="24" t="str">
        <f t="shared" si="38"/>
        <v>-</v>
      </c>
      <c r="U434" s="25" t="str">
        <f t="shared" si="41"/>
        <v>-</v>
      </c>
      <c r="V434" s="26" t="str">
        <f t="shared" si="42"/>
        <v>-</v>
      </c>
      <c r="X434" s="26" t="str">
        <f t="shared" si="39"/>
        <v>-</v>
      </c>
    </row>
    <row r="435" spans="1:24" x14ac:dyDescent="0.3">
      <c r="A435" s="37">
        <v>87614190327</v>
      </c>
      <c r="B435" s="8" t="s">
        <v>464</v>
      </c>
      <c r="C435" s="10" t="s">
        <v>2997</v>
      </c>
      <c r="D435" s="11" t="s">
        <v>879</v>
      </c>
      <c r="E435" s="11" t="s">
        <v>1018</v>
      </c>
      <c r="F435" s="9">
        <v>30</v>
      </c>
      <c r="G435" s="9">
        <v>90</v>
      </c>
      <c r="H435" s="9" t="s">
        <v>868</v>
      </c>
      <c r="I435" s="9">
        <v>18</v>
      </c>
      <c r="J435" s="9">
        <v>60</v>
      </c>
      <c r="K435" s="9" t="s">
        <v>2903</v>
      </c>
      <c r="L435" s="27">
        <v>7.1504999999999999E-2</v>
      </c>
      <c r="M435" s="28" t="s">
        <v>3203</v>
      </c>
      <c r="N435" s="17">
        <v>5.6975730000000002</v>
      </c>
      <c r="O435" s="1"/>
      <c r="P435" s="38">
        <f t="shared" si="37"/>
        <v>0</v>
      </c>
      <c r="S435" s="24" t="str">
        <f t="shared" si="40"/>
        <v>-</v>
      </c>
      <c r="T435" s="24" t="str">
        <f t="shared" si="38"/>
        <v>-</v>
      </c>
      <c r="U435" s="25" t="str">
        <f t="shared" si="41"/>
        <v>-</v>
      </c>
      <c r="V435" s="26" t="str">
        <f t="shared" si="42"/>
        <v>-</v>
      </c>
      <c r="X435" s="26" t="str">
        <f t="shared" si="39"/>
        <v>-</v>
      </c>
    </row>
    <row r="436" spans="1:24" x14ac:dyDescent="0.3">
      <c r="A436" s="37">
        <v>87614070858</v>
      </c>
      <c r="B436" s="8" t="s">
        <v>472</v>
      </c>
      <c r="C436" s="10" t="s">
        <v>473</v>
      </c>
      <c r="D436" s="11" t="s">
        <v>883</v>
      </c>
      <c r="E436" s="11" t="s">
        <v>1015</v>
      </c>
      <c r="F436" s="9">
        <v>20</v>
      </c>
      <c r="G436" s="9">
        <v>60</v>
      </c>
      <c r="H436" s="9" t="s">
        <v>892</v>
      </c>
      <c r="I436" s="9">
        <v>24</v>
      </c>
      <c r="J436" s="9">
        <v>90</v>
      </c>
      <c r="K436" s="9" t="s">
        <v>889</v>
      </c>
      <c r="L436" s="27">
        <v>0.13847000000000001</v>
      </c>
      <c r="M436" s="28" t="s">
        <v>3203</v>
      </c>
      <c r="N436" s="17">
        <v>9.4350480000000001</v>
      </c>
      <c r="O436" s="1"/>
      <c r="P436" s="38">
        <f t="shared" si="37"/>
        <v>0</v>
      </c>
      <c r="S436" s="24" t="str">
        <f t="shared" si="40"/>
        <v>-</v>
      </c>
      <c r="T436" s="24" t="str">
        <f t="shared" si="38"/>
        <v>-</v>
      </c>
      <c r="U436" s="25" t="str">
        <f t="shared" si="41"/>
        <v>-</v>
      </c>
      <c r="V436" s="26" t="str">
        <f t="shared" si="42"/>
        <v>-</v>
      </c>
      <c r="X436" s="26" t="str">
        <f t="shared" si="39"/>
        <v>-</v>
      </c>
    </row>
    <row r="437" spans="1:24" x14ac:dyDescent="0.3">
      <c r="A437" s="37">
        <v>87614070865</v>
      </c>
      <c r="B437" s="8" t="s">
        <v>474</v>
      </c>
      <c r="C437" s="10" t="s">
        <v>3174</v>
      </c>
      <c r="D437" s="11" t="s">
        <v>899</v>
      </c>
      <c r="E437" s="11" t="s">
        <v>967</v>
      </c>
      <c r="F437" s="9">
        <v>30</v>
      </c>
      <c r="G437" s="9">
        <v>90</v>
      </c>
      <c r="H437" s="9" t="s">
        <v>892</v>
      </c>
      <c r="I437" s="9">
        <v>24</v>
      </c>
      <c r="J437" s="9">
        <v>60</v>
      </c>
      <c r="K437" s="9" t="s">
        <v>2903</v>
      </c>
      <c r="L437" s="27">
        <v>9.307E-2</v>
      </c>
      <c r="M437" s="28" t="s">
        <v>3203</v>
      </c>
      <c r="N437" s="17">
        <v>12.209085</v>
      </c>
      <c r="O437" s="1"/>
      <c r="P437" s="38">
        <f t="shared" si="37"/>
        <v>0</v>
      </c>
      <c r="S437" s="24" t="str">
        <f t="shared" si="40"/>
        <v>-</v>
      </c>
      <c r="T437" s="24" t="str">
        <f t="shared" si="38"/>
        <v>-</v>
      </c>
      <c r="U437" s="25" t="str">
        <f t="shared" si="41"/>
        <v>-</v>
      </c>
      <c r="V437" s="26" t="str">
        <f t="shared" si="42"/>
        <v>-</v>
      </c>
      <c r="X437" s="26" t="str">
        <f t="shared" si="39"/>
        <v>-</v>
      </c>
    </row>
    <row r="438" spans="1:24" x14ac:dyDescent="0.3">
      <c r="A438" s="37">
        <v>87614071091</v>
      </c>
      <c r="B438" s="8" t="s">
        <v>484</v>
      </c>
      <c r="C438" s="10" t="s">
        <v>485</v>
      </c>
      <c r="D438" s="11" t="s">
        <v>874</v>
      </c>
      <c r="E438" s="11" t="s">
        <v>925</v>
      </c>
      <c r="F438" s="9">
        <v>30</v>
      </c>
      <c r="G438" s="9">
        <v>90</v>
      </c>
      <c r="H438" s="9" t="s">
        <v>892</v>
      </c>
      <c r="I438" s="9">
        <v>24</v>
      </c>
      <c r="J438" s="9">
        <v>60</v>
      </c>
      <c r="K438" s="9" t="s">
        <v>889</v>
      </c>
      <c r="L438" s="27">
        <v>8.8529999999999998E-2</v>
      </c>
      <c r="M438" s="28" t="s">
        <v>3203</v>
      </c>
      <c r="N438" s="17">
        <v>11.262258000000001</v>
      </c>
      <c r="O438" s="1"/>
      <c r="P438" s="38">
        <f t="shared" si="37"/>
        <v>0</v>
      </c>
      <c r="S438" s="24" t="str">
        <f t="shared" si="40"/>
        <v>-</v>
      </c>
      <c r="T438" s="24" t="str">
        <f t="shared" si="38"/>
        <v>-</v>
      </c>
      <c r="U438" s="25" t="str">
        <f t="shared" si="41"/>
        <v>-</v>
      </c>
      <c r="V438" s="26" t="str">
        <f t="shared" si="42"/>
        <v>-</v>
      </c>
      <c r="X438" s="26" t="str">
        <f t="shared" si="39"/>
        <v>-</v>
      </c>
    </row>
    <row r="439" spans="1:24" x14ac:dyDescent="0.3">
      <c r="A439" s="37">
        <v>87614040400</v>
      </c>
      <c r="B439" s="8" t="s">
        <v>1332</v>
      </c>
      <c r="C439" s="10" t="s">
        <v>2114</v>
      </c>
      <c r="D439" s="11" t="s">
        <v>878</v>
      </c>
      <c r="E439" s="11" t="s">
        <v>2864</v>
      </c>
      <c r="F439" s="9">
        <v>48</v>
      </c>
      <c r="G439" s="9">
        <v>192</v>
      </c>
      <c r="H439" s="9" t="s">
        <v>868</v>
      </c>
      <c r="I439" s="9">
        <v>24</v>
      </c>
      <c r="J439" s="9">
        <v>30</v>
      </c>
      <c r="K439" s="9" t="s">
        <v>873</v>
      </c>
      <c r="L439" s="27">
        <v>2.9509999999999998E-2</v>
      </c>
      <c r="M439" s="28" t="s">
        <v>3203</v>
      </c>
      <c r="N439" s="17">
        <v>18.703986</v>
      </c>
      <c r="O439" s="1"/>
      <c r="P439" s="38">
        <f t="shared" si="37"/>
        <v>0</v>
      </c>
      <c r="S439" s="24" t="str">
        <f t="shared" si="40"/>
        <v>-</v>
      </c>
      <c r="T439" s="24" t="str">
        <f t="shared" si="38"/>
        <v>-</v>
      </c>
      <c r="U439" s="25" t="str">
        <f t="shared" si="41"/>
        <v>-</v>
      </c>
      <c r="V439" s="26" t="str">
        <f t="shared" si="42"/>
        <v>-</v>
      </c>
      <c r="X439" s="26" t="str">
        <f t="shared" si="39"/>
        <v>-</v>
      </c>
    </row>
    <row r="440" spans="1:24" x14ac:dyDescent="0.3">
      <c r="A440" s="37">
        <v>87614040608</v>
      </c>
      <c r="B440" s="8" t="s">
        <v>494</v>
      </c>
      <c r="C440" s="10" t="s">
        <v>2746</v>
      </c>
      <c r="D440" s="11" t="s">
        <v>878</v>
      </c>
      <c r="E440" s="11" t="s">
        <v>994</v>
      </c>
      <c r="F440" s="9">
        <v>30</v>
      </c>
      <c r="G440" s="9">
        <v>90</v>
      </c>
      <c r="H440" s="9" t="s">
        <v>868</v>
      </c>
      <c r="I440" s="9">
        <v>18</v>
      </c>
      <c r="J440" s="9">
        <v>60</v>
      </c>
      <c r="K440" s="9" t="s">
        <v>2903</v>
      </c>
      <c r="L440" s="27">
        <v>5.4480000000000001E-2</v>
      </c>
      <c r="M440" s="28" t="s">
        <v>3203</v>
      </c>
      <c r="N440" s="17">
        <v>14.468181</v>
      </c>
      <c r="O440" s="1"/>
      <c r="P440" s="38">
        <f t="shared" si="37"/>
        <v>0</v>
      </c>
      <c r="S440" s="24" t="str">
        <f t="shared" si="40"/>
        <v>-</v>
      </c>
      <c r="T440" s="24" t="str">
        <f t="shared" si="38"/>
        <v>-</v>
      </c>
      <c r="U440" s="25" t="str">
        <f t="shared" si="41"/>
        <v>-</v>
      </c>
      <c r="V440" s="26" t="str">
        <f t="shared" si="42"/>
        <v>-</v>
      </c>
      <c r="X440" s="26" t="str">
        <f t="shared" si="39"/>
        <v>-</v>
      </c>
    </row>
    <row r="441" spans="1:24" x14ac:dyDescent="0.3">
      <c r="A441" s="37">
        <v>87614040684</v>
      </c>
      <c r="B441" s="8" t="s">
        <v>495</v>
      </c>
      <c r="C441" s="10" t="s">
        <v>496</v>
      </c>
      <c r="D441" s="11" t="s">
        <v>878</v>
      </c>
      <c r="E441" s="11" t="s">
        <v>954</v>
      </c>
      <c r="F441" s="9">
        <v>48</v>
      </c>
      <c r="G441" s="9">
        <v>192</v>
      </c>
      <c r="H441" s="9" t="s">
        <v>868</v>
      </c>
      <c r="I441" s="9">
        <v>36</v>
      </c>
      <c r="J441" s="9">
        <v>60</v>
      </c>
      <c r="K441" s="9" t="s">
        <v>873</v>
      </c>
      <c r="L441" s="27">
        <v>3.6319999999999998E-2</v>
      </c>
      <c r="M441" s="28" t="s">
        <v>3203</v>
      </c>
      <c r="N441" s="17">
        <v>2.4252059999999998</v>
      </c>
      <c r="O441" s="1"/>
      <c r="P441" s="38">
        <f t="shared" si="37"/>
        <v>0</v>
      </c>
      <c r="S441" s="24" t="str">
        <f t="shared" si="40"/>
        <v>-</v>
      </c>
      <c r="T441" s="24" t="str">
        <f t="shared" si="38"/>
        <v>-</v>
      </c>
      <c r="U441" s="25" t="str">
        <f t="shared" si="41"/>
        <v>-</v>
      </c>
      <c r="V441" s="26" t="str">
        <f t="shared" si="42"/>
        <v>-</v>
      </c>
      <c r="X441" s="26" t="str">
        <f t="shared" si="39"/>
        <v>-</v>
      </c>
    </row>
    <row r="442" spans="1:24" x14ac:dyDescent="0.3">
      <c r="A442" s="37">
        <v>87614040776</v>
      </c>
      <c r="B442" s="8" t="s">
        <v>497</v>
      </c>
      <c r="C442" s="10" t="s">
        <v>3006</v>
      </c>
      <c r="D442" s="11" t="s">
        <v>878</v>
      </c>
      <c r="E442" s="11" t="s">
        <v>994</v>
      </c>
      <c r="F442" s="9">
        <v>30</v>
      </c>
      <c r="G442" s="9">
        <v>90</v>
      </c>
      <c r="H442" s="9" t="s">
        <v>868</v>
      </c>
      <c r="I442" s="9">
        <v>24</v>
      </c>
      <c r="J442" s="9">
        <v>60</v>
      </c>
      <c r="K442" s="9" t="s">
        <v>2903</v>
      </c>
      <c r="L442" s="27">
        <v>8.3989999999999995E-2</v>
      </c>
      <c r="M442" s="28" t="s">
        <v>3203</v>
      </c>
      <c r="N442" s="17">
        <v>14.102739</v>
      </c>
      <c r="O442" s="1"/>
      <c r="P442" s="38">
        <f t="shared" si="37"/>
        <v>0</v>
      </c>
      <c r="S442" s="24" t="str">
        <f t="shared" si="40"/>
        <v>-</v>
      </c>
      <c r="T442" s="24" t="str">
        <f t="shared" si="38"/>
        <v>-</v>
      </c>
      <c r="U442" s="25" t="str">
        <f t="shared" si="41"/>
        <v>-</v>
      </c>
      <c r="V442" s="26" t="str">
        <f t="shared" si="42"/>
        <v>-</v>
      </c>
      <c r="X442" s="26" t="str">
        <f t="shared" si="39"/>
        <v>-</v>
      </c>
    </row>
    <row r="443" spans="1:24" x14ac:dyDescent="0.3">
      <c r="A443" s="37">
        <v>87614040783</v>
      </c>
      <c r="B443" s="8" t="s">
        <v>498</v>
      </c>
      <c r="C443" s="10" t="s">
        <v>3007</v>
      </c>
      <c r="D443" s="11" t="s">
        <v>878</v>
      </c>
      <c r="E443" s="11" t="s">
        <v>954</v>
      </c>
      <c r="F443" s="9">
        <v>30</v>
      </c>
      <c r="G443" s="9">
        <v>90</v>
      </c>
      <c r="H443" s="9" t="s">
        <v>868</v>
      </c>
      <c r="I443" s="9">
        <v>24</v>
      </c>
      <c r="J443" s="9">
        <v>60</v>
      </c>
      <c r="K443" s="9" t="s">
        <v>2903</v>
      </c>
      <c r="L443" s="27">
        <v>8.5124999999999992E-2</v>
      </c>
      <c r="M443" s="28" t="s">
        <v>3203</v>
      </c>
      <c r="N443" s="17">
        <v>7.9732800000000008</v>
      </c>
      <c r="O443" s="1"/>
      <c r="P443" s="38">
        <f t="shared" si="37"/>
        <v>0</v>
      </c>
      <c r="S443" s="24" t="str">
        <f t="shared" si="40"/>
        <v>-</v>
      </c>
      <c r="T443" s="24" t="str">
        <f t="shared" si="38"/>
        <v>-</v>
      </c>
      <c r="U443" s="25" t="str">
        <f t="shared" si="41"/>
        <v>-</v>
      </c>
      <c r="V443" s="26" t="str">
        <f t="shared" si="42"/>
        <v>-</v>
      </c>
      <c r="X443" s="26" t="str">
        <f t="shared" si="39"/>
        <v>-</v>
      </c>
    </row>
    <row r="444" spans="1:24" x14ac:dyDescent="0.3">
      <c r="A444" s="37">
        <v>87614140254</v>
      </c>
      <c r="B444" s="8" t="s">
        <v>518</v>
      </c>
      <c r="C444" s="10" t="s">
        <v>519</v>
      </c>
      <c r="D444" s="11" t="s">
        <v>879</v>
      </c>
      <c r="E444" s="11" t="s">
        <v>1030</v>
      </c>
      <c r="F444" s="9">
        <v>16</v>
      </c>
      <c r="G444" s="9">
        <v>48</v>
      </c>
      <c r="H444" s="9" t="s">
        <v>868</v>
      </c>
      <c r="I444" s="9">
        <v>24</v>
      </c>
      <c r="J444" s="9">
        <v>120</v>
      </c>
      <c r="K444" s="9" t="s">
        <v>873</v>
      </c>
      <c r="L444" s="27">
        <v>0.130525</v>
      </c>
      <c r="M444" s="28" t="s">
        <v>3203</v>
      </c>
      <c r="N444" s="17">
        <v>7.9234470000000004</v>
      </c>
      <c r="O444" s="1"/>
      <c r="P444" s="38">
        <f t="shared" si="37"/>
        <v>0</v>
      </c>
      <c r="S444" s="24" t="str">
        <f t="shared" si="40"/>
        <v>-</v>
      </c>
      <c r="T444" s="24" t="str">
        <f t="shared" si="38"/>
        <v>-</v>
      </c>
      <c r="U444" s="25" t="str">
        <f t="shared" si="41"/>
        <v>-</v>
      </c>
      <c r="V444" s="26" t="str">
        <f t="shared" si="42"/>
        <v>-</v>
      </c>
      <c r="X444" s="26" t="str">
        <f t="shared" si="39"/>
        <v>-</v>
      </c>
    </row>
    <row r="445" spans="1:24" x14ac:dyDescent="0.3">
      <c r="A445" s="37">
        <v>87614140414</v>
      </c>
      <c r="B445" s="8" t="s">
        <v>520</v>
      </c>
      <c r="C445" s="10" t="s">
        <v>2756</v>
      </c>
      <c r="D445" s="11" t="s">
        <v>874</v>
      </c>
      <c r="E445" s="11" t="s">
        <v>925</v>
      </c>
      <c r="F445" s="9">
        <v>30</v>
      </c>
      <c r="G445" s="9">
        <v>90</v>
      </c>
      <c r="H445" s="9" t="s">
        <v>892</v>
      </c>
      <c r="I445" s="9">
        <v>24</v>
      </c>
      <c r="J445" s="9">
        <v>120</v>
      </c>
      <c r="K445" s="9" t="s">
        <v>877</v>
      </c>
      <c r="L445" s="27">
        <v>9.9879999999999997E-2</v>
      </c>
      <c r="M445" s="28" t="s">
        <v>3203</v>
      </c>
      <c r="N445" s="17">
        <v>9.6509909999999994</v>
      </c>
      <c r="O445" s="1"/>
      <c r="P445" s="38">
        <f t="shared" si="37"/>
        <v>0</v>
      </c>
      <c r="S445" s="24" t="str">
        <f t="shared" si="40"/>
        <v>-</v>
      </c>
      <c r="T445" s="24" t="str">
        <f t="shared" si="38"/>
        <v>-</v>
      </c>
      <c r="U445" s="25" t="str">
        <f t="shared" si="41"/>
        <v>-</v>
      </c>
      <c r="V445" s="26" t="str">
        <f t="shared" si="42"/>
        <v>-</v>
      </c>
      <c r="X445" s="26" t="str">
        <f t="shared" si="39"/>
        <v>-</v>
      </c>
    </row>
    <row r="446" spans="1:24" x14ac:dyDescent="0.3">
      <c r="A446" s="37">
        <v>87614141176</v>
      </c>
      <c r="B446" s="8" t="s">
        <v>536</v>
      </c>
      <c r="C446" s="10" t="s">
        <v>537</v>
      </c>
      <c r="D446" s="11" t="s">
        <v>874</v>
      </c>
      <c r="E446" s="11" t="s">
        <v>914</v>
      </c>
      <c r="F446" s="9">
        <v>20</v>
      </c>
      <c r="G446" s="9">
        <v>60</v>
      </c>
      <c r="H446" s="9" t="s">
        <v>892</v>
      </c>
      <c r="I446" s="9">
        <v>24</v>
      </c>
      <c r="J446" s="9">
        <v>90</v>
      </c>
      <c r="K446" s="9" t="s">
        <v>873</v>
      </c>
      <c r="L446" s="27">
        <v>0.103285</v>
      </c>
      <c r="M446" s="28" t="s">
        <v>3203</v>
      </c>
      <c r="N446" s="17">
        <v>11.29548</v>
      </c>
      <c r="O446" s="1"/>
      <c r="P446" s="38">
        <f t="shared" si="37"/>
        <v>0</v>
      </c>
      <c r="S446" s="24" t="str">
        <f t="shared" si="40"/>
        <v>-</v>
      </c>
      <c r="T446" s="24" t="str">
        <f t="shared" si="38"/>
        <v>-</v>
      </c>
      <c r="U446" s="25" t="str">
        <f t="shared" si="41"/>
        <v>-</v>
      </c>
      <c r="V446" s="26" t="str">
        <f t="shared" si="42"/>
        <v>-</v>
      </c>
      <c r="X446" s="26" t="str">
        <f t="shared" si="39"/>
        <v>-</v>
      </c>
    </row>
    <row r="447" spans="1:24" x14ac:dyDescent="0.3">
      <c r="A447" s="37">
        <v>87614141190</v>
      </c>
      <c r="B447" s="8" t="s">
        <v>538</v>
      </c>
      <c r="C447" s="10" t="s">
        <v>539</v>
      </c>
      <c r="D447" s="11" t="s">
        <v>886</v>
      </c>
      <c r="E447" s="11" t="s">
        <v>952</v>
      </c>
      <c r="F447" s="9">
        <v>15</v>
      </c>
      <c r="G447" s="9">
        <v>30</v>
      </c>
      <c r="H447" s="9" t="s">
        <v>868</v>
      </c>
      <c r="I447" s="9">
        <v>24</v>
      </c>
      <c r="J447" s="9">
        <v>200</v>
      </c>
      <c r="K447" s="9" t="s">
        <v>873</v>
      </c>
      <c r="L447" s="27">
        <v>0.20089499999999999</v>
      </c>
      <c r="M447" s="28" t="s">
        <v>3203</v>
      </c>
      <c r="N447" s="17">
        <v>16.411667999999999</v>
      </c>
      <c r="O447" s="1"/>
      <c r="P447" s="38">
        <f t="shared" si="37"/>
        <v>0</v>
      </c>
      <c r="S447" s="24" t="str">
        <f t="shared" si="40"/>
        <v>-</v>
      </c>
      <c r="T447" s="24" t="str">
        <f t="shared" si="38"/>
        <v>-</v>
      </c>
      <c r="U447" s="25" t="str">
        <f t="shared" si="41"/>
        <v>-</v>
      </c>
      <c r="V447" s="26" t="str">
        <f t="shared" si="42"/>
        <v>-</v>
      </c>
      <c r="X447" s="26" t="str">
        <f t="shared" si="39"/>
        <v>-</v>
      </c>
    </row>
    <row r="448" spans="1:24" x14ac:dyDescent="0.3">
      <c r="A448" s="37">
        <v>87614141374</v>
      </c>
      <c r="B448" s="8" t="s">
        <v>542</v>
      </c>
      <c r="C448" s="10" t="s">
        <v>543</v>
      </c>
      <c r="D448" s="11" t="s">
        <v>882</v>
      </c>
      <c r="E448" s="11" t="s">
        <v>932</v>
      </c>
      <c r="F448" s="9">
        <v>16</v>
      </c>
      <c r="G448" s="9">
        <v>48</v>
      </c>
      <c r="H448" s="9" t="s">
        <v>868</v>
      </c>
      <c r="I448" s="9">
        <v>24</v>
      </c>
      <c r="J448" s="9">
        <v>120</v>
      </c>
      <c r="K448" s="9" t="s">
        <v>873</v>
      </c>
      <c r="L448" s="27">
        <v>0.14527999999999999</v>
      </c>
      <c r="M448" s="28" t="s">
        <v>3203</v>
      </c>
      <c r="N448" s="17">
        <v>37.839858</v>
      </c>
      <c r="O448" s="1"/>
      <c r="P448" s="38">
        <f t="shared" si="37"/>
        <v>0</v>
      </c>
      <c r="S448" s="24" t="str">
        <f t="shared" si="40"/>
        <v>-</v>
      </c>
      <c r="T448" s="24" t="str">
        <f t="shared" si="38"/>
        <v>-</v>
      </c>
      <c r="U448" s="25" t="str">
        <f t="shared" si="41"/>
        <v>-</v>
      </c>
      <c r="V448" s="26" t="str">
        <f t="shared" si="42"/>
        <v>-</v>
      </c>
      <c r="X448" s="26" t="str">
        <f t="shared" si="39"/>
        <v>-</v>
      </c>
    </row>
    <row r="449" spans="1:24" x14ac:dyDescent="0.3">
      <c r="A449" s="37">
        <v>87614141749</v>
      </c>
      <c r="B449" s="8" t="s">
        <v>568</v>
      </c>
      <c r="C449" s="10" t="s">
        <v>569</v>
      </c>
      <c r="D449" s="11" t="s">
        <v>899</v>
      </c>
      <c r="E449" s="11" t="s">
        <v>1047</v>
      </c>
      <c r="F449" s="9">
        <v>30</v>
      </c>
      <c r="G449" s="9">
        <v>90</v>
      </c>
      <c r="H449" s="9" t="s">
        <v>892</v>
      </c>
      <c r="I449" s="9">
        <v>24</v>
      </c>
      <c r="J449" s="9">
        <v>60</v>
      </c>
      <c r="K449" s="9" t="s">
        <v>873</v>
      </c>
      <c r="L449" s="27">
        <v>4.6535E-2</v>
      </c>
      <c r="M449" s="28" t="s">
        <v>3203</v>
      </c>
      <c r="N449" s="17">
        <v>4.3188599999999999</v>
      </c>
      <c r="O449" s="1"/>
      <c r="P449" s="38">
        <f t="shared" si="37"/>
        <v>0</v>
      </c>
      <c r="S449" s="24" t="str">
        <f t="shared" si="40"/>
        <v>-</v>
      </c>
      <c r="T449" s="24" t="str">
        <f t="shared" si="38"/>
        <v>-</v>
      </c>
      <c r="U449" s="25" t="str">
        <f t="shared" si="41"/>
        <v>-</v>
      </c>
      <c r="V449" s="26" t="str">
        <f t="shared" si="42"/>
        <v>-</v>
      </c>
      <c r="X449" s="26" t="str">
        <f t="shared" si="39"/>
        <v>-</v>
      </c>
    </row>
    <row r="450" spans="1:24" x14ac:dyDescent="0.3">
      <c r="A450" s="37">
        <v>87614141862</v>
      </c>
      <c r="B450" s="8" t="s">
        <v>576</v>
      </c>
      <c r="C450" s="10" t="s">
        <v>577</v>
      </c>
      <c r="D450" s="11" t="s">
        <v>902</v>
      </c>
      <c r="E450" s="11" t="s">
        <v>971</v>
      </c>
      <c r="F450" s="9">
        <v>30</v>
      </c>
      <c r="G450" s="9">
        <v>90</v>
      </c>
      <c r="H450" s="9" t="s">
        <v>892</v>
      </c>
      <c r="I450" s="9">
        <v>24</v>
      </c>
      <c r="J450" s="9">
        <v>60</v>
      </c>
      <c r="K450" s="9" t="s">
        <v>873</v>
      </c>
      <c r="L450" s="27">
        <v>6.3560000000000005E-2</v>
      </c>
      <c r="M450" s="28" t="s">
        <v>3203</v>
      </c>
      <c r="N450" s="17">
        <v>7.1261189999999992</v>
      </c>
      <c r="O450" s="1"/>
      <c r="P450" s="38">
        <f t="shared" si="37"/>
        <v>0</v>
      </c>
      <c r="S450" s="24" t="str">
        <f t="shared" si="40"/>
        <v>-</v>
      </c>
      <c r="T450" s="24" t="str">
        <f t="shared" si="38"/>
        <v>-</v>
      </c>
      <c r="U450" s="25" t="str">
        <f t="shared" si="41"/>
        <v>-</v>
      </c>
      <c r="V450" s="26" t="str">
        <f t="shared" si="42"/>
        <v>-</v>
      </c>
      <c r="X450" s="26" t="str">
        <f t="shared" si="39"/>
        <v>-</v>
      </c>
    </row>
    <row r="451" spans="1:24" x14ac:dyDescent="0.3">
      <c r="A451" s="37">
        <v>87614142623</v>
      </c>
      <c r="B451" s="8" t="s">
        <v>1150</v>
      </c>
      <c r="C451" s="10" t="s">
        <v>1976</v>
      </c>
      <c r="D451" s="11" t="s">
        <v>881</v>
      </c>
      <c r="E451" s="11" t="s">
        <v>969</v>
      </c>
      <c r="F451" s="9">
        <v>20</v>
      </c>
      <c r="G451" s="9">
        <v>60</v>
      </c>
      <c r="H451" s="9" t="s">
        <v>868</v>
      </c>
      <c r="I451" s="9">
        <v>24</v>
      </c>
      <c r="J451" s="9">
        <v>60</v>
      </c>
      <c r="K451" s="9" t="s">
        <v>873</v>
      </c>
      <c r="L451" s="27">
        <v>0.11236500000000001</v>
      </c>
      <c r="M451" s="28" t="s">
        <v>3203</v>
      </c>
      <c r="N451" s="17">
        <v>14.850234</v>
      </c>
      <c r="O451" s="1"/>
      <c r="P451" s="38">
        <f t="shared" ref="P451:P514" si="43">O451*N451</f>
        <v>0</v>
      </c>
      <c r="S451" s="24" t="str">
        <f t="shared" si="40"/>
        <v>-</v>
      </c>
      <c r="T451" s="24" t="str">
        <f t="shared" ref="T451:T514" si="44">IF(O451&gt;0,N451+L451*O451/$U$2*$V$2/O451,"-")</f>
        <v>-</v>
      </c>
      <c r="U451" s="25" t="str">
        <f t="shared" si="41"/>
        <v>-</v>
      </c>
      <c r="V451" s="26" t="str">
        <f t="shared" si="42"/>
        <v>-</v>
      </c>
      <c r="X451" s="26" t="str">
        <f t="shared" ref="X451:X514" si="45">IFERROR(IF(V451+P451=0, "-", IF(V451&gt;0, V451+P451, "-")), "-")</f>
        <v>-</v>
      </c>
    </row>
    <row r="452" spans="1:24" x14ac:dyDescent="0.3">
      <c r="A452" s="37">
        <v>87614142784</v>
      </c>
      <c r="B452" s="8" t="s">
        <v>1738</v>
      </c>
      <c r="C452" s="10" t="s">
        <v>2478</v>
      </c>
      <c r="D452" s="11" t="s">
        <v>881</v>
      </c>
      <c r="E452" s="11" t="s">
        <v>980</v>
      </c>
      <c r="F452" s="9">
        <v>20</v>
      </c>
      <c r="G452" s="9">
        <v>60</v>
      </c>
      <c r="H452" s="9" t="s">
        <v>892</v>
      </c>
      <c r="I452" s="9">
        <v>24</v>
      </c>
      <c r="J452" s="9">
        <v>120</v>
      </c>
      <c r="K452" s="9" t="s">
        <v>873</v>
      </c>
      <c r="L452" s="27">
        <v>0.103285</v>
      </c>
      <c r="M452" s="28" t="s">
        <v>3203</v>
      </c>
      <c r="N452" s="17">
        <v>7.5413940000000004</v>
      </c>
      <c r="O452" s="1"/>
      <c r="P452" s="38">
        <f t="shared" si="43"/>
        <v>0</v>
      </c>
      <c r="S452" s="24" t="str">
        <f t="shared" ref="S452:S515" si="46">IFERROR(IF(S$2*L452=0, "-", $S$2*L452), "-")</f>
        <v>-</v>
      </c>
      <c r="T452" s="24" t="str">
        <f t="shared" si="44"/>
        <v>-</v>
      </c>
      <c r="U452" s="25" t="str">
        <f t="shared" ref="U452:U515" si="47">IF(O452&gt;0,O452*L452, "-")</f>
        <v>-</v>
      </c>
      <c r="V452" s="26" t="str">
        <f t="shared" ref="V452:V515" si="48">IFERROR(IF($S$2&gt;0, $S$2*U452, "-"), "-")</f>
        <v>-</v>
      </c>
      <c r="X452" s="26" t="str">
        <f t="shared" si="45"/>
        <v>-</v>
      </c>
    </row>
    <row r="453" spans="1:24" x14ac:dyDescent="0.3">
      <c r="A453" s="37">
        <v>87614080222</v>
      </c>
      <c r="B453" s="8" t="s">
        <v>1461</v>
      </c>
      <c r="C453" s="10" t="s">
        <v>2233</v>
      </c>
      <c r="D453" s="11" t="s">
        <v>886</v>
      </c>
      <c r="E453" s="11" t="s">
        <v>952</v>
      </c>
      <c r="F453" s="9">
        <v>30</v>
      </c>
      <c r="G453" s="9">
        <v>90</v>
      </c>
      <c r="H453" s="9" t="s">
        <v>868</v>
      </c>
      <c r="I453" s="9">
        <v>36</v>
      </c>
      <c r="J453" s="9">
        <v>60</v>
      </c>
      <c r="K453" s="9" t="s">
        <v>873</v>
      </c>
      <c r="L453" s="27">
        <v>8.2854999999999998E-2</v>
      </c>
      <c r="M453" s="28" t="s">
        <v>3203</v>
      </c>
      <c r="N453" s="17">
        <v>4.3354710000000001</v>
      </c>
      <c r="O453" s="1"/>
      <c r="P453" s="38">
        <f t="shared" si="43"/>
        <v>0</v>
      </c>
      <c r="S453" s="24" t="str">
        <f t="shared" si="46"/>
        <v>-</v>
      </c>
      <c r="T453" s="24" t="str">
        <f t="shared" si="44"/>
        <v>-</v>
      </c>
      <c r="U453" s="25" t="str">
        <f t="shared" si="47"/>
        <v>-</v>
      </c>
      <c r="V453" s="26" t="str">
        <f t="shared" si="48"/>
        <v>-</v>
      </c>
      <c r="X453" s="26" t="str">
        <f t="shared" si="45"/>
        <v>-</v>
      </c>
    </row>
    <row r="454" spans="1:24" x14ac:dyDescent="0.3">
      <c r="A454" s="37">
        <v>87614080321</v>
      </c>
      <c r="B454" s="8" t="s">
        <v>600</v>
      </c>
      <c r="C454" s="10" t="s">
        <v>3187</v>
      </c>
      <c r="D454" s="11" t="s">
        <v>886</v>
      </c>
      <c r="E454" s="11" t="s">
        <v>957</v>
      </c>
      <c r="F454" s="9">
        <v>30</v>
      </c>
      <c r="G454" s="9">
        <v>90</v>
      </c>
      <c r="H454" s="9" t="s">
        <v>868</v>
      </c>
      <c r="I454" s="9">
        <v>24</v>
      </c>
      <c r="J454" s="9">
        <v>60</v>
      </c>
      <c r="K454" s="9" t="s">
        <v>2903</v>
      </c>
      <c r="L454" s="27">
        <v>7.3775000000000007E-2</v>
      </c>
      <c r="M454" s="28" t="s">
        <v>3203</v>
      </c>
      <c r="N454" s="17">
        <v>3.3554219999999999</v>
      </c>
      <c r="O454" s="1"/>
      <c r="P454" s="38">
        <f t="shared" si="43"/>
        <v>0</v>
      </c>
      <c r="S454" s="24" t="str">
        <f t="shared" si="46"/>
        <v>-</v>
      </c>
      <c r="T454" s="24" t="str">
        <f t="shared" si="44"/>
        <v>-</v>
      </c>
      <c r="U454" s="25" t="str">
        <f t="shared" si="47"/>
        <v>-</v>
      </c>
      <c r="V454" s="26" t="str">
        <f t="shared" si="48"/>
        <v>-</v>
      </c>
      <c r="X454" s="26" t="str">
        <f t="shared" si="45"/>
        <v>-</v>
      </c>
    </row>
    <row r="455" spans="1:24" x14ac:dyDescent="0.3">
      <c r="A455" s="37">
        <v>87614060521</v>
      </c>
      <c r="B455" s="8" t="s">
        <v>613</v>
      </c>
      <c r="C455" s="10" t="s">
        <v>614</v>
      </c>
      <c r="D455" s="11" t="s">
        <v>866</v>
      </c>
      <c r="E455" s="11" t="s">
        <v>956</v>
      </c>
      <c r="F455" s="9">
        <v>30</v>
      </c>
      <c r="G455" s="9">
        <v>90</v>
      </c>
      <c r="H455" s="9" t="s">
        <v>868</v>
      </c>
      <c r="I455" s="9">
        <v>36</v>
      </c>
      <c r="J455" s="9">
        <v>60</v>
      </c>
      <c r="K455" s="9" t="s">
        <v>889</v>
      </c>
      <c r="L455" s="27">
        <v>4.8804999999999994E-2</v>
      </c>
      <c r="M455" s="28" t="s">
        <v>3203</v>
      </c>
      <c r="N455" s="17">
        <v>7.0098419999999999</v>
      </c>
      <c r="O455" s="1"/>
      <c r="P455" s="38">
        <f t="shared" si="43"/>
        <v>0</v>
      </c>
      <c r="S455" s="24" t="str">
        <f t="shared" si="46"/>
        <v>-</v>
      </c>
      <c r="T455" s="24" t="str">
        <f t="shared" si="44"/>
        <v>-</v>
      </c>
      <c r="U455" s="25" t="str">
        <f t="shared" si="47"/>
        <v>-</v>
      </c>
      <c r="V455" s="26" t="str">
        <f t="shared" si="48"/>
        <v>-</v>
      </c>
      <c r="X455" s="26" t="str">
        <f t="shared" si="45"/>
        <v>-</v>
      </c>
    </row>
    <row r="456" spans="1:24" x14ac:dyDescent="0.3">
      <c r="A456" s="37">
        <v>87614020723</v>
      </c>
      <c r="B456" s="8" t="s">
        <v>1767</v>
      </c>
      <c r="C456" s="10" t="s">
        <v>2504</v>
      </c>
      <c r="D456" s="11" t="s">
        <v>870</v>
      </c>
      <c r="E456" s="11" t="s">
        <v>1051</v>
      </c>
      <c r="F456" s="9">
        <v>20</v>
      </c>
      <c r="G456" s="9">
        <v>60</v>
      </c>
      <c r="H456" s="9" t="s">
        <v>868</v>
      </c>
      <c r="I456" s="9">
        <v>36</v>
      </c>
      <c r="J456" s="9">
        <v>180</v>
      </c>
      <c r="K456" s="9" t="s">
        <v>873</v>
      </c>
      <c r="L456" s="27">
        <v>0.13619999999999999</v>
      </c>
      <c r="M456" s="28" t="s">
        <v>3203</v>
      </c>
      <c r="N456" s="17">
        <v>12.773859</v>
      </c>
      <c r="O456" s="1"/>
      <c r="P456" s="38">
        <f t="shared" si="43"/>
        <v>0</v>
      </c>
      <c r="S456" s="24" t="str">
        <f t="shared" si="46"/>
        <v>-</v>
      </c>
      <c r="T456" s="24" t="str">
        <f t="shared" si="44"/>
        <v>-</v>
      </c>
      <c r="U456" s="25" t="str">
        <f t="shared" si="47"/>
        <v>-</v>
      </c>
      <c r="V456" s="26" t="str">
        <f t="shared" si="48"/>
        <v>-</v>
      </c>
      <c r="X456" s="26" t="str">
        <f t="shared" si="45"/>
        <v>-</v>
      </c>
    </row>
    <row r="457" spans="1:24" x14ac:dyDescent="0.3">
      <c r="A457" s="37">
        <v>87614020839</v>
      </c>
      <c r="B457" s="8" t="s">
        <v>636</v>
      </c>
      <c r="C457" s="10" t="s">
        <v>637</v>
      </c>
      <c r="D457" s="11" t="s">
        <v>883</v>
      </c>
      <c r="E457" s="11" t="s">
        <v>926</v>
      </c>
      <c r="F457" s="9">
        <v>12</v>
      </c>
      <c r="G457" s="9">
        <v>24</v>
      </c>
      <c r="H457" s="9" t="s">
        <v>868</v>
      </c>
      <c r="I457" s="9">
        <v>24</v>
      </c>
      <c r="J457" s="9">
        <v>120</v>
      </c>
      <c r="K457" s="9" t="s">
        <v>869</v>
      </c>
      <c r="L457" s="27">
        <v>0.35638999999999998</v>
      </c>
      <c r="M457" s="28" t="s">
        <v>3203</v>
      </c>
      <c r="N457" s="17">
        <v>13.687463999999999</v>
      </c>
      <c r="O457" s="1"/>
      <c r="P457" s="38">
        <f t="shared" si="43"/>
        <v>0</v>
      </c>
      <c r="S457" s="24" t="str">
        <f t="shared" si="46"/>
        <v>-</v>
      </c>
      <c r="T457" s="24" t="str">
        <f t="shared" si="44"/>
        <v>-</v>
      </c>
      <c r="U457" s="25" t="str">
        <f t="shared" si="47"/>
        <v>-</v>
      </c>
      <c r="V457" s="26" t="str">
        <f t="shared" si="48"/>
        <v>-</v>
      </c>
      <c r="X457" s="26" t="str">
        <f t="shared" si="45"/>
        <v>-</v>
      </c>
    </row>
    <row r="458" spans="1:24" x14ac:dyDescent="0.3">
      <c r="A458" s="37">
        <v>87614210148</v>
      </c>
      <c r="B458" s="8" t="s">
        <v>1937</v>
      </c>
      <c r="C458" s="10" t="s">
        <v>2659</v>
      </c>
      <c r="D458" s="11" t="s">
        <v>866</v>
      </c>
      <c r="E458" s="11" t="s">
        <v>867</v>
      </c>
      <c r="F458" s="9">
        <v>30</v>
      </c>
      <c r="G458" s="9">
        <v>90</v>
      </c>
      <c r="H458" s="9" t="s">
        <v>892</v>
      </c>
      <c r="I458" s="9">
        <v>24</v>
      </c>
      <c r="J458" s="9">
        <v>60</v>
      </c>
      <c r="K458" s="9" t="s">
        <v>869</v>
      </c>
      <c r="L458" s="27">
        <v>6.3560000000000005E-2</v>
      </c>
      <c r="M458" s="28" t="s">
        <v>3203</v>
      </c>
      <c r="N458" s="17">
        <v>10.398486</v>
      </c>
      <c r="O458" s="1"/>
      <c r="P458" s="38">
        <f t="shared" si="43"/>
        <v>0</v>
      </c>
      <c r="S458" s="24" t="str">
        <f t="shared" si="46"/>
        <v>-</v>
      </c>
      <c r="T458" s="24" t="str">
        <f t="shared" si="44"/>
        <v>-</v>
      </c>
      <c r="U458" s="25" t="str">
        <f t="shared" si="47"/>
        <v>-</v>
      </c>
      <c r="V458" s="26" t="str">
        <f t="shared" si="48"/>
        <v>-</v>
      </c>
      <c r="X458" s="26" t="str">
        <f t="shared" si="45"/>
        <v>-</v>
      </c>
    </row>
    <row r="459" spans="1:24" x14ac:dyDescent="0.3">
      <c r="A459" s="37">
        <v>87614210209</v>
      </c>
      <c r="B459" s="8" t="s">
        <v>1898</v>
      </c>
      <c r="C459" s="10" t="s">
        <v>2622</v>
      </c>
      <c r="D459" s="11" t="s">
        <v>874</v>
      </c>
      <c r="E459" s="11" t="s">
        <v>917</v>
      </c>
      <c r="F459" s="9">
        <v>16</v>
      </c>
      <c r="G459" s="9">
        <v>48</v>
      </c>
      <c r="H459" s="9" t="s">
        <v>868</v>
      </c>
      <c r="I459" s="9">
        <v>36</v>
      </c>
      <c r="J459" s="9">
        <v>120</v>
      </c>
      <c r="K459" s="9" t="s">
        <v>873</v>
      </c>
      <c r="L459" s="27">
        <v>0.16911499999999999</v>
      </c>
      <c r="M459" s="28" t="s">
        <v>3203</v>
      </c>
      <c r="N459" s="17">
        <v>14.069516999999999</v>
      </c>
      <c r="O459" s="1"/>
      <c r="P459" s="38">
        <f t="shared" si="43"/>
        <v>0</v>
      </c>
      <c r="S459" s="24" t="str">
        <f t="shared" si="46"/>
        <v>-</v>
      </c>
      <c r="T459" s="24" t="str">
        <f t="shared" si="44"/>
        <v>-</v>
      </c>
      <c r="U459" s="25" t="str">
        <f t="shared" si="47"/>
        <v>-</v>
      </c>
      <c r="V459" s="26" t="str">
        <f t="shared" si="48"/>
        <v>-</v>
      </c>
      <c r="X459" s="26" t="str">
        <f t="shared" si="45"/>
        <v>-</v>
      </c>
    </row>
    <row r="460" spans="1:24" x14ac:dyDescent="0.3">
      <c r="A460" s="37">
        <v>87614210216</v>
      </c>
      <c r="B460" s="8" t="s">
        <v>645</v>
      </c>
      <c r="C460" s="10" t="s">
        <v>646</v>
      </c>
      <c r="D460" s="11" t="s">
        <v>874</v>
      </c>
      <c r="E460" s="11" t="s">
        <v>917</v>
      </c>
      <c r="F460" s="9">
        <v>12</v>
      </c>
      <c r="G460" s="9">
        <v>24</v>
      </c>
      <c r="H460" s="9" t="s">
        <v>868</v>
      </c>
      <c r="I460" s="9">
        <v>36</v>
      </c>
      <c r="J460" s="9">
        <v>240</v>
      </c>
      <c r="K460" s="9" t="s">
        <v>873</v>
      </c>
      <c r="L460" s="27">
        <v>0.33368999999999999</v>
      </c>
      <c r="M460" s="28" t="s">
        <v>3203</v>
      </c>
      <c r="N460" s="17">
        <v>26.477934000000001</v>
      </c>
      <c r="O460" s="1"/>
      <c r="P460" s="38">
        <f t="shared" si="43"/>
        <v>0</v>
      </c>
      <c r="S460" s="24" t="str">
        <f t="shared" si="46"/>
        <v>-</v>
      </c>
      <c r="T460" s="24" t="str">
        <f t="shared" si="44"/>
        <v>-</v>
      </c>
      <c r="U460" s="25" t="str">
        <f t="shared" si="47"/>
        <v>-</v>
      </c>
      <c r="V460" s="26" t="str">
        <f t="shared" si="48"/>
        <v>-</v>
      </c>
      <c r="X460" s="26" t="str">
        <f t="shared" si="45"/>
        <v>-</v>
      </c>
    </row>
    <row r="461" spans="1:24" x14ac:dyDescent="0.3">
      <c r="A461" s="37">
        <v>87614210919</v>
      </c>
      <c r="B461" s="8" t="s">
        <v>658</v>
      </c>
      <c r="C461" s="10" t="s">
        <v>3189</v>
      </c>
      <c r="D461" s="11" t="s">
        <v>882</v>
      </c>
      <c r="E461" s="11" t="s">
        <v>1035</v>
      </c>
      <c r="F461" s="9">
        <v>30</v>
      </c>
      <c r="G461" s="9">
        <v>90</v>
      </c>
      <c r="H461" s="9" t="s">
        <v>868</v>
      </c>
      <c r="I461" s="9">
        <v>24</v>
      </c>
      <c r="J461" s="9">
        <v>60</v>
      </c>
      <c r="K461" s="9" t="s">
        <v>2903</v>
      </c>
      <c r="L461" s="27">
        <v>6.583E-2</v>
      </c>
      <c r="M461" s="28" t="s">
        <v>3203</v>
      </c>
      <c r="N461" s="17">
        <v>19.102649999999997</v>
      </c>
      <c r="O461" s="1"/>
      <c r="P461" s="38">
        <f t="shared" si="43"/>
        <v>0</v>
      </c>
      <c r="S461" s="24" t="str">
        <f t="shared" si="46"/>
        <v>-</v>
      </c>
      <c r="T461" s="24" t="str">
        <f t="shared" si="44"/>
        <v>-</v>
      </c>
      <c r="U461" s="25" t="str">
        <f t="shared" si="47"/>
        <v>-</v>
      </c>
      <c r="V461" s="26" t="str">
        <f t="shared" si="48"/>
        <v>-</v>
      </c>
      <c r="X461" s="26" t="str">
        <f t="shared" si="45"/>
        <v>-</v>
      </c>
    </row>
    <row r="462" spans="1:24" x14ac:dyDescent="0.3">
      <c r="A462" s="37">
        <v>87614021249</v>
      </c>
      <c r="B462" s="8" t="s">
        <v>666</v>
      </c>
      <c r="C462" s="10" t="s">
        <v>667</v>
      </c>
      <c r="D462" s="11" t="s">
        <v>874</v>
      </c>
      <c r="E462" s="11" t="s">
        <v>914</v>
      </c>
      <c r="F462" s="9">
        <v>30</v>
      </c>
      <c r="G462" s="9">
        <v>90</v>
      </c>
      <c r="H462" s="9" t="s">
        <v>868</v>
      </c>
      <c r="I462" s="9">
        <v>36</v>
      </c>
      <c r="J462" s="9">
        <v>60</v>
      </c>
      <c r="K462" s="9" t="s">
        <v>873</v>
      </c>
      <c r="L462" s="27">
        <v>7.3775000000000007E-2</v>
      </c>
      <c r="M462" s="28" t="s">
        <v>3203</v>
      </c>
      <c r="N462" s="17">
        <v>5.4317969999999995</v>
      </c>
      <c r="O462" s="1"/>
      <c r="P462" s="38">
        <f t="shared" si="43"/>
        <v>0</v>
      </c>
      <c r="S462" s="24" t="str">
        <f t="shared" si="46"/>
        <v>-</v>
      </c>
      <c r="T462" s="24" t="str">
        <f t="shared" si="44"/>
        <v>-</v>
      </c>
      <c r="U462" s="25" t="str">
        <f t="shared" si="47"/>
        <v>-</v>
      </c>
      <c r="V462" s="26" t="str">
        <f t="shared" si="48"/>
        <v>-</v>
      </c>
      <c r="X462" s="26" t="str">
        <f t="shared" si="45"/>
        <v>-</v>
      </c>
    </row>
    <row r="463" spans="1:24" x14ac:dyDescent="0.3">
      <c r="A463" s="37">
        <v>87614021393</v>
      </c>
      <c r="B463" s="8" t="s">
        <v>670</v>
      </c>
      <c r="C463" s="10" t="s">
        <v>671</v>
      </c>
      <c r="D463" s="11" t="s">
        <v>883</v>
      </c>
      <c r="E463" s="11" t="s">
        <v>926</v>
      </c>
      <c r="F463" s="9">
        <v>15</v>
      </c>
      <c r="G463" s="9">
        <v>30</v>
      </c>
      <c r="H463" s="9" t="s">
        <v>868</v>
      </c>
      <c r="I463" s="9">
        <v>36</v>
      </c>
      <c r="J463" s="9">
        <v>90</v>
      </c>
      <c r="K463" s="9" t="s">
        <v>873</v>
      </c>
      <c r="L463" s="27">
        <v>0.19749</v>
      </c>
      <c r="M463" s="28" t="s">
        <v>3203</v>
      </c>
      <c r="N463" s="17">
        <v>12.823691999999999</v>
      </c>
      <c r="O463" s="1"/>
      <c r="P463" s="38">
        <f t="shared" si="43"/>
        <v>0</v>
      </c>
      <c r="S463" s="24" t="str">
        <f t="shared" si="46"/>
        <v>-</v>
      </c>
      <c r="T463" s="24" t="str">
        <f t="shared" si="44"/>
        <v>-</v>
      </c>
      <c r="U463" s="25" t="str">
        <f t="shared" si="47"/>
        <v>-</v>
      </c>
      <c r="V463" s="26" t="str">
        <f t="shared" si="48"/>
        <v>-</v>
      </c>
      <c r="X463" s="26" t="str">
        <f t="shared" si="45"/>
        <v>-</v>
      </c>
    </row>
    <row r="464" spans="1:24" x14ac:dyDescent="0.3">
      <c r="A464" s="37">
        <v>87614021508</v>
      </c>
      <c r="B464" s="8" t="s">
        <v>674</v>
      </c>
      <c r="C464" s="10" t="s">
        <v>675</v>
      </c>
      <c r="D464" s="11" t="s">
        <v>874</v>
      </c>
      <c r="E464" s="11" t="s">
        <v>919</v>
      </c>
      <c r="F464" s="9">
        <v>30</v>
      </c>
      <c r="G464" s="9">
        <v>90</v>
      </c>
      <c r="H464" s="9" t="s">
        <v>868</v>
      </c>
      <c r="I464" s="9">
        <v>24</v>
      </c>
      <c r="J464" s="9">
        <v>60</v>
      </c>
      <c r="K464" s="9" t="s">
        <v>869</v>
      </c>
      <c r="L464" s="27">
        <v>7.9450000000000007E-2</v>
      </c>
      <c r="M464" s="28" t="s">
        <v>3203</v>
      </c>
      <c r="N464" s="17">
        <v>14.102739</v>
      </c>
      <c r="O464" s="1"/>
      <c r="P464" s="38">
        <f t="shared" si="43"/>
        <v>0</v>
      </c>
      <c r="S464" s="24" t="str">
        <f t="shared" si="46"/>
        <v>-</v>
      </c>
      <c r="T464" s="24" t="str">
        <f t="shared" si="44"/>
        <v>-</v>
      </c>
      <c r="U464" s="25" t="str">
        <f t="shared" si="47"/>
        <v>-</v>
      </c>
      <c r="V464" s="26" t="str">
        <f t="shared" si="48"/>
        <v>-</v>
      </c>
      <c r="X464" s="26" t="str">
        <f t="shared" si="45"/>
        <v>-</v>
      </c>
    </row>
    <row r="465" spans="1:24" x14ac:dyDescent="0.3">
      <c r="A465" s="37">
        <v>87614021621</v>
      </c>
      <c r="B465" s="8" t="s">
        <v>677</v>
      </c>
      <c r="C465" s="10" t="s">
        <v>678</v>
      </c>
      <c r="D465" s="11" t="s">
        <v>884</v>
      </c>
      <c r="E465" s="11" t="s">
        <v>959</v>
      </c>
      <c r="F465" s="9">
        <v>30</v>
      </c>
      <c r="G465" s="9">
        <v>90</v>
      </c>
      <c r="H465" s="9" t="s">
        <v>868</v>
      </c>
      <c r="I465" s="9">
        <v>24</v>
      </c>
      <c r="J465" s="9">
        <v>60</v>
      </c>
      <c r="K465" s="9" t="s">
        <v>873</v>
      </c>
      <c r="L465" s="27">
        <v>5.3345000000000004E-2</v>
      </c>
      <c r="M465" s="28" t="s">
        <v>3203</v>
      </c>
      <c r="N465" s="17">
        <v>22.192295999999999</v>
      </c>
      <c r="O465" s="1"/>
      <c r="P465" s="38">
        <f t="shared" si="43"/>
        <v>0</v>
      </c>
      <c r="S465" s="24" t="str">
        <f t="shared" si="46"/>
        <v>-</v>
      </c>
      <c r="T465" s="24" t="str">
        <f t="shared" si="44"/>
        <v>-</v>
      </c>
      <c r="U465" s="25" t="str">
        <f t="shared" si="47"/>
        <v>-</v>
      </c>
      <c r="V465" s="26" t="str">
        <f t="shared" si="48"/>
        <v>-</v>
      </c>
      <c r="X465" s="26" t="str">
        <f t="shared" si="45"/>
        <v>-</v>
      </c>
    </row>
    <row r="466" spans="1:24" x14ac:dyDescent="0.3">
      <c r="A466" s="37">
        <v>87614021874</v>
      </c>
      <c r="B466" s="8" t="s">
        <v>681</v>
      </c>
      <c r="C466" s="10" t="s">
        <v>3030</v>
      </c>
      <c r="D466" s="11" t="s">
        <v>882</v>
      </c>
      <c r="E466" s="11" t="s">
        <v>1054</v>
      </c>
      <c r="F466" s="9">
        <v>30</v>
      </c>
      <c r="G466" s="9">
        <v>90</v>
      </c>
      <c r="H466" s="9" t="s">
        <v>868</v>
      </c>
      <c r="I466" s="9">
        <v>24</v>
      </c>
      <c r="J466" s="9">
        <v>60</v>
      </c>
      <c r="K466" s="9" t="s">
        <v>873</v>
      </c>
      <c r="L466" s="27">
        <v>4.8804999999999994E-2</v>
      </c>
      <c r="M466" s="28" t="s">
        <v>3203</v>
      </c>
      <c r="N466" s="17">
        <v>20.863416000000001</v>
      </c>
      <c r="O466" s="1"/>
      <c r="P466" s="38">
        <f t="shared" si="43"/>
        <v>0</v>
      </c>
      <c r="S466" s="24" t="str">
        <f t="shared" si="46"/>
        <v>-</v>
      </c>
      <c r="T466" s="24" t="str">
        <f t="shared" si="44"/>
        <v>-</v>
      </c>
      <c r="U466" s="25" t="str">
        <f t="shared" si="47"/>
        <v>-</v>
      </c>
      <c r="V466" s="26" t="str">
        <f t="shared" si="48"/>
        <v>-</v>
      </c>
      <c r="X466" s="26" t="str">
        <f t="shared" si="45"/>
        <v>-</v>
      </c>
    </row>
    <row r="467" spans="1:24" x14ac:dyDescent="0.3">
      <c r="A467" s="37">
        <v>87614022505</v>
      </c>
      <c r="B467" s="8" t="s">
        <v>695</v>
      </c>
      <c r="C467" s="10" t="s">
        <v>696</v>
      </c>
      <c r="D467" s="11" t="s">
        <v>874</v>
      </c>
      <c r="E467" s="11" t="s">
        <v>919</v>
      </c>
      <c r="F467" s="9">
        <v>30</v>
      </c>
      <c r="G467" s="9">
        <v>90</v>
      </c>
      <c r="H467" s="9" t="s">
        <v>868</v>
      </c>
      <c r="I467" s="9">
        <v>24</v>
      </c>
      <c r="J467" s="9">
        <v>60</v>
      </c>
      <c r="K467" s="9" t="s">
        <v>873</v>
      </c>
      <c r="L467" s="27">
        <v>5.9019999999999996E-2</v>
      </c>
      <c r="M467" s="28" t="s">
        <v>3203</v>
      </c>
      <c r="N467" s="17">
        <v>15.032954999999999</v>
      </c>
      <c r="O467" s="1"/>
      <c r="P467" s="38">
        <f t="shared" si="43"/>
        <v>0</v>
      </c>
      <c r="S467" s="24" t="str">
        <f t="shared" si="46"/>
        <v>-</v>
      </c>
      <c r="T467" s="24" t="str">
        <f t="shared" si="44"/>
        <v>-</v>
      </c>
      <c r="U467" s="25" t="str">
        <f t="shared" si="47"/>
        <v>-</v>
      </c>
      <c r="V467" s="26" t="str">
        <f t="shared" si="48"/>
        <v>-</v>
      </c>
      <c r="X467" s="26" t="str">
        <f t="shared" si="45"/>
        <v>-</v>
      </c>
    </row>
    <row r="468" spans="1:24" x14ac:dyDescent="0.3">
      <c r="A468" s="37">
        <v>87614022543</v>
      </c>
      <c r="B468" s="8" t="s">
        <v>1347</v>
      </c>
      <c r="C468" s="10" t="s">
        <v>2128</v>
      </c>
      <c r="D468" s="11" t="s">
        <v>902</v>
      </c>
      <c r="E468" s="11" t="s">
        <v>1056</v>
      </c>
      <c r="F468" s="9">
        <v>48</v>
      </c>
      <c r="G468" s="9">
        <v>192</v>
      </c>
      <c r="H468" s="9" t="s">
        <v>868</v>
      </c>
      <c r="I468" s="9">
        <v>24</v>
      </c>
      <c r="J468" s="9">
        <v>60</v>
      </c>
      <c r="K468" s="9" t="s">
        <v>869</v>
      </c>
      <c r="L468" s="27">
        <v>3.2915E-2</v>
      </c>
      <c r="M468" s="28" t="s">
        <v>3203</v>
      </c>
      <c r="N468" s="17">
        <v>6.5447340000000001</v>
      </c>
      <c r="O468" s="1"/>
      <c r="P468" s="38">
        <f t="shared" si="43"/>
        <v>0</v>
      </c>
      <c r="S468" s="24" t="str">
        <f t="shared" si="46"/>
        <v>-</v>
      </c>
      <c r="T468" s="24" t="str">
        <f t="shared" si="44"/>
        <v>-</v>
      </c>
      <c r="U468" s="25" t="str">
        <f t="shared" si="47"/>
        <v>-</v>
      </c>
      <c r="V468" s="26" t="str">
        <f t="shared" si="48"/>
        <v>-</v>
      </c>
      <c r="X468" s="26" t="str">
        <f t="shared" si="45"/>
        <v>-</v>
      </c>
    </row>
    <row r="469" spans="1:24" x14ac:dyDescent="0.3">
      <c r="A469" s="37">
        <v>87614023342</v>
      </c>
      <c r="B469" s="8" t="s">
        <v>1809</v>
      </c>
      <c r="C469" s="10" t="s">
        <v>2545</v>
      </c>
      <c r="D469" s="11" t="s">
        <v>874</v>
      </c>
      <c r="E469" s="11" t="s">
        <v>914</v>
      </c>
      <c r="F469" s="9">
        <v>30</v>
      </c>
      <c r="G469" s="9">
        <v>90</v>
      </c>
      <c r="H469" s="9" t="s">
        <v>868</v>
      </c>
      <c r="I469" s="9">
        <v>36</v>
      </c>
      <c r="J469" s="9">
        <v>60</v>
      </c>
      <c r="K469" s="9" t="s">
        <v>873</v>
      </c>
      <c r="L469" s="27">
        <v>4.4264999999999999E-2</v>
      </c>
      <c r="M469" s="28" t="s">
        <v>3203</v>
      </c>
      <c r="N469" s="17">
        <v>13.189134000000001</v>
      </c>
      <c r="O469" s="1"/>
      <c r="P469" s="38">
        <f t="shared" si="43"/>
        <v>0</v>
      </c>
      <c r="S469" s="24" t="str">
        <f t="shared" si="46"/>
        <v>-</v>
      </c>
      <c r="T469" s="24" t="str">
        <f t="shared" si="44"/>
        <v>-</v>
      </c>
      <c r="U469" s="25" t="str">
        <f t="shared" si="47"/>
        <v>-</v>
      </c>
      <c r="V469" s="26" t="str">
        <f t="shared" si="48"/>
        <v>-</v>
      </c>
      <c r="X469" s="26" t="str">
        <f t="shared" si="45"/>
        <v>-</v>
      </c>
    </row>
    <row r="470" spans="1:24" x14ac:dyDescent="0.3">
      <c r="A470" s="37">
        <v>87614023410</v>
      </c>
      <c r="B470" s="8" t="s">
        <v>713</v>
      </c>
      <c r="C470" s="10" t="s">
        <v>714</v>
      </c>
      <c r="D470" s="11" t="s">
        <v>874</v>
      </c>
      <c r="E470" s="11" t="s">
        <v>925</v>
      </c>
      <c r="F470" s="9">
        <v>15</v>
      </c>
      <c r="G470" s="9">
        <v>30</v>
      </c>
      <c r="H470" s="9" t="s">
        <v>868</v>
      </c>
      <c r="I470" s="9">
        <v>24</v>
      </c>
      <c r="J470" s="9">
        <v>90</v>
      </c>
      <c r="K470" s="9" t="s">
        <v>873</v>
      </c>
      <c r="L470" s="27">
        <v>0.17706</v>
      </c>
      <c r="M470" s="28" t="s">
        <v>3203</v>
      </c>
      <c r="N470" s="17">
        <v>11.810421</v>
      </c>
      <c r="O470" s="1"/>
      <c r="P470" s="38">
        <f t="shared" si="43"/>
        <v>0</v>
      </c>
      <c r="S470" s="24" t="str">
        <f t="shared" si="46"/>
        <v>-</v>
      </c>
      <c r="T470" s="24" t="str">
        <f t="shared" si="44"/>
        <v>-</v>
      </c>
      <c r="U470" s="25" t="str">
        <f t="shared" si="47"/>
        <v>-</v>
      </c>
      <c r="V470" s="26" t="str">
        <f t="shared" si="48"/>
        <v>-</v>
      </c>
      <c r="X470" s="26" t="str">
        <f t="shared" si="45"/>
        <v>-</v>
      </c>
    </row>
    <row r="471" spans="1:24" x14ac:dyDescent="0.3">
      <c r="A471" s="37">
        <v>87614023496</v>
      </c>
      <c r="B471" s="8" t="s">
        <v>1146</v>
      </c>
      <c r="C471" s="10" t="s">
        <v>1973</v>
      </c>
      <c r="D471" s="11" t="s">
        <v>874</v>
      </c>
      <c r="E471" s="11" t="s">
        <v>1032</v>
      </c>
      <c r="F471" s="9">
        <v>30</v>
      </c>
      <c r="G471" s="9">
        <v>90</v>
      </c>
      <c r="H471" s="9" t="s">
        <v>868</v>
      </c>
      <c r="I471" s="9">
        <v>28</v>
      </c>
      <c r="J471" s="9">
        <v>60</v>
      </c>
      <c r="K471" s="9" t="s">
        <v>869</v>
      </c>
      <c r="L471" s="27">
        <v>6.4695000000000003E-2</v>
      </c>
      <c r="M471" s="28" t="s">
        <v>3203</v>
      </c>
      <c r="N471" s="17">
        <v>14.036295000000001</v>
      </c>
      <c r="O471" s="1"/>
      <c r="P471" s="38">
        <f t="shared" si="43"/>
        <v>0</v>
      </c>
      <c r="S471" s="24" t="str">
        <f t="shared" si="46"/>
        <v>-</v>
      </c>
      <c r="T471" s="24" t="str">
        <f t="shared" si="44"/>
        <v>-</v>
      </c>
      <c r="U471" s="25" t="str">
        <f t="shared" si="47"/>
        <v>-</v>
      </c>
      <c r="V471" s="26" t="str">
        <f t="shared" si="48"/>
        <v>-</v>
      </c>
      <c r="X471" s="26" t="str">
        <f t="shared" si="45"/>
        <v>-</v>
      </c>
    </row>
    <row r="472" spans="1:24" x14ac:dyDescent="0.3">
      <c r="A472" s="37">
        <v>87614023663</v>
      </c>
      <c r="B472" s="8" t="s">
        <v>716</v>
      </c>
      <c r="C472" s="10" t="s">
        <v>717</v>
      </c>
      <c r="D472" s="11" t="s">
        <v>876</v>
      </c>
      <c r="E472" s="11" t="s">
        <v>1020</v>
      </c>
      <c r="F472" s="9">
        <v>30</v>
      </c>
      <c r="G472" s="9">
        <v>90</v>
      </c>
      <c r="H472" s="9" t="s">
        <v>868</v>
      </c>
      <c r="I472" s="9">
        <v>24</v>
      </c>
      <c r="J472" s="9">
        <v>60</v>
      </c>
      <c r="K472" s="9" t="s">
        <v>873</v>
      </c>
      <c r="L472" s="27">
        <v>4.9939999999999998E-2</v>
      </c>
      <c r="M472" s="28" t="s">
        <v>3203</v>
      </c>
      <c r="N472" s="17">
        <v>12.591138000000001</v>
      </c>
      <c r="O472" s="1"/>
      <c r="P472" s="38">
        <f t="shared" si="43"/>
        <v>0</v>
      </c>
      <c r="S472" s="24" t="str">
        <f t="shared" si="46"/>
        <v>-</v>
      </c>
      <c r="T472" s="24" t="str">
        <f t="shared" si="44"/>
        <v>-</v>
      </c>
      <c r="U472" s="25" t="str">
        <f t="shared" si="47"/>
        <v>-</v>
      </c>
      <c r="V472" s="26" t="str">
        <f t="shared" si="48"/>
        <v>-</v>
      </c>
      <c r="X472" s="26" t="str">
        <f t="shared" si="45"/>
        <v>-</v>
      </c>
    </row>
    <row r="473" spans="1:24" x14ac:dyDescent="0.3">
      <c r="A473" s="37">
        <v>87614024523</v>
      </c>
      <c r="B473" s="8" t="s">
        <v>744</v>
      </c>
      <c r="C473" s="10" t="s">
        <v>2787</v>
      </c>
      <c r="D473" s="11" t="s">
        <v>882</v>
      </c>
      <c r="E473" s="11" t="s">
        <v>1026</v>
      </c>
      <c r="F473" s="9">
        <v>20</v>
      </c>
      <c r="G473" s="9">
        <v>60</v>
      </c>
      <c r="H473" s="9" t="s">
        <v>868</v>
      </c>
      <c r="I473" s="9">
        <v>24</v>
      </c>
      <c r="J473" s="9">
        <v>90</v>
      </c>
      <c r="K473" s="9" t="s">
        <v>2903</v>
      </c>
      <c r="L473" s="27">
        <v>0.119175</v>
      </c>
      <c r="M473" s="28" t="s">
        <v>3203</v>
      </c>
      <c r="N473" s="17">
        <v>6.5115119999999997</v>
      </c>
      <c r="O473" s="1"/>
      <c r="P473" s="38">
        <f t="shared" si="43"/>
        <v>0</v>
      </c>
      <c r="S473" s="24" t="str">
        <f t="shared" si="46"/>
        <v>-</v>
      </c>
      <c r="T473" s="24" t="str">
        <f t="shared" si="44"/>
        <v>-</v>
      </c>
      <c r="U473" s="25" t="str">
        <f t="shared" si="47"/>
        <v>-</v>
      </c>
      <c r="V473" s="26" t="str">
        <f t="shared" si="48"/>
        <v>-</v>
      </c>
      <c r="X473" s="26" t="str">
        <f t="shared" si="45"/>
        <v>-</v>
      </c>
    </row>
    <row r="474" spans="1:24" x14ac:dyDescent="0.3">
      <c r="A474" s="37">
        <v>87614026565</v>
      </c>
      <c r="B474" s="8" t="s">
        <v>771</v>
      </c>
      <c r="C474" s="10" t="s">
        <v>772</v>
      </c>
      <c r="D474" s="11" t="s">
        <v>883</v>
      </c>
      <c r="E474" s="11" t="s">
        <v>926</v>
      </c>
      <c r="F474" s="9">
        <v>12</v>
      </c>
      <c r="G474" s="9">
        <v>24</v>
      </c>
      <c r="H474" s="9" t="s">
        <v>868</v>
      </c>
      <c r="I474" s="9">
        <v>24</v>
      </c>
      <c r="J474" s="9">
        <v>240</v>
      </c>
      <c r="K474" s="9" t="s">
        <v>873</v>
      </c>
      <c r="L474" s="27">
        <v>0.39498</v>
      </c>
      <c r="M474" s="28" t="s">
        <v>3203</v>
      </c>
      <c r="N474" s="17">
        <v>13.355244000000001</v>
      </c>
      <c r="O474" s="1"/>
      <c r="P474" s="38">
        <f t="shared" si="43"/>
        <v>0</v>
      </c>
      <c r="S474" s="24" t="str">
        <f t="shared" si="46"/>
        <v>-</v>
      </c>
      <c r="T474" s="24" t="str">
        <f t="shared" si="44"/>
        <v>-</v>
      </c>
      <c r="U474" s="25" t="str">
        <f t="shared" si="47"/>
        <v>-</v>
      </c>
      <c r="V474" s="26" t="str">
        <f t="shared" si="48"/>
        <v>-</v>
      </c>
      <c r="X474" s="26" t="str">
        <f t="shared" si="45"/>
        <v>-</v>
      </c>
    </row>
    <row r="475" spans="1:24" x14ac:dyDescent="0.3">
      <c r="A475" s="37">
        <v>87614026589</v>
      </c>
      <c r="B475" s="8" t="s">
        <v>1825</v>
      </c>
      <c r="C475" s="10" t="s">
        <v>2560</v>
      </c>
      <c r="D475" s="11" t="s">
        <v>874</v>
      </c>
      <c r="E475" s="11" t="s">
        <v>914</v>
      </c>
      <c r="F475" s="9">
        <v>30</v>
      </c>
      <c r="G475" s="9">
        <v>90</v>
      </c>
      <c r="H475" s="9" t="s">
        <v>868</v>
      </c>
      <c r="I475" s="9">
        <v>36</v>
      </c>
      <c r="J475" s="9">
        <v>60</v>
      </c>
      <c r="K475" s="9" t="s">
        <v>873</v>
      </c>
      <c r="L475" s="27">
        <v>7.3775000000000007E-2</v>
      </c>
      <c r="M475" s="28" t="s">
        <v>3203</v>
      </c>
      <c r="N475" s="17">
        <v>5.7141839999999995</v>
      </c>
      <c r="O475" s="1"/>
      <c r="P475" s="38">
        <f t="shared" si="43"/>
        <v>0</v>
      </c>
      <c r="S475" s="24" t="str">
        <f t="shared" si="46"/>
        <v>-</v>
      </c>
      <c r="T475" s="24" t="str">
        <f t="shared" si="44"/>
        <v>-</v>
      </c>
      <c r="U475" s="25" t="str">
        <f t="shared" si="47"/>
        <v>-</v>
      </c>
      <c r="V475" s="26" t="str">
        <f t="shared" si="48"/>
        <v>-</v>
      </c>
      <c r="X475" s="26" t="str">
        <f t="shared" si="45"/>
        <v>-</v>
      </c>
    </row>
    <row r="476" spans="1:24" x14ac:dyDescent="0.3">
      <c r="A476" s="37">
        <v>87614027166</v>
      </c>
      <c r="B476" s="8" t="s">
        <v>787</v>
      </c>
      <c r="C476" s="10" t="s">
        <v>788</v>
      </c>
      <c r="D476" s="11" t="s">
        <v>874</v>
      </c>
      <c r="E476" s="11" t="s">
        <v>1032</v>
      </c>
      <c r="F476" s="9">
        <v>30</v>
      </c>
      <c r="G476" s="9">
        <v>90</v>
      </c>
      <c r="H476" s="9" t="s">
        <v>868</v>
      </c>
      <c r="I476" s="9">
        <v>36</v>
      </c>
      <c r="J476" s="9">
        <v>30</v>
      </c>
      <c r="K476" s="9" t="s">
        <v>869</v>
      </c>
      <c r="L476" s="27">
        <v>7.1504999999999999E-2</v>
      </c>
      <c r="M476" s="28" t="s">
        <v>3203</v>
      </c>
      <c r="N476" s="17">
        <v>19.983032999999999</v>
      </c>
      <c r="O476" s="1"/>
      <c r="P476" s="38">
        <f t="shared" si="43"/>
        <v>0</v>
      </c>
      <c r="S476" s="24" t="str">
        <f t="shared" si="46"/>
        <v>-</v>
      </c>
      <c r="T476" s="24" t="str">
        <f t="shared" si="44"/>
        <v>-</v>
      </c>
      <c r="U476" s="25" t="str">
        <f t="shared" si="47"/>
        <v>-</v>
      </c>
      <c r="V476" s="26" t="str">
        <f t="shared" si="48"/>
        <v>-</v>
      </c>
      <c r="X476" s="26" t="str">
        <f t="shared" si="45"/>
        <v>-</v>
      </c>
    </row>
    <row r="477" spans="1:24" x14ac:dyDescent="0.3">
      <c r="A477" s="37">
        <v>87614027708</v>
      </c>
      <c r="B477" s="8" t="s">
        <v>800</v>
      </c>
      <c r="C477" s="10" t="s">
        <v>801</v>
      </c>
      <c r="D477" s="11" t="s">
        <v>883</v>
      </c>
      <c r="E477" s="11" t="s">
        <v>977</v>
      </c>
      <c r="F477" s="9">
        <v>30</v>
      </c>
      <c r="G477" s="9">
        <v>90</v>
      </c>
      <c r="H477" s="9" t="s">
        <v>868</v>
      </c>
      <c r="I477" s="9">
        <v>24</v>
      </c>
      <c r="J477" s="9">
        <v>60</v>
      </c>
      <c r="K477" s="9" t="s">
        <v>889</v>
      </c>
      <c r="L477" s="27">
        <v>4.7670000000000004E-2</v>
      </c>
      <c r="M477" s="28" t="s">
        <v>3203</v>
      </c>
      <c r="N477" s="17">
        <v>14.468181</v>
      </c>
      <c r="O477" s="1"/>
      <c r="P477" s="38">
        <f t="shared" si="43"/>
        <v>0</v>
      </c>
      <c r="S477" s="24" t="str">
        <f t="shared" si="46"/>
        <v>-</v>
      </c>
      <c r="T477" s="24" t="str">
        <f t="shared" si="44"/>
        <v>-</v>
      </c>
      <c r="U477" s="25" t="str">
        <f t="shared" si="47"/>
        <v>-</v>
      </c>
      <c r="V477" s="26" t="str">
        <f t="shared" si="48"/>
        <v>-</v>
      </c>
      <c r="X477" s="26" t="str">
        <f t="shared" si="45"/>
        <v>-</v>
      </c>
    </row>
    <row r="478" spans="1:24" x14ac:dyDescent="0.3">
      <c r="A478" s="37">
        <v>87614027777</v>
      </c>
      <c r="B478" s="8" t="s">
        <v>1844</v>
      </c>
      <c r="C478" s="10" t="s">
        <v>2579</v>
      </c>
      <c r="D478" s="11" t="s">
        <v>866</v>
      </c>
      <c r="E478" s="11" t="s">
        <v>2860</v>
      </c>
      <c r="F478" s="9">
        <v>30</v>
      </c>
      <c r="G478" s="9">
        <v>90</v>
      </c>
      <c r="H478" s="9" t="s">
        <v>868</v>
      </c>
      <c r="I478" s="9">
        <v>24</v>
      </c>
      <c r="J478" s="9">
        <v>60</v>
      </c>
      <c r="K478" s="9" t="s">
        <v>873</v>
      </c>
      <c r="L478" s="27">
        <v>0.110095</v>
      </c>
      <c r="M478" s="28" t="s">
        <v>3203</v>
      </c>
      <c r="N478" s="17">
        <v>7.0762859999999996</v>
      </c>
      <c r="O478" s="1"/>
      <c r="P478" s="38">
        <f t="shared" si="43"/>
        <v>0</v>
      </c>
      <c r="S478" s="24" t="str">
        <f t="shared" si="46"/>
        <v>-</v>
      </c>
      <c r="T478" s="24" t="str">
        <f t="shared" si="44"/>
        <v>-</v>
      </c>
      <c r="U478" s="25" t="str">
        <f t="shared" si="47"/>
        <v>-</v>
      </c>
      <c r="V478" s="26" t="str">
        <f t="shared" si="48"/>
        <v>-</v>
      </c>
      <c r="X478" s="26" t="str">
        <f t="shared" si="45"/>
        <v>-</v>
      </c>
    </row>
    <row r="479" spans="1:24" x14ac:dyDescent="0.3">
      <c r="A479" s="37">
        <v>87614028194</v>
      </c>
      <c r="B479" s="8" t="s">
        <v>1848</v>
      </c>
      <c r="C479" s="10" t="s">
        <v>2582</v>
      </c>
      <c r="D479" s="11" t="s">
        <v>866</v>
      </c>
      <c r="E479" s="11" t="s">
        <v>1041</v>
      </c>
      <c r="F479" s="9">
        <v>48</v>
      </c>
      <c r="G479" s="9">
        <v>192</v>
      </c>
      <c r="H479" s="9" t="s">
        <v>868</v>
      </c>
      <c r="I479" s="9">
        <v>24</v>
      </c>
      <c r="J479" s="9">
        <v>30</v>
      </c>
      <c r="K479" s="9" t="s">
        <v>869</v>
      </c>
      <c r="L479" s="27">
        <v>3.6319999999999998E-2</v>
      </c>
      <c r="M479" s="28" t="s">
        <v>3203</v>
      </c>
      <c r="N479" s="17">
        <v>11.345313000000001</v>
      </c>
      <c r="O479" s="1"/>
      <c r="P479" s="38">
        <f t="shared" si="43"/>
        <v>0</v>
      </c>
      <c r="S479" s="24" t="str">
        <f t="shared" si="46"/>
        <v>-</v>
      </c>
      <c r="T479" s="24" t="str">
        <f t="shared" si="44"/>
        <v>-</v>
      </c>
      <c r="U479" s="25" t="str">
        <f t="shared" si="47"/>
        <v>-</v>
      </c>
      <c r="V479" s="26" t="str">
        <f t="shared" si="48"/>
        <v>-</v>
      </c>
      <c r="X479" s="26" t="str">
        <f t="shared" si="45"/>
        <v>-</v>
      </c>
    </row>
    <row r="480" spans="1:24" x14ac:dyDescent="0.3">
      <c r="A480" s="37">
        <v>87614028453</v>
      </c>
      <c r="B480" s="8" t="s">
        <v>821</v>
      </c>
      <c r="C480" s="10" t="s">
        <v>822</v>
      </c>
      <c r="D480" s="11" t="s">
        <v>902</v>
      </c>
      <c r="E480" s="11" t="s">
        <v>1056</v>
      </c>
      <c r="F480" s="9">
        <v>48</v>
      </c>
      <c r="G480" s="9">
        <v>192</v>
      </c>
      <c r="H480" s="9" t="s">
        <v>868</v>
      </c>
      <c r="I480" s="9">
        <v>36</v>
      </c>
      <c r="J480" s="9">
        <v>30</v>
      </c>
      <c r="K480" s="9" t="s">
        <v>869</v>
      </c>
      <c r="L480" s="27">
        <v>4.086E-2</v>
      </c>
      <c r="M480" s="28" t="s">
        <v>3203</v>
      </c>
      <c r="N480" s="17">
        <v>15.149232</v>
      </c>
      <c r="O480" s="1"/>
      <c r="P480" s="38">
        <f t="shared" si="43"/>
        <v>0</v>
      </c>
      <c r="S480" s="24" t="str">
        <f t="shared" si="46"/>
        <v>-</v>
      </c>
      <c r="T480" s="24" t="str">
        <f t="shared" si="44"/>
        <v>-</v>
      </c>
      <c r="U480" s="25" t="str">
        <f t="shared" si="47"/>
        <v>-</v>
      </c>
      <c r="V480" s="26" t="str">
        <f t="shared" si="48"/>
        <v>-</v>
      </c>
      <c r="X480" s="26" t="str">
        <f t="shared" si="45"/>
        <v>-</v>
      </c>
    </row>
    <row r="481" spans="1:24" x14ac:dyDescent="0.3">
      <c r="A481" s="37">
        <v>87614028613</v>
      </c>
      <c r="B481" s="8" t="s">
        <v>824</v>
      </c>
      <c r="C481" s="10" t="s">
        <v>825</v>
      </c>
      <c r="D481" s="11" t="s">
        <v>883</v>
      </c>
      <c r="E481" s="11" t="s">
        <v>1062</v>
      </c>
      <c r="F481" s="9">
        <v>48</v>
      </c>
      <c r="G481" s="9">
        <v>192</v>
      </c>
      <c r="H481" s="9" t="s">
        <v>868</v>
      </c>
      <c r="I481" s="9">
        <v>36</v>
      </c>
      <c r="J481" s="9">
        <v>60</v>
      </c>
      <c r="K481" s="9" t="s">
        <v>873</v>
      </c>
      <c r="L481" s="27">
        <v>3.9725000000000003E-2</v>
      </c>
      <c r="M481" s="28" t="s">
        <v>3203</v>
      </c>
      <c r="N481" s="17">
        <v>11.743976999999999</v>
      </c>
      <c r="O481" s="1"/>
      <c r="P481" s="38">
        <f t="shared" si="43"/>
        <v>0</v>
      </c>
      <c r="S481" s="24" t="str">
        <f t="shared" si="46"/>
        <v>-</v>
      </c>
      <c r="T481" s="24" t="str">
        <f t="shared" si="44"/>
        <v>-</v>
      </c>
      <c r="U481" s="25" t="str">
        <f t="shared" si="47"/>
        <v>-</v>
      </c>
      <c r="V481" s="26" t="str">
        <f t="shared" si="48"/>
        <v>-</v>
      </c>
      <c r="X481" s="26" t="str">
        <f t="shared" si="45"/>
        <v>-</v>
      </c>
    </row>
    <row r="482" spans="1:24" x14ac:dyDescent="0.3">
      <c r="A482" s="37">
        <v>87614028682</v>
      </c>
      <c r="B482" s="8" t="s">
        <v>826</v>
      </c>
      <c r="C482" s="10" t="s">
        <v>827</v>
      </c>
      <c r="D482" s="11" t="s">
        <v>902</v>
      </c>
      <c r="E482" s="11" t="s">
        <v>1023</v>
      </c>
      <c r="F482" s="9">
        <v>48</v>
      </c>
      <c r="G482" s="9">
        <v>192</v>
      </c>
      <c r="H482" s="9" t="s">
        <v>868</v>
      </c>
      <c r="I482" s="9">
        <v>24</v>
      </c>
      <c r="J482" s="9">
        <v>30</v>
      </c>
      <c r="K482" s="9" t="s">
        <v>869</v>
      </c>
      <c r="L482" s="27">
        <v>3.6319999999999998E-2</v>
      </c>
      <c r="M482" s="28" t="s">
        <v>3203</v>
      </c>
      <c r="N482" s="17">
        <v>11.727366</v>
      </c>
      <c r="O482" s="1"/>
      <c r="P482" s="38">
        <f t="shared" si="43"/>
        <v>0</v>
      </c>
      <c r="S482" s="24" t="str">
        <f t="shared" si="46"/>
        <v>-</v>
      </c>
      <c r="T482" s="24" t="str">
        <f t="shared" si="44"/>
        <v>-</v>
      </c>
      <c r="U482" s="25" t="str">
        <f t="shared" si="47"/>
        <v>-</v>
      </c>
      <c r="V482" s="26" t="str">
        <f t="shared" si="48"/>
        <v>-</v>
      </c>
      <c r="X482" s="26" t="str">
        <f t="shared" si="45"/>
        <v>-</v>
      </c>
    </row>
    <row r="483" spans="1:24" x14ac:dyDescent="0.3">
      <c r="A483" s="37">
        <v>87614029177</v>
      </c>
      <c r="B483" s="8" t="s">
        <v>835</v>
      </c>
      <c r="C483" s="10" t="s">
        <v>2804</v>
      </c>
      <c r="D483" s="11" t="s">
        <v>891</v>
      </c>
      <c r="E483" s="11" t="s">
        <v>1061</v>
      </c>
      <c r="F483" s="9">
        <v>48</v>
      </c>
      <c r="G483" s="9">
        <v>192</v>
      </c>
      <c r="H483" s="9" t="s">
        <v>868</v>
      </c>
      <c r="I483" s="9">
        <v>36</v>
      </c>
      <c r="J483" s="9">
        <v>30</v>
      </c>
      <c r="K483" s="9" t="s">
        <v>2903</v>
      </c>
      <c r="L483" s="27">
        <v>2.9509999999999998E-2</v>
      </c>
      <c r="M483" s="28" t="s">
        <v>3203</v>
      </c>
      <c r="N483" s="17">
        <v>13.139301</v>
      </c>
      <c r="O483" s="1"/>
      <c r="P483" s="38">
        <f t="shared" si="43"/>
        <v>0</v>
      </c>
      <c r="S483" s="24" t="str">
        <f t="shared" si="46"/>
        <v>-</v>
      </c>
      <c r="T483" s="24" t="str">
        <f t="shared" si="44"/>
        <v>-</v>
      </c>
      <c r="U483" s="25" t="str">
        <f t="shared" si="47"/>
        <v>-</v>
      </c>
      <c r="V483" s="26" t="str">
        <f t="shared" si="48"/>
        <v>-</v>
      </c>
      <c r="X483" s="26" t="str">
        <f t="shared" si="45"/>
        <v>-</v>
      </c>
    </row>
    <row r="484" spans="1:24" x14ac:dyDescent="0.3">
      <c r="A484" s="37">
        <v>87614029238</v>
      </c>
      <c r="B484" s="8" t="s">
        <v>836</v>
      </c>
      <c r="C484" s="10" t="s">
        <v>837</v>
      </c>
      <c r="D484" s="11" t="s">
        <v>882</v>
      </c>
      <c r="E484" s="11" t="s">
        <v>948</v>
      </c>
      <c r="F484" s="9">
        <v>48</v>
      </c>
      <c r="G484" s="9">
        <v>192</v>
      </c>
      <c r="H484" s="9" t="s">
        <v>868</v>
      </c>
      <c r="I484" s="9">
        <v>36</v>
      </c>
      <c r="J484" s="9">
        <v>60</v>
      </c>
      <c r="K484" s="9" t="s">
        <v>889</v>
      </c>
      <c r="L484" s="27">
        <v>3.7455000000000002E-2</v>
      </c>
      <c r="M484" s="28" t="s">
        <v>3203</v>
      </c>
      <c r="N484" s="17">
        <v>4.235805</v>
      </c>
      <c r="O484" s="1"/>
      <c r="P484" s="38">
        <f t="shared" si="43"/>
        <v>0</v>
      </c>
      <c r="S484" s="24" t="str">
        <f t="shared" si="46"/>
        <v>-</v>
      </c>
      <c r="T484" s="24" t="str">
        <f t="shared" si="44"/>
        <v>-</v>
      </c>
      <c r="U484" s="25" t="str">
        <f t="shared" si="47"/>
        <v>-</v>
      </c>
      <c r="V484" s="26" t="str">
        <f t="shared" si="48"/>
        <v>-</v>
      </c>
      <c r="X484" s="26" t="str">
        <f t="shared" si="45"/>
        <v>-</v>
      </c>
    </row>
    <row r="485" spans="1:24" x14ac:dyDescent="0.3">
      <c r="A485" s="37">
        <v>87614280240</v>
      </c>
      <c r="B485" s="8" t="s">
        <v>2809</v>
      </c>
      <c r="C485" s="10" t="s">
        <v>1105</v>
      </c>
      <c r="D485" s="11" t="s">
        <v>1121</v>
      </c>
      <c r="E485" s="11" t="s">
        <v>1122</v>
      </c>
      <c r="F485" s="9">
        <v>6</v>
      </c>
      <c r="G485" s="9">
        <v>6</v>
      </c>
      <c r="H485" s="9" t="s">
        <v>892</v>
      </c>
      <c r="I485" s="9">
        <v>24</v>
      </c>
      <c r="J485" s="9">
        <v>160</v>
      </c>
      <c r="K485" s="9" t="s">
        <v>2918</v>
      </c>
      <c r="L485" s="27">
        <v>0.29396500000000003</v>
      </c>
      <c r="M485" s="28" t="s">
        <v>3203</v>
      </c>
      <c r="N485" s="17">
        <v>8.2556670000000008</v>
      </c>
      <c r="O485" s="1"/>
      <c r="P485" s="38">
        <f t="shared" si="43"/>
        <v>0</v>
      </c>
      <c r="S485" s="24" t="str">
        <f t="shared" si="46"/>
        <v>-</v>
      </c>
      <c r="T485" s="24" t="str">
        <f t="shared" si="44"/>
        <v>-</v>
      </c>
      <c r="U485" s="25" t="str">
        <f t="shared" si="47"/>
        <v>-</v>
      </c>
      <c r="V485" s="26" t="str">
        <f t="shared" si="48"/>
        <v>-</v>
      </c>
      <c r="X485" s="26" t="str">
        <f t="shared" si="45"/>
        <v>-</v>
      </c>
    </row>
    <row r="486" spans="1:24" x14ac:dyDescent="0.3">
      <c r="A486" s="37">
        <v>87614141442</v>
      </c>
      <c r="B486" s="8" t="s">
        <v>550</v>
      </c>
      <c r="C486" s="10" t="s">
        <v>551</v>
      </c>
      <c r="D486" s="11" t="s">
        <v>881</v>
      </c>
      <c r="E486" s="11" t="s">
        <v>949</v>
      </c>
      <c r="F486" s="9">
        <v>30</v>
      </c>
      <c r="G486" s="9">
        <v>90</v>
      </c>
      <c r="H486" s="9" t="s">
        <v>868</v>
      </c>
      <c r="I486" s="9">
        <v>24</v>
      </c>
      <c r="J486" s="9">
        <v>60</v>
      </c>
      <c r="K486" s="9" t="s">
        <v>873</v>
      </c>
      <c r="L486" s="27">
        <v>6.583E-2</v>
      </c>
      <c r="M486" s="28" t="s">
        <v>3203</v>
      </c>
      <c r="N486" s="17">
        <v>6.3952350000000004</v>
      </c>
      <c r="O486" s="1"/>
      <c r="P486" s="38">
        <f t="shared" si="43"/>
        <v>0</v>
      </c>
      <c r="S486" s="24" t="str">
        <f t="shared" si="46"/>
        <v>-</v>
      </c>
      <c r="T486" s="24" t="str">
        <f t="shared" si="44"/>
        <v>-</v>
      </c>
      <c r="U486" s="25" t="str">
        <f t="shared" si="47"/>
        <v>-</v>
      </c>
      <c r="V486" s="26" t="str">
        <f t="shared" si="48"/>
        <v>-</v>
      </c>
      <c r="X486" s="26" t="str">
        <f t="shared" si="45"/>
        <v>-</v>
      </c>
    </row>
    <row r="487" spans="1:24" x14ac:dyDescent="0.3">
      <c r="A487" s="37">
        <v>87614060507</v>
      </c>
      <c r="B487" s="8" t="s">
        <v>609</v>
      </c>
      <c r="C487" s="10" t="s">
        <v>610</v>
      </c>
      <c r="D487" s="11" t="s">
        <v>866</v>
      </c>
      <c r="E487" s="11" t="s">
        <v>956</v>
      </c>
      <c r="F487" s="9">
        <v>30</v>
      </c>
      <c r="G487" s="9">
        <v>90</v>
      </c>
      <c r="H487" s="9" t="s">
        <v>868</v>
      </c>
      <c r="I487" s="9">
        <v>36</v>
      </c>
      <c r="J487" s="9">
        <v>60</v>
      </c>
      <c r="K487" s="9" t="s">
        <v>889</v>
      </c>
      <c r="L487" s="27">
        <v>8.058499999999999E-2</v>
      </c>
      <c r="M487" s="28" t="s">
        <v>3203</v>
      </c>
      <c r="N487" s="17">
        <v>5.6311290000000005</v>
      </c>
      <c r="O487" s="1"/>
      <c r="P487" s="38">
        <f t="shared" si="43"/>
        <v>0</v>
      </c>
      <c r="S487" s="24" t="str">
        <f t="shared" si="46"/>
        <v>-</v>
      </c>
      <c r="T487" s="24" t="str">
        <f t="shared" si="44"/>
        <v>-</v>
      </c>
      <c r="U487" s="25" t="str">
        <f t="shared" si="47"/>
        <v>-</v>
      </c>
      <c r="V487" s="26" t="str">
        <f t="shared" si="48"/>
        <v>-</v>
      </c>
      <c r="X487" s="26" t="str">
        <f t="shared" si="45"/>
        <v>-</v>
      </c>
    </row>
    <row r="488" spans="1:24" x14ac:dyDescent="0.3">
      <c r="A488" s="37">
        <v>87614060514</v>
      </c>
      <c r="B488" s="8" t="s">
        <v>611</v>
      </c>
      <c r="C488" s="10" t="s">
        <v>612</v>
      </c>
      <c r="D488" s="11" t="s">
        <v>866</v>
      </c>
      <c r="E488" s="11" t="s">
        <v>956</v>
      </c>
      <c r="F488" s="9">
        <v>30</v>
      </c>
      <c r="G488" s="9">
        <v>90</v>
      </c>
      <c r="H488" s="9" t="s">
        <v>868</v>
      </c>
      <c r="I488" s="9">
        <v>36</v>
      </c>
      <c r="J488" s="9">
        <v>30</v>
      </c>
      <c r="K488" s="9" t="s">
        <v>889</v>
      </c>
      <c r="L488" s="27">
        <v>4.4264999999999999E-2</v>
      </c>
      <c r="M488" s="28" t="s">
        <v>3203</v>
      </c>
      <c r="N488" s="17">
        <v>4.5846359999999997</v>
      </c>
      <c r="O488" s="1"/>
      <c r="P488" s="38">
        <f t="shared" si="43"/>
        <v>0</v>
      </c>
      <c r="S488" s="24" t="str">
        <f t="shared" si="46"/>
        <v>-</v>
      </c>
      <c r="T488" s="24" t="str">
        <f t="shared" si="44"/>
        <v>-</v>
      </c>
      <c r="U488" s="25" t="str">
        <f t="shared" si="47"/>
        <v>-</v>
      </c>
      <c r="V488" s="26" t="str">
        <f t="shared" si="48"/>
        <v>-</v>
      </c>
      <c r="X488" s="26" t="str">
        <f t="shared" si="45"/>
        <v>-</v>
      </c>
    </row>
    <row r="489" spans="1:24" x14ac:dyDescent="0.3">
      <c r="A489" s="37">
        <v>87614020877</v>
      </c>
      <c r="B489" s="8" t="s">
        <v>640</v>
      </c>
      <c r="C489" s="10" t="s">
        <v>641</v>
      </c>
      <c r="D489" s="11" t="s">
        <v>882</v>
      </c>
      <c r="E489" s="11" t="s">
        <v>958</v>
      </c>
      <c r="F489" s="9">
        <v>20</v>
      </c>
      <c r="G489" s="9">
        <v>60</v>
      </c>
      <c r="H489" s="9" t="s">
        <v>868</v>
      </c>
      <c r="I489" s="9">
        <v>36</v>
      </c>
      <c r="J489" s="9">
        <v>90</v>
      </c>
      <c r="K489" s="9" t="s">
        <v>873</v>
      </c>
      <c r="L489" s="27">
        <v>9.5340000000000008E-2</v>
      </c>
      <c r="M489" s="28" t="s">
        <v>3203</v>
      </c>
      <c r="N489" s="17">
        <v>13.969850999999998</v>
      </c>
      <c r="O489" s="1"/>
      <c r="P489" s="38">
        <f t="shared" si="43"/>
        <v>0</v>
      </c>
      <c r="S489" s="24" t="str">
        <f t="shared" si="46"/>
        <v>-</v>
      </c>
      <c r="T489" s="24" t="str">
        <f t="shared" si="44"/>
        <v>-</v>
      </c>
      <c r="U489" s="25" t="str">
        <f t="shared" si="47"/>
        <v>-</v>
      </c>
      <c r="V489" s="26" t="str">
        <f t="shared" si="48"/>
        <v>-</v>
      </c>
      <c r="X489" s="26" t="str">
        <f t="shared" si="45"/>
        <v>-</v>
      </c>
    </row>
    <row r="490" spans="1:24" x14ac:dyDescent="0.3">
      <c r="A490" s="37">
        <v>87614022345</v>
      </c>
      <c r="B490" s="8" t="s">
        <v>689</v>
      </c>
      <c r="C490" s="10" t="s">
        <v>690</v>
      </c>
      <c r="D490" s="11" t="s">
        <v>874</v>
      </c>
      <c r="E490" s="11" t="s">
        <v>919</v>
      </c>
      <c r="F490" s="9">
        <v>30</v>
      </c>
      <c r="G490" s="9">
        <v>90</v>
      </c>
      <c r="H490" s="9" t="s">
        <v>868</v>
      </c>
      <c r="I490" s="9">
        <v>24</v>
      </c>
      <c r="J490" s="9">
        <v>120</v>
      </c>
      <c r="K490" s="9" t="s">
        <v>873</v>
      </c>
      <c r="L490" s="27">
        <v>9.0800000000000006E-2</v>
      </c>
      <c r="M490" s="28" t="s">
        <v>3203</v>
      </c>
      <c r="N490" s="17">
        <v>25.281941999999997</v>
      </c>
      <c r="O490" s="1"/>
      <c r="P490" s="38">
        <f t="shared" si="43"/>
        <v>0</v>
      </c>
      <c r="S490" s="24" t="str">
        <f t="shared" si="46"/>
        <v>-</v>
      </c>
      <c r="T490" s="24" t="str">
        <f t="shared" si="44"/>
        <v>-</v>
      </c>
      <c r="U490" s="25" t="str">
        <f t="shared" si="47"/>
        <v>-</v>
      </c>
      <c r="V490" s="26" t="str">
        <f t="shared" si="48"/>
        <v>-</v>
      </c>
      <c r="X490" s="26" t="str">
        <f t="shared" si="45"/>
        <v>-</v>
      </c>
    </row>
    <row r="491" spans="1:24" x14ac:dyDescent="0.3">
      <c r="A491" s="37">
        <v>87614115160</v>
      </c>
      <c r="B491" s="8" t="s">
        <v>1088</v>
      </c>
      <c r="C491" s="10" t="s">
        <v>1089</v>
      </c>
      <c r="D491" s="11" t="s">
        <v>894</v>
      </c>
      <c r="E491" s="11" t="s">
        <v>1114</v>
      </c>
      <c r="F491" s="9">
        <v>36</v>
      </c>
      <c r="G491" s="9">
        <v>72</v>
      </c>
      <c r="H491" s="9" t="s">
        <v>892</v>
      </c>
      <c r="I491" s="9">
        <v>60</v>
      </c>
      <c r="J491" s="9">
        <v>1</v>
      </c>
      <c r="K491" s="9" t="s">
        <v>1114</v>
      </c>
      <c r="L491" s="27">
        <v>0.16230499999999998</v>
      </c>
      <c r="M491" s="28" t="s">
        <v>3203</v>
      </c>
      <c r="N491" s="17">
        <v>8.6543309999999991</v>
      </c>
      <c r="O491" s="1"/>
      <c r="P491" s="38">
        <f t="shared" si="43"/>
        <v>0</v>
      </c>
      <c r="S491" s="24" t="str">
        <f t="shared" si="46"/>
        <v>-</v>
      </c>
      <c r="T491" s="24" t="str">
        <f t="shared" si="44"/>
        <v>-</v>
      </c>
      <c r="U491" s="25" t="str">
        <f t="shared" si="47"/>
        <v>-</v>
      </c>
      <c r="V491" s="26" t="str">
        <f t="shared" si="48"/>
        <v>-</v>
      </c>
      <c r="X491" s="26" t="str">
        <f t="shared" si="45"/>
        <v>-</v>
      </c>
    </row>
    <row r="492" spans="1:24" x14ac:dyDescent="0.3">
      <c r="A492" s="37">
        <v>87614028743</v>
      </c>
      <c r="B492" s="8" t="s">
        <v>1857</v>
      </c>
      <c r="C492" s="10" t="s">
        <v>2588</v>
      </c>
      <c r="D492" s="11" t="s">
        <v>874</v>
      </c>
      <c r="E492" s="11" t="s">
        <v>914</v>
      </c>
      <c r="F492" s="9">
        <v>30</v>
      </c>
      <c r="G492" s="9">
        <v>90</v>
      </c>
      <c r="H492" s="9" t="s">
        <v>868</v>
      </c>
      <c r="I492" s="9">
        <v>24</v>
      </c>
      <c r="J492" s="9">
        <v>30</v>
      </c>
      <c r="K492" s="9" t="s">
        <v>889</v>
      </c>
      <c r="L492" s="27">
        <v>4.9939999999999998E-2</v>
      </c>
      <c r="M492" s="28" t="s">
        <v>3203</v>
      </c>
      <c r="N492" s="17">
        <v>12.607749</v>
      </c>
      <c r="O492" s="1"/>
      <c r="P492" s="38">
        <f t="shared" si="43"/>
        <v>0</v>
      </c>
      <c r="S492" s="24" t="str">
        <f t="shared" si="46"/>
        <v>-</v>
      </c>
      <c r="T492" s="24" t="str">
        <f t="shared" si="44"/>
        <v>-</v>
      </c>
      <c r="U492" s="25" t="str">
        <f t="shared" si="47"/>
        <v>-</v>
      </c>
      <c r="V492" s="26" t="str">
        <f t="shared" si="48"/>
        <v>-</v>
      </c>
      <c r="X492" s="26" t="str">
        <f t="shared" si="45"/>
        <v>-</v>
      </c>
    </row>
    <row r="493" spans="1:24" x14ac:dyDescent="0.3">
      <c r="A493" s="37">
        <v>87614119137</v>
      </c>
      <c r="B493" s="8" t="s">
        <v>2923</v>
      </c>
      <c r="C493" s="10" t="s">
        <v>2976</v>
      </c>
      <c r="D493" s="11" t="s">
        <v>874</v>
      </c>
      <c r="E493" s="11" t="s">
        <v>914</v>
      </c>
      <c r="F493" s="9">
        <v>48</v>
      </c>
      <c r="G493" s="9">
        <v>192</v>
      </c>
      <c r="H493" s="9" t="s">
        <v>868</v>
      </c>
      <c r="I493" s="9">
        <v>36</v>
      </c>
      <c r="J493" s="9">
        <v>30</v>
      </c>
      <c r="K493" s="9" t="s">
        <v>2903</v>
      </c>
      <c r="L493" s="27">
        <v>3.4049999999999997E-2</v>
      </c>
      <c r="M493" s="28" t="s">
        <v>3203</v>
      </c>
      <c r="N493" s="17">
        <v>1.229214</v>
      </c>
      <c r="O493" s="1"/>
      <c r="P493" s="38">
        <f t="shared" si="43"/>
        <v>0</v>
      </c>
      <c r="S493" s="24" t="str">
        <f t="shared" si="46"/>
        <v>-</v>
      </c>
      <c r="T493" s="24" t="str">
        <f t="shared" si="44"/>
        <v>-</v>
      </c>
      <c r="U493" s="25" t="str">
        <f t="shared" si="47"/>
        <v>-</v>
      </c>
      <c r="V493" s="26" t="str">
        <f t="shared" si="48"/>
        <v>-</v>
      </c>
      <c r="X493" s="26" t="str">
        <f t="shared" si="45"/>
        <v>-</v>
      </c>
    </row>
    <row r="494" spans="1:24" x14ac:dyDescent="0.3">
      <c r="A494" s="37">
        <v>87614117843</v>
      </c>
      <c r="B494" s="8" t="s">
        <v>3056</v>
      </c>
      <c r="C494" s="10" t="s">
        <v>3057</v>
      </c>
      <c r="D494" s="11" t="s">
        <v>882</v>
      </c>
      <c r="E494" s="11" t="s">
        <v>948</v>
      </c>
      <c r="F494" s="9">
        <v>48</v>
      </c>
      <c r="G494" s="9">
        <v>192</v>
      </c>
      <c r="H494" s="9" t="s">
        <v>868</v>
      </c>
      <c r="I494" s="9">
        <v>36</v>
      </c>
      <c r="J494" s="9">
        <v>30</v>
      </c>
      <c r="K494" s="9" t="s">
        <v>877</v>
      </c>
      <c r="L494" s="27">
        <v>2.8375000000000001E-2</v>
      </c>
      <c r="M494" s="28" t="s">
        <v>3203</v>
      </c>
      <c r="N494" s="17">
        <v>1.3122690000000001</v>
      </c>
      <c r="O494" s="1"/>
      <c r="P494" s="38">
        <f t="shared" si="43"/>
        <v>0</v>
      </c>
      <c r="S494" s="24" t="str">
        <f t="shared" si="46"/>
        <v>-</v>
      </c>
      <c r="T494" s="24" t="str">
        <f t="shared" si="44"/>
        <v>-</v>
      </c>
      <c r="U494" s="25" t="str">
        <f t="shared" si="47"/>
        <v>-</v>
      </c>
      <c r="V494" s="26" t="str">
        <f t="shared" si="48"/>
        <v>-</v>
      </c>
      <c r="X494" s="26" t="str">
        <f t="shared" si="45"/>
        <v>-</v>
      </c>
    </row>
    <row r="495" spans="1:24" x14ac:dyDescent="0.3">
      <c r="A495" s="37">
        <v>87614118321</v>
      </c>
      <c r="B495" s="8" t="s">
        <v>2921</v>
      </c>
      <c r="C495" s="10" t="s">
        <v>2974</v>
      </c>
      <c r="D495" s="11" t="s">
        <v>870</v>
      </c>
      <c r="E495" s="11" t="s">
        <v>871</v>
      </c>
      <c r="F495" s="9">
        <v>48</v>
      </c>
      <c r="G495" s="9">
        <v>192</v>
      </c>
      <c r="H495" s="9" t="s">
        <v>868</v>
      </c>
      <c r="I495" s="9">
        <v>24</v>
      </c>
      <c r="J495" s="9">
        <v>90</v>
      </c>
      <c r="K495" s="9" t="s">
        <v>869</v>
      </c>
      <c r="L495" s="27">
        <v>4.086E-2</v>
      </c>
      <c r="M495" s="28" t="s">
        <v>3203</v>
      </c>
      <c r="N495" s="17">
        <v>2.209263</v>
      </c>
      <c r="O495" s="1"/>
      <c r="P495" s="38">
        <f t="shared" si="43"/>
        <v>0</v>
      </c>
      <c r="S495" s="24" t="str">
        <f t="shared" si="46"/>
        <v>-</v>
      </c>
      <c r="T495" s="24" t="str">
        <f t="shared" si="44"/>
        <v>-</v>
      </c>
      <c r="U495" s="25" t="str">
        <f t="shared" si="47"/>
        <v>-</v>
      </c>
      <c r="V495" s="26" t="str">
        <f t="shared" si="48"/>
        <v>-</v>
      </c>
      <c r="X495" s="26" t="str">
        <f t="shared" si="45"/>
        <v>-</v>
      </c>
    </row>
    <row r="496" spans="1:24" x14ac:dyDescent="0.3">
      <c r="A496" s="37">
        <v>87614112954</v>
      </c>
      <c r="B496" s="8" t="s">
        <v>1306</v>
      </c>
      <c r="C496" s="10" t="s">
        <v>2091</v>
      </c>
      <c r="D496" s="11" t="s">
        <v>874</v>
      </c>
      <c r="E496" s="11" t="s">
        <v>914</v>
      </c>
      <c r="F496" s="9">
        <v>48</v>
      </c>
      <c r="G496" s="9">
        <v>192</v>
      </c>
      <c r="H496" s="9" t="s">
        <v>868</v>
      </c>
      <c r="I496" s="9">
        <v>36</v>
      </c>
      <c r="J496" s="9">
        <v>60</v>
      </c>
      <c r="K496" s="9" t="s">
        <v>873</v>
      </c>
      <c r="L496" s="27">
        <v>3.2915E-2</v>
      </c>
      <c r="M496" s="28" t="s">
        <v>3203</v>
      </c>
      <c r="N496" s="17">
        <v>2.9069250000000002</v>
      </c>
      <c r="O496" s="1"/>
      <c r="P496" s="38">
        <f t="shared" si="43"/>
        <v>0</v>
      </c>
      <c r="S496" s="24" t="str">
        <f t="shared" si="46"/>
        <v>-</v>
      </c>
      <c r="T496" s="24" t="str">
        <f t="shared" si="44"/>
        <v>-</v>
      </c>
      <c r="U496" s="25" t="str">
        <f t="shared" si="47"/>
        <v>-</v>
      </c>
      <c r="V496" s="26" t="str">
        <f t="shared" si="48"/>
        <v>-</v>
      </c>
      <c r="X496" s="26" t="str">
        <f t="shared" si="45"/>
        <v>-</v>
      </c>
    </row>
    <row r="497" spans="1:24" x14ac:dyDescent="0.3">
      <c r="A497" s="37">
        <v>87614210896</v>
      </c>
      <c r="B497" s="8" t="s">
        <v>3061</v>
      </c>
      <c r="C497" s="10" t="s">
        <v>3062</v>
      </c>
      <c r="D497" s="11" t="s">
        <v>882</v>
      </c>
      <c r="E497" s="11" t="s">
        <v>948</v>
      </c>
      <c r="F497" s="9">
        <v>48</v>
      </c>
      <c r="G497" s="9">
        <v>192</v>
      </c>
      <c r="H497" s="9" t="s">
        <v>868</v>
      </c>
      <c r="I497" s="9">
        <v>24</v>
      </c>
      <c r="J497" s="9">
        <v>60</v>
      </c>
      <c r="K497" s="9" t="s">
        <v>873</v>
      </c>
      <c r="L497" s="27">
        <v>0.31893500000000002</v>
      </c>
      <c r="M497" s="28" t="s">
        <v>3203</v>
      </c>
      <c r="N497" s="17">
        <v>2.9401470000000001</v>
      </c>
      <c r="O497" s="1"/>
      <c r="P497" s="38">
        <f t="shared" si="43"/>
        <v>0</v>
      </c>
      <c r="S497" s="24" t="str">
        <f t="shared" si="46"/>
        <v>-</v>
      </c>
      <c r="T497" s="24" t="str">
        <f t="shared" si="44"/>
        <v>-</v>
      </c>
      <c r="U497" s="25" t="str">
        <f t="shared" si="47"/>
        <v>-</v>
      </c>
      <c r="V497" s="26" t="str">
        <f t="shared" si="48"/>
        <v>-</v>
      </c>
      <c r="X497" s="26" t="str">
        <f t="shared" si="45"/>
        <v>-</v>
      </c>
    </row>
    <row r="498" spans="1:24" x14ac:dyDescent="0.3">
      <c r="A498" s="37">
        <v>87614112626</v>
      </c>
      <c r="B498" s="8" t="s">
        <v>1882</v>
      </c>
      <c r="C498" s="10" t="s">
        <v>2608</v>
      </c>
      <c r="D498" s="11" t="s">
        <v>866</v>
      </c>
      <c r="E498" s="11" t="s">
        <v>950</v>
      </c>
      <c r="F498" s="9">
        <v>30</v>
      </c>
      <c r="G498" s="9">
        <v>90</v>
      </c>
      <c r="H498" s="9" t="s">
        <v>868</v>
      </c>
      <c r="I498" s="9">
        <v>36</v>
      </c>
      <c r="J498" s="9">
        <v>60</v>
      </c>
      <c r="K498" s="9" t="s">
        <v>873</v>
      </c>
      <c r="L498" s="27">
        <v>6.6964999999999997E-2</v>
      </c>
      <c r="M498" s="28" t="s">
        <v>3203</v>
      </c>
      <c r="N498" s="17">
        <v>3.0065910000000002</v>
      </c>
      <c r="O498" s="1"/>
      <c r="P498" s="38">
        <f t="shared" si="43"/>
        <v>0</v>
      </c>
      <c r="S498" s="24" t="str">
        <f t="shared" si="46"/>
        <v>-</v>
      </c>
      <c r="T498" s="24" t="str">
        <f t="shared" si="44"/>
        <v>-</v>
      </c>
      <c r="U498" s="25" t="str">
        <f t="shared" si="47"/>
        <v>-</v>
      </c>
      <c r="V498" s="26" t="str">
        <f t="shared" si="48"/>
        <v>-</v>
      </c>
      <c r="X498" s="26" t="str">
        <f t="shared" si="45"/>
        <v>-</v>
      </c>
    </row>
    <row r="499" spans="1:24" x14ac:dyDescent="0.3">
      <c r="A499" s="37">
        <v>87614112602</v>
      </c>
      <c r="B499" s="8" t="s">
        <v>1521</v>
      </c>
      <c r="C499" s="10" t="s">
        <v>2282</v>
      </c>
      <c r="D499" s="11" t="s">
        <v>879</v>
      </c>
      <c r="E499" s="11" t="s">
        <v>930</v>
      </c>
      <c r="F499" s="9">
        <v>30</v>
      </c>
      <c r="G499" s="9">
        <v>90</v>
      </c>
      <c r="H499" s="9" t="s">
        <v>868</v>
      </c>
      <c r="I499" s="9">
        <v>36</v>
      </c>
      <c r="J499" s="9">
        <v>60</v>
      </c>
      <c r="K499" s="9" t="s">
        <v>873</v>
      </c>
      <c r="L499" s="27">
        <v>6.2425000000000001E-2</v>
      </c>
      <c r="M499" s="28" t="s">
        <v>3203</v>
      </c>
      <c r="N499" s="17">
        <v>3.122868</v>
      </c>
      <c r="O499" s="1"/>
      <c r="P499" s="38">
        <f t="shared" si="43"/>
        <v>0</v>
      </c>
      <c r="S499" s="24" t="str">
        <f t="shared" si="46"/>
        <v>-</v>
      </c>
      <c r="T499" s="24" t="str">
        <f t="shared" si="44"/>
        <v>-</v>
      </c>
      <c r="U499" s="25" t="str">
        <f t="shared" si="47"/>
        <v>-</v>
      </c>
      <c r="V499" s="26" t="str">
        <f t="shared" si="48"/>
        <v>-</v>
      </c>
      <c r="X499" s="26" t="str">
        <f t="shared" si="45"/>
        <v>-</v>
      </c>
    </row>
    <row r="500" spans="1:24" x14ac:dyDescent="0.3">
      <c r="A500" s="37">
        <v>87614116488</v>
      </c>
      <c r="B500" s="8" t="s">
        <v>1315</v>
      </c>
      <c r="C500" s="10" t="s">
        <v>2690</v>
      </c>
      <c r="D500" s="11" t="s">
        <v>890</v>
      </c>
      <c r="E500" s="11" t="s">
        <v>1002</v>
      </c>
      <c r="F500" s="9">
        <v>48</v>
      </c>
      <c r="G500" s="9">
        <v>192</v>
      </c>
      <c r="H500" s="9" t="s">
        <v>868</v>
      </c>
      <c r="I500" s="9">
        <v>36</v>
      </c>
      <c r="J500" s="9">
        <v>60</v>
      </c>
      <c r="K500" s="9" t="s">
        <v>2903</v>
      </c>
      <c r="L500" s="27">
        <v>3.0644999999999999E-2</v>
      </c>
      <c r="M500" s="28" t="s">
        <v>3203</v>
      </c>
      <c r="N500" s="17">
        <v>3.2391450000000002</v>
      </c>
      <c r="O500" s="1"/>
      <c r="P500" s="38">
        <f t="shared" si="43"/>
        <v>0</v>
      </c>
      <c r="S500" s="24" t="str">
        <f t="shared" si="46"/>
        <v>-</v>
      </c>
      <c r="T500" s="24" t="str">
        <f t="shared" si="44"/>
        <v>-</v>
      </c>
      <c r="U500" s="25" t="str">
        <f t="shared" si="47"/>
        <v>-</v>
      </c>
      <c r="V500" s="26" t="str">
        <f t="shared" si="48"/>
        <v>-</v>
      </c>
      <c r="X500" s="26" t="str">
        <f t="shared" si="45"/>
        <v>-</v>
      </c>
    </row>
    <row r="501" spans="1:24" x14ac:dyDescent="0.3">
      <c r="A501" s="37">
        <v>87614116259</v>
      </c>
      <c r="B501" s="8" t="s">
        <v>1578</v>
      </c>
      <c r="C501" s="10" t="s">
        <v>2339</v>
      </c>
      <c r="D501" s="11" t="s">
        <v>1116</v>
      </c>
      <c r="E501" s="11" t="s">
        <v>1120</v>
      </c>
      <c r="F501" s="9">
        <v>50</v>
      </c>
      <c r="G501" s="9">
        <v>250</v>
      </c>
      <c r="H501" s="9" t="s">
        <v>892</v>
      </c>
      <c r="I501" s="9">
        <v>60</v>
      </c>
      <c r="J501" s="9">
        <v>1</v>
      </c>
      <c r="K501" s="9" t="s">
        <v>2905</v>
      </c>
      <c r="L501" s="27">
        <v>1.1350000000000001E-2</v>
      </c>
      <c r="M501" s="28" t="s">
        <v>3203</v>
      </c>
      <c r="N501" s="17">
        <v>3.272367</v>
      </c>
      <c r="O501" s="1"/>
      <c r="P501" s="38">
        <f t="shared" si="43"/>
        <v>0</v>
      </c>
      <c r="S501" s="24" t="str">
        <f t="shared" si="46"/>
        <v>-</v>
      </c>
      <c r="T501" s="24" t="str">
        <f t="shared" si="44"/>
        <v>-</v>
      </c>
      <c r="U501" s="25" t="str">
        <f t="shared" si="47"/>
        <v>-</v>
      </c>
      <c r="V501" s="26" t="str">
        <f t="shared" si="48"/>
        <v>-</v>
      </c>
      <c r="X501" s="26" t="str">
        <f t="shared" si="45"/>
        <v>-</v>
      </c>
    </row>
    <row r="502" spans="1:24" x14ac:dyDescent="0.3">
      <c r="A502" s="37">
        <v>87614113012</v>
      </c>
      <c r="B502" s="8" t="s">
        <v>1374</v>
      </c>
      <c r="C502" s="10" t="s">
        <v>2154</v>
      </c>
      <c r="D502" s="11" t="s">
        <v>886</v>
      </c>
      <c r="E502" s="11" t="s">
        <v>952</v>
      </c>
      <c r="F502" s="9">
        <v>30</v>
      </c>
      <c r="G502" s="9">
        <v>90</v>
      </c>
      <c r="H502" s="9" t="s">
        <v>868</v>
      </c>
      <c r="I502" s="9">
        <v>36</v>
      </c>
      <c r="J502" s="9">
        <v>60</v>
      </c>
      <c r="K502" s="9" t="s">
        <v>873</v>
      </c>
      <c r="L502" s="27">
        <v>6.0155E-2</v>
      </c>
      <c r="M502" s="28" t="s">
        <v>3203</v>
      </c>
      <c r="N502" s="17">
        <v>3.2889780000000002</v>
      </c>
      <c r="O502" s="1"/>
      <c r="P502" s="38">
        <f t="shared" si="43"/>
        <v>0</v>
      </c>
      <c r="S502" s="24" t="str">
        <f t="shared" si="46"/>
        <v>-</v>
      </c>
      <c r="T502" s="24" t="str">
        <f t="shared" si="44"/>
        <v>-</v>
      </c>
      <c r="U502" s="25" t="str">
        <f t="shared" si="47"/>
        <v>-</v>
      </c>
      <c r="V502" s="26" t="str">
        <f t="shared" si="48"/>
        <v>-</v>
      </c>
      <c r="X502" s="26" t="str">
        <f t="shared" si="45"/>
        <v>-</v>
      </c>
    </row>
    <row r="503" spans="1:24" x14ac:dyDescent="0.3">
      <c r="A503" s="37">
        <v>87614111650</v>
      </c>
      <c r="B503" s="8" t="s">
        <v>1513</v>
      </c>
      <c r="C503" s="10" t="s">
        <v>2274</v>
      </c>
      <c r="D503" s="11" t="s">
        <v>874</v>
      </c>
      <c r="E503" s="11" t="s">
        <v>2819</v>
      </c>
      <c r="F503" s="9">
        <v>30</v>
      </c>
      <c r="G503" s="9">
        <v>90</v>
      </c>
      <c r="H503" s="9" t="s">
        <v>868</v>
      </c>
      <c r="I503" s="9">
        <v>36</v>
      </c>
      <c r="J503" s="9">
        <v>60</v>
      </c>
      <c r="K503" s="9" t="s">
        <v>873</v>
      </c>
      <c r="L503" s="27">
        <v>5.9019999999999996E-2</v>
      </c>
      <c r="M503" s="28" t="s">
        <v>3203</v>
      </c>
      <c r="N503" s="17">
        <v>3.3886440000000002</v>
      </c>
      <c r="O503" s="1"/>
      <c r="P503" s="38">
        <f t="shared" si="43"/>
        <v>0</v>
      </c>
      <c r="S503" s="24" t="str">
        <f t="shared" si="46"/>
        <v>-</v>
      </c>
      <c r="T503" s="24" t="str">
        <f t="shared" si="44"/>
        <v>-</v>
      </c>
      <c r="U503" s="25" t="str">
        <f t="shared" si="47"/>
        <v>-</v>
      </c>
      <c r="V503" s="26" t="str">
        <f t="shared" si="48"/>
        <v>-</v>
      </c>
      <c r="X503" s="26" t="str">
        <f t="shared" si="45"/>
        <v>-</v>
      </c>
    </row>
    <row r="504" spans="1:24" x14ac:dyDescent="0.3">
      <c r="A504" s="37">
        <v>87614112909</v>
      </c>
      <c r="B504" s="8" t="s">
        <v>1527</v>
      </c>
      <c r="C504" s="10" t="s">
        <v>2288</v>
      </c>
      <c r="D504" s="11" t="s">
        <v>882</v>
      </c>
      <c r="E504" s="11" t="s">
        <v>958</v>
      </c>
      <c r="F504" s="9">
        <v>30</v>
      </c>
      <c r="G504" s="9">
        <v>90</v>
      </c>
      <c r="H504" s="9" t="s">
        <v>868</v>
      </c>
      <c r="I504" s="9">
        <v>36</v>
      </c>
      <c r="J504" s="9">
        <v>60</v>
      </c>
      <c r="K504" s="9" t="s">
        <v>873</v>
      </c>
      <c r="L504" s="27">
        <v>6.2425000000000001E-2</v>
      </c>
      <c r="M504" s="28" t="s">
        <v>3203</v>
      </c>
      <c r="N504" s="17">
        <v>3.554754</v>
      </c>
      <c r="O504" s="1"/>
      <c r="P504" s="38">
        <f t="shared" si="43"/>
        <v>0</v>
      </c>
      <c r="S504" s="24" t="str">
        <f t="shared" si="46"/>
        <v>-</v>
      </c>
      <c r="T504" s="24" t="str">
        <f t="shared" si="44"/>
        <v>-</v>
      </c>
      <c r="U504" s="25" t="str">
        <f t="shared" si="47"/>
        <v>-</v>
      </c>
      <c r="V504" s="26" t="str">
        <f t="shared" si="48"/>
        <v>-</v>
      </c>
      <c r="X504" s="26" t="str">
        <f t="shared" si="45"/>
        <v>-</v>
      </c>
    </row>
    <row r="505" spans="1:24" x14ac:dyDescent="0.3">
      <c r="A505" s="37">
        <v>87614116273</v>
      </c>
      <c r="B505" s="8" t="s">
        <v>1103</v>
      </c>
      <c r="C505" s="10" t="s">
        <v>1104</v>
      </c>
      <c r="D505" s="11" t="s">
        <v>1116</v>
      </c>
      <c r="E505" s="11" t="s">
        <v>1120</v>
      </c>
      <c r="F505" s="9">
        <v>50</v>
      </c>
      <c r="G505" s="9">
        <v>250</v>
      </c>
      <c r="H505" s="9" t="s">
        <v>892</v>
      </c>
      <c r="I505" s="9">
        <v>60</v>
      </c>
      <c r="J505" s="9">
        <v>1</v>
      </c>
      <c r="K505" s="9" t="s">
        <v>2905</v>
      </c>
      <c r="L505" s="27">
        <v>1.1350000000000001E-2</v>
      </c>
      <c r="M505" s="28" t="s">
        <v>3203</v>
      </c>
      <c r="N505" s="17">
        <v>3.6211980000000001</v>
      </c>
      <c r="O505" s="1"/>
      <c r="P505" s="38">
        <f t="shared" si="43"/>
        <v>0</v>
      </c>
      <c r="S505" s="24" t="str">
        <f t="shared" si="46"/>
        <v>-</v>
      </c>
      <c r="T505" s="24" t="str">
        <f t="shared" si="44"/>
        <v>-</v>
      </c>
      <c r="U505" s="25" t="str">
        <f t="shared" si="47"/>
        <v>-</v>
      </c>
      <c r="V505" s="26" t="str">
        <f t="shared" si="48"/>
        <v>-</v>
      </c>
      <c r="X505" s="26" t="str">
        <f t="shared" si="45"/>
        <v>-</v>
      </c>
    </row>
    <row r="506" spans="1:24" x14ac:dyDescent="0.3">
      <c r="A506" s="37">
        <v>87614040059</v>
      </c>
      <c r="B506" s="8" t="s">
        <v>1436</v>
      </c>
      <c r="C506" s="10" t="s">
        <v>2210</v>
      </c>
      <c r="D506" s="11" t="s">
        <v>874</v>
      </c>
      <c r="E506" s="11" t="s">
        <v>919</v>
      </c>
      <c r="F506" s="9">
        <v>30</v>
      </c>
      <c r="G506" s="9">
        <v>90</v>
      </c>
      <c r="H506" s="9" t="s">
        <v>868</v>
      </c>
      <c r="I506" s="9">
        <v>36</v>
      </c>
      <c r="J506" s="9">
        <v>60</v>
      </c>
      <c r="K506" s="9" t="s">
        <v>873</v>
      </c>
      <c r="L506" s="27">
        <v>6.6964999999999997E-2</v>
      </c>
      <c r="M506" s="28" t="s">
        <v>3203</v>
      </c>
      <c r="N506" s="17">
        <v>3.6876419999999999</v>
      </c>
      <c r="O506" s="1"/>
      <c r="P506" s="38">
        <f t="shared" si="43"/>
        <v>0</v>
      </c>
      <c r="S506" s="24" t="str">
        <f t="shared" si="46"/>
        <v>-</v>
      </c>
      <c r="T506" s="24" t="str">
        <f t="shared" si="44"/>
        <v>-</v>
      </c>
      <c r="U506" s="25" t="str">
        <f t="shared" si="47"/>
        <v>-</v>
      </c>
      <c r="V506" s="26" t="str">
        <f t="shared" si="48"/>
        <v>-</v>
      </c>
      <c r="X506" s="26" t="str">
        <f t="shared" si="45"/>
        <v>-</v>
      </c>
    </row>
    <row r="507" spans="1:24" x14ac:dyDescent="0.3">
      <c r="A507" s="37">
        <v>87614112671</v>
      </c>
      <c r="B507" s="8" t="s">
        <v>1523</v>
      </c>
      <c r="C507" s="10" t="s">
        <v>2284</v>
      </c>
      <c r="D507" s="11" t="s">
        <v>881</v>
      </c>
      <c r="E507" s="11" t="s">
        <v>936</v>
      </c>
      <c r="F507" s="9">
        <v>30</v>
      </c>
      <c r="G507" s="9">
        <v>90</v>
      </c>
      <c r="H507" s="9" t="s">
        <v>868</v>
      </c>
      <c r="I507" s="9">
        <v>36</v>
      </c>
      <c r="J507" s="9">
        <v>60</v>
      </c>
      <c r="K507" s="9" t="s">
        <v>873</v>
      </c>
      <c r="L507" s="27">
        <v>6.2425000000000001E-2</v>
      </c>
      <c r="M507" s="28" t="s">
        <v>3203</v>
      </c>
      <c r="N507" s="17">
        <v>3.7042529999999996</v>
      </c>
      <c r="O507" s="1"/>
      <c r="P507" s="38">
        <f t="shared" si="43"/>
        <v>0</v>
      </c>
      <c r="S507" s="24" t="str">
        <f t="shared" si="46"/>
        <v>-</v>
      </c>
      <c r="T507" s="24" t="str">
        <f t="shared" si="44"/>
        <v>-</v>
      </c>
      <c r="U507" s="25" t="str">
        <f t="shared" si="47"/>
        <v>-</v>
      </c>
      <c r="V507" s="26" t="str">
        <f t="shared" si="48"/>
        <v>-</v>
      </c>
      <c r="X507" s="26" t="str">
        <f t="shared" si="45"/>
        <v>-</v>
      </c>
    </row>
    <row r="508" spans="1:24" x14ac:dyDescent="0.3">
      <c r="A508" s="37">
        <v>87614111438</v>
      </c>
      <c r="B508" s="8" t="s">
        <v>1301</v>
      </c>
      <c r="C508" s="10" t="s">
        <v>2086</v>
      </c>
      <c r="D508" s="11" t="s">
        <v>881</v>
      </c>
      <c r="E508" s="11" t="s">
        <v>2816</v>
      </c>
      <c r="F508" s="9">
        <v>30</v>
      </c>
      <c r="G508" s="9">
        <v>90</v>
      </c>
      <c r="H508" s="9" t="s">
        <v>868</v>
      </c>
      <c r="I508" s="9">
        <v>36</v>
      </c>
      <c r="J508" s="9">
        <v>60</v>
      </c>
      <c r="K508" s="9" t="s">
        <v>873</v>
      </c>
      <c r="L508" s="27">
        <v>7.831500000000001E-2</v>
      </c>
      <c r="M508" s="28" t="s">
        <v>3203</v>
      </c>
      <c r="N508" s="17">
        <v>3.8703629999999998</v>
      </c>
      <c r="O508" s="1"/>
      <c r="P508" s="38">
        <f t="shared" si="43"/>
        <v>0</v>
      </c>
      <c r="S508" s="24" t="str">
        <f t="shared" si="46"/>
        <v>-</v>
      </c>
      <c r="T508" s="24" t="str">
        <f t="shared" si="44"/>
        <v>-</v>
      </c>
      <c r="U508" s="25" t="str">
        <f t="shared" si="47"/>
        <v>-</v>
      </c>
      <c r="V508" s="26" t="str">
        <f t="shared" si="48"/>
        <v>-</v>
      </c>
      <c r="X508" s="26" t="str">
        <f t="shared" si="45"/>
        <v>-</v>
      </c>
    </row>
    <row r="509" spans="1:24" x14ac:dyDescent="0.3">
      <c r="A509" s="37">
        <v>87614018027</v>
      </c>
      <c r="B509" s="8" t="s">
        <v>1887</v>
      </c>
      <c r="C509" s="10" t="s">
        <v>2983</v>
      </c>
      <c r="D509" s="11" t="s">
        <v>879</v>
      </c>
      <c r="E509" s="11" t="s">
        <v>922</v>
      </c>
      <c r="F509" s="9">
        <v>20</v>
      </c>
      <c r="G509" s="9">
        <v>60</v>
      </c>
      <c r="H509" s="9" t="s">
        <v>868</v>
      </c>
      <c r="I509" s="9">
        <v>36</v>
      </c>
      <c r="J509" s="9">
        <v>100</v>
      </c>
      <c r="K509" s="9" t="s">
        <v>2903</v>
      </c>
      <c r="L509" s="27">
        <v>0.11803999999999999</v>
      </c>
      <c r="M509" s="28" t="s">
        <v>3203</v>
      </c>
      <c r="N509" s="17">
        <v>3.9368069999999999</v>
      </c>
      <c r="O509" s="1"/>
      <c r="P509" s="38">
        <f t="shared" si="43"/>
        <v>0</v>
      </c>
      <c r="S509" s="24" t="str">
        <f t="shared" si="46"/>
        <v>-</v>
      </c>
      <c r="T509" s="24" t="str">
        <f t="shared" si="44"/>
        <v>-</v>
      </c>
      <c r="U509" s="25" t="str">
        <f t="shared" si="47"/>
        <v>-</v>
      </c>
      <c r="V509" s="26" t="str">
        <f t="shared" si="48"/>
        <v>-</v>
      </c>
      <c r="X509" s="26" t="str">
        <f t="shared" si="45"/>
        <v>-</v>
      </c>
    </row>
    <row r="510" spans="1:24" x14ac:dyDescent="0.3">
      <c r="A510" s="37">
        <v>87614117904</v>
      </c>
      <c r="B510" s="8" t="s">
        <v>1409</v>
      </c>
      <c r="C510" s="10" t="s">
        <v>2186</v>
      </c>
      <c r="D510" s="11" t="s">
        <v>882</v>
      </c>
      <c r="E510" s="11" t="s">
        <v>948</v>
      </c>
      <c r="F510" s="9">
        <v>30</v>
      </c>
      <c r="G510" s="9">
        <v>90</v>
      </c>
      <c r="H510" s="9" t="s">
        <v>868</v>
      </c>
      <c r="I510" s="9">
        <v>24</v>
      </c>
      <c r="J510" s="9">
        <v>60</v>
      </c>
      <c r="K510" s="9" t="s">
        <v>904</v>
      </c>
      <c r="L510" s="27">
        <v>0.11123000000000001</v>
      </c>
      <c r="M510" s="28" t="s">
        <v>3203</v>
      </c>
      <c r="N510" s="17">
        <v>3.9368069999999999</v>
      </c>
      <c r="O510" s="1"/>
      <c r="P510" s="38">
        <f t="shared" si="43"/>
        <v>0</v>
      </c>
      <c r="S510" s="24" t="str">
        <f t="shared" si="46"/>
        <v>-</v>
      </c>
      <c r="T510" s="24" t="str">
        <f t="shared" si="44"/>
        <v>-</v>
      </c>
      <c r="U510" s="25" t="str">
        <f t="shared" si="47"/>
        <v>-</v>
      </c>
      <c r="V510" s="26" t="str">
        <f t="shared" si="48"/>
        <v>-</v>
      </c>
      <c r="X510" s="26" t="str">
        <f t="shared" si="45"/>
        <v>-</v>
      </c>
    </row>
    <row r="511" spans="1:24" x14ac:dyDescent="0.3">
      <c r="A511" s="37">
        <v>87614171005</v>
      </c>
      <c r="B511" s="8" t="s">
        <v>3066</v>
      </c>
      <c r="C511" s="10" t="s">
        <v>3067</v>
      </c>
      <c r="D511" s="11" t="s">
        <v>874</v>
      </c>
      <c r="E511" s="11" t="s">
        <v>1118</v>
      </c>
      <c r="F511" s="9">
        <v>30</v>
      </c>
      <c r="G511" s="9">
        <v>90</v>
      </c>
      <c r="H511" s="9" t="s">
        <v>868</v>
      </c>
      <c r="I511" s="9">
        <v>36</v>
      </c>
      <c r="J511" s="9">
        <v>30</v>
      </c>
      <c r="K511" s="9" t="s">
        <v>869</v>
      </c>
      <c r="L511" s="27">
        <v>0.85579000000000005</v>
      </c>
      <c r="M511" s="28" t="s">
        <v>3203</v>
      </c>
      <c r="N511" s="17">
        <v>4.0530840000000001</v>
      </c>
      <c r="O511" s="1"/>
      <c r="P511" s="38">
        <f t="shared" si="43"/>
        <v>0</v>
      </c>
      <c r="S511" s="24" t="str">
        <f t="shared" si="46"/>
        <v>-</v>
      </c>
      <c r="T511" s="24" t="str">
        <f t="shared" si="44"/>
        <v>-</v>
      </c>
      <c r="U511" s="25" t="str">
        <f t="shared" si="47"/>
        <v>-</v>
      </c>
      <c r="V511" s="26" t="str">
        <f t="shared" si="48"/>
        <v>-</v>
      </c>
      <c r="X511" s="26" t="str">
        <f t="shared" si="45"/>
        <v>-</v>
      </c>
    </row>
    <row r="512" spans="1:24" x14ac:dyDescent="0.3">
      <c r="A512" s="37">
        <v>87614115801</v>
      </c>
      <c r="B512" s="8" t="s">
        <v>1570</v>
      </c>
      <c r="C512" s="10" t="s">
        <v>2331</v>
      </c>
      <c r="D512" s="11" t="s">
        <v>874</v>
      </c>
      <c r="E512" s="11" t="s">
        <v>914</v>
      </c>
      <c r="F512" s="9">
        <v>30</v>
      </c>
      <c r="G512" s="9">
        <v>90</v>
      </c>
      <c r="H512" s="9" t="s">
        <v>868</v>
      </c>
      <c r="I512" s="9">
        <v>36</v>
      </c>
      <c r="J512" s="9">
        <v>60</v>
      </c>
      <c r="K512" s="9" t="s">
        <v>873</v>
      </c>
      <c r="L512" s="27">
        <v>6.0155E-2</v>
      </c>
      <c r="M512" s="28" t="s">
        <v>3203</v>
      </c>
      <c r="N512" s="17">
        <v>4.136139</v>
      </c>
      <c r="O512" s="1"/>
      <c r="P512" s="38">
        <f t="shared" si="43"/>
        <v>0</v>
      </c>
      <c r="S512" s="24" t="str">
        <f t="shared" si="46"/>
        <v>-</v>
      </c>
      <c r="T512" s="24" t="str">
        <f t="shared" si="44"/>
        <v>-</v>
      </c>
      <c r="U512" s="25" t="str">
        <f t="shared" si="47"/>
        <v>-</v>
      </c>
      <c r="V512" s="26" t="str">
        <f t="shared" si="48"/>
        <v>-</v>
      </c>
      <c r="X512" s="26" t="str">
        <f t="shared" si="45"/>
        <v>-</v>
      </c>
    </row>
    <row r="513" spans="1:24" x14ac:dyDescent="0.3">
      <c r="A513" s="37">
        <v>87614112817</v>
      </c>
      <c r="B513" s="8" t="s">
        <v>1525</v>
      </c>
      <c r="C513" s="10" t="s">
        <v>2286</v>
      </c>
      <c r="D513" s="11" t="s">
        <v>879</v>
      </c>
      <c r="E513" s="11" t="s">
        <v>930</v>
      </c>
      <c r="F513" s="9">
        <v>30</v>
      </c>
      <c r="G513" s="9">
        <v>90</v>
      </c>
      <c r="H513" s="9" t="s">
        <v>868</v>
      </c>
      <c r="I513" s="9">
        <v>36</v>
      </c>
      <c r="J513" s="9">
        <v>60</v>
      </c>
      <c r="K513" s="9" t="s">
        <v>873</v>
      </c>
      <c r="L513" s="27">
        <v>6.9235000000000005E-2</v>
      </c>
      <c r="M513" s="28" t="s">
        <v>3203</v>
      </c>
      <c r="N513" s="17">
        <v>4.1527500000000002</v>
      </c>
      <c r="O513" s="1"/>
      <c r="P513" s="38">
        <f t="shared" si="43"/>
        <v>0</v>
      </c>
      <c r="S513" s="24" t="str">
        <f t="shared" si="46"/>
        <v>-</v>
      </c>
      <c r="T513" s="24" t="str">
        <f t="shared" si="44"/>
        <v>-</v>
      </c>
      <c r="U513" s="25" t="str">
        <f t="shared" si="47"/>
        <v>-</v>
      </c>
      <c r="V513" s="26" t="str">
        <f t="shared" si="48"/>
        <v>-</v>
      </c>
      <c r="X513" s="26" t="str">
        <f t="shared" si="45"/>
        <v>-</v>
      </c>
    </row>
    <row r="514" spans="1:24" x14ac:dyDescent="0.3">
      <c r="A514" s="37">
        <v>87614016740</v>
      </c>
      <c r="B514" s="8" t="s">
        <v>1225</v>
      </c>
      <c r="C514" s="10" t="s">
        <v>2034</v>
      </c>
      <c r="D514" s="11" t="s">
        <v>876</v>
      </c>
      <c r="E514" s="11" t="s">
        <v>1033</v>
      </c>
      <c r="F514" s="9">
        <v>30</v>
      </c>
      <c r="G514" s="9">
        <v>90</v>
      </c>
      <c r="H514" s="9" t="s">
        <v>868</v>
      </c>
      <c r="I514" s="9">
        <v>24</v>
      </c>
      <c r="J514" s="9">
        <v>90</v>
      </c>
      <c r="K514" s="9" t="s">
        <v>873</v>
      </c>
      <c r="L514" s="27">
        <v>5.3345000000000004E-2</v>
      </c>
      <c r="M514" s="28" t="s">
        <v>3203</v>
      </c>
      <c r="N514" s="17">
        <v>4.1693610000000003</v>
      </c>
      <c r="O514" s="1"/>
      <c r="P514" s="38">
        <f t="shared" si="43"/>
        <v>0</v>
      </c>
      <c r="S514" s="24" t="str">
        <f t="shared" si="46"/>
        <v>-</v>
      </c>
      <c r="T514" s="24" t="str">
        <f t="shared" si="44"/>
        <v>-</v>
      </c>
      <c r="U514" s="25" t="str">
        <f t="shared" si="47"/>
        <v>-</v>
      </c>
      <c r="V514" s="26" t="str">
        <f t="shared" si="48"/>
        <v>-</v>
      </c>
      <c r="X514" s="26" t="str">
        <f t="shared" si="45"/>
        <v>-</v>
      </c>
    </row>
    <row r="515" spans="1:24" x14ac:dyDescent="0.3">
      <c r="A515" s="37">
        <v>87614115764</v>
      </c>
      <c r="B515" s="8" t="s">
        <v>1568</v>
      </c>
      <c r="C515" s="10" t="s">
        <v>2329</v>
      </c>
      <c r="D515" s="11" t="s">
        <v>883</v>
      </c>
      <c r="E515" s="11" t="s">
        <v>938</v>
      </c>
      <c r="F515" s="9">
        <v>30</v>
      </c>
      <c r="G515" s="9">
        <v>90</v>
      </c>
      <c r="H515" s="9" t="s">
        <v>868</v>
      </c>
      <c r="I515" s="9">
        <v>36</v>
      </c>
      <c r="J515" s="9">
        <v>60</v>
      </c>
      <c r="K515" s="9" t="s">
        <v>873</v>
      </c>
      <c r="L515" s="27">
        <v>7.831500000000001E-2</v>
      </c>
      <c r="M515" s="28" t="s">
        <v>3203</v>
      </c>
      <c r="N515" s="17">
        <v>4.3520819999999993</v>
      </c>
      <c r="O515" s="1"/>
      <c r="P515" s="38">
        <f t="shared" ref="P515:P578" si="49">O515*N515</f>
        <v>0</v>
      </c>
      <c r="S515" s="24" t="str">
        <f t="shared" si="46"/>
        <v>-</v>
      </c>
      <c r="T515" s="24" t="str">
        <f t="shared" ref="T515:T578" si="50">IF(O515&gt;0,N515+L515*O515/$U$2*$V$2/O515,"-")</f>
        <v>-</v>
      </c>
      <c r="U515" s="25" t="str">
        <f t="shared" si="47"/>
        <v>-</v>
      </c>
      <c r="V515" s="26" t="str">
        <f t="shared" si="48"/>
        <v>-</v>
      </c>
      <c r="X515" s="26" t="str">
        <f t="shared" ref="X515:X578" si="51">IFERROR(IF(V515+P515=0, "-", IF(V515&gt;0, V515+P515, "-")), "-")</f>
        <v>-</v>
      </c>
    </row>
    <row r="516" spans="1:24" x14ac:dyDescent="0.3">
      <c r="A516" s="37">
        <v>87614110417</v>
      </c>
      <c r="B516" s="8" t="s">
        <v>1195</v>
      </c>
      <c r="C516" s="10" t="s">
        <v>3069</v>
      </c>
      <c r="D516" s="11" t="s">
        <v>886</v>
      </c>
      <c r="E516" s="11" t="s">
        <v>2813</v>
      </c>
      <c r="F516" s="9">
        <v>48</v>
      </c>
      <c r="G516" s="9">
        <v>144</v>
      </c>
      <c r="H516" s="9" t="s">
        <v>868</v>
      </c>
      <c r="I516" s="9">
        <v>24</v>
      </c>
      <c r="J516" s="9">
        <v>120</v>
      </c>
      <c r="K516" s="9" t="s">
        <v>2903</v>
      </c>
      <c r="L516" s="27">
        <v>4.4264999999999999E-2</v>
      </c>
      <c r="M516" s="28" t="s">
        <v>3203</v>
      </c>
      <c r="N516" s="17">
        <v>4.4849700000000006</v>
      </c>
      <c r="O516" s="1"/>
      <c r="P516" s="38">
        <f t="shared" si="49"/>
        <v>0</v>
      </c>
      <c r="S516" s="24" t="str">
        <f t="shared" ref="S516:S579" si="52">IFERROR(IF(S$2*L516=0, "-", $S$2*L516), "-")</f>
        <v>-</v>
      </c>
      <c r="T516" s="24" t="str">
        <f t="shared" si="50"/>
        <v>-</v>
      </c>
      <c r="U516" s="25" t="str">
        <f t="shared" ref="U516:U579" si="53">IF(O516&gt;0,O516*L516, "-")</f>
        <v>-</v>
      </c>
      <c r="V516" s="26" t="str">
        <f t="shared" ref="V516:V579" si="54">IFERROR(IF($S$2&gt;0, $S$2*U516, "-"), "-")</f>
        <v>-</v>
      </c>
      <c r="X516" s="26" t="str">
        <f t="shared" si="51"/>
        <v>-</v>
      </c>
    </row>
    <row r="517" spans="1:24" x14ac:dyDescent="0.3">
      <c r="A517" s="37">
        <v>87614080031</v>
      </c>
      <c r="B517" s="8" t="s">
        <v>1277</v>
      </c>
      <c r="C517" s="10" t="s">
        <v>3071</v>
      </c>
      <c r="D517" s="11" t="s">
        <v>886</v>
      </c>
      <c r="E517" s="11" t="s">
        <v>957</v>
      </c>
      <c r="F517" s="9">
        <v>20</v>
      </c>
      <c r="G517" s="9">
        <v>60</v>
      </c>
      <c r="H517" s="9" t="s">
        <v>868</v>
      </c>
      <c r="I517" s="9">
        <v>24</v>
      </c>
      <c r="J517" s="9">
        <v>120</v>
      </c>
      <c r="K517" s="9" t="s">
        <v>2903</v>
      </c>
      <c r="L517" s="27">
        <v>0.121445</v>
      </c>
      <c r="M517" s="28" t="s">
        <v>3203</v>
      </c>
      <c r="N517" s="17">
        <v>4.617858</v>
      </c>
      <c r="O517" s="1"/>
      <c r="P517" s="38">
        <f t="shared" si="49"/>
        <v>0</v>
      </c>
      <c r="S517" s="24" t="str">
        <f t="shared" si="52"/>
        <v>-</v>
      </c>
      <c r="T517" s="24" t="str">
        <f t="shared" si="50"/>
        <v>-</v>
      </c>
      <c r="U517" s="25" t="str">
        <f t="shared" si="53"/>
        <v>-</v>
      </c>
      <c r="V517" s="26" t="str">
        <f t="shared" si="54"/>
        <v>-</v>
      </c>
      <c r="X517" s="26" t="str">
        <f t="shared" si="51"/>
        <v>-</v>
      </c>
    </row>
    <row r="518" spans="1:24" x14ac:dyDescent="0.3">
      <c r="A518" s="37">
        <v>87614114262</v>
      </c>
      <c r="B518" s="8" t="s">
        <v>196</v>
      </c>
      <c r="C518" s="10" t="s">
        <v>197</v>
      </c>
      <c r="D518" s="11" t="s">
        <v>882</v>
      </c>
      <c r="E518" s="11" t="s">
        <v>989</v>
      </c>
      <c r="F518" s="9">
        <v>30</v>
      </c>
      <c r="G518" s="9">
        <v>90</v>
      </c>
      <c r="H518" s="9" t="s">
        <v>868</v>
      </c>
      <c r="I518" s="9">
        <v>36</v>
      </c>
      <c r="J518" s="9">
        <v>60</v>
      </c>
      <c r="K518" s="9" t="s">
        <v>873</v>
      </c>
      <c r="L518" s="27">
        <v>6.9235000000000005E-2</v>
      </c>
      <c r="M518" s="28" t="s">
        <v>3203</v>
      </c>
      <c r="N518" s="17">
        <v>4.6676909999999996</v>
      </c>
      <c r="O518" s="1"/>
      <c r="P518" s="38">
        <f t="shared" si="49"/>
        <v>0</v>
      </c>
      <c r="S518" s="24" t="str">
        <f t="shared" si="52"/>
        <v>-</v>
      </c>
      <c r="T518" s="24" t="str">
        <f t="shared" si="50"/>
        <v>-</v>
      </c>
      <c r="U518" s="25" t="str">
        <f t="shared" si="53"/>
        <v>-</v>
      </c>
      <c r="V518" s="26" t="str">
        <f t="shared" si="54"/>
        <v>-</v>
      </c>
      <c r="X518" s="26" t="str">
        <f t="shared" si="51"/>
        <v>-</v>
      </c>
    </row>
    <row r="519" spans="1:24" x14ac:dyDescent="0.3">
      <c r="A519" s="37">
        <v>87614113043</v>
      </c>
      <c r="B519" s="8" t="s">
        <v>1532</v>
      </c>
      <c r="C519" s="10" t="s">
        <v>2293</v>
      </c>
      <c r="D519" s="11" t="s">
        <v>885</v>
      </c>
      <c r="E519" s="11" t="s">
        <v>973</v>
      </c>
      <c r="F519" s="9">
        <v>30</v>
      </c>
      <c r="G519" s="9">
        <v>90</v>
      </c>
      <c r="H519" s="9" t="s">
        <v>868</v>
      </c>
      <c r="I519" s="9">
        <v>36</v>
      </c>
      <c r="J519" s="9">
        <v>60</v>
      </c>
      <c r="K519" s="9" t="s">
        <v>873</v>
      </c>
      <c r="L519" s="27">
        <v>5.1074999999999995E-2</v>
      </c>
      <c r="M519" s="28" t="s">
        <v>3203</v>
      </c>
      <c r="N519" s="17">
        <v>4.7507459999999995</v>
      </c>
      <c r="O519" s="1"/>
      <c r="P519" s="38">
        <f t="shared" si="49"/>
        <v>0</v>
      </c>
      <c r="S519" s="24" t="str">
        <f t="shared" si="52"/>
        <v>-</v>
      </c>
      <c r="T519" s="24" t="str">
        <f t="shared" si="50"/>
        <v>-</v>
      </c>
      <c r="U519" s="25" t="str">
        <f t="shared" si="53"/>
        <v>-</v>
      </c>
      <c r="V519" s="26" t="str">
        <f t="shared" si="54"/>
        <v>-</v>
      </c>
      <c r="X519" s="26" t="str">
        <f t="shared" si="51"/>
        <v>-</v>
      </c>
    </row>
    <row r="520" spans="1:24" x14ac:dyDescent="0.3">
      <c r="A520" s="37">
        <v>87614211060</v>
      </c>
      <c r="B520" s="8" t="s">
        <v>2930</v>
      </c>
      <c r="C520" s="10" t="s">
        <v>2127</v>
      </c>
      <c r="D520" s="11" t="s">
        <v>870</v>
      </c>
      <c r="E520" s="11" t="s">
        <v>924</v>
      </c>
      <c r="F520" s="9">
        <v>30</v>
      </c>
      <c r="G520" s="9">
        <v>90</v>
      </c>
      <c r="H520" s="9" t="s">
        <v>868</v>
      </c>
      <c r="I520" s="9">
        <v>24</v>
      </c>
      <c r="J520" s="9">
        <v>90</v>
      </c>
      <c r="K520" s="9" t="s">
        <v>873</v>
      </c>
      <c r="L520" s="27">
        <v>0.12257999999999999</v>
      </c>
      <c r="M520" s="28" t="s">
        <v>3203</v>
      </c>
      <c r="N520" s="17">
        <v>4.8005789999999999</v>
      </c>
      <c r="O520" s="1"/>
      <c r="P520" s="38">
        <f t="shared" si="49"/>
        <v>0</v>
      </c>
      <c r="S520" s="24" t="str">
        <f t="shared" si="52"/>
        <v>-</v>
      </c>
      <c r="T520" s="24" t="str">
        <f t="shared" si="50"/>
        <v>-</v>
      </c>
      <c r="U520" s="25" t="str">
        <f t="shared" si="53"/>
        <v>-</v>
      </c>
      <c r="V520" s="26" t="str">
        <f t="shared" si="54"/>
        <v>-</v>
      </c>
      <c r="X520" s="26" t="str">
        <f t="shared" si="51"/>
        <v>-</v>
      </c>
    </row>
    <row r="521" spans="1:24" x14ac:dyDescent="0.3">
      <c r="A521" s="37">
        <v>87614115757</v>
      </c>
      <c r="B521" s="8" t="s">
        <v>1567</v>
      </c>
      <c r="C521" s="10" t="s">
        <v>2328</v>
      </c>
      <c r="D521" s="11" t="s">
        <v>883</v>
      </c>
      <c r="E521" s="11" t="s">
        <v>938</v>
      </c>
      <c r="F521" s="9">
        <v>30</v>
      </c>
      <c r="G521" s="9">
        <v>90</v>
      </c>
      <c r="H521" s="9" t="s">
        <v>892</v>
      </c>
      <c r="I521" s="9">
        <v>24</v>
      </c>
      <c r="J521" s="9">
        <v>60</v>
      </c>
      <c r="K521" s="9" t="s">
        <v>873</v>
      </c>
      <c r="L521" s="27">
        <v>7.831500000000001E-2</v>
      </c>
      <c r="M521" s="28" t="s">
        <v>3203</v>
      </c>
      <c r="N521" s="17">
        <v>4.999911</v>
      </c>
      <c r="O521" s="1"/>
      <c r="P521" s="38">
        <f t="shared" si="49"/>
        <v>0</v>
      </c>
      <c r="S521" s="24" t="str">
        <f t="shared" si="52"/>
        <v>-</v>
      </c>
      <c r="T521" s="24" t="str">
        <f t="shared" si="50"/>
        <v>-</v>
      </c>
      <c r="U521" s="25" t="str">
        <f t="shared" si="53"/>
        <v>-</v>
      </c>
      <c r="V521" s="26" t="str">
        <f t="shared" si="54"/>
        <v>-</v>
      </c>
      <c r="X521" s="26" t="str">
        <f t="shared" si="51"/>
        <v>-</v>
      </c>
    </row>
    <row r="522" spans="1:24" x14ac:dyDescent="0.3">
      <c r="A522" s="37">
        <v>87614114217</v>
      </c>
      <c r="B522" s="8" t="s">
        <v>1311</v>
      </c>
      <c r="C522" s="10" t="s">
        <v>2096</v>
      </c>
      <c r="D522" s="11" t="s">
        <v>879</v>
      </c>
      <c r="E522" s="11" t="s">
        <v>972</v>
      </c>
      <c r="F522" s="9">
        <v>30</v>
      </c>
      <c r="G522" s="9">
        <v>90</v>
      </c>
      <c r="H522" s="9" t="s">
        <v>868</v>
      </c>
      <c r="I522" s="9">
        <v>36</v>
      </c>
      <c r="J522" s="9">
        <v>60</v>
      </c>
      <c r="K522" s="9" t="s">
        <v>873</v>
      </c>
      <c r="L522" s="27">
        <v>7.6045000000000001E-2</v>
      </c>
      <c r="M522" s="28" t="s">
        <v>3203</v>
      </c>
      <c r="N522" s="17">
        <v>5.0165219999999993</v>
      </c>
      <c r="O522" s="1"/>
      <c r="P522" s="38">
        <f t="shared" si="49"/>
        <v>0</v>
      </c>
      <c r="S522" s="24" t="str">
        <f t="shared" si="52"/>
        <v>-</v>
      </c>
      <c r="T522" s="24" t="str">
        <f t="shared" si="50"/>
        <v>-</v>
      </c>
      <c r="U522" s="25" t="str">
        <f t="shared" si="53"/>
        <v>-</v>
      </c>
      <c r="V522" s="26" t="str">
        <f t="shared" si="54"/>
        <v>-</v>
      </c>
      <c r="X522" s="26" t="str">
        <f t="shared" si="51"/>
        <v>-</v>
      </c>
    </row>
    <row r="523" spans="1:24" x14ac:dyDescent="0.3">
      <c r="A523" s="37">
        <v>87614112886</v>
      </c>
      <c r="B523" s="8" t="s">
        <v>1526</v>
      </c>
      <c r="C523" s="10" t="s">
        <v>2287</v>
      </c>
      <c r="D523" s="11" t="s">
        <v>872</v>
      </c>
      <c r="E523" s="11" t="s">
        <v>945</v>
      </c>
      <c r="F523" s="9">
        <v>30</v>
      </c>
      <c r="G523" s="9">
        <v>90</v>
      </c>
      <c r="H523" s="9" t="s">
        <v>868</v>
      </c>
      <c r="I523" s="9">
        <v>36</v>
      </c>
      <c r="J523" s="9">
        <v>60</v>
      </c>
      <c r="K523" s="9" t="s">
        <v>873</v>
      </c>
      <c r="L523" s="27">
        <v>7.3775000000000007E-2</v>
      </c>
      <c r="M523" s="28" t="s">
        <v>3203</v>
      </c>
      <c r="N523" s="17">
        <v>5.1992430000000001</v>
      </c>
      <c r="O523" s="1"/>
      <c r="P523" s="38">
        <f t="shared" si="49"/>
        <v>0</v>
      </c>
      <c r="S523" s="24" t="str">
        <f t="shared" si="52"/>
        <v>-</v>
      </c>
      <c r="T523" s="24" t="str">
        <f t="shared" si="50"/>
        <v>-</v>
      </c>
      <c r="U523" s="25" t="str">
        <f t="shared" si="53"/>
        <v>-</v>
      </c>
      <c r="V523" s="26" t="str">
        <f t="shared" si="54"/>
        <v>-</v>
      </c>
      <c r="X523" s="26" t="str">
        <f t="shared" si="51"/>
        <v>-</v>
      </c>
    </row>
    <row r="524" spans="1:24" x14ac:dyDescent="0.3">
      <c r="A524" s="37">
        <v>87614021942</v>
      </c>
      <c r="B524" s="8" t="s">
        <v>1795</v>
      </c>
      <c r="C524" s="10" t="s">
        <v>2531</v>
      </c>
      <c r="D524" s="11" t="s">
        <v>883</v>
      </c>
      <c r="E524" s="11" t="s">
        <v>928</v>
      </c>
      <c r="F524" s="9">
        <v>30</v>
      </c>
      <c r="G524" s="9">
        <v>90</v>
      </c>
      <c r="H524" s="9" t="s">
        <v>868</v>
      </c>
      <c r="I524" s="9">
        <v>24</v>
      </c>
      <c r="J524" s="9">
        <v>60</v>
      </c>
      <c r="K524" s="9" t="s">
        <v>873</v>
      </c>
      <c r="L524" s="27">
        <v>7.0370000000000002E-2</v>
      </c>
      <c r="M524" s="28" t="s">
        <v>3203</v>
      </c>
      <c r="N524" s="17">
        <v>5.4151860000000003</v>
      </c>
      <c r="O524" s="1"/>
      <c r="P524" s="38">
        <f t="shared" si="49"/>
        <v>0</v>
      </c>
      <c r="S524" s="24" t="str">
        <f t="shared" si="52"/>
        <v>-</v>
      </c>
      <c r="T524" s="24" t="str">
        <f t="shared" si="50"/>
        <v>-</v>
      </c>
      <c r="U524" s="25" t="str">
        <f t="shared" si="53"/>
        <v>-</v>
      </c>
      <c r="V524" s="26" t="str">
        <f t="shared" si="54"/>
        <v>-</v>
      </c>
      <c r="X524" s="26" t="str">
        <f t="shared" si="51"/>
        <v>-</v>
      </c>
    </row>
    <row r="525" spans="1:24" x14ac:dyDescent="0.3">
      <c r="A525" s="37">
        <v>87614110592</v>
      </c>
      <c r="B525" s="8" t="s">
        <v>1212</v>
      </c>
      <c r="C525" s="10" t="s">
        <v>3075</v>
      </c>
      <c r="D525" s="11" t="s">
        <v>882</v>
      </c>
      <c r="E525" s="11" t="s">
        <v>920</v>
      </c>
      <c r="F525" s="9">
        <v>20</v>
      </c>
      <c r="G525" s="9">
        <v>60</v>
      </c>
      <c r="H525" s="9" t="s">
        <v>868</v>
      </c>
      <c r="I525" s="9">
        <v>36</v>
      </c>
      <c r="J525" s="9">
        <v>120</v>
      </c>
      <c r="K525" s="9" t="s">
        <v>2903</v>
      </c>
      <c r="L525" s="27">
        <v>0.11803999999999999</v>
      </c>
      <c r="M525" s="28" t="s">
        <v>3203</v>
      </c>
      <c r="N525" s="17">
        <v>5.4317969999999995</v>
      </c>
      <c r="O525" s="1"/>
      <c r="P525" s="38">
        <f t="shared" si="49"/>
        <v>0</v>
      </c>
      <c r="S525" s="24" t="str">
        <f t="shared" si="52"/>
        <v>-</v>
      </c>
      <c r="T525" s="24" t="str">
        <f t="shared" si="50"/>
        <v>-</v>
      </c>
      <c r="U525" s="25" t="str">
        <f t="shared" si="53"/>
        <v>-</v>
      </c>
      <c r="V525" s="26" t="str">
        <f t="shared" si="54"/>
        <v>-</v>
      </c>
      <c r="X525" s="26" t="str">
        <f t="shared" si="51"/>
        <v>-</v>
      </c>
    </row>
    <row r="526" spans="1:24" x14ac:dyDescent="0.3">
      <c r="A526" s="37">
        <v>87614112114</v>
      </c>
      <c r="B526" s="8" t="s">
        <v>108</v>
      </c>
      <c r="C526" s="10" t="s">
        <v>109</v>
      </c>
      <c r="D526" s="11" t="s">
        <v>870</v>
      </c>
      <c r="E526" s="11" t="s">
        <v>871</v>
      </c>
      <c r="F526" s="9">
        <v>30</v>
      </c>
      <c r="G526" s="9">
        <v>90</v>
      </c>
      <c r="H526" s="9" t="s">
        <v>868</v>
      </c>
      <c r="I526" s="9">
        <v>24</v>
      </c>
      <c r="J526" s="9">
        <v>250</v>
      </c>
      <c r="K526" s="9" t="s">
        <v>873</v>
      </c>
      <c r="L526" s="27">
        <v>0.105555</v>
      </c>
      <c r="M526" s="28" t="s">
        <v>3203</v>
      </c>
      <c r="N526" s="17">
        <v>5.4650189999999998</v>
      </c>
      <c r="O526" s="1"/>
      <c r="P526" s="38">
        <f t="shared" si="49"/>
        <v>0</v>
      </c>
      <c r="S526" s="24" t="str">
        <f t="shared" si="52"/>
        <v>-</v>
      </c>
      <c r="T526" s="24" t="str">
        <f t="shared" si="50"/>
        <v>-</v>
      </c>
      <c r="U526" s="25" t="str">
        <f t="shared" si="53"/>
        <v>-</v>
      </c>
      <c r="V526" s="26" t="str">
        <f t="shared" si="54"/>
        <v>-</v>
      </c>
      <c r="X526" s="26" t="str">
        <f t="shared" si="51"/>
        <v>-</v>
      </c>
    </row>
    <row r="527" spans="1:24" x14ac:dyDescent="0.3">
      <c r="A527" s="37">
        <v>87614116853</v>
      </c>
      <c r="B527" s="8" t="s">
        <v>1588</v>
      </c>
      <c r="C527" s="10" t="s">
        <v>2349</v>
      </c>
      <c r="D527" s="11" t="s">
        <v>874</v>
      </c>
      <c r="E527" s="11" t="s">
        <v>914</v>
      </c>
      <c r="F527" s="9">
        <v>30</v>
      </c>
      <c r="G527" s="9">
        <v>90</v>
      </c>
      <c r="H527" s="9" t="s">
        <v>868</v>
      </c>
      <c r="I527" s="9">
        <v>36</v>
      </c>
      <c r="J527" s="9">
        <v>60</v>
      </c>
      <c r="K527" s="9" t="s">
        <v>889</v>
      </c>
      <c r="L527" s="27">
        <v>5.4480000000000001E-2</v>
      </c>
      <c r="M527" s="28" t="s">
        <v>3203</v>
      </c>
      <c r="N527" s="17">
        <v>5.5148519999999994</v>
      </c>
      <c r="O527" s="1"/>
      <c r="P527" s="38">
        <f t="shared" si="49"/>
        <v>0</v>
      </c>
      <c r="S527" s="24" t="str">
        <f t="shared" si="52"/>
        <v>-</v>
      </c>
      <c r="T527" s="24" t="str">
        <f t="shared" si="50"/>
        <v>-</v>
      </c>
      <c r="U527" s="25" t="str">
        <f t="shared" si="53"/>
        <v>-</v>
      </c>
      <c r="V527" s="26" t="str">
        <f t="shared" si="54"/>
        <v>-</v>
      </c>
      <c r="X527" s="26" t="str">
        <f t="shared" si="51"/>
        <v>-</v>
      </c>
    </row>
    <row r="528" spans="1:24" x14ac:dyDescent="0.3">
      <c r="A528" s="37">
        <v>87614113463</v>
      </c>
      <c r="B528" s="8" t="s">
        <v>1209</v>
      </c>
      <c r="C528" s="10" t="s">
        <v>2024</v>
      </c>
      <c r="D528" s="11" t="s">
        <v>898</v>
      </c>
      <c r="E528" s="11" t="s">
        <v>979</v>
      </c>
      <c r="F528" s="9">
        <v>20</v>
      </c>
      <c r="G528" s="9">
        <v>60</v>
      </c>
      <c r="H528" s="9" t="s">
        <v>868</v>
      </c>
      <c r="I528" s="9">
        <v>36</v>
      </c>
      <c r="J528" s="9">
        <v>120</v>
      </c>
      <c r="K528" s="9" t="s">
        <v>873</v>
      </c>
      <c r="L528" s="27">
        <v>0.11803999999999999</v>
      </c>
      <c r="M528" s="28" t="s">
        <v>3203</v>
      </c>
      <c r="N528" s="17">
        <v>5.6145179999999995</v>
      </c>
      <c r="O528" s="1"/>
      <c r="P528" s="38">
        <f t="shared" si="49"/>
        <v>0</v>
      </c>
      <c r="S528" s="24" t="str">
        <f t="shared" si="52"/>
        <v>-</v>
      </c>
      <c r="T528" s="24" t="str">
        <f t="shared" si="50"/>
        <v>-</v>
      </c>
      <c r="U528" s="25" t="str">
        <f t="shared" si="53"/>
        <v>-</v>
      </c>
      <c r="V528" s="26" t="str">
        <f t="shared" si="54"/>
        <v>-</v>
      </c>
      <c r="X528" s="26" t="str">
        <f t="shared" si="51"/>
        <v>-</v>
      </c>
    </row>
    <row r="529" spans="1:24" x14ac:dyDescent="0.3">
      <c r="A529" s="37">
        <v>87614020785</v>
      </c>
      <c r="B529" s="8" t="s">
        <v>633</v>
      </c>
      <c r="C529" s="10" t="s">
        <v>634</v>
      </c>
      <c r="D529" s="11" t="s">
        <v>874</v>
      </c>
      <c r="E529" s="11" t="s">
        <v>919</v>
      </c>
      <c r="F529" s="9">
        <v>30</v>
      </c>
      <c r="G529" s="9">
        <v>90</v>
      </c>
      <c r="H529" s="9" t="s">
        <v>868</v>
      </c>
      <c r="I529" s="9">
        <v>36</v>
      </c>
      <c r="J529" s="9">
        <v>180</v>
      </c>
      <c r="K529" s="9" t="s">
        <v>873</v>
      </c>
      <c r="L529" s="27">
        <v>6.9235000000000005E-2</v>
      </c>
      <c r="M529" s="28" t="s">
        <v>3203</v>
      </c>
      <c r="N529" s="17">
        <v>5.7474059999999998</v>
      </c>
      <c r="O529" s="1"/>
      <c r="P529" s="38">
        <f t="shared" si="49"/>
        <v>0</v>
      </c>
      <c r="S529" s="24" t="str">
        <f t="shared" si="52"/>
        <v>-</v>
      </c>
      <c r="T529" s="24" t="str">
        <f t="shared" si="50"/>
        <v>-</v>
      </c>
      <c r="U529" s="25" t="str">
        <f t="shared" si="53"/>
        <v>-</v>
      </c>
      <c r="V529" s="26" t="str">
        <f t="shared" si="54"/>
        <v>-</v>
      </c>
      <c r="X529" s="26" t="str">
        <f t="shared" si="51"/>
        <v>-</v>
      </c>
    </row>
    <row r="530" spans="1:24" x14ac:dyDescent="0.3">
      <c r="A530" s="37">
        <v>87614117157</v>
      </c>
      <c r="B530" s="8" t="s">
        <v>1592</v>
      </c>
      <c r="C530" s="10" t="s">
        <v>2353</v>
      </c>
      <c r="D530" s="11" t="s">
        <v>879</v>
      </c>
      <c r="E530" s="11" t="s">
        <v>990</v>
      </c>
      <c r="F530" s="9">
        <v>30</v>
      </c>
      <c r="G530" s="9">
        <v>90</v>
      </c>
      <c r="H530" s="9" t="s">
        <v>868</v>
      </c>
      <c r="I530" s="9">
        <v>24</v>
      </c>
      <c r="J530" s="9">
        <v>90</v>
      </c>
      <c r="K530" s="9" t="s">
        <v>896</v>
      </c>
      <c r="L530" s="27">
        <v>0.103285</v>
      </c>
      <c r="M530" s="28" t="s">
        <v>3203</v>
      </c>
      <c r="N530" s="17">
        <v>5.7640169999999999</v>
      </c>
      <c r="O530" s="1"/>
      <c r="P530" s="38">
        <f t="shared" si="49"/>
        <v>0</v>
      </c>
      <c r="S530" s="24" t="str">
        <f t="shared" si="52"/>
        <v>-</v>
      </c>
      <c r="T530" s="24" t="str">
        <f t="shared" si="50"/>
        <v>-</v>
      </c>
      <c r="U530" s="25" t="str">
        <f t="shared" si="53"/>
        <v>-</v>
      </c>
      <c r="V530" s="26" t="str">
        <f t="shared" si="54"/>
        <v>-</v>
      </c>
      <c r="X530" s="26" t="str">
        <f t="shared" si="51"/>
        <v>-</v>
      </c>
    </row>
    <row r="531" spans="1:24" x14ac:dyDescent="0.3">
      <c r="A531" s="37">
        <v>87614080154</v>
      </c>
      <c r="B531" s="8" t="s">
        <v>1279</v>
      </c>
      <c r="C531" s="10" t="s">
        <v>2071</v>
      </c>
      <c r="D531" s="11" t="s">
        <v>886</v>
      </c>
      <c r="E531" s="11" t="s">
        <v>952</v>
      </c>
      <c r="F531" s="9">
        <v>16</v>
      </c>
      <c r="G531" s="9">
        <v>48</v>
      </c>
      <c r="H531" s="9" t="s">
        <v>868</v>
      </c>
      <c r="I531" s="9">
        <v>36</v>
      </c>
      <c r="J531" s="9">
        <v>120</v>
      </c>
      <c r="K531" s="9" t="s">
        <v>873</v>
      </c>
      <c r="L531" s="27">
        <v>0.13847000000000001</v>
      </c>
      <c r="M531" s="28" t="s">
        <v>3203</v>
      </c>
      <c r="N531" s="17">
        <v>5.863683</v>
      </c>
      <c r="O531" s="1"/>
      <c r="P531" s="38">
        <f t="shared" si="49"/>
        <v>0</v>
      </c>
      <c r="S531" s="24" t="str">
        <f t="shared" si="52"/>
        <v>-</v>
      </c>
      <c r="T531" s="24" t="str">
        <f t="shared" si="50"/>
        <v>-</v>
      </c>
      <c r="U531" s="25" t="str">
        <f t="shared" si="53"/>
        <v>-</v>
      </c>
      <c r="V531" s="26" t="str">
        <f t="shared" si="54"/>
        <v>-</v>
      </c>
      <c r="X531" s="26" t="str">
        <f t="shared" si="51"/>
        <v>-</v>
      </c>
    </row>
    <row r="532" spans="1:24" x14ac:dyDescent="0.3">
      <c r="A532" s="37">
        <v>87614020693</v>
      </c>
      <c r="B532" s="8" t="s">
        <v>1766</v>
      </c>
      <c r="C532" s="10" t="s">
        <v>2503</v>
      </c>
      <c r="D532" s="11" t="s">
        <v>874</v>
      </c>
      <c r="E532" s="11" t="s">
        <v>914</v>
      </c>
      <c r="F532" s="9">
        <v>30</v>
      </c>
      <c r="G532" s="9">
        <v>90</v>
      </c>
      <c r="H532" s="9" t="s">
        <v>868</v>
      </c>
      <c r="I532" s="9">
        <v>36</v>
      </c>
      <c r="J532" s="9">
        <v>90</v>
      </c>
      <c r="K532" s="9" t="s">
        <v>873</v>
      </c>
      <c r="L532" s="27">
        <v>0.103285</v>
      </c>
      <c r="M532" s="28" t="s">
        <v>3203</v>
      </c>
      <c r="N532" s="17">
        <v>5.8802940000000001</v>
      </c>
      <c r="O532" s="1"/>
      <c r="P532" s="38">
        <f t="shared" si="49"/>
        <v>0</v>
      </c>
      <c r="S532" s="24" t="str">
        <f t="shared" si="52"/>
        <v>-</v>
      </c>
      <c r="T532" s="24" t="str">
        <f t="shared" si="50"/>
        <v>-</v>
      </c>
      <c r="U532" s="25" t="str">
        <f t="shared" si="53"/>
        <v>-</v>
      </c>
      <c r="V532" s="26" t="str">
        <f t="shared" si="54"/>
        <v>-</v>
      </c>
      <c r="X532" s="26" t="str">
        <f t="shared" si="51"/>
        <v>-</v>
      </c>
    </row>
    <row r="533" spans="1:24" x14ac:dyDescent="0.3">
      <c r="A533" s="37">
        <v>87614111445</v>
      </c>
      <c r="B533" s="8" t="s">
        <v>1160</v>
      </c>
      <c r="C533" s="10" t="s">
        <v>1983</v>
      </c>
      <c r="D533" s="11" t="s">
        <v>876</v>
      </c>
      <c r="E533" s="11" t="s">
        <v>955</v>
      </c>
      <c r="F533" s="9">
        <v>30</v>
      </c>
      <c r="G533" s="9">
        <v>90</v>
      </c>
      <c r="H533" s="9" t="s">
        <v>868</v>
      </c>
      <c r="I533" s="9">
        <v>36</v>
      </c>
      <c r="J533" s="9">
        <v>120</v>
      </c>
      <c r="K533" s="9" t="s">
        <v>873</v>
      </c>
      <c r="L533" s="27">
        <v>6.0155E-2</v>
      </c>
      <c r="M533" s="28" t="s">
        <v>3203</v>
      </c>
      <c r="N533" s="17">
        <v>5.963349</v>
      </c>
      <c r="O533" s="1"/>
      <c r="P533" s="38">
        <f t="shared" si="49"/>
        <v>0</v>
      </c>
      <c r="S533" s="24" t="str">
        <f t="shared" si="52"/>
        <v>-</v>
      </c>
      <c r="T533" s="24" t="str">
        <f t="shared" si="50"/>
        <v>-</v>
      </c>
      <c r="U533" s="25" t="str">
        <f t="shared" si="53"/>
        <v>-</v>
      </c>
      <c r="V533" s="26" t="str">
        <f t="shared" si="54"/>
        <v>-</v>
      </c>
      <c r="X533" s="26" t="str">
        <f t="shared" si="51"/>
        <v>-</v>
      </c>
    </row>
    <row r="534" spans="1:24" x14ac:dyDescent="0.3">
      <c r="A534" s="37">
        <v>87614117836</v>
      </c>
      <c r="B534" s="8" t="s">
        <v>2920</v>
      </c>
      <c r="C534" s="10" t="s">
        <v>2971</v>
      </c>
      <c r="D534" s="11" t="s">
        <v>874</v>
      </c>
      <c r="E534" s="11" t="s">
        <v>1118</v>
      </c>
      <c r="F534" s="9">
        <v>20</v>
      </c>
      <c r="G534" s="9">
        <v>60</v>
      </c>
      <c r="H534" s="9" t="s">
        <v>868</v>
      </c>
      <c r="I534" s="9">
        <v>24</v>
      </c>
      <c r="J534" s="9">
        <v>60</v>
      </c>
      <c r="K534" s="9" t="s">
        <v>869</v>
      </c>
      <c r="L534" s="27">
        <v>0.13619999999999999</v>
      </c>
      <c r="M534" s="28" t="s">
        <v>3203</v>
      </c>
      <c r="N534" s="17">
        <v>5.7917999999999994</v>
      </c>
      <c r="O534" s="1"/>
      <c r="P534" s="38">
        <f t="shared" si="49"/>
        <v>0</v>
      </c>
      <c r="S534" s="24" t="str">
        <f t="shared" si="52"/>
        <v>-</v>
      </c>
      <c r="T534" s="24" t="str">
        <f t="shared" si="50"/>
        <v>-</v>
      </c>
      <c r="U534" s="25" t="str">
        <f t="shared" si="53"/>
        <v>-</v>
      </c>
      <c r="V534" s="26" t="str">
        <f t="shared" si="54"/>
        <v>-</v>
      </c>
      <c r="X534" s="26" t="str">
        <f t="shared" si="51"/>
        <v>-</v>
      </c>
    </row>
    <row r="535" spans="1:24" x14ac:dyDescent="0.3">
      <c r="A535" s="37">
        <v>87614142968</v>
      </c>
      <c r="B535" s="8" t="s">
        <v>1457</v>
      </c>
      <c r="C535" s="10" t="s">
        <v>3016</v>
      </c>
      <c r="D535" s="11" t="s">
        <v>879</v>
      </c>
      <c r="E535" s="11" t="s">
        <v>978</v>
      </c>
      <c r="F535" s="9">
        <v>20</v>
      </c>
      <c r="G535" s="9">
        <v>60</v>
      </c>
      <c r="H535" s="9" t="s">
        <v>868</v>
      </c>
      <c r="I535" s="9">
        <v>24</v>
      </c>
      <c r="J535" s="9">
        <v>90</v>
      </c>
      <c r="K535" s="9" t="s">
        <v>873</v>
      </c>
      <c r="L535" s="27">
        <v>0.130525</v>
      </c>
      <c r="M535" s="28" t="s">
        <v>3203</v>
      </c>
      <c r="N535" s="17">
        <v>6.2125140000000005</v>
      </c>
      <c r="O535" s="1"/>
      <c r="P535" s="38">
        <f t="shared" si="49"/>
        <v>0</v>
      </c>
      <c r="S535" s="24" t="str">
        <f t="shared" si="52"/>
        <v>-</v>
      </c>
      <c r="T535" s="24" t="str">
        <f t="shared" si="50"/>
        <v>-</v>
      </c>
      <c r="U535" s="25" t="str">
        <f t="shared" si="53"/>
        <v>-</v>
      </c>
      <c r="V535" s="26" t="str">
        <f t="shared" si="54"/>
        <v>-</v>
      </c>
      <c r="X535" s="26" t="str">
        <f t="shared" si="51"/>
        <v>-</v>
      </c>
    </row>
    <row r="536" spans="1:24" x14ac:dyDescent="0.3">
      <c r="A536" s="37">
        <v>87614114910</v>
      </c>
      <c r="B536" s="8" t="s">
        <v>1558</v>
      </c>
      <c r="C536" s="10" t="s">
        <v>2319</v>
      </c>
      <c r="D536" s="11" t="s">
        <v>874</v>
      </c>
      <c r="E536" s="11" t="s">
        <v>925</v>
      </c>
      <c r="F536" s="9">
        <v>30</v>
      </c>
      <c r="G536" s="9">
        <v>90</v>
      </c>
      <c r="H536" s="9" t="s">
        <v>868</v>
      </c>
      <c r="I536" s="9">
        <v>24</v>
      </c>
      <c r="J536" s="9">
        <v>60</v>
      </c>
      <c r="K536" s="9" t="s">
        <v>873</v>
      </c>
      <c r="L536" s="27">
        <v>8.2854999999999998E-2</v>
      </c>
      <c r="M536" s="28" t="s">
        <v>3203</v>
      </c>
      <c r="N536" s="17">
        <v>6.2125140000000005</v>
      </c>
      <c r="O536" s="1"/>
      <c r="P536" s="38">
        <f t="shared" si="49"/>
        <v>0</v>
      </c>
      <c r="S536" s="24" t="str">
        <f t="shared" si="52"/>
        <v>-</v>
      </c>
      <c r="T536" s="24" t="str">
        <f t="shared" si="50"/>
        <v>-</v>
      </c>
      <c r="U536" s="25" t="str">
        <f t="shared" si="53"/>
        <v>-</v>
      </c>
      <c r="V536" s="26" t="str">
        <f t="shared" si="54"/>
        <v>-</v>
      </c>
      <c r="X536" s="26" t="str">
        <f t="shared" si="51"/>
        <v>-</v>
      </c>
    </row>
    <row r="537" spans="1:24" x14ac:dyDescent="0.3">
      <c r="A537" s="37">
        <v>87614112244</v>
      </c>
      <c r="B537" s="8" t="s">
        <v>1516</v>
      </c>
      <c r="C537" s="10" t="s">
        <v>2277</v>
      </c>
      <c r="D537" s="11" t="s">
        <v>884</v>
      </c>
      <c r="E537" s="11" t="s">
        <v>940</v>
      </c>
      <c r="F537" s="9">
        <v>30</v>
      </c>
      <c r="G537" s="9">
        <v>90</v>
      </c>
      <c r="H537" s="9" t="s">
        <v>868</v>
      </c>
      <c r="I537" s="9">
        <v>36</v>
      </c>
      <c r="J537" s="9">
        <v>60</v>
      </c>
      <c r="K537" s="9" t="s">
        <v>873</v>
      </c>
      <c r="L537" s="27">
        <v>8.058499999999999E-2</v>
      </c>
      <c r="M537" s="28" t="s">
        <v>3203</v>
      </c>
      <c r="N537" s="17">
        <v>6.3287909999999998</v>
      </c>
      <c r="O537" s="1"/>
      <c r="P537" s="38">
        <f t="shared" si="49"/>
        <v>0</v>
      </c>
      <c r="S537" s="24" t="str">
        <f t="shared" si="52"/>
        <v>-</v>
      </c>
      <c r="T537" s="24" t="str">
        <f t="shared" si="50"/>
        <v>-</v>
      </c>
      <c r="U537" s="25" t="str">
        <f t="shared" si="53"/>
        <v>-</v>
      </c>
      <c r="V537" s="26" t="str">
        <f t="shared" si="54"/>
        <v>-</v>
      </c>
      <c r="X537" s="26" t="str">
        <f t="shared" si="51"/>
        <v>-</v>
      </c>
    </row>
    <row r="538" spans="1:24" x14ac:dyDescent="0.3">
      <c r="A538" s="37">
        <v>87614113029</v>
      </c>
      <c r="B538" s="8" t="s">
        <v>1530</v>
      </c>
      <c r="C538" s="10" t="s">
        <v>2291</v>
      </c>
      <c r="D538" s="11" t="s">
        <v>866</v>
      </c>
      <c r="E538" s="11" t="s">
        <v>2821</v>
      </c>
      <c r="F538" s="9">
        <v>30</v>
      </c>
      <c r="G538" s="9">
        <v>90</v>
      </c>
      <c r="H538" s="9" t="s">
        <v>868</v>
      </c>
      <c r="I538" s="9">
        <v>36</v>
      </c>
      <c r="J538" s="9">
        <v>60</v>
      </c>
      <c r="K538" s="9" t="s">
        <v>873</v>
      </c>
      <c r="L538" s="27">
        <v>4.9939999999999998E-2</v>
      </c>
      <c r="M538" s="28" t="s">
        <v>3203</v>
      </c>
      <c r="N538" s="17">
        <v>6.3786239999999994</v>
      </c>
      <c r="O538" s="1"/>
      <c r="P538" s="38">
        <f t="shared" si="49"/>
        <v>0</v>
      </c>
      <c r="S538" s="24" t="str">
        <f t="shared" si="52"/>
        <v>-</v>
      </c>
      <c r="T538" s="24" t="str">
        <f t="shared" si="50"/>
        <v>-</v>
      </c>
      <c r="U538" s="25" t="str">
        <f t="shared" si="53"/>
        <v>-</v>
      </c>
      <c r="V538" s="26" t="str">
        <f t="shared" si="54"/>
        <v>-</v>
      </c>
      <c r="X538" s="26" t="str">
        <f t="shared" si="51"/>
        <v>-</v>
      </c>
    </row>
    <row r="539" spans="1:24" x14ac:dyDescent="0.3">
      <c r="A539" s="37">
        <v>87614111582</v>
      </c>
      <c r="B539" s="8" t="s">
        <v>1362</v>
      </c>
      <c r="C539" s="10" t="s">
        <v>2142</v>
      </c>
      <c r="D539" s="11" t="s">
        <v>882</v>
      </c>
      <c r="E539" s="11" t="s">
        <v>958</v>
      </c>
      <c r="F539" s="9">
        <v>16</v>
      </c>
      <c r="G539" s="9">
        <v>48</v>
      </c>
      <c r="H539" s="9" t="s">
        <v>868</v>
      </c>
      <c r="I539" s="9">
        <v>36</v>
      </c>
      <c r="J539" s="9">
        <v>120</v>
      </c>
      <c r="K539" s="9" t="s">
        <v>873</v>
      </c>
      <c r="L539" s="27">
        <v>0.14755000000000001</v>
      </c>
      <c r="M539" s="28" t="s">
        <v>3203</v>
      </c>
      <c r="N539" s="17">
        <v>6.5115119999999997</v>
      </c>
      <c r="O539" s="1"/>
      <c r="P539" s="38">
        <f t="shared" si="49"/>
        <v>0</v>
      </c>
      <c r="S539" s="24" t="str">
        <f t="shared" si="52"/>
        <v>-</v>
      </c>
      <c r="T539" s="24" t="str">
        <f t="shared" si="50"/>
        <v>-</v>
      </c>
      <c r="U539" s="25" t="str">
        <f t="shared" si="53"/>
        <v>-</v>
      </c>
      <c r="V539" s="26" t="str">
        <f t="shared" si="54"/>
        <v>-</v>
      </c>
      <c r="X539" s="26" t="str">
        <f t="shared" si="51"/>
        <v>-</v>
      </c>
    </row>
    <row r="540" spans="1:24" x14ac:dyDescent="0.3">
      <c r="A540" s="37">
        <v>87614012032</v>
      </c>
      <c r="B540" s="8" t="s">
        <v>1261</v>
      </c>
      <c r="C540" s="10" t="s">
        <v>2060</v>
      </c>
      <c r="D540" s="11" t="s">
        <v>882</v>
      </c>
      <c r="E540" s="11" t="s">
        <v>948</v>
      </c>
      <c r="F540" s="9">
        <v>30</v>
      </c>
      <c r="G540" s="9">
        <v>90</v>
      </c>
      <c r="H540" s="9" t="s">
        <v>868</v>
      </c>
      <c r="I540" s="9">
        <v>36</v>
      </c>
      <c r="J540" s="9">
        <v>250</v>
      </c>
      <c r="K540" s="9" t="s">
        <v>877</v>
      </c>
      <c r="L540" s="27">
        <v>0.116905</v>
      </c>
      <c r="M540" s="28" t="s">
        <v>3203</v>
      </c>
      <c r="N540" s="17">
        <v>6.6277889999999999</v>
      </c>
      <c r="O540" s="1"/>
      <c r="P540" s="38">
        <f t="shared" si="49"/>
        <v>0</v>
      </c>
      <c r="S540" s="24" t="str">
        <f t="shared" si="52"/>
        <v>-</v>
      </c>
      <c r="T540" s="24" t="str">
        <f t="shared" si="50"/>
        <v>-</v>
      </c>
      <c r="U540" s="25" t="str">
        <f t="shared" si="53"/>
        <v>-</v>
      </c>
      <c r="V540" s="26" t="str">
        <f t="shared" si="54"/>
        <v>-</v>
      </c>
      <c r="X540" s="26" t="str">
        <f t="shared" si="51"/>
        <v>-</v>
      </c>
    </row>
    <row r="541" spans="1:24" x14ac:dyDescent="0.3">
      <c r="A541" s="37">
        <v>87614142470</v>
      </c>
      <c r="B541" s="8" t="s">
        <v>1730</v>
      </c>
      <c r="C541" s="10" t="s">
        <v>2472</v>
      </c>
      <c r="D541" s="11" t="s">
        <v>881</v>
      </c>
      <c r="E541" s="11" t="s">
        <v>949</v>
      </c>
      <c r="F541" s="9">
        <v>30</v>
      </c>
      <c r="G541" s="9">
        <v>90</v>
      </c>
      <c r="H541" s="9" t="s">
        <v>868</v>
      </c>
      <c r="I541" s="9">
        <v>24</v>
      </c>
      <c r="J541" s="9">
        <v>60</v>
      </c>
      <c r="K541" s="9" t="s">
        <v>889</v>
      </c>
      <c r="L541" s="27">
        <v>6.4695000000000003E-2</v>
      </c>
      <c r="M541" s="28" t="s">
        <v>3203</v>
      </c>
      <c r="N541" s="17">
        <v>6.9932309999999998</v>
      </c>
      <c r="O541" s="1"/>
      <c r="P541" s="38">
        <f t="shared" si="49"/>
        <v>0</v>
      </c>
      <c r="S541" s="24" t="str">
        <f t="shared" si="52"/>
        <v>-</v>
      </c>
      <c r="T541" s="24" t="str">
        <f t="shared" si="50"/>
        <v>-</v>
      </c>
      <c r="U541" s="25" t="str">
        <f t="shared" si="53"/>
        <v>-</v>
      </c>
      <c r="V541" s="26" t="str">
        <f t="shared" si="54"/>
        <v>-</v>
      </c>
      <c r="X541" s="26" t="str">
        <f t="shared" si="51"/>
        <v>-</v>
      </c>
    </row>
    <row r="542" spans="1:24" x14ac:dyDescent="0.3">
      <c r="A542" s="37">
        <v>87614111124</v>
      </c>
      <c r="B542" s="8" t="s">
        <v>1298</v>
      </c>
      <c r="C542" s="10" t="s">
        <v>2083</v>
      </c>
      <c r="D542" s="11" t="s">
        <v>884</v>
      </c>
      <c r="E542" s="11" t="s">
        <v>946</v>
      </c>
      <c r="F542" s="9">
        <v>30</v>
      </c>
      <c r="G542" s="9">
        <v>90</v>
      </c>
      <c r="H542" s="9" t="s">
        <v>868</v>
      </c>
      <c r="I542" s="9">
        <v>36</v>
      </c>
      <c r="J542" s="9">
        <v>60</v>
      </c>
      <c r="K542" s="9" t="s">
        <v>873</v>
      </c>
      <c r="L542" s="27">
        <v>6.583E-2</v>
      </c>
      <c r="M542" s="28" t="s">
        <v>3203</v>
      </c>
      <c r="N542" s="17">
        <v>7.0098419999999999</v>
      </c>
      <c r="O542" s="1"/>
      <c r="P542" s="38">
        <f t="shared" si="49"/>
        <v>0</v>
      </c>
      <c r="S542" s="24" t="str">
        <f t="shared" si="52"/>
        <v>-</v>
      </c>
      <c r="T542" s="24" t="str">
        <f t="shared" si="50"/>
        <v>-</v>
      </c>
      <c r="U542" s="25" t="str">
        <f t="shared" si="53"/>
        <v>-</v>
      </c>
      <c r="V542" s="26" t="str">
        <f t="shared" si="54"/>
        <v>-</v>
      </c>
      <c r="X542" s="26" t="str">
        <f t="shared" si="51"/>
        <v>-</v>
      </c>
    </row>
    <row r="543" spans="1:24" x14ac:dyDescent="0.3">
      <c r="A543" s="37">
        <v>87614024028</v>
      </c>
      <c r="B543" s="8" t="s">
        <v>1173</v>
      </c>
      <c r="C543" s="10" t="s">
        <v>1993</v>
      </c>
      <c r="D543" s="11" t="s">
        <v>2835</v>
      </c>
      <c r="E543" s="11" t="s">
        <v>2892</v>
      </c>
      <c r="F543" s="9">
        <v>30</v>
      </c>
      <c r="G543" s="9">
        <v>180</v>
      </c>
      <c r="H543" s="9" t="s">
        <v>868</v>
      </c>
      <c r="I543" s="9">
        <v>60</v>
      </c>
      <c r="J543" s="9">
        <v>1</v>
      </c>
      <c r="K543" s="9" t="s">
        <v>2916</v>
      </c>
      <c r="L543" s="27">
        <v>0.20657</v>
      </c>
      <c r="M543" s="28" t="s">
        <v>3203</v>
      </c>
      <c r="N543" s="17">
        <v>7.1427300000000002</v>
      </c>
      <c r="O543" s="1"/>
      <c r="P543" s="38">
        <f t="shared" si="49"/>
        <v>0</v>
      </c>
      <c r="S543" s="24" t="str">
        <f t="shared" si="52"/>
        <v>-</v>
      </c>
      <c r="T543" s="24" t="str">
        <f t="shared" si="50"/>
        <v>-</v>
      </c>
      <c r="U543" s="25" t="str">
        <f t="shared" si="53"/>
        <v>-</v>
      </c>
      <c r="V543" s="26" t="str">
        <f t="shared" si="54"/>
        <v>-</v>
      </c>
      <c r="X543" s="26" t="str">
        <f t="shared" si="51"/>
        <v>-</v>
      </c>
    </row>
    <row r="544" spans="1:24" x14ac:dyDescent="0.3">
      <c r="A544" s="37">
        <v>87614111346</v>
      </c>
      <c r="B544" s="8" t="s">
        <v>1509</v>
      </c>
      <c r="C544" s="10" t="s">
        <v>2270</v>
      </c>
      <c r="D544" s="11" t="s">
        <v>872</v>
      </c>
      <c r="E544" s="11" t="s">
        <v>953</v>
      </c>
      <c r="F544" s="9">
        <v>20</v>
      </c>
      <c r="G544" s="9">
        <v>60</v>
      </c>
      <c r="H544" s="9" t="s">
        <v>868</v>
      </c>
      <c r="I544" s="9">
        <v>36</v>
      </c>
      <c r="J544" s="9">
        <v>90</v>
      </c>
      <c r="K544" s="9" t="s">
        <v>873</v>
      </c>
      <c r="L544" s="27">
        <v>0.1135</v>
      </c>
      <c r="M544" s="28" t="s">
        <v>3203</v>
      </c>
      <c r="N544" s="17">
        <v>7.1925629999999998</v>
      </c>
      <c r="O544" s="1"/>
      <c r="P544" s="38">
        <f t="shared" si="49"/>
        <v>0</v>
      </c>
      <c r="S544" s="24" t="str">
        <f t="shared" si="52"/>
        <v>-</v>
      </c>
      <c r="T544" s="24" t="str">
        <f t="shared" si="50"/>
        <v>-</v>
      </c>
      <c r="U544" s="25" t="str">
        <f t="shared" si="53"/>
        <v>-</v>
      </c>
      <c r="V544" s="26" t="str">
        <f t="shared" si="54"/>
        <v>-</v>
      </c>
      <c r="X544" s="26" t="str">
        <f t="shared" si="51"/>
        <v>-</v>
      </c>
    </row>
    <row r="545" spans="1:24" x14ac:dyDescent="0.3">
      <c r="A545" s="37">
        <v>87614023014</v>
      </c>
      <c r="B545" s="8" t="s">
        <v>1806</v>
      </c>
      <c r="C545" s="10" t="s">
        <v>2542</v>
      </c>
      <c r="D545" s="11" t="s">
        <v>874</v>
      </c>
      <c r="E545" s="11" t="s">
        <v>914</v>
      </c>
      <c r="F545" s="9">
        <v>30</v>
      </c>
      <c r="G545" s="9">
        <v>90</v>
      </c>
      <c r="H545" s="9" t="s">
        <v>868</v>
      </c>
      <c r="I545" s="9">
        <v>24</v>
      </c>
      <c r="J545" s="9">
        <v>60</v>
      </c>
      <c r="K545" s="9" t="s">
        <v>873</v>
      </c>
      <c r="L545" s="27">
        <v>4.6535E-2</v>
      </c>
      <c r="M545" s="28" t="s">
        <v>3203</v>
      </c>
      <c r="N545" s="17">
        <v>7.2423960000000003</v>
      </c>
      <c r="O545" s="1"/>
      <c r="P545" s="38">
        <f t="shared" si="49"/>
        <v>0</v>
      </c>
      <c r="S545" s="24" t="str">
        <f t="shared" si="52"/>
        <v>-</v>
      </c>
      <c r="T545" s="24" t="str">
        <f t="shared" si="50"/>
        <v>-</v>
      </c>
      <c r="U545" s="25" t="str">
        <f t="shared" si="53"/>
        <v>-</v>
      </c>
      <c r="V545" s="26" t="str">
        <f t="shared" si="54"/>
        <v>-</v>
      </c>
      <c r="X545" s="26" t="str">
        <f t="shared" si="51"/>
        <v>-</v>
      </c>
    </row>
    <row r="546" spans="1:24" x14ac:dyDescent="0.3">
      <c r="A546" s="37">
        <v>87614180113</v>
      </c>
      <c r="B546" s="8" t="s">
        <v>594</v>
      </c>
      <c r="C546" s="10" t="s">
        <v>595</v>
      </c>
      <c r="D546" s="11" t="s">
        <v>870</v>
      </c>
      <c r="E546" s="11" t="s">
        <v>924</v>
      </c>
      <c r="F546" s="9">
        <v>30</v>
      </c>
      <c r="G546" s="9">
        <v>90</v>
      </c>
      <c r="H546" s="9" t="s">
        <v>868</v>
      </c>
      <c r="I546" s="9">
        <v>36</v>
      </c>
      <c r="J546" s="9">
        <v>60</v>
      </c>
      <c r="K546" s="9" t="s">
        <v>873</v>
      </c>
      <c r="L546" s="27">
        <v>6.3560000000000005E-2</v>
      </c>
      <c r="M546" s="28" t="s">
        <v>3203</v>
      </c>
      <c r="N546" s="17">
        <v>7.3586729999999996</v>
      </c>
      <c r="O546" s="1"/>
      <c r="P546" s="38">
        <f t="shared" si="49"/>
        <v>0</v>
      </c>
      <c r="S546" s="24" t="str">
        <f t="shared" si="52"/>
        <v>-</v>
      </c>
      <c r="T546" s="24" t="str">
        <f t="shared" si="50"/>
        <v>-</v>
      </c>
      <c r="U546" s="25" t="str">
        <f t="shared" si="53"/>
        <v>-</v>
      </c>
      <c r="V546" s="26" t="str">
        <f t="shared" si="54"/>
        <v>-</v>
      </c>
      <c r="X546" s="26" t="str">
        <f t="shared" si="51"/>
        <v>-</v>
      </c>
    </row>
    <row r="547" spans="1:24" x14ac:dyDescent="0.3">
      <c r="A547" s="37">
        <v>87614019512</v>
      </c>
      <c r="B547" s="8" t="s">
        <v>1628</v>
      </c>
      <c r="C547" s="10" t="s">
        <v>2390</v>
      </c>
      <c r="D547" s="11" t="s">
        <v>878</v>
      </c>
      <c r="E547" s="11" t="s">
        <v>954</v>
      </c>
      <c r="F547" s="9">
        <v>16</v>
      </c>
      <c r="G547" s="9">
        <v>48</v>
      </c>
      <c r="H547" s="9" t="s">
        <v>868</v>
      </c>
      <c r="I547" s="9">
        <v>36</v>
      </c>
      <c r="J547" s="9">
        <v>100</v>
      </c>
      <c r="K547" s="9" t="s">
        <v>873</v>
      </c>
      <c r="L547" s="27">
        <v>9.5340000000000008E-2</v>
      </c>
      <c r="M547" s="28" t="s">
        <v>3203</v>
      </c>
      <c r="N547" s="17">
        <v>7.4749499999999998</v>
      </c>
      <c r="O547" s="1"/>
      <c r="P547" s="38">
        <f t="shared" si="49"/>
        <v>0</v>
      </c>
      <c r="S547" s="24" t="str">
        <f t="shared" si="52"/>
        <v>-</v>
      </c>
      <c r="T547" s="24" t="str">
        <f t="shared" si="50"/>
        <v>-</v>
      </c>
      <c r="U547" s="25" t="str">
        <f t="shared" si="53"/>
        <v>-</v>
      </c>
      <c r="V547" s="26" t="str">
        <f t="shared" si="54"/>
        <v>-</v>
      </c>
      <c r="X547" s="26" t="str">
        <f t="shared" si="51"/>
        <v>-</v>
      </c>
    </row>
    <row r="548" spans="1:24" x14ac:dyDescent="0.3">
      <c r="A548" s="37">
        <v>87614114675</v>
      </c>
      <c r="B548" s="8" t="s">
        <v>1108</v>
      </c>
      <c r="C548" s="10" t="s">
        <v>1109</v>
      </c>
      <c r="D548" s="11" t="s">
        <v>894</v>
      </c>
      <c r="E548" s="11" t="s">
        <v>992</v>
      </c>
      <c r="F548" s="9">
        <v>12</v>
      </c>
      <c r="G548" s="9">
        <v>96</v>
      </c>
      <c r="H548" s="9" t="s">
        <v>892</v>
      </c>
      <c r="I548" s="9">
        <v>60</v>
      </c>
      <c r="J548" s="9">
        <v>1</v>
      </c>
      <c r="K548" s="9" t="s">
        <v>895</v>
      </c>
      <c r="L548" s="27">
        <v>0.10214999999999999</v>
      </c>
      <c r="M548" s="28" t="s">
        <v>3203</v>
      </c>
      <c r="N548" s="17">
        <v>7.6244490000000003</v>
      </c>
      <c r="O548" s="1"/>
      <c r="P548" s="38">
        <f t="shared" si="49"/>
        <v>0</v>
      </c>
      <c r="S548" s="24" t="str">
        <f t="shared" si="52"/>
        <v>-</v>
      </c>
      <c r="T548" s="24" t="str">
        <f t="shared" si="50"/>
        <v>-</v>
      </c>
      <c r="U548" s="25" t="str">
        <f t="shared" si="53"/>
        <v>-</v>
      </c>
      <c r="V548" s="26" t="str">
        <f t="shared" si="54"/>
        <v>-</v>
      </c>
      <c r="X548" s="26" t="str">
        <f t="shared" si="51"/>
        <v>-</v>
      </c>
    </row>
    <row r="549" spans="1:24" x14ac:dyDescent="0.3">
      <c r="A549" s="37">
        <v>87614026596</v>
      </c>
      <c r="B549" s="8" t="s">
        <v>1482</v>
      </c>
      <c r="C549" s="10" t="s">
        <v>2251</v>
      </c>
      <c r="D549" s="11" t="s">
        <v>874</v>
      </c>
      <c r="E549" s="11" t="s">
        <v>919</v>
      </c>
      <c r="F549" s="9">
        <v>30</v>
      </c>
      <c r="G549" s="9">
        <v>90</v>
      </c>
      <c r="H549" s="9" t="s">
        <v>868</v>
      </c>
      <c r="I549" s="9">
        <v>36</v>
      </c>
      <c r="J549" s="9">
        <v>60</v>
      </c>
      <c r="K549" s="9" t="s">
        <v>869</v>
      </c>
      <c r="L549" s="27">
        <v>8.1720000000000001E-2</v>
      </c>
      <c r="M549" s="28" t="s">
        <v>3203</v>
      </c>
      <c r="N549" s="17">
        <v>7.6576709999999997</v>
      </c>
      <c r="O549" s="1"/>
      <c r="P549" s="38">
        <f t="shared" si="49"/>
        <v>0</v>
      </c>
      <c r="S549" s="24" t="str">
        <f t="shared" si="52"/>
        <v>-</v>
      </c>
      <c r="T549" s="24" t="str">
        <f t="shared" si="50"/>
        <v>-</v>
      </c>
      <c r="U549" s="25" t="str">
        <f t="shared" si="53"/>
        <v>-</v>
      </c>
      <c r="V549" s="26" t="str">
        <f t="shared" si="54"/>
        <v>-</v>
      </c>
      <c r="X549" s="26" t="str">
        <f t="shared" si="51"/>
        <v>-</v>
      </c>
    </row>
    <row r="550" spans="1:24" x14ac:dyDescent="0.3">
      <c r="A550" s="37">
        <v>87614110608</v>
      </c>
      <c r="B550" s="8" t="s">
        <v>1506</v>
      </c>
      <c r="C550" s="10" t="s">
        <v>2267</v>
      </c>
      <c r="D550" s="11" t="s">
        <v>874</v>
      </c>
      <c r="E550" s="11" t="s">
        <v>919</v>
      </c>
      <c r="F550" s="9">
        <v>16</v>
      </c>
      <c r="G550" s="9">
        <v>48</v>
      </c>
      <c r="H550" s="9" t="s">
        <v>868</v>
      </c>
      <c r="I550" s="9">
        <v>36</v>
      </c>
      <c r="J550" s="9">
        <v>120</v>
      </c>
      <c r="K550" s="9" t="s">
        <v>873</v>
      </c>
      <c r="L550" s="27">
        <v>0.13392999999999999</v>
      </c>
      <c r="M550" s="28" t="s">
        <v>3203</v>
      </c>
      <c r="N550" s="17">
        <v>7.7241150000000003</v>
      </c>
      <c r="O550" s="1"/>
      <c r="P550" s="38">
        <f t="shared" si="49"/>
        <v>0</v>
      </c>
      <c r="S550" s="24" t="str">
        <f t="shared" si="52"/>
        <v>-</v>
      </c>
      <c r="T550" s="24" t="str">
        <f t="shared" si="50"/>
        <v>-</v>
      </c>
      <c r="U550" s="25" t="str">
        <f t="shared" si="53"/>
        <v>-</v>
      </c>
      <c r="V550" s="26" t="str">
        <f t="shared" si="54"/>
        <v>-</v>
      </c>
      <c r="X550" s="26" t="str">
        <f t="shared" si="51"/>
        <v>-</v>
      </c>
    </row>
    <row r="551" spans="1:24" x14ac:dyDescent="0.3">
      <c r="A551" s="37">
        <v>87614141510</v>
      </c>
      <c r="B551" s="8" t="s">
        <v>1450</v>
      </c>
      <c r="C551" s="10" t="s">
        <v>2223</v>
      </c>
      <c r="D551" s="11" t="s">
        <v>881</v>
      </c>
      <c r="E551" s="11" t="s">
        <v>936</v>
      </c>
      <c r="F551" s="9">
        <v>30</v>
      </c>
      <c r="G551" s="9">
        <v>90</v>
      </c>
      <c r="H551" s="9" t="s">
        <v>892</v>
      </c>
      <c r="I551" s="9">
        <v>24</v>
      </c>
      <c r="J551" s="9">
        <v>60</v>
      </c>
      <c r="K551" s="9" t="s">
        <v>873</v>
      </c>
      <c r="L551" s="27">
        <v>8.2854999999999998E-2</v>
      </c>
      <c r="M551" s="28" t="s">
        <v>3203</v>
      </c>
      <c r="N551" s="17">
        <v>7.8237810000000003</v>
      </c>
      <c r="O551" s="1"/>
      <c r="P551" s="38">
        <f t="shared" si="49"/>
        <v>0</v>
      </c>
      <c r="S551" s="24" t="str">
        <f t="shared" si="52"/>
        <v>-</v>
      </c>
      <c r="T551" s="24" t="str">
        <f t="shared" si="50"/>
        <v>-</v>
      </c>
      <c r="U551" s="25" t="str">
        <f t="shared" si="53"/>
        <v>-</v>
      </c>
      <c r="V551" s="26" t="str">
        <f t="shared" si="54"/>
        <v>-</v>
      </c>
      <c r="X551" s="26" t="str">
        <f t="shared" si="51"/>
        <v>-</v>
      </c>
    </row>
    <row r="552" spans="1:24" x14ac:dyDescent="0.3">
      <c r="A552" s="37">
        <v>87614115597</v>
      </c>
      <c r="B552" s="8" t="s">
        <v>1313</v>
      </c>
      <c r="C552" s="10" t="s">
        <v>2098</v>
      </c>
      <c r="D552" s="11" t="s">
        <v>870</v>
      </c>
      <c r="E552" s="11" t="s">
        <v>2834</v>
      </c>
      <c r="F552" s="9">
        <v>30</v>
      </c>
      <c r="G552" s="9">
        <v>90</v>
      </c>
      <c r="H552" s="9" t="s">
        <v>868</v>
      </c>
      <c r="I552" s="9">
        <v>24</v>
      </c>
      <c r="J552" s="9">
        <v>60</v>
      </c>
      <c r="K552" s="9" t="s">
        <v>873</v>
      </c>
      <c r="L552" s="27">
        <v>9.0800000000000006E-2</v>
      </c>
      <c r="M552" s="28" t="s">
        <v>3203</v>
      </c>
      <c r="N552" s="17">
        <v>7.8403919999999996</v>
      </c>
      <c r="O552" s="1"/>
      <c r="P552" s="38">
        <f t="shared" si="49"/>
        <v>0</v>
      </c>
      <c r="S552" s="24" t="str">
        <f t="shared" si="52"/>
        <v>-</v>
      </c>
      <c r="T552" s="24" t="str">
        <f t="shared" si="50"/>
        <v>-</v>
      </c>
      <c r="U552" s="25" t="str">
        <f t="shared" si="53"/>
        <v>-</v>
      </c>
      <c r="V552" s="26" t="str">
        <f t="shared" si="54"/>
        <v>-</v>
      </c>
      <c r="X552" s="26" t="str">
        <f t="shared" si="51"/>
        <v>-</v>
      </c>
    </row>
    <row r="553" spans="1:24" x14ac:dyDescent="0.3">
      <c r="A553" s="37">
        <v>87614241951</v>
      </c>
      <c r="B553" s="8" t="s">
        <v>517</v>
      </c>
      <c r="C553" s="10" t="s">
        <v>3010</v>
      </c>
      <c r="D553" s="11" t="s">
        <v>905</v>
      </c>
      <c r="E553" s="11" t="s">
        <v>1046</v>
      </c>
      <c r="F553" s="9">
        <v>12</v>
      </c>
      <c r="G553" s="9">
        <v>60</v>
      </c>
      <c r="H553" s="9" t="s">
        <v>868</v>
      </c>
      <c r="I553" s="9">
        <v>24</v>
      </c>
      <c r="J553" s="9">
        <v>1</v>
      </c>
      <c r="K553" s="9" t="s">
        <v>887</v>
      </c>
      <c r="L553" s="27">
        <v>0.60495500000000002</v>
      </c>
      <c r="M553" s="28" t="s">
        <v>3203</v>
      </c>
      <c r="N553" s="17">
        <v>7.8902249999999992</v>
      </c>
      <c r="O553" s="1"/>
      <c r="P553" s="38">
        <f t="shared" si="49"/>
        <v>0</v>
      </c>
      <c r="S553" s="24" t="str">
        <f t="shared" si="52"/>
        <v>-</v>
      </c>
      <c r="T553" s="24" t="str">
        <f t="shared" si="50"/>
        <v>-</v>
      </c>
      <c r="U553" s="25" t="str">
        <f t="shared" si="53"/>
        <v>-</v>
      </c>
      <c r="V553" s="26" t="str">
        <f t="shared" si="54"/>
        <v>-</v>
      </c>
      <c r="X553" s="26" t="str">
        <f t="shared" si="51"/>
        <v>-</v>
      </c>
    </row>
    <row r="554" spans="1:24" x14ac:dyDescent="0.3">
      <c r="A554" s="37">
        <v>87614011028</v>
      </c>
      <c r="B554" s="8" t="s">
        <v>1296</v>
      </c>
      <c r="C554" s="10" t="s">
        <v>2943</v>
      </c>
      <c r="D554" s="11" t="s">
        <v>882</v>
      </c>
      <c r="E554" s="11" t="s">
        <v>920</v>
      </c>
      <c r="F554" s="9">
        <v>12</v>
      </c>
      <c r="G554" s="9">
        <v>24</v>
      </c>
      <c r="H554" s="9" t="s">
        <v>868</v>
      </c>
      <c r="I554" s="9">
        <v>36</v>
      </c>
      <c r="J554" s="9">
        <v>250</v>
      </c>
      <c r="K554" s="9" t="s">
        <v>2903</v>
      </c>
      <c r="L554" s="27">
        <v>0.27466999999999997</v>
      </c>
      <c r="M554" s="28" t="s">
        <v>3203</v>
      </c>
      <c r="N554" s="17">
        <v>8.2224449999999987</v>
      </c>
      <c r="O554" s="1"/>
      <c r="P554" s="38">
        <f t="shared" si="49"/>
        <v>0</v>
      </c>
      <c r="S554" s="24" t="str">
        <f t="shared" si="52"/>
        <v>-</v>
      </c>
      <c r="T554" s="24" t="str">
        <f t="shared" si="50"/>
        <v>-</v>
      </c>
      <c r="U554" s="25" t="str">
        <f t="shared" si="53"/>
        <v>-</v>
      </c>
      <c r="V554" s="26" t="str">
        <f t="shared" si="54"/>
        <v>-</v>
      </c>
      <c r="X554" s="26" t="str">
        <f t="shared" si="51"/>
        <v>-</v>
      </c>
    </row>
    <row r="555" spans="1:24" x14ac:dyDescent="0.3">
      <c r="A555" s="37">
        <v>87614119434</v>
      </c>
      <c r="B555" s="8" t="s">
        <v>1239</v>
      </c>
      <c r="C555" s="10" t="s">
        <v>2046</v>
      </c>
      <c r="D555" s="11" t="s">
        <v>893</v>
      </c>
      <c r="E555" s="11" t="s">
        <v>2848</v>
      </c>
      <c r="F555" s="9">
        <v>24</v>
      </c>
      <c r="G555" s="9">
        <v>96</v>
      </c>
      <c r="H555" s="9" t="s">
        <v>868</v>
      </c>
      <c r="I555" s="9">
        <v>24</v>
      </c>
      <c r="J555" s="9">
        <v>8</v>
      </c>
      <c r="K555" s="9" t="s">
        <v>900</v>
      </c>
      <c r="L555" s="27">
        <v>8.2854999999999998E-2</v>
      </c>
      <c r="M555" s="28" t="s">
        <v>3203</v>
      </c>
      <c r="N555" s="17">
        <v>8.7872189999999986</v>
      </c>
      <c r="O555" s="1"/>
      <c r="P555" s="38">
        <f t="shared" si="49"/>
        <v>0</v>
      </c>
      <c r="S555" s="24" t="str">
        <f t="shared" si="52"/>
        <v>-</v>
      </c>
      <c r="T555" s="24" t="str">
        <f t="shared" si="50"/>
        <v>-</v>
      </c>
      <c r="U555" s="25" t="str">
        <f t="shared" si="53"/>
        <v>-</v>
      </c>
      <c r="V555" s="26" t="str">
        <f t="shared" si="54"/>
        <v>-</v>
      </c>
      <c r="X555" s="26" t="str">
        <f t="shared" si="51"/>
        <v>-</v>
      </c>
    </row>
    <row r="556" spans="1:24" x14ac:dyDescent="0.3">
      <c r="A556" s="37">
        <v>87614021010</v>
      </c>
      <c r="B556" s="8" t="s">
        <v>1136</v>
      </c>
      <c r="C556" s="10" t="s">
        <v>1964</v>
      </c>
      <c r="D556" s="11" t="s">
        <v>874</v>
      </c>
      <c r="E556" s="11" t="s">
        <v>919</v>
      </c>
      <c r="F556" s="9">
        <v>30</v>
      </c>
      <c r="G556" s="9">
        <v>90</v>
      </c>
      <c r="H556" s="9" t="s">
        <v>868</v>
      </c>
      <c r="I556" s="9">
        <v>36</v>
      </c>
      <c r="J556" s="9">
        <v>60</v>
      </c>
      <c r="K556" s="9" t="s">
        <v>873</v>
      </c>
      <c r="L556" s="27">
        <v>7.9450000000000007E-2</v>
      </c>
      <c r="M556" s="28" t="s">
        <v>3203</v>
      </c>
      <c r="N556" s="17">
        <v>8.8868849999999995</v>
      </c>
      <c r="O556" s="1"/>
      <c r="P556" s="38">
        <f t="shared" si="49"/>
        <v>0</v>
      </c>
      <c r="S556" s="24" t="str">
        <f t="shared" si="52"/>
        <v>-</v>
      </c>
      <c r="T556" s="24" t="str">
        <f t="shared" si="50"/>
        <v>-</v>
      </c>
      <c r="U556" s="25" t="str">
        <f t="shared" si="53"/>
        <v>-</v>
      </c>
      <c r="V556" s="26" t="str">
        <f t="shared" si="54"/>
        <v>-</v>
      </c>
      <c r="X556" s="26" t="str">
        <f t="shared" si="51"/>
        <v>-</v>
      </c>
    </row>
    <row r="557" spans="1:24" x14ac:dyDescent="0.3">
      <c r="A557" s="37">
        <v>87614211084</v>
      </c>
      <c r="B557" s="8" t="s">
        <v>2932</v>
      </c>
      <c r="C557" s="10" t="s">
        <v>3029</v>
      </c>
      <c r="D557" s="11" t="s">
        <v>866</v>
      </c>
      <c r="E557" s="11" t="s">
        <v>1000</v>
      </c>
      <c r="F557" s="9">
        <v>30</v>
      </c>
      <c r="G557" s="9">
        <v>90</v>
      </c>
      <c r="H557" s="9" t="s">
        <v>868</v>
      </c>
      <c r="I557" s="9">
        <v>36</v>
      </c>
      <c r="J557" s="9">
        <v>60</v>
      </c>
      <c r="K557" s="9" t="s">
        <v>869</v>
      </c>
      <c r="L557" s="27">
        <v>0.14755000000000001</v>
      </c>
      <c r="M557" s="28" t="s">
        <v>3203</v>
      </c>
      <c r="N557" s="17">
        <v>8.9367179999999991</v>
      </c>
      <c r="O557" s="1"/>
      <c r="P557" s="38">
        <f t="shared" si="49"/>
        <v>0</v>
      </c>
      <c r="S557" s="24" t="str">
        <f t="shared" si="52"/>
        <v>-</v>
      </c>
      <c r="T557" s="24" t="str">
        <f t="shared" si="50"/>
        <v>-</v>
      </c>
      <c r="U557" s="25" t="str">
        <f t="shared" si="53"/>
        <v>-</v>
      </c>
      <c r="V557" s="26" t="str">
        <f t="shared" si="54"/>
        <v>-</v>
      </c>
      <c r="X557" s="26" t="str">
        <f t="shared" si="51"/>
        <v>-</v>
      </c>
    </row>
    <row r="558" spans="1:24" x14ac:dyDescent="0.3">
      <c r="A558" s="37">
        <v>87614028019</v>
      </c>
      <c r="B558" s="8" t="s">
        <v>1846</v>
      </c>
      <c r="C558" s="10" t="s">
        <v>2580</v>
      </c>
      <c r="D558" s="11" t="s">
        <v>874</v>
      </c>
      <c r="E558" s="11" t="s">
        <v>919</v>
      </c>
      <c r="F558" s="9">
        <v>30</v>
      </c>
      <c r="G558" s="9">
        <v>90</v>
      </c>
      <c r="H558" s="9" t="s">
        <v>868</v>
      </c>
      <c r="I558" s="9">
        <v>36</v>
      </c>
      <c r="J558" s="9">
        <v>60</v>
      </c>
      <c r="K558" s="9" t="s">
        <v>889</v>
      </c>
      <c r="L558" s="27">
        <v>8.058499999999999E-2</v>
      </c>
      <c r="M558" s="28" t="s">
        <v>3203</v>
      </c>
      <c r="N558" s="17">
        <v>9.0529949999999992</v>
      </c>
      <c r="O558" s="1"/>
      <c r="P558" s="38">
        <f t="shared" si="49"/>
        <v>0</v>
      </c>
      <c r="S558" s="24" t="str">
        <f t="shared" si="52"/>
        <v>-</v>
      </c>
      <c r="T558" s="24" t="str">
        <f t="shared" si="50"/>
        <v>-</v>
      </c>
      <c r="U558" s="25" t="str">
        <f t="shared" si="53"/>
        <v>-</v>
      </c>
      <c r="V558" s="26" t="str">
        <f t="shared" si="54"/>
        <v>-</v>
      </c>
      <c r="X558" s="26" t="str">
        <f t="shared" si="51"/>
        <v>-</v>
      </c>
    </row>
    <row r="559" spans="1:24" x14ac:dyDescent="0.3">
      <c r="A559" s="37">
        <v>87614114644</v>
      </c>
      <c r="B559" s="8" t="s">
        <v>1550</v>
      </c>
      <c r="C559" s="10" t="s">
        <v>2311</v>
      </c>
      <c r="D559" s="11" t="s">
        <v>894</v>
      </c>
      <c r="E559" s="11" t="s">
        <v>992</v>
      </c>
      <c r="F559" s="9">
        <v>12</v>
      </c>
      <c r="G559" s="9">
        <v>96</v>
      </c>
      <c r="H559" s="9" t="s">
        <v>892</v>
      </c>
      <c r="I559" s="9">
        <v>60</v>
      </c>
      <c r="J559" s="9">
        <v>1</v>
      </c>
      <c r="K559" s="9" t="s">
        <v>895</v>
      </c>
      <c r="L559" s="27">
        <v>0.103285</v>
      </c>
      <c r="M559" s="28" t="s">
        <v>3203</v>
      </c>
      <c r="N559" s="17">
        <v>9.0862169999999995</v>
      </c>
      <c r="O559" s="1"/>
      <c r="P559" s="38">
        <f t="shared" si="49"/>
        <v>0</v>
      </c>
      <c r="S559" s="24" t="str">
        <f t="shared" si="52"/>
        <v>-</v>
      </c>
      <c r="T559" s="24" t="str">
        <f t="shared" si="50"/>
        <v>-</v>
      </c>
      <c r="U559" s="25" t="str">
        <f t="shared" si="53"/>
        <v>-</v>
      </c>
      <c r="V559" s="26" t="str">
        <f t="shared" si="54"/>
        <v>-</v>
      </c>
      <c r="X559" s="26" t="str">
        <f t="shared" si="51"/>
        <v>-</v>
      </c>
    </row>
    <row r="560" spans="1:24" x14ac:dyDescent="0.3">
      <c r="A560" s="37">
        <v>87614117430</v>
      </c>
      <c r="B560" s="8" t="s">
        <v>273</v>
      </c>
      <c r="C560" s="10" t="s">
        <v>274</v>
      </c>
      <c r="D560" s="11" t="s">
        <v>879</v>
      </c>
      <c r="E560" s="11" t="s">
        <v>922</v>
      </c>
      <c r="F560" s="9">
        <v>20</v>
      </c>
      <c r="G560" s="9">
        <v>60</v>
      </c>
      <c r="H560" s="9" t="s">
        <v>868</v>
      </c>
      <c r="I560" s="9">
        <v>24</v>
      </c>
      <c r="J560" s="9">
        <v>90</v>
      </c>
      <c r="K560" s="9" t="s">
        <v>873</v>
      </c>
      <c r="L560" s="27">
        <v>0.12598500000000001</v>
      </c>
      <c r="M560" s="28" t="s">
        <v>3203</v>
      </c>
      <c r="N560" s="17">
        <v>9.1360499999999991</v>
      </c>
      <c r="O560" s="1"/>
      <c r="P560" s="38">
        <f t="shared" si="49"/>
        <v>0</v>
      </c>
      <c r="S560" s="24" t="str">
        <f t="shared" si="52"/>
        <v>-</v>
      </c>
      <c r="T560" s="24" t="str">
        <f t="shared" si="50"/>
        <v>-</v>
      </c>
      <c r="U560" s="25" t="str">
        <f t="shared" si="53"/>
        <v>-</v>
      </c>
      <c r="V560" s="26" t="str">
        <f t="shared" si="54"/>
        <v>-</v>
      </c>
      <c r="X560" s="26" t="str">
        <f t="shared" si="51"/>
        <v>-</v>
      </c>
    </row>
    <row r="561" spans="1:24" x14ac:dyDescent="0.3">
      <c r="A561" s="37">
        <v>87614119526</v>
      </c>
      <c r="B561" s="8" t="s">
        <v>2925</v>
      </c>
      <c r="C561" s="10" t="s">
        <v>2140</v>
      </c>
      <c r="D561" s="11" t="s">
        <v>881</v>
      </c>
      <c r="E561" s="11" t="s">
        <v>936</v>
      </c>
      <c r="F561" s="9">
        <v>12</v>
      </c>
      <c r="G561" s="9">
        <v>24</v>
      </c>
      <c r="H561" s="9" t="s">
        <v>868</v>
      </c>
      <c r="I561" s="9">
        <v>36</v>
      </c>
      <c r="J561" s="9">
        <v>180</v>
      </c>
      <c r="K561" s="9" t="s">
        <v>873</v>
      </c>
      <c r="L561" s="27">
        <v>0.20202999999999999</v>
      </c>
      <c r="M561" s="28" t="s">
        <v>3203</v>
      </c>
      <c r="N561" s="17">
        <v>9.3519930000000002</v>
      </c>
      <c r="O561" s="1"/>
      <c r="P561" s="38">
        <f t="shared" si="49"/>
        <v>0</v>
      </c>
      <c r="S561" s="24" t="str">
        <f t="shared" si="52"/>
        <v>-</v>
      </c>
      <c r="T561" s="24" t="str">
        <f t="shared" si="50"/>
        <v>-</v>
      </c>
      <c r="U561" s="25" t="str">
        <f t="shared" si="53"/>
        <v>-</v>
      </c>
      <c r="V561" s="26" t="str">
        <f t="shared" si="54"/>
        <v>-</v>
      </c>
      <c r="X561" s="26" t="str">
        <f t="shared" si="51"/>
        <v>-</v>
      </c>
    </row>
    <row r="562" spans="1:24" x14ac:dyDescent="0.3">
      <c r="A562" s="37">
        <v>87614111728</v>
      </c>
      <c r="B562" s="8" t="s">
        <v>1363</v>
      </c>
      <c r="C562" s="10" t="s">
        <v>2143</v>
      </c>
      <c r="D562" s="11" t="s">
        <v>874</v>
      </c>
      <c r="E562" s="11" t="s">
        <v>914</v>
      </c>
      <c r="F562" s="9">
        <v>12</v>
      </c>
      <c r="G562" s="9">
        <v>12</v>
      </c>
      <c r="H562" s="9" t="s">
        <v>868</v>
      </c>
      <c r="I562" s="9">
        <v>36</v>
      </c>
      <c r="J562" s="9">
        <v>1</v>
      </c>
      <c r="K562" s="9" t="s">
        <v>887</v>
      </c>
      <c r="L562" s="27">
        <v>0.107825</v>
      </c>
      <c r="M562" s="28" t="s">
        <v>3203</v>
      </c>
      <c r="N562" s="17">
        <v>9.4018259999999998</v>
      </c>
      <c r="O562" s="1"/>
      <c r="P562" s="38">
        <f t="shared" si="49"/>
        <v>0</v>
      </c>
      <c r="S562" s="24" t="str">
        <f t="shared" si="52"/>
        <v>-</v>
      </c>
      <c r="T562" s="24" t="str">
        <f t="shared" si="50"/>
        <v>-</v>
      </c>
      <c r="U562" s="25" t="str">
        <f t="shared" si="53"/>
        <v>-</v>
      </c>
      <c r="V562" s="26" t="str">
        <f t="shared" si="54"/>
        <v>-</v>
      </c>
      <c r="X562" s="26" t="str">
        <f t="shared" si="51"/>
        <v>-</v>
      </c>
    </row>
    <row r="563" spans="1:24" x14ac:dyDescent="0.3">
      <c r="A563" s="37">
        <v>87614010229</v>
      </c>
      <c r="B563" s="8" t="s">
        <v>1357</v>
      </c>
      <c r="C563" s="10" t="s">
        <v>2936</v>
      </c>
      <c r="D563" s="11" t="s">
        <v>874</v>
      </c>
      <c r="E563" s="11" t="s">
        <v>914</v>
      </c>
      <c r="F563" s="9">
        <v>16</v>
      </c>
      <c r="G563" s="9">
        <v>48</v>
      </c>
      <c r="H563" s="9" t="s">
        <v>868</v>
      </c>
      <c r="I563" s="9">
        <v>36</v>
      </c>
      <c r="J563" s="9">
        <v>250</v>
      </c>
      <c r="K563" s="9" t="s">
        <v>2903</v>
      </c>
      <c r="L563" s="27">
        <v>0.18273500000000001</v>
      </c>
      <c r="M563" s="28" t="s">
        <v>3203</v>
      </c>
      <c r="N563" s="17">
        <v>9.4350480000000001</v>
      </c>
      <c r="O563" s="1"/>
      <c r="P563" s="38">
        <f t="shared" si="49"/>
        <v>0</v>
      </c>
      <c r="S563" s="24" t="str">
        <f t="shared" si="52"/>
        <v>-</v>
      </c>
      <c r="T563" s="24" t="str">
        <f t="shared" si="50"/>
        <v>-</v>
      </c>
      <c r="U563" s="25" t="str">
        <f t="shared" si="53"/>
        <v>-</v>
      </c>
      <c r="V563" s="26" t="str">
        <f t="shared" si="54"/>
        <v>-</v>
      </c>
      <c r="X563" s="26" t="str">
        <f t="shared" si="51"/>
        <v>-</v>
      </c>
    </row>
    <row r="564" spans="1:24" x14ac:dyDescent="0.3">
      <c r="A564" s="37">
        <v>87614019246</v>
      </c>
      <c r="B564" s="8" t="s">
        <v>1626</v>
      </c>
      <c r="C564" s="10" t="s">
        <v>2388</v>
      </c>
      <c r="D564" s="11" t="s">
        <v>888</v>
      </c>
      <c r="E564" s="11" t="s">
        <v>964</v>
      </c>
      <c r="F564" s="9">
        <v>30</v>
      </c>
      <c r="G564" s="9">
        <v>150</v>
      </c>
      <c r="H564" s="9" t="s">
        <v>868</v>
      </c>
      <c r="I564" s="9">
        <v>24</v>
      </c>
      <c r="J564" s="9">
        <v>1</v>
      </c>
      <c r="K564" s="9" t="s">
        <v>880</v>
      </c>
      <c r="L564" s="27">
        <v>0.175925</v>
      </c>
      <c r="M564" s="28" t="s">
        <v>3203</v>
      </c>
      <c r="N564" s="17">
        <v>9.4516590000000011</v>
      </c>
      <c r="O564" s="1"/>
      <c r="P564" s="38">
        <f t="shared" si="49"/>
        <v>0</v>
      </c>
      <c r="S564" s="24" t="str">
        <f t="shared" si="52"/>
        <v>-</v>
      </c>
      <c r="T564" s="24" t="str">
        <f t="shared" si="50"/>
        <v>-</v>
      </c>
      <c r="U564" s="25" t="str">
        <f t="shared" si="53"/>
        <v>-</v>
      </c>
      <c r="V564" s="26" t="str">
        <f t="shared" si="54"/>
        <v>-</v>
      </c>
      <c r="X564" s="26" t="str">
        <f t="shared" si="51"/>
        <v>-</v>
      </c>
    </row>
    <row r="565" spans="1:24" x14ac:dyDescent="0.3">
      <c r="A565" s="37">
        <v>87614116129</v>
      </c>
      <c r="B565" s="8" t="s">
        <v>1397</v>
      </c>
      <c r="C565" s="10" t="s">
        <v>2177</v>
      </c>
      <c r="D565" s="11" t="s">
        <v>874</v>
      </c>
      <c r="E565" s="11" t="s">
        <v>2819</v>
      </c>
      <c r="F565" s="9">
        <v>30</v>
      </c>
      <c r="G565" s="9">
        <v>90</v>
      </c>
      <c r="H565" s="9" t="s">
        <v>868</v>
      </c>
      <c r="I565" s="9">
        <v>36</v>
      </c>
      <c r="J565" s="9">
        <v>60</v>
      </c>
      <c r="K565" s="9" t="s">
        <v>889</v>
      </c>
      <c r="L565" s="27">
        <v>6.1289999999999997E-2</v>
      </c>
      <c r="M565" s="28" t="s">
        <v>3203</v>
      </c>
      <c r="N565" s="17">
        <v>9.5845470000000006</v>
      </c>
      <c r="O565" s="1"/>
      <c r="P565" s="38">
        <f t="shared" si="49"/>
        <v>0</v>
      </c>
      <c r="S565" s="24" t="str">
        <f t="shared" si="52"/>
        <v>-</v>
      </c>
      <c r="T565" s="24" t="str">
        <f t="shared" si="50"/>
        <v>-</v>
      </c>
      <c r="U565" s="25" t="str">
        <f t="shared" si="53"/>
        <v>-</v>
      </c>
      <c r="V565" s="26" t="str">
        <f t="shared" si="54"/>
        <v>-</v>
      </c>
      <c r="X565" s="26" t="str">
        <f t="shared" si="51"/>
        <v>-</v>
      </c>
    </row>
    <row r="566" spans="1:24" x14ac:dyDescent="0.3">
      <c r="A566" s="37">
        <v>87614029566</v>
      </c>
      <c r="B566" s="8" t="s">
        <v>1872</v>
      </c>
      <c r="C566" s="10" t="s">
        <v>2603</v>
      </c>
      <c r="D566" s="11" t="s">
        <v>881</v>
      </c>
      <c r="E566" s="11" t="s">
        <v>939</v>
      </c>
      <c r="F566" s="9">
        <v>20</v>
      </c>
      <c r="G566" s="9">
        <v>20</v>
      </c>
      <c r="H566" s="9" t="s">
        <v>868</v>
      </c>
      <c r="I566" s="9">
        <v>36</v>
      </c>
      <c r="J566" s="9">
        <v>1</v>
      </c>
      <c r="K566" s="9" t="s">
        <v>880</v>
      </c>
      <c r="L566" s="27">
        <v>0.105555</v>
      </c>
      <c r="M566" s="28" t="s">
        <v>3203</v>
      </c>
      <c r="N566" s="17">
        <v>9.5845470000000006</v>
      </c>
      <c r="O566" s="1"/>
      <c r="P566" s="38">
        <f t="shared" si="49"/>
        <v>0</v>
      </c>
      <c r="S566" s="24" t="str">
        <f t="shared" si="52"/>
        <v>-</v>
      </c>
      <c r="T566" s="24" t="str">
        <f t="shared" si="50"/>
        <v>-</v>
      </c>
      <c r="U566" s="25" t="str">
        <f t="shared" si="53"/>
        <v>-</v>
      </c>
      <c r="V566" s="26" t="str">
        <f t="shared" si="54"/>
        <v>-</v>
      </c>
      <c r="X566" s="26" t="str">
        <f t="shared" si="51"/>
        <v>-</v>
      </c>
    </row>
    <row r="567" spans="1:24" x14ac:dyDescent="0.3">
      <c r="A567" s="37">
        <v>87614112275</v>
      </c>
      <c r="B567" s="8" t="s">
        <v>1518</v>
      </c>
      <c r="C567" s="10" t="s">
        <v>2279</v>
      </c>
      <c r="D567" s="11" t="s">
        <v>866</v>
      </c>
      <c r="E567" s="11" t="s">
        <v>2821</v>
      </c>
      <c r="F567" s="9">
        <v>30</v>
      </c>
      <c r="G567" s="9">
        <v>90</v>
      </c>
      <c r="H567" s="9" t="s">
        <v>868</v>
      </c>
      <c r="I567" s="9">
        <v>36</v>
      </c>
      <c r="J567" s="9">
        <v>60</v>
      </c>
      <c r="K567" s="9" t="s">
        <v>873</v>
      </c>
      <c r="L567" s="27">
        <v>6.4695000000000003E-2</v>
      </c>
      <c r="M567" s="28" t="s">
        <v>3203</v>
      </c>
      <c r="N567" s="17">
        <v>9.6343800000000002</v>
      </c>
      <c r="O567" s="1"/>
      <c r="P567" s="38">
        <f t="shared" si="49"/>
        <v>0</v>
      </c>
      <c r="S567" s="24" t="str">
        <f t="shared" si="52"/>
        <v>-</v>
      </c>
      <c r="T567" s="24" t="str">
        <f t="shared" si="50"/>
        <v>-</v>
      </c>
      <c r="U567" s="25" t="str">
        <f t="shared" si="53"/>
        <v>-</v>
      </c>
      <c r="V567" s="26" t="str">
        <f t="shared" si="54"/>
        <v>-</v>
      </c>
      <c r="X567" s="26" t="str">
        <f t="shared" si="51"/>
        <v>-</v>
      </c>
    </row>
    <row r="568" spans="1:24" x14ac:dyDescent="0.3">
      <c r="A568" s="37">
        <v>87614140315</v>
      </c>
      <c r="B568" s="8" t="s">
        <v>1335</v>
      </c>
      <c r="C568" s="10" t="s">
        <v>2117</v>
      </c>
      <c r="D568" s="11" t="s">
        <v>872</v>
      </c>
      <c r="E568" s="11" t="s">
        <v>981</v>
      </c>
      <c r="F568" s="9">
        <v>16</v>
      </c>
      <c r="G568" s="9">
        <v>48</v>
      </c>
      <c r="H568" s="9" t="s">
        <v>868</v>
      </c>
      <c r="I568" s="9">
        <v>24</v>
      </c>
      <c r="J568" s="9">
        <v>120</v>
      </c>
      <c r="K568" s="9" t="s">
        <v>873</v>
      </c>
      <c r="L568" s="27">
        <v>0.13619999999999999</v>
      </c>
      <c r="M568" s="28" t="s">
        <v>3203</v>
      </c>
      <c r="N568" s="17">
        <v>9.6842129999999997</v>
      </c>
      <c r="O568" s="1"/>
      <c r="P568" s="38">
        <f t="shared" si="49"/>
        <v>0</v>
      </c>
      <c r="S568" s="24" t="str">
        <f t="shared" si="52"/>
        <v>-</v>
      </c>
      <c r="T568" s="24" t="str">
        <f t="shared" si="50"/>
        <v>-</v>
      </c>
      <c r="U568" s="25" t="str">
        <f t="shared" si="53"/>
        <v>-</v>
      </c>
      <c r="V568" s="26" t="str">
        <f t="shared" si="54"/>
        <v>-</v>
      </c>
      <c r="X568" s="26" t="str">
        <f t="shared" si="51"/>
        <v>-</v>
      </c>
    </row>
    <row r="569" spans="1:24" x14ac:dyDescent="0.3">
      <c r="A569" s="37">
        <v>87614112251</v>
      </c>
      <c r="B569" s="8" t="s">
        <v>1210</v>
      </c>
      <c r="C569" s="10" t="s">
        <v>2025</v>
      </c>
      <c r="D569" s="11" t="s">
        <v>866</v>
      </c>
      <c r="E569" s="11" t="s">
        <v>2821</v>
      </c>
      <c r="F569" s="9">
        <v>30</v>
      </c>
      <c r="G569" s="9">
        <v>90</v>
      </c>
      <c r="H569" s="9" t="s">
        <v>868</v>
      </c>
      <c r="I569" s="9">
        <v>36</v>
      </c>
      <c r="J569" s="9">
        <v>60</v>
      </c>
      <c r="K569" s="9" t="s">
        <v>873</v>
      </c>
      <c r="L569" s="27">
        <v>6.583E-2</v>
      </c>
      <c r="M569" s="28" t="s">
        <v>3203</v>
      </c>
      <c r="N569" s="17">
        <v>9.8337120000000002</v>
      </c>
      <c r="O569" s="1"/>
      <c r="P569" s="38">
        <f t="shared" si="49"/>
        <v>0</v>
      </c>
      <c r="S569" s="24" t="str">
        <f t="shared" si="52"/>
        <v>-</v>
      </c>
      <c r="T569" s="24" t="str">
        <f t="shared" si="50"/>
        <v>-</v>
      </c>
      <c r="U569" s="25" t="str">
        <f t="shared" si="53"/>
        <v>-</v>
      </c>
      <c r="V569" s="26" t="str">
        <f t="shared" si="54"/>
        <v>-</v>
      </c>
      <c r="X569" s="26" t="str">
        <f t="shared" si="51"/>
        <v>-</v>
      </c>
    </row>
    <row r="570" spans="1:24" x14ac:dyDescent="0.3">
      <c r="A570" s="37">
        <v>87614111452</v>
      </c>
      <c r="B570" s="8" t="s">
        <v>90</v>
      </c>
      <c r="C570" s="10" t="s">
        <v>91</v>
      </c>
      <c r="D570" s="11" t="s">
        <v>866</v>
      </c>
      <c r="E570" s="11" t="s">
        <v>956</v>
      </c>
      <c r="F570" s="9">
        <v>20</v>
      </c>
      <c r="G570" s="9">
        <v>60</v>
      </c>
      <c r="H570" s="9" t="s">
        <v>868</v>
      </c>
      <c r="I570" s="9">
        <v>36</v>
      </c>
      <c r="J570" s="9">
        <v>90</v>
      </c>
      <c r="K570" s="9" t="s">
        <v>873</v>
      </c>
      <c r="L570" s="27">
        <v>0.12031</v>
      </c>
      <c r="M570" s="28" t="s">
        <v>3203</v>
      </c>
      <c r="N570" s="17">
        <v>9.9333779999999994</v>
      </c>
      <c r="O570" s="1"/>
      <c r="P570" s="38">
        <f t="shared" si="49"/>
        <v>0</v>
      </c>
      <c r="S570" s="24" t="str">
        <f t="shared" si="52"/>
        <v>-</v>
      </c>
      <c r="T570" s="24" t="str">
        <f t="shared" si="50"/>
        <v>-</v>
      </c>
      <c r="U570" s="25" t="str">
        <f t="shared" si="53"/>
        <v>-</v>
      </c>
      <c r="V570" s="26" t="str">
        <f t="shared" si="54"/>
        <v>-</v>
      </c>
      <c r="X570" s="26" t="str">
        <f t="shared" si="51"/>
        <v>-</v>
      </c>
    </row>
    <row r="571" spans="1:24" x14ac:dyDescent="0.3">
      <c r="A571" s="37">
        <v>87614022925</v>
      </c>
      <c r="B571" s="8" t="s">
        <v>707</v>
      </c>
      <c r="C571" s="10" t="s">
        <v>3032</v>
      </c>
      <c r="D571" s="11" t="s">
        <v>878</v>
      </c>
      <c r="E571" s="11" t="s">
        <v>1022</v>
      </c>
      <c r="F571" s="9">
        <v>12</v>
      </c>
      <c r="G571" s="9">
        <v>24</v>
      </c>
      <c r="H571" s="9" t="s">
        <v>868</v>
      </c>
      <c r="I571" s="9">
        <v>36</v>
      </c>
      <c r="J571" s="9">
        <v>180</v>
      </c>
      <c r="K571" s="9" t="s">
        <v>2903</v>
      </c>
      <c r="L571" s="27">
        <v>0.22359500000000002</v>
      </c>
      <c r="M571" s="28" t="s">
        <v>3203</v>
      </c>
      <c r="N571" s="17">
        <v>10.315430999999998</v>
      </c>
      <c r="O571" s="1"/>
      <c r="P571" s="38">
        <f t="shared" si="49"/>
        <v>0</v>
      </c>
      <c r="S571" s="24" t="str">
        <f t="shared" si="52"/>
        <v>-</v>
      </c>
      <c r="T571" s="24" t="str">
        <f t="shared" si="50"/>
        <v>-</v>
      </c>
      <c r="U571" s="25" t="str">
        <f t="shared" si="53"/>
        <v>-</v>
      </c>
      <c r="V571" s="26" t="str">
        <f t="shared" si="54"/>
        <v>-</v>
      </c>
      <c r="X571" s="26" t="str">
        <f t="shared" si="51"/>
        <v>-</v>
      </c>
    </row>
    <row r="572" spans="1:24" x14ac:dyDescent="0.3">
      <c r="A572" s="37">
        <v>87614170466</v>
      </c>
      <c r="B572" s="8" t="s">
        <v>1944</v>
      </c>
      <c r="C572" s="10" t="s">
        <v>2666</v>
      </c>
      <c r="D572" s="11" t="s">
        <v>874</v>
      </c>
      <c r="E572" s="11" t="s">
        <v>2819</v>
      </c>
      <c r="F572" s="9">
        <v>20</v>
      </c>
      <c r="G572" s="9">
        <v>60</v>
      </c>
      <c r="H572" s="9" t="s">
        <v>868</v>
      </c>
      <c r="I572" s="9">
        <v>36</v>
      </c>
      <c r="J572" s="9">
        <v>60</v>
      </c>
      <c r="K572" s="9" t="s">
        <v>869</v>
      </c>
      <c r="L572" s="27">
        <v>0.141875</v>
      </c>
      <c r="M572" s="28" t="s">
        <v>3203</v>
      </c>
      <c r="N572" s="17">
        <v>10.332042</v>
      </c>
      <c r="O572" s="1"/>
      <c r="P572" s="38">
        <f t="shared" si="49"/>
        <v>0</v>
      </c>
      <c r="S572" s="24" t="str">
        <f t="shared" si="52"/>
        <v>-</v>
      </c>
      <c r="T572" s="24" t="str">
        <f t="shared" si="50"/>
        <v>-</v>
      </c>
      <c r="U572" s="25" t="str">
        <f t="shared" si="53"/>
        <v>-</v>
      </c>
      <c r="V572" s="26" t="str">
        <f t="shared" si="54"/>
        <v>-</v>
      </c>
      <c r="X572" s="26" t="str">
        <f t="shared" si="51"/>
        <v>-</v>
      </c>
    </row>
    <row r="573" spans="1:24" x14ac:dyDescent="0.3">
      <c r="A573" s="37">
        <v>87614141541</v>
      </c>
      <c r="B573" s="8" t="s">
        <v>1187</v>
      </c>
      <c r="C573" s="10" t="s">
        <v>2005</v>
      </c>
      <c r="D573" s="11" t="s">
        <v>879</v>
      </c>
      <c r="E573" s="11" t="s">
        <v>978</v>
      </c>
      <c r="F573" s="9">
        <v>16</v>
      </c>
      <c r="G573" s="9">
        <v>48</v>
      </c>
      <c r="H573" s="9" t="s">
        <v>868</v>
      </c>
      <c r="I573" s="9">
        <v>36</v>
      </c>
      <c r="J573" s="9">
        <v>180</v>
      </c>
      <c r="K573" s="9" t="s">
        <v>896</v>
      </c>
      <c r="L573" s="27">
        <v>0.207705</v>
      </c>
      <c r="M573" s="28" t="s">
        <v>3203</v>
      </c>
      <c r="N573" s="17">
        <v>10.531374</v>
      </c>
      <c r="O573" s="1"/>
      <c r="P573" s="38">
        <f t="shared" si="49"/>
        <v>0</v>
      </c>
      <c r="S573" s="24" t="str">
        <f t="shared" si="52"/>
        <v>-</v>
      </c>
      <c r="T573" s="24" t="str">
        <f t="shared" si="50"/>
        <v>-</v>
      </c>
      <c r="U573" s="25" t="str">
        <f t="shared" si="53"/>
        <v>-</v>
      </c>
      <c r="V573" s="26" t="str">
        <f t="shared" si="54"/>
        <v>-</v>
      </c>
      <c r="X573" s="26" t="str">
        <f t="shared" si="51"/>
        <v>-</v>
      </c>
    </row>
    <row r="574" spans="1:24" x14ac:dyDescent="0.3">
      <c r="A574" s="37">
        <v>87614111599</v>
      </c>
      <c r="B574" s="8" t="s">
        <v>1511</v>
      </c>
      <c r="C574" s="10" t="s">
        <v>2272</v>
      </c>
      <c r="D574" s="11" t="s">
        <v>870</v>
      </c>
      <c r="E574" s="11" t="s">
        <v>2818</v>
      </c>
      <c r="F574" s="9">
        <v>16</v>
      </c>
      <c r="G574" s="9">
        <v>48</v>
      </c>
      <c r="H574" s="9" t="s">
        <v>868</v>
      </c>
      <c r="I574" s="9">
        <v>36</v>
      </c>
      <c r="J574" s="9">
        <v>120</v>
      </c>
      <c r="K574" s="9" t="s">
        <v>873</v>
      </c>
      <c r="L574" s="27">
        <v>0.18841000000000002</v>
      </c>
      <c r="M574" s="28" t="s">
        <v>3203</v>
      </c>
      <c r="N574" s="17">
        <v>10.63104</v>
      </c>
      <c r="O574" s="1"/>
      <c r="P574" s="38">
        <f t="shared" si="49"/>
        <v>0</v>
      </c>
      <c r="S574" s="24" t="str">
        <f t="shared" si="52"/>
        <v>-</v>
      </c>
      <c r="T574" s="24" t="str">
        <f t="shared" si="50"/>
        <v>-</v>
      </c>
      <c r="U574" s="25" t="str">
        <f t="shared" si="53"/>
        <v>-</v>
      </c>
      <c r="V574" s="26" t="str">
        <f t="shared" si="54"/>
        <v>-</v>
      </c>
      <c r="X574" s="26" t="str">
        <f t="shared" si="51"/>
        <v>-</v>
      </c>
    </row>
    <row r="575" spans="1:24" x14ac:dyDescent="0.3">
      <c r="A575" s="37">
        <v>87614115733</v>
      </c>
      <c r="B575" s="8" t="s">
        <v>1891</v>
      </c>
      <c r="C575" s="10" t="s">
        <v>2615</v>
      </c>
      <c r="D575" s="11" t="s">
        <v>881</v>
      </c>
      <c r="E575" s="11" t="s">
        <v>939</v>
      </c>
      <c r="F575" s="9">
        <v>12</v>
      </c>
      <c r="G575" s="9">
        <v>48</v>
      </c>
      <c r="H575" s="9" t="s">
        <v>868</v>
      </c>
      <c r="I575" s="9">
        <v>24</v>
      </c>
      <c r="J575" s="9">
        <v>1</v>
      </c>
      <c r="K575" s="9" t="s">
        <v>880</v>
      </c>
      <c r="L575" s="27">
        <v>0.17138500000000001</v>
      </c>
      <c r="M575" s="28" t="s">
        <v>3203</v>
      </c>
      <c r="N575" s="17">
        <v>10.79715</v>
      </c>
      <c r="O575" s="1"/>
      <c r="P575" s="38">
        <f t="shared" si="49"/>
        <v>0</v>
      </c>
      <c r="S575" s="24" t="str">
        <f t="shared" si="52"/>
        <v>-</v>
      </c>
      <c r="T575" s="24" t="str">
        <f t="shared" si="50"/>
        <v>-</v>
      </c>
      <c r="U575" s="25" t="str">
        <f t="shared" si="53"/>
        <v>-</v>
      </c>
      <c r="V575" s="26" t="str">
        <f t="shared" si="54"/>
        <v>-</v>
      </c>
      <c r="X575" s="26" t="str">
        <f t="shared" si="51"/>
        <v>-</v>
      </c>
    </row>
    <row r="576" spans="1:24" x14ac:dyDescent="0.3">
      <c r="A576" s="37">
        <v>87614011967</v>
      </c>
      <c r="B576" s="8" t="s">
        <v>1260</v>
      </c>
      <c r="C576" s="10" t="s">
        <v>2059</v>
      </c>
      <c r="D576" s="11" t="s">
        <v>881</v>
      </c>
      <c r="E576" s="11" t="s">
        <v>939</v>
      </c>
      <c r="F576" s="9">
        <v>15</v>
      </c>
      <c r="G576" s="9">
        <v>30</v>
      </c>
      <c r="H576" s="9" t="s">
        <v>868</v>
      </c>
      <c r="I576" s="9">
        <v>36</v>
      </c>
      <c r="J576" s="9">
        <v>250</v>
      </c>
      <c r="K576" s="9" t="s">
        <v>873</v>
      </c>
      <c r="L576" s="27">
        <v>0.19408500000000001</v>
      </c>
      <c r="M576" s="28" t="s">
        <v>3203</v>
      </c>
      <c r="N576" s="17">
        <v>10.863593999999999</v>
      </c>
      <c r="O576" s="1"/>
      <c r="P576" s="38">
        <f t="shared" si="49"/>
        <v>0</v>
      </c>
      <c r="S576" s="24" t="str">
        <f t="shared" si="52"/>
        <v>-</v>
      </c>
      <c r="T576" s="24" t="str">
        <f t="shared" si="50"/>
        <v>-</v>
      </c>
      <c r="U576" s="25" t="str">
        <f t="shared" si="53"/>
        <v>-</v>
      </c>
      <c r="V576" s="26" t="str">
        <f t="shared" si="54"/>
        <v>-</v>
      </c>
      <c r="X576" s="26" t="str">
        <f t="shared" si="51"/>
        <v>-</v>
      </c>
    </row>
    <row r="577" spans="1:24" x14ac:dyDescent="0.3">
      <c r="A577" s="37">
        <v>87614111988</v>
      </c>
      <c r="B577" s="8" t="s">
        <v>1364</v>
      </c>
      <c r="C577" s="10" t="s">
        <v>2144</v>
      </c>
      <c r="D577" s="11" t="s">
        <v>884</v>
      </c>
      <c r="E577" s="11" t="s">
        <v>940</v>
      </c>
      <c r="F577" s="9">
        <v>16</v>
      </c>
      <c r="G577" s="9">
        <v>48</v>
      </c>
      <c r="H577" s="9" t="s">
        <v>868</v>
      </c>
      <c r="I577" s="9">
        <v>36</v>
      </c>
      <c r="J577" s="9">
        <v>120</v>
      </c>
      <c r="K577" s="9" t="s">
        <v>873</v>
      </c>
      <c r="L577" s="27">
        <v>0.16116999999999998</v>
      </c>
      <c r="M577" s="28" t="s">
        <v>3203</v>
      </c>
      <c r="N577" s="17">
        <v>10.863593999999999</v>
      </c>
      <c r="O577" s="1"/>
      <c r="P577" s="38">
        <f t="shared" si="49"/>
        <v>0</v>
      </c>
      <c r="S577" s="24" t="str">
        <f t="shared" si="52"/>
        <v>-</v>
      </c>
      <c r="T577" s="24" t="str">
        <f t="shared" si="50"/>
        <v>-</v>
      </c>
      <c r="U577" s="25" t="str">
        <f t="shared" si="53"/>
        <v>-</v>
      </c>
      <c r="V577" s="26" t="str">
        <f t="shared" si="54"/>
        <v>-</v>
      </c>
      <c r="X577" s="26" t="str">
        <f t="shared" si="51"/>
        <v>-</v>
      </c>
    </row>
    <row r="578" spans="1:24" x14ac:dyDescent="0.3">
      <c r="A578" s="37">
        <v>87614113135</v>
      </c>
      <c r="B578" s="8" t="s">
        <v>1534</v>
      </c>
      <c r="C578" s="10" t="s">
        <v>2295</v>
      </c>
      <c r="D578" s="11" t="s">
        <v>866</v>
      </c>
      <c r="E578" s="11" t="s">
        <v>2821</v>
      </c>
      <c r="F578" s="9">
        <v>30</v>
      </c>
      <c r="G578" s="9">
        <v>90</v>
      </c>
      <c r="H578" s="9" t="s">
        <v>868</v>
      </c>
      <c r="I578" s="9">
        <v>36</v>
      </c>
      <c r="J578" s="9">
        <v>60</v>
      </c>
      <c r="K578" s="9" t="s">
        <v>873</v>
      </c>
      <c r="L578" s="27">
        <v>6.3560000000000005E-2</v>
      </c>
      <c r="M578" s="28" t="s">
        <v>3203</v>
      </c>
      <c r="N578" s="17">
        <v>10.913427</v>
      </c>
      <c r="O578" s="1"/>
      <c r="P578" s="38">
        <f t="shared" si="49"/>
        <v>0</v>
      </c>
      <c r="S578" s="24" t="str">
        <f t="shared" si="52"/>
        <v>-</v>
      </c>
      <c r="T578" s="24" t="str">
        <f t="shared" si="50"/>
        <v>-</v>
      </c>
      <c r="U578" s="25" t="str">
        <f t="shared" si="53"/>
        <v>-</v>
      </c>
      <c r="V578" s="26" t="str">
        <f t="shared" si="54"/>
        <v>-</v>
      </c>
      <c r="X578" s="26" t="str">
        <f t="shared" si="51"/>
        <v>-</v>
      </c>
    </row>
    <row r="579" spans="1:24" x14ac:dyDescent="0.3">
      <c r="A579" s="37">
        <v>87614119502</v>
      </c>
      <c r="B579" s="8" t="s">
        <v>2924</v>
      </c>
      <c r="C579" s="10" t="s">
        <v>2978</v>
      </c>
      <c r="D579" s="11" t="s">
        <v>866</v>
      </c>
      <c r="E579" s="11" t="s">
        <v>1000</v>
      </c>
      <c r="F579" s="9">
        <v>30</v>
      </c>
      <c r="G579" s="9">
        <v>90</v>
      </c>
      <c r="H579" s="9" t="s">
        <v>868</v>
      </c>
      <c r="I579" s="9">
        <v>24</v>
      </c>
      <c r="J579" s="9">
        <v>90</v>
      </c>
      <c r="K579" s="9" t="s">
        <v>877</v>
      </c>
      <c r="L579" s="27">
        <v>0.15209</v>
      </c>
      <c r="M579" s="28" t="s">
        <v>3203</v>
      </c>
      <c r="N579" s="17">
        <v>10.930038</v>
      </c>
      <c r="O579" s="1"/>
      <c r="P579" s="38">
        <f t="shared" ref="P579:P642" si="55">O579*N579</f>
        <v>0</v>
      </c>
      <c r="S579" s="24" t="str">
        <f t="shared" si="52"/>
        <v>-</v>
      </c>
      <c r="T579" s="24" t="str">
        <f t="shared" ref="T579:T642" si="56">IF(O579&gt;0,N579+L579*O579/$U$2*$V$2/O579,"-")</f>
        <v>-</v>
      </c>
      <c r="U579" s="25" t="str">
        <f t="shared" si="53"/>
        <v>-</v>
      </c>
      <c r="V579" s="26" t="str">
        <f t="shared" si="54"/>
        <v>-</v>
      </c>
      <c r="X579" s="26" t="str">
        <f t="shared" ref="X579:X642" si="57">IFERROR(IF(V579+P579=0, "-", IF(V579&gt;0, V579+P579, "-")), "-")</f>
        <v>-</v>
      </c>
    </row>
    <row r="580" spans="1:24" x14ac:dyDescent="0.3">
      <c r="A580" s="37">
        <v>87614140193</v>
      </c>
      <c r="B580" s="8" t="s">
        <v>1706</v>
      </c>
      <c r="C580" s="10" t="s">
        <v>2454</v>
      </c>
      <c r="D580" s="11" t="s">
        <v>882</v>
      </c>
      <c r="E580" s="11" t="s">
        <v>976</v>
      </c>
      <c r="F580" s="9">
        <v>30</v>
      </c>
      <c r="G580" s="9">
        <v>90</v>
      </c>
      <c r="H580" s="9" t="s">
        <v>868</v>
      </c>
      <c r="I580" s="9">
        <v>36</v>
      </c>
      <c r="J580" s="9">
        <v>60</v>
      </c>
      <c r="K580" s="9" t="s">
        <v>873</v>
      </c>
      <c r="L580" s="27">
        <v>5.6750000000000002E-2</v>
      </c>
      <c r="M580" s="28" t="s">
        <v>3203</v>
      </c>
      <c r="N580" s="17">
        <v>11.179202999999999</v>
      </c>
      <c r="O580" s="1"/>
      <c r="P580" s="38">
        <f t="shared" si="55"/>
        <v>0</v>
      </c>
      <c r="S580" s="24" t="str">
        <f t="shared" ref="S580:S643" si="58">IFERROR(IF(S$2*L580=0, "-", $S$2*L580), "-")</f>
        <v>-</v>
      </c>
      <c r="T580" s="24" t="str">
        <f t="shared" si="56"/>
        <v>-</v>
      </c>
      <c r="U580" s="25" t="str">
        <f t="shared" ref="U580:U643" si="59">IF(O580&gt;0,O580*L580, "-")</f>
        <v>-</v>
      </c>
      <c r="V580" s="26" t="str">
        <f t="shared" ref="V580:V643" si="60">IFERROR(IF($S$2&gt;0, $S$2*U580, "-"), "-")</f>
        <v>-</v>
      </c>
      <c r="X580" s="26" t="str">
        <f t="shared" si="57"/>
        <v>-</v>
      </c>
    </row>
    <row r="581" spans="1:24" x14ac:dyDescent="0.3">
      <c r="A581" s="37">
        <v>87614022581</v>
      </c>
      <c r="B581" s="8" t="s">
        <v>697</v>
      </c>
      <c r="C581" s="10" t="s">
        <v>698</v>
      </c>
      <c r="D581" s="11" t="s">
        <v>874</v>
      </c>
      <c r="E581" s="11" t="s">
        <v>925</v>
      </c>
      <c r="F581" s="9">
        <v>30</v>
      </c>
      <c r="G581" s="9">
        <v>90</v>
      </c>
      <c r="H581" s="9" t="s">
        <v>868</v>
      </c>
      <c r="I581" s="9">
        <v>24</v>
      </c>
      <c r="J581" s="9">
        <v>90</v>
      </c>
      <c r="K581" s="9" t="s">
        <v>889</v>
      </c>
      <c r="L581" s="27">
        <v>6.6964999999999997E-2</v>
      </c>
      <c r="M581" s="28" t="s">
        <v>3203</v>
      </c>
      <c r="N581" s="17">
        <v>11.29548</v>
      </c>
      <c r="O581" s="1"/>
      <c r="P581" s="38">
        <f t="shared" si="55"/>
        <v>0</v>
      </c>
      <c r="S581" s="24" t="str">
        <f t="shared" si="58"/>
        <v>-</v>
      </c>
      <c r="T581" s="24" t="str">
        <f t="shared" si="56"/>
        <v>-</v>
      </c>
      <c r="U581" s="25" t="str">
        <f t="shared" si="59"/>
        <v>-</v>
      </c>
      <c r="V581" s="26" t="str">
        <f t="shared" si="60"/>
        <v>-</v>
      </c>
      <c r="X581" s="26" t="str">
        <f t="shared" si="57"/>
        <v>-</v>
      </c>
    </row>
    <row r="582" spans="1:24" x14ac:dyDescent="0.3">
      <c r="A582" s="37">
        <v>87614142654</v>
      </c>
      <c r="B582" s="8" t="s">
        <v>590</v>
      </c>
      <c r="C582" s="10" t="s">
        <v>591</v>
      </c>
      <c r="D582" s="11" t="s">
        <v>874</v>
      </c>
      <c r="E582" s="11" t="s">
        <v>914</v>
      </c>
      <c r="F582" s="9">
        <v>30</v>
      </c>
      <c r="G582" s="9">
        <v>90</v>
      </c>
      <c r="H582" s="9" t="s">
        <v>868</v>
      </c>
      <c r="I582" s="9">
        <v>18</v>
      </c>
      <c r="J582" s="9">
        <v>60</v>
      </c>
      <c r="K582" s="9" t="s">
        <v>873</v>
      </c>
      <c r="L582" s="27">
        <v>6.4695000000000003E-2</v>
      </c>
      <c r="M582" s="28" t="s">
        <v>3203</v>
      </c>
      <c r="N582" s="17">
        <v>11.378534999999999</v>
      </c>
      <c r="O582" s="1"/>
      <c r="P582" s="38">
        <f t="shared" si="55"/>
        <v>0</v>
      </c>
      <c r="S582" s="24" t="str">
        <f t="shared" si="58"/>
        <v>-</v>
      </c>
      <c r="T582" s="24" t="str">
        <f t="shared" si="56"/>
        <v>-</v>
      </c>
      <c r="U582" s="25" t="str">
        <f t="shared" si="59"/>
        <v>-</v>
      </c>
      <c r="V582" s="26" t="str">
        <f t="shared" si="60"/>
        <v>-</v>
      </c>
      <c r="X582" s="26" t="str">
        <f t="shared" si="57"/>
        <v>-</v>
      </c>
    </row>
    <row r="583" spans="1:24" x14ac:dyDescent="0.3">
      <c r="A583" s="37">
        <v>87614026855</v>
      </c>
      <c r="B583" s="8" t="s">
        <v>1484</v>
      </c>
      <c r="C583" s="10" t="s">
        <v>2252</v>
      </c>
      <c r="D583" s="11" t="s">
        <v>866</v>
      </c>
      <c r="E583" s="11" t="s">
        <v>963</v>
      </c>
      <c r="F583" s="9">
        <v>16</v>
      </c>
      <c r="G583" s="9">
        <v>48</v>
      </c>
      <c r="H583" s="9" t="s">
        <v>868</v>
      </c>
      <c r="I583" s="9">
        <v>24</v>
      </c>
      <c r="J583" s="9">
        <v>120</v>
      </c>
      <c r="K583" s="9" t="s">
        <v>873</v>
      </c>
      <c r="L583" s="27">
        <v>0.18160000000000001</v>
      </c>
      <c r="M583" s="28" t="s">
        <v>3203</v>
      </c>
      <c r="N583" s="17">
        <v>11.461589999999999</v>
      </c>
      <c r="O583" s="1"/>
      <c r="P583" s="38">
        <f t="shared" si="55"/>
        <v>0</v>
      </c>
      <c r="S583" s="24" t="str">
        <f t="shared" si="58"/>
        <v>-</v>
      </c>
      <c r="T583" s="24" t="str">
        <f t="shared" si="56"/>
        <v>-</v>
      </c>
      <c r="U583" s="25" t="str">
        <f t="shared" si="59"/>
        <v>-</v>
      </c>
      <c r="V583" s="26" t="str">
        <f t="shared" si="60"/>
        <v>-</v>
      </c>
      <c r="X583" s="26" t="str">
        <f t="shared" si="57"/>
        <v>-</v>
      </c>
    </row>
    <row r="584" spans="1:24" x14ac:dyDescent="0.3">
      <c r="A584" s="37">
        <v>87614170893</v>
      </c>
      <c r="B584" s="8" t="s">
        <v>1664</v>
      </c>
      <c r="C584" s="10" t="s">
        <v>2421</v>
      </c>
      <c r="D584" s="11" t="s">
        <v>874</v>
      </c>
      <c r="E584" s="11" t="s">
        <v>1118</v>
      </c>
      <c r="F584" s="9">
        <v>30</v>
      </c>
      <c r="G584" s="9">
        <v>90</v>
      </c>
      <c r="H584" s="9" t="s">
        <v>868</v>
      </c>
      <c r="I584" s="9">
        <v>36</v>
      </c>
      <c r="J584" s="9">
        <v>30</v>
      </c>
      <c r="K584" s="9" t="s">
        <v>869</v>
      </c>
      <c r="L584" s="27">
        <v>7.2639999999999996E-2</v>
      </c>
      <c r="M584" s="28" t="s">
        <v>3203</v>
      </c>
      <c r="N584" s="17">
        <v>11.644310999999998</v>
      </c>
      <c r="O584" s="1"/>
      <c r="P584" s="38">
        <f t="shared" si="55"/>
        <v>0</v>
      </c>
      <c r="S584" s="24" t="str">
        <f t="shared" si="58"/>
        <v>-</v>
      </c>
      <c r="T584" s="24" t="str">
        <f t="shared" si="56"/>
        <v>-</v>
      </c>
      <c r="U584" s="25" t="str">
        <f t="shared" si="59"/>
        <v>-</v>
      </c>
      <c r="V584" s="26" t="str">
        <f t="shared" si="60"/>
        <v>-</v>
      </c>
      <c r="X584" s="26" t="str">
        <f t="shared" si="57"/>
        <v>-</v>
      </c>
    </row>
    <row r="585" spans="1:24" x14ac:dyDescent="0.3">
      <c r="A585" s="37">
        <v>87614117911</v>
      </c>
      <c r="B585" s="8" t="s">
        <v>1601</v>
      </c>
      <c r="C585" s="10" t="s">
        <v>2362</v>
      </c>
      <c r="D585" s="11" t="s">
        <v>882</v>
      </c>
      <c r="E585" s="11" t="s">
        <v>948</v>
      </c>
      <c r="F585" s="9">
        <v>15</v>
      </c>
      <c r="G585" s="9">
        <v>30</v>
      </c>
      <c r="H585" s="9" t="s">
        <v>868</v>
      </c>
      <c r="I585" s="9">
        <v>24</v>
      </c>
      <c r="J585" s="9">
        <v>200</v>
      </c>
      <c r="K585" s="9" t="s">
        <v>904</v>
      </c>
      <c r="L585" s="27">
        <v>0.31893500000000002</v>
      </c>
      <c r="M585" s="28" t="s">
        <v>3203</v>
      </c>
      <c r="N585" s="17">
        <v>11.660921999999999</v>
      </c>
      <c r="O585" s="1"/>
      <c r="P585" s="38">
        <f t="shared" si="55"/>
        <v>0</v>
      </c>
      <c r="S585" s="24" t="str">
        <f t="shared" si="58"/>
        <v>-</v>
      </c>
      <c r="T585" s="24" t="str">
        <f t="shared" si="56"/>
        <v>-</v>
      </c>
      <c r="U585" s="25" t="str">
        <f t="shared" si="59"/>
        <v>-</v>
      </c>
      <c r="V585" s="26" t="str">
        <f t="shared" si="60"/>
        <v>-</v>
      </c>
      <c r="X585" s="26" t="str">
        <f t="shared" si="57"/>
        <v>-</v>
      </c>
    </row>
    <row r="586" spans="1:24" x14ac:dyDescent="0.3">
      <c r="A586" s="37">
        <v>87614113210</v>
      </c>
      <c r="B586" s="8" t="s">
        <v>1536</v>
      </c>
      <c r="C586" s="10" t="s">
        <v>2297</v>
      </c>
      <c r="D586" s="11" t="s">
        <v>866</v>
      </c>
      <c r="E586" s="11" t="s">
        <v>2821</v>
      </c>
      <c r="F586" s="9">
        <v>30</v>
      </c>
      <c r="G586" s="9">
        <v>90</v>
      </c>
      <c r="H586" s="9" t="s">
        <v>868</v>
      </c>
      <c r="I586" s="9">
        <v>36</v>
      </c>
      <c r="J586" s="9">
        <v>60</v>
      </c>
      <c r="K586" s="9" t="s">
        <v>873</v>
      </c>
      <c r="L586" s="27">
        <v>6.583E-2</v>
      </c>
      <c r="M586" s="28" t="s">
        <v>3203</v>
      </c>
      <c r="N586" s="17">
        <v>11.959919999999999</v>
      </c>
      <c r="O586" s="1"/>
      <c r="P586" s="38">
        <f t="shared" si="55"/>
        <v>0</v>
      </c>
      <c r="S586" s="24" t="str">
        <f t="shared" si="58"/>
        <v>-</v>
      </c>
      <c r="T586" s="24" t="str">
        <f t="shared" si="56"/>
        <v>-</v>
      </c>
      <c r="U586" s="25" t="str">
        <f t="shared" si="59"/>
        <v>-</v>
      </c>
      <c r="V586" s="26" t="str">
        <f t="shared" si="60"/>
        <v>-</v>
      </c>
      <c r="X586" s="26" t="str">
        <f t="shared" si="57"/>
        <v>-</v>
      </c>
    </row>
    <row r="587" spans="1:24" x14ac:dyDescent="0.3">
      <c r="A587" s="37">
        <v>87614024189</v>
      </c>
      <c r="B587" s="8" t="s">
        <v>735</v>
      </c>
      <c r="C587" s="10" t="s">
        <v>736</v>
      </c>
      <c r="D587" s="11" t="s">
        <v>882</v>
      </c>
      <c r="E587" s="11" t="s">
        <v>958</v>
      </c>
      <c r="F587" s="9">
        <v>30</v>
      </c>
      <c r="G587" s="9">
        <v>90</v>
      </c>
      <c r="H587" s="9" t="s">
        <v>868</v>
      </c>
      <c r="I587" s="9">
        <v>24</v>
      </c>
      <c r="J587" s="9">
        <v>60</v>
      </c>
      <c r="K587" s="9" t="s">
        <v>873</v>
      </c>
      <c r="L587" s="27">
        <v>9.307E-2</v>
      </c>
      <c r="M587" s="28" t="s">
        <v>3203</v>
      </c>
      <c r="N587" s="17">
        <v>12.042975</v>
      </c>
      <c r="O587" s="1"/>
      <c r="P587" s="38">
        <f t="shared" si="55"/>
        <v>0</v>
      </c>
      <c r="S587" s="24" t="str">
        <f t="shared" si="58"/>
        <v>-</v>
      </c>
      <c r="T587" s="24" t="str">
        <f t="shared" si="56"/>
        <v>-</v>
      </c>
      <c r="U587" s="25" t="str">
        <f t="shared" si="59"/>
        <v>-</v>
      </c>
      <c r="V587" s="26" t="str">
        <f t="shared" si="60"/>
        <v>-</v>
      </c>
      <c r="X587" s="26" t="str">
        <f t="shared" si="57"/>
        <v>-</v>
      </c>
    </row>
    <row r="588" spans="1:24" x14ac:dyDescent="0.3">
      <c r="A588" s="37">
        <v>87614115771</v>
      </c>
      <c r="B588" s="8" t="s">
        <v>1569</v>
      </c>
      <c r="C588" s="10" t="s">
        <v>2330</v>
      </c>
      <c r="D588" s="11" t="s">
        <v>866</v>
      </c>
      <c r="E588" s="11" t="s">
        <v>2821</v>
      </c>
      <c r="F588" s="9">
        <v>30</v>
      </c>
      <c r="G588" s="9">
        <v>90</v>
      </c>
      <c r="H588" s="9" t="s">
        <v>868</v>
      </c>
      <c r="I588" s="9">
        <v>36</v>
      </c>
      <c r="J588" s="9">
        <v>60</v>
      </c>
      <c r="K588" s="9" t="s">
        <v>873</v>
      </c>
      <c r="L588" s="27">
        <v>7.831500000000001E-2</v>
      </c>
      <c r="M588" s="28" t="s">
        <v>3203</v>
      </c>
      <c r="N588" s="17">
        <v>12.258918</v>
      </c>
      <c r="O588" s="1"/>
      <c r="P588" s="38">
        <f t="shared" si="55"/>
        <v>0</v>
      </c>
      <c r="S588" s="24" t="str">
        <f t="shared" si="58"/>
        <v>-</v>
      </c>
      <c r="T588" s="24" t="str">
        <f t="shared" si="56"/>
        <v>-</v>
      </c>
      <c r="U588" s="25" t="str">
        <f t="shared" si="59"/>
        <v>-</v>
      </c>
      <c r="V588" s="26" t="str">
        <f t="shared" si="60"/>
        <v>-</v>
      </c>
      <c r="X588" s="26" t="str">
        <f t="shared" si="57"/>
        <v>-</v>
      </c>
    </row>
    <row r="589" spans="1:24" x14ac:dyDescent="0.3">
      <c r="A589" s="37">
        <v>87614119588</v>
      </c>
      <c r="B589" s="8" t="s">
        <v>3081</v>
      </c>
      <c r="C589" s="10" t="s">
        <v>3082</v>
      </c>
      <c r="D589" s="11" t="s">
        <v>883</v>
      </c>
      <c r="E589" s="11" t="s">
        <v>938</v>
      </c>
      <c r="F589" s="9">
        <v>12</v>
      </c>
      <c r="G589" s="9">
        <v>12</v>
      </c>
      <c r="H589" s="9" t="s">
        <v>868</v>
      </c>
      <c r="I589" s="9">
        <v>36</v>
      </c>
      <c r="J589" s="9">
        <v>60</v>
      </c>
      <c r="K589" s="9" t="s">
        <v>901</v>
      </c>
      <c r="L589" s="27">
        <v>0.25537500000000002</v>
      </c>
      <c r="M589" s="28" t="s">
        <v>3203</v>
      </c>
      <c r="N589" s="17">
        <v>12.325362</v>
      </c>
      <c r="O589" s="1"/>
      <c r="P589" s="38">
        <f t="shared" si="55"/>
        <v>0</v>
      </c>
      <c r="S589" s="24" t="str">
        <f t="shared" si="58"/>
        <v>-</v>
      </c>
      <c r="T589" s="24" t="str">
        <f t="shared" si="56"/>
        <v>-</v>
      </c>
      <c r="U589" s="25" t="str">
        <f t="shared" si="59"/>
        <v>-</v>
      </c>
      <c r="V589" s="26" t="str">
        <f t="shared" si="60"/>
        <v>-</v>
      </c>
      <c r="X589" s="26" t="str">
        <f t="shared" si="57"/>
        <v>-</v>
      </c>
    </row>
    <row r="590" spans="1:24" x14ac:dyDescent="0.3">
      <c r="A590" s="37">
        <v>87614241982</v>
      </c>
      <c r="B590" s="8" t="s">
        <v>1446</v>
      </c>
      <c r="C590" s="10" t="s">
        <v>3011</v>
      </c>
      <c r="D590" s="11" t="s">
        <v>905</v>
      </c>
      <c r="E590" s="11" t="s">
        <v>1046</v>
      </c>
      <c r="F590" s="9">
        <v>12</v>
      </c>
      <c r="G590" s="9">
        <v>12</v>
      </c>
      <c r="H590" s="9" t="s">
        <v>868</v>
      </c>
      <c r="I590" s="9">
        <v>24</v>
      </c>
      <c r="J590" s="9">
        <v>1</v>
      </c>
      <c r="K590" s="9" t="s">
        <v>887</v>
      </c>
      <c r="L590" s="27">
        <v>1.2848199999999999</v>
      </c>
      <c r="M590" s="28" t="s">
        <v>3203</v>
      </c>
      <c r="N590" s="17">
        <v>12.391806000000001</v>
      </c>
      <c r="O590" s="1"/>
      <c r="P590" s="38">
        <f t="shared" si="55"/>
        <v>0</v>
      </c>
      <c r="S590" s="24" t="str">
        <f t="shared" si="58"/>
        <v>-</v>
      </c>
      <c r="T590" s="24" t="str">
        <f t="shared" si="56"/>
        <v>-</v>
      </c>
      <c r="U590" s="25" t="str">
        <f t="shared" si="59"/>
        <v>-</v>
      </c>
      <c r="V590" s="26" t="str">
        <f t="shared" si="60"/>
        <v>-</v>
      </c>
      <c r="X590" s="26" t="str">
        <f t="shared" si="57"/>
        <v>-</v>
      </c>
    </row>
    <row r="591" spans="1:24" x14ac:dyDescent="0.3">
      <c r="A591" s="37">
        <v>87614114491</v>
      </c>
      <c r="B591" s="8" t="s">
        <v>1546</v>
      </c>
      <c r="C591" s="10" t="s">
        <v>2307</v>
      </c>
      <c r="D591" s="11" t="s">
        <v>894</v>
      </c>
      <c r="E591" s="11" t="s">
        <v>992</v>
      </c>
      <c r="F591" s="9">
        <v>36</v>
      </c>
      <c r="G591" s="9">
        <v>36</v>
      </c>
      <c r="H591" s="9" t="s">
        <v>892</v>
      </c>
      <c r="I591" s="9">
        <v>60</v>
      </c>
      <c r="J591" s="9">
        <v>1</v>
      </c>
      <c r="K591" s="9" t="s">
        <v>895</v>
      </c>
      <c r="L591" s="27">
        <v>0.18614</v>
      </c>
      <c r="M591" s="28" t="s">
        <v>3203</v>
      </c>
      <c r="N591" s="17">
        <v>12.474860999999999</v>
      </c>
      <c r="O591" s="1"/>
      <c r="P591" s="38">
        <f t="shared" si="55"/>
        <v>0</v>
      </c>
      <c r="S591" s="24" t="str">
        <f t="shared" si="58"/>
        <v>-</v>
      </c>
      <c r="T591" s="24" t="str">
        <f t="shared" si="56"/>
        <v>-</v>
      </c>
      <c r="U591" s="25" t="str">
        <f t="shared" si="59"/>
        <v>-</v>
      </c>
      <c r="V591" s="26" t="str">
        <f t="shared" si="60"/>
        <v>-</v>
      </c>
      <c r="X591" s="26" t="str">
        <f t="shared" si="57"/>
        <v>-</v>
      </c>
    </row>
    <row r="592" spans="1:24" x14ac:dyDescent="0.3">
      <c r="A592" s="37">
        <v>87614018478</v>
      </c>
      <c r="B592" s="8" t="s">
        <v>1327</v>
      </c>
      <c r="C592" s="10" t="s">
        <v>2987</v>
      </c>
      <c r="D592" s="11" t="s">
        <v>882</v>
      </c>
      <c r="E592" s="11" t="s">
        <v>920</v>
      </c>
      <c r="F592" s="9">
        <v>12</v>
      </c>
      <c r="G592" s="9">
        <v>24</v>
      </c>
      <c r="H592" s="9" t="s">
        <v>868</v>
      </c>
      <c r="I592" s="9">
        <v>36</v>
      </c>
      <c r="J592" s="9">
        <v>400</v>
      </c>
      <c r="K592" s="9" t="s">
        <v>2903</v>
      </c>
      <c r="L592" s="27">
        <v>0.41541</v>
      </c>
      <c r="M592" s="28" t="s">
        <v>3203</v>
      </c>
      <c r="N592" s="17">
        <v>12.524694</v>
      </c>
      <c r="O592" s="1"/>
      <c r="P592" s="38">
        <f t="shared" si="55"/>
        <v>0</v>
      </c>
      <c r="S592" s="24" t="str">
        <f t="shared" si="58"/>
        <v>-</v>
      </c>
      <c r="T592" s="24" t="str">
        <f t="shared" si="56"/>
        <v>-</v>
      </c>
      <c r="U592" s="25" t="str">
        <f t="shared" si="59"/>
        <v>-</v>
      </c>
      <c r="V592" s="26" t="str">
        <f t="shared" si="60"/>
        <v>-</v>
      </c>
      <c r="X592" s="26" t="str">
        <f t="shared" si="57"/>
        <v>-</v>
      </c>
    </row>
    <row r="593" spans="1:24" x14ac:dyDescent="0.3">
      <c r="A593" s="37">
        <v>87614017990</v>
      </c>
      <c r="B593" s="8" t="s">
        <v>1205</v>
      </c>
      <c r="C593" s="10" t="s">
        <v>2020</v>
      </c>
      <c r="D593" s="11" t="s">
        <v>866</v>
      </c>
      <c r="E593" s="11" t="s">
        <v>1000</v>
      </c>
      <c r="F593" s="9">
        <v>20</v>
      </c>
      <c r="G593" s="9">
        <v>60</v>
      </c>
      <c r="H593" s="9" t="s">
        <v>868</v>
      </c>
      <c r="I593" s="9">
        <v>24</v>
      </c>
      <c r="J593" s="9">
        <v>90</v>
      </c>
      <c r="K593" s="9" t="s">
        <v>877</v>
      </c>
      <c r="L593" s="27">
        <v>0.185005</v>
      </c>
      <c r="M593" s="28" t="s">
        <v>3203</v>
      </c>
      <c r="N593" s="17">
        <v>12.906746999999999</v>
      </c>
      <c r="O593" s="1"/>
      <c r="P593" s="38">
        <f t="shared" si="55"/>
        <v>0</v>
      </c>
      <c r="S593" s="24" t="str">
        <f t="shared" si="58"/>
        <v>-</v>
      </c>
      <c r="T593" s="24" t="str">
        <f t="shared" si="56"/>
        <v>-</v>
      </c>
      <c r="U593" s="25" t="str">
        <f t="shared" si="59"/>
        <v>-</v>
      </c>
      <c r="V593" s="26" t="str">
        <f t="shared" si="60"/>
        <v>-</v>
      </c>
      <c r="X593" s="26" t="str">
        <f t="shared" si="57"/>
        <v>-</v>
      </c>
    </row>
    <row r="594" spans="1:24" x14ac:dyDescent="0.3">
      <c r="A594" s="37">
        <v>87614241524</v>
      </c>
      <c r="B594" s="8" t="s">
        <v>1692</v>
      </c>
      <c r="C594" s="10" t="s">
        <v>2442</v>
      </c>
      <c r="D594" s="11" t="s">
        <v>2835</v>
      </c>
      <c r="E594" s="11" t="s">
        <v>2878</v>
      </c>
      <c r="F594" s="9">
        <v>12</v>
      </c>
      <c r="G594" s="9">
        <v>36</v>
      </c>
      <c r="H594" s="9" t="s">
        <v>868</v>
      </c>
      <c r="I594" s="9">
        <v>24</v>
      </c>
      <c r="J594" s="9">
        <v>1</v>
      </c>
      <c r="K594" s="9" t="s">
        <v>887</v>
      </c>
      <c r="L594" s="27">
        <v>0.59587500000000004</v>
      </c>
      <c r="M594" s="28" t="s">
        <v>3203</v>
      </c>
      <c r="N594" s="17">
        <v>12.973191</v>
      </c>
      <c r="O594" s="1"/>
      <c r="P594" s="38">
        <f t="shared" si="55"/>
        <v>0</v>
      </c>
      <c r="S594" s="24" t="str">
        <f t="shared" si="58"/>
        <v>-</v>
      </c>
      <c r="T594" s="24" t="str">
        <f t="shared" si="56"/>
        <v>-</v>
      </c>
      <c r="U594" s="25" t="str">
        <f t="shared" si="59"/>
        <v>-</v>
      </c>
      <c r="V594" s="26" t="str">
        <f t="shared" si="60"/>
        <v>-</v>
      </c>
      <c r="X594" s="26" t="str">
        <f t="shared" si="57"/>
        <v>-</v>
      </c>
    </row>
    <row r="595" spans="1:24" x14ac:dyDescent="0.3">
      <c r="A595" s="37">
        <v>87614117393</v>
      </c>
      <c r="B595" s="8" t="s">
        <v>1595</v>
      </c>
      <c r="C595" s="10" t="s">
        <v>2356</v>
      </c>
      <c r="D595" s="11" t="s">
        <v>874</v>
      </c>
      <c r="E595" s="11" t="s">
        <v>925</v>
      </c>
      <c r="F595" s="9">
        <v>12</v>
      </c>
      <c r="G595" s="9">
        <v>24</v>
      </c>
      <c r="H595" s="9" t="s">
        <v>868</v>
      </c>
      <c r="I595" s="9">
        <v>24</v>
      </c>
      <c r="J595" s="9">
        <v>250</v>
      </c>
      <c r="K595" s="9" t="s">
        <v>889</v>
      </c>
      <c r="L595" s="27">
        <v>0.22359500000000002</v>
      </c>
      <c r="M595" s="28" t="s">
        <v>3203</v>
      </c>
      <c r="N595" s="17">
        <v>12.989802000000001</v>
      </c>
      <c r="O595" s="1"/>
      <c r="P595" s="38">
        <f t="shared" si="55"/>
        <v>0</v>
      </c>
      <c r="S595" s="24" t="str">
        <f t="shared" si="58"/>
        <v>-</v>
      </c>
      <c r="T595" s="24" t="str">
        <f t="shared" si="56"/>
        <v>-</v>
      </c>
      <c r="U595" s="25" t="str">
        <f t="shared" si="59"/>
        <v>-</v>
      </c>
      <c r="V595" s="26" t="str">
        <f t="shared" si="60"/>
        <v>-</v>
      </c>
      <c r="X595" s="26" t="str">
        <f t="shared" si="57"/>
        <v>-</v>
      </c>
    </row>
    <row r="596" spans="1:24" x14ac:dyDescent="0.3">
      <c r="A596" s="37">
        <v>87614115627</v>
      </c>
      <c r="B596" s="8" t="s">
        <v>1566</v>
      </c>
      <c r="C596" s="10" t="s">
        <v>2327</v>
      </c>
      <c r="D596" s="11" t="s">
        <v>2835</v>
      </c>
      <c r="E596" s="11" t="s">
        <v>2836</v>
      </c>
      <c r="F596" s="9">
        <v>6</v>
      </c>
      <c r="G596" s="9">
        <v>12</v>
      </c>
      <c r="H596" s="9" t="s">
        <v>868</v>
      </c>
      <c r="I596" s="9">
        <v>24</v>
      </c>
      <c r="J596" s="9">
        <v>1</v>
      </c>
      <c r="K596" s="9" t="s">
        <v>880</v>
      </c>
      <c r="L596" s="27">
        <v>0.61516999999999999</v>
      </c>
      <c r="M596" s="28" t="s">
        <v>3203</v>
      </c>
      <c r="N596" s="17">
        <v>13.172523</v>
      </c>
      <c r="O596" s="1"/>
      <c r="P596" s="38">
        <f t="shared" si="55"/>
        <v>0</v>
      </c>
      <c r="S596" s="24" t="str">
        <f t="shared" si="58"/>
        <v>-</v>
      </c>
      <c r="T596" s="24" t="str">
        <f t="shared" si="56"/>
        <v>-</v>
      </c>
      <c r="U596" s="25" t="str">
        <f t="shared" si="59"/>
        <v>-</v>
      </c>
      <c r="V596" s="26" t="str">
        <f t="shared" si="60"/>
        <v>-</v>
      </c>
      <c r="X596" s="26" t="str">
        <f t="shared" si="57"/>
        <v>-</v>
      </c>
    </row>
    <row r="597" spans="1:24" x14ac:dyDescent="0.3">
      <c r="A597" s="37">
        <v>87614112183</v>
      </c>
      <c r="B597" s="8" t="s">
        <v>1919</v>
      </c>
      <c r="C597" s="10" t="s">
        <v>2642</v>
      </c>
      <c r="D597" s="11" t="s">
        <v>898</v>
      </c>
      <c r="E597" s="11" t="s">
        <v>966</v>
      </c>
      <c r="F597" s="9">
        <v>12</v>
      </c>
      <c r="G597" s="9">
        <v>108</v>
      </c>
      <c r="H597" s="9" t="s">
        <v>868</v>
      </c>
      <c r="I597" s="9">
        <v>36</v>
      </c>
      <c r="J597" s="9">
        <v>1</v>
      </c>
      <c r="K597" s="9" t="s">
        <v>887</v>
      </c>
      <c r="L597" s="27">
        <v>0.10101499999999999</v>
      </c>
      <c r="M597" s="28" t="s">
        <v>3203</v>
      </c>
      <c r="N597" s="17">
        <v>13.205744999999999</v>
      </c>
      <c r="O597" s="1"/>
      <c r="P597" s="38">
        <f t="shared" si="55"/>
        <v>0</v>
      </c>
      <c r="S597" s="24" t="str">
        <f t="shared" si="58"/>
        <v>-</v>
      </c>
      <c r="T597" s="24" t="str">
        <f t="shared" si="56"/>
        <v>-</v>
      </c>
      <c r="U597" s="25" t="str">
        <f t="shared" si="59"/>
        <v>-</v>
      </c>
      <c r="V597" s="26" t="str">
        <f t="shared" si="60"/>
        <v>-</v>
      </c>
      <c r="X597" s="26" t="str">
        <f t="shared" si="57"/>
        <v>-</v>
      </c>
    </row>
    <row r="598" spans="1:24" x14ac:dyDescent="0.3">
      <c r="A598" s="37">
        <v>87614116068</v>
      </c>
      <c r="B598" s="8" t="s">
        <v>1574</v>
      </c>
      <c r="C598" s="10" t="s">
        <v>2335</v>
      </c>
      <c r="D598" s="11" t="s">
        <v>1116</v>
      </c>
      <c r="E598" s="11" t="s">
        <v>2838</v>
      </c>
      <c r="F598" s="9">
        <v>12</v>
      </c>
      <c r="G598" s="9">
        <v>120</v>
      </c>
      <c r="H598" s="9" t="s">
        <v>892</v>
      </c>
      <c r="I598" s="9">
        <v>60</v>
      </c>
      <c r="J598" s="9">
        <v>1</v>
      </c>
      <c r="K598" s="9" t="s">
        <v>2904</v>
      </c>
      <c r="L598" s="27">
        <v>9.7609999999999988E-2</v>
      </c>
      <c r="M598" s="28" t="s">
        <v>3203</v>
      </c>
      <c r="N598" s="17">
        <v>13.355244000000001</v>
      </c>
      <c r="O598" s="1"/>
      <c r="P598" s="38">
        <f t="shared" si="55"/>
        <v>0</v>
      </c>
      <c r="S598" s="24" t="str">
        <f t="shared" si="58"/>
        <v>-</v>
      </c>
      <c r="T598" s="24" t="str">
        <f t="shared" si="56"/>
        <v>-</v>
      </c>
      <c r="U598" s="25" t="str">
        <f t="shared" si="59"/>
        <v>-</v>
      </c>
      <c r="V598" s="26" t="str">
        <f t="shared" si="60"/>
        <v>-</v>
      </c>
      <c r="X598" s="26" t="str">
        <f t="shared" si="57"/>
        <v>-</v>
      </c>
    </row>
    <row r="599" spans="1:24" x14ac:dyDescent="0.3">
      <c r="A599" s="37">
        <v>87614116709</v>
      </c>
      <c r="B599" s="8" t="s">
        <v>1584</v>
      </c>
      <c r="C599" s="10" t="s">
        <v>2345</v>
      </c>
      <c r="D599" s="11" t="s">
        <v>866</v>
      </c>
      <c r="E599" s="11" t="s">
        <v>1000</v>
      </c>
      <c r="F599" s="9">
        <v>20</v>
      </c>
      <c r="G599" s="9">
        <v>60</v>
      </c>
      <c r="H599" s="9" t="s">
        <v>892</v>
      </c>
      <c r="I599" s="9">
        <v>24</v>
      </c>
      <c r="J599" s="9">
        <v>120</v>
      </c>
      <c r="K599" s="9" t="s">
        <v>896</v>
      </c>
      <c r="L599" s="27">
        <v>0.16230499999999998</v>
      </c>
      <c r="M599" s="28" t="s">
        <v>3203</v>
      </c>
      <c r="N599" s="17">
        <v>13.62102</v>
      </c>
      <c r="O599" s="1"/>
      <c r="P599" s="38">
        <f t="shared" si="55"/>
        <v>0</v>
      </c>
      <c r="S599" s="24" t="str">
        <f t="shared" si="58"/>
        <v>-</v>
      </c>
      <c r="T599" s="24" t="str">
        <f t="shared" si="56"/>
        <v>-</v>
      </c>
      <c r="U599" s="25" t="str">
        <f t="shared" si="59"/>
        <v>-</v>
      </c>
      <c r="V599" s="26" t="str">
        <f t="shared" si="60"/>
        <v>-</v>
      </c>
      <c r="X599" s="26" t="str">
        <f t="shared" si="57"/>
        <v>-</v>
      </c>
    </row>
    <row r="600" spans="1:24" x14ac:dyDescent="0.3">
      <c r="A600" s="37">
        <v>87614024134</v>
      </c>
      <c r="B600" s="8" t="s">
        <v>1814</v>
      </c>
      <c r="C600" s="10" t="s">
        <v>2550</v>
      </c>
      <c r="D600" s="11" t="s">
        <v>2841</v>
      </c>
      <c r="E600" s="11" t="s">
        <v>2893</v>
      </c>
      <c r="F600" s="9">
        <v>24</v>
      </c>
      <c r="G600" s="9">
        <v>24</v>
      </c>
      <c r="H600" s="9" t="s">
        <v>892</v>
      </c>
      <c r="I600" s="9">
        <v>60</v>
      </c>
      <c r="J600" s="9">
        <v>1</v>
      </c>
      <c r="K600" s="9" t="s">
        <v>887</v>
      </c>
      <c r="L600" s="27">
        <v>0.58452500000000007</v>
      </c>
      <c r="M600" s="28" t="s">
        <v>3203</v>
      </c>
      <c r="N600" s="17">
        <v>13.770518999999998</v>
      </c>
      <c r="O600" s="1"/>
      <c r="P600" s="38">
        <f t="shared" si="55"/>
        <v>0</v>
      </c>
      <c r="S600" s="24" t="str">
        <f t="shared" si="58"/>
        <v>-</v>
      </c>
      <c r="T600" s="24" t="str">
        <f t="shared" si="56"/>
        <v>-</v>
      </c>
      <c r="U600" s="25" t="str">
        <f t="shared" si="59"/>
        <v>-</v>
      </c>
      <c r="V600" s="26" t="str">
        <f t="shared" si="60"/>
        <v>-</v>
      </c>
      <c r="X600" s="26" t="str">
        <f t="shared" si="57"/>
        <v>-</v>
      </c>
    </row>
    <row r="601" spans="1:24" x14ac:dyDescent="0.3">
      <c r="A601" s="37">
        <v>87614023236</v>
      </c>
      <c r="B601" s="8" t="s">
        <v>1475</v>
      </c>
      <c r="C601" s="10" t="s">
        <v>2245</v>
      </c>
      <c r="D601" s="11" t="s">
        <v>874</v>
      </c>
      <c r="E601" s="11" t="s">
        <v>914</v>
      </c>
      <c r="F601" s="9">
        <v>30</v>
      </c>
      <c r="G601" s="9">
        <v>90</v>
      </c>
      <c r="H601" s="9" t="s">
        <v>868</v>
      </c>
      <c r="I601" s="9">
        <v>18</v>
      </c>
      <c r="J601" s="9">
        <v>60</v>
      </c>
      <c r="K601" s="9" t="s">
        <v>869</v>
      </c>
      <c r="L601" s="27">
        <v>0.130525</v>
      </c>
      <c r="M601" s="28" t="s">
        <v>3203</v>
      </c>
      <c r="N601" s="17">
        <v>14.102739</v>
      </c>
      <c r="O601" s="1"/>
      <c r="P601" s="38">
        <f t="shared" si="55"/>
        <v>0</v>
      </c>
      <c r="S601" s="24" t="str">
        <f t="shared" si="58"/>
        <v>-</v>
      </c>
      <c r="T601" s="24" t="str">
        <f t="shared" si="56"/>
        <v>-</v>
      </c>
      <c r="U601" s="25" t="str">
        <f t="shared" si="59"/>
        <v>-</v>
      </c>
      <c r="V601" s="26" t="str">
        <f t="shared" si="60"/>
        <v>-</v>
      </c>
      <c r="X601" s="26" t="str">
        <f t="shared" si="57"/>
        <v>-</v>
      </c>
    </row>
    <row r="602" spans="1:24" x14ac:dyDescent="0.3">
      <c r="A602" s="37">
        <v>87614116327</v>
      </c>
      <c r="B602" s="8" t="s">
        <v>1581</v>
      </c>
      <c r="C602" s="10" t="s">
        <v>2342</v>
      </c>
      <c r="D602" s="11" t="s">
        <v>894</v>
      </c>
      <c r="E602" s="11" t="s">
        <v>992</v>
      </c>
      <c r="F602" s="9">
        <v>36</v>
      </c>
      <c r="G602" s="9">
        <v>36</v>
      </c>
      <c r="H602" s="9" t="s">
        <v>892</v>
      </c>
      <c r="I602" s="9">
        <v>60</v>
      </c>
      <c r="J602" s="9">
        <v>1</v>
      </c>
      <c r="K602" s="9" t="s">
        <v>2906</v>
      </c>
      <c r="L602" s="27">
        <v>0.18387000000000001</v>
      </c>
      <c r="M602" s="28" t="s">
        <v>3203</v>
      </c>
      <c r="N602" s="17">
        <v>14.484792000000001</v>
      </c>
      <c r="O602" s="1"/>
      <c r="P602" s="38">
        <f t="shared" si="55"/>
        <v>0</v>
      </c>
      <c r="S602" s="24" t="str">
        <f t="shared" si="58"/>
        <v>-</v>
      </c>
      <c r="T602" s="24" t="str">
        <f t="shared" si="56"/>
        <v>-</v>
      </c>
      <c r="U602" s="25" t="str">
        <f t="shared" si="59"/>
        <v>-</v>
      </c>
      <c r="V602" s="26" t="str">
        <f t="shared" si="60"/>
        <v>-</v>
      </c>
      <c r="X602" s="26" t="str">
        <f t="shared" si="57"/>
        <v>-</v>
      </c>
    </row>
    <row r="603" spans="1:24" x14ac:dyDescent="0.3">
      <c r="A603" s="37">
        <v>87614016733</v>
      </c>
      <c r="B603" s="8" t="s">
        <v>1421</v>
      </c>
      <c r="C603" s="10" t="s">
        <v>2197</v>
      </c>
      <c r="D603" s="11" t="s">
        <v>870</v>
      </c>
      <c r="E603" s="11" t="s">
        <v>2834</v>
      </c>
      <c r="F603" s="9">
        <v>16</v>
      </c>
      <c r="G603" s="9">
        <v>48</v>
      </c>
      <c r="H603" s="9" t="s">
        <v>868</v>
      </c>
      <c r="I603" s="9">
        <v>24</v>
      </c>
      <c r="J603" s="9">
        <v>120</v>
      </c>
      <c r="K603" s="9" t="s">
        <v>873</v>
      </c>
      <c r="L603" s="27">
        <v>0.16230499999999998</v>
      </c>
      <c r="M603" s="28" t="s">
        <v>3203</v>
      </c>
      <c r="N603" s="17">
        <v>14.534624999999998</v>
      </c>
      <c r="O603" s="1"/>
      <c r="P603" s="38">
        <f t="shared" si="55"/>
        <v>0</v>
      </c>
      <c r="S603" s="24" t="str">
        <f t="shared" si="58"/>
        <v>-</v>
      </c>
      <c r="T603" s="24" t="str">
        <f t="shared" si="56"/>
        <v>-</v>
      </c>
      <c r="U603" s="25" t="str">
        <f t="shared" si="59"/>
        <v>-</v>
      </c>
      <c r="V603" s="26" t="str">
        <f t="shared" si="60"/>
        <v>-</v>
      </c>
      <c r="X603" s="26" t="str">
        <f t="shared" si="57"/>
        <v>-</v>
      </c>
    </row>
    <row r="604" spans="1:24" x14ac:dyDescent="0.3">
      <c r="A604" s="37">
        <v>87614114866</v>
      </c>
      <c r="B604" s="8" t="s">
        <v>1926</v>
      </c>
      <c r="C604" s="10" t="s">
        <v>2649</v>
      </c>
      <c r="D604" s="11" t="s">
        <v>894</v>
      </c>
      <c r="E604" s="11" t="s">
        <v>992</v>
      </c>
      <c r="F604" s="9">
        <v>24</v>
      </c>
      <c r="G604" s="9">
        <v>168</v>
      </c>
      <c r="H604" s="9" t="s">
        <v>892</v>
      </c>
      <c r="I604" s="9">
        <v>60</v>
      </c>
      <c r="J604" s="9">
        <v>1</v>
      </c>
      <c r="K604" s="9" t="s">
        <v>2904</v>
      </c>
      <c r="L604" s="27">
        <v>9.0800000000000006E-2</v>
      </c>
      <c r="M604" s="28" t="s">
        <v>3203</v>
      </c>
      <c r="N604" s="17">
        <v>14.584458</v>
      </c>
      <c r="O604" s="1"/>
      <c r="P604" s="38">
        <f t="shared" si="55"/>
        <v>0</v>
      </c>
      <c r="S604" s="24" t="str">
        <f t="shared" si="58"/>
        <v>-</v>
      </c>
      <c r="T604" s="24" t="str">
        <f t="shared" si="56"/>
        <v>-</v>
      </c>
      <c r="U604" s="25" t="str">
        <f t="shared" si="59"/>
        <v>-</v>
      </c>
      <c r="V604" s="26" t="str">
        <f t="shared" si="60"/>
        <v>-</v>
      </c>
      <c r="X604" s="26" t="str">
        <f t="shared" si="57"/>
        <v>-</v>
      </c>
    </row>
    <row r="605" spans="1:24" x14ac:dyDescent="0.3">
      <c r="A605" s="37">
        <v>87614013176</v>
      </c>
      <c r="B605" s="8" t="s">
        <v>1417</v>
      </c>
      <c r="C605" s="10" t="s">
        <v>2193</v>
      </c>
      <c r="D605" s="11" t="s">
        <v>872</v>
      </c>
      <c r="E605" s="11" t="s">
        <v>1115</v>
      </c>
      <c r="F605" s="9">
        <v>12</v>
      </c>
      <c r="G605" s="9">
        <v>24</v>
      </c>
      <c r="H605" s="9" t="s">
        <v>868</v>
      </c>
      <c r="I605" s="9">
        <v>36</v>
      </c>
      <c r="J605" s="9">
        <v>300</v>
      </c>
      <c r="K605" s="9" t="s">
        <v>873</v>
      </c>
      <c r="L605" s="27">
        <v>0.27921000000000001</v>
      </c>
      <c r="M605" s="28" t="s">
        <v>3203</v>
      </c>
      <c r="N605" s="17">
        <v>14.617680000000002</v>
      </c>
      <c r="O605" s="1"/>
      <c r="P605" s="38">
        <f t="shared" si="55"/>
        <v>0</v>
      </c>
      <c r="S605" s="24" t="str">
        <f t="shared" si="58"/>
        <v>-</v>
      </c>
      <c r="T605" s="24" t="str">
        <f t="shared" si="56"/>
        <v>-</v>
      </c>
      <c r="U605" s="25" t="str">
        <f t="shared" si="59"/>
        <v>-</v>
      </c>
      <c r="V605" s="26" t="str">
        <f t="shared" si="60"/>
        <v>-</v>
      </c>
      <c r="X605" s="26" t="str">
        <f t="shared" si="57"/>
        <v>-</v>
      </c>
    </row>
    <row r="606" spans="1:24" x14ac:dyDescent="0.3">
      <c r="A606" s="37">
        <v>87614114668</v>
      </c>
      <c r="B606" s="8" t="s">
        <v>1551</v>
      </c>
      <c r="C606" s="10" t="s">
        <v>2312</v>
      </c>
      <c r="D606" s="11" t="s">
        <v>1116</v>
      </c>
      <c r="E606" s="11" t="s">
        <v>1117</v>
      </c>
      <c r="F606" s="9">
        <v>12</v>
      </c>
      <c r="G606" s="9">
        <v>96</v>
      </c>
      <c r="H606" s="9" t="s">
        <v>892</v>
      </c>
      <c r="I606" s="9">
        <v>60</v>
      </c>
      <c r="J606" s="9">
        <v>1</v>
      </c>
      <c r="K606" s="9" t="s">
        <v>895</v>
      </c>
      <c r="L606" s="27">
        <v>0.103285</v>
      </c>
      <c r="M606" s="28" t="s">
        <v>3203</v>
      </c>
      <c r="N606" s="17">
        <v>14.700735</v>
      </c>
      <c r="O606" s="1"/>
      <c r="P606" s="38">
        <f t="shared" si="55"/>
        <v>0</v>
      </c>
      <c r="S606" s="24" t="str">
        <f t="shared" si="58"/>
        <v>-</v>
      </c>
      <c r="T606" s="24" t="str">
        <f t="shared" si="56"/>
        <v>-</v>
      </c>
      <c r="U606" s="25" t="str">
        <f t="shared" si="59"/>
        <v>-</v>
      </c>
      <c r="V606" s="26" t="str">
        <f t="shared" si="60"/>
        <v>-</v>
      </c>
      <c r="X606" s="26" t="str">
        <f t="shared" si="57"/>
        <v>-</v>
      </c>
    </row>
    <row r="607" spans="1:24" x14ac:dyDescent="0.3">
      <c r="A607" s="37">
        <v>87614142524</v>
      </c>
      <c r="B607" s="8" t="s">
        <v>1455</v>
      </c>
      <c r="C607" s="10" t="s">
        <v>2228</v>
      </c>
      <c r="D607" s="11" t="s">
        <v>875</v>
      </c>
      <c r="E607" s="11" t="s">
        <v>935</v>
      </c>
      <c r="F607" s="9">
        <v>30</v>
      </c>
      <c r="G607" s="9">
        <v>90</v>
      </c>
      <c r="H607" s="9" t="s">
        <v>892</v>
      </c>
      <c r="I607" s="9">
        <v>24</v>
      </c>
      <c r="J607" s="9">
        <v>60</v>
      </c>
      <c r="K607" s="9" t="s">
        <v>889</v>
      </c>
      <c r="L607" s="27">
        <v>4.8804999999999994E-2</v>
      </c>
      <c r="M607" s="28" t="s">
        <v>3203</v>
      </c>
      <c r="N607" s="17">
        <v>14.733956999999998</v>
      </c>
      <c r="O607" s="1"/>
      <c r="P607" s="38">
        <f t="shared" si="55"/>
        <v>0</v>
      </c>
      <c r="S607" s="24" t="str">
        <f t="shared" si="58"/>
        <v>-</v>
      </c>
      <c r="T607" s="24" t="str">
        <f t="shared" si="56"/>
        <v>-</v>
      </c>
      <c r="U607" s="25" t="str">
        <f t="shared" si="59"/>
        <v>-</v>
      </c>
      <c r="V607" s="26" t="str">
        <f t="shared" si="60"/>
        <v>-</v>
      </c>
      <c r="X607" s="26" t="str">
        <f t="shared" si="57"/>
        <v>-</v>
      </c>
    </row>
    <row r="608" spans="1:24" x14ac:dyDescent="0.3">
      <c r="A608" s="37">
        <v>87614211091</v>
      </c>
      <c r="B608" s="8" t="s">
        <v>2933</v>
      </c>
      <c r="C608" s="10" t="s">
        <v>3083</v>
      </c>
      <c r="D608" s="11" t="s">
        <v>872</v>
      </c>
      <c r="E608" s="11" t="s">
        <v>953</v>
      </c>
      <c r="F608" s="9">
        <v>30</v>
      </c>
      <c r="G608" s="9">
        <v>90</v>
      </c>
      <c r="H608" s="9" t="s">
        <v>868</v>
      </c>
      <c r="I608" s="9">
        <v>36</v>
      </c>
      <c r="J608" s="9">
        <v>60</v>
      </c>
      <c r="K608" s="9" t="s">
        <v>2903</v>
      </c>
      <c r="L608" s="27">
        <v>4.7670000000000004E-2</v>
      </c>
      <c r="M608" s="28" t="s">
        <v>3203</v>
      </c>
      <c r="N608" s="17">
        <v>14.817011999999998</v>
      </c>
      <c r="O608" s="1"/>
      <c r="P608" s="38">
        <f t="shared" si="55"/>
        <v>0</v>
      </c>
      <c r="S608" s="24" t="str">
        <f t="shared" si="58"/>
        <v>-</v>
      </c>
      <c r="T608" s="24" t="str">
        <f t="shared" si="56"/>
        <v>-</v>
      </c>
      <c r="U608" s="25" t="str">
        <f t="shared" si="59"/>
        <v>-</v>
      </c>
      <c r="V608" s="26" t="str">
        <f t="shared" si="60"/>
        <v>-</v>
      </c>
      <c r="X608" s="26" t="str">
        <f t="shared" si="57"/>
        <v>-</v>
      </c>
    </row>
    <row r="609" spans="1:24" x14ac:dyDescent="0.3">
      <c r="A609" s="37">
        <v>87614142012</v>
      </c>
      <c r="B609" s="8" t="s">
        <v>1074</v>
      </c>
      <c r="C609" s="10" t="s">
        <v>1075</v>
      </c>
      <c r="D609" s="11" t="s">
        <v>878</v>
      </c>
      <c r="E609" s="11" t="s">
        <v>1081</v>
      </c>
      <c r="F609" s="9">
        <v>30</v>
      </c>
      <c r="G609" s="9">
        <v>90</v>
      </c>
      <c r="H609" s="9" t="s">
        <v>868</v>
      </c>
      <c r="I609" s="9">
        <v>24</v>
      </c>
      <c r="J609" s="9">
        <v>30</v>
      </c>
      <c r="K609" s="9" t="s">
        <v>889</v>
      </c>
      <c r="L609" s="27">
        <v>4.8804999999999994E-2</v>
      </c>
      <c r="M609" s="28" t="s">
        <v>3203</v>
      </c>
      <c r="N609" s="17">
        <v>14.900067000000002</v>
      </c>
      <c r="O609" s="1"/>
      <c r="P609" s="38">
        <f t="shared" si="55"/>
        <v>0</v>
      </c>
      <c r="S609" s="24" t="str">
        <f t="shared" si="58"/>
        <v>-</v>
      </c>
      <c r="T609" s="24" t="str">
        <f t="shared" si="56"/>
        <v>-</v>
      </c>
      <c r="U609" s="25" t="str">
        <f t="shared" si="59"/>
        <v>-</v>
      </c>
      <c r="V609" s="26" t="str">
        <f t="shared" si="60"/>
        <v>-</v>
      </c>
      <c r="X609" s="26" t="str">
        <f t="shared" si="57"/>
        <v>-</v>
      </c>
    </row>
    <row r="610" spans="1:24" x14ac:dyDescent="0.3">
      <c r="A610" s="37">
        <v>87614112534</v>
      </c>
      <c r="B610" s="8" t="s">
        <v>1094</v>
      </c>
      <c r="C610" s="10" t="s">
        <v>1095</v>
      </c>
      <c r="D610" s="11" t="s">
        <v>874</v>
      </c>
      <c r="E610" s="11" t="s">
        <v>1118</v>
      </c>
      <c r="F610" s="9">
        <v>12</v>
      </c>
      <c r="G610" s="9">
        <v>24</v>
      </c>
      <c r="H610" s="9" t="s">
        <v>868</v>
      </c>
      <c r="I610" s="9">
        <v>24</v>
      </c>
      <c r="J610" s="9">
        <v>150</v>
      </c>
      <c r="K610" s="9" t="s">
        <v>869</v>
      </c>
      <c r="L610" s="27">
        <v>0.33141999999999999</v>
      </c>
      <c r="M610" s="28" t="s">
        <v>3203</v>
      </c>
      <c r="N610" s="17">
        <v>15.265509</v>
      </c>
      <c r="O610" s="1"/>
      <c r="P610" s="38">
        <f t="shared" si="55"/>
        <v>0</v>
      </c>
      <c r="S610" s="24" t="str">
        <f t="shared" si="58"/>
        <v>-</v>
      </c>
      <c r="T610" s="24" t="str">
        <f t="shared" si="56"/>
        <v>-</v>
      </c>
      <c r="U610" s="25" t="str">
        <f t="shared" si="59"/>
        <v>-</v>
      </c>
      <c r="V610" s="26" t="str">
        <f t="shared" si="60"/>
        <v>-</v>
      </c>
      <c r="X610" s="26" t="str">
        <f t="shared" si="57"/>
        <v>-</v>
      </c>
    </row>
    <row r="611" spans="1:24" x14ac:dyDescent="0.3">
      <c r="A611" s="37">
        <v>87614070834</v>
      </c>
      <c r="B611" s="8" t="s">
        <v>1432</v>
      </c>
      <c r="C611" s="10" t="s">
        <v>2208</v>
      </c>
      <c r="D611" s="11" t="s">
        <v>882</v>
      </c>
      <c r="E611" s="11" t="s">
        <v>932</v>
      </c>
      <c r="F611" s="9">
        <v>30</v>
      </c>
      <c r="G611" s="9">
        <v>90</v>
      </c>
      <c r="H611" s="9" t="s">
        <v>868</v>
      </c>
      <c r="I611" s="9">
        <v>24</v>
      </c>
      <c r="J611" s="9">
        <v>60</v>
      </c>
      <c r="K611" s="9" t="s">
        <v>889</v>
      </c>
      <c r="L611" s="27">
        <v>7.831500000000001E-2</v>
      </c>
      <c r="M611" s="28" t="s">
        <v>3203</v>
      </c>
      <c r="N611" s="17">
        <v>15.979781999999998</v>
      </c>
      <c r="O611" s="1"/>
      <c r="P611" s="38">
        <f t="shared" si="55"/>
        <v>0</v>
      </c>
      <c r="S611" s="24" t="str">
        <f t="shared" si="58"/>
        <v>-</v>
      </c>
      <c r="T611" s="24" t="str">
        <f t="shared" si="56"/>
        <v>-</v>
      </c>
      <c r="U611" s="25" t="str">
        <f t="shared" si="59"/>
        <v>-</v>
      </c>
      <c r="V611" s="26" t="str">
        <f t="shared" si="60"/>
        <v>-</v>
      </c>
      <c r="X611" s="26" t="str">
        <f t="shared" si="57"/>
        <v>-</v>
      </c>
    </row>
    <row r="612" spans="1:24" x14ac:dyDescent="0.3">
      <c r="A612" s="37">
        <v>87614112282</v>
      </c>
      <c r="B612" s="8" t="s">
        <v>1519</v>
      </c>
      <c r="C612" s="10" t="s">
        <v>2280</v>
      </c>
      <c r="D612" s="11" t="s">
        <v>866</v>
      </c>
      <c r="E612" s="11" t="s">
        <v>2821</v>
      </c>
      <c r="F612" s="9">
        <v>30</v>
      </c>
      <c r="G612" s="9">
        <v>90</v>
      </c>
      <c r="H612" s="9" t="s">
        <v>868</v>
      </c>
      <c r="I612" s="9">
        <v>36</v>
      </c>
      <c r="J612" s="9">
        <v>60</v>
      </c>
      <c r="K612" s="9" t="s">
        <v>873</v>
      </c>
      <c r="L612" s="27">
        <v>8.6260000000000003E-2</v>
      </c>
      <c r="M612" s="28" t="s">
        <v>3203</v>
      </c>
      <c r="N612" s="17">
        <v>16.129280999999999</v>
      </c>
      <c r="O612" s="1"/>
      <c r="P612" s="38">
        <f t="shared" si="55"/>
        <v>0</v>
      </c>
      <c r="S612" s="24" t="str">
        <f t="shared" si="58"/>
        <v>-</v>
      </c>
      <c r="T612" s="24" t="str">
        <f t="shared" si="56"/>
        <v>-</v>
      </c>
      <c r="U612" s="25" t="str">
        <f t="shared" si="59"/>
        <v>-</v>
      </c>
      <c r="V612" s="26" t="str">
        <f t="shared" si="60"/>
        <v>-</v>
      </c>
      <c r="X612" s="26" t="str">
        <f t="shared" si="57"/>
        <v>-</v>
      </c>
    </row>
    <row r="613" spans="1:24" x14ac:dyDescent="0.3">
      <c r="A613" s="37">
        <v>87614025155</v>
      </c>
      <c r="B613" s="8" t="s">
        <v>1904</v>
      </c>
      <c r="C613" s="10" t="s">
        <v>2628</v>
      </c>
      <c r="D613" s="11" t="s">
        <v>890</v>
      </c>
      <c r="E613" s="11" t="s">
        <v>2894</v>
      </c>
      <c r="F613" s="9">
        <v>9</v>
      </c>
      <c r="G613" s="9">
        <v>36</v>
      </c>
      <c r="H613" s="9" t="s">
        <v>868</v>
      </c>
      <c r="I613" s="9">
        <v>24</v>
      </c>
      <c r="J613" s="9">
        <v>1</v>
      </c>
      <c r="K613" s="9" t="s">
        <v>880</v>
      </c>
      <c r="L613" s="27">
        <v>0.31439500000000004</v>
      </c>
      <c r="M613" s="28" t="s">
        <v>3203</v>
      </c>
      <c r="N613" s="17">
        <v>16.411667999999999</v>
      </c>
      <c r="O613" s="1"/>
      <c r="P613" s="38">
        <f t="shared" si="55"/>
        <v>0</v>
      </c>
      <c r="S613" s="24" t="str">
        <f t="shared" si="58"/>
        <v>-</v>
      </c>
      <c r="T613" s="24" t="str">
        <f t="shared" si="56"/>
        <v>-</v>
      </c>
      <c r="U613" s="25" t="str">
        <f t="shared" si="59"/>
        <v>-</v>
      </c>
      <c r="V613" s="26" t="str">
        <f t="shared" si="60"/>
        <v>-</v>
      </c>
      <c r="X613" s="26" t="str">
        <f t="shared" si="57"/>
        <v>-</v>
      </c>
    </row>
    <row r="614" spans="1:24" x14ac:dyDescent="0.3">
      <c r="A614" s="37">
        <v>87614018430</v>
      </c>
      <c r="B614" s="8" t="s">
        <v>1623</v>
      </c>
      <c r="C614" s="10" t="s">
        <v>2385</v>
      </c>
      <c r="D614" s="11" t="s">
        <v>879</v>
      </c>
      <c r="E614" s="11" t="s">
        <v>922</v>
      </c>
      <c r="F614" s="9">
        <v>12</v>
      </c>
      <c r="G614" s="9">
        <v>24</v>
      </c>
      <c r="H614" s="9" t="s">
        <v>868</v>
      </c>
      <c r="I614" s="9">
        <v>36</v>
      </c>
      <c r="J614" s="9">
        <v>250</v>
      </c>
      <c r="K614" s="9" t="s">
        <v>896</v>
      </c>
      <c r="L614" s="27">
        <v>0.45059500000000002</v>
      </c>
      <c r="M614" s="28" t="s">
        <v>3203</v>
      </c>
      <c r="N614" s="17">
        <v>16.444889999999997</v>
      </c>
      <c r="O614" s="1"/>
      <c r="P614" s="38">
        <f t="shared" si="55"/>
        <v>0</v>
      </c>
      <c r="S614" s="24" t="str">
        <f t="shared" si="58"/>
        <v>-</v>
      </c>
      <c r="T614" s="24" t="str">
        <f t="shared" si="56"/>
        <v>-</v>
      </c>
      <c r="U614" s="25" t="str">
        <f t="shared" si="59"/>
        <v>-</v>
      </c>
      <c r="V614" s="26" t="str">
        <f t="shared" si="60"/>
        <v>-</v>
      </c>
      <c r="X614" s="26" t="str">
        <f t="shared" si="57"/>
        <v>-</v>
      </c>
    </row>
    <row r="615" spans="1:24" x14ac:dyDescent="0.3">
      <c r="A615" s="37">
        <v>87614240664</v>
      </c>
      <c r="B615" s="8" t="s">
        <v>1672</v>
      </c>
      <c r="C615" s="10" t="s">
        <v>2427</v>
      </c>
      <c r="D615" s="11" t="s">
        <v>907</v>
      </c>
      <c r="E615" s="11" t="s">
        <v>2871</v>
      </c>
      <c r="F615" s="9">
        <v>6</v>
      </c>
      <c r="G615" s="9">
        <v>12</v>
      </c>
      <c r="H615" s="9" t="s">
        <v>868</v>
      </c>
      <c r="I615" s="9">
        <v>24</v>
      </c>
      <c r="J615" s="9">
        <v>1</v>
      </c>
      <c r="K615" s="9" t="s">
        <v>2912</v>
      </c>
      <c r="L615" s="27">
        <v>0.54025999999999996</v>
      </c>
      <c r="M615" s="28" t="s">
        <v>3203</v>
      </c>
      <c r="N615" s="17">
        <v>16.494723</v>
      </c>
      <c r="O615" s="1"/>
      <c r="P615" s="38">
        <f t="shared" si="55"/>
        <v>0</v>
      </c>
      <c r="S615" s="24" t="str">
        <f t="shared" si="58"/>
        <v>-</v>
      </c>
      <c r="T615" s="24" t="str">
        <f t="shared" si="56"/>
        <v>-</v>
      </c>
      <c r="U615" s="25" t="str">
        <f t="shared" si="59"/>
        <v>-</v>
      </c>
      <c r="V615" s="26" t="str">
        <f t="shared" si="60"/>
        <v>-</v>
      </c>
      <c r="X615" s="26" t="str">
        <f t="shared" si="57"/>
        <v>-</v>
      </c>
    </row>
    <row r="616" spans="1:24" x14ac:dyDescent="0.3">
      <c r="A616" s="37">
        <v>87614142036</v>
      </c>
      <c r="B616" s="8" t="s">
        <v>1721</v>
      </c>
      <c r="C616" s="10" t="s">
        <v>2466</v>
      </c>
      <c r="D616" s="11" t="s">
        <v>902</v>
      </c>
      <c r="E616" s="11" t="s">
        <v>971</v>
      </c>
      <c r="F616" s="9">
        <v>48</v>
      </c>
      <c r="G616" s="9">
        <v>192</v>
      </c>
      <c r="H616" s="9" t="s">
        <v>868</v>
      </c>
      <c r="I616" s="9">
        <v>24</v>
      </c>
      <c r="J616" s="9">
        <v>30</v>
      </c>
      <c r="K616" s="9" t="s">
        <v>889</v>
      </c>
      <c r="L616" s="27">
        <v>3.2915E-2</v>
      </c>
      <c r="M616" s="28" t="s">
        <v>3203</v>
      </c>
      <c r="N616" s="17">
        <v>16.594389</v>
      </c>
      <c r="O616" s="1"/>
      <c r="P616" s="38">
        <f t="shared" si="55"/>
        <v>0</v>
      </c>
      <c r="S616" s="24" t="str">
        <f t="shared" si="58"/>
        <v>-</v>
      </c>
      <c r="T616" s="24" t="str">
        <f t="shared" si="56"/>
        <v>-</v>
      </c>
      <c r="U616" s="25" t="str">
        <f t="shared" si="59"/>
        <v>-</v>
      </c>
      <c r="V616" s="26" t="str">
        <f t="shared" si="60"/>
        <v>-</v>
      </c>
      <c r="X616" s="26" t="str">
        <f t="shared" si="57"/>
        <v>-</v>
      </c>
    </row>
    <row r="617" spans="1:24" x14ac:dyDescent="0.3">
      <c r="A617" s="37">
        <v>87614071107</v>
      </c>
      <c r="B617" s="8" t="s">
        <v>1649</v>
      </c>
      <c r="C617" s="10" t="s">
        <v>2406</v>
      </c>
      <c r="D617" s="11" t="s">
        <v>879</v>
      </c>
      <c r="E617" s="11" t="s">
        <v>990</v>
      </c>
      <c r="F617" s="9">
        <v>15</v>
      </c>
      <c r="G617" s="9">
        <v>30</v>
      </c>
      <c r="H617" s="9" t="s">
        <v>892</v>
      </c>
      <c r="I617" s="9">
        <v>24</v>
      </c>
      <c r="J617" s="9">
        <v>180</v>
      </c>
      <c r="K617" s="9" t="s">
        <v>877</v>
      </c>
      <c r="L617" s="27">
        <v>0.36774000000000001</v>
      </c>
      <c r="M617" s="28" t="s">
        <v>3203</v>
      </c>
      <c r="N617" s="17">
        <v>16.727276999999997</v>
      </c>
      <c r="O617" s="1"/>
      <c r="P617" s="38">
        <f t="shared" si="55"/>
        <v>0</v>
      </c>
      <c r="S617" s="24" t="str">
        <f t="shared" si="58"/>
        <v>-</v>
      </c>
      <c r="T617" s="24" t="str">
        <f t="shared" si="56"/>
        <v>-</v>
      </c>
      <c r="U617" s="25" t="str">
        <f t="shared" si="59"/>
        <v>-</v>
      </c>
      <c r="V617" s="26" t="str">
        <f t="shared" si="60"/>
        <v>-</v>
      </c>
      <c r="X617" s="26" t="str">
        <f t="shared" si="57"/>
        <v>-</v>
      </c>
    </row>
    <row r="618" spans="1:24" x14ac:dyDescent="0.3">
      <c r="A618" s="37">
        <v>87614119540</v>
      </c>
      <c r="B618" s="8" t="s">
        <v>2926</v>
      </c>
      <c r="C618" s="10" t="s">
        <v>3086</v>
      </c>
      <c r="D618" s="11" t="s">
        <v>881</v>
      </c>
      <c r="E618" s="11" t="s">
        <v>939</v>
      </c>
      <c r="F618" s="9">
        <v>12</v>
      </c>
      <c r="G618" s="9">
        <v>12</v>
      </c>
      <c r="H618" s="9" t="s">
        <v>868</v>
      </c>
      <c r="I618" s="9">
        <v>36</v>
      </c>
      <c r="J618" s="9">
        <v>120</v>
      </c>
      <c r="K618" s="9" t="s">
        <v>901</v>
      </c>
      <c r="L618" s="27">
        <v>0.66964999999999997</v>
      </c>
      <c r="M618" s="28" t="s">
        <v>3203</v>
      </c>
      <c r="N618" s="17">
        <v>16.843554000000001</v>
      </c>
      <c r="O618" s="1"/>
      <c r="P618" s="38">
        <f t="shared" si="55"/>
        <v>0</v>
      </c>
      <c r="S618" s="24" t="str">
        <f t="shared" si="58"/>
        <v>-</v>
      </c>
      <c r="T618" s="24" t="str">
        <f t="shared" si="56"/>
        <v>-</v>
      </c>
      <c r="U618" s="25" t="str">
        <f t="shared" si="59"/>
        <v>-</v>
      </c>
      <c r="V618" s="26" t="str">
        <f t="shared" si="60"/>
        <v>-</v>
      </c>
      <c r="X618" s="26" t="str">
        <f t="shared" si="57"/>
        <v>-</v>
      </c>
    </row>
    <row r="619" spans="1:24" x14ac:dyDescent="0.3">
      <c r="A619" s="37">
        <v>87614240671</v>
      </c>
      <c r="B619" s="8" t="s">
        <v>1673</v>
      </c>
      <c r="C619" s="10" t="s">
        <v>2428</v>
      </c>
      <c r="D619" s="11" t="s">
        <v>907</v>
      </c>
      <c r="E619" s="11" t="s">
        <v>2871</v>
      </c>
      <c r="F619" s="9">
        <v>6</v>
      </c>
      <c r="G619" s="9">
        <v>6</v>
      </c>
      <c r="H619" s="9" t="s">
        <v>868</v>
      </c>
      <c r="I619" s="9">
        <v>24</v>
      </c>
      <c r="J619" s="9">
        <v>1</v>
      </c>
      <c r="K619" s="9" t="s">
        <v>2912</v>
      </c>
      <c r="L619" s="27">
        <v>0.53344999999999998</v>
      </c>
      <c r="M619" s="28" t="s">
        <v>3203</v>
      </c>
      <c r="N619" s="17">
        <v>16.909997999999998</v>
      </c>
      <c r="O619" s="1"/>
      <c r="P619" s="38">
        <f t="shared" si="55"/>
        <v>0</v>
      </c>
      <c r="S619" s="24" t="str">
        <f t="shared" si="58"/>
        <v>-</v>
      </c>
      <c r="T619" s="24" t="str">
        <f t="shared" si="56"/>
        <v>-</v>
      </c>
      <c r="U619" s="25" t="str">
        <f t="shared" si="59"/>
        <v>-</v>
      </c>
      <c r="V619" s="26" t="str">
        <f t="shared" si="60"/>
        <v>-</v>
      </c>
      <c r="X619" s="26" t="str">
        <f t="shared" si="57"/>
        <v>-</v>
      </c>
    </row>
    <row r="620" spans="1:24" x14ac:dyDescent="0.3">
      <c r="A620" s="37">
        <v>87614110684</v>
      </c>
      <c r="B620" s="8" t="s">
        <v>1955</v>
      </c>
      <c r="C620" s="10" t="s">
        <v>2676</v>
      </c>
      <c r="D620" s="11" t="s">
        <v>885</v>
      </c>
      <c r="E620" s="11" t="s">
        <v>934</v>
      </c>
      <c r="F620" s="9">
        <v>12</v>
      </c>
      <c r="G620" s="9">
        <v>24</v>
      </c>
      <c r="H620" s="9" t="s">
        <v>868</v>
      </c>
      <c r="I620" s="9">
        <v>36</v>
      </c>
      <c r="J620" s="9">
        <v>180</v>
      </c>
      <c r="K620" s="9" t="s">
        <v>873</v>
      </c>
      <c r="L620" s="27">
        <v>0.18160000000000001</v>
      </c>
      <c r="M620" s="28" t="s">
        <v>3203</v>
      </c>
      <c r="N620" s="17">
        <v>17.059497</v>
      </c>
      <c r="O620" s="1"/>
      <c r="P620" s="38">
        <f t="shared" si="55"/>
        <v>0</v>
      </c>
      <c r="S620" s="24" t="str">
        <f t="shared" si="58"/>
        <v>-</v>
      </c>
      <c r="T620" s="24" t="str">
        <f t="shared" si="56"/>
        <v>-</v>
      </c>
      <c r="U620" s="25" t="str">
        <f t="shared" si="59"/>
        <v>-</v>
      </c>
      <c r="V620" s="26" t="str">
        <f t="shared" si="60"/>
        <v>-</v>
      </c>
      <c r="X620" s="26" t="str">
        <f t="shared" si="57"/>
        <v>-</v>
      </c>
    </row>
    <row r="621" spans="1:24" x14ac:dyDescent="0.3">
      <c r="A621" s="37">
        <v>87614240398</v>
      </c>
      <c r="B621" s="8" t="s">
        <v>1669</v>
      </c>
      <c r="C621" s="10" t="s">
        <v>2425</v>
      </c>
      <c r="D621" s="11" t="s">
        <v>907</v>
      </c>
      <c r="E621" s="11" t="s">
        <v>2871</v>
      </c>
      <c r="F621" s="9">
        <v>6</v>
      </c>
      <c r="G621" s="9">
        <v>12</v>
      </c>
      <c r="H621" s="9" t="s">
        <v>868</v>
      </c>
      <c r="I621" s="9">
        <v>24</v>
      </c>
      <c r="J621" s="9">
        <v>1</v>
      </c>
      <c r="K621" s="9" t="s">
        <v>2912</v>
      </c>
      <c r="L621" s="27">
        <v>0.54479999999999995</v>
      </c>
      <c r="M621" s="28" t="s">
        <v>3203</v>
      </c>
      <c r="N621" s="17">
        <v>17.10933</v>
      </c>
      <c r="O621" s="1"/>
      <c r="P621" s="38">
        <f t="shared" si="55"/>
        <v>0</v>
      </c>
      <c r="S621" s="24" t="str">
        <f t="shared" si="58"/>
        <v>-</v>
      </c>
      <c r="T621" s="24" t="str">
        <f t="shared" si="56"/>
        <v>-</v>
      </c>
      <c r="U621" s="25" t="str">
        <f t="shared" si="59"/>
        <v>-</v>
      </c>
      <c r="V621" s="26" t="str">
        <f t="shared" si="60"/>
        <v>-</v>
      </c>
      <c r="X621" s="26" t="str">
        <f t="shared" si="57"/>
        <v>-</v>
      </c>
    </row>
    <row r="622" spans="1:24" x14ac:dyDescent="0.3">
      <c r="A622" s="37">
        <v>87614119571</v>
      </c>
      <c r="B622" s="8" t="s">
        <v>3087</v>
      </c>
      <c r="C622" s="10" t="s">
        <v>3088</v>
      </c>
      <c r="D622" s="11" t="s">
        <v>890</v>
      </c>
      <c r="E622" s="11" t="s">
        <v>1119</v>
      </c>
      <c r="F622" s="9">
        <v>30</v>
      </c>
      <c r="G622" s="9">
        <v>90</v>
      </c>
      <c r="H622" s="9" t="s">
        <v>892</v>
      </c>
      <c r="I622" s="9">
        <v>24</v>
      </c>
      <c r="J622" s="9">
        <v>60</v>
      </c>
      <c r="K622" s="9" t="s">
        <v>2903</v>
      </c>
      <c r="L622" s="27">
        <v>8.2854999999999998E-2</v>
      </c>
      <c r="M622" s="28" t="s">
        <v>3203</v>
      </c>
      <c r="N622" s="17">
        <v>17.208995999999999</v>
      </c>
      <c r="O622" s="1"/>
      <c r="P622" s="38">
        <f t="shared" si="55"/>
        <v>0</v>
      </c>
      <c r="S622" s="24" t="str">
        <f t="shared" si="58"/>
        <v>-</v>
      </c>
      <c r="T622" s="24" t="str">
        <f t="shared" si="56"/>
        <v>-</v>
      </c>
      <c r="U622" s="25" t="str">
        <f t="shared" si="59"/>
        <v>-</v>
      </c>
      <c r="V622" s="26" t="str">
        <f t="shared" si="60"/>
        <v>-</v>
      </c>
      <c r="X622" s="26" t="str">
        <f t="shared" si="57"/>
        <v>-</v>
      </c>
    </row>
    <row r="623" spans="1:24" x14ac:dyDescent="0.3">
      <c r="A623" s="37">
        <v>87614090214</v>
      </c>
      <c r="B623" s="8" t="s">
        <v>1190</v>
      </c>
      <c r="C623" s="10" t="s">
        <v>2008</v>
      </c>
      <c r="D623" s="11" t="s">
        <v>874</v>
      </c>
      <c r="E623" s="11" t="s">
        <v>914</v>
      </c>
      <c r="F623" s="9">
        <v>16</v>
      </c>
      <c r="G623" s="9">
        <v>48</v>
      </c>
      <c r="H623" s="9" t="s">
        <v>868</v>
      </c>
      <c r="I623" s="9">
        <v>24</v>
      </c>
      <c r="J623" s="9">
        <v>100</v>
      </c>
      <c r="K623" s="9" t="s">
        <v>877</v>
      </c>
      <c r="L623" s="27">
        <v>0.22359500000000002</v>
      </c>
      <c r="M623" s="28" t="s">
        <v>3203</v>
      </c>
      <c r="N623" s="17">
        <v>17.524605000000001</v>
      </c>
      <c r="O623" s="1"/>
      <c r="P623" s="38">
        <f t="shared" si="55"/>
        <v>0</v>
      </c>
      <c r="S623" s="24" t="str">
        <f t="shared" si="58"/>
        <v>-</v>
      </c>
      <c r="T623" s="24" t="str">
        <f t="shared" si="56"/>
        <v>-</v>
      </c>
      <c r="U623" s="25" t="str">
        <f t="shared" si="59"/>
        <v>-</v>
      </c>
      <c r="V623" s="26" t="str">
        <f t="shared" si="60"/>
        <v>-</v>
      </c>
      <c r="X623" s="26" t="str">
        <f t="shared" si="57"/>
        <v>-</v>
      </c>
    </row>
    <row r="624" spans="1:24" x14ac:dyDescent="0.3">
      <c r="A624" s="37">
        <v>87614040943</v>
      </c>
      <c r="B624" s="8" t="s">
        <v>1227</v>
      </c>
      <c r="C624" s="10" t="s">
        <v>2747</v>
      </c>
      <c r="D624" s="11" t="s">
        <v>878</v>
      </c>
      <c r="E624" s="11" t="s">
        <v>2865</v>
      </c>
      <c r="F624" s="9">
        <v>30</v>
      </c>
      <c r="G624" s="9">
        <v>90</v>
      </c>
      <c r="H624" s="9" t="s">
        <v>868</v>
      </c>
      <c r="I624" s="9">
        <v>36</v>
      </c>
      <c r="J624" s="9">
        <v>60</v>
      </c>
      <c r="K624" s="9" t="s">
        <v>873</v>
      </c>
      <c r="L624" s="27">
        <v>8.9664999999999995E-2</v>
      </c>
      <c r="M624" s="28" t="s">
        <v>3203</v>
      </c>
      <c r="N624" s="17">
        <v>17.624271</v>
      </c>
      <c r="O624" s="1"/>
      <c r="P624" s="38">
        <f t="shared" si="55"/>
        <v>0</v>
      </c>
      <c r="S624" s="24" t="str">
        <f t="shared" si="58"/>
        <v>-</v>
      </c>
      <c r="T624" s="24" t="str">
        <f t="shared" si="56"/>
        <v>-</v>
      </c>
      <c r="U624" s="25" t="str">
        <f t="shared" si="59"/>
        <v>-</v>
      </c>
      <c r="V624" s="26" t="str">
        <f t="shared" si="60"/>
        <v>-</v>
      </c>
      <c r="X624" s="26" t="str">
        <f t="shared" si="57"/>
        <v>-</v>
      </c>
    </row>
    <row r="625" spans="1:24" x14ac:dyDescent="0.3">
      <c r="A625" s="37">
        <v>87614024035</v>
      </c>
      <c r="B625" s="8" t="s">
        <v>1813</v>
      </c>
      <c r="C625" s="10" t="s">
        <v>2549</v>
      </c>
      <c r="D625" s="11" t="s">
        <v>2835</v>
      </c>
      <c r="E625" s="11" t="s">
        <v>2892</v>
      </c>
      <c r="F625" s="9">
        <v>9</v>
      </c>
      <c r="G625" s="9">
        <v>9</v>
      </c>
      <c r="H625" s="9" t="s">
        <v>868</v>
      </c>
      <c r="I625" s="9">
        <v>60</v>
      </c>
      <c r="J625" s="9">
        <v>1</v>
      </c>
      <c r="K625" s="9" t="s">
        <v>2916</v>
      </c>
      <c r="L625" s="27">
        <v>1.2689300000000001</v>
      </c>
      <c r="M625" s="28" t="s">
        <v>3203</v>
      </c>
      <c r="N625" s="17">
        <v>17.890046999999999</v>
      </c>
      <c r="O625" s="1"/>
      <c r="P625" s="38">
        <f t="shared" si="55"/>
        <v>0</v>
      </c>
      <c r="S625" s="24" t="str">
        <f t="shared" si="58"/>
        <v>-</v>
      </c>
      <c r="T625" s="24" t="str">
        <f t="shared" si="56"/>
        <v>-</v>
      </c>
      <c r="U625" s="25" t="str">
        <f t="shared" si="59"/>
        <v>-</v>
      </c>
      <c r="V625" s="26" t="str">
        <f t="shared" si="60"/>
        <v>-</v>
      </c>
      <c r="X625" s="26" t="str">
        <f t="shared" si="57"/>
        <v>-</v>
      </c>
    </row>
    <row r="626" spans="1:24" x14ac:dyDescent="0.3">
      <c r="A626" s="37">
        <v>87614024288</v>
      </c>
      <c r="B626" s="8" t="s">
        <v>1171</v>
      </c>
      <c r="C626" s="10" t="s">
        <v>1992</v>
      </c>
      <c r="D626" s="11" t="s">
        <v>897</v>
      </c>
      <c r="E626" s="11" t="s">
        <v>999</v>
      </c>
      <c r="F626" s="9">
        <v>9</v>
      </c>
      <c r="G626" s="9">
        <v>18</v>
      </c>
      <c r="H626" s="9" t="s">
        <v>868</v>
      </c>
      <c r="I626" s="9">
        <v>24</v>
      </c>
      <c r="J626" s="9">
        <v>1</v>
      </c>
      <c r="K626" s="9" t="s">
        <v>880</v>
      </c>
      <c r="L626" s="27">
        <v>0.46307999999999999</v>
      </c>
      <c r="M626" s="28" t="s">
        <v>3203</v>
      </c>
      <c r="N626" s="17">
        <v>17.939880000000002</v>
      </c>
      <c r="O626" s="1"/>
      <c r="P626" s="38">
        <f t="shared" si="55"/>
        <v>0</v>
      </c>
      <c r="S626" s="24" t="str">
        <f t="shared" si="58"/>
        <v>-</v>
      </c>
      <c r="T626" s="24" t="str">
        <f t="shared" si="56"/>
        <v>-</v>
      </c>
      <c r="U626" s="25" t="str">
        <f t="shared" si="59"/>
        <v>-</v>
      </c>
      <c r="V626" s="26" t="str">
        <f t="shared" si="60"/>
        <v>-</v>
      </c>
      <c r="X626" s="26" t="str">
        <f t="shared" si="57"/>
        <v>-</v>
      </c>
    </row>
    <row r="627" spans="1:24" x14ac:dyDescent="0.3">
      <c r="A627" s="37">
        <v>87614241067</v>
      </c>
      <c r="B627" s="8" t="s">
        <v>1687</v>
      </c>
      <c r="C627" s="10" t="s">
        <v>2438</v>
      </c>
      <c r="D627" s="11" t="s">
        <v>2875</v>
      </c>
      <c r="E627" s="11" t="s">
        <v>2876</v>
      </c>
      <c r="F627" s="9">
        <v>6</v>
      </c>
      <c r="G627" s="9">
        <v>12</v>
      </c>
      <c r="H627" s="9" t="s">
        <v>868</v>
      </c>
      <c r="I627" s="9">
        <v>36</v>
      </c>
      <c r="J627" s="9">
        <v>1</v>
      </c>
      <c r="K627" s="9" t="s">
        <v>880</v>
      </c>
      <c r="L627" s="27">
        <v>0.36093000000000003</v>
      </c>
      <c r="M627" s="28" t="s">
        <v>3203</v>
      </c>
      <c r="N627" s="17">
        <v>18.321933000000001</v>
      </c>
      <c r="O627" s="1"/>
      <c r="P627" s="38">
        <f t="shared" si="55"/>
        <v>0</v>
      </c>
      <c r="S627" s="24" t="str">
        <f t="shared" si="58"/>
        <v>-</v>
      </c>
      <c r="T627" s="24" t="str">
        <f t="shared" si="56"/>
        <v>-</v>
      </c>
      <c r="U627" s="25" t="str">
        <f t="shared" si="59"/>
        <v>-</v>
      </c>
      <c r="V627" s="26" t="str">
        <f t="shared" si="60"/>
        <v>-</v>
      </c>
      <c r="X627" s="26" t="str">
        <f t="shared" si="57"/>
        <v>-</v>
      </c>
    </row>
    <row r="628" spans="1:24" x14ac:dyDescent="0.3">
      <c r="A628" s="37">
        <v>87614023939</v>
      </c>
      <c r="B628" s="8" t="s">
        <v>1076</v>
      </c>
      <c r="C628" s="10" t="s">
        <v>1077</v>
      </c>
      <c r="D628" s="11" t="s">
        <v>874</v>
      </c>
      <c r="E628" s="11" t="s">
        <v>1059</v>
      </c>
      <c r="F628" s="9">
        <v>30</v>
      </c>
      <c r="G628" s="9">
        <v>90</v>
      </c>
      <c r="H628" s="9" t="s">
        <v>868</v>
      </c>
      <c r="I628" s="9">
        <v>36</v>
      </c>
      <c r="J628" s="9">
        <v>60</v>
      </c>
      <c r="K628" s="9" t="s">
        <v>869</v>
      </c>
      <c r="L628" s="27">
        <v>6.6964999999999997E-2</v>
      </c>
      <c r="M628" s="28" t="s">
        <v>3203</v>
      </c>
      <c r="N628" s="17">
        <v>18.554486999999998</v>
      </c>
      <c r="O628" s="1"/>
      <c r="P628" s="38">
        <f t="shared" si="55"/>
        <v>0</v>
      </c>
      <c r="S628" s="24" t="str">
        <f t="shared" si="58"/>
        <v>-</v>
      </c>
      <c r="T628" s="24" t="str">
        <f t="shared" si="56"/>
        <v>-</v>
      </c>
      <c r="U628" s="25" t="str">
        <f t="shared" si="59"/>
        <v>-</v>
      </c>
      <c r="V628" s="26" t="str">
        <f t="shared" si="60"/>
        <v>-</v>
      </c>
      <c r="X628" s="26" t="str">
        <f t="shared" si="57"/>
        <v>-</v>
      </c>
    </row>
    <row r="629" spans="1:24" x14ac:dyDescent="0.3">
      <c r="A629" s="37">
        <v>87614026817</v>
      </c>
      <c r="B629" s="8" t="s">
        <v>1828</v>
      </c>
      <c r="C629" s="10" t="s">
        <v>2563</v>
      </c>
      <c r="D629" s="11" t="s">
        <v>874</v>
      </c>
      <c r="E629" s="11" t="s">
        <v>2819</v>
      </c>
      <c r="F629" s="9">
        <v>16</v>
      </c>
      <c r="G629" s="9">
        <v>48</v>
      </c>
      <c r="H629" s="9" t="s">
        <v>868</v>
      </c>
      <c r="I629" s="9">
        <v>24</v>
      </c>
      <c r="J629" s="9">
        <v>100</v>
      </c>
      <c r="K629" s="9" t="s">
        <v>869</v>
      </c>
      <c r="L629" s="27">
        <v>0.20543500000000001</v>
      </c>
      <c r="M629" s="28" t="s">
        <v>3203</v>
      </c>
      <c r="N629" s="17">
        <v>18.620930999999999</v>
      </c>
      <c r="O629" s="1"/>
      <c r="P629" s="38">
        <f t="shared" si="55"/>
        <v>0</v>
      </c>
      <c r="S629" s="24" t="str">
        <f t="shared" si="58"/>
        <v>-</v>
      </c>
      <c r="T629" s="24" t="str">
        <f t="shared" si="56"/>
        <v>-</v>
      </c>
      <c r="U629" s="25" t="str">
        <f t="shared" si="59"/>
        <v>-</v>
      </c>
      <c r="V629" s="26" t="str">
        <f t="shared" si="60"/>
        <v>-</v>
      </c>
      <c r="X629" s="26" t="str">
        <f t="shared" si="57"/>
        <v>-</v>
      </c>
    </row>
    <row r="630" spans="1:24" x14ac:dyDescent="0.3">
      <c r="A630" s="37">
        <v>87614117041</v>
      </c>
      <c r="B630" s="8" t="s">
        <v>1216</v>
      </c>
      <c r="C630" s="10" t="s">
        <v>2030</v>
      </c>
      <c r="D630" s="11" t="s">
        <v>882</v>
      </c>
      <c r="E630" s="11" t="s">
        <v>920</v>
      </c>
      <c r="F630" s="9">
        <v>12</v>
      </c>
      <c r="G630" s="9">
        <v>24</v>
      </c>
      <c r="H630" s="9" t="s">
        <v>868</v>
      </c>
      <c r="I630" s="9">
        <v>24</v>
      </c>
      <c r="J630" s="9">
        <v>250</v>
      </c>
      <c r="K630" s="9" t="s">
        <v>873</v>
      </c>
      <c r="L630" s="27">
        <v>0.32915</v>
      </c>
      <c r="M630" s="28" t="s">
        <v>3203</v>
      </c>
      <c r="N630" s="17">
        <v>19.135871999999999</v>
      </c>
      <c r="O630" s="1"/>
      <c r="P630" s="38">
        <f t="shared" si="55"/>
        <v>0</v>
      </c>
      <c r="S630" s="24" t="str">
        <f t="shared" si="58"/>
        <v>-</v>
      </c>
      <c r="T630" s="24" t="str">
        <f t="shared" si="56"/>
        <v>-</v>
      </c>
      <c r="U630" s="25" t="str">
        <f t="shared" si="59"/>
        <v>-</v>
      </c>
      <c r="V630" s="26" t="str">
        <f t="shared" si="60"/>
        <v>-</v>
      </c>
      <c r="X630" s="26" t="str">
        <f t="shared" si="57"/>
        <v>-</v>
      </c>
    </row>
    <row r="631" spans="1:24" x14ac:dyDescent="0.3">
      <c r="A631" s="37">
        <v>87614240404</v>
      </c>
      <c r="B631" s="8" t="s">
        <v>1670</v>
      </c>
      <c r="C631" s="10" t="s">
        <v>2426</v>
      </c>
      <c r="D631" s="11" t="s">
        <v>907</v>
      </c>
      <c r="E631" s="11" t="s">
        <v>2871</v>
      </c>
      <c r="F631" s="9">
        <v>6</v>
      </c>
      <c r="G631" s="9">
        <v>12</v>
      </c>
      <c r="H631" s="9" t="s">
        <v>868</v>
      </c>
      <c r="I631" s="9">
        <v>24</v>
      </c>
      <c r="J631" s="9">
        <v>1</v>
      </c>
      <c r="K631" s="9" t="s">
        <v>2912</v>
      </c>
      <c r="L631" s="27">
        <v>0.54139499999999996</v>
      </c>
      <c r="M631" s="28" t="s">
        <v>3203</v>
      </c>
      <c r="N631" s="17">
        <v>19.385036999999997</v>
      </c>
      <c r="O631" s="1"/>
      <c r="P631" s="38">
        <f t="shared" si="55"/>
        <v>0</v>
      </c>
      <c r="S631" s="24" t="str">
        <f t="shared" si="58"/>
        <v>-</v>
      </c>
      <c r="T631" s="24" t="str">
        <f t="shared" si="56"/>
        <v>-</v>
      </c>
      <c r="U631" s="25" t="str">
        <f t="shared" si="59"/>
        <v>-</v>
      </c>
      <c r="V631" s="26" t="str">
        <f t="shared" si="60"/>
        <v>-</v>
      </c>
      <c r="X631" s="26" t="str">
        <f t="shared" si="57"/>
        <v>-</v>
      </c>
    </row>
    <row r="632" spans="1:24" x14ac:dyDescent="0.3">
      <c r="A632" s="37">
        <v>87614119175</v>
      </c>
      <c r="B632" s="8" t="s">
        <v>1956</v>
      </c>
      <c r="C632" s="10" t="s">
        <v>2677</v>
      </c>
      <c r="D632" s="11" t="s">
        <v>874</v>
      </c>
      <c r="E632" s="11" t="s">
        <v>917</v>
      </c>
      <c r="F632" s="9">
        <v>30</v>
      </c>
      <c r="G632" s="9">
        <v>90</v>
      </c>
      <c r="H632" s="9" t="s">
        <v>868</v>
      </c>
      <c r="I632" s="9">
        <v>36</v>
      </c>
      <c r="J632" s="9">
        <v>60</v>
      </c>
      <c r="K632" s="9" t="s">
        <v>2903</v>
      </c>
      <c r="L632" s="27">
        <v>8.8529999999999998E-2</v>
      </c>
      <c r="M632" s="28" t="s">
        <v>3203</v>
      </c>
      <c r="N632" s="17">
        <v>20.082698999999998</v>
      </c>
      <c r="O632" s="1"/>
      <c r="P632" s="38">
        <f t="shared" si="55"/>
        <v>0</v>
      </c>
      <c r="S632" s="24" t="str">
        <f t="shared" si="58"/>
        <v>-</v>
      </c>
      <c r="T632" s="24" t="str">
        <f t="shared" si="56"/>
        <v>-</v>
      </c>
      <c r="U632" s="25" t="str">
        <f t="shared" si="59"/>
        <v>-</v>
      </c>
      <c r="V632" s="26" t="str">
        <f t="shared" si="60"/>
        <v>-</v>
      </c>
      <c r="X632" s="26" t="str">
        <f t="shared" si="57"/>
        <v>-</v>
      </c>
    </row>
    <row r="633" spans="1:24" x14ac:dyDescent="0.3">
      <c r="A633" s="37">
        <v>87614210513</v>
      </c>
      <c r="B633" s="8" t="s">
        <v>1152</v>
      </c>
      <c r="C633" s="10" t="s">
        <v>3026</v>
      </c>
      <c r="D633" s="11" t="s">
        <v>876</v>
      </c>
      <c r="E633" s="11" t="s">
        <v>1020</v>
      </c>
      <c r="F633" s="9">
        <v>30</v>
      </c>
      <c r="G633" s="9">
        <v>90</v>
      </c>
      <c r="H633" s="9" t="s">
        <v>868</v>
      </c>
      <c r="I633" s="9">
        <v>24</v>
      </c>
      <c r="J633" s="9">
        <v>60</v>
      </c>
      <c r="K633" s="9" t="s">
        <v>2903</v>
      </c>
      <c r="L633" s="27">
        <v>7.7180000000000012E-2</v>
      </c>
      <c r="M633" s="28" t="s">
        <v>3203</v>
      </c>
      <c r="N633" s="17">
        <v>20.149142999999999</v>
      </c>
      <c r="O633" s="1"/>
      <c r="P633" s="38">
        <f t="shared" si="55"/>
        <v>0</v>
      </c>
      <c r="S633" s="24" t="str">
        <f t="shared" si="58"/>
        <v>-</v>
      </c>
      <c r="T633" s="24" t="str">
        <f t="shared" si="56"/>
        <v>-</v>
      </c>
      <c r="U633" s="25" t="str">
        <f t="shared" si="59"/>
        <v>-</v>
      </c>
      <c r="V633" s="26" t="str">
        <f t="shared" si="60"/>
        <v>-</v>
      </c>
      <c r="X633" s="26" t="str">
        <f t="shared" si="57"/>
        <v>-</v>
      </c>
    </row>
    <row r="634" spans="1:24" x14ac:dyDescent="0.3">
      <c r="A634" s="37">
        <v>87614119656</v>
      </c>
      <c r="B634" s="8" t="s">
        <v>3089</v>
      </c>
      <c r="C634" s="10" t="s">
        <v>3090</v>
      </c>
      <c r="D634" s="11" t="s">
        <v>891</v>
      </c>
      <c r="E634" s="11" t="s">
        <v>1016</v>
      </c>
      <c r="F634" s="9">
        <v>6</v>
      </c>
      <c r="G634" s="9">
        <v>6</v>
      </c>
      <c r="H634" s="9" t="s">
        <v>868</v>
      </c>
      <c r="I634" s="9">
        <v>36</v>
      </c>
      <c r="J634" s="9">
        <v>1</v>
      </c>
      <c r="K634" s="9" t="s">
        <v>880</v>
      </c>
      <c r="L634" s="27">
        <v>0.43243500000000001</v>
      </c>
      <c r="M634" s="28" t="s">
        <v>3203</v>
      </c>
      <c r="N634" s="17">
        <v>20.431529999999999</v>
      </c>
      <c r="O634" s="1"/>
      <c r="P634" s="38">
        <f t="shared" si="55"/>
        <v>0</v>
      </c>
      <c r="S634" s="24" t="str">
        <f t="shared" si="58"/>
        <v>-</v>
      </c>
      <c r="T634" s="24" t="str">
        <f t="shared" si="56"/>
        <v>-</v>
      </c>
      <c r="U634" s="25" t="str">
        <f t="shared" si="59"/>
        <v>-</v>
      </c>
      <c r="V634" s="26" t="str">
        <f t="shared" si="60"/>
        <v>-</v>
      </c>
      <c r="X634" s="26" t="str">
        <f t="shared" si="57"/>
        <v>-</v>
      </c>
    </row>
    <row r="635" spans="1:24" x14ac:dyDescent="0.3">
      <c r="A635" s="37">
        <v>87614240893</v>
      </c>
      <c r="B635" s="8" t="s">
        <v>1682</v>
      </c>
      <c r="C635" s="10" t="s">
        <v>2435</v>
      </c>
      <c r="D635" s="11" t="s">
        <v>907</v>
      </c>
      <c r="E635" s="11" t="s">
        <v>2871</v>
      </c>
      <c r="F635" s="9">
        <v>6</v>
      </c>
      <c r="G635" s="9">
        <v>12</v>
      </c>
      <c r="H635" s="9" t="s">
        <v>868</v>
      </c>
      <c r="I635" s="9">
        <v>24</v>
      </c>
      <c r="J635" s="9">
        <v>1</v>
      </c>
      <c r="K635" s="9" t="s">
        <v>2912</v>
      </c>
      <c r="L635" s="27">
        <v>0.54139499999999996</v>
      </c>
      <c r="M635" s="28" t="s">
        <v>3203</v>
      </c>
      <c r="N635" s="17">
        <v>20.547806999999999</v>
      </c>
      <c r="O635" s="1"/>
      <c r="P635" s="38">
        <f t="shared" si="55"/>
        <v>0</v>
      </c>
      <c r="S635" s="24" t="str">
        <f t="shared" si="58"/>
        <v>-</v>
      </c>
      <c r="T635" s="24" t="str">
        <f t="shared" si="56"/>
        <v>-</v>
      </c>
      <c r="U635" s="25" t="str">
        <f t="shared" si="59"/>
        <v>-</v>
      </c>
      <c r="V635" s="26" t="str">
        <f t="shared" si="60"/>
        <v>-</v>
      </c>
      <c r="X635" s="26" t="str">
        <f t="shared" si="57"/>
        <v>-</v>
      </c>
    </row>
    <row r="636" spans="1:24" x14ac:dyDescent="0.3">
      <c r="A636" s="37">
        <v>87614240350</v>
      </c>
      <c r="B636" s="8" t="s">
        <v>1668</v>
      </c>
      <c r="C636" s="10" t="s">
        <v>3008</v>
      </c>
      <c r="D636" s="11" t="s">
        <v>2835</v>
      </c>
      <c r="E636" s="11" t="s">
        <v>2870</v>
      </c>
      <c r="F636" s="9">
        <v>12</v>
      </c>
      <c r="G636" s="9">
        <v>12</v>
      </c>
      <c r="H636" s="9" t="s">
        <v>868</v>
      </c>
      <c r="I636" s="9">
        <v>24</v>
      </c>
      <c r="J636" s="9">
        <v>1</v>
      </c>
      <c r="K636" s="9" t="s">
        <v>2906</v>
      </c>
      <c r="L636" s="27">
        <v>0.59020000000000006</v>
      </c>
      <c r="M636" s="28" t="s">
        <v>3203</v>
      </c>
      <c r="N636" s="17">
        <v>20.763749999999998</v>
      </c>
      <c r="O636" s="1"/>
      <c r="P636" s="38">
        <f t="shared" si="55"/>
        <v>0</v>
      </c>
      <c r="S636" s="24" t="str">
        <f t="shared" si="58"/>
        <v>-</v>
      </c>
      <c r="T636" s="24" t="str">
        <f t="shared" si="56"/>
        <v>-</v>
      </c>
      <c r="U636" s="25" t="str">
        <f t="shared" si="59"/>
        <v>-</v>
      </c>
      <c r="V636" s="26" t="str">
        <f t="shared" si="60"/>
        <v>-</v>
      </c>
      <c r="X636" s="26" t="str">
        <f t="shared" si="57"/>
        <v>-</v>
      </c>
    </row>
    <row r="637" spans="1:24" x14ac:dyDescent="0.3">
      <c r="A637" s="37">
        <v>87614028347</v>
      </c>
      <c r="B637" s="8" t="s">
        <v>1851</v>
      </c>
      <c r="C637" s="10" t="s">
        <v>2801</v>
      </c>
      <c r="D637" s="11" t="s">
        <v>874</v>
      </c>
      <c r="E637" s="11" t="s">
        <v>919</v>
      </c>
      <c r="F637" s="9">
        <v>48</v>
      </c>
      <c r="G637" s="9">
        <v>192</v>
      </c>
      <c r="H637" s="9" t="s">
        <v>868</v>
      </c>
      <c r="I637" s="9">
        <v>36</v>
      </c>
      <c r="J637" s="9">
        <v>60</v>
      </c>
      <c r="K637" s="9" t="s">
        <v>2903</v>
      </c>
      <c r="L637" s="27">
        <v>3.6319999999999998E-2</v>
      </c>
      <c r="M637" s="28" t="s">
        <v>3203</v>
      </c>
      <c r="N637" s="17">
        <v>20.863416000000001</v>
      </c>
      <c r="O637" s="1"/>
      <c r="P637" s="38">
        <f t="shared" si="55"/>
        <v>0</v>
      </c>
      <c r="S637" s="24" t="str">
        <f t="shared" si="58"/>
        <v>-</v>
      </c>
      <c r="T637" s="24" t="str">
        <f t="shared" si="56"/>
        <v>-</v>
      </c>
      <c r="U637" s="25" t="str">
        <f t="shared" si="59"/>
        <v>-</v>
      </c>
      <c r="V637" s="26" t="str">
        <f t="shared" si="60"/>
        <v>-</v>
      </c>
      <c r="X637" s="26" t="str">
        <f t="shared" si="57"/>
        <v>-</v>
      </c>
    </row>
    <row r="638" spans="1:24" x14ac:dyDescent="0.3">
      <c r="A638" s="37">
        <v>87614011974</v>
      </c>
      <c r="B638" s="8" t="s">
        <v>1612</v>
      </c>
      <c r="C638" s="10" t="s">
        <v>2374</v>
      </c>
      <c r="D638" s="11" t="s">
        <v>881</v>
      </c>
      <c r="E638" s="11" t="s">
        <v>939</v>
      </c>
      <c r="F638" s="9">
        <v>12</v>
      </c>
      <c r="G638" s="9">
        <v>24</v>
      </c>
      <c r="H638" s="9" t="s">
        <v>868</v>
      </c>
      <c r="I638" s="9">
        <v>36</v>
      </c>
      <c r="J638" s="9">
        <v>500</v>
      </c>
      <c r="K638" s="9" t="s">
        <v>873</v>
      </c>
      <c r="L638" s="27">
        <v>0.36320000000000002</v>
      </c>
      <c r="M638" s="28" t="s">
        <v>3203</v>
      </c>
      <c r="N638" s="17">
        <v>20.913248999999997</v>
      </c>
      <c r="O638" s="1"/>
      <c r="P638" s="38">
        <f t="shared" si="55"/>
        <v>0</v>
      </c>
      <c r="S638" s="24" t="str">
        <f t="shared" si="58"/>
        <v>-</v>
      </c>
      <c r="T638" s="24" t="str">
        <f t="shared" si="56"/>
        <v>-</v>
      </c>
      <c r="U638" s="25" t="str">
        <f t="shared" si="59"/>
        <v>-</v>
      </c>
      <c r="V638" s="26" t="str">
        <f t="shared" si="60"/>
        <v>-</v>
      </c>
      <c r="X638" s="26" t="str">
        <f t="shared" si="57"/>
        <v>-</v>
      </c>
    </row>
    <row r="639" spans="1:24" x14ac:dyDescent="0.3">
      <c r="A639" s="37">
        <v>87614240701</v>
      </c>
      <c r="B639" s="8" t="s">
        <v>1674</v>
      </c>
      <c r="C639" s="10" t="s">
        <v>2429</v>
      </c>
      <c r="D639" s="11" t="s">
        <v>907</v>
      </c>
      <c r="E639" s="11" t="s">
        <v>2871</v>
      </c>
      <c r="F639" s="9">
        <v>6</v>
      </c>
      <c r="G639" s="9">
        <v>12</v>
      </c>
      <c r="H639" s="9" t="s">
        <v>868</v>
      </c>
      <c r="I639" s="9">
        <v>24</v>
      </c>
      <c r="J639" s="9">
        <v>1</v>
      </c>
      <c r="K639" s="9" t="s">
        <v>2912</v>
      </c>
      <c r="L639" s="27">
        <v>0.54025999999999996</v>
      </c>
      <c r="M639" s="28" t="s">
        <v>3203</v>
      </c>
      <c r="N639" s="17">
        <v>21.378357000000001</v>
      </c>
      <c r="O639" s="1"/>
      <c r="P639" s="38">
        <f t="shared" si="55"/>
        <v>0</v>
      </c>
      <c r="S639" s="24" t="str">
        <f t="shared" si="58"/>
        <v>-</v>
      </c>
      <c r="T639" s="24" t="str">
        <f t="shared" si="56"/>
        <v>-</v>
      </c>
      <c r="U639" s="25" t="str">
        <f t="shared" si="59"/>
        <v>-</v>
      </c>
      <c r="V639" s="26" t="str">
        <f t="shared" si="60"/>
        <v>-</v>
      </c>
      <c r="X639" s="26" t="str">
        <f t="shared" si="57"/>
        <v>-</v>
      </c>
    </row>
    <row r="640" spans="1:24" x14ac:dyDescent="0.3">
      <c r="A640" s="37">
        <v>87614119243</v>
      </c>
      <c r="B640" s="8" t="s">
        <v>2703</v>
      </c>
      <c r="C640" s="10" t="s">
        <v>2704</v>
      </c>
      <c r="D640" s="11" t="s">
        <v>881</v>
      </c>
      <c r="E640" s="11" t="s">
        <v>1019</v>
      </c>
      <c r="F640" s="9">
        <v>16</v>
      </c>
      <c r="G640" s="9">
        <v>16</v>
      </c>
      <c r="H640" s="9" t="s">
        <v>868</v>
      </c>
      <c r="I640" s="9">
        <v>36</v>
      </c>
      <c r="J640" s="9">
        <v>60</v>
      </c>
      <c r="K640" s="9" t="s">
        <v>901</v>
      </c>
      <c r="L640" s="27">
        <v>0.27694000000000002</v>
      </c>
      <c r="M640" s="28" t="s">
        <v>3203</v>
      </c>
      <c r="N640" s="17">
        <v>21.461411999999999</v>
      </c>
      <c r="O640" s="1"/>
      <c r="P640" s="38">
        <f t="shared" si="55"/>
        <v>0</v>
      </c>
      <c r="S640" s="24" t="str">
        <f t="shared" si="58"/>
        <v>-</v>
      </c>
      <c r="T640" s="24" t="str">
        <f t="shared" si="56"/>
        <v>-</v>
      </c>
      <c r="U640" s="25" t="str">
        <f t="shared" si="59"/>
        <v>-</v>
      </c>
      <c r="V640" s="26" t="str">
        <f t="shared" si="60"/>
        <v>-</v>
      </c>
      <c r="X640" s="26" t="str">
        <f t="shared" si="57"/>
        <v>-</v>
      </c>
    </row>
    <row r="641" spans="1:24" x14ac:dyDescent="0.3">
      <c r="A641" s="37">
        <v>87614022451</v>
      </c>
      <c r="B641" s="8" t="s">
        <v>1801</v>
      </c>
      <c r="C641" s="10" t="s">
        <v>2537</v>
      </c>
      <c r="D641" s="11" t="s">
        <v>894</v>
      </c>
      <c r="E641" s="11" t="s">
        <v>992</v>
      </c>
      <c r="F641" s="9">
        <v>20</v>
      </c>
      <c r="G641" s="9">
        <v>20</v>
      </c>
      <c r="H641" s="9" t="s">
        <v>892</v>
      </c>
      <c r="I641" s="9">
        <v>60</v>
      </c>
      <c r="J641" s="9">
        <v>1</v>
      </c>
      <c r="K641" s="9" t="s">
        <v>887</v>
      </c>
      <c r="L641" s="27">
        <v>0.25083500000000003</v>
      </c>
      <c r="M641" s="28" t="s">
        <v>3203</v>
      </c>
      <c r="N641" s="17">
        <v>21.527856</v>
      </c>
      <c r="O641" s="1"/>
      <c r="P641" s="38">
        <f t="shared" si="55"/>
        <v>0</v>
      </c>
      <c r="S641" s="24" t="str">
        <f t="shared" si="58"/>
        <v>-</v>
      </c>
      <c r="T641" s="24" t="str">
        <f t="shared" si="56"/>
        <v>-</v>
      </c>
      <c r="U641" s="25" t="str">
        <f t="shared" si="59"/>
        <v>-</v>
      </c>
      <c r="V641" s="26" t="str">
        <f t="shared" si="60"/>
        <v>-</v>
      </c>
      <c r="X641" s="26" t="str">
        <f t="shared" si="57"/>
        <v>-</v>
      </c>
    </row>
    <row r="642" spans="1:24" x14ac:dyDescent="0.3">
      <c r="A642" s="37">
        <v>87614060682</v>
      </c>
      <c r="B642" s="8" t="s">
        <v>2770</v>
      </c>
      <c r="C642" s="10" t="s">
        <v>2771</v>
      </c>
      <c r="D642" s="11" t="s">
        <v>866</v>
      </c>
      <c r="E642" s="11" t="s">
        <v>956</v>
      </c>
      <c r="F642" s="9">
        <v>12</v>
      </c>
      <c r="G642" s="9">
        <v>24</v>
      </c>
      <c r="H642" s="9" t="s">
        <v>892</v>
      </c>
      <c r="I642" s="9">
        <v>24</v>
      </c>
      <c r="J642" s="9">
        <v>180</v>
      </c>
      <c r="K642" s="9" t="s">
        <v>889</v>
      </c>
      <c r="L642" s="27">
        <v>0.22473000000000001</v>
      </c>
      <c r="M642" s="28" t="s">
        <v>3203</v>
      </c>
      <c r="N642" s="17">
        <v>21.826854000000001</v>
      </c>
      <c r="O642" s="1"/>
      <c r="P642" s="38">
        <f t="shared" si="55"/>
        <v>0</v>
      </c>
      <c r="S642" s="24" t="str">
        <f t="shared" si="58"/>
        <v>-</v>
      </c>
      <c r="T642" s="24" t="str">
        <f t="shared" si="56"/>
        <v>-</v>
      </c>
      <c r="U642" s="25" t="str">
        <f t="shared" si="59"/>
        <v>-</v>
      </c>
      <c r="V642" s="26" t="str">
        <f t="shared" si="60"/>
        <v>-</v>
      </c>
      <c r="X642" s="26" t="str">
        <f t="shared" si="57"/>
        <v>-</v>
      </c>
    </row>
    <row r="643" spans="1:24" x14ac:dyDescent="0.3">
      <c r="A643" s="37">
        <v>87614090061</v>
      </c>
      <c r="B643" s="8" t="s">
        <v>1697</v>
      </c>
      <c r="C643" s="10" t="s">
        <v>2447</v>
      </c>
      <c r="D643" s="11" t="s">
        <v>874</v>
      </c>
      <c r="E643" s="11" t="s">
        <v>914</v>
      </c>
      <c r="F643" s="9">
        <v>12</v>
      </c>
      <c r="G643" s="9">
        <v>24</v>
      </c>
      <c r="H643" s="9" t="s">
        <v>868</v>
      </c>
      <c r="I643" s="9">
        <v>24</v>
      </c>
      <c r="J643" s="9">
        <v>200</v>
      </c>
      <c r="K643" s="9" t="s">
        <v>873</v>
      </c>
      <c r="L643" s="27">
        <v>0.27239999999999998</v>
      </c>
      <c r="M643" s="28" t="s">
        <v>3203</v>
      </c>
      <c r="N643" s="17">
        <v>21.843465000000002</v>
      </c>
      <c r="O643" s="1"/>
      <c r="P643" s="38">
        <f t="shared" ref="P643:P706" si="61">O643*N643</f>
        <v>0</v>
      </c>
      <c r="S643" s="24" t="str">
        <f t="shared" si="58"/>
        <v>-</v>
      </c>
      <c r="T643" s="24" t="str">
        <f t="shared" ref="T643:T706" si="62">IF(O643&gt;0,N643+L643*O643/$U$2*$V$2/O643,"-")</f>
        <v>-</v>
      </c>
      <c r="U643" s="25" t="str">
        <f t="shared" si="59"/>
        <v>-</v>
      </c>
      <c r="V643" s="26" t="str">
        <f t="shared" si="60"/>
        <v>-</v>
      </c>
      <c r="X643" s="26" t="str">
        <f t="shared" ref="X643:X706" si="63">IFERROR(IF(V643+P643=0, "-", IF(V643&gt;0, V643+P643, "-")), "-")</f>
        <v>-</v>
      </c>
    </row>
    <row r="644" spans="1:24" x14ac:dyDescent="0.3">
      <c r="A644" s="37">
        <v>87614022369</v>
      </c>
      <c r="B644" s="8" t="s">
        <v>1943</v>
      </c>
      <c r="C644" s="10" t="s">
        <v>2665</v>
      </c>
      <c r="D644" s="11" t="s">
        <v>874</v>
      </c>
      <c r="E644" s="11" t="s">
        <v>917</v>
      </c>
      <c r="F644" s="9">
        <v>30</v>
      </c>
      <c r="G644" s="9">
        <v>90</v>
      </c>
      <c r="H644" s="9" t="s">
        <v>868</v>
      </c>
      <c r="I644" s="9">
        <v>36</v>
      </c>
      <c r="J644" s="9">
        <v>60</v>
      </c>
      <c r="K644" s="9" t="s">
        <v>869</v>
      </c>
      <c r="L644" s="27">
        <v>7.3775000000000007E-2</v>
      </c>
      <c r="M644" s="28" t="s">
        <v>3203</v>
      </c>
      <c r="N644" s="17">
        <v>22.09263</v>
      </c>
      <c r="O644" s="1"/>
      <c r="P644" s="38">
        <f t="shared" si="61"/>
        <v>0</v>
      </c>
      <c r="S644" s="24" t="str">
        <f t="shared" ref="S644:S707" si="64">IFERROR(IF(S$2*L644=0, "-", $S$2*L644), "-")</f>
        <v>-</v>
      </c>
      <c r="T644" s="24" t="str">
        <f t="shared" si="62"/>
        <v>-</v>
      </c>
      <c r="U644" s="25" t="str">
        <f t="shared" ref="U644:U707" si="65">IF(O644&gt;0,O644*L644, "-")</f>
        <v>-</v>
      </c>
      <c r="V644" s="26" t="str">
        <f t="shared" ref="V644:V707" si="66">IFERROR(IF($S$2&gt;0, $S$2*U644, "-"), "-")</f>
        <v>-</v>
      </c>
      <c r="X644" s="26" t="str">
        <f t="shared" si="63"/>
        <v>-</v>
      </c>
    </row>
    <row r="645" spans="1:24" x14ac:dyDescent="0.3">
      <c r="A645" s="37">
        <v>87614210698</v>
      </c>
      <c r="B645" s="8" t="s">
        <v>1149</v>
      </c>
      <c r="C645" s="10" t="s">
        <v>1975</v>
      </c>
      <c r="D645" s="11" t="s">
        <v>874</v>
      </c>
      <c r="E645" s="11" t="s">
        <v>1032</v>
      </c>
      <c r="F645" s="9">
        <v>30</v>
      </c>
      <c r="G645" s="9">
        <v>90</v>
      </c>
      <c r="H645" s="9" t="s">
        <v>868</v>
      </c>
      <c r="I645" s="9">
        <v>24</v>
      </c>
      <c r="J645" s="9">
        <v>60</v>
      </c>
      <c r="K645" s="9" t="s">
        <v>869</v>
      </c>
      <c r="L645" s="27">
        <v>6.3560000000000005E-2</v>
      </c>
      <c r="M645" s="28" t="s">
        <v>3203</v>
      </c>
      <c r="N645" s="17">
        <v>22.291961999999998</v>
      </c>
      <c r="O645" s="1"/>
      <c r="P645" s="38">
        <f t="shared" si="61"/>
        <v>0</v>
      </c>
      <c r="S645" s="24" t="str">
        <f t="shared" si="64"/>
        <v>-</v>
      </c>
      <c r="T645" s="24" t="str">
        <f t="shared" si="62"/>
        <v>-</v>
      </c>
      <c r="U645" s="25" t="str">
        <f t="shared" si="65"/>
        <v>-</v>
      </c>
      <c r="V645" s="26" t="str">
        <f t="shared" si="66"/>
        <v>-</v>
      </c>
      <c r="X645" s="26" t="str">
        <f t="shared" si="63"/>
        <v>-</v>
      </c>
    </row>
    <row r="646" spans="1:24" x14ac:dyDescent="0.3">
      <c r="A646" s="37">
        <v>87614240312</v>
      </c>
      <c r="B646" s="8" t="s">
        <v>1667</v>
      </c>
      <c r="C646" s="10" t="s">
        <v>2424</v>
      </c>
      <c r="D646" s="11" t="s">
        <v>2835</v>
      </c>
      <c r="E646" s="11" t="s">
        <v>2869</v>
      </c>
      <c r="F646" s="9">
        <v>6</v>
      </c>
      <c r="G646" s="9">
        <v>12</v>
      </c>
      <c r="H646" s="9" t="s">
        <v>868</v>
      </c>
      <c r="I646" s="9">
        <v>24</v>
      </c>
      <c r="J646" s="9">
        <v>1</v>
      </c>
      <c r="K646" s="9" t="s">
        <v>880</v>
      </c>
      <c r="L646" s="27">
        <v>0.49145499999999998</v>
      </c>
      <c r="M646" s="28" t="s">
        <v>3203</v>
      </c>
      <c r="N646" s="17">
        <v>23.105900999999999</v>
      </c>
      <c r="O646" s="1"/>
      <c r="P646" s="38">
        <f t="shared" si="61"/>
        <v>0</v>
      </c>
      <c r="S646" s="24" t="str">
        <f t="shared" si="64"/>
        <v>-</v>
      </c>
      <c r="T646" s="24" t="str">
        <f t="shared" si="62"/>
        <v>-</v>
      </c>
      <c r="U646" s="25" t="str">
        <f t="shared" si="65"/>
        <v>-</v>
      </c>
      <c r="V646" s="26" t="str">
        <f t="shared" si="66"/>
        <v>-</v>
      </c>
      <c r="X646" s="26" t="str">
        <f t="shared" si="63"/>
        <v>-</v>
      </c>
    </row>
    <row r="647" spans="1:24" x14ac:dyDescent="0.3">
      <c r="A647" s="37">
        <v>87614241166</v>
      </c>
      <c r="B647" s="8" t="s">
        <v>1688</v>
      </c>
      <c r="C647" s="10" t="s">
        <v>2439</v>
      </c>
      <c r="D647" s="11" t="s">
        <v>2835</v>
      </c>
      <c r="E647" s="11" t="s">
        <v>2874</v>
      </c>
      <c r="F647" s="9">
        <v>12</v>
      </c>
      <c r="G647" s="9">
        <v>12</v>
      </c>
      <c r="H647" s="9" t="s">
        <v>868</v>
      </c>
      <c r="I647" s="9">
        <v>12</v>
      </c>
      <c r="J647" s="9">
        <v>1</v>
      </c>
      <c r="K647" s="9" t="s">
        <v>880</v>
      </c>
      <c r="L647" s="27">
        <v>0.50280500000000006</v>
      </c>
      <c r="M647" s="28" t="s">
        <v>3203</v>
      </c>
      <c r="N647" s="17">
        <v>23.438120999999999</v>
      </c>
      <c r="O647" s="1"/>
      <c r="P647" s="38">
        <f t="shared" si="61"/>
        <v>0</v>
      </c>
      <c r="S647" s="24" t="str">
        <f t="shared" si="64"/>
        <v>-</v>
      </c>
      <c r="T647" s="24" t="str">
        <f t="shared" si="62"/>
        <v>-</v>
      </c>
      <c r="U647" s="25" t="str">
        <f t="shared" si="65"/>
        <v>-</v>
      </c>
      <c r="V647" s="26" t="str">
        <f t="shared" si="66"/>
        <v>-</v>
      </c>
      <c r="X647" s="26" t="str">
        <f t="shared" si="63"/>
        <v>-</v>
      </c>
    </row>
    <row r="648" spans="1:24" x14ac:dyDescent="0.3">
      <c r="A648" s="37">
        <v>87614014265</v>
      </c>
      <c r="B648" s="8" t="s">
        <v>1418</v>
      </c>
      <c r="C648" s="10" t="s">
        <v>2194</v>
      </c>
      <c r="D648" s="11" t="s">
        <v>872</v>
      </c>
      <c r="E648" s="11" t="s">
        <v>942</v>
      </c>
      <c r="F648" s="9">
        <v>15</v>
      </c>
      <c r="G648" s="9">
        <v>30</v>
      </c>
      <c r="H648" s="9" t="s">
        <v>868</v>
      </c>
      <c r="I648" s="9">
        <v>36</v>
      </c>
      <c r="J648" s="9">
        <v>300</v>
      </c>
      <c r="K648" s="9" t="s">
        <v>873</v>
      </c>
      <c r="L648" s="27">
        <v>0.17819499999999999</v>
      </c>
      <c r="M648" s="28" t="s">
        <v>3203</v>
      </c>
      <c r="N648" s="17">
        <v>23.654064000000002</v>
      </c>
      <c r="O648" s="1"/>
      <c r="P648" s="38">
        <f t="shared" si="61"/>
        <v>0</v>
      </c>
      <c r="S648" s="24" t="str">
        <f t="shared" si="64"/>
        <v>-</v>
      </c>
      <c r="T648" s="24" t="str">
        <f t="shared" si="62"/>
        <v>-</v>
      </c>
      <c r="U648" s="25" t="str">
        <f t="shared" si="65"/>
        <v>-</v>
      </c>
      <c r="V648" s="26" t="str">
        <f t="shared" si="66"/>
        <v>-</v>
      </c>
      <c r="X648" s="26" t="str">
        <f t="shared" si="63"/>
        <v>-</v>
      </c>
    </row>
    <row r="649" spans="1:24" x14ac:dyDescent="0.3">
      <c r="A649" s="37">
        <v>87614018355</v>
      </c>
      <c r="B649" s="8" t="s">
        <v>1164</v>
      </c>
      <c r="C649" s="10" t="s">
        <v>1986</v>
      </c>
      <c r="D649" s="11" t="s">
        <v>872</v>
      </c>
      <c r="E649" s="11" t="s">
        <v>913</v>
      </c>
      <c r="F649" s="9">
        <v>12</v>
      </c>
      <c r="G649" s="9">
        <v>24</v>
      </c>
      <c r="H649" s="9" t="s">
        <v>868</v>
      </c>
      <c r="I649" s="9">
        <v>24</v>
      </c>
      <c r="J649" s="9">
        <v>500</v>
      </c>
      <c r="K649" s="9" t="s">
        <v>877</v>
      </c>
      <c r="L649" s="27">
        <v>0.41541</v>
      </c>
      <c r="M649" s="28" t="s">
        <v>3203</v>
      </c>
      <c r="N649" s="17">
        <v>24.767000999999997</v>
      </c>
      <c r="O649" s="1"/>
      <c r="P649" s="38">
        <f t="shared" si="61"/>
        <v>0</v>
      </c>
      <c r="S649" s="24" t="str">
        <f t="shared" si="64"/>
        <v>-</v>
      </c>
      <c r="T649" s="24" t="str">
        <f t="shared" si="62"/>
        <v>-</v>
      </c>
      <c r="U649" s="25" t="str">
        <f t="shared" si="65"/>
        <v>-</v>
      </c>
      <c r="V649" s="26" t="str">
        <f t="shared" si="66"/>
        <v>-</v>
      </c>
      <c r="X649" s="26" t="str">
        <f t="shared" si="63"/>
        <v>-</v>
      </c>
    </row>
    <row r="650" spans="1:24" x14ac:dyDescent="0.3">
      <c r="A650" s="37">
        <v>87614023694</v>
      </c>
      <c r="B650" s="8" t="s">
        <v>1810</v>
      </c>
      <c r="C650" s="10" t="s">
        <v>2546</v>
      </c>
      <c r="D650" s="11" t="s">
        <v>881</v>
      </c>
      <c r="E650" s="11" t="s">
        <v>2820</v>
      </c>
      <c r="F650" s="9">
        <v>30</v>
      </c>
      <c r="G650" s="9">
        <v>90</v>
      </c>
      <c r="H650" s="9" t="s">
        <v>868</v>
      </c>
      <c r="I650" s="9">
        <v>24</v>
      </c>
      <c r="J650" s="9">
        <v>60</v>
      </c>
      <c r="K650" s="9" t="s">
        <v>873</v>
      </c>
      <c r="L650" s="27">
        <v>4.6535E-2</v>
      </c>
      <c r="M650" s="28" t="s">
        <v>3203</v>
      </c>
      <c r="N650" s="17">
        <v>25.747050000000002</v>
      </c>
      <c r="O650" s="1"/>
      <c r="P650" s="38">
        <f t="shared" si="61"/>
        <v>0</v>
      </c>
      <c r="S650" s="24" t="str">
        <f t="shared" si="64"/>
        <v>-</v>
      </c>
      <c r="T650" s="24" t="str">
        <f t="shared" si="62"/>
        <v>-</v>
      </c>
      <c r="U650" s="25" t="str">
        <f t="shared" si="65"/>
        <v>-</v>
      </c>
      <c r="V650" s="26" t="str">
        <f t="shared" si="66"/>
        <v>-</v>
      </c>
      <c r="X650" s="26" t="str">
        <f t="shared" si="63"/>
        <v>-</v>
      </c>
    </row>
    <row r="651" spans="1:24" x14ac:dyDescent="0.3">
      <c r="A651" s="37">
        <v>87614140377</v>
      </c>
      <c r="B651" s="8" t="s">
        <v>1708</v>
      </c>
      <c r="C651" s="10" t="s">
        <v>2455</v>
      </c>
      <c r="D651" s="11" t="s">
        <v>874</v>
      </c>
      <c r="E651" s="11" t="s">
        <v>917</v>
      </c>
      <c r="F651" s="9">
        <v>20</v>
      </c>
      <c r="G651" s="9">
        <v>60</v>
      </c>
      <c r="H651" s="9" t="s">
        <v>892</v>
      </c>
      <c r="I651" s="9">
        <v>24</v>
      </c>
      <c r="J651" s="9">
        <v>90</v>
      </c>
      <c r="K651" s="9" t="s">
        <v>877</v>
      </c>
      <c r="L651" s="27">
        <v>0.20657</v>
      </c>
      <c r="M651" s="28" t="s">
        <v>3203</v>
      </c>
      <c r="N651" s="17">
        <v>25.913160000000001</v>
      </c>
      <c r="O651" s="1"/>
      <c r="P651" s="38">
        <f t="shared" si="61"/>
        <v>0</v>
      </c>
      <c r="S651" s="24" t="str">
        <f t="shared" si="64"/>
        <v>-</v>
      </c>
      <c r="T651" s="24" t="str">
        <f t="shared" si="62"/>
        <v>-</v>
      </c>
      <c r="U651" s="25" t="str">
        <f t="shared" si="65"/>
        <v>-</v>
      </c>
      <c r="V651" s="26" t="str">
        <f t="shared" si="66"/>
        <v>-</v>
      </c>
      <c r="X651" s="26" t="str">
        <f t="shared" si="63"/>
        <v>-</v>
      </c>
    </row>
    <row r="652" spans="1:24" x14ac:dyDescent="0.3">
      <c r="A652" s="37">
        <v>87614021492</v>
      </c>
      <c r="B652" s="8" t="s">
        <v>1470</v>
      </c>
      <c r="C652" s="10" t="s">
        <v>2241</v>
      </c>
      <c r="D652" s="11" t="s">
        <v>882</v>
      </c>
      <c r="E652" s="11" t="s">
        <v>2891</v>
      </c>
      <c r="F652" s="9">
        <v>16</v>
      </c>
      <c r="G652" s="9">
        <v>48</v>
      </c>
      <c r="H652" s="9" t="s">
        <v>868</v>
      </c>
      <c r="I652" s="9">
        <v>24</v>
      </c>
      <c r="J652" s="9">
        <v>120</v>
      </c>
      <c r="K652" s="9" t="s">
        <v>873</v>
      </c>
      <c r="L652" s="27">
        <v>0.130525</v>
      </c>
      <c r="M652" s="28" t="s">
        <v>3203</v>
      </c>
      <c r="N652" s="17">
        <v>26.079269999999998</v>
      </c>
      <c r="O652" s="1"/>
      <c r="P652" s="38">
        <f t="shared" si="61"/>
        <v>0</v>
      </c>
      <c r="S652" s="24" t="str">
        <f t="shared" si="64"/>
        <v>-</v>
      </c>
      <c r="T652" s="24" t="str">
        <f t="shared" si="62"/>
        <v>-</v>
      </c>
      <c r="U652" s="25" t="str">
        <f t="shared" si="65"/>
        <v>-</v>
      </c>
      <c r="V652" s="26" t="str">
        <f t="shared" si="66"/>
        <v>-</v>
      </c>
      <c r="X652" s="26" t="str">
        <f t="shared" si="63"/>
        <v>-</v>
      </c>
    </row>
    <row r="653" spans="1:24" x14ac:dyDescent="0.3">
      <c r="A653" s="37">
        <v>87614170831</v>
      </c>
      <c r="B653" s="8" t="s">
        <v>1444</v>
      </c>
      <c r="C653" s="10" t="s">
        <v>2218</v>
      </c>
      <c r="D653" s="11" t="s">
        <v>874</v>
      </c>
      <c r="E653" s="11" t="s">
        <v>2819</v>
      </c>
      <c r="F653" s="9">
        <v>12</v>
      </c>
      <c r="G653" s="9">
        <v>24</v>
      </c>
      <c r="H653" s="9" t="s">
        <v>868</v>
      </c>
      <c r="I653" s="9">
        <v>24</v>
      </c>
      <c r="J653" s="9">
        <v>220</v>
      </c>
      <c r="K653" s="9" t="s">
        <v>869</v>
      </c>
      <c r="L653" s="27">
        <v>0.50507500000000005</v>
      </c>
      <c r="M653" s="28" t="s">
        <v>3203</v>
      </c>
      <c r="N653" s="17">
        <v>26.810153999999997</v>
      </c>
      <c r="O653" s="1"/>
      <c r="P653" s="38">
        <f t="shared" si="61"/>
        <v>0</v>
      </c>
      <c r="S653" s="24" t="str">
        <f t="shared" si="64"/>
        <v>-</v>
      </c>
      <c r="T653" s="24" t="str">
        <f t="shared" si="62"/>
        <v>-</v>
      </c>
      <c r="U653" s="25" t="str">
        <f t="shared" si="65"/>
        <v>-</v>
      </c>
      <c r="V653" s="26" t="str">
        <f t="shared" si="66"/>
        <v>-</v>
      </c>
      <c r="X653" s="26" t="str">
        <f t="shared" si="63"/>
        <v>-</v>
      </c>
    </row>
    <row r="654" spans="1:24" x14ac:dyDescent="0.3">
      <c r="A654" s="37">
        <v>87614090207</v>
      </c>
      <c r="B654" s="8" t="s">
        <v>1700</v>
      </c>
      <c r="C654" s="10" t="s">
        <v>2448</v>
      </c>
      <c r="D654" s="11" t="s">
        <v>874</v>
      </c>
      <c r="E654" s="11" t="s">
        <v>914</v>
      </c>
      <c r="F654" s="9">
        <v>16</v>
      </c>
      <c r="G654" s="9">
        <v>48</v>
      </c>
      <c r="H654" s="9" t="s">
        <v>868</v>
      </c>
      <c r="I654" s="9">
        <v>36</v>
      </c>
      <c r="J654" s="9">
        <v>250</v>
      </c>
      <c r="K654" s="9" t="s">
        <v>877</v>
      </c>
      <c r="L654" s="27">
        <v>0.23267499999999999</v>
      </c>
      <c r="M654" s="28" t="s">
        <v>3203</v>
      </c>
      <c r="N654" s="17">
        <v>26.976263999999997</v>
      </c>
      <c r="O654" s="1"/>
      <c r="P654" s="38">
        <f t="shared" si="61"/>
        <v>0</v>
      </c>
      <c r="S654" s="24" t="str">
        <f t="shared" si="64"/>
        <v>-</v>
      </c>
      <c r="T654" s="24" t="str">
        <f t="shared" si="62"/>
        <v>-</v>
      </c>
      <c r="U654" s="25" t="str">
        <f t="shared" si="65"/>
        <v>-</v>
      </c>
      <c r="V654" s="26" t="str">
        <f t="shared" si="66"/>
        <v>-</v>
      </c>
      <c r="X654" s="26" t="str">
        <f t="shared" si="63"/>
        <v>-</v>
      </c>
    </row>
    <row r="655" spans="1:24" x14ac:dyDescent="0.3">
      <c r="A655" s="37">
        <v>87614040080</v>
      </c>
      <c r="B655" s="8" t="s">
        <v>1650</v>
      </c>
      <c r="C655" s="10" t="s">
        <v>2407</v>
      </c>
      <c r="D655" s="11" t="s">
        <v>879</v>
      </c>
      <c r="E655" s="11" t="s">
        <v>922</v>
      </c>
      <c r="F655" s="9">
        <v>12</v>
      </c>
      <c r="G655" s="9">
        <v>24</v>
      </c>
      <c r="H655" s="9" t="s">
        <v>868</v>
      </c>
      <c r="I655" s="9">
        <v>36</v>
      </c>
      <c r="J655" s="9">
        <v>240</v>
      </c>
      <c r="K655" s="9" t="s">
        <v>877</v>
      </c>
      <c r="L655" s="27">
        <v>0.46534999999999999</v>
      </c>
      <c r="M655" s="28" t="s">
        <v>3203</v>
      </c>
      <c r="N655" s="17">
        <v>27.009485999999999</v>
      </c>
      <c r="O655" s="1"/>
      <c r="P655" s="38">
        <f t="shared" si="61"/>
        <v>0</v>
      </c>
      <c r="S655" s="24" t="str">
        <f t="shared" si="64"/>
        <v>-</v>
      </c>
      <c r="T655" s="24" t="str">
        <f t="shared" si="62"/>
        <v>-</v>
      </c>
      <c r="U655" s="25" t="str">
        <f t="shared" si="65"/>
        <v>-</v>
      </c>
      <c r="V655" s="26" t="str">
        <f t="shared" si="66"/>
        <v>-</v>
      </c>
      <c r="X655" s="26" t="str">
        <f t="shared" si="63"/>
        <v>-</v>
      </c>
    </row>
    <row r="656" spans="1:24" x14ac:dyDescent="0.3">
      <c r="A656" s="37">
        <v>87614140933</v>
      </c>
      <c r="B656" s="8" t="s">
        <v>1711</v>
      </c>
      <c r="C656" s="10" t="s">
        <v>2757</v>
      </c>
      <c r="D656" s="11" t="s">
        <v>874</v>
      </c>
      <c r="E656" s="11" t="s">
        <v>925</v>
      </c>
      <c r="F656" s="9">
        <v>30</v>
      </c>
      <c r="G656" s="9">
        <v>90</v>
      </c>
      <c r="H656" s="9" t="s">
        <v>892</v>
      </c>
      <c r="I656" s="9">
        <v>24</v>
      </c>
      <c r="J656" s="9">
        <v>60</v>
      </c>
      <c r="K656" s="9" t="s">
        <v>873</v>
      </c>
      <c r="L656" s="27">
        <v>7.2639999999999996E-2</v>
      </c>
      <c r="M656" s="28" t="s">
        <v>3203</v>
      </c>
      <c r="N656" s="17">
        <v>27.059318999999999</v>
      </c>
      <c r="O656" s="1"/>
      <c r="P656" s="38">
        <f t="shared" si="61"/>
        <v>0</v>
      </c>
      <c r="S656" s="24" t="str">
        <f t="shared" si="64"/>
        <v>-</v>
      </c>
      <c r="T656" s="24" t="str">
        <f t="shared" si="62"/>
        <v>-</v>
      </c>
      <c r="U656" s="25" t="str">
        <f t="shared" si="65"/>
        <v>-</v>
      </c>
      <c r="V656" s="26" t="str">
        <f t="shared" si="66"/>
        <v>-</v>
      </c>
      <c r="X656" s="26" t="str">
        <f t="shared" si="63"/>
        <v>-</v>
      </c>
    </row>
    <row r="657" spans="1:24" x14ac:dyDescent="0.3">
      <c r="A657" s="37">
        <v>87614060354</v>
      </c>
      <c r="B657" s="8" t="s">
        <v>606</v>
      </c>
      <c r="C657" s="10" t="s">
        <v>2768</v>
      </c>
      <c r="D657" s="11" t="s">
        <v>866</v>
      </c>
      <c r="E657" s="11" t="s">
        <v>956</v>
      </c>
      <c r="F657" s="9">
        <v>16</v>
      </c>
      <c r="G657" s="9">
        <v>48</v>
      </c>
      <c r="H657" s="9" t="s">
        <v>868</v>
      </c>
      <c r="I657" s="9">
        <v>24</v>
      </c>
      <c r="J657" s="9">
        <v>120</v>
      </c>
      <c r="K657" s="9" t="s">
        <v>2903</v>
      </c>
      <c r="L657" s="27">
        <v>0.14982000000000001</v>
      </c>
      <c r="M657" s="28" t="s">
        <v>3203</v>
      </c>
      <c r="N657" s="17">
        <v>28.554309</v>
      </c>
      <c r="O657" s="1"/>
      <c r="P657" s="38">
        <f t="shared" si="61"/>
        <v>0</v>
      </c>
      <c r="S657" s="24" t="str">
        <f t="shared" si="64"/>
        <v>-</v>
      </c>
      <c r="T657" s="24" t="str">
        <f t="shared" si="62"/>
        <v>-</v>
      </c>
      <c r="U657" s="25" t="str">
        <f t="shared" si="65"/>
        <v>-</v>
      </c>
      <c r="V657" s="26" t="str">
        <f t="shared" si="66"/>
        <v>-</v>
      </c>
      <c r="X657" s="26" t="str">
        <f t="shared" si="63"/>
        <v>-</v>
      </c>
    </row>
    <row r="658" spans="1:24" x14ac:dyDescent="0.3">
      <c r="A658" s="37">
        <v>87614210605</v>
      </c>
      <c r="B658" s="8" t="s">
        <v>1130</v>
      </c>
      <c r="C658" s="10" t="s">
        <v>1960</v>
      </c>
      <c r="D658" s="11" t="s">
        <v>874</v>
      </c>
      <c r="E658" s="11" t="s">
        <v>914</v>
      </c>
      <c r="F658" s="9">
        <v>30</v>
      </c>
      <c r="G658" s="9">
        <v>90</v>
      </c>
      <c r="H658" s="9" t="s">
        <v>892</v>
      </c>
      <c r="I658" s="9">
        <v>18</v>
      </c>
      <c r="J658" s="9">
        <v>60</v>
      </c>
      <c r="K658" s="9" t="s">
        <v>2903</v>
      </c>
      <c r="L658" s="27">
        <v>9.6475000000000005E-2</v>
      </c>
      <c r="M658" s="28" t="s">
        <v>3203</v>
      </c>
      <c r="N658" s="17">
        <v>28.653974999999999</v>
      </c>
      <c r="O658" s="1"/>
      <c r="P658" s="38">
        <f t="shared" si="61"/>
        <v>0</v>
      </c>
      <c r="S658" s="24" t="str">
        <f t="shared" si="64"/>
        <v>-</v>
      </c>
      <c r="T658" s="24" t="str">
        <f t="shared" si="62"/>
        <v>-</v>
      </c>
      <c r="U658" s="25" t="str">
        <f t="shared" si="65"/>
        <v>-</v>
      </c>
      <c r="V658" s="26" t="str">
        <f t="shared" si="66"/>
        <v>-</v>
      </c>
      <c r="X658" s="26" t="str">
        <f t="shared" si="63"/>
        <v>-</v>
      </c>
    </row>
    <row r="659" spans="1:24" x14ac:dyDescent="0.3">
      <c r="A659" s="37">
        <v>87614210179</v>
      </c>
      <c r="B659" s="8" t="s">
        <v>1773</v>
      </c>
      <c r="C659" s="10" t="s">
        <v>2510</v>
      </c>
      <c r="D659" s="11" t="s">
        <v>882</v>
      </c>
      <c r="E659" s="11" t="s">
        <v>958</v>
      </c>
      <c r="F659" s="9">
        <v>12</v>
      </c>
      <c r="G659" s="9">
        <v>24</v>
      </c>
      <c r="H659" s="9" t="s">
        <v>868</v>
      </c>
      <c r="I659" s="9">
        <v>36</v>
      </c>
      <c r="J659" s="9">
        <v>240</v>
      </c>
      <c r="K659" s="9" t="s">
        <v>873</v>
      </c>
      <c r="L659" s="27">
        <v>0.34504000000000001</v>
      </c>
      <c r="M659" s="28" t="s">
        <v>3203</v>
      </c>
      <c r="N659" s="17">
        <v>29.301803999999997</v>
      </c>
      <c r="O659" s="1"/>
      <c r="P659" s="38">
        <f t="shared" si="61"/>
        <v>0</v>
      </c>
      <c r="S659" s="24" t="str">
        <f t="shared" si="64"/>
        <v>-</v>
      </c>
      <c r="T659" s="24" t="str">
        <f t="shared" si="62"/>
        <v>-</v>
      </c>
      <c r="U659" s="25" t="str">
        <f t="shared" si="65"/>
        <v>-</v>
      </c>
      <c r="V659" s="26" t="str">
        <f t="shared" si="66"/>
        <v>-</v>
      </c>
      <c r="X659" s="26" t="str">
        <f t="shared" si="63"/>
        <v>-</v>
      </c>
    </row>
    <row r="660" spans="1:24" x14ac:dyDescent="0.3">
      <c r="A660" s="37">
        <v>87614119564</v>
      </c>
      <c r="B660" s="8" t="s">
        <v>2928</v>
      </c>
      <c r="C660" s="10" t="s">
        <v>2980</v>
      </c>
      <c r="D660" s="11" t="s">
        <v>893</v>
      </c>
      <c r="E660" s="11" t="s">
        <v>987</v>
      </c>
      <c r="F660" s="9">
        <v>12</v>
      </c>
      <c r="G660" s="9">
        <v>12</v>
      </c>
      <c r="H660" s="9" t="s">
        <v>892</v>
      </c>
      <c r="I660" s="9">
        <v>24</v>
      </c>
      <c r="J660" s="9">
        <v>1</v>
      </c>
      <c r="K660" s="9" t="s">
        <v>880</v>
      </c>
      <c r="L660" s="27">
        <v>0.48804999999999998</v>
      </c>
      <c r="M660" s="28" t="s">
        <v>3203</v>
      </c>
      <c r="N660" s="17">
        <v>29.766912000000001</v>
      </c>
      <c r="O660" s="1"/>
      <c r="P660" s="38">
        <f t="shared" si="61"/>
        <v>0</v>
      </c>
      <c r="S660" s="24" t="str">
        <f t="shared" si="64"/>
        <v>-</v>
      </c>
      <c r="T660" s="24" t="str">
        <f t="shared" si="62"/>
        <v>-</v>
      </c>
      <c r="U660" s="25" t="str">
        <f t="shared" si="65"/>
        <v>-</v>
      </c>
      <c r="V660" s="26" t="str">
        <f t="shared" si="66"/>
        <v>-</v>
      </c>
      <c r="X660" s="26" t="str">
        <f t="shared" si="63"/>
        <v>-</v>
      </c>
    </row>
    <row r="661" spans="1:24" x14ac:dyDescent="0.3">
      <c r="A661" s="37">
        <v>87614022185</v>
      </c>
      <c r="B661" s="8" t="s">
        <v>1135</v>
      </c>
      <c r="C661" s="10" t="s">
        <v>3031</v>
      </c>
      <c r="D661" s="11" t="s">
        <v>881</v>
      </c>
      <c r="E661" s="11" t="s">
        <v>1055</v>
      </c>
      <c r="F661" s="9">
        <v>28</v>
      </c>
      <c r="G661" s="9">
        <v>28</v>
      </c>
      <c r="H661" s="9" t="s">
        <v>868</v>
      </c>
      <c r="I661" s="9">
        <v>24</v>
      </c>
      <c r="J661" s="9">
        <v>30</v>
      </c>
      <c r="K661" s="9" t="s">
        <v>3049</v>
      </c>
      <c r="L661" s="27">
        <v>6.9235000000000005E-2</v>
      </c>
      <c r="M661" s="28" t="s">
        <v>3203</v>
      </c>
      <c r="N661" s="17">
        <v>30.115742999999998</v>
      </c>
      <c r="O661" s="1"/>
      <c r="P661" s="38">
        <f t="shared" si="61"/>
        <v>0</v>
      </c>
      <c r="S661" s="24" t="str">
        <f t="shared" si="64"/>
        <v>-</v>
      </c>
      <c r="T661" s="24" t="str">
        <f t="shared" si="62"/>
        <v>-</v>
      </c>
      <c r="U661" s="25" t="str">
        <f t="shared" si="65"/>
        <v>-</v>
      </c>
      <c r="V661" s="26" t="str">
        <f t="shared" si="66"/>
        <v>-</v>
      </c>
      <c r="X661" s="26" t="str">
        <f t="shared" si="63"/>
        <v>-</v>
      </c>
    </row>
    <row r="662" spans="1:24" x14ac:dyDescent="0.3">
      <c r="A662" s="37">
        <v>87614026756</v>
      </c>
      <c r="B662" s="8" t="s">
        <v>1151</v>
      </c>
      <c r="C662" s="10" t="s">
        <v>1977</v>
      </c>
      <c r="D662" s="11" t="s">
        <v>882</v>
      </c>
      <c r="E662" s="11" t="s">
        <v>958</v>
      </c>
      <c r="F662" s="9">
        <v>30</v>
      </c>
      <c r="G662" s="9">
        <v>90</v>
      </c>
      <c r="H662" s="9" t="s">
        <v>868</v>
      </c>
      <c r="I662" s="9">
        <v>24</v>
      </c>
      <c r="J662" s="9">
        <v>60</v>
      </c>
      <c r="K662" s="9" t="s">
        <v>873</v>
      </c>
      <c r="L662" s="27">
        <v>8.3989999999999995E-2</v>
      </c>
      <c r="M662" s="28" t="s">
        <v>3203</v>
      </c>
      <c r="N662" s="17">
        <v>30.115742999999998</v>
      </c>
      <c r="O662" s="1"/>
      <c r="P662" s="38">
        <f t="shared" si="61"/>
        <v>0</v>
      </c>
      <c r="S662" s="24" t="str">
        <f t="shared" si="64"/>
        <v>-</v>
      </c>
      <c r="T662" s="24" t="str">
        <f t="shared" si="62"/>
        <v>-</v>
      </c>
      <c r="U662" s="25" t="str">
        <f t="shared" si="65"/>
        <v>-</v>
      </c>
      <c r="V662" s="26" t="str">
        <f t="shared" si="66"/>
        <v>-</v>
      </c>
      <c r="X662" s="26" t="str">
        <f t="shared" si="63"/>
        <v>-</v>
      </c>
    </row>
    <row r="663" spans="1:24" x14ac:dyDescent="0.3">
      <c r="A663" s="37">
        <v>87614021560</v>
      </c>
      <c r="B663" s="8" t="s">
        <v>1471</v>
      </c>
      <c r="C663" s="10" t="s">
        <v>2242</v>
      </c>
      <c r="D663" s="11" t="s">
        <v>866</v>
      </c>
      <c r="E663" s="11" t="s">
        <v>974</v>
      </c>
      <c r="F663" s="9">
        <v>30</v>
      </c>
      <c r="G663" s="9">
        <v>90</v>
      </c>
      <c r="H663" s="9" t="s">
        <v>868</v>
      </c>
      <c r="I663" s="9">
        <v>25</v>
      </c>
      <c r="J663" s="9">
        <v>60</v>
      </c>
      <c r="K663" s="9" t="s">
        <v>869</v>
      </c>
      <c r="L663" s="27">
        <v>0.105555</v>
      </c>
      <c r="M663" s="28" t="s">
        <v>3203</v>
      </c>
      <c r="N663" s="17">
        <v>30.132353999999999</v>
      </c>
      <c r="O663" s="1"/>
      <c r="P663" s="38">
        <f t="shared" si="61"/>
        <v>0</v>
      </c>
      <c r="S663" s="24" t="str">
        <f t="shared" si="64"/>
        <v>-</v>
      </c>
      <c r="T663" s="24" t="str">
        <f t="shared" si="62"/>
        <v>-</v>
      </c>
      <c r="U663" s="25" t="str">
        <f t="shared" si="65"/>
        <v>-</v>
      </c>
      <c r="V663" s="26" t="str">
        <f t="shared" si="66"/>
        <v>-</v>
      </c>
      <c r="X663" s="26" t="str">
        <f t="shared" si="63"/>
        <v>-</v>
      </c>
    </row>
    <row r="664" spans="1:24" x14ac:dyDescent="0.3">
      <c r="A664" s="37">
        <v>87614119557</v>
      </c>
      <c r="B664" s="8" t="s">
        <v>2927</v>
      </c>
      <c r="C664" s="10" t="s">
        <v>2979</v>
      </c>
      <c r="D664" s="11" t="s">
        <v>893</v>
      </c>
      <c r="E664" s="11" t="s">
        <v>987</v>
      </c>
      <c r="F664" s="9">
        <v>12</v>
      </c>
      <c r="G664" s="9">
        <v>12</v>
      </c>
      <c r="H664" s="9" t="s">
        <v>892</v>
      </c>
      <c r="I664" s="9">
        <v>24</v>
      </c>
      <c r="J664" s="9">
        <v>1</v>
      </c>
      <c r="K664" s="9" t="s">
        <v>880</v>
      </c>
      <c r="L664" s="27">
        <v>0.48804999999999998</v>
      </c>
      <c r="M664" s="28" t="s">
        <v>3203</v>
      </c>
      <c r="N664" s="17">
        <v>30.148964999999997</v>
      </c>
      <c r="O664" s="1"/>
      <c r="P664" s="38">
        <f t="shared" si="61"/>
        <v>0</v>
      </c>
      <c r="S664" s="24" t="str">
        <f t="shared" si="64"/>
        <v>-</v>
      </c>
      <c r="T664" s="24" t="str">
        <f t="shared" si="62"/>
        <v>-</v>
      </c>
      <c r="U664" s="25" t="str">
        <f t="shared" si="65"/>
        <v>-</v>
      </c>
      <c r="V664" s="26" t="str">
        <f t="shared" si="66"/>
        <v>-</v>
      </c>
      <c r="X664" s="26" t="str">
        <f t="shared" si="63"/>
        <v>-</v>
      </c>
    </row>
    <row r="665" spans="1:24" x14ac:dyDescent="0.3">
      <c r="A665" s="37">
        <v>87614021751</v>
      </c>
      <c r="B665" s="8" t="s">
        <v>1794</v>
      </c>
      <c r="C665" s="10" t="s">
        <v>2530</v>
      </c>
      <c r="D665" s="11" t="s">
        <v>874</v>
      </c>
      <c r="E665" s="11" t="s">
        <v>914</v>
      </c>
      <c r="F665" s="9">
        <v>48</v>
      </c>
      <c r="G665" s="9">
        <v>192</v>
      </c>
      <c r="H665" s="9" t="s">
        <v>868</v>
      </c>
      <c r="I665" s="9">
        <v>36</v>
      </c>
      <c r="J665" s="9">
        <v>30</v>
      </c>
      <c r="K665" s="9" t="s">
        <v>873</v>
      </c>
      <c r="L665" s="27">
        <v>2.724E-2</v>
      </c>
      <c r="M665" s="28" t="s">
        <v>3203</v>
      </c>
      <c r="N665" s="17">
        <v>30.780183000000001</v>
      </c>
      <c r="O665" s="1"/>
      <c r="P665" s="38">
        <f t="shared" si="61"/>
        <v>0</v>
      </c>
      <c r="S665" s="24" t="str">
        <f t="shared" si="64"/>
        <v>-</v>
      </c>
      <c r="T665" s="24" t="str">
        <f t="shared" si="62"/>
        <v>-</v>
      </c>
      <c r="U665" s="25" t="str">
        <f t="shared" si="65"/>
        <v>-</v>
      </c>
      <c r="V665" s="26" t="str">
        <f t="shared" si="66"/>
        <v>-</v>
      </c>
      <c r="X665" s="26" t="str">
        <f t="shared" si="63"/>
        <v>-</v>
      </c>
    </row>
    <row r="666" spans="1:24" x14ac:dyDescent="0.3">
      <c r="A666" s="37">
        <v>87614017419</v>
      </c>
      <c r="B666" s="8" t="s">
        <v>1621</v>
      </c>
      <c r="C666" s="10" t="s">
        <v>2383</v>
      </c>
      <c r="D666" s="11" t="s">
        <v>882</v>
      </c>
      <c r="E666" s="11" t="s">
        <v>976</v>
      </c>
      <c r="F666" s="9">
        <v>24</v>
      </c>
      <c r="G666" s="9">
        <v>240</v>
      </c>
      <c r="H666" s="9" t="s">
        <v>868</v>
      </c>
      <c r="I666" s="9">
        <v>36</v>
      </c>
      <c r="J666" s="9">
        <v>1</v>
      </c>
      <c r="K666" s="9" t="s">
        <v>887</v>
      </c>
      <c r="L666" s="27">
        <v>0.16116999999999998</v>
      </c>
      <c r="M666" s="28" t="s">
        <v>3203</v>
      </c>
      <c r="N666" s="17">
        <v>31.727009999999996</v>
      </c>
      <c r="O666" s="1"/>
      <c r="P666" s="38">
        <f t="shared" si="61"/>
        <v>0</v>
      </c>
      <c r="S666" s="24" t="str">
        <f t="shared" si="64"/>
        <v>-</v>
      </c>
      <c r="T666" s="24" t="str">
        <f t="shared" si="62"/>
        <v>-</v>
      </c>
      <c r="U666" s="25" t="str">
        <f t="shared" si="65"/>
        <v>-</v>
      </c>
      <c r="V666" s="26" t="str">
        <f t="shared" si="66"/>
        <v>-</v>
      </c>
      <c r="X666" s="26" t="str">
        <f t="shared" si="63"/>
        <v>-</v>
      </c>
    </row>
    <row r="667" spans="1:24" x14ac:dyDescent="0.3">
      <c r="A667" s="37">
        <v>87614060200</v>
      </c>
      <c r="B667" s="8" t="s">
        <v>1463</v>
      </c>
      <c r="C667" s="10" t="s">
        <v>2235</v>
      </c>
      <c r="D667" s="11" t="s">
        <v>866</v>
      </c>
      <c r="E667" s="11" t="s">
        <v>956</v>
      </c>
      <c r="F667" s="9">
        <v>12</v>
      </c>
      <c r="G667" s="9">
        <v>24</v>
      </c>
      <c r="H667" s="9" t="s">
        <v>868</v>
      </c>
      <c r="I667" s="9">
        <v>36</v>
      </c>
      <c r="J667" s="9">
        <v>300</v>
      </c>
      <c r="K667" s="9" t="s">
        <v>889</v>
      </c>
      <c r="L667" s="27">
        <v>0.330285</v>
      </c>
      <c r="M667" s="28" t="s">
        <v>3203</v>
      </c>
      <c r="N667" s="17">
        <v>32.158895999999999</v>
      </c>
      <c r="O667" s="1"/>
      <c r="P667" s="38">
        <f t="shared" si="61"/>
        <v>0</v>
      </c>
      <c r="S667" s="24" t="str">
        <f t="shared" si="64"/>
        <v>-</v>
      </c>
      <c r="T667" s="24" t="str">
        <f t="shared" si="62"/>
        <v>-</v>
      </c>
      <c r="U667" s="25" t="str">
        <f t="shared" si="65"/>
        <v>-</v>
      </c>
      <c r="V667" s="26" t="str">
        <f t="shared" si="66"/>
        <v>-</v>
      </c>
      <c r="X667" s="26" t="str">
        <f t="shared" si="63"/>
        <v>-</v>
      </c>
    </row>
    <row r="668" spans="1:24" x14ac:dyDescent="0.3">
      <c r="A668" s="37">
        <v>87614241258</v>
      </c>
      <c r="B668" s="8" t="s">
        <v>1691</v>
      </c>
      <c r="C668" s="10" t="s">
        <v>3009</v>
      </c>
      <c r="D668" s="11" t="s">
        <v>2835</v>
      </c>
      <c r="E668" s="11" t="s">
        <v>2870</v>
      </c>
      <c r="F668" s="9">
        <v>6</v>
      </c>
      <c r="G668" s="9">
        <v>6</v>
      </c>
      <c r="H668" s="9" t="s">
        <v>868</v>
      </c>
      <c r="I668" s="9">
        <v>24</v>
      </c>
      <c r="J668" s="9">
        <v>1</v>
      </c>
      <c r="K668" s="9" t="s">
        <v>2906</v>
      </c>
      <c r="L668" s="27">
        <v>1.885235</v>
      </c>
      <c r="M668" s="28" t="s">
        <v>3203</v>
      </c>
      <c r="N668" s="17">
        <v>34.251881999999995</v>
      </c>
      <c r="O668" s="1"/>
      <c r="P668" s="38">
        <f t="shared" si="61"/>
        <v>0</v>
      </c>
      <c r="S668" s="24" t="str">
        <f t="shared" si="64"/>
        <v>-</v>
      </c>
      <c r="T668" s="24" t="str">
        <f t="shared" si="62"/>
        <v>-</v>
      </c>
      <c r="U668" s="25" t="str">
        <f t="shared" si="65"/>
        <v>-</v>
      </c>
      <c r="V668" s="26" t="str">
        <f t="shared" si="66"/>
        <v>-</v>
      </c>
      <c r="X668" s="26" t="str">
        <f t="shared" si="63"/>
        <v>-</v>
      </c>
    </row>
    <row r="669" spans="1:24" x14ac:dyDescent="0.3">
      <c r="A669" s="37">
        <v>87614060910</v>
      </c>
      <c r="B669" s="8" t="s">
        <v>1762</v>
      </c>
      <c r="C669" s="10" t="s">
        <v>2773</v>
      </c>
      <c r="D669" s="11" t="s">
        <v>866</v>
      </c>
      <c r="E669" s="11" t="s">
        <v>956</v>
      </c>
      <c r="F669" s="9">
        <v>14</v>
      </c>
      <c r="G669" s="9">
        <v>14</v>
      </c>
      <c r="H669" s="9" t="s">
        <v>868</v>
      </c>
      <c r="I669" s="9">
        <v>18</v>
      </c>
      <c r="J669" s="9">
        <v>1</v>
      </c>
      <c r="K669" s="9" t="s">
        <v>880</v>
      </c>
      <c r="L669" s="27">
        <v>0.45967500000000006</v>
      </c>
      <c r="M669" s="28" t="s">
        <v>3203</v>
      </c>
      <c r="N669" s="17">
        <v>34.285103999999997</v>
      </c>
      <c r="O669" s="1"/>
      <c r="P669" s="38">
        <f t="shared" si="61"/>
        <v>0</v>
      </c>
      <c r="S669" s="24" t="str">
        <f t="shared" si="64"/>
        <v>-</v>
      </c>
      <c r="T669" s="24" t="str">
        <f t="shared" si="62"/>
        <v>-</v>
      </c>
      <c r="U669" s="25" t="str">
        <f t="shared" si="65"/>
        <v>-</v>
      </c>
      <c r="V669" s="26" t="str">
        <f t="shared" si="66"/>
        <v>-</v>
      </c>
      <c r="X669" s="26" t="str">
        <f t="shared" si="63"/>
        <v>-</v>
      </c>
    </row>
    <row r="670" spans="1:24" x14ac:dyDescent="0.3">
      <c r="A670" s="37">
        <v>87614040905</v>
      </c>
      <c r="B670" s="8" t="s">
        <v>501</v>
      </c>
      <c r="C670" s="10" t="s">
        <v>502</v>
      </c>
      <c r="D670" s="11" t="s">
        <v>879</v>
      </c>
      <c r="E670" s="11" t="s">
        <v>922</v>
      </c>
      <c r="F670" s="9">
        <v>12</v>
      </c>
      <c r="G670" s="9">
        <v>24</v>
      </c>
      <c r="H670" s="9" t="s">
        <v>892</v>
      </c>
      <c r="I670" s="9">
        <v>24</v>
      </c>
      <c r="J670" s="9">
        <v>300</v>
      </c>
      <c r="K670" s="9" t="s">
        <v>873</v>
      </c>
      <c r="L670" s="27">
        <v>0.38703500000000002</v>
      </c>
      <c r="M670" s="28" t="s">
        <v>3203</v>
      </c>
      <c r="N670" s="17">
        <v>35.015988</v>
      </c>
      <c r="O670" s="1"/>
      <c r="P670" s="38">
        <f t="shared" si="61"/>
        <v>0</v>
      </c>
      <c r="S670" s="24" t="str">
        <f t="shared" si="64"/>
        <v>-</v>
      </c>
      <c r="T670" s="24" t="str">
        <f t="shared" si="62"/>
        <v>-</v>
      </c>
      <c r="U670" s="25" t="str">
        <f t="shared" si="65"/>
        <v>-</v>
      </c>
      <c r="V670" s="26" t="str">
        <f t="shared" si="66"/>
        <v>-</v>
      </c>
      <c r="X670" s="26" t="str">
        <f t="shared" si="63"/>
        <v>-</v>
      </c>
    </row>
    <row r="671" spans="1:24" x14ac:dyDescent="0.3">
      <c r="A671" s="37">
        <v>87614117683</v>
      </c>
      <c r="B671" s="8" t="s">
        <v>1600</v>
      </c>
      <c r="C671" s="10" t="s">
        <v>2361</v>
      </c>
      <c r="D671" s="11" t="s">
        <v>881</v>
      </c>
      <c r="E671" s="11" t="s">
        <v>939</v>
      </c>
      <c r="F671" s="9">
        <v>9</v>
      </c>
      <c r="G671" s="9">
        <v>9</v>
      </c>
      <c r="H671" s="9" t="s">
        <v>868</v>
      </c>
      <c r="I671" s="9">
        <v>36</v>
      </c>
      <c r="J671" s="9">
        <v>1</v>
      </c>
      <c r="K671" s="9" t="s">
        <v>880</v>
      </c>
      <c r="L671" s="27">
        <v>0.71504999999999996</v>
      </c>
      <c r="M671" s="28" t="s">
        <v>3203</v>
      </c>
      <c r="N671" s="17">
        <v>39.135516000000003</v>
      </c>
      <c r="O671" s="1"/>
      <c r="P671" s="38">
        <f t="shared" si="61"/>
        <v>0</v>
      </c>
      <c r="S671" s="24" t="str">
        <f t="shared" si="64"/>
        <v>-</v>
      </c>
      <c r="T671" s="24" t="str">
        <f t="shared" si="62"/>
        <v>-</v>
      </c>
      <c r="U671" s="25" t="str">
        <f t="shared" si="65"/>
        <v>-</v>
      </c>
      <c r="V671" s="26" t="str">
        <f t="shared" si="66"/>
        <v>-</v>
      </c>
      <c r="X671" s="26" t="str">
        <f t="shared" si="63"/>
        <v>-</v>
      </c>
    </row>
    <row r="672" spans="1:24" x14ac:dyDescent="0.3">
      <c r="A672" s="37">
        <v>87614060941</v>
      </c>
      <c r="B672" s="8" t="s">
        <v>2774</v>
      </c>
      <c r="C672" s="10" t="s">
        <v>2493</v>
      </c>
      <c r="D672" s="11" t="s">
        <v>866</v>
      </c>
      <c r="E672" s="11" t="s">
        <v>956</v>
      </c>
      <c r="F672" s="9">
        <v>16</v>
      </c>
      <c r="G672" s="9">
        <v>16</v>
      </c>
      <c r="H672" s="9" t="s">
        <v>868</v>
      </c>
      <c r="I672" s="9">
        <v>24</v>
      </c>
      <c r="J672" s="9">
        <v>1</v>
      </c>
      <c r="K672" s="9" t="s">
        <v>880</v>
      </c>
      <c r="L672" s="27">
        <v>0.36093000000000003</v>
      </c>
      <c r="M672" s="28" t="s">
        <v>3203</v>
      </c>
      <c r="N672" s="17">
        <v>39.633845999999998</v>
      </c>
      <c r="O672" s="1"/>
      <c r="P672" s="38">
        <f t="shared" si="61"/>
        <v>0</v>
      </c>
      <c r="S672" s="24" t="str">
        <f t="shared" si="64"/>
        <v>-</v>
      </c>
      <c r="T672" s="24" t="str">
        <f t="shared" si="62"/>
        <v>-</v>
      </c>
      <c r="U672" s="25" t="str">
        <f t="shared" si="65"/>
        <v>-</v>
      </c>
      <c r="V672" s="26" t="str">
        <f t="shared" si="66"/>
        <v>-</v>
      </c>
      <c r="X672" s="26" t="str">
        <f t="shared" si="63"/>
        <v>-</v>
      </c>
    </row>
    <row r="673" spans="1:24" x14ac:dyDescent="0.3">
      <c r="A673" s="37">
        <v>87614210667</v>
      </c>
      <c r="B673" s="8" t="s">
        <v>1787</v>
      </c>
      <c r="C673" s="10" t="s">
        <v>2523</v>
      </c>
      <c r="D673" s="11" t="s">
        <v>883</v>
      </c>
      <c r="E673" s="11" t="s">
        <v>2839</v>
      </c>
      <c r="F673" s="9">
        <v>6</v>
      </c>
      <c r="G673" s="9">
        <v>6</v>
      </c>
      <c r="H673" s="9" t="s">
        <v>868</v>
      </c>
      <c r="I673" s="9">
        <v>12</v>
      </c>
      <c r="J673" s="9">
        <v>1</v>
      </c>
      <c r="K673" s="9" t="s">
        <v>880</v>
      </c>
      <c r="L673" s="27">
        <v>0.75704500000000008</v>
      </c>
      <c r="M673" s="28" t="s">
        <v>3203</v>
      </c>
      <c r="N673" s="17">
        <v>43.637096999999997</v>
      </c>
      <c r="O673" s="1"/>
      <c r="P673" s="38">
        <f t="shared" si="61"/>
        <v>0</v>
      </c>
      <c r="S673" s="24" t="str">
        <f t="shared" si="64"/>
        <v>-</v>
      </c>
      <c r="T673" s="24" t="str">
        <f t="shared" si="62"/>
        <v>-</v>
      </c>
      <c r="U673" s="25" t="str">
        <f t="shared" si="65"/>
        <v>-</v>
      </c>
      <c r="V673" s="26" t="str">
        <f t="shared" si="66"/>
        <v>-</v>
      </c>
      <c r="X673" s="26" t="str">
        <f t="shared" si="63"/>
        <v>-</v>
      </c>
    </row>
    <row r="674" spans="1:24" x14ac:dyDescent="0.3">
      <c r="A674" s="37">
        <v>87614026985</v>
      </c>
      <c r="B674" s="8" t="s">
        <v>1832</v>
      </c>
      <c r="C674" s="10" t="s">
        <v>2567</v>
      </c>
      <c r="D674" s="11" t="s">
        <v>879</v>
      </c>
      <c r="E674" s="11" t="s">
        <v>922</v>
      </c>
      <c r="F674" s="9">
        <v>12</v>
      </c>
      <c r="G674" s="9">
        <v>24</v>
      </c>
      <c r="H674" s="9" t="s">
        <v>892</v>
      </c>
      <c r="I674" s="9">
        <v>24</v>
      </c>
      <c r="J674" s="9">
        <v>1</v>
      </c>
      <c r="K674" s="9" t="s">
        <v>880</v>
      </c>
      <c r="L674" s="27">
        <v>0.22700000000000001</v>
      </c>
      <c r="M674" s="28" t="s">
        <v>3203</v>
      </c>
      <c r="N674" s="17">
        <v>43.653708000000002</v>
      </c>
      <c r="O674" s="1"/>
      <c r="P674" s="38">
        <f t="shared" si="61"/>
        <v>0</v>
      </c>
      <c r="S674" s="24" t="str">
        <f t="shared" si="64"/>
        <v>-</v>
      </c>
      <c r="T674" s="24" t="str">
        <f t="shared" si="62"/>
        <v>-</v>
      </c>
      <c r="U674" s="25" t="str">
        <f t="shared" si="65"/>
        <v>-</v>
      </c>
      <c r="V674" s="26" t="str">
        <f t="shared" si="66"/>
        <v>-</v>
      </c>
      <c r="X674" s="26" t="str">
        <f t="shared" si="63"/>
        <v>-</v>
      </c>
    </row>
    <row r="675" spans="1:24" x14ac:dyDescent="0.3">
      <c r="A675" s="37">
        <v>87614028903</v>
      </c>
      <c r="B675" s="8" t="s">
        <v>828</v>
      </c>
      <c r="C675" s="10" t="s">
        <v>829</v>
      </c>
      <c r="D675" s="11" t="s">
        <v>874</v>
      </c>
      <c r="E675" s="11" t="s">
        <v>914</v>
      </c>
      <c r="F675" s="9">
        <v>48</v>
      </c>
      <c r="G675" s="9">
        <v>192</v>
      </c>
      <c r="H675" s="9" t="s">
        <v>868</v>
      </c>
      <c r="I675" s="9">
        <v>36</v>
      </c>
      <c r="J675" s="9">
        <v>30</v>
      </c>
      <c r="K675" s="9" t="s">
        <v>889</v>
      </c>
      <c r="L675" s="27">
        <v>3.0644999999999999E-2</v>
      </c>
      <c r="M675" s="28" t="s">
        <v>3203</v>
      </c>
      <c r="N675" s="17">
        <v>44.816478000000004</v>
      </c>
      <c r="O675" s="1"/>
      <c r="P675" s="38">
        <f t="shared" si="61"/>
        <v>0</v>
      </c>
      <c r="S675" s="24" t="str">
        <f t="shared" si="64"/>
        <v>-</v>
      </c>
      <c r="T675" s="24" t="str">
        <f t="shared" si="62"/>
        <v>-</v>
      </c>
      <c r="U675" s="25" t="str">
        <f t="shared" si="65"/>
        <v>-</v>
      </c>
      <c r="V675" s="26" t="str">
        <f t="shared" si="66"/>
        <v>-</v>
      </c>
      <c r="X675" s="26" t="str">
        <f t="shared" si="63"/>
        <v>-</v>
      </c>
    </row>
    <row r="676" spans="1:24" x14ac:dyDescent="0.3">
      <c r="A676" s="37">
        <v>87614040912</v>
      </c>
      <c r="B676" s="8" t="s">
        <v>1656</v>
      </c>
      <c r="C676" s="10" t="s">
        <v>2413</v>
      </c>
      <c r="D676" s="11" t="s">
        <v>878</v>
      </c>
      <c r="E676" s="11" t="s">
        <v>1001</v>
      </c>
      <c r="F676" s="9">
        <v>12</v>
      </c>
      <c r="G676" s="9">
        <v>24</v>
      </c>
      <c r="H676" s="9" t="s">
        <v>868</v>
      </c>
      <c r="I676" s="9">
        <v>36</v>
      </c>
      <c r="J676" s="9">
        <v>240</v>
      </c>
      <c r="K676" s="9" t="s">
        <v>2909</v>
      </c>
      <c r="L676" s="27">
        <v>0.28034500000000001</v>
      </c>
      <c r="M676" s="28" t="s">
        <v>3203</v>
      </c>
      <c r="N676" s="17">
        <v>46.427745000000002</v>
      </c>
      <c r="O676" s="1"/>
      <c r="P676" s="38">
        <f t="shared" si="61"/>
        <v>0</v>
      </c>
      <c r="S676" s="24" t="str">
        <f t="shared" si="64"/>
        <v>-</v>
      </c>
      <c r="T676" s="24" t="str">
        <f t="shared" si="62"/>
        <v>-</v>
      </c>
      <c r="U676" s="25" t="str">
        <f t="shared" si="65"/>
        <v>-</v>
      </c>
      <c r="V676" s="26" t="str">
        <f t="shared" si="66"/>
        <v>-</v>
      </c>
      <c r="X676" s="26" t="str">
        <f t="shared" si="63"/>
        <v>-</v>
      </c>
    </row>
    <row r="677" spans="1:24" x14ac:dyDescent="0.3">
      <c r="A677" s="37">
        <v>87614210230</v>
      </c>
      <c r="B677" s="8" t="s">
        <v>1775</v>
      </c>
      <c r="C677" s="10" t="s">
        <v>2512</v>
      </c>
      <c r="D677" s="11" t="s">
        <v>898</v>
      </c>
      <c r="E677" s="11" t="s">
        <v>979</v>
      </c>
      <c r="F677" s="9">
        <v>30</v>
      </c>
      <c r="G677" s="9">
        <v>90</v>
      </c>
      <c r="H677" s="9" t="s">
        <v>892</v>
      </c>
      <c r="I677" s="9">
        <v>24</v>
      </c>
      <c r="J677" s="9">
        <v>60</v>
      </c>
      <c r="K677" s="9" t="s">
        <v>869</v>
      </c>
      <c r="L677" s="27">
        <v>9.4205000000000011E-2</v>
      </c>
      <c r="M677" s="28" t="s">
        <v>3203</v>
      </c>
      <c r="N677" s="17">
        <v>50.215052999999997</v>
      </c>
      <c r="O677" s="1"/>
      <c r="P677" s="38">
        <f t="shared" si="61"/>
        <v>0</v>
      </c>
      <c r="S677" s="24" t="str">
        <f t="shared" si="64"/>
        <v>-</v>
      </c>
      <c r="T677" s="24" t="str">
        <f t="shared" si="62"/>
        <v>-</v>
      </c>
      <c r="U677" s="25" t="str">
        <f t="shared" si="65"/>
        <v>-</v>
      </c>
      <c r="V677" s="26" t="str">
        <f t="shared" si="66"/>
        <v>-</v>
      </c>
      <c r="X677" s="26" t="str">
        <f t="shared" si="63"/>
        <v>-</v>
      </c>
    </row>
    <row r="678" spans="1:24" x14ac:dyDescent="0.3">
      <c r="A678" s="37">
        <v>87614118932</v>
      </c>
      <c r="B678" s="8" t="s">
        <v>1229</v>
      </c>
      <c r="C678" s="10" t="s">
        <v>2037</v>
      </c>
      <c r="D678" s="11" t="s">
        <v>2822</v>
      </c>
      <c r="E678" s="11" t="s">
        <v>2823</v>
      </c>
      <c r="F678" s="9">
        <v>6</v>
      </c>
      <c r="G678" s="9">
        <v>6</v>
      </c>
      <c r="H678" s="9" t="s">
        <v>892</v>
      </c>
      <c r="I678" s="9">
        <v>24</v>
      </c>
      <c r="J678" s="9">
        <v>1</v>
      </c>
      <c r="K678" s="9" t="s">
        <v>880</v>
      </c>
      <c r="L678" s="27">
        <v>1.4652849999999999</v>
      </c>
      <c r="M678" s="28" t="s">
        <v>3203</v>
      </c>
      <c r="N678" s="17">
        <v>52.889423999999998</v>
      </c>
      <c r="O678" s="1"/>
      <c r="P678" s="38">
        <f t="shared" si="61"/>
        <v>0</v>
      </c>
      <c r="S678" s="24" t="str">
        <f t="shared" si="64"/>
        <v>-</v>
      </c>
      <c r="T678" s="24" t="str">
        <f t="shared" si="62"/>
        <v>-</v>
      </c>
      <c r="U678" s="25" t="str">
        <f t="shared" si="65"/>
        <v>-</v>
      </c>
      <c r="V678" s="26" t="str">
        <f t="shared" si="66"/>
        <v>-</v>
      </c>
      <c r="X678" s="26" t="str">
        <f t="shared" si="63"/>
        <v>-</v>
      </c>
    </row>
    <row r="679" spans="1:24" x14ac:dyDescent="0.3">
      <c r="A679" s="37">
        <v>87614029375</v>
      </c>
      <c r="B679" s="8" t="s">
        <v>1868</v>
      </c>
      <c r="C679" s="10" t="s">
        <v>2599</v>
      </c>
      <c r="D679" s="11" t="s">
        <v>874</v>
      </c>
      <c r="E679" s="11" t="s">
        <v>1059</v>
      </c>
      <c r="F679" s="9">
        <v>20</v>
      </c>
      <c r="G679" s="9">
        <v>60</v>
      </c>
      <c r="H679" s="9" t="s">
        <v>868</v>
      </c>
      <c r="I679" s="9">
        <v>36</v>
      </c>
      <c r="J679" s="9">
        <v>120</v>
      </c>
      <c r="K679" s="9" t="s">
        <v>869</v>
      </c>
      <c r="L679" s="27">
        <v>0.13166</v>
      </c>
      <c r="M679" s="28" t="s">
        <v>3203</v>
      </c>
      <c r="N679" s="17">
        <v>64.683233999999999</v>
      </c>
      <c r="O679" s="1"/>
      <c r="P679" s="38">
        <f t="shared" si="61"/>
        <v>0</v>
      </c>
      <c r="S679" s="24" t="str">
        <f t="shared" si="64"/>
        <v>-</v>
      </c>
      <c r="T679" s="24" t="str">
        <f t="shared" si="62"/>
        <v>-</v>
      </c>
      <c r="U679" s="25" t="str">
        <f t="shared" si="65"/>
        <v>-</v>
      </c>
      <c r="V679" s="26" t="str">
        <f t="shared" si="66"/>
        <v>-</v>
      </c>
      <c r="X679" s="26" t="str">
        <f t="shared" si="63"/>
        <v>-</v>
      </c>
    </row>
    <row r="680" spans="1:24" x14ac:dyDescent="0.3">
      <c r="A680" s="37">
        <v>87614210452</v>
      </c>
      <c r="B680" s="8" t="s">
        <v>1782</v>
      </c>
      <c r="C680" s="10" t="s">
        <v>2778</v>
      </c>
      <c r="D680" s="11" t="s">
        <v>882</v>
      </c>
      <c r="E680" s="11" t="s">
        <v>960</v>
      </c>
      <c r="F680" s="9">
        <v>30</v>
      </c>
      <c r="G680" s="9">
        <v>90</v>
      </c>
      <c r="H680" s="9" t="s">
        <v>868</v>
      </c>
      <c r="I680" s="9">
        <v>36</v>
      </c>
      <c r="J680" s="9">
        <v>60</v>
      </c>
      <c r="K680" s="9" t="s">
        <v>2903</v>
      </c>
      <c r="L680" s="27">
        <v>8.3989999999999995E-2</v>
      </c>
      <c r="M680" s="28" t="s">
        <v>3203</v>
      </c>
      <c r="N680" s="17">
        <v>68.902428</v>
      </c>
      <c r="O680" s="1"/>
      <c r="P680" s="38">
        <f t="shared" si="61"/>
        <v>0</v>
      </c>
      <c r="S680" s="24" t="str">
        <f t="shared" si="64"/>
        <v>-</v>
      </c>
      <c r="T680" s="24" t="str">
        <f t="shared" si="62"/>
        <v>-</v>
      </c>
      <c r="U680" s="25" t="str">
        <f t="shared" si="65"/>
        <v>-</v>
      </c>
      <c r="V680" s="26" t="str">
        <f t="shared" si="66"/>
        <v>-</v>
      </c>
      <c r="X680" s="26" t="str">
        <f t="shared" si="63"/>
        <v>-</v>
      </c>
    </row>
    <row r="681" spans="1:24" x14ac:dyDescent="0.3">
      <c r="A681" s="37">
        <v>87614112336</v>
      </c>
      <c r="B681" s="8" t="s">
        <v>1520</v>
      </c>
      <c r="C681" s="10" t="s">
        <v>2281</v>
      </c>
      <c r="D681" s="11" t="s">
        <v>2822</v>
      </c>
      <c r="E681" s="11" t="s">
        <v>2823</v>
      </c>
      <c r="F681" s="9">
        <v>4</v>
      </c>
      <c r="G681" s="9">
        <v>4</v>
      </c>
      <c r="H681" s="9" t="s">
        <v>868</v>
      </c>
      <c r="I681" s="9">
        <v>24</v>
      </c>
      <c r="J681" s="9">
        <v>1</v>
      </c>
      <c r="K681" s="9" t="s">
        <v>880</v>
      </c>
      <c r="L681" s="27">
        <v>1.3597299999999999</v>
      </c>
      <c r="M681" s="28" t="s">
        <v>3203</v>
      </c>
      <c r="N681" s="17">
        <v>74.649833999999998</v>
      </c>
      <c r="O681" s="1"/>
      <c r="P681" s="38">
        <f t="shared" si="61"/>
        <v>0</v>
      </c>
      <c r="S681" s="24" t="str">
        <f t="shared" si="64"/>
        <v>-</v>
      </c>
      <c r="T681" s="24" t="str">
        <f t="shared" si="62"/>
        <v>-</v>
      </c>
      <c r="U681" s="25" t="str">
        <f t="shared" si="65"/>
        <v>-</v>
      </c>
      <c r="V681" s="26" t="str">
        <f t="shared" si="66"/>
        <v>-</v>
      </c>
      <c r="X681" s="26" t="str">
        <f t="shared" si="63"/>
        <v>-</v>
      </c>
    </row>
    <row r="682" spans="1:24" x14ac:dyDescent="0.3">
      <c r="A682" s="37">
        <v>87614210438</v>
      </c>
      <c r="B682" s="8" t="s">
        <v>1780</v>
      </c>
      <c r="C682" s="10" t="s">
        <v>2517</v>
      </c>
      <c r="D682" s="11" t="s">
        <v>882</v>
      </c>
      <c r="E682" s="11" t="s">
        <v>960</v>
      </c>
      <c r="F682" s="9">
        <v>30</v>
      </c>
      <c r="G682" s="9">
        <v>90</v>
      </c>
      <c r="H682" s="9" t="s">
        <v>868</v>
      </c>
      <c r="I682" s="9">
        <v>24</v>
      </c>
      <c r="J682" s="9">
        <v>60</v>
      </c>
      <c r="K682" s="9" t="s">
        <v>873</v>
      </c>
      <c r="L682" s="27">
        <v>8.6260000000000003E-2</v>
      </c>
      <c r="M682" s="28" t="s">
        <v>3203</v>
      </c>
      <c r="N682" s="17">
        <v>75.314273999999997</v>
      </c>
      <c r="O682" s="1"/>
      <c r="P682" s="38">
        <f t="shared" si="61"/>
        <v>0</v>
      </c>
      <c r="S682" s="24" t="str">
        <f t="shared" si="64"/>
        <v>-</v>
      </c>
      <c r="T682" s="24" t="str">
        <f t="shared" si="62"/>
        <v>-</v>
      </c>
      <c r="U682" s="25" t="str">
        <f t="shared" si="65"/>
        <v>-</v>
      </c>
      <c r="V682" s="26" t="str">
        <f t="shared" si="66"/>
        <v>-</v>
      </c>
      <c r="X682" s="26" t="str">
        <f t="shared" si="63"/>
        <v>-</v>
      </c>
    </row>
    <row r="683" spans="1:24" x14ac:dyDescent="0.3">
      <c r="A683" s="37">
        <v>87614118925</v>
      </c>
      <c r="B683" s="8" t="s">
        <v>1228</v>
      </c>
      <c r="C683" s="10" t="s">
        <v>2036</v>
      </c>
      <c r="D683" s="11" t="s">
        <v>2822</v>
      </c>
      <c r="E683" s="11" t="s">
        <v>2823</v>
      </c>
      <c r="F683" s="9">
        <v>6</v>
      </c>
      <c r="G683" s="9">
        <v>6</v>
      </c>
      <c r="H683" s="9" t="s">
        <v>892</v>
      </c>
      <c r="I683" s="9">
        <v>24</v>
      </c>
      <c r="J683" s="9">
        <v>1</v>
      </c>
      <c r="K683" s="9" t="s">
        <v>880</v>
      </c>
      <c r="L683" s="27">
        <v>1.3767550000000002</v>
      </c>
      <c r="M683" s="28" t="s">
        <v>3203</v>
      </c>
      <c r="N683" s="17">
        <v>50.896103999999994</v>
      </c>
      <c r="O683" s="1"/>
      <c r="P683" s="38">
        <f t="shared" si="61"/>
        <v>0</v>
      </c>
      <c r="S683" s="24" t="str">
        <f t="shared" si="64"/>
        <v>-</v>
      </c>
      <c r="T683" s="24" t="str">
        <f t="shared" si="62"/>
        <v>-</v>
      </c>
      <c r="U683" s="25" t="str">
        <f t="shared" si="65"/>
        <v>-</v>
      </c>
      <c r="V683" s="26" t="str">
        <f t="shared" si="66"/>
        <v>-</v>
      </c>
      <c r="X683" s="26" t="str">
        <f t="shared" si="63"/>
        <v>-</v>
      </c>
    </row>
    <row r="684" spans="1:24" x14ac:dyDescent="0.3">
      <c r="A684" s="37">
        <v>87614118970</v>
      </c>
      <c r="B684" s="8" t="s">
        <v>1230</v>
      </c>
      <c r="C684" s="10" t="s">
        <v>2038</v>
      </c>
      <c r="D684" s="11" t="s">
        <v>893</v>
      </c>
      <c r="E684" s="11" t="s">
        <v>2848</v>
      </c>
      <c r="F684" s="9">
        <v>25</v>
      </c>
      <c r="G684" s="9">
        <v>25</v>
      </c>
      <c r="H684" s="9" t="s">
        <v>868</v>
      </c>
      <c r="I684" s="9">
        <v>24</v>
      </c>
      <c r="J684" s="9">
        <v>30</v>
      </c>
      <c r="K684" s="9" t="s">
        <v>900</v>
      </c>
      <c r="L684" s="27">
        <v>0.25991500000000001</v>
      </c>
      <c r="M684" s="28" t="s">
        <v>3203</v>
      </c>
      <c r="N684" s="17">
        <v>19.999644</v>
      </c>
      <c r="O684" s="1"/>
      <c r="P684" s="38">
        <f t="shared" si="61"/>
        <v>0</v>
      </c>
      <c r="S684" s="24" t="str">
        <f t="shared" si="64"/>
        <v>-</v>
      </c>
      <c r="T684" s="24" t="str">
        <f t="shared" si="62"/>
        <v>-</v>
      </c>
      <c r="U684" s="25" t="str">
        <f t="shared" si="65"/>
        <v>-</v>
      </c>
      <c r="V684" s="26" t="str">
        <f t="shared" si="66"/>
        <v>-</v>
      </c>
      <c r="X684" s="26" t="str">
        <f t="shared" si="63"/>
        <v>-</v>
      </c>
    </row>
    <row r="685" spans="1:24" x14ac:dyDescent="0.3">
      <c r="A685" s="37">
        <v>87614118987</v>
      </c>
      <c r="B685" s="8" t="s">
        <v>1231</v>
      </c>
      <c r="C685" s="10" t="s">
        <v>2039</v>
      </c>
      <c r="D685" s="11" t="s">
        <v>893</v>
      </c>
      <c r="E685" s="11" t="s">
        <v>2848</v>
      </c>
      <c r="F685" s="9">
        <v>36</v>
      </c>
      <c r="G685" s="9">
        <v>36</v>
      </c>
      <c r="H685" s="9" t="s">
        <v>868</v>
      </c>
      <c r="I685" s="9">
        <v>24</v>
      </c>
      <c r="J685" s="9">
        <v>30</v>
      </c>
      <c r="K685" s="9" t="s">
        <v>900</v>
      </c>
      <c r="L685" s="27">
        <v>0.26105</v>
      </c>
      <c r="M685" s="28" t="s">
        <v>3203</v>
      </c>
      <c r="N685" s="17">
        <v>19.999644</v>
      </c>
      <c r="O685" s="1"/>
      <c r="P685" s="38">
        <f t="shared" si="61"/>
        <v>0</v>
      </c>
      <c r="S685" s="24" t="str">
        <f t="shared" si="64"/>
        <v>-</v>
      </c>
      <c r="T685" s="24" t="str">
        <f t="shared" si="62"/>
        <v>-</v>
      </c>
      <c r="U685" s="25" t="str">
        <f t="shared" si="65"/>
        <v>-</v>
      </c>
      <c r="V685" s="26" t="str">
        <f t="shared" si="66"/>
        <v>-</v>
      </c>
      <c r="X685" s="26" t="str">
        <f t="shared" si="63"/>
        <v>-</v>
      </c>
    </row>
    <row r="686" spans="1:24" x14ac:dyDescent="0.3">
      <c r="A686" s="37">
        <v>87614119182</v>
      </c>
      <c r="B686" s="8" t="s">
        <v>1233</v>
      </c>
      <c r="C686" s="10" t="s">
        <v>2041</v>
      </c>
      <c r="D686" s="11" t="s">
        <v>2822</v>
      </c>
      <c r="E686" s="11" t="s">
        <v>2850</v>
      </c>
      <c r="F686" s="9">
        <v>6</v>
      </c>
      <c r="G686" s="9">
        <v>6</v>
      </c>
      <c r="H686" s="9" t="s">
        <v>892</v>
      </c>
      <c r="I686" s="9">
        <v>24</v>
      </c>
      <c r="J686" s="9">
        <v>1</v>
      </c>
      <c r="K686" s="9" t="s">
        <v>880</v>
      </c>
      <c r="L686" s="27">
        <v>1.8999899999999998</v>
      </c>
      <c r="M686" s="28" t="s">
        <v>3203</v>
      </c>
      <c r="N686" s="17">
        <v>62.772968999999996</v>
      </c>
      <c r="O686" s="1"/>
      <c r="P686" s="38">
        <f t="shared" si="61"/>
        <v>0</v>
      </c>
      <c r="S686" s="24" t="str">
        <f t="shared" si="64"/>
        <v>-</v>
      </c>
      <c r="T686" s="24" t="str">
        <f t="shared" si="62"/>
        <v>-</v>
      </c>
      <c r="U686" s="25" t="str">
        <f t="shared" si="65"/>
        <v>-</v>
      </c>
      <c r="V686" s="26" t="str">
        <f t="shared" si="66"/>
        <v>-</v>
      </c>
      <c r="X686" s="26" t="str">
        <f t="shared" si="63"/>
        <v>-</v>
      </c>
    </row>
    <row r="687" spans="1:24" x14ac:dyDescent="0.3">
      <c r="A687" s="37">
        <v>87614119199</v>
      </c>
      <c r="B687" s="8" t="s">
        <v>1234</v>
      </c>
      <c r="C687" s="10" t="s">
        <v>2042</v>
      </c>
      <c r="D687" s="11" t="s">
        <v>2822</v>
      </c>
      <c r="E687" s="11" t="s">
        <v>2850</v>
      </c>
      <c r="F687" s="9">
        <v>6</v>
      </c>
      <c r="G687" s="9">
        <v>6</v>
      </c>
      <c r="H687" s="9" t="s">
        <v>892</v>
      </c>
      <c r="I687" s="9">
        <v>24</v>
      </c>
      <c r="J687" s="9">
        <v>1</v>
      </c>
      <c r="K687" s="9" t="s">
        <v>880</v>
      </c>
      <c r="L687" s="27">
        <v>1.796705</v>
      </c>
      <c r="M687" s="28" t="s">
        <v>3203</v>
      </c>
      <c r="N687" s="17">
        <v>64.899176999999995</v>
      </c>
      <c r="O687" s="1"/>
      <c r="P687" s="38">
        <f t="shared" si="61"/>
        <v>0</v>
      </c>
      <c r="S687" s="24" t="str">
        <f t="shared" si="64"/>
        <v>-</v>
      </c>
      <c r="T687" s="24" t="str">
        <f t="shared" si="62"/>
        <v>-</v>
      </c>
      <c r="U687" s="25" t="str">
        <f t="shared" si="65"/>
        <v>-</v>
      </c>
      <c r="V687" s="26" t="str">
        <f t="shared" si="66"/>
        <v>-</v>
      </c>
      <c r="X687" s="26" t="str">
        <f t="shared" si="63"/>
        <v>-</v>
      </c>
    </row>
    <row r="688" spans="1:24" x14ac:dyDescent="0.3">
      <c r="A688" s="37">
        <v>87614119267</v>
      </c>
      <c r="B688" s="8" t="s">
        <v>2707</v>
      </c>
      <c r="C688" s="10" t="s">
        <v>2708</v>
      </c>
      <c r="D688" s="11" t="s">
        <v>893</v>
      </c>
      <c r="E688" s="11" t="s">
        <v>2848</v>
      </c>
      <c r="F688" s="9">
        <v>36</v>
      </c>
      <c r="G688" s="9">
        <v>72</v>
      </c>
      <c r="H688" s="9" t="s">
        <v>868</v>
      </c>
      <c r="I688" s="9">
        <v>24</v>
      </c>
      <c r="J688" s="9">
        <v>30</v>
      </c>
      <c r="K688" s="9" t="s">
        <v>900</v>
      </c>
      <c r="L688" s="27">
        <v>0.27466999999999997</v>
      </c>
      <c r="M688" s="28" t="s">
        <v>3203</v>
      </c>
      <c r="N688" s="17">
        <v>24.368337</v>
      </c>
      <c r="O688" s="1"/>
      <c r="P688" s="38">
        <f t="shared" si="61"/>
        <v>0</v>
      </c>
      <c r="S688" s="24" t="str">
        <f t="shared" si="64"/>
        <v>-</v>
      </c>
      <c r="T688" s="24" t="str">
        <f t="shared" si="62"/>
        <v>-</v>
      </c>
      <c r="U688" s="25" t="str">
        <f t="shared" si="65"/>
        <v>-</v>
      </c>
      <c r="V688" s="26" t="str">
        <f t="shared" si="66"/>
        <v>-</v>
      </c>
      <c r="X688" s="26" t="str">
        <f t="shared" si="63"/>
        <v>-</v>
      </c>
    </row>
    <row r="689" spans="1:24" x14ac:dyDescent="0.3">
      <c r="A689" s="37">
        <v>87614119274</v>
      </c>
      <c r="B689" s="8" t="s">
        <v>2709</v>
      </c>
      <c r="C689" s="10" t="s">
        <v>2710</v>
      </c>
      <c r="D689" s="11" t="s">
        <v>893</v>
      </c>
      <c r="E689" s="11" t="s">
        <v>2848</v>
      </c>
      <c r="F689" s="9">
        <v>36</v>
      </c>
      <c r="G689" s="9">
        <v>72</v>
      </c>
      <c r="H689" s="9" t="s">
        <v>868</v>
      </c>
      <c r="I689" s="9">
        <v>24</v>
      </c>
      <c r="J689" s="9">
        <v>30</v>
      </c>
      <c r="K689" s="9" t="s">
        <v>900</v>
      </c>
      <c r="L689" s="27">
        <v>0.26785999999999999</v>
      </c>
      <c r="M689" s="28" t="s">
        <v>3203</v>
      </c>
      <c r="N689" s="17">
        <v>21.660744000000001</v>
      </c>
      <c r="O689" s="1"/>
      <c r="P689" s="38">
        <f t="shared" si="61"/>
        <v>0</v>
      </c>
      <c r="S689" s="24" t="str">
        <f t="shared" si="64"/>
        <v>-</v>
      </c>
      <c r="T689" s="24" t="str">
        <f t="shared" si="62"/>
        <v>-</v>
      </c>
      <c r="U689" s="25" t="str">
        <f t="shared" si="65"/>
        <v>-</v>
      </c>
      <c r="V689" s="26" t="str">
        <f t="shared" si="66"/>
        <v>-</v>
      </c>
      <c r="X689" s="26" t="str">
        <f t="shared" si="63"/>
        <v>-</v>
      </c>
    </row>
    <row r="690" spans="1:24" x14ac:dyDescent="0.3">
      <c r="A690" s="37">
        <v>87614119298</v>
      </c>
      <c r="B690" s="8" t="s">
        <v>2711</v>
      </c>
      <c r="C690" s="10" t="s">
        <v>2712</v>
      </c>
      <c r="D690" s="11" t="s">
        <v>893</v>
      </c>
      <c r="E690" s="11" t="s">
        <v>2848</v>
      </c>
      <c r="F690" s="9">
        <v>36</v>
      </c>
      <c r="G690" s="9">
        <v>72</v>
      </c>
      <c r="H690" s="9" t="s">
        <v>868</v>
      </c>
      <c r="I690" s="9">
        <v>24</v>
      </c>
      <c r="J690" s="9">
        <v>30</v>
      </c>
      <c r="K690" s="9" t="s">
        <v>900</v>
      </c>
      <c r="L690" s="27">
        <v>0.27012999999999998</v>
      </c>
      <c r="M690" s="28" t="s">
        <v>3203</v>
      </c>
      <c r="N690" s="17">
        <v>29.168915999999999</v>
      </c>
      <c r="O690" s="1"/>
      <c r="P690" s="38">
        <f t="shared" si="61"/>
        <v>0</v>
      </c>
      <c r="S690" s="24" t="str">
        <f t="shared" si="64"/>
        <v>-</v>
      </c>
      <c r="T690" s="24" t="str">
        <f t="shared" si="62"/>
        <v>-</v>
      </c>
      <c r="U690" s="25" t="str">
        <f t="shared" si="65"/>
        <v>-</v>
      </c>
      <c r="V690" s="26" t="str">
        <f t="shared" si="66"/>
        <v>-</v>
      </c>
      <c r="X690" s="26" t="str">
        <f t="shared" si="63"/>
        <v>-</v>
      </c>
    </row>
    <row r="691" spans="1:24" x14ac:dyDescent="0.3">
      <c r="A691" s="37">
        <v>87614119342</v>
      </c>
      <c r="B691" s="8" t="s">
        <v>1133</v>
      </c>
      <c r="C691" s="10" t="s">
        <v>2713</v>
      </c>
      <c r="D691" s="11" t="s">
        <v>893</v>
      </c>
      <c r="E691" s="11" t="s">
        <v>2848</v>
      </c>
      <c r="F691" s="9">
        <v>36</v>
      </c>
      <c r="G691" s="9">
        <v>72</v>
      </c>
      <c r="H691" s="9" t="s">
        <v>868</v>
      </c>
      <c r="I691" s="9">
        <v>24</v>
      </c>
      <c r="J691" s="9">
        <v>30</v>
      </c>
      <c r="K691" s="9" t="s">
        <v>900</v>
      </c>
      <c r="L691" s="27">
        <v>0.26672499999999999</v>
      </c>
      <c r="M691" s="28" t="s">
        <v>3203</v>
      </c>
      <c r="N691" s="17">
        <v>20.448141</v>
      </c>
      <c r="O691" s="1"/>
      <c r="P691" s="38">
        <f t="shared" si="61"/>
        <v>0</v>
      </c>
      <c r="S691" s="24" t="str">
        <f t="shared" si="64"/>
        <v>-</v>
      </c>
      <c r="T691" s="24" t="str">
        <f t="shared" si="62"/>
        <v>-</v>
      </c>
      <c r="U691" s="25" t="str">
        <f t="shared" si="65"/>
        <v>-</v>
      </c>
      <c r="V691" s="26" t="str">
        <f t="shared" si="66"/>
        <v>-</v>
      </c>
      <c r="X691" s="26" t="str">
        <f t="shared" si="63"/>
        <v>-</v>
      </c>
    </row>
    <row r="692" spans="1:24" x14ac:dyDescent="0.3">
      <c r="A692" s="37">
        <v>87614119373</v>
      </c>
      <c r="B692" s="8" t="s">
        <v>1129</v>
      </c>
      <c r="C692" s="10" t="s">
        <v>2714</v>
      </c>
      <c r="D692" s="11" t="s">
        <v>879</v>
      </c>
      <c r="E692" s="11" t="s">
        <v>1018</v>
      </c>
      <c r="F692" s="9">
        <v>24</v>
      </c>
      <c r="G692" s="9">
        <v>24</v>
      </c>
      <c r="H692" s="9" t="s">
        <v>868</v>
      </c>
      <c r="I692" s="9">
        <v>24</v>
      </c>
      <c r="J692" s="9">
        <v>60</v>
      </c>
      <c r="K692" s="9" t="s">
        <v>2903</v>
      </c>
      <c r="L692" s="27">
        <v>8.3989999999999995E-2</v>
      </c>
      <c r="M692" s="28" t="s">
        <v>3203</v>
      </c>
      <c r="N692" s="17">
        <v>21.710577000000001</v>
      </c>
      <c r="O692" s="1"/>
      <c r="P692" s="38">
        <f t="shared" si="61"/>
        <v>0</v>
      </c>
      <c r="S692" s="24" t="str">
        <f t="shared" si="64"/>
        <v>-</v>
      </c>
      <c r="T692" s="24" t="str">
        <f t="shared" si="62"/>
        <v>-</v>
      </c>
      <c r="U692" s="25" t="str">
        <f t="shared" si="65"/>
        <v>-</v>
      </c>
      <c r="V692" s="26" t="str">
        <f t="shared" si="66"/>
        <v>-</v>
      </c>
      <c r="X692" s="26" t="str">
        <f t="shared" si="63"/>
        <v>-</v>
      </c>
    </row>
    <row r="693" spans="1:24" x14ac:dyDescent="0.3">
      <c r="A693" s="37">
        <v>87614119380</v>
      </c>
      <c r="B693" s="8" t="s">
        <v>1123</v>
      </c>
      <c r="C693" s="10" t="s">
        <v>2715</v>
      </c>
      <c r="D693" s="11" t="s">
        <v>879</v>
      </c>
      <c r="E693" s="11" t="s">
        <v>1018</v>
      </c>
      <c r="F693" s="9">
        <v>24</v>
      </c>
      <c r="G693" s="9">
        <v>24</v>
      </c>
      <c r="H693" s="9" t="s">
        <v>868</v>
      </c>
      <c r="I693" s="9">
        <v>24</v>
      </c>
      <c r="J693" s="9">
        <v>60</v>
      </c>
      <c r="K693" s="9" t="s">
        <v>2903</v>
      </c>
      <c r="L693" s="27">
        <v>8.2854999999999998E-2</v>
      </c>
      <c r="M693" s="28" t="s">
        <v>3203</v>
      </c>
      <c r="N693" s="17">
        <v>19.933199999999999</v>
      </c>
      <c r="O693" s="1"/>
      <c r="P693" s="38">
        <f t="shared" si="61"/>
        <v>0</v>
      </c>
      <c r="S693" s="24" t="str">
        <f t="shared" si="64"/>
        <v>-</v>
      </c>
      <c r="T693" s="24" t="str">
        <f t="shared" si="62"/>
        <v>-</v>
      </c>
      <c r="U693" s="25" t="str">
        <f t="shared" si="65"/>
        <v>-</v>
      </c>
      <c r="V693" s="26" t="str">
        <f t="shared" si="66"/>
        <v>-</v>
      </c>
      <c r="X693" s="26" t="str">
        <f t="shared" si="63"/>
        <v>-</v>
      </c>
    </row>
    <row r="694" spans="1:24" x14ac:dyDescent="0.3">
      <c r="A694" s="37">
        <v>87614119397</v>
      </c>
      <c r="B694" s="8" t="s">
        <v>1235</v>
      </c>
      <c r="C694" s="10" t="s">
        <v>2716</v>
      </c>
      <c r="D694" s="11" t="s">
        <v>893</v>
      </c>
      <c r="E694" s="11" t="s">
        <v>2848</v>
      </c>
      <c r="F694" s="9">
        <v>24</v>
      </c>
      <c r="G694" s="9">
        <v>96</v>
      </c>
      <c r="H694" s="9" t="s">
        <v>868</v>
      </c>
      <c r="I694" s="9">
        <v>24</v>
      </c>
      <c r="J694" s="9">
        <v>8</v>
      </c>
      <c r="K694" s="9" t="s">
        <v>900</v>
      </c>
      <c r="L694" s="27">
        <v>8.3989999999999995E-2</v>
      </c>
      <c r="M694" s="28" t="s">
        <v>3203</v>
      </c>
      <c r="N694" s="17">
        <v>7.6576709999999997</v>
      </c>
      <c r="O694" s="1"/>
      <c r="P694" s="38">
        <f t="shared" si="61"/>
        <v>0</v>
      </c>
      <c r="S694" s="24" t="str">
        <f t="shared" si="64"/>
        <v>-</v>
      </c>
      <c r="T694" s="24" t="str">
        <f t="shared" si="62"/>
        <v>-</v>
      </c>
      <c r="U694" s="25" t="str">
        <f t="shared" si="65"/>
        <v>-</v>
      </c>
      <c r="V694" s="26" t="str">
        <f t="shared" si="66"/>
        <v>-</v>
      </c>
      <c r="X694" s="26" t="str">
        <f t="shared" si="63"/>
        <v>-</v>
      </c>
    </row>
    <row r="695" spans="1:24" x14ac:dyDescent="0.3">
      <c r="A695" s="37">
        <v>87614119403</v>
      </c>
      <c r="B695" s="8" t="s">
        <v>1236</v>
      </c>
      <c r="C695" s="10" t="s">
        <v>2043</v>
      </c>
      <c r="D695" s="11" t="s">
        <v>893</v>
      </c>
      <c r="E695" s="11" t="s">
        <v>2848</v>
      </c>
      <c r="F695" s="9">
        <v>24</v>
      </c>
      <c r="G695" s="9">
        <v>96</v>
      </c>
      <c r="H695" s="9" t="s">
        <v>868</v>
      </c>
      <c r="I695" s="9">
        <v>24</v>
      </c>
      <c r="J695" s="9">
        <v>8</v>
      </c>
      <c r="K695" s="9" t="s">
        <v>900</v>
      </c>
      <c r="L695" s="27">
        <v>8.2854999999999998E-2</v>
      </c>
      <c r="M695" s="28" t="s">
        <v>3203</v>
      </c>
      <c r="N695" s="17">
        <v>7.4085059999999991</v>
      </c>
      <c r="O695" s="1"/>
      <c r="P695" s="38">
        <f t="shared" si="61"/>
        <v>0</v>
      </c>
      <c r="S695" s="24" t="str">
        <f t="shared" si="64"/>
        <v>-</v>
      </c>
      <c r="T695" s="24" t="str">
        <f t="shared" si="62"/>
        <v>-</v>
      </c>
      <c r="U695" s="25" t="str">
        <f t="shared" si="65"/>
        <v>-</v>
      </c>
      <c r="V695" s="26" t="str">
        <f t="shared" si="66"/>
        <v>-</v>
      </c>
      <c r="X695" s="26" t="str">
        <f t="shared" si="63"/>
        <v>-</v>
      </c>
    </row>
    <row r="696" spans="1:24" x14ac:dyDescent="0.3">
      <c r="A696" s="37">
        <v>87614119410</v>
      </c>
      <c r="B696" s="8" t="s">
        <v>1237</v>
      </c>
      <c r="C696" s="10" t="s">
        <v>2044</v>
      </c>
      <c r="D696" s="11" t="s">
        <v>893</v>
      </c>
      <c r="E696" s="11" t="s">
        <v>2848</v>
      </c>
      <c r="F696" s="9">
        <v>24</v>
      </c>
      <c r="G696" s="9">
        <v>96</v>
      </c>
      <c r="H696" s="9" t="s">
        <v>868</v>
      </c>
      <c r="I696" s="9">
        <v>24</v>
      </c>
      <c r="J696" s="9">
        <v>8</v>
      </c>
      <c r="K696" s="9" t="s">
        <v>900</v>
      </c>
      <c r="L696" s="27">
        <v>8.1720000000000001E-2</v>
      </c>
      <c r="M696" s="28" t="s">
        <v>3203</v>
      </c>
      <c r="N696" s="17">
        <v>7.5247830000000002</v>
      </c>
      <c r="O696" s="1"/>
      <c r="P696" s="38">
        <f t="shared" si="61"/>
        <v>0</v>
      </c>
      <c r="S696" s="24" t="str">
        <f t="shared" si="64"/>
        <v>-</v>
      </c>
      <c r="T696" s="24" t="str">
        <f t="shared" si="62"/>
        <v>-</v>
      </c>
      <c r="U696" s="25" t="str">
        <f t="shared" si="65"/>
        <v>-</v>
      </c>
      <c r="V696" s="26" t="str">
        <f t="shared" si="66"/>
        <v>-</v>
      </c>
      <c r="X696" s="26" t="str">
        <f t="shared" si="63"/>
        <v>-</v>
      </c>
    </row>
    <row r="697" spans="1:24" x14ac:dyDescent="0.3">
      <c r="A697" s="37">
        <v>87614119427</v>
      </c>
      <c r="B697" s="8" t="s">
        <v>1238</v>
      </c>
      <c r="C697" s="10" t="s">
        <v>2045</v>
      </c>
      <c r="D697" s="11" t="s">
        <v>893</v>
      </c>
      <c r="E697" s="11" t="s">
        <v>2848</v>
      </c>
      <c r="F697" s="9">
        <v>24</v>
      </c>
      <c r="G697" s="9">
        <v>96</v>
      </c>
      <c r="H697" s="9" t="s">
        <v>868</v>
      </c>
      <c r="I697" s="9">
        <v>24</v>
      </c>
      <c r="J697" s="9">
        <v>8</v>
      </c>
      <c r="K697" s="9" t="s">
        <v>900</v>
      </c>
      <c r="L697" s="27">
        <v>8.2854999999999998E-2</v>
      </c>
      <c r="M697" s="28" t="s">
        <v>3203</v>
      </c>
      <c r="N697" s="17">
        <v>7.3586729999999996</v>
      </c>
      <c r="O697" s="1"/>
      <c r="P697" s="38">
        <f t="shared" si="61"/>
        <v>0</v>
      </c>
      <c r="S697" s="24" t="str">
        <f t="shared" si="64"/>
        <v>-</v>
      </c>
      <c r="T697" s="24" t="str">
        <f t="shared" si="62"/>
        <v>-</v>
      </c>
      <c r="U697" s="25" t="str">
        <f t="shared" si="65"/>
        <v>-</v>
      </c>
      <c r="V697" s="26" t="str">
        <f t="shared" si="66"/>
        <v>-</v>
      </c>
      <c r="X697" s="26" t="str">
        <f t="shared" si="63"/>
        <v>-</v>
      </c>
    </row>
    <row r="698" spans="1:24" x14ac:dyDescent="0.3">
      <c r="A698" s="37">
        <v>87614119458</v>
      </c>
      <c r="B698" s="8" t="s">
        <v>2717</v>
      </c>
      <c r="C698" s="10" t="s">
        <v>2718</v>
      </c>
      <c r="D698" s="11" t="s">
        <v>876</v>
      </c>
      <c r="E698" s="11" t="s">
        <v>943</v>
      </c>
      <c r="F698" s="9">
        <v>30</v>
      </c>
      <c r="G698" s="9">
        <v>90</v>
      </c>
      <c r="H698" s="9" t="s">
        <v>868</v>
      </c>
      <c r="I698" s="9">
        <v>36</v>
      </c>
      <c r="J698" s="9">
        <v>60</v>
      </c>
      <c r="K698" s="9" t="s">
        <v>2903</v>
      </c>
      <c r="L698" s="27">
        <v>7.831500000000001E-2</v>
      </c>
      <c r="M698" s="28" t="s">
        <v>3203</v>
      </c>
      <c r="N698" s="17">
        <v>9.9665999999999997</v>
      </c>
      <c r="O698" s="1"/>
      <c r="P698" s="38">
        <f t="shared" si="61"/>
        <v>0</v>
      </c>
      <c r="S698" s="24" t="str">
        <f t="shared" si="64"/>
        <v>-</v>
      </c>
      <c r="T698" s="24" t="str">
        <f t="shared" si="62"/>
        <v>-</v>
      </c>
      <c r="U698" s="25" t="str">
        <f t="shared" si="65"/>
        <v>-</v>
      </c>
      <c r="V698" s="26" t="str">
        <f t="shared" si="66"/>
        <v>-</v>
      </c>
      <c r="X698" s="26" t="str">
        <f t="shared" si="63"/>
        <v>-</v>
      </c>
    </row>
    <row r="699" spans="1:24" x14ac:dyDescent="0.3">
      <c r="A699" s="37">
        <v>87614119465</v>
      </c>
      <c r="B699" s="8" t="s">
        <v>2719</v>
      </c>
      <c r="C699" s="10" t="s">
        <v>2977</v>
      </c>
      <c r="D699" s="11" t="s">
        <v>883</v>
      </c>
      <c r="E699" s="11" t="s">
        <v>928</v>
      </c>
      <c r="F699" s="9">
        <v>30</v>
      </c>
      <c r="G699" s="9">
        <v>90</v>
      </c>
      <c r="H699" s="9" t="s">
        <v>892</v>
      </c>
      <c r="I699" s="9">
        <v>24</v>
      </c>
      <c r="J699" s="9">
        <v>60</v>
      </c>
      <c r="K699" s="9" t="s">
        <v>2907</v>
      </c>
      <c r="L699" s="27">
        <v>0</v>
      </c>
      <c r="M699" s="28" t="s">
        <v>3203</v>
      </c>
      <c r="N699" s="17">
        <v>21.743798999999999</v>
      </c>
      <c r="O699" s="1"/>
      <c r="P699" s="38">
        <f t="shared" si="61"/>
        <v>0</v>
      </c>
      <c r="S699" s="24" t="str">
        <f t="shared" si="64"/>
        <v>-</v>
      </c>
      <c r="T699" s="24" t="str">
        <f t="shared" si="62"/>
        <v>-</v>
      </c>
      <c r="U699" s="25" t="str">
        <f t="shared" si="65"/>
        <v>-</v>
      </c>
      <c r="V699" s="26" t="str">
        <f t="shared" si="66"/>
        <v>-</v>
      </c>
      <c r="X699" s="26" t="str">
        <f t="shared" si="63"/>
        <v>-</v>
      </c>
    </row>
    <row r="700" spans="1:24" x14ac:dyDescent="0.3">
      <c r="A700" s="37">
        <v>87614119670</v>
      </c>
      <c r="B700" s="8" t="s">
        <v>3091</v>
      </c>
      <c r="C700" s="10" t="s">
        <v>3092</v>
      </c>
      <c r="D700" s="11" t="s">
        <v>898</v>
      </c>
      <c r="E700" s="11" t="s">
        <v>893</v>
      </c>
      <c r="F700" s="9">
        <v>0</v>
      </c>
      <c r="G700" s="9">
        <v>0</v>
      </c>
      <c r="H700" s="9" t="s">
        <v>868</v>
      </c>
      <c r="I700" s="9">
        <v>24</v>
      </c>
      <c r="J700" s="9">
        <v>30</v>
      </c>
      <c r="K700" s="9" t="s">
        <v>900</v>
      </c>
      <c r="L700" s="27">
        <v>0</v>
      </c>
      <c r="M700" s="28" t="s">
        <v>3203</v>
      </c>
      <c r="N700" s="17">
        <v>12.042975</v>
      </c>
      <c r="O700" s="1"/>
      <c r="P700" s="38">
        <f t="shared" si="61"/>
        <v>0</v>
      </c>
      <c r="S700" s="24" t="str">
        <f t="shared" si="64"/>
        <v>-</v>
      </c>
      <c r="T700" s="24" t="str">
        <f t="shared" si="62"/>
        <v>-</v>
      </c>
      <c r="U700" s="25" t="str">
        <f t="shared" si="65"/>
        <v>-</v>
      </c>
      <c r="V700" s="26" t="str">
        <f t="shared" si="66"/>
        <v>-</v>
      </c>
      <c r="X700" s="26" t="str">
        <f t="shared" si="63"/>
        <v>-</v>
      </c>
    </row>
    <row r="701" spans="1:24" x14ac:dyDescent="0.3">
      <c r="A701" s="37">
        <v>87614119687</v>
      </c>
      <c r="B701" s="8" t="s">
        <v>3093</v>
      </c>
      <c r="C701" s="10" t="s">
        <v>3094</v>
      </c>
      <c r="D701" s="11" t="s">
        <v>891</v>
      </c>
      <c r="E701" s="11" t="s">
        <v>1016</v>
      </c>
      <c r="F701" s="9">
        <v>0</v>
      </c>
      <c r="G701" s="9">
        <v>0</v>
      </c>
      <c r="H701" s="9" t="s">
        <v>868</v>
      </c>
      <c r="I701" s="9">
        <v>36</v>
      </c>
      <c r="J701" s="9">
        <v>20</v>
      </c>
      <c r="K701" s="9" t="s">
        <v>900</v>
      </c>
      <c r="L701" s="27">
        <v>0</v>
      </c>
      <c r="M701" s="28" t="s">
        <v>3203</v>
      </c>
      <c r="N701" s="17">
        <v>17.690714999999997</v>
      </c>
      <c r="O701" s="1"/>
      <c r="P701" s="38">
        <f t="shared" si="61"/>
        <v>0</v>
      </c>
      <c r="S701" s="24" t="str">
        <f t="shared" si="64"/>
        <v>-</v>
      </c>
      <c r="T701" s="24" t="str">
        <f t="shared" si="62"/>
        <v>-</v>
      </c>
      <c r="U701" s="25" t="str">
        <f t="shared" si="65"/>
        <v>-</v>
      </c>
      <c r="V701" s="26" t="str">
        <f t="shared" si="66"/>
        <v>-</v>
      </c>
      <c r="X701" s="26" t="str">
        <f t="shared" si="63"/>
        <v>-</v>
      </c>
    </row>
    <row r="702" spans="1:24" x14ac:dyDescent="0.3">
      <c r="A702" s="37">
        <v>87614119694</v>
      </c>
      <c r="B702" s="8" t="s">
        <v>3095</v>
      </c>
      <c r="C702" s="10" t="s">
        <v>3096</v>
      </c>
      <c r="D702" s="11" t="s">
        <v>893</v>
      </c>
      <c r="E702" s="11" t="s">
        <v>2857</v>
      </c>
      <c r="F702" s="9">
        <v>0</v>
      </c>
      <c r="G702" s="9">
        <v>0</v>
      </c>
      <c r="H702" s="9" t="s">
        <v>868</v>
      </c>
      <c r="I702" s="9">
        <v>24</v>
      </c>
      <c r="J702" s="9">
        <v>120</v>
      </c>
      <c r="K702" s="9" t="s">
        <v>901</v>
      </c>
      <c r="L702" s="27">
        <v>0</v>
      </c>
      <c r="M702" s="28" t="s">
        <v>3203</v>
      </c>
      <c r="N702" s="17">
        <v>25.962992999999997</v>
      </c>
      <c r="O702" s="1"/>
      <c r="P702" s="38">
        <f t="shared" si="61"/>
        <v>0</v>
      </c>
      <c r="S702" s="24" t="str">
        <f t="shared" si="64"/>
        <v>-</v>
      </c>
      <c r="T702" s="24" t="str">
        <f t="shared" si="62"/>
        <v>-</v>
      </c>
      <c r="U702" s="25" t="str">
        <f t="shared" si="65"/>
        <v>-</v>
      </c>
      <c r="V702" s="26" t="str">
        <f t="shared" si="66"/>
        <v>-</v>
      </c>
      <c r="X702" s="26" t="str">
        <f t="shared" si="63"/>
        <v>-</v>
      </c>
    </row>
    <row r="703" spans="1:24" x14ac:dyDescent="0.3">
      <c r="A703" s="37">
        <v>87614190570</v>
      </c>
      <c r="B703" s="8" t="s">
        <v>2741</v>
      </c>
      <c r="C703" s="10" t="s">
        <v>3000</v>
      </c>
      <c r="D703" s="11" t="s">
        <v>879</v>
      </c>
      <c r="E703" s="11" t="s">
        <v>1018</v>
      </c>
      <c r="F703" s="9">
        <v>30</v>
      </c>
      <c r="G703" s="9">
        <v>90</v>
      </c>
      <c r="H703" s="9" t="s">
        <v>868</v>
      </c>
      <c r="I703" s="9">
        <v>24</v>
      </c>
      <c r="J703" s="9">
        <v>30</v>
      </c>
      <c r="K703" s="9" t="s">
        <v>2903</v>
      </c>
      <c r="L703" s="27">
        <v>3.7455000000000002E-2</v>
      </c>
      <c r="M703" s="28" t="s">
        <v>3203</v>
      </c>
      <c r="N703" s="17">
        <v>2.8072589999999997</v>
      </c>
      <c r="O703" s="1"/>
      <c r="P703" s="38">
        <f t="shared" si="61"/>
        <v>0</v>
      </c>
      <c r="S703" s="24" t="str">
        <f t="shared" si="64"/>
        <v>-</v>
      </c>
      <c r="T703" s="24" t="str">
        <f t="shared" si="62"/>
        <v>-</v>
      </c>
      <c r="U703" s="25" t="str">
        <f t="shared" si="65"/>
        <v>-</v>
      </c>
      <c r="V703" s="26" t="str">
        <f t="shared" si="66"/>
        <v>-</v>
      </c>
      <c r="X703" s="26" t="str">
        <f t="shared" si="63"/>
        <v>-</v>
      </c>
    </row>
    <row r="704" spans="1:24" x14ac:dyDescent="0.3">
      <c r="A704" s="37">
        <v>87614171043</v>
      </c>
      <c r="B704" s="8" t="s">
        <v>2748</v>
      </c>
      <c r="C704" s="10" t="s">
        <v>2749</v>
      </c>
      <c r="D704" s="11" t="s">
        <v>874</v>
      </c>
      <c r="E704" s="11" t="s">
        <v>2819</v>
      </c>
      <c r="F704" s="9">
        <v>16</v>
      </c>
      <c r="G704" s="9">
        <v>48</v>
      </c>
      <c r="H704" s="9" t="s">
        <v>868</v>
      </c>
      <c r="I704" s="9">
        <v>24</v>
      </c>
      <c r="J704" s="9">
        <v>120</v>
      </c>
      <c r="K704" s="9" t="s">
        <v>2908</v>
      </c>
      <c r="L704" s="27">
        <v>0.15663000000000002</v>
      </c>
      <c r="M704" s="28" t="s">
        <v>3203</v>
      </c>
      <c r="N704" s="17">
        <v>37.873080000000002</v>
      </c>
      <c r="O704" s="1"/>
      <c r="P704" s="38">
        <f t="shared" si="61"/>
        <v>0</v>
      </c>
      <c r="S704" s="24" t="str">
        <f t="shared" si="64"/>
        <v>-</v>
      </c>
      <c r="T704" s="24" t="str">
        <f t="shared" si="62"/>
        <v>-</v>
      </c>
      <c r="U704" s="25" t="str">
        <f t="shared" si="65"/>
        <v>-</v>
      </c>
      <c r="V704" s="26" t="str">
        <f t="shared" si="66"/>
        <v>-</v>
      </c>
      <c r="X704" s="26" t="str">
        <f t="shared" si="63"/>
        <v>-</v>
      </c>
    </row>
    <row r="705" spans="1:24" x14ac:dyDescent="0.3">
      <c r="A705" s="37">
        <v>87614117805</v>
      </c>
      <c r="B705" s="8" t="s">
        <v>3097</v>
      </c>
      <c r="C705" s="10" t="s">
        <v>3098</v>
      </c>
      <c r="D705" s="11" t="s">
        <v>883</v>
      </c>
      <c r="E705" s="11" t="s">
        <v>926</v>
      </c>
      <c r="F705" s="9">
        <v>30</v>
      </c>
      <c r="G705" s="9">
        <v>90</v>
      </c>
      <c r="H705" s="9" t="s">
        <v>868</v>
      </c>
      <c r="I705" s="9">
        <v>36</v>
      </c>
      <c r="J705" s="9">
        <v>100</v>
      </c>
      <c r="K705" s="9" t="s">
        <v>873</v>
      </c>
      <c r="L705" s="27">
        <v>0.11123000000000001</v>
      </c>
      <c r="M705" s="28" t="s">
        <v>3203</v>
      </c>
      <c r="N705" s="17">
        <v>3.2557559999999999</v>
      </c>
      <c r="O705" s="1"/>
      <c r="P705" s="38">
        <f t="shared" si="61"/>
        <v>0</v>
      </c>
      <c r="S705" s="24" t="str">
        <f t="shared" si="64"/>
        <v>-</v>
      </c>
      <c r="T705" s="24" t="str">
        <f t="shared" si="62"/>
        <v>-</v>
      </c>
      <c r="U705" s="25" t="str">
        <f t="shared" si="65"/>
        <v>-</v>
      </c>
      <c r="V705" s="26" t="str">
        <f t="shared" si="66"/>
        <v>-</v>
      </c>
      <c r="X705" s="26" t="str">
        <f t="shared" si="63"/>
        <v>-</v>
      </c>
    </row>
    <row r="706" spans="1:24" x14ac:dyDescent="0.3">
      <c r="A706" s="37">
        <v>87614117812</v>
      </c>
      <c r="B706" s="8" t="s">
        <v>3099</v>
      </c>
      <c r="C706" s="10" t="s">
        <v>3100</v>
      </c>
      <c r="D706" s="11" t="s">
        <v>899</v>
      </c>
      <c r="E706" s="11" t="s">
        <v>1013</v>
      </c>
      <c r="F706" s="9">
        <v>30</v>
      </c>
      <c r="G706" s="9">
        <v>90</v>
      </c>
      <c r="H706" s="9" t="s">
        <v>868</v>
      </c>
      <c r="I706" s="9">
        <v>36</v>
      </c>
      <c r="J706" s="9">
        <v>100</v>
      </c>
      <c r="K706" s="9" t="s">
        <v>877</v>
      </c>
      <c r="L706" s="27">
        <v>6.583E-2</v>
      </c>
      <c r="M706" s="28" t="s">
        <v>3203</v>
      </c>
      <c r="N706" s="17">
        <v>2.209263</v>
      </c>
      <c r="O706" s="1"/>
      <c r="P706" s="38">
        <f t="shared" si="61"/>
        <v>0</v>
      </c>
      <c r="S706" s="24" t="str">
        <f t="shared" si="64"/>
        <v>-</v>
      </c>
      <c r="T706" s="24" t="str">
        <f t="shared" si="62"/>
        <v>-</v>
      </c>
      <c r="U706" s="25" t="str">
        <f t="shared" si="65"/>
        <v>-</v>
      </c>
      <c r="V706" s="26" t="str">
        <f t="shared" si="66"/>
        <v>-</v>
      </c>
      <c r="X706" s="26" t="str">
        <f t="shared" si="63"/>
        <v>-</v>
      </c>
    </row>
    <row r="707" spans="1:24" x14ac:dyDescent="0.3">
      <c r="A707" s="37">
        <v>87614117898</v>
      </c>
      <c r="B707" s="8" t="s">
        <v>3101</v>
      </c>
      <c r="C707" s="10" t="s">
        <v>3102</v>
      </c>
      <c r="D707" s="11" t="s">
        <v>882</v>
      </c>
      <c r="E707" s="11" t="s">
        <v>920</v>
      </c>
      <c r="F707" s="9">
        <v>48</v>
      </c>
      <c r="G707" s="9">
        <v>192</v>
      </c>
      <c r="H707" s="9" t="s">
        <v>868</v>
      </c>
      <c r="I707" s="9">
        <v>36</v>
      </c>
      <c r="J707" s="9">
        <v>30</v>
      </c>
      <c r="K707" s="9" t="s">
        <v>877</v>
      </c>
      <c r="L707" s="27">
        <v>4.6535E-2</v>
      </c>
      <c r="M707" s="28" t="s">
        <v>3203</v>
      </c>
      <c r="N707" s="17">
        <v>1.561434</v>
      </c>
      <c r="O707" s="1"/>
      <c r="P707" s="38">
        <f t="shared" ref="P707:P770" si="67">O707*N707</f>
        <v>0</v>
      </c>
      <c r="S707" s="24" t="str">
        <f t="shared" si="64"/>
        <v>-</v>
      </c>
      <c r="T707" s="24" t="str">
        <f t="shared" ref="T707:T770" si="68">IF(O707&gt;0,N707+L707*O707/$U$2*$V$2/O707,"-")</f>
        <v>-</v>
      </c>
      <c r="U707" s="25" t="str">
        <f t="shared" si="65"/>
        <v>-</v>
      </c>
      <c r="V707" s="26" t="str">
        <f t="shared" si="66"/>
        <v>-</v>
      </c>
      <c r="X707" s="26" t="str">
        <f t="shared" ref="X707:X770" si="69">IFERROR(IF(V707+P707=0, "-", IF(V707&gt;0, V707+P707, "-")), "-")</f>
        <v>-</v>
      </c>
    </row>
    <row r="708" spans="1:24" x14ac:dyDescent="0.3">
      <c r="A708" s="37">
        <v>87614119069</v>
      </c>
      <c r="B708" s="8" t="s">
        <v>3103</v>
      </c>
      <c r="C708" s="10" t="s">
        <v>3104</v>
      </c>
      <c r="D708" s="11" t="s">
        <v>881</v>
      </c>
      <c r="E708" s="11" t="s">
        <v>949</v>
      </c>
      <c r="F708" s="9">
        <v>30</v>
      </c>
      <c r="G708" s="9">
        <v>90</v>
      </c>
      <c r="H708" s="9" t="s">
        <v>868</v>
      </c>
      <c r="I708" s="9">
        <v>36</v>
      </c>
      <c r="J708" s="9">
        <v>1</v>
      </c>
      <c r="K708" s="9" t="s">
        <v>873</v>
      </c>
      <c r="L708" s="27">
        <v>8.6260000000000003E-2</v>
      </c>
      <c r="M708" s="28" t="s">
        <v>3203</v>
      </c>
      <c r="N708" s="17">
        <v>5.48163</v>
      </c>
      <c r="O708" s="1"/>
      <c r="P708" s="38">
        <f t="shared" si="67"/>
        <v>0</v>
      </c>
      <c r="S708" s="24" t="str">
        <f t="shared" ref="S708:S771" si="70">IFERROR(IF(S$2*L708=0, "-", $S$2*L708), "-")</f>
        <v>-</v>
      </c>
      <c r="T708" s="24" t="str">
        <f t="shared" si="68"/>
        <v>-</v>
      </c>
      <c r="U708" s="25" t="str">
        <f t="shared" ref="U708:U771" si="71">IF(O708&gt;0,O708*L708, "-")</f>
        <v>-</v>
      </c>
      <c r="V708" s="26" t="str">
        <f t="shared" ref="V708:V771" si="72">IFERROR(IF($S$2&gt;0, $S$2*U708, "-"), "-")</f>
        <v>-</v>
      </c>
      <c r="X708" s="26" t="str">
        <f t="shared" si="69"/>
        <v>-</v>
      </c>
    </row>
    <row r="709" spans="1:24" x14ac:dyDescent="0.3">
      <c r="A709" s="37">
        <v>87614119083</v>
      </c>
      <c r="B709" s="8" t="s">
        <v>3105</v>
      </c>
      <c r="C709" s="10" t="s">
        <v>3106</v>
      </c>
      <c r="D709" s="11" t="s">
        <v>876</v>
      </c>
      <c r="E709" s="11" t="s">
        <v>916</v>
      </c>
      <c r="F709" s="9">
        <v>16</v>
      </c>
      <c r="G709" s="9">
        <v>48</v>
      </c>
      <c r="H709" s="9" t="s">
        <v>868</v>
      </c>
      <c r="I709" s="9">
        <v>24</v>
      </c>
      <c r="J709" s="9">
        <v>100</v>
      </c>
      <c r="K709" s="9" t="s">
        <v>873</v>
      </c>
      <c r="L709" s="27">
        <v>0.15549500000000002</v>
      </c>
      <c r="M709" s="28" t="s">
        <v>3203</v>
      </c>
      <c r="N709" s="17">
        <v>8.454998999999999</v>
      </c>
      <c r="O709" s="1"/>
      <c r="P709" s="38">
        <f t="shared" si="67"/>
        <v>0</v>
      </c>
      <c r="S709" s="24" t="str">
        <f t="shared" si="70"/>
        <v>-</v>
      </c>
      <c r="T709" s="24" t="str">
        <f t="shared" si="68"/>
        <v>-</v>
      </c>
      <c r="U709" s="25" t="str">
        <f t="shared" si="71"/>
        <v>-</v>
      </c>
      <c r="V709" s="26" t="str">
        <f t="shared" si="72"/>
        <v>-</v>
      </c>
      <c r="X709" s="26" t="str">
        <f t="shared" si="69"/>
        <v>-</v>
      </c>
    </row>
    <row r="710" spans="1:24" x14ac:dyDescent="0.3">
      <c r="A710" s="37">
        <v>87614119120</v>
      </c>
      <c r="B710" s="8" t="s">
        <v>2922</v>
      </c>
      <c r="C710" s="10" t="s">
        <v>2975</v>
      </c>
      <c r="D710" s="11" t="s">
        <v>885</v>
      </c>
      <c r="E710" s="11" t="s">
        <v>1021</v>
      </c>
      <c r="F710" s="9">
        <v>48</v>
      </c>
      <c r="G710" s="9">
        <v>192</v>
      </c>
      <c r="H710" s="9" t="s">
        <v>868</v>
      </c>
      <c r="I710" s="9">
        <v>36</v>
      </c>
      <c r="J710" s="9">
        <v>100</v>
      </c>
      <c r="K710" s="9" t="s">
        <v>873</v>
      </c>
      <c r="L710" s="27">
        <v>4.086E-2</v>
      </c>
      <c r="M710" s="28" t="s">
        <v>3203</v>
      </c>
      <c r="N710" s="17">
        <v>3.8039189999999996</v>
      </c>
      <c r="O710" s="1"/>
      <c r="P710" s="38">
        <f t="shared" si="67"/>
        <v>0</v>
      </c>
      <c r="S710" s="24" t="str">
        <f t="shared" si="70"/>
        <v>-</v>
      </c>
      <c r="T710" s="24" t="str">
        <f t="shared" si="68"/>
        <v>-</v>
      </c>
      <c r="U710" s="25" t="str">
        <f t="shared" si="71"/>
        <v>-</v>
      </c>
      <c r="V710" s="26" t="str">
        <f t="shared" si="72"/>
        <v>-</v>
      </c>
      <c r="X710" s="26" t="str">
        <f t="shared" si="69"/>
        <v>-</v>
      </c>
    </row>
    <row r="711" spans="1:24" x14ac:dyDescent="0.3">
      <c r="A711" s="37">
        <v>87614119663</v>
      </c>
      <c r="B711" s="8" t="s">
        <v>3107</v>
      </c>
      <c r="C711" s="10" t="s">
        <v>1095</v>
      </c>
      <c r="D711" s="11" t="s">
        <v>874</v>
      </c>
      <c r="E711" s="11" t="s">
        <v>1118</v>
      </c>
      <c r="F711" s="9">
        <v>12</v>
      </c>
      <c r="G711" s="9">
        <v>12</v>
      </c>
      <c r="H711" s="9" t="s">
        <v>868</v>
      </c>
      <c r="I711" s="9">
        <v>36</v>
      </c>
      <c r="J711" s="9">
        <v>150</v>
      </c>
      <c r="K711" s="9" t="s">
        <v>869</v>
      </c>
      <c r="L711" s="27">
        <v>0.31099000000000004</v>
      </c>
      <c r="M711" s="28" t="s">
        <v>3203</v>
      </c>
      <c r="N711" s="17">
        <v>12.175863</v>
      </c>
      <c r="O711" s="1"/>
      <c r="P711" s="38">
        <f t="shared" si="67"/>
        <v>0</v>
      </c>
      <c r="S711" s="24" t="str">
        <f t="shared" si="70"/>
        <v>-</v>
      </c>
      <c r="T711" s="24" t="str">
        <f t="shared" si="68"/>
        <v>-</v>
      </c>
      <c r="U711" s="25" t="str">
        <f t="shared" si="71"/>
        <v>-</v>
      </c>
      <c r="V711" s="26" t="str">
        <f t="shared" si="72"/>
        <v>-</v>
      </c>
      <c r="X711" s="26" t="str">
        <f t="shared" si="69"/>
        <v>-</v>
      </c>
    </row>
    <row r="712" spans="1:24" x14ac:dyDescent="0.3">
      <c r="A712" s="37">
        <v>87614119731</v>
      </c>
      <c r="B712" s="8" t="s">
        <v>3108</v>
      </c>
      <c r="C712" s="10" t="s">
        <v>3109</v>
      </c>
      <c r="D712" s="11" t="s">
        <v>881</v>
      </c>
      <c r="E712" s="11" t="s">
        <v>923</v>
      </c>
      <c r="F712" s="9">
        <v>30</v>
      </c>
      <c r="G712" s="9">
        <v>90</v>
      </c>
      <c r="H712" s="9" t="s">
        <v>868</v>
      </c>
      <c r="I712" s="9">
        <v>36</v>
      </c>
      <c r="J712" s="9">
        <v>60</v>
      </c>
      <c r="K712" s="9" t="s">
        <v>2903</v>
      </c>
      <c r="L712" s="27">
        <v>0</v>
      </c>
      <c r="M712" s="28" t="s">
        <v>3203</v>
      </c>
      <c r="N712" s="17">
        <v>3.2557559999999999</v>
      </c>
      <c r="O712" s="1"/>
      <c r="P712" s="38">
        <f t="shared" si="67"/>
        <v>0</v>
      </c>
      <c r="S712" s="24" t="str">
        <f t="shared" si="70"/>
        <v>-</v>
      </c>
      <c r="T712" s="24" t="str">
        <f t="shared" si="68"/>
        <v>-</v>
      </c>
      <c r="U712" s="25" t="str">
        <f t="shared" si="71"/>
        <v>-</v>
      </c>
      <c r="V712" s="26" t="str">
        <f t="shared" si="72"/>
        <v>-</v>
      </c>
      <c r="X712" s="26" t="str">
        <f t="shared" si="69"/>
        <v>-</v>
      </c>
    </row>
    <row r="713" spans="1:24" x14ac:dyDescent="0.3">
      <c r="A713" s="37">
        <v>87614211121</v>
      </c>
      <c r="B713" s="8" t="s">
        <v>3110</v>
      </c>
      <c r="C713" s="10" t="s">
        <v>3111</v>
      </c>
      <c r="D713" s="11" t="s">
        <v>881</v>
      </c>
      <c r="E713" s="11" t="s">
        <v>2824</v>
      </c>
      <c r="F713" s="9">
        <v>30</v>
      </c>
      <c r="G713" s="9">
        <v>90</v>
      </c>
      <c r="H713" s="9" t="s">
        <v>892</v>
      </c>
      <c r="I713" s="9">
        <v>24</v>
      </c>
      <c r="J713" s="9">
        <v>60</v>
      </c>
      <c r="K713" s="9" t="s">
        <v>2903</v>
      </c>
      <c r="L713" s="27">
        <v>0</v>
      </c>
      <c r="M713" s="28" t="s">
        <v>3203</v>
      </c>
      <c r="N713" s="17">
        <v>3.6544200000000004</v>
      </c>
      <c r="O713" s="1"/>
      <c r="P713" s="38">
        <f t="shared" si="67"/>
        <v>0</v>
      </c>
      <c r="S713" s="24" t="str">
        <f t="shared" si="70"/>
        <v>-</v>
      </c>
      <c r="T713" s="24" t="str">
        <f t="shared" si="68"/>
        <v>-</v>
      </c>
      <c r="U713" s="25" t="str">
        <f t="shared" si="71"/>
        <v>-</v>
      </c>
      <c r="V713" s="26" t="str">
        <f t="shared" si="72"/>
        <v>-</v>
      </c>
      <c r="X713" s="26" t="str">
        <f t="shared" si="69"/>
        <v>-</v>
      </c>
    </row>
    <row r="714" spans="1:24" x14ac:dyDescent="0.3">
      <c r="A714" s="37">
        <v>87614010984</v>
      </c>
      <c r="B714" s="8" t="s">
        <v>1184</v>
      </c>
      <c r="C714" s="10" t="s">
        <v>2003</v>
      </c>
      <c r="D714" s="11" t="s">
        <v>882</v>
      </c>
      <c r="E714" s="11" t="s">
        <v>920</v>
      </c>
      <c r="F714" s="9">
        <v>12</v>
      </c>
      <c r="G714" s="9">
        <v>24</v>
      </c>
      <c r="H714" s="9" t="s">
        <v>868</v>
      </c>
      <c r="I714" s="9">
        <v>24</v>
      </c>
      <c r="J714" s="9">
        <v>250</v>
      </c>
      <c r="K714" s="9" t="s">
        <v>908</v>
      </c>
      <c r="L714" s="27">
        <v>0.45967500000000006</v>
      </c>
      <c r="M714" s="28" t="s">
        <v>3203</v>
      </c>
      <c r="N714" s="17">
        <v>14.650901999999999</v>
      </c>
      <c r="O714" s="1"/>
      <c r="P714" s="38">
        <f t="shared" si="67"/>
        <v>0</v>
      </c>
      <c r="S714" s="24" t="str">
        <f t="shared" si="70"/>
        <v>-</v>
      </c>
      <c r="T714" s="24" t="str">
        <f t="shared" si="68"/>
        <v>-</v>
      </c>
      <c r="U714" s="25" t="str">
        <f t="shared" si="71"/>
        <v>-</v>
      </c>
      <c r="V714" s="26" t="str">
        <f t="shared" si="72"/>
        <v>-</v>
      </c>
      <c r="X714" s="26" t="str">
        <f t="shared" si="69"/>
        <v>-</v>
      </c>
    </row>
    <row r="715" spans="1:24" x14ac:dyDescent="0.3">
      <c r="A715" s="37">
        <v>87614110073</v>
      </c>
      <c r="B715" s="8" t="s">
        <v>1221</v>
      </c>
      <c r="C715" s="10" t="s">
        <v>2940</v>
      </c>
      <c r="D715" s="11" t="s">
        <v>874</v>
      </c>
      <c r="E715" s="11" t="s">
        <v>925</v>
      </c>
      <c r="F715" s="9">
        <v>30</v>
      </c>
      <c r="G715" s="9">
        <v>90</v>
      </c>
      <c r="H715" s="9" t="s">
        <v>868</v>
      </c>
      <c r="I715" s="9">
        <v>36</v>
      </c>
      <c r="J715" s="9">
        <v>100</v>
      </c>
      <c r="K715" s="9" t="s">
        <v>2903</v>
      </c>
      <c r="L715" s="27">
        <v>7.7180000000000012E-2</v>
      </c>
      <c r="M715" s="28" t="s">
        <v>3203</v>
      </c>
      <c r="N715" s="17">
        <v>3.4384770000000002</v>
      </c>
      <c r="O715" s="1"/>
      <c r="P715" s="38">
        <f t="shared" si="67"/>
        <v>0</v>
      </c>
      <c r="S715" s="24" t="str">
        <f t="shared" si="70"/>
        <v>-</v>
      </c>
      <c r="T715" s="24" t="str">
        <f t="shared" si="68"/>
        <v>-</v>
      </c>
      <c r="U715" s="25" t="str">
        <f t="shared" si="71"/>
        <v>-</v>
      </c>
      <c r="V715" s="26" t="str">
        <f t="shared" si="72"/>
        <v>-</v>
      </c>
      <c r="X715" s="26" t="str">
        <f t="shared" si="69"/>
        <v>-</v>
      </c>
    </row>
    <row r="716" spans="1:24" x14ac:dyDescent="0.3">
      <c r="A716" s="37">
        <v>87614110356</v>
      </c>
      <c r="B716" s="8" t="s">
        <v>1297</v>
      </c>
      <c r="C716" s="10" t="s">
        <v>2082</v>
      </c>
      <c r="D716" s="11" t="s">
        <v>879</v>
      </c>
      <c r="E716" s="11" t="s">
        <v>2812</v>
      </c>
      <c r="F716" s="9">
        <v>20</v>
      </c>
      <c r="G716" s="9">
        <v>60</v>
      </c>
      <c r="H716" s="9" t="s">
        <v>868</v>
      </c>
      <c r="I716" s="9">
        <v>36</v>
      </c>
      <c r="J716" s="9">
        <v>100</v>
      </c>
      <c r="K716" s="9" t="s">
        <v>873</v>
      </c>
      <c r="L716" s="27">
        <v>0.1135</v>
      </c>
      <c r="M716" s="28" t="s">
        <v>3203</v>
      </c>
      <c r="N716" s="17">
        <v>5.5646849999999999</v>
      </c>
      <c r="O716" s="1"/>
      <c r="P716" s="38">
        <f t="shared" si="67"/>
        <v>0</v>
      </c>
      <c r="S716" s="24" t="str">
        <f t="shared" si="70"/>
        <v>-</v>
      </c>
      <c r="T716" s="24" t="str">
        <f t="shared" si="68"/>
        <v>-</v>
      </c>
      <c r="U716" s="25" t="str">
        <f t="shared" si="71"/>
        <v>-</v>
      </c>
      <c r="V716" s="26" t="str">
        <f t="shared" si="72"/>
        <v>-</v>
      </c>
      <c r="X716" s="26" t="str">
        <f t="shared" si="69"/>
        <v>-</v>
      </c>
    </row>
    <row r="717" spans="1:24" x14ac:dyDescent="0.3">
      <c r="A717" s="37">
        <v>87614110578</v>
      </c>
      <c r="B717" s="8" t="s">
        <v>1935</v>
      </c>
      <c r="C717" s="10" t="s">
        <v>2657</v>
      </c>
      <c r="D717" s="11" t="s">
        <v>902</v>
      </c>
      <c r="E717" s="11" t="s">
        <v>933</v>
      </c>
      <c r="F717" s="9">
        <v>16</v>
      </c>
      <c r="G717" s="9">
        <v>48</v>
      </c>
      <c r="H717" s="9" t="s">
        <v>868</v>
      </c>
      <c r="I717" s="9">
        <v>24</v>
      </c>
      <c r="J717" s="9">
        <v>100</v>
      </c>
      <c r="K717" s="9" t="s">
        <v>873</v>
      </c>
      <c r="L717" s="27">
        <v>0.13166</v>
      </c>
      <c r="M717" s="28" t="s">
        <v>3203</v>
      </c>
      <c r="N717" s="17">
        <v>17.491382999999999</v>
      </c>
      <c r="O717" s="1"/>
      <c r="P717" s="38">
        <f t="shared" si="67"/>
        <v>0</v>
      </c>
      <c r="S717" s="24" t="str">
        <f t="shared" si="70"/>
        <v>-</v>
      </c>
      <c r="T717" s="24" t="str">
        <f t="shared" si="68"/>
        <v>-</v>
      </c>
      <c r="U717" s="25" t="str">
        <f t="shared" si="71"/>
        <v>-</v>
      </c>
      <c r="V717" s="26" t="str">
        <f t="shared" si="72"/>
        <v>-</v>
      </c>
      <c r="X717" s="26" t="str">
        <f t="shared" si="69"/>
        <v>-</v>
      </c>
    </row>
    <row r="718" spans="1:24" x14ac:dyDescent="0.3">
      <c r="A718" s="37">
        <v>87614112442</v>
      </c>
      <c r="B718" s="8" t="s">
        <v>1368</v>
      </c>
      <c r="C718" s="10" t="s">
        <v>2148</v>
      </c>
      <c r="D718" s="11" t="s">
        <v>886</v>
      </c>
      <c r="E718" s="11" t="s">
        <v>2813</v>
      </c>
      <c r="F718" s="9">
        <v>48</v>
      </c>
      <c r="G718" s="9">
        <v>192</v>
      </c>
      <c r="H718" s="9" t="s">
        <v>868</v>
      </c>
      <c r="I718" s="9">
        <v>24</v>
      </c>
      <c r="J718" s="9">
        <v>30</v>
      </c>
      <c r="K718" s="9" t="s">
        <v>873</v>
      </c>
      <c r="L718" s="27">
        <v>2.724E-2</v>
      </c>
      <c r="M718" s="28" t="s">
        <v>3203</v>
      </c>
      <c r="N718" s="17">
        <v>1.943487</v>
      </c>
      <c r="O718" s="1"/>
      <c r="P718" s="38">
        <f t="shared" si="67"/>
        <v>0</v>
      </c>
      <c r="S718" s="24" t="str">
        <f t="shared" si="70"/>
        <v>-</v>
      </c>
      <c r="T718" s="24" t="str">
        <f t="shared" si="68"/>
        <v>-</v>
      </c>
      <c r="U718" s="25" t="str">
        <f t="shared" si="71"/>
        <v>-</v>
      </c>
      <c r="V718" s="26" t="str">
        <f t="shared" si="72"/>
        <v>-</v>
      </c>
      <c r="X718" s="26" t="str">
        <f t="shared" si="69"/>
        <v>-</v>
      </c>
    </row>
    <row r="719" spans="1:24" x14ac:dyDescent="0.3">
      <c r="A719" s="37">
        <v>87614112916</v>
      </c>
      <c r="B719" s="8" t="s">
        <v>1069</v>
      </c>
      <c r="C719" s="10" t="s">
        <v>1070</v>
      </c>
      <c r="D719" s="11" t="s">
        <v>866</v>
      </c>
      <c r="E719" s="11" t="s">
        <v>956</v>
      </c>
      <c r="F719" s="9">
        <v>30</v>
      </c>
      <c r="G719" s="9">
        <v>90</v>
      </c>
      <c r="H719" s="9" t="s">
        <v>868</v>
      </c>
      <c r="I719" s="9">
        <v>36</v>
      </c>
      <c r="J719" s="9">
        <v>60</v>
      </c>
      <c r="K719" s="9" t="s">
        <v>873</v>
      </c>
      <c r="L719" s="27">
        <v>7.3775000000000007E-2</v>
      </c>
      <c r="M719" s="28" t="s">
        <v>3203</v>
      </c>
      <c r="N719" s="17">
        <v>4.2191939999999999</v>
      </c>
      <c r="O719" s="1"/>
      <c r="P719" s="38">
        <f t="shared" si="67"/>
        <v>0</v>
      </c>
      <c r="S719" s="24" t="str">
        <f t="shared" si="70"/>
        <v>-</v>
      </c>
      <c r="T719" s="24" t="str">
        <f t="shared" si="68"/>
        <v>-</v>
      </c>
      <c r="U719" s="25" t="str">
        <f t="shared" si="71"/>
        <v>-</v>
      </c>
      <c r="V719" s="26" t="str">
        <f t="shared" si="72"/>
        <v>-</v>
      </c>
      <c r="X719" s="26" t="str">
        <f t="shared" si="69"/>
        <v>-</v>
      </c>
    </row>
    <row r="720" spans="1:24" x14ac:dyDescent="0.3">
      <c r="A720" s="37">
        <v>87614113098</v>
      </c>
      <c r="B720" s="8" t="s">
        <v>1928</v>
      </c>
      <c r="C720" s="10" t="s">
        <v>2651</v>
      </c>
      <c r="D720" s="11" t="s">
        <v>874</v>
      </c>
      <c r="E720" s="11" t="s">
        <v>1118</v>
      </c>
      <c r="F720" s="9">
        <v>20</v>
      </c>
      <c r="G720" s="9">
        <v>60</v>
      </c>
      <c r="H720" s="9" t="s">
        <v>868</v>
      </c>
      <c r="I720" s="9">
        <v>24</v>
      </c>
      <c r="J720" s="9">
        <v>60</v>
      </c>
      <c r="K720" s="9" t="s">
        <v>869</v>
      </c>
      <c r="L720" s="27">
        <v>0.132795</v>
      </c>
      <c r="M720" s="28" t="s">
        <v>3203</v>
      </c>
      <c r="N720" s="17">
        <v>6.8603430000000003</v>
      </c>
      <c r="O720" s="1"/>
      <c r="P720" s="38">
        <f t="shared" si="67"/>
        <v>0</v>
      </c>
      <c r="S720" s="24" t="str">
        <f t="shared" si="70"/>
        <v>-</v>
      </c>
      <c r="T720" s="24" t="str">
        <f t="shared" si="68"/>
        <v>-</v>
      </c>
      <c r="U720" s="25" t="str">
        <f t="shared" si="71"/>
        <v>-</v>
      </c>
      <c r="V720" s="26" t="str">
        <f t="shared" si="72"/>
        <v>-</v>
      </c>
      <c r="X720" s="26" t="str">
        <f t="shared" si="69"/>
        <v>-</v>
      </c>
    </row>
    <row r="721" spans="1:24" x14ac:dyDescent="0.3">
      <c r="A721" s="37">
        <v>87614113425</v>
      </c>
      <c r="B721" s="8" t="s">
        <v>1884</v>
      </c>
      <c r="C721" s="10" t="s">
        <v>2610</v>
      </c>
      <c r="D721" s="11" t="s">
        <v>875</v>
      </c>
      <c r="E721" s="11" t="s">
        <v>935</v>
      </c>
      <c r="F721" s="9">
        <v>20</v>
      </c>
      <c r="G721" s="9">
        <v>60</v>
      </c>
      <c r="H721" s="9" t="s">
        <v>868</v>
      </c>
      <c r="I721" s="9">
        <v>36</v>
      </c>
      <c r="J721" s="9">
        <v>90</v>
      </c>
      <c r="K721" s="9" t="s">
        <v>873</v>
      </c>
      <c r="L721" s="27">
        <v>9.7609999999999988E-2</v>
      </c>
      <c r="M721" s="28" t="s">
        <v>3203</v>
      </c>
      <c r="N721" s="17">
        <v>6.1460699999999999</v>
      </c>
      <c r="O721" s="1"/>
      <c r="P721" s="38">
        <f t="shared" si="67"/>
        <v>0</v>
      </c>
      <c r="S721" s="24" t="str">
        <f t="shared" si="70"/>
        <v>-</v>
      </c>
      <c r="T721" s="24" t="str">
        <f t="shared" si="68"/>
        <v>-</v>
      </c>
      <c r="U721" s="25" t="str">
        <f t="shared" si="71"/>
        <v>-</v>
      </c>
      <c r="V721" s="26" t="str">
        <f t="shared" si="72"/>
        <v>-</v>
      </c>
      <c r="X721" s="26" t="str">
        <f t="shared" si="69"/>
        <v>-</v>
      </c>
    </row>
    <row r="722" spans="1:24" x14ac:dyDescent="0.3">
      <c r="A722" s="37">
        <v>87614113906</v>
      </c>
      <c r="B722" s="8" t="s">
        <v>1218</v>
      </c>
      <c r="C722" s="10" t="s">
        <v>2031</v>
      </c>
      <c r="D722" s="11" t="s">
        <v>874</v>
      </c>
      <c r="E722" s="11" t="s">
        <v>919</v>
      </c>
      <c r="F722" s="9">
        <v>30</v>
      </c>
      <c r="G722" s="9">
        <v>90</v>
      </c>
      <c r="H722" s="9" t="s">
        <v>868</v>
      </c>
      <c r="I722" s="9">
        <v>36</v>
      </c>
      <c r="J722" s="9">
        <v>60</v>
      </c>
      <c r="K722" s="9" t="s">
        <v>873</v>
      </c>
      <c r="L722" s="27">
        <v>6.1289999999999997E-2</v>
      </c>
      <c r="M722" s="28" t="s">
        <v>3203</v>
      </c>
      <c r="N722" s="17">
        <v>2.408595</v>
      </c>
      <c r="O722" s="1"/>
      <c r="P722" s="38">
        <f t="shared" si="67"/>
        <v>0</v>
      </c>
      <c r="S722" s="24" t="str">
        <f t="shared" si="70"/>
        <v>-</v>
      </c>
      <c r="T722" s="24" t="str">
        <f t="shared" si="68"/>
        <v>-</v>
      </c>
      <c r="U722" s="25" t="str">
        <f t="shared" si="71"/>
        <v>-</v>
      </c>
      <c r="V722" s="26" t="str">
        <f t="shared" si="72"/>
        <v>-</v>
      </c>
      <c r="X722" s="26" t="str">
        <f t="shared" si="69"/>
        <v>-</v>
      </c>
    </row>
    <row r="723" spans="1:24" x14ac:dyDescent="0.3">
      <c r="A723" s="37">
        <v>87614011400</v>
      </c>
      <c r="B723" s="8" t="s">
        <v>1252</v>
      </c>
      <c r="C723" s="10" t="s">
        <v>2054</v>
      </c>
      <c r="D723" s="11" t="s">
        <v>866</v>
      </c>
      <c r="E723" s="11" t="s">
        <v>974</v>
      </c>
      <c r="F723" s="9">
        <v>30</v>
      </c>
      <c r="G723" s="9">
        <v>90</v>
      </c>
      <c r="H723" s="9" t="s">
        <v>868</v>
      </c>
      <c r="I723" s="9">
        <v>24</v>
      </c>
      <c r="J723" s="9">
        <v>100</v>
      </c>
      <c r="K723" s="9" t="s">
        <v>869</v>
      </c>
      <c r="L723" s="27">
        <v>9.307E-2</v>
      </c>
      <c r="M723" s="28" t="s">
        <v>3203</v>
      </c>
      <c r="N723" s="17">
        <v>8.6377199999999998</v>
      </c>
      <c r="O723" s="1"/>
      <c r="P723" s="38">
        <f t="shared" si="67"/>
        <v>0</v>
      </c>
      <c r="S723" s="24" t="str">
        <f t="shared" si="70"/>
        <v>-</v>
      </c>
      <c r="T723" s="24" t="str">
        <f t="shared" si="68"/>
        <v>-</v>
      </c>
      <c r="U723" s="25" t="str">
        <f t="shared" si="71"/>
        <v>-</v>
      </c>
      <c r="V723" s="26" t="str">
        <f t="shared" si="72"/>
        <v>-</v>
      </c>
      <c r="X723" s="26" t="str">
        <f t="shared" si="69"/>
        <v>-</v>
      </c>
    </row>
    <row r="724" spans="1:24" x14ac:dyDescent="0.3">
      <c r="A724" s="37">
        <v>87614114231</v>
      </c>
      <c r="B724" s="8" t="s">
        <v>192</v>
      </c>
      <c r="C724" s="10" t="s">
        <v>193</v>
      </c>
      <c r="D724" s="11" t="s">
        <v>886</v>
      </c>
      <c r="E724" s="11" t="s">
        <v>952</v>
      </c>
      <c r="F724" s="9">
        <v>30</v>
      </c>
      <c r="G724" s="9">
        <v>90</v>
      </c>
      <c r="H724" s="9" t="s">
        <v>868</v>
      </c>
      <c r="I724" s="9">
        <v>36</v>
      </c>
      <c r="J724" s="9">
        <v>60</v>
      </c>
      <c r="K724" s="9" t="s">
        <v>873</v>
      </c>
      <c r="L724" s="27">
        <v>7.1504999999999999E-2</v>
      </c>
      <c r="M724" s="28" t="s">
        <v>3203</v>
      </c>
      <c r="N724" s="17">
        <v>4.4351370000000001</v>
      </c>
      <c r="O724" s="1"/>
      <c r="P724" s="38">
        <f t="shared" si="67"/>
        <v>0</v>
      </c>
      <c r="S724" s="24" t="str">
        <f t="shared" si="70"/>
        <v>-</v>
      </c>
      <c r="T724" s="24" t="str">
        <f t="shared" si="68"/>
        <v>-</v>
      </c>
      <c r="U724" s="25" t="str">
        <f t="shared" si="71"/>
        <v>-</v>
      </c>
      <c r="V724" s="26" t="str">
        <f t="shared" si="72"/>
        <v>-</v>
      </c>
      <c r="X724" s="26" t="str">
        <f t="shared" si="69"/>
        <v>-</v>
      </c>
    </row>
    <row r="725" spans="1:24" x14ac:dyDescent="0.3">
      <c r="A725" s="37">
        <v>87614115467</v>
      </c>
      <c r="B725" s="8" t="s">
        <v>1255</v>
      </c>
      <c r="C725" s="10" t="s">
        <v>2056</v>
      </c>
      <c r="D725" s="11" t="s">
        <v>891</v>
      </c>
      <c r="E725" s="11" t="s">
        <v>968</v>
      </c>
      <c r="F725" s="9">
        <v>48</v>
      </c>
      <c r="G725" s="9">
        <v>192</v>
      </c>
      <c r="H725" s="9" t="s">
        <v>868</v>
      </c>
      <c r="I725" s="9">
        <v>18</v>
      </c>
      <c r="J725" s="9">
        <v>60</v>
      </c>
      <c r="K725" s="9" t="s">
        <v>896</v>
      </c>
      <c r="L725" s="27">
        <v>3.8590000000000006E-2</v>
      </c>
      <c r="M725" s="28" t="s">
        <v>3203</v>
      </c>
      <c r="N725" s="17">
        <v>3.8371409999999999</v>
      </c>
      <c r="O725" s="1"/>
      <c r="P725" s="38">
        <f t="shared" si="67"/>
        <v>0</v>
      </c>
      <c r="S725" s="24" t="str">
        <f t="shared" si="70"/>
        <v>-</v>
      </c>
      <c r="T725" s="24" t="str">
        <f t="shared" si="68"/>
        <v>-</v>
      </c>
      <c r="U725" s="25" t="str">
        <f t="shared" si="71"/>
        <v>-</v>
      </c>
      <c r="V725" s="26" t="str">
        <f t="shared" si="72"/>
        <v>-</v>
      </c>
      <c r="X725" s="26" t="str">
        <f t="shared" si="69"/>
        <v>-</v>
      </c>
    </row>
    <row r="726" spans="1:24" x14ac:dyDescent="0.3">
      <c r="A726" s="37">
        <v>87614115580</v>
      </c>
      <c r="B726" s="8" t="s">
        <v>1201</v>
      </c>
      <c r="C726" s="10" t="s">
        <v>3119</v>
      </c>
      <c r="D726" s="11" t="s">
        <v>878</v>
      </c>
      <c r="E726" s="11" t="s">
        <v>921</v>
      </c>
      <c r="F726" s="9">
        <v>30</v>
      </c>
      <c r="G726" s="9">
        <v>90</v>
      </c>
      <c r="H726" s="9" t="s">
        <v>868</v>
      </c>
      <c r="I726" s="9">
        <v>36</v>
      </c>
      <c r="J726" s="9">
        <v>30</v>
      </c>
      <c r="K726" s="9" t="s">
        <v>3049</v>
      </c>
      <c r="L726" s="27">
        <v>7.4910000000000004E-2</v>
      </c>
      <c r="M726" s="28" t="s">
        <v>3203</v>
      </c>
      <c r="N726" s="17">
        <v>3.9700289999999998</v>
      </c>
      <c r="O726" s="1"/>
      <c r="P726" s="38">
        <f t="shared" si="67"/>
        <v>0</v>
      </c>
      <c r="S726" s="24" t="str">
        <f t="shared" si="70"/>
        <v>-</v>
      </c>
      <c r="T726" s="24" t="str">
        <f t="shared" si="68"/>
        <v>-</v>
      </c>
      <c r="U726" s="25" t="str">
        <f t="shared" si="71"/>
        <v>-</v>
      </c>
      <c r="V726" s="26" t="str">
        <f t="shared" si="72"/>
        <v>-</v>
      </c>
      <c r="X726" s="26" t="str">
        <f t="shared" si="69"/>
        <v>-</v>
      </c>
    </row>
    <row r="727" spans="1:24" x14ac:dyDescent="0.3">
      <c r="A727" s="37">
        <v>87614116211</v>
      </c>
      <c r="B727" s="8" t="s">
        <v>1257</v>
      </c>
      <c r="C727" s="10" t="s">
        <v>2689</v>
      </c>
      <c r="D727" s="11" t="s">
        <v>866</v>
      </c>
      <c r="E727" s="11" t="s">
        <v>1000</v>
      </c>
      <c r="F727" s="9">
        <v>48</v>
      </c>
      <c r="G727" s="9">
        <v>192</v>
      </c>
      <c r="H727" s="9" t="s">
        <v>868</v>
      </c>
      <c r="I727" s="9">
        <v>24</v>
      </c>
      <c r="J727" s="9">
        <v>30</v>
      </c>
      <c r="K727" s="9" t="s">
        <v>2903</v>
      </c>
      <c r="L727" s="27">
        <v>2.724E-2</v>
      </c>
      <c r="M727" s="28" t="s">
        <v>3203</v>
      </c>
      <c r="N727" s="17">
        <v>2.641149</v>
      </c>
      <c r="O727" s="1"/>
      <c r="P727" s="38">
        <f t="shared" si="67"/>
        <v>0</v>
      </c>
      <c r="S727" s="24" t="str">
        <f t="shared" si="70"/>
        <v>-</v>
      </c>
      <c r="T727" s="24" t="str">
        <f t="shared" si="68"/>
        <v>-</v>
      </c>
      <c r="U727" s="25" t="str">
        <f t="shared" si="71"/>
        <v>-</v>
      </c>
      <c r="V727" s="26" t="str">
        <f t="shared" si="72"/>
        <v>-</v>
      </c>
      <c r="X727" s="26" t="str">
        <f t="shared" si="69"/>
        <v>-</v>
      </c>
    </row>
    <row r="728" spans="1:24" x14ac:dyDescent="0.3">
      <c r="A728" s="37">
        <v>87614117621</v>
      </c>
      <c r="B728" s="8" t="s">
        <v>1405</v>
      </c>
      <c r="C728" s="10" t="s">
        <v>2183</v>
      </c>
      <c r="D728" s="11" t="s">
        <v>874</v>
      </c>
      <c r="E728" s="11" t="s">
        <v>1118</v>
      </c>
      <c r="F728" s="9">
        <v>48</v>
      </c>
      <c r="G728" s="9">
        <v>192</v>
      </c>
      <c r="H728" s="9" t="s">
        <v>868</v>
      </c>
      <c r="I728" s="9">
        <v>24</v>
      </c>
      <c r="J728" s="9">
        <v>30</v>
      </c>
      <c r="K728" s="9" t="s">
        <v>869</v>
      </c>
      <c r="L728" s="27">
        <v>5.1074999999999995E-2</v>
      </c>
      <c r="M728" s="28" t="s">
        <v>3203</v>
      </c>
      <c r="N728" s="17">
        <v>2.5082609999999996</v>
      </c>
      <c r="O728" s="1"/>
      <c r="P728" s="38">
        <f t="shared" si="67"/>
        <v>0</v>
      </c>
      <c r="S728" s="24" t="str">
        <f t="shared" si="70"/>
        <v>-</v>
      </c>
      <c r="T728" s="24" t="str">
        <f t="shared" si="68"/>
        <v>-</v>
      </c>
      <c r="U728" s="25" t="str">
        <f t="shared" si="71"/>
        <v>-</v>
      </c>
      <c r="V728" s="26" t="str">
        <f t="shared" si="72"/>
        <v>-</v>
      </c>
      <c r="X728" s="26" t="str">
        <f t="shared" si="69"/>
        <v>-</v>
      </c>
    </row>
    <row r="729" spans="1:24" x14ac:dyDescent="0.3">
      <c r="A729" s="37">
        <v>87614118550</v>
      </c>
      <c r="B729" s="8" t="s">
        <v>1259</v>
      </c>
      <c r="C729" s="10" t="s">
        <v>2058</v>
      </c>
      <c r="D729" s="11" t="s">
        <v>866</v>
      </c>
      <c r="E729" s="11" t="s">
        <v>918</v>
      </c>
      <c r="F729" s="9">
        <v>30</v>
      </c>
      <c r="G729" s="9">
        <v>90</v>
      </c>
      <c r="H729" s="9" t="s">
        <v>892</v>
      </c>
      <c r="I729" s="9">
        <v>24</v>
      </c>
      <c r="J729" s="9">
        <v>100</v>
      </c>
      <c r="K729" s="9" t="s">
        <v>2903</v>
      </c>
      <c r="L729" s="27">
        <v>7.3775000000000007E-2</v>
      </c>
      <c r="M729" s="28" t="s">
        <v>3203</v>
      </c>
      <c r="N729" s="17">
        <v>5.8304609999999997</v>
      </c>
      <c r="O729" s="1"/>
      <c r="P729" s="38">
        <f t="shared" si="67"/>
        <v>0</v>
      </c>
      <c r="S729" s="24" t="str">
        <f t="shared" si="70"/>
        <v>-</v>
      </c>
      <c r="T729" s="24" t="str">
        <f t="shared" si="68"/>
        <v>-</v>
      </c>
      <c r="U729" s="25" t="str">
        <f t="shared" si="71"/>
        <v>-</v>
      </c>
      <c r="V729" s="26" t="str">
        <f t="shared" si="72"/>
        <v>-</v>
      </c>
      <c r="X729" s="26" t="str">
        <f t="shared" si="69"/>
        <v>-</v>
      </c>
    </row>
    <row r="730" spans="1:24" x14ac:dyDescent="0.3">
      <c r="A730" s="37">
        <v>87614118642</v>
      </c>
      <c r="B730" s="8" t="s">
        <v>1608</v>
      </c>
      <c r="C730" s="10" t="s">
        <v>2370</v>
      </c>
      <c r="D730" s="11" t="s">
        <v>874</v>
      </c>
      <c r="E730" s="11" t="s">
        <v>919</v>
      </c>
      <c r="F730" s="9">
        <v>30</v>
      </c>
      <c r="G730" s="9">
        <v>90</v>
      </c>
      <c r="H730" s="9" t="s">
        <v>868</v>
      </c>
      <c r="I730" s="9">
        <v>36</v>
      </c>
      <c r="J730" s="9">
        <v>30</v>
      </c>
      <c r="K730" s="9" t="s">
        <v>2903</v>
      </c>
      <c r="L730" s="27">
        <v>4.7670000000000004E-2</v>
      </c>
      <c r="M730" s="28" t="s">
        <v>3203</v>
      </c>
      <c r="N730" s="17">
        <v>15.431619</v>
      </c>
      <c r="O730" s="1"/>
      <c r="P730" s="38">
        <f t="shared" si="67"/>
        <v>0</v>
      </c>
      <c r="S730" s="24" t="str">
        <f t="shared" si="70"/>
        <v>-</v>
      </c>
      <c r="T730" s="24" t="str">
        <f t="shared" si="68"/>
        <v>-</v>
      </c>
      <c r="U730" s="25" t="str">
        <f t="shared" si="71"/>
        <v>-</v>
      </c>
      <c r="V730" s="26" t="str">
        <f t="shared" si="72"/>
        <v>-</v>
      </c>
      <c r="X730" s="26" t="str">
        <f t="shared" si="69"/>
        <v>-</v>
      </c>
    </row>
    <row r="731" spans="1:24" x14ac:dyDescent="0.3">
      <c r="A731" s="37">
        <v>87614118703</v>
      </c>
      <c r="B731" s="8" t="s">
        <v>1112</v>
      </c>
      <c r="C731" s="10" t="s">
        <v>1113</v>
      </c>
      <c r="D731" s="11" t="s">
        <v>890</v>
      </c>
      <c r="E731" s="11" t="s">
        <v>1002</v>
      </c>
      <c r="F731" s="9">
        <v>16</v>
      </c>
      <c r="G731" s="9">
        <v>48</v>
      </c>
      <c r="H731" s="9" t="s">
        <v>868</v>
      </c>
      <c r="I731" s="9">
        <v>24</v>
      </c>
      <c r="J731" s="9">
        <v>60</v>
      </c>
      <c r="K731" s="9" t="s">
        <v>901</v>
      </c>
      <c r="L731" s="27">
        <v>0.21792</v>
      </c>
      <c r="M731" s="28" t="s">
        <v>3203</v>
      </c>
      <c r="N731" s="17">
        <v>8.9699400000000011</v>
      </c>
      <c r="O731" s="1"/>
      <c r="P731" s="38">
        <f t="shared" si="67"/>
        <v>0</v>
      </c>
      <c r="S731" s="24" t="str">
        <f t="shared" si="70"/>
        <v>-</v>
      </c>
      <c r="T731" s="24" t="str">
        <f t="shared" si="68"/>
        <v>-</v>
      </c>
      <c r="U731" s="25" t="str">
        <f t="shared" si="71"/>
        <v>-</v>
      </c>
      <c r="V731" s="26" t="str">
        <f t="shared" si="72"/>
        <v>-</v>
      </c>
      <c r="X731" s="26" t="str">
        <f t="shared" si="69"/>
        <v>-</v>
      </c>
    </row>
    <row r="732" spans="1:24" x14ac:dyDescent="0.3">
      <c r="A732" s="37">
        <v>87614118758</v>
      </c>
      <c r="B732" s="8" t="s">
        <v>1902</v>
      </c>
      <c r="C732" s="10" t="s">
        <v>2626</v>
      </c>
      <c r="D732" s="11" t="s">
        <v>874</v>
      </c>
      <c r="E732" s="11" t="s">
        <v>919</v>
      </c>
      <c r="F732" s="9">
        <v>30</v>
      </c>
      <c r="G732" s="9">
        <v>90</v>
      </c>
      <c r="H732" s="9" t="s">
        <v>892</v>
      </c>
      <c r="I732" s="9">
        <v>24</v>
      </c>
      <c r="J732" s="9">
        <v>60</v>
      </c>
      <c r="K732" s="9" t="s">
        <v>873</v>
      </c>
      <c r="L732" s="27">
        <v>8.3989999999999995E-2</v>
      </c>
      <c r="M732" s="28" t="s">
        <v>3203</v>
      </c>
      <c r="N732" s="17">
        <v>14.335292999999998</v>
      </c>
      <c r="O732" s="1"/>
      <c r="P732" s="38">
        <f t="shared" si="67"/>
        <v>0</v>
      </c>
      <c r="S732" s="24" t="str">
        <f t="shared" si="70"/>
        <v>-</v>
      </c>
      <c r="T732" s="24" t="str">
        <f t="shared" si="68"/>
        <v>-</v>
      </c>
      <c r="U732" s="25" t="str">
        <f t="shared" si="71"/>
        <v>-</v>
      </c>
      <c r="V732" s="26" t="str">
        <f t="shared" si="72"/>
        <v>-</v>
      </c>
      <c r="X732" s="26" t="str">
        <f t="shared" si="69"/>
        <v>-</v>
      </c>
    </row>
    <row r="733" spans="1:24" x14ac:dyDescent="0.3">
      <c r="A733" s="37">
        <v>87614119601</v>
      </c>
      <c r="B733" s="8" t="s">
        <v>3122</v>
      </c>
      <c r="C733" s="10" t="s">
        <v>3123</v>
      </c>
      <c r="D733" s="11" t="s">
        <v>885</v>
      </c>
      <c r="E733" s="11" t="s">
        <v>1021</v>
      </c>
      <c r="F733" s="9">
        <v>30</v>
      </c>
      <c r="G733" s="9">
        <v>90</v>
      </c>
      <c r="H733" s="9" t="s">
        <v>868</v>
      </c>
      <c r="I733" s="9">
        <v>36</v>
      </c>
      <c r="J733" s="9">
        <v>60</v>
      </c>
      <c r="K733" s="9" t="s">
        <v>3049</v>
      </c>
      <c r="L733" s="27">
        <v>0.13960500000000001</v>
      </c>
      <c r="M733" s="28" t="s">
        <v>3203</v>
      </c>
      <c r="N733" s="17">
        <v>7.4085059999999991</v>
      </c>
      <c r="O733" s="1"/>
      <c r="P733" s="38">
        <f t="shared" si="67"/>
        <v>0</v>
      </c>
      <c r="S733" s="24" t="str">
        <f t="shared" si="70"/>
        <v>-</v>
      </c>
      <c r="T733" s="24" t="str">
        <f t="shared" si="68"/>
        <v>-</v>
      </c>
      <c r="U733" s="25" t="str">
        <f t="shared" si="71"/>
        <v>-</v>
      </c>
      <c r="V733" s="26" t="str">
        <f t="shared" si="72"/>
        <v>-</v>
      </c>
      <c r="X733" s="26" t="str">
        <f t="shared" si="69"/>
        <v>-</v>
      </c>
    </row>
    <row r="734" spans="1:24" x14ac:dyDescent="0.3">
      <c r="A734" s="37">
        <v>87614119618</v>
      </c>
      <c r="B734" s="8" t="s">
        <v>3124</v>
      </c>
      <c r="C734" s="10" t="s">
        <v>3125</v>
      </c>
      <c r="D734" s="11" t="s">
        <v>866</v>
      </c>
      <c r="E734" s="11" t="s">
        <v>1000</v>
      </c>
      <c r="F734" s="9">
        <v>16</v>
      </c>
      <c r="G734" s="9">
        <v>48</v>
      </c>
      <c r="H734" s="9" t="s">
        <v>892</v>
      </c>
      <c r="I734" s="9">
        <v>24</v>
      </c>
      <c r="J734" s="9">
        <v>90</v>
      </c>
      <c r="K734" s="9" t="s">
        <v>2907</v>
      </c>
      <c r="L734" s="27">
        <v>0.16911499999999999</v>
      </c>
      <c r="M734" s="28" t="s">
        <v>3203</v>
      </c>
      <c r="N734" s="17">
        <v>23.554397999999999</v>
      </c>
      <c r="O734" s="1"/>
      <c r="P734" s="38">
        <f t="shared" si="67"/>
        <v>0</v>
      </c>
      <c r="S734" s="24" t="str">
        <f t="shared" si="70"/>
        <v>-</v>
      </c>
      <c r="T734" s="24" t="str">
        <f t="shared" si="68"/>
        <v>-</v>
      </c>
      <c r="U734" s="25" t="str">
        <f t="shared" si="71"/>
        <v>-</v>
      </c>
      <c r="V734" s="26" t="str">
        <f t="shared" si="72"/>
        <v>-</v>
      </c>
      <c r="X734" s="26" t="str">
        <f t="shared" si="69"/>
        <v>-</v>
      </c>
    </row>
    <row r="735" spans="1:24" x14ac:dyDescent="0.3">
      <c r="A735" s="37">
        <v>87614013244</v>
      </c>
      <c r="B735" s="8" t="s">
        <v>1223</v>
      </c>
      <c r="C735" s="10" t="s">
        <v>2033</v>
      </c>
      <c r="D735" s="11" t="s">
        <v>882</v>
      </c>
      <c r="E735" s="11" t="s">
        <v>2852</v>
      </c>
      <c r="F735" s="9">
        <v>30</v>
      </c>
      <c r="G735" s="9">
        <v>90</v>
      </c>
      <c r="H735" s="9" t="s">
        <v>868</v>
      </c>
      <c r="I735" s="9">
        <v>36</v>
      </c>
      <c r="J735" s="9">
        <v>60</v>
      </c>
      <c r="K735" s="9" t="s">
        <v>873</v>
      </c>
      <c r="L735" s="27">
        <v>8.058499999999999E-2</v>
      </c>
      <c r="M735" s="28" t="s">
        <v>3203</v>
      </c>
      <c r="N735" s="17">
        <v>5.5646849999999999</v>
      </c>
      <c r="O735" s="1"/>
      <c r="P735" s="38">
        <f t="shared" si="67"/>
        <v>0</v>
      </c>
      <c r="S735" s="24" t="str">
        <f t="shared" si="70"/>
        <v>-</v>
      </c>
      <c r="T735" s="24" t="str">
        <f t="shared" si="68"/>
        <v>-</v>
      </c>
      <c r="U735" s="25" t="str">
        <f t="shared" si="71"/>
        <v>-</v>
      </c>
      <c r="V735" s="26" t="str">
        <f t="shared" si="72"/>
        <v>-</v>
      </c>
      <c r="X735" s="26" t="str">
        <f t="shared" si="69"/>
        <v>-</v>
      </c>
    </row>
    <row r="736" spans="1:24" x14ac:dyDescent="0.3">
      <c r="A736" s="37">
        <v>87614015323</v>
      </c>
      <c r="B736" s="8" t="s">
        <v>357</v>
      </c>
      <c r="C736" s="10" t="s">
        <v>358</v>
      </c>
      <c r="D736" s="11" t="s">
        <v>886</v>
      </c>
      <c r="E736" s="11" t="s">
        <v>952</v>
      </c>
      <c r="F736" s="9">
        <v>20</v>
      </c>
      <c r="G736" s="9">
        <v>60</v>
      </c>
      <c r="H736" s="9" t="s">
        <v>868</v>
      </c>
      <c r="I736" s="9">
        <v>36</v>
      </c>
      <c r="J736" s="9">
        <v>100</v>
      </c>
      <c r="K736" s="9" t="s">
        <v>873</v>
      </c>
      <c r="L736" s="27">
        <v>0.105555</v>
      </c>
      <c r="M736" s="28" t="s">
        <v>3203</v>
      </c>
      <c r="N736" s="17">
        <v>8.5380540000000007</v>
      </c>
      <c r="O736" s="1"/>
      <c r="P736" s="38">
        <f t="shared" si="67"/>
        <v>0</v>
      </c>
      <c r="S736" s="24" t="str">
        <f t="shared" si="70"/>
        <v>-</v>
      </c>
      <c r="T736" s="24" t="str">
        <f t="shared" si="68"/>
        <v>-</v>
      </c>
      <c r="U736" s="25" t="str">
        <f t="shared" si="71"/>
        <v>-</v>
      </c>
      <c r="V736" s="26" t="str">
        <f t="shared" si="72"/>
        <v>-</v>
      </c>
      <c r="X736" s="26" t="str">
        <f t="shared" si="69"/>
        <v>-</v>
      </c>
    </row>
    <row r="737" spans="1:24" x14ac:dyDescent="0.3">
      <c r="A737" s="37">
        <v>87614016306</v>
      </c>
      <c r="B737" s="8" t="s">
        <v>1175</v>
      </c>
      <c r="C737" s="10" t="s">
        <v>3128</v>
      </c>
      <c r="D737" s="11" t="s">
        <v>874</v>
      </c>
      <c r="E737" s="11" t="s">
        <v>1032</v>
      </c>
      <c r="F737" s="9">
        <v>30</v>
      </c>
      <c r="G737" s="9">
        <v>90</v>
      </c>
      <c r="H737" s="9" t="s">
        <v>868</v>
      </c>
      <c r="I737" s="9">
        <v>36</v>
      </c>
      <c r="J737" s="9">
        <v>120</v>
      </c>
      <c r="K737" s="9" t="s">
        <v>2903</v>
      </c>
      <c r="L737" s="27">
        <v>9.4205000000000011E-2</v>
      </c>
      <c r="M737" s="28" t="s">
        <v>3203</v>
      </c>
      <c r="N737" s="17">
        <v>7.209174</v>
      </c>
      <c r="O737" s="1"/>
      <c r="P737" s="38">
        <f t="shared" si="67"/>
        <v>0</v>
      </c>
      <c r="S737" s="24" t="str">
        <f t="shared" si="70"/>
        <v>-</v>
      </c>
      <c r="T737" s="24" t="str">
        <f t="shared" si="68"/>
        <v>-</v>
      </c>
      <c r="U737" s="25" t="str">
        <f t="shared" si="71"/>
        <v>-</v>
      </c>
      <c r="V737" s="26" t="str">
        <f t="shared" si="72"/>
        <v>-</v>
      </c>
      <c r="X737" s="26" t="str">
        <f t="shared" si="69"/>
        <v>-</v>
      </c>
    </row>
    <row r="738" spans="1:24" x14ac:dyDescent="0.3">
      <c r="A738" s="37">
        <v>87614017464</v>
      </c>
      <c r="B738" s="8" t="s">
        <v>1267</v>
      </c>
      <c r="C738" s="10" t="s">
        <v>2064</v>
      </c>
      <c r="D738" s="11" t="s">
        <v>872</v>
      </c>
      <c r="E738" s="11" t="s">
        <v>915</v>
      </c>
      <c r="F738" s="9">
        <v>48</v>
      </c>
      <c r="G738" s="9">
        <v>192</v>
      </c>
      <c r="H738" s="9" t="s">
        <v>868</v>
      </c>
      <c r="I738" s="9">
        <v>36</v>
      </c>
      <c r="J738" s="9">
        <v>100</v>
      </c>
      <c r="K738" s="9" t="s">
        <v>904</v>
      </c>
      <c r="L738" s="27">
        <v>5.3345000000000004E-2</v>
      </c>
      <c r="M738" s="28" t="s">
        <v>3203</v>
      </c>
      <c r="N738" s="17">
        <v>4.6676909999999996</v>
      </c>
      <c r="O738" s="1"/>
      <c r="P738" s="38">
        <f t="shared" si="67"/>
        <v>0</v>
      </c>
      <c r="S738" s="24" t="str">
        <f t="shared" si="70"/>
        <v>-</v>
      </c>
      <c r="T738" s="24" t="str">
        <f t="shared" si="68"/>
        <v>-</v>
      </c>
      <c r="U738" s="25" t="str">
        <f t="shared" si="71"/>
        <v>-</v>
      </c>
      <c r="V738" s="26" t="str">
        <f t="shared" si="72"/>
        <v>-</v>
      </c>
      <c r="X738" s="26" t="str">
        <f t="shared" si="69"/>
        <v>-</v>
      </c>
    </row>
    <row r="739" spans="1:24" x14ac:dyDescent="0.3">
      <c r="A739" s="37">
        <v>87614017860</v>
      </c>
      <c r="B739" s="8" t="s">
        <v>1268</v>
      </c>
      <c r="C739" s="10" t="s">
        <v>2065</v>
      </c>
      <c r="D739" s="11" t="s">
        <v>884</v>
      </c>
      <c r="E739" s="11" t="s">
        <v>2847</v>
      </c>
      <c r="F739" s="9">
        <v>20</v>
      </c>
      <c r="G739" s="9">
        <v>60</v>
      </c>
      <c r="H739" s="9" t="s">
        <v>868</v>
      </c>
      <c r="I739" s="9">
        <v>24</v>
      </c>
      <c r="J739" s="9">
        <v>180</v>
      </c>
      <c r="K739" s="9" t="s">
        <v>869</v>
      </c>
      <c r="L739" s="27">
        <v>0.15776500000000002</v>
      </c>
      <c r="M739" s="28" t="s">
        <v>3203</v>
      </c>
      <c r="N739" s="17">
        <v>7.1925629999999998</v>
      </c>
      <c r="O739" s="1"/>
      <c r="P739" s="38">
        <f t="shared" si="67"/>
        <v>0</v>
      </c>
      <c r="S739" s="24" t="str">
        <f t="shared" si="70"/>
        <v>-</v>
      </c>
      <c r="T739" s="24" t="str">
        <f t="shared" si="68"/>
        <v>-</v>
      </c>
      <c r="U739" s="25" t="str">
        <f t="shared" si="71"/>
        <v>-</v>
      </c>
      <c r="V739" s="26" t="str">
        <f t="shared" si="72"/>
        <v>-</v>
      </c>
      <c r="X739" s="26" t="str">
        <f t="shared" si="69"/>
        <v>-</v>
      </c>
    </row>
    <row r="740" spans="1:24" x14ac:dyDescent="0.3">
      <c r="A740" s="37">
        <v>87614018928</v>
      </c>
      <c r="B740" s="8" t="s">
        <v>1270</v>
      </c>
      <c r="C740" s="10" t="s">
        <v>3130</v>
      </c>
      <c r="D740" s="11" t="s">
        <v>876</v>
      </c>
      <c r="E740" s="11" t="s">
        <v>955</v>
      </c>
      <c r="F740" s="9">
        <v>30</v>
      </c>
      <c r="G740" s="9">
        <v>90</v>
      </c>
      <c r="H740" s="9" t="s">
        <v>868</v>
      </c>
      <c r="I740" s="9">
        <v>36</v>
      </c>
      <c r="J740" s="9">
        <v>120</v>
      </c>
      <c r="K740" s="9" t="s">
        <v>2903</v>
      </c>
      <c r="L740" s="27">
        <v>9.0800000000000006E-2</v>
      </c>
      <c r="M740" s="28" t="s">
        <v>3203</v>
      </c>
      <c r="N740" s="17">
        <v>5.7640169999999999</v>
      </c>
      <c r="O740" s="1"/>
      <c r="P740" s="38">
        <f t="shared" si="67"/>
        <v>0</v>
      </c>
      <c r="S740" s="24" t="str">
        <f t="shared" si="70"/>
        <v>-</v>
      </c>
      <c r="T740" s="24" t="str">
        <f t="shared" si="68"/>
        <v>-</v>
      </c>
      <c r="U740" s="25" t="str">
        <f t="shared" si="71"/>
        <v>-</v>
      </c>
      <c r="V740" s="26" t="str">
        <f t="shared" si="72"/>
        <v>-</v>
      </c>
      <c r="X740" s="26" t="str">
        <f t="shared" si="69"/>
        <v>-</v>
      </c>
    </row>
    <row r="741" spans="1:24" x14ac:dyDescent="0.3">
      <c r="A741" s="37">
        <v>87614019567</v>
      </c>
      <c r="B741" s="8" t="s">
        <v>1271</v>
      </c>
      <c r="C741" s="10" t="s">
        <v>2068</v>
      </c>
      <c r="D741" s="11" t="s">
        <v>882</v>
      </c>
      <c r="E741" s="11" t="s">
        <v>927</v>
      </c>
      <c r="F741" s="9">
        <v>20</v>
      </c>
      <c r="G741" s="9">
        <v>60</v>
      </c>
      <c r="H741" s="9" t="s">
        <v>868</v>
      </c>
      <c r="I741" s="9">
        <v>36</v>
      </c>
      <c r="J741" s="9">
        <v>90</v>
      </c>
      <c r="K741" s="9" t="s">
        <v>873</v>
      </c>
      <c r="L741" s="27">
        <v>9.8744999999999999E-2</v>
      </c>
      <c r="M741" s="28" t="s">
        <v>3203</v>
      </c>
      <c r="N741" s="17">
        <v>4.5680249999999996</v>
      </c>
      <c r="O741" s="1"/>
      <c r="P741" s="38">
        <f t="shared" si="67"/>
        <v>0</v>
      </c>
      <c r="S741" s="24" t="str">
        <f t="shared" si="70"/>
        <v>-</v>
      </c>
      <c r="T741" s="24" t="str">
        <f t="shared" si="68"/>
        <v>-</v>
      </c>
      <c r="U741" s="25" t="str">
        <f t="shared" si="71"/>
        <v>-</v>
      </c>
      <c r="V741" s="26" t="str">
        <f t="shared" si="72"/>
        <v>-</v>
      </c>
      <c r="X741" s="26" t="str">
        <f t="shared" si="69"/>
        <v>-</v>
      </c>
    </row>
    <row r="742" spans="1:24" x14ac:dyDescent="0.3">
      <c r="A742" s="37">
        <v>87614019772</v>
      </c>
      <c r="B742" s="8" t="s">
        <v>1883</v>
      </c>
      <c r="C742" s="10" t="s">
        <v>2609</v>
      </c>
      <c r="D742" s="11" t="s">
        <v>872</v>
      </c>
      <c r="E742" s="11" t="s">
        <v>961</v>
      </c>
      <c r="F742" s="9">
        <v>20</v>
      </c>
      <c r="G742" s="9">
        <v>60</v>
      </c>
      <c r="H742" s="9" t="s">
        <v>868</v>
      </c>
      <c r="I742" s="9">
        <v>36</v>
      </c>
      <c r="J742" s="9">
        <v>100</v>
      </c>
      <c r="K742" s="9" t="s">
        <v>873</v>
      </c>
      <c r="L742" s="27">
        <v>0.10214999999999999</v>
      </c>
      <c r="M742" s="28" t="s">
        <v>3203</v>
      </c>
      <c r="N742" s="17">
        <v>3.6544200000000004</v>
      </c>
      <c r="O742" s="1"/>
      <c r="P742" s="38">
        <f t="shared" si="67"/>
        <v>0</v>
      </c>
      <c r="S742" s="24" t="str">
        <f t="shared" si="70"/>
        <v>-</v>
      </c>
      <c r="T742" s="24" t="str">
        <f t="shared" si="68"/>
        <v>-</v>
      </c>
      <c r="U742" s="25" t="str">
        <f t="shared" si="71"/>
        <v>-</v>
      </c>
      <c r="V742" s="26" t="str">
        <f t="shared" si="72"/>
        <v>-</v>
      </c>
      <c r="X742" s="26" t="str">
        <f t="shared" si="69"/>
        <v>-</v>
      </c>
    </row>
    <row r="743" spans="1:24" x14ac:dyDescent="0.3">
      <c r="A743" s="37">
        <v>87614190389</v>
      </c>
      <c r="B743" s="8" t="s">
        <v>1331</v>
      </c>
      <c r="C743" s="10" t="s">
        <v>2113</v>
      </c>
      <c r="D743" s="11" t="s">
        <v>879</v>
      </c>
      <c r="E743" s="11" t="s">
        <v>1018</v>
      </c>
      <c r="F743" s="9">
        <v>30</v>
      </c>
      <c r="G743" s="9">
        <v>90</v>
      </c>
      <c r="H743" s="9" t="s">
        <v>868</v>
      </c>
      <c r="I743" s="9">
        <v>24</v>
      </c>
      <c r="J743" s="9">
        <v>60</v>
      </c>
      <c r="K743" s="9" t="s">
        <v>2903</v>
      </c>
      <c r="L743" s="27">
        <v>7.7180000000000012E-2</v>
      </c>
      <c r="M743" s="28" t="s">
        <v>3203</v>
      </c>
      <c r="N743" s="17">
        <v>6.3952350000000004</v>
      </c>
      <c r="O743" s="1"/>
      <c r="P743" s="38">
        <f t="shared" si="67"/>
        <v>0</v>
      </c>
      <c r="S743" s="24" t="str">
        <f t="shared" si="70"/>
        <v>-</v>
      </c>
      <c r="T743" s="24" t="str">
        <f t="shared" si="68"/>
        <v>-</v>
      </c>
      <c r="U743" s="25" t="str">
        <f t="shared" si="71"/>
        <v>-</v>
      </c>
      <c r="V743" s="26" t="str">
        <f t="shared" si="72"/>
        <v>-</v>
      </c>
      <c r="X743" s="26" t="str">
        <f t="shared" si="69"/>
        <v>-</v>
      </c>
    </row>
    <row r="744" spans="1:24" x14ac:dyDescent="0.3">
      <c r="A744" s="37">
        <v>87614040813</v>
      </c>
      <c r="B744" s="8" t="s">
        <v>1439</v>
      </c>
      <c r="C744" s="10" t="s">
        <v>2213</v>
      </c>
      <c r="D744" s="11" t="s">
        <v>878</v>
      </c>
      <c r="E744" s="11" t="s">
        <v>1022</v>
      </c>
      <c r="F744" s="9">
        <v>48</v>
      </c>
      <c r="G744" s="9">
        <v>192</v>
      </c>
      <c r="H744" s="9" t="s">
        <v>868</v>
      </c>
      <c r="I744" s="9">
        <v>36</v>
      </c>
      <c r="J744" s="9">
        <v>30</v>
      </c>
      <c r="K744" s="9" t="s">
        <v>877</v>
      </c>
      <c r="L744" s="27">
        <v>3.7455000000000002E-2</v>
      </c>
      <c r="M744" s="28" t="s">
        <v>3203</v>
      </c>
      <c r="N744" s="17">
        <v>1.461768</v>
      </c>
      <c r="O744" s="1"/>
      <c r="P744" s="38">
        <f t="shared" si="67"/>
        <v>0</v>
      </c>
      <c r="S744" s="24" t="str">
        <f t="shared" si="70"/>
        <v>-</v>
      </c>
      <c r="T744" s="24" t="str">
        <f t="shared" si="68"/>
        <v>-</v>
      </c>
      <c r="U744" s="25" t="str">
        <f t="shared" si="71"/>
        <v>-</v>
      </c>
      <c r="V744" s="26" t="str">
        <f t="shared" si="72"/>
        <v>-</v>
      </c>
      <c r="X744" s="26" t="str">
        <f t="shared" si="69"/>
        <v>-</v>
      </c>
    </row>
    <row r="745" spans="1:24" x14ac:dyDescent="0.3">
      <c r="A745" s="37">
        <v>87614170206</v>
      </c>
      <c r="B745" s="8" t="s">
        <v>1099</v>
      </c>
      <c r="C745" s="10" t="s">
        <v>1100</v>
      </c>
      <c r="D745" s="11" t="s">
        <v>874</v>
      </c>
      <c r="E745" s="11" t="s">
        <v>2819</v>
      </c>
      <c r="F745" s="9">
        <v>12</v>
      </c>
      <c r="G745" s="9">
        <v>24</v>
      </c>
      <c r="H745" s="9" t="s">
        <v>868</v>
      </c>
      <c r="I745" s="9">
        <v>24</v>
      </c>
      <c r="J745" s="9">
        <v>120</v>
      </c>
      <c r="K745" s="9" t="s">
        <v>869</v>
      </c>
      <c r="L745" s="27">
        <v>0.29396500000000003</v>
      </c>
      <c r="M745" s="28" t="s">
        <v>3203</v>
      </c>
      <c r="N745" s="17">
        <v>15.680783999999999</v>
      </c>
      <c r="O745" s="1"/>
      <c r="P745" s="38">
        <f t="shared" si="67"/>
        <v>0</v>
      </c>
      <c r="S745" s="24" t="str">
        <f t="shared" si="70"/>
        <v>-</v>
      </c>
      <c r="T745" s="24" t="str">
        <f t="shared" si="68"/>
        <v>-</v>
      </c>
      <c r="U745" s="25" t="str">
        <f t="shared" si="71"/>
        <v>-</v>
      </c>
      <c r="V745" s="26" t="str">
        <f t="shared" si="72"/>
        <v>-</v>
      </c>
      <c r="X745" s="26" t="str">
        <f t="shared" si="69"/>
        <v>-</v>
      </c>
    </row>
    <row r="746" spans="1:24" x14ac:dyDescent="0.3">
      <c r="A746" s="37">
        <v>87614170954</v>
      </c>
      <c r="B746" s="8" t="s">
        <v>1110</v>
      </c>
      <c r="C746" s="10" t="s">
        <v>1111</v>
      </c>
      <c r="D746" s="11" t="s">
        <v>874</v>
      </c>
      <c r="E746" s="11" t="s">
        <v>1118</v>
      </c>
      <c r="F746" s="9">
        <v>20</v>
      </c>
      <c r="G746" s="9">
        <v>60</v>
      </c>
      <c r="H746" s="9" t="s">
        <v>868</v>
      </c>
      <c r="I746" s="9">
        <v>36</v>
      </c>
      <c r="J746" s="9">
        <v>120</v>
      </c>
      <c r="K746" s="9" t="s">
        <v>869</v>
      </c>
      <c r="L746" s="27">
        <v>0.144145</v>
      </c>
      <c r="M746" s="28" t="s">
        <v>3203</v>
      </c>
      <c r="N746" s="17">
        <v>14.833622999999999</v>
      </c>
      <c r="O746" s="1"/>
      <c r="P746" s="38">
        <f t="shared" si="67"/>
        <v>0</v>
      </c>
      <c r="S746" s="24" t="str">
        <f t="shared" si="70"/>
        <v>-</v>
      </c>
      <c r="T746" s="24" t="str">
        <f t="shared" si="68"/>
        <v>-</v>
      </c>
      <c r="U746" s="25" t="str">
        <f t="shared" si="71"/>
        <v>-</v>
      </c>
      <c r="V746" s="26" t="str">
        <f t="shared" si="72"/>
        <v>-</v>
      </c>
      <c r="X746" s="26" t="str">
        <f t="shared" si="69"/>
        <v>-</v>
      </c>
    </row>
    <row r="747" spans="1:24" x14ac:dyDescent="0.3">
      <c r="A747" s="37">
        <v>87614060316</v>
      </c>
      <c r="B747" s="8" t="s">
        <v>604</v>
      </c>
      <c r="C747" s="10" t="s">
        <v>605</v>
      </c>
      <c r="D747" s="11" t="s">
        <v>866</v>
      </c>
      <c r="E747" s="11" t="s">
        <v>956</v>
      </c>
      <c r="F747" s="9">
        <v>12</v>
      </c>
      <c r="G747" s="9">
        <v>12</v>
      </c>
      <c r="H747" s="9" t="s">
        <v>868</v>
      </c>
      <c r="I747" s="9">
        <v>24</v>
      </c>
      <c r="J747" s="9">
        <v>1</v>
      </c>
      <c r="K747" s="9" t="s">
        <v>887</v>
      </c>
      <c r="L747" s="27">
        <v>0.60268500000000003</v>
      </c>
      <c r="M747" s="28" t="s">
        <v>3203</v>
      </c>
      <c r="N747" s="17">
        <v>12.524694</v>
      </c>
      <c r="O747" s="1"/>
      <c r="P747" s="38">
        <f t="shared" si="67"/>
        <v>0</v>
      </c>
      <c r="S747" s="24" t="str">
        <f t="shared" si="70"/>
        <v>-</v>
      </c>
      <c r="T747" s="24" t="str">
        <f t="shared" si="68"/>
        <v>-</v>
      </c>
      <c r="U747" s="25" t="str">
        <f t="shared" si="71"/>
        <v>-</v>
      </c>
      <c r="V747" s="26" t="str">
        <f t="shared" si="72"/>
        <v>-</v>
      </c>
      <c r="X747" s="26" t="str">
        <f t="shared" si="69"/>
        <v>-</v>
      </c>
    </row>
    <row r="748" spans="1:24" x14ac:dyDescent="0.3">
      <c r="A748" s="37">
        <v>87614060729</v>
      </c>
      <c r="B748" s="8" t="s">
        <v>623</v>
      </c>
      <c r="C748" s="10" t="s">
        <v>3138</v>
      </c>
      <c r="D748" s="11" t="s">
        <v>866</v>
      </c>
      <c r="E748" s="11" t="s">
        <v>956</v>
      </c>
      <c r="F748" s="9">
        <v>30</v>
      </c>
      <c r="G748" s="9">
        <v>90</v>
      </c>
      <c r="H748" s="9" t="s">
        <v>868</v>
      </c>
      <c r="I748" s="9">
        <v>36</v>
      </c>
      <c r="J748" s="9">
        <v>120</v>
      </c>
      <c r="K748" s="9" t="s">
        <v>909</v>
      </c>
      <c r="L748" s="27">
        <v>9.1935000000000003E-2</v>
      </c>
      <c r="M748" s="28" t="s">
        <v>3203</v>
      </c>
      <c r="N748" s="17">
        <v>7.1925629999999998</v>
      </c>
      <c r="O748" s="1"/>
      <c r="P748" s="38">
        <f t="shared" si="67"/>
        <v>0</v>
      </c>
      <c r="S748" s="24" t="str">
        <f t="shared" si="70"/>
        <v>-</v>
      </c>
      <c r="T748" s="24" t="str">
        <f t="shared" si="68"/>
        <v>-</v>
      </c>
      <c r="U748" s="25" t="str">
        <f t="shared" si="71"/>
        <v>-</v>
      </c>
      <c r="V748" s="26" t="str">
        <f t="shared" si="72"/>
        <v>-</v>
      </c>
      <c r="X748" s="26" t="str">
        <f t="shared" si="69"/>
        <v>-</v>
      </c>
    </row>
    <row r="749" spans="1:24" x14ac:dyDescent="0.3">
      <c r="A749" s="37">
        <v>87614020761</v>
      </c>
      <c r="B749" s="8" t="s">
        <v>1344</v>
      </c>
      <c r="C749" s="10" t="s">
        <v>2124</v>
      </c>
      <c r="D749" s="11" t="s">
        <v>866</v>
      </c>
      <c r="E749" s="11" t="s">
        <v>963</v>
      </c>
      <c r="F749" s="9">
        <v>30</v>
      </c>
      <c r="G749" s="9">
        <v>90</v>
      </c>
      <c r="H749" s="9" t="s">
        <v>868</v>
      </c>
      <c r="I749" s="9">
        <v>36</v>
      </c>
      <c r="J749" s="9">
        <v>180</v>
      </c>
      <c r="K749" s="9" t="s">
        <v>873</v>
      </c>
      <c r="L749" s="27">
        <v>6.583E-2</v>
      </c>
      <c r="M749" s="28" t="s">
        <v>3203</v>
      </c>
      <c r="N749" s="17">
        <v>6.0131820000000005</v>
      </c>
      <c r="O749" s="1"/>
      <c r="P749" s="38">
        <f t="shared" si="67"/>
        <v>0</v>
      </c>
      <c r="S749" s="24" t="str">
        <f t="shared" si="70"/>
        <v>-</v>
      </c>
      <c r="T749" s="24" t="str">
        <f t="shared" si="68"/>
        <v>-</v>
      </c>
      <c r="U749" s="25" t="str">
        <f t="shared" si="71"/>
        <v>-</v>
      </c>
      <c r="V749" s="26" t="str">
        <f t="shared" si="72"/>
        <v>-</v>
      </c>
      <c r="X749" s="26" t="str">
        <f t="shared" si="69"/>
        <v>-</v>
      </c>
    </row>
    <row r="750" spans="1:24" x14ac:dyDescent="0.3">
      <c r="A750" s="37">
        <v>87614210247</v>
      </c>
      <c r="B750" s="8" t="s">
        <v>649</v>
      </c>
      <c r="C750" s="10" t="s">
        <v>650</v>
      </c>
      <c r="D750" s="11" t="s">
        <v>879</v>
      </c>
      <c r="E750" s="11" t="s">
        <v>1018</v>
      </c>
      <c r="F750" s="9">
        <v>48</v>
      </c>
      <c r="G750" s="9">
        <v>192</v>
      </c>
      <c r="H750" s="9" t="s">
        <v>868</v>
      </c>
      <c r="I750" s="9">
        <v>24</v>
      </c>
      <c r="J750" s="9">
        <v>30</v>
      </c>
      <c r="K750" s="9" t="s">
        <v>896</v>
      </c>
      <c r="L750" s="27">
        <v>4.1994999999999998E-2</v>
      </c>
      <c r="M750" s="28" t="s">
        <v>3203</v>
      </c>
      <c r="N750" s="17">
        <v>8.9533290000000001</v>
      </c>
      <c r="O750" s="1"/>
      <c r="P750" s="38">
        <f t="shared" si="67"/>
        <v>0</v>
      </c>
      <c r="S750" s="24" t="str">
        <f t="shared" si="70"/>
        <v>-</v>
      </c>
      <c r="T750" s="24" t="str">
        <f t="shared" si="68"/>
        <v>-</v>
      </c>
      <c r="U750" s="25" t="str">
        <f t="shared" si="71"/>
        <v>-</v>
      </c>
      <c r="V750" s="26" t="str">
        <f t="shared" si="72"/>
        <v>-</v>
      </c>
      <c r="X750" s="26" t="str">
        <f t="shared" si="69"/>
        <v>-</v>
      </c>
    </row>
    <row r="751" spans="1:24" x14ac:dyDescent="0.3">
      <c r="A751" s="37">
        <v>87614210971</v>
      </c>
      <c r="B751" s="8" t="s">
        <v>1468</v>
      </c>
      <c r="C751" s="10" t="s">
        <v>2239</v>
      </c>
      <c r="D751" s="11" t="s">
        <v>2829</v>
      </c>
      <c r="E751" s="11" t="s">
        <v>3048</v>
      </c>
      <c r="F751" s="9">
        <v>30</v>
      </c>
      <c r="G751" s="9">
        <v>90</v>
      </c>
      <c r="H751" s="9" t="s">
        <v>868</v>
      </c>
      <c r="I751" s="9">
        <v>36</v>
      </c>
      <c r="J751" s="9">
        <v>60</v>
      </c>
      <c r="K751" s="9" t="s">
        <v>873</v>
      </c>
      <c r="L751" s="27">
        <v>7.4910000000000004E-2</v>
      </c>
      <c r="M751" s="28" t="s">
        <v>3203</v>
      </c>
      <c r="N751" s="17">
        <v>15.597728999999999</v>
      </c>
      <c r="O751" s="1"/>
      <c r="P751" s="38">
        <f t="shared" si="67"/>
        <v>0</v>
      </c>
      <c r="S751" s="24" t="str">
        <f t="shared" si="70"/>
        <v>-</v>
      </c>
      <c r="T751" s="24" t="str">
        <f t="shared" si="68"/>
        <v>-</v>
      </c>
      <c r="U751" s="25" t="str">
        <f t="shared" si="71"/>
        <v>-</v>
      </c>
      <c r="V751" s="26" t="str">
        <f t="shared" si="72"/>
        <v>-</v>
      </c>
      <c r="X751" s="26" t="str">
        <f t="shared" si="69"/>
        <v>-</v>
      </c>
    </row>
    <row r="752" spans="1:24" x14ac:dyDescent="0.3">
      <c r="A752" s="37">
        <v>87614211015</v>
      </c>
      <c r="B752" s="8" t="s">
        <v>1241</v>
      </c>
      <c r="C752" s="10" t="s">
        <v>2779</v>
      </c>
      <c r="D752" s="11" t="s">
        <v>875</v>
      </c>
      <c r="E752" s="11" t="s">
        <v>2811</v>
      </c>
      <c r="F752" s="9">
        <v>48</v>
      </c>
      <c r="G752" s="9">
        <v>192</v>
      </c>
      <c r="H752" s="9" t="s">
        <v>892</v>
      </c>
      <c r="I752" s="9">
        <v>24</v>
      </c>
      <c r="J752" s="9">
        <v>30</v>
      </c>
      <c r="K752" s="9" t="s">
        <v>2903</v>
      </c>
      <c r="L752" s="27">
        <v>2.3835000000000002E-2</v>
      </c>
      <c r="M752" s="28" t="s">
        <v>3203</v>
      </c>
      <c r="N752" s="17">
        <v>4.5015809999999998</v>
      </c>
      <c r="O752" s="1"/>
      <c r="P752" s="38">
        <f t="shared" si="67"/>
        <v>0</v>
      </c>
      <c r="S752" s="24" t="str">
        <f t="shared" si="70"/>
        <v>-</v>
      </c>
      <c r="T752" s="24" t="str">
        <f t="shared" si="68"/>
        <v>-</v>
      </c>
      <c r="U752" s="25" t="str">
        <f t="shared" si="71"/>
        <v>-</v>
      </c>
      <c r="V752" s="26" t="str">
        <f t="shared" si="72"/>
        <v>-</v>
      </c>
      <c r="X752" s="26" t="str">
        <f t="shared" si="69"/>
        <v>-</v>
      </c>
    </row>
    <row r="753" spans="1:24" x14ac:dyDescent="0.3">
      <c r="A753" s="37">
        <v>87614021140</v>
      </c>
      <c r="B753" s="8" t="s">
        <v>1890</v>
      </c>
      <c r="C753" s="10" t="s">
        <v>2614</v>
      </c>
      <c r="D753" s="11" t="s">
        <v>890</v>
      </c>
      <c r="E753" s="11" t="s">
        <v>1002</v>
      </c>
      <c r="F753" s="9">
        <v>48</v>
      </c>
      <c r="G753" s="9">
        <v>192</v>
      </c>
      <c r="H753" s="9" t="s">
        <v>868</v>
      </c>
      <c r="I753" s="9">
        <v>24</v>
      </c>
      <c r="J753" s="9">
        <v>60</v>
      </c>
      <c r="K753" s="9" t="s">
        <v>877</v>
      </c>
      <c r="L753" s="27">
        <v>5.1074999999999995E-2</v>
      </c>
      <c r="M753" s="28" t="s">
        <v>3203</v>
      </c>
      <c r="N753" s="17">
        <v>4.4849700000000006</v>
      </c>
      <c r="O753" s="1"/>
      <c r="P753" s="38">
        <f t="shared" si="67"/>
        <v>0</v>
      </c>
      <c r="S753" s="24" t="str">
        <f t="shared" si="70"/>
        <v>-</v>
      </c>
      <c r="T753" s="24" t="str">
        <f t="shared" si="68"/>
        <v>-</v>
      </c>
      <c r="U753" s="25" t="str">
        <f t="shared" si="71"/>
        <v>-</v>
      </c>
      <c r="V753" s="26" t="str">
        <f t="shared" si="72"/>
        <v>-</v>
      </c>
      <c r="X753" s="26" t="str">
        <f t="shared" si="69"/>
        <v>-</v>
      </c>
    </row>
    <row r="754" spans="1:24" x14ac:dyDescent="0.3">
      <c r="A754" s="37">
        <v>87614023267</v>
      </c>
      <c r="B754" s="8" t="s">
        <v>1914</v>
      </c>
      <c r="C754" s="10" t="s">
        <v>2638</v>
      </c>
      <c r="D754" s="11" t="s">
        <v>874</v>
      </c>
      <c r="E754" s="11" t="s">
        <v>925</v>
      </c>
      <c r="F754" s="9">
        <v>30</v>
      </c>
      <c r="G754" s="9">
        <v>90</v>
      </c>
      <c r="H754" s="9" t="s">
        <v>868</v>
      </c>
      <c r="I754" s="9">
        <v>36</v>
      </c>
      <c r="J754" s="9">
        <v>60</v>
      </c>
      <c r="K754" s="9" t="s">
        <v>889</v>
      </c>
      <c r="L754" s="27">
        <v>4.8804999999999994E-2</v>
      </c>
      <c r="M754" s="28" t="s">
        <v>3203</v>
      </c>
      <c r="N754" s="17">
        <v>15.647562000000001</v>
      </c>
      <c r="O754" s="1"/>
      <c r="P754" s="38">
        <f t="shared" si="67"/>
        <v>0</v>
      </c>
      <c r="S754" s="24" t="str">
        <f t="shared" si="70"/>
        <v>-</v>
      </c>
      <c r="T754" s="24" t="str">
        <f t="shared" si="68"/>
        <v>-</v>
      </c>
      <c r="U754" s="25" t="str">
        <f t="shared" si="71"/>
        <v>-</v>
      </c>
      <c r="V754" s="26" t="str">
        <f t="shared" si="72"/>
        <v>-</v>
      </c>
      <c r="X754" s="26" t="str">
        <f t="shared" si="69"/>
        <v>-</v>
      </c>
    </row>
    <row r="755" spans="1:24" x14ac:dyDescent="0.3">
      <c r="A755" s="37">
        <v>87614024608</v>
      </c>
      <c r="B755" s="8" t="s">
        <v>1349</v>
      </c>
      <c r="C755" s="10" t="s">
        <v>2130</v>
      </c>
      <c r="D755" s="11" t="s">
        <v>874</v>
      </c>
      <c r="E755" s="11" t="s">
        <v>1059</v>
      </c>
      <c r="F755" s="9">
        <v>48</v>
      </c>
      <c r="G755" s="9">
        <v>192</v>
      </c>
      <c r="H755" s="9" t="s">
        <v>868</v>
      </c>
      <c r="I755" s="9">
        <v>24</v>
      </c>
      <c r="J755" s="9">
        <v>30</v>
      </c>
      <c r="K755" s="9" t="s">
        <v>869</v>
      </c>
      <c r="L755" s="27">
        <v>5.1074999999999995E-2</v>
      </c>
      <c r="M755" s="28" t="s">
        <v>3203</v>
      </c>
      <c r="N755" s="17">
        <v>29.750300999999997</v>
      </c>
      <c r="O755" s="1"/>
      <c r="P755" s="38">
        <f t="shared" si="67"/>
        <v>0</v>
      </c>
      <c r="S755" s="24" t="str">
        <f t="shared" si="70"/>
        <v>-</v>
      </c>
      <c r="T755" s="24" t="str">
        <f t="shared" si="68"/>
        <v>-</v>
      </c>
      <c r="U755" s="25" t="str">
        <f t="shared" si="71"/>
        <v>-</v>
      </c>
      <c r="V755" s="26" t="str">
        <f t="shared" si="72"/>
        <v>-</v>
      </c>
      <c r="X755" s="26" t="str">
        <f t="shared" si="69"/>
        <v>-</v>
      </c>
    </row>
    <row r="756" spans="1:24" x14ac:dyDescent="0.3">
      <c r="A756" s="37">
        <v>87614024813</v>
      </c>
      <c r="B756" s="8" t="s">
        <v>1912</v>
      </c>
      <c r="C756" s="10" t="s">
        <v>2636</v>
      </c>
      <c r="D756" s="11" t="s">
        <v>881</v>
      </c>
      <c r="E756" s="11" t="s">
        <v>939</v>
      </c>
      <c r="F756" s="9">
        <v>24</v>
      </c>
      <c r="G756" s="9">
        <v>24</v>
      </c>
      <c r="H756" s="9" t="s">
        <v>892</v>
      </c>
      <c r="I756" s="9">
        <v>36</v>
      </c>
      <c r="J756" s="9">
        <v>1</v>
      </c>
      <c r="K756" s="9" t="s">
        <v>887</v>
      </c>
      <c r="L756" s="27">
        <v>0.393845</v>
      </c>
      <c r="M756" s="28" t="s">
        <v>3203</v>
      </c>
      <c r="N756" s="17">
        <v>7.6410600000000004</v>
      </c>
      <c r="O756" s="1"/>
      <c r="P756" s="38">
        <f t="shared" si="67"/>
        <v>0</v>
      </c>
      <c r="S756" s="24" t="str">
        <f t="shared" si="70"/>
        <v>-</v>
      </c>
      <c r="T756" s="24" t="str">
        <f t="shared" si="68"/>
        <v>-</v>
      </c>
      <c r="U756" s="25" t="str">
        <f t="shared" si="71"/>
        <v>-</v>
      </c>
      <c r="V756" s="26" t="str">
        <f t="shared" si="72"/>
        <v>-</v>
      </c>
      <c r="X756" s="26" t="str">
        <f t="shared" si="69"/>
        <v>-</v>
      </c>
    </row>
    <row r="757" spans="1:24" x14ac:dyDescent="0.3">
      <c r="A757" s="37">
        <v>87614025032</v>
      </c>
      <c r="B757" s="8" t="s">
        <v>752</v>
      </c>
      <c r="C757" s="10" t="s">
        <v>753</v>
      </c>
      <c r="D757" s="11" t="s">
        <v>874</v>
      </c>
      <c r="E757" s="11" t="s">
        <v>914</v>
      </c>
      <c r="F757" s="9">
        <v>30</v>
      </c>
      <c r="G757" s="9">
        <v>90</v>
      </c>
      <c r="H757" s="9" t="s">
        <v>868</v>
      </c>
      <c r="I757" s="9">
        <v>24</v>
      </c>
      <c r="J757" s="9">
        <v>60</v>
      </c>
      <c r="K757" s="9" t="s">
        <v>869</v>
      </c>
      <c r="L757" s="27">
        <v>6.6964999999999997E-2</v>
      </c>
      <c r="M757" s="28" t="s">
        <v>3203</v>
      </c>
      <c r="N757" s="17">
        <v>4.4019149999999998</v>
      </c>
      <c r="O757" s="1"/>
      <c r="P757" s="38">
        <f t="shared" si="67"/>
        <v>0</v>
      </c>
      <c r="S757" s="24" t="str">
        <f t="shared" si="70"/>
        <v>-</v>
      </c>
      <c r="T757" s="24" t="str">
        <f t="shared" si="68"/>
        <v>-</v>
      </c>
      <c r="U757" s="25" t="str">
        <f t="shared" si="71"/>
        <v>-</v>
      </c>
      <c r="V757" s="26" t="str">
        <f t="shared" si="72"/>
        <v>-</v>
      </c>
      <c r="X757" s="26" t="str">
        <f t="shared" si="69"/>
        <v>-</v>
      </c>
    </row>
    <row r="758" spans="1:24" x14ac:dyDescent="0.3">
      <c r="A758" s="37">
        <v>87614025278</v>
      </c>
      <c r="B758" s="8" t="s">
        <v>761</v>
      </c>
      <c r="C758" s="10" t="s">
        <v>3145</v>
      </c>
      <c r="D758" s="11" t="s">
        <v>879</v>
      </c>
      <c r="E758" s="11" t="s">
        <v>990</v>
      </c>
      <c r="F758" s="9">
        <v>30</v>
      </c>
      <c r="G758" s="9">
        <v>90</v>
      </c>
      <c r="H758" s="9" t="s">
        <v>868</v>
      </c>
      <c r="I758" s="9">
        <v>36</v>
      </c>
      <c r="J758" s="9">
        <v>90</v>
      </c>
      <c r="K758" s="9" t="s">
        <v>2903</v>
      </c>
      <c r="L758" s="27">
        <v>4.4264999999999999E-2</v>
      </c>
      <c r="M758" s="28" t="s">
        <v>3203</v>
      </c>
      <c r="N758" s="17">
        <v>8.0231130000000004</v>
      </c>
      <c r="O758" s="1"/>
      <c r="P758" s="38">
        <f t="shared" si="67"/>
        <v>0</v>
      </c>
      <c r="S758" s="24" t="str">
        <f t="shared" si="70"/>
        <v>-</v>
      </c>
      <c r="T758" s="24" t="str">
        <f t="shared" si="68"/>
        <v>-</v>
      </c>
      <c r="U758" s="25" t="str">
        <f t="shared" si="71"/>
        <v>-</v>
      </c>
      <c r="V758" s="26" t="str">
        <f t="shared" si="72"/>
        <v>-</v>
      </c>
      <c r="X758" s="26" t="str">
        <f t="shared" si="69"/>
        <v>-</v>
      </c>
    </row>
    <row r="759" spans="1:24" x14ac:dyDescent="0.3">
      <c r="A759" s="37">
        <v>87614026800</v>
      </c>
      <c r="B759" s="8" t="s">
        <v>1203</v>
      </c>
      <c r="C759" s="10" t="s">
        <v>2018</v>
      </c>
      <c r="D759" s="11" t="s">
        <v>866</v>
      </c>
      <c r="E759" s="11" t="s">
        <v>974</v>
      </c>
      <c r="F759" s="9">
        <v>30</v>
      </c>
      <c r="G759" s="9">
        <v>90</v>
      </c>
      <c r="H759" s="9" t="s">
        <v>868</v>
      </c>
      <c r="I759" s="9">
        <v>24</v>
      </c>
      <c r="J759" s="9">
        <v>60</v>
      </c>
      <c r="K759" s="9" t="s">
        <v>2911</v>
      </c>
      <c r="L759" s="27">
        <v>6.2425000000000001E-2</v>
      </c>
      <c r="M759" s="28" t="s">
        <v>3203</v>
      </c>
      <c r="N759" s="17">
        <v>25.431441</v>
      </c>
      <c r="O759" s="1"/>
      <c r="P759" s="38">
        <f t="shared" si="67"/>
        <v>0</v>
      </c>
      <c r="S759" s="24" t="str">
        <f t="shared" si="70"/>
        <v>-</v>
      </c>
      <c r="T759" s="24" t="str">
        <f t="shared" si="68"/>
        <v>-</v>
      </c>
      <c r="U759" s="25" t="str">
        <f t="shared" si="71"/>
        <v>-</v>
      </c>
      <c r="V759" s="26" t="str">
        <f t="shared" si="72"/>
        <v>-</v>
      </c>
      <c r="X759" s="26" t="str">
        <f t="shared" si="69"/>
        <v>-</v>
      </c>
    </row>
    <row r="760" spans="1:24" x14ac:dyDescent="0.3">
      <c r="A760" s="37">
        <v>87614027135</v>
      </c>
      <c r="B760" s="8" t="s">
        <v>785</v>
      </c>
      <c r="C760" s="10" t="s">
        <v>2792</v>
      </c>
      <c r="D760" s="11" t="s">
        <v>874</v>
      </c>
      <c r="E760" s="11" t="s">
        <v>914</v>
      </c>
      <c r="F760" s="9">
        <v>30</v>
      </c>
      <c r="G760" s="9">
        <v>90</v>
      </c>
      <c r="H760" s="9" t="s">
        <v>868</v>
      </c>
      <c r="I760" s="9">
        <v>24</v>
      </c>
      <c r="J760" s="9">
        <v>60</v>
      </c>
      <c r="K760" s="9" t="s">
        <v>2903</v>
      </c>
      <c r="L760" s="27">
        <v>8.9664999999999995E-2</v>
      </c>
      <c r="M760" s="28" t="s">
        <v>3203</v>
      </c>
      <c r="N760" s="17">
        <v>14.78379</v>
      </c>
      <c r="O760" s="1"/>
      <c r="P760" s="38">
        <f t="shared" si="67"/>
        <v>0</v>
      </c>
      <c r="S760" s="24" t="str">
        <f t="shared" si="70"/>
        <v>-</v>
      </c>
      <c r="T760" s="24" t="str">
        <f t="shared" si="68"/>
        <v>-</v>
      </c>
      <c r="U760" s="25" t="str">
        <f t="shared" si="71"/>
        <v>-</v>
      </c>
      <c r="V760" s="26" t="str">
        <f t="shared" si="72"/>
        <v>-</v>
      </c>
      <c r="X760" s="26" t="str">
        <f t="shared" si="69"/>
        <v>-</v>
      </c>
    </row>
    <row r="761" spans="1:24" x14ac:dyDescent="0.3">
      <c r="A761" s="37">
        <v>87614027906</v>
      </c>
      <c r="B761" s="8" t="s">
        <v>1291</v>
      </c>
      <c r="C761" s="10" t="s">
        <v>2079</v>
      </c>
      <c r="D761" s="11" t="s">
        <v>872</v>
      </c>
      <c r="E761" s="11" t="s">
        <v>915</v>
      </c>
      <c r="F761" s="9">
        <v>48</v>
      </c>
      <c r="G761" s="9">
        <v>192</v>
      </c>
      <c r="H761" s="9" t="s">
        <v>868</v>
      </c>
      <c r="I761" s="9">
        <v>24</v>
      </c>
      <c r="J761" s="9">
        <v>60</v>
      </c>
      <c r="K761" s="9" t="s">
        <v>904</v>
      </c>
      <c r="L761" s="27">
        <v>3.9725000000000003E-2</v>
      </c>
      <c r="M761" s="28" t="s">
        <v>3203</v>
      </c>
      <c r="N761" s="17">
        <v>4.4351370000000001</v>
      </c>
      <c r="O761" s="1"/>
      <c r="P761" s="38">
        <f t="shared" si="67"/>
        <v>0</v>
      </c>
      <c r="S761" s="24" t="str">
        <f t="shared" si="70"/>
        <v>-</v>
      </c>
      <c r="T761" s="24" t="str">
        <f t="shared" si="68"/>
        <v>-</v>
      </c>
      <c r="U761" s="25" t="str">
        <f t="shared" si="71"/>
        <v>-</v>
      </c>
      <c r="V761" s="26" t="str">
        <f t="shared" si="72"/>
        <v>-</v>
      </c>
      <c r="X761" s="26" t="str">
        <f t="shared" si="69"/>
        <v>-</v>
      </c>
    </row>
    <row r="762" spans="1:24" x14ac:dyDescent="0.3">
      <c r="A762" s="37">
        <v>87614028729</v>
      </c>
      <c r="B762" s="8" t="s">
        <v>1493</v>
      </c>
      <c r="C762" s="10" t="s">
        <v>3041</v>
      </c>
      <c r="D762" s="11" t="s">
        <v>870</v>
      </c>
      <c r="E762" s="11" t="s">
        <v>2834</v>
      </c>
      <c r="F762" s="9">
        <v>48</v>
      </c>
      <c r="G762" s="9">
        <v>192</v>
      </c>
      <c r="H762" s="9" t="s">
        <v>868</v>
      </c>
      <c r="I762" s="9">
        <v>36</v>
      </c>
      <c r="J762" s="9">
        <v>60</v>
      </c>
      <c r="K762" s="9" t="s">
        <v>2903</v>
      </c>
      <c r="L762" s="27">
        <v>3.4049999999999997E-2</v>
      </c>
      <c r="M762" s="28" t="s">
        <v>3203</v>
      </c>
      <c r="N762" s="17">
        <v>14.800401000000001</v>
      </c>
      <c r="O762" s="1"/>
      <c r="P762" s="38">
        <f t="shared" si="67"/>
        <v>0</v>
      </c>
      <c r="S762" s="24" t="str">
        <f t="shared" si="70"/>
        <v>-</v>
      </c>
      <c r="T762" s="24" t="str">
        <f t="shared" si="68"/>
        <v>-</v>
      </c>
      <c r="U762" s="25" t="str">
        <f t="shared" si="71"/>
        <v>-</v>
      </c>
      <c r="V762" s="26" t="str">
        <f t="shared" si="72"/>
        <v>-</v>
      </c>
      <c r="X762" s="26" t="str">
        <f t="shared" si="69"/>
        <v>-</v>
      </c>
    </row>
    <row r="763" spans="1:24" x14ac:dyDescent="0.3">
      <c r="A763" s="37">
        <v>87614029061</v>
      </c>
      <c r="B763" s="8" t="s">
        <v>1213</v>
      </c>
      <c r="C763" s="10" t="s">
        <v>2027</v>
      </c>
      <c r="D763" s="11" t="s">
        <v>866</v>
      </c>
      <c r="E763" s="11" t="s">
        <v>1041</v>
      </c>
      <c r="F763" s="9">
        <v>48</v>
      </c>
      <c r="G763" s="9">
        <v>192</v>
      </c>
      <c r="H763" s="9" t="s">
        <v>868</v>
      </c>
      <c r="I763" s="9">
        <v>24</v>
      </c>
      <c r="J763" s="9">
        <v>30</v>
      </c>
      <c r="K763" s="9" t="s">
        <v>869</v>
      </c>
      <c r="L763" s="27">
        <v>3.1780000000000003E-2</v>
      </c>
      <c r="M763" s="28" t="s">
        <v>3203</v>
      </c>
      <c r="N763" s="17">
        <v>7.6078379999999992</v>
      </c>
      <c r="O763" s="1"/>
      <c r="P763" s="38">
        <f t="shared" si="67"/>
        <v>0</v>
      </c>
      <c r="S763" s="24" t="str">
        <f t="shared" si="70"/>
        <v>-</v>
      </c>
      <c r="T763" s="24" t="str">
        <f t="shared" si="68"/>
        <v>-</v>
      </c>
      <c r="U763" s="25" t="str">
        <f t="shared" si="71"/>
        <v>-</v>
      </c>
      <c r="V763" s="26" t="str">
        <f t="shared" si="72"/>
        <v>-</v>
      </c>
      <c r="X763" s="26" t="str">
        <f t="shared" si="69"/>
        <v>-</v>
      </c>
    </row>
    <row r="764" spans="1:24" x14ac:dyDescent="0.3">
      <c r="A764" s="37">
        <v>87614010083</v>
      </c>
      <c r="B764" s="8" t="s">
        <v>1356</v>
      </c>
      <c r="C764" s="10" t="s">
        <v>2136</v>
      </c>
      <c r="D764" s="11" t="s">
        <v>866</v>
      </c>
      <c r="E764" s="11" t="s">
        <v>867</v>
      </c>
      <c r="F764" s="9">
        <v>30</v>
      </c>
      <c r="G764" s="9">
        <v>90</v>
      </c>
      <c r="H764" s="9" t="s">
        <v>868</v>
      </c>
      <c r="I764" s="9">
        <v>24</v>
      </c>
      <c r="J764" s="9">
        <v>300</v>
      </c>
      <c r="K764" s="9" t="s">
        <v>869</v>
      </c>
      <c r="L764" s="27">
        <v>0.119175</v>
      </c>
      <c r="M764" s="28" t="s">
        <v>3203</v>
      </c>
      <c r="N764" s="17">
        <v>9.9832109999999989</v>
      </c>
      <c r="O764" s="1"/>
      <c r="P764" s="38">
        <f t="shared" si="67"/>
        <v>0</v>
      </c>
      <c r="S764" s="24" t="str">
        <f t="shared" si="70"/>
        <v>-</v>
      </c>
      <c r="T764" s="24" t="str">
        <f t="shared" si="68"/>
        <v>-</v>
      </c>
      <c r="U764" s="25" t="str">
        <f t="shared" si="71"/>
        <v>-</v>
      </c>
      <c r="V764" s="26" t="str">
        <f t="shared" si="72"/>
        <v>-</v>
      </c>
      <c r="X764" s="26" t="str">
        <f t="shared" si="69"/>
        <v>-</v>
      </c>
    </row>
    <row r="765" spans="1:24" x14ac:dyDescent="0.3">
      <c r="A765" s="37">
        <v>87614010496</v>
      </c>
      <c r="B765" s="8" t="s">
        <v>1199</v>
      </c>
      <c r="C765" s="10" t="s">
        <v>2015</v>
      </c>
      <c r="D765" s="11" t="s">
        <v>874</v>
      </c>
      <c r="E765" s="11" t="s">
        <v>917</v>
      </c>
      <c r="F765" s="9">
        <v>15</v>
      </c>
      <c r="G765" s="9">
        <v>30</v>
      </c>
      <c r="H765" s="9" t="s">
        <v>868</v>
      </c>
      <c r="I765" s="9">
        <v>24</v>
      </c>
      <c r="J765" s="9">
        <v>250</v>
      </c>
      <c r="K765" s="9" t="s">
        <v>873</v>
      </c>
      <c r="L765" s="27">
        <v>0.185005</v>
      </c>
      <c r="M765" s="28" t="s">
        <v>3203</v>
      </c>
      <c r="N765" s="17">
        <v>9.6676020000000005</v>
      </c>
      <c r="O765" s="1"/>
      <c r="P765" s="38">
        <f t="shared" si="67"/>
        <v>0</v>
      </c>
      <c r="S765" s="24" t="str">
        <f t="shared" si="70"/>
        <v>-</v>
      </c>
      <c r="T765" s="24" t="str">
        <f t="shared" si="68"/>
        <v>-</v>
      </c>
      <c r="U765" s="25" t="str">
        <f t="shared" si="71"/>
        <v>-</v>
      </c>
      <c r="V765" s="26" t="str">
        <f t="shared" si="72"/>
        <v>-</v>
      </c>
      <c r="X765" s="26" t="str">
        <f t="shared" si="69"/>
        <v>-</v>
      </c>
    </row>
    <row r="766" spans="1:24" x14ac:dyDescent="0.3">
      <c r="A766" s="37">
        <v>87614010946</v>
      </c>
      <c r="B766" s="8" t="s">
        <v>1170</v>
      </c>
      <c r="C766" s="10" t="s">
        <v>1991</v>
      </c>
      <c r="D766" s="11" t="s">
        <v>882</v>
      </c>
      <c r="E766" s="11" t="s">
        <v>920</v>
      </c>
      <c r="F766" s="9">
        <v>16</v>
      </c>
      <c r="G766" s="9">
        <v>48</v>
      </c>
      <c r="H766" s="9" t="s">
        <v>868</v>
      </c>
      <c r="I766" s="9">
        <v>24</v>
      </c>
      <c r="J766" s="9">
        <v>250</v>
      </c>
      <c r="K766" s="9" t="s">
        <v>908</v>
      </c>
      <c r="L766" s="27">
        <v>0.26105</v>
      </c>
      <c r="M766" s="28" t="s">
        <v>3203</v>
      </c>
      <c r="N766" s="17">
        <v>11.611089</v>
      </c>
      <c r="O766" s="1"/>
      <c r="P766" s="38">
        <f t="shared" si="67"/>
        <v>0</v>
      </c>
      <c r="S766" s="24" t="str">
        <f t="shared" si="70"/>
        <v>-</v>
      </c>
      <c r="T766" s="24" t="str">
        <f t="shared" si="68"/>
        <v>-</v>
      </c>
      <c r="U766" s="25" t="str">
        <f t="shared" si="71"/>
        <v>-</v>
      </c>
      <c r="V766" s="26" t="str">
        <f t="shared" si="72"/>
        <v>-</v>
      </c>
      <c r="X766" s="26" t="str">
        <f t="shared" si="69"/>
        <v>-</v>
      </c>
    </row>
    <row r="767" spans="1:24" x14ac:dyDescent="0.3">
      <c r="A767" s="37">
        <v>87614111032</v>
      </c>
      <c r="B767" s="8" t="s">
        <v>70</v>
      </c>
      <c r="C767" s="10" t="s">
        <v>71</v>
      </c>
      <c r="D767" s="11" t="s">
        <v>872</v>
      </c>
      <c r="E767" s="11" t="s">
        <v>945</v>
      </c>
      <c r="F767" s="9">
        <v>20</v>
      </c>
      <c r="G767" s="9">
        <v>60</v>
      </c>
      <c r="H767" s="9" t="s">
        <v>868</v>
      </c>
      <c r="I767" s="9">
        <v>36</v>
      </c>
      <c r="J767" s="9">
        <v>120</v>
      </c>
      <c r="K767" s="9" t="s">
        <v>873</v>
      </c>
      <c r="L767" s="27">
        <v>0.12939000000000001</v>
      </c>
      <c r="M767" s="28" t="s">
        <v>3203</v>
      </c>
      <c r="N767" s="17">
        <v>5.1992430000000001</v>
      </c>
      <c r="O767" s="1"/>
      <c r="P767" s="38">
        <f t="shared" si="67"/>
        <v>0</v>
      </c>
      <c r="S767" s="24" t="str">
        <f t="shared" si="70"/>
        <v>-</v>
      </c>
      <c r="T767" s="24" t="str">
        <f t="shared" si="68"/>
        <v>-</v>
      </c>
      <c r="U767" s="25" t="str">
        <f t="shared" si="71"/>
        <v>-</v>
      </c>
      <c r="V767" s="26" t="str">
        <f t="shared" si="72"/>
        <v>-</v>
      </c>
      <c r="X767" s="26" t="str">
        <f t="shared" si="69"/>
        <v>-</v>
      </c>
    </row>
    <row r="768" spans="1:24" x14ac:dyDescent="0.3">
      <c r="A768" s="37">
        <v>87614111209</v>
      </c>
      <c r="B768" s="8" t="s">
        <v>1299</v>
      </c>
      <c r="C768" s="10" t="s">
        <v>2084</v>
      </c>
      <c r="D768" s="11" t="s">
        <v>881</v>
      </c>
      <c r="E768" s="11" t="s">
        <v>2815</v>
      </c>
      <c r="F768" s="9">
        <v>30</v>
      </c>
      <c r="G768" s="9">
        <v>90</v>
      </c>
      <c r="H768" s="9" t="s">
        <v>868</v>
      </c>
      <c r="I768" s="9">
        <v>36</v>
      </c>
      <c r="J768" s="9">
        <v>60</v>
      </c>
      <c r="K768" s="9" t="s">
        <v>873</v>
      </c>
      <c r="L768" s="27">
        <v>7.0370000000000002E-2</v>
      </c>
      <c r="M768" s="28" t="s">
        <v>3203</v>
      </c>
      <c r="N768" s="17">
        <v>3.5879759999999998</v>
      </c>
      <c r="O768" s="1"/>
      <c r="P768" s="38">
        <f t="shared" si="67"/>
        <v>0</v>
      </c>
      <c r="S768" s="24" t="str">
        <f t="shared" si="70"/>
        <v>-</v>
      </c>
      <c r="T768" s="24" t="str">
        <f t="shared" si="68"/>
        <v>-</v>
      </c>
      <c r="U768" s="25" t="str">
        <f t="shared" si="71"/>
        <v>-</v>
      </c>
      <c r="V768" s="26" t="str">
        <f t="shared" si="72"/>
        <v>-</v>
      </c>
      <c r="X768" s="26" t="str">
        <f t="shared" si="69"/>
        <v>-</v>
      </c>
    </row>
    <row r="769" spans="1:24" x14ac:dyDescent="0.3">
      <c r="A769" s="37">
        <v>87614111308</v>
      </c>
      <c r="B769" s="8" t="s">
        <v>82</v>
      </c>
      <c r="C769" s="10" t="s">
        <v>83</v>
      </c>
      <c r="D769" s="11" t="s">
        <v>882</v>
      </c>
      <c r="E769" s="11" t="s">
        <v>920</v>
      </c>
      <c r="F769" s="9">
        <v>9</v>
      </c>
      <c r="G769" s="9">
        <v>18</v>
      </c>
      <c r="H769" s="9" t="s">
        <v>868</v>
      </c>
      <c r="I769" s="9">
        <v>36</v>
      </c>
      <c r="J769" s="9">
        <v>1</v>
      </c>
      <c r="K769" s="9" t="s">
        <v>880</v>
      </c>
      <c r="L769" s="27">
        <v>0.58793000000000006</v>
      </c>
      <c r="M769" s="28" t="s">
        <v>3203</v>
      </c>
      <c r="N769" s="17">
        <v>10.614428999999999</v>
      </c>
      <c r="O769" s="1"/>
      <c r="P769" s="38">
        <f t="shared" si="67"/>
        <v>0</v>
      </c>
      <c r="S769" s="24" t="str">
        <f t="shared" si="70"/>
        <v>-</v>
      </c>
      <c r="T769" s="24" t="str">
        <f t="shared" si="68"/>
        <v>-</v>
      </c>
      <c r="U769" s="25" t="str">
        <f t="shared" si="71"/>
        <v>-</v>
      </c>
      <c r="V769" s="26" t="str">
        <f t="shared" si="72"/>
        <v>-</v>
      </c>
      <c r="X769" s="26" t="str">
        <f t="shared" si="69"/>
        <v>-</v>
      </c>
    </row>
    <row r="770" spans="1:24" x14ac:dyDescent="0.3">
      <c r="A770" s="37">
        <v>87614111339</v>
      </c>
      <c r="B770" s="8" t="s">
        <v>1885</v>
      </c>
      <c r="C770" s="10" t="s">
        <v>2611</v>
      </c>
      <c r="D770" s="11" t="s">
        <v>886</v>
      </c>
      <c r="E770" s="11" t="s">
        <v>952</v>
      </c>
      <c r="F770" s="9">
        <v>20</v>
      </c>
      <c r="G770" s="9">
        <v>60</v>
      </c>
      <c r="H770" s="9" t="s">
        <v>868</v>
      </c>
      <c r="I770" s="9">
        <v>36</v>
      </c>
      <c r="J770" s="9">
        <v>90</v>
      </c>
      <c r="K770" s="9" t="s">
        <v>873</v>
      </c>
      <c r="L770" s="27">
        <v>8.2854999999999998E-2</v>
      </c>
      <c r="M770" s="28" t="s">
        <v>3203</v>
      </c>
      <c r="N770" s="17">
        <v>4.235805</v>
      </c>
      <c r="O770" s="1"/>
      <c r="P770" s="38">
        <f t="shared" si="67"/>
        <v>0</v>
      </c>
      <c r="S770" s="24" t="str">
        <f t="shared" si="70"/>
        <v>-</v>
      </c>
      <c r="T770" s="24" t="str">
        <f t="shared" si="68"/>
        <v>-</v>
      </c>
      <c r="U770" s="25" t="str">
        <f t="shared" si="71"/>
        <v>-</v>
      </c>
      <c r="V770" s="26" t="str">
        <f t="shared" si="72"/>
        <v>-</v>
      </c>
      <c r="X770" s="26" t="str">
        <f t="shared" si="69"/>
        <v>-</v>
      </c>
    </row>
    <row r="771" spans="1:24" x14ac:dyDescent="0.3">
      <c r="A771" s="37">
        <v>87614111384</v>
      </c>
      <c r="B771" s="8" t="s">
        <v>1300</v>
      </c>
      <c r="C771" s="10" t="s">
        <v>2085</v>
      </c>
      <c r="D771" s="11" t="s">
        <v>883</v>
      </c>
      <c r="E771" s="11" t="s">
        <v>926</v>
      </c>
      <c r="F771" s="9">
        <v>15</v>
      </c>
      <c r="G771" s="9">
        <v>30</v>
      </c>
      <c r="H771" s="9" t="s">
        <v>868</v>
      </c>
      <c r="I771" s="9">
        <v>24</v>
      </c>
      <c r="J771" s="9">
        <v>360</v>
      </c>
      <c r="K771" s="9" t="s">
        <v>2902</v>
      </c>
      <c r="L771" s="27">
        <v>0.27126499999999998</v>
      </c>
      <c r="M771" s="28" t="s">
        <v>3203</v>
      </c>
      <c r="N771" s="17">
        <v>18.155822999999998</v>
      </c>
      <c r="O771" s="1"/>
      <c r="P771" s="38">
        <f t="shared" ref="P771:P834" si="73">O771*N771</f>
        <v>0</v>
      </c>
      <c r="S771" s="24" t="str">
        <f t="shared" si="70"/>
        <v>-</v>
      </c>
      <c r="T771" s="24" t="str">
        <f t="shared" ref="T771:T834" si="74">IF(O771&gt;0,N771+L771*O771/$U$2*$V$2/O771,"-")</f>
        <v>-</v>
      </c>
      <c r="U771" s="25" t="str">
        <f t="shared" si="71"/>
        <v>-</v>
      </c>
      <c r="V771" s="26" t="str">
        <f t="shared" si="72"/>
        <v>-</v>
      </c>
      <c r="X771" s="26" t="str">
        <f t="shared" ref="X771:X834" si="75">IFERROR(IF(V771+P771=0, "-", IF(V771&gt;0, V771+P771, "-")), "-")</f>
        <v>-</v>
      </c>
    </row>
    <row r="772" spans="1:24" x14ac:dyDescent="0.3">
      <c r="A772" s="37">
        <v>87614112756</v>
      </c>
      <c r="B772" s="8" t="s">
        <v>1067</v>
      </c>
      <c r="C772" s="10" t="s">
        <v>1068</v>
      </c>
      <c r="D772" s="11" t="s">
        <v>881</v>
      </c>
      <c r="E772" s="11" t="s">
        <v>936</v>
      </c>
      <c r="F772" s="9">
        <v>30</v>
      </c>
      <c r="G772" s="9">
        <v>90</v>
      </c>
      <c r="H772" s="9" t="s">
        <v>868</v>
      </c>
      <c r="I772" s="9">
        <v>36</v>
      </c>
      <c r="J772" s="9">
        <v>60</v>
      </c>
      <c r="K772" s="9" t="s">
        <v>873</v>
      </c>
      <c r="L772" s="27">
        <v>6.583E-2</v>
      </c>
      <c r="M772" s="28" t="s">
        <v>3203</v>
      </c>
      <c r="N772" s="17">
        <v>4.235805</v>
      </c>
      <c r="O772" s="1"/>
      <c r="P772" s="38">
        <f t="shared" si="73"/>
        <v>0</v>
      </c>
      <c r="S772" s="24" t="str">
        <f t="shared" ref="S772:S835" si="76">IFERROR(IF(S$2*L772=0, "-", $S$2*L772), "-")</f>
        <v>-</v>
      </c>
      <c r="T772" s="24" t="str">
        <f t="shared" si="74"/>
        <v>-</v>
      </c>
      <c r="U772" s="25" t="str">
        <f t="shared" ref="U772:U835" si="77">IF(O772&gt;0,O772*L772, "-")</f>
        <v>-</v>
      </c>
      <c r="V772" s="26" t="str">
        <f t="shared" ref="V772:V835" si="78">IFERROR(IF($S$2&gt;0, $S$2*U772, "-"), "-")</f>
        <v>-</v>
      </c>
      <c r="X772" s="26" t="str">
        <f t="shared" si="75"/>
        <v>-</v>
      </c>
    </row>
    <row r="773" spans="1:24" x14ac:dyDescent="0.3">
      <c r="A773" s="37">
        <v>87614112794</v>
      </c>
      <c r="B773" s="8" t="s">
        <v>1371</v>
      </c>
      <c r="C773" s="10" t="s">
        <v>2151</v>
      </c>
      <c r="D773" s="11" t="s">
        <v>879</v>
      </c>
      <c r="E773" s="11" t="s">
        <v>930</v>
      </c>
      <c r="F773" s="9">
        <v>30</v>
      </c>
      <c r="G773" s="9">
        <v>90</v>
      </c>
      <c r="H773" s="9" t="s">
        <v>868</v>
      </c>
      <c r="I773" s="9">
        <v>36</v>
      </c>
      <c r="J773" s="9">
        <v>60</v>
      </c>
      <c r="K773" s="9" t="s">
        <v>873</v>
      </c>
      <c r="L773" s="27">
        <v>6.2425000000000001E-2</v>
      </c>
      <c r="M773" s="28" t="s">
        <v>3203</v>
      </c>
      <c r="N773" s="17">
        <v>3.122868</v>
      </c>
      <c r="O773" s="1"/>
      <c r="P773" s="38">
        <f t="shared" si="73"/>
        <v>0</v>
      </c>
      <c r="S773" s="24" t="str">
        <f t="shared" si="76"/>
        <v>-</v>
      </c>
      <c r="T773" s="24" t="str">
        <f t="shared" si="74"/>
        <v>-</v>
      </c>
      <c r="U773" s="25" t="str">
        <f t="shared" si="77"/>
        <v>-</v>
      </c>
      <c r="V773" s="26" t="str">
        <f t="shared" si="78"/>
        <v>-</v>
      </c>
      <c r="X773" s="26" t="str">
        <f t="shared" si="75"/>
        <v>-</v>
      </c>
    </row>
    <row r="774" spans="1:24" x14ac:dyDescent="0.3">
      <c r="A774" s="37">
        <v>87614112985</v>
      </c>
      <c r="B774" s="8" t="s">
        <v>1307</v>
      </c>
      <c r="C774" s="10" t="s">
        <v>2092</v>
      </c>
      <c r="D774" s="11" t="s">
        <v>879</v>
      </c>
      <c r="E774" s="11" t="s">
        <v>972</v>
      </c>
      <c r="F774" s="9">
        <v>30</v>
      </c>
      <c r="G774" s="9">
        <v>90</v>
      </c>
      <c r="H774" s="9" t="s">
        <v>868</v>
      </c>
      <c r="I774" s="9">
        <v>24</v>
      </c>
      <c r="J774" s="9">
        <v>60</v>
      </c>
      <c r="K774" s="9" t="s">
        <v>873</v>
      </c>
      <c r="L774" s="27">
        <v>6.6964999999999997E-2</v>
      </c>
      <c r="M774" s="28" t="s">
        <v>3203</v>
      </c>
      <c r="N774" s="17">
        <v>3.0896459999999997</v>
      </c>
      <c r="O774" s="1"/>
      <c r="P774" s="38">
        <f t="shared" si="73"/>
        <v>0</v>
      </c>
      <c r="S774" s="24" t="str">
        <f t="shared" si="76"/>
        <v>-</v>
      </c>
      <c r="T774" s="24" t="str">
        <f t="shared" si="74"/>
        <v>-</v>
      </c>
      <c r="U774" s="25" t="str">
        <f t="shared" si="77"/>
        <v>-</v>
      </c>
      <c r="V774" s="26" t="str">
        <f t="shared" si="78"/>
        <v>-</v>
      </c>
      <c r="X774" s="26" t="str">
        <f t="shared" si="75"/>
        <v>-</v>
      </c>
    </row>
    <row r="775" spans="1:24" x14ac:dyDescent="0.3">
      <c r="A775" s="37">
        <v>87614113050</v>
      </c>
      <c r="B775" s="8" t="s">
        <v>1886</v>
      </c>
      <c r="C775" s="10" t="s">
        <v>2612</v>
      </c>
      <c r="D775" s="11" t="s">
        <v>866</v>
      </c>
      <c r="E775" s="11" t="s">
        <v>2821</v>
      </c>
      <c r="F775" s="9">
        <v>30</v>
      </c>
      <c r="G775" s="9">
        <v>90</v>
      </c>
      <c r="H775" s="9" t="s">
        <v>868</v>
      </c>
      <c r="I775" s="9">
        <v>36</v>
      </c>
      <c r="J775" s="9">
        <v>60</v>
      </c>
      <c r="K775" s="9" t="s">
        <v>873</v>
      </c>
      <c r="L775" s="27">
        <v>4.8804999999999994E-2</v>
      </c>
      <c r="M775" s="28" t="s">
        <v>3203</v>
      </c>
      <c r="N775" s="17">
        <v>5.0497439999999996</v>
      </c>
      <c r="O775" s="1"/>
      <c r="P775" s="38">
        <f t="shared" si="73"/>
        <v>0</v>
      </c>
      <c r="S775" s="24" t="str">
        <f t="shared" si="76"/>
        <v>-</v>
      </c>
      <c r="T775" s="24" t="str">
        <f t="shared" si="74"/>
        <v>-</v>
      </c>
      <c r="U775" s="25" t="str">
        <f t="shared" si="77"/>
        <v>-</v>
      </c>
      <c r="V775" s="26" t="str">
        <f t="shared" si="78"/>
        <v>-</v>
      </c>
      <c r="X775" s="26" t="str">
        <f t="shared" si="75"/>
        <v>-</v>
      </c>
    </row>
    <row r="776" spans="1:24" x14ac:dyDescent="0.3">
      <c r="A776" s="37">
        <v>87614113074</v>
      </c>
      <c r="B776" s="8" t="s">
        <v>1375</v>
      </c>
      <c r="C776" s="10" t="s">
        <v>2155</v>
      </c>
      <c r="D776" s="11" t="s">
        <v>866</v>
      </c>
      <c r="E776" s="11" t="s">
        <v>2821</v>
      </c>
      <c r="F776" s="9">
        <v>30</v>
      </c>
      <c r="G776" s="9">
        <v>90</v>
      </c>
      <c r="H776" s="9" t="s">
        <v>868</v>
      </c>
      <c r="I776" s="9">
        <v>36</v>
      </c>
      <c r="J776" s="9">
        <v>30</v>
      </c>
      <c r="K776" s="9" t="s">
        <v>877</v>
      </c>
      <c r="L776" s="27">
        <v>6.6964999999999997E-2</v>
      </c>
      <c r="M776" s="28" t="s">
        <v>3203</v>
      </c>
      <c r="N776" s="17">
        <v>6.5779560000000004</v>
      </c>
      <c r="O776" s="1"/>
      <c r="P776" s="38">
        <f t="shared" si="73"/>
        <v>0</v>
      </c>
      <c r="S776" s="24" t="str">
        <f t="shared" si="76"/>
        <v>-</v>
      </c>
      <c r="T776" s="24" t="str">
        <f t="shared" si="74"/>
        <v>-</v>
      </c>
      <c r="U776" s="25" t="str">
        <f t="shared" si="77"/>
        <v>-</v>
      </c>
      <c r="V776" s="26" t="str">
        <f t="shared" si="78"/>
        <v>-</v>
      </c>
      <c r="X776" s="26" t="str">
        <f t="shared" si="75"/>
        <v>-</v>
      </c>
    </row>
    <row r="777" spans="1:24" x14ac:dyDescent="0.3">
      <c r="A777" s="37">
        <v>87614113159</v>
      </c>
      <c r="B777" s="8" t="s">
        <v>1535</v>
      </c>
      <c r="C777" s="10" t="s">
        <v>2296</v>
      </c>
      <c r="D777" s="11" t="s">
        <v>885</v>
      </c>
      <c r="E777" s="11" t="s">
        <v>975</v>
      </c>
      <c r="F777" s="9">
        <v>12</v>
      </c>
      <c r="G777" s="9">
        <v>12</v>
      </c>
      <c r="H777" s="9" t="s">
        <v>868</v>
      </c>
      <c r="I777" s="9">
        <v>36</v>
      </c>
      <c r="J777" s="9">
        <v>1</v>
      </c>
      <c r="K777" s="9" t="s">
        <v>887</v>
      </c>
      <c r="L777" s="27">
        <v>0.10214999999999999</v>
      </c>
      <c r="M777" s="28" t="s">
        <v>3203</v>
      </c>
      <c r="N777" s="17">
        <v>10.165932</v>
      </c>
      <c r="O777" s="1"/>
      <c r="P777" s="38">
        <f t="shared" si="73"/>
        <v>0</v>
      </c>
      <c r="S777" s="24" t="str">
        <f t="shared" si="76"/>
        <v>-</v>
      </c>
      <c r="T777" s="24" t="str">
        <f t="shared" si="74"/>
        <v>-</v>
      </c>
      <c r="U777" s="25" t="str">
        <f t="shared" si="77"/>
        <v>-</v>
      </c>
      <c r="V777" s="26" t="str">
        <f t="shared" si="78"/>
        <v>-</v>
      </c>
      <c r="X777" s="26" t="str">
        <f t="shared" si="75"/>
        <v>-</v>
      </c>
    </row>
    <row r="778" spans="1:24" x14ac:dyDescent="0.3">
      <c r="A778" s="37">
        <v>87614113395</v>
      </c>
      <c r="B778" s="8" t="s">
        <v>149</v>
      </c>
      <c r="C778" s="10" t="s">
        <v>150</v>
      </c>
      <c r="D778" s="11" t="s">
        <v>882</v>
      </c>
      <c r="E778" s="11" t="s">
        <v>960</v>
      </c>
      <c r="F778" s="9">
        <v>30</v>
      </c>
      <c r="G778" s="9">
        <v>90</v>
      </c>
      <c r="H778" s="9" t="s">
        <v>868</v>
      </c>
      <c r="I778" s="9">
        <v>36</v>
      </c>
      <c r="J778" s="9">
        <v>60</v>
      </c>
      <c r="K778" s="9" t="s">
        <v>873</v>
      </c>
      <c r="L778" s="27">
        <v>7.3775000000000007E-2</v>
      </c>
      <c r="M778" s="28" t="s">
        <v>3203</v>
      </c>
      <c r="N778" s="17">
        <v>4.5015809999999998</v>
      </c>
      <c r="O778" s="1"/>
      <c r="P778" s="38">
        <f t="shared" si="73"/>
        <v>0</v>
      </c>
      <c r="S778" s="24" t="str">
        <f t="shared" si="76"/>
        <v>-</v>
      </c>
      <c r="T778" s="24" t="str">
        <f t="shared" si="74"/>
        <v>-</v>
      </c>
      <c r="U778" s="25" t="str">
        <f t="shared" si="77"/>
        <v>-</v>
      </c>
      <c r="V778" s="26" t="str">
        <f t="shared" si="78"/>
        <v>-</v>
      </c>
      <c r="X778" s="26" t="str">
        <f t="shared" si="75"/>
        <v>-</v>
      </c>
    </row>
    <row r="779" spans="1:24" x14ac:dyDescent="0.3">
      <c r="A779" s="37">
        <v>87614113449</v>
      </c>
      <c r="B779" s="8" t="s">
        <v>1379</v>
      </c>
      <c r="C779" s="10" t="s">
        <v>2159</v>
      </c>
      <c r="D779" s="11" t="s">
        <v>875</v>
      </c>
      <c r="E779" s="11" t="s">
        <v>935</v>
      </c>
      <c r="F779" s="9">
        <v>30</v>
      </c>
      <c r="G779" s="9">
        <v>90</v>
      </c>
      <c r="H779" s="9" t="s">
        <v>868</v>
      </c>
      <c r="I779" s="9">
        <v>36</v>
      </c>
      <c r="J779" s="9">
        <v>60</v>
      </c>
      <c r="K779" s="9" t="s">
        <v>873</v>
      </c>
      <c r="L779" s="27">
        <v>8.2854999999999998E-2</v>
      </c>
      <c r="M779" s="28" t="s">
        <v>3203</v>
      </c>
      <c r="N779" s="17">
        <v>4.8338010000000002</v>
      </c>
      <c r="O779" s="1"/>
      <c r="P779" s="38">
        <f t="shared" si="73"/>
        <v>0</v>
      </c>
      <c r="S779" s="24" t="str">
        <f t="shared" si="76"/>
        <v>-</v>
      </c>
      <c r="T779" s="24" t="str">
        <f t="shared" si="74"/>
        <v>-</v>
      </c>
      <c r="U779" s="25" t="str">
        <f t="shared" si="77"/>
        <v>-</v>
      </c>
      <c r="V779" s="26" t="str">
        <f t="shared" si="78"/>
        <v>-</v>
      </c>
      <c r="X779" s="26" t="str">
        <f t="shared" si="75"/>
        <v>-</v>
      </c>
    </row>
    <row r="780" spans="1:24" x14ac:dyDescent="0.3">
      <c r="A780" s="37">
        <v>87614113586</v>
      </c>
      <c r="B780" s="8" t="s">
        <v>1539</v>
      </c>
      <c r="C780" s="10" t="s">
        <v>2300</v>
      </c>
      <c r="D780" s="11" t="s">
        <v>899</v>
      </c>
      <c r="E780" s="11" t="s">
        <v>2827</v>
      </c>
      <c r="F780" s="9">
        <v>30</v>
      </c>
      <c r="G780" s="9">
        <v>90</v>
      </c>
      <c r="H780" s="9" t="s">
        <v>868</v>
      </c>
      <c r="I780" s="9">
        <v>36</v>
      </c>
      <c r="J780" s="9">
        <v>60</v>
      </c>
      <c r="K780" s="9" t="s">
        <v>873</v>
      </c>
      <c r="L780" s="27">
        <v>4.9939999999999998E-2</v>
      </c>
      <c r="M780" s="28" t="s">
        <v>3203</v>
      </c>
      <c r="N780" s="17">
        <v>7.1759519999999997</v>
      </c>
      <c r="O780" s="1"/>
      <c r="P780" s="38">
        <f t="shared" si="73"/>
        <v>0</v>
      </c>
      <c r="S780" s="24" t="str">
        <f t="shared" si="76"/>
        <v>-</v>
      </c>
      <c r="T780" s="24" t="str">
        <f t="shared" si="74"/>
        <v>-</v>
      </c>
      <c r="U780" s="25" t="str">
        <f t="shared" si="77"/>
        <v>-</v>
      </c>
      <c r="V780" s="26" t="str">
        <f t="shared" si="78"/>
        <v>-</v>
      </c>
      <c r="X780" s="26" t="str">
        <f t="shared" si="75"/>
        <v>-</v>
      </c>
    </row>
    <row r="781" spans="1:24" x14ac:dyDescent="0.3">
      <c r="A781" s="37">
        <v>87614113678</v>
      </c>
      <c r="B781" s="8" t="s">
        <v>168</v>
      </c>
      <c r="C781" s="10" t="s">
        <v>169</v>
      </c>
      <c r="D781" s="11" t="s">
        <v>872</v>
      </c>
      <c r="E781" s="11" t="s">
        <v>913</v>
      </c>
      <c r="F781" s="9">
        <v>16</v>
      </c>
      <c r="G781" s="9">
        <v>48</v>
      </c>
      <c r="H781" s="9" t="s">
        <v>868</v>
      </c>
      <c r="I781" s="9">
        <v>24</v>
      </c>
      <c r="J781" s="9">
        <v>120</v>
      </c>
      <c r="K781" s="9" t="s">
        <v>873</v>
      </c>
      <c r="L781" s="27">
        <v>0.13847000000000001</v>
      </c>
      <c r="M781" s="28" t="s">
        <v>3203</v>
      </c>
      <c r="N781" s="17">
        <v>10.597817999999998</v>
      </c>
      <c r="O781" s="1"/>
      <c r="P781" s="38">
        <f t="shared" si="73"/>
        <v>0</v>
      </c>
      <c r="S781" s="24" t="str">
        <f t="shared" si="76"/>
        <v>-</v>
      </c>
      <c r="T781" s="24" t="str">
        <f t="shared" si="74"/>
        <v>-</v>
      </c>
      <c r="U781" s="25" t="str">
        <f t="shared" si="77"/>
        <v>-</v>
      </c>
      <c r="V781" s="26" t="str">
        <f t="shared" si="78"/>
        <v>-</v>
      </c>
      <c r="X781" s="26" t="str">
        <f t="shared" si="75"/>
        <v>-</v>
      </c>
    </row>
    <row r="782" spans="1:24" x14ac:dyDescent="0.3">
      <c r="A782" s="37">
        <v>87614113685</v>
      </c>
      <c r="B782" s="8" t="s">
        <v>170</v>
      </c>
      <c r="C782" s="10" t="s">
        <v>171</v>
      </c>
      <c r="D782" s="11" t="s">
        <v>870</v>
      </c>
      <c r="E782" s="11" t="s">
        <v>871</v>
      </c>
      <c r="F782" s="9">
        <v>48</v>
      </c>
      <c r="G782" s="9">
        <v>48</v>
      </c>
      <c r="H782" s="9" t="s">
        <v>868</v>
      </c>
      <c r="I782" s="9">
        <v>24</v>
      </c>
      <c r="J782" s="9">
        <v>1</v>
      </c>
      <c r="K782" s="9" t="s">
        <v>887</v>
      </c>
      <c r="L782" s="27">
        <v>0.13392999999999999</v>
      </c>
      <c r="M782" s="28" t="s">
        <v>3203</v>
      </c>
      <c r="N782" s="17">
        <v>9.1028280000000006</v>
      </c>
      <c r="O782" s="1"/>
      <c r="P782" s="38">
        <f t="shared" si="73"/>
        <v>0</v>
      </c>
      <c r="S782" s="24" t="str">
        <f t="shared" si="76"/>
        <v>-</v>
      </c>
      <c r="T782" s="24" t="str">
        <f t="shared" si="74"/>
        <v>-</v>
      </c>
      <c r="U782" s="25" t="str">
        <f t="shared" si="77"/>
        <v>-</v>
      </c>
      <c r="V782" s="26" t="str">
        <f t="shared" si="78"/>
        <v>-</v>
      </c>
      <c r="X782" s="26" t="str">
        <f t="shared" si="75"/>
        <v>-</v>
      </c>
    </row>
    <row r="783" spans="1:24" x14ac:dyDescent="0.3">
      <c r="A783" s="37">
        <v>87614113708</v>
      </c>
      <c r="B783" s="8" t="s">
        <v>1380</v>
      </c>
      <c r="C783" s="10" t="s">
        <v>2160</v>
      </c>
      <c r="D783" s="11" t="s">
        <v>881</v>
      </c>
      <c r="E783" s="11" t="s">
        <v>986</v>
      </c>
      <c r="F783" s="9">
        <v>48</v>
      </c>
      <c r="G783" s="9">
        <v>192</v>
      </c>
      <c r="H783" s="9" t="s">
        <v>868</v>
      </c>
      <c r="I783" s="9">
        <v>36</v>
      </c>
      <c r="J783" s="9">
        <v>60</v>
      </c>
      <c r="K783" s="9" t="s">
        <v>873</v>
      </c>
      <c r="L783" s="27">
        <v>2.6105E-2</v>
      </c>
      <c r="M783" s="28" t="s">
        <v>3203</v>
      </c>
      <c r="N783" s="17">
        <v>9.5513249999999985</v>
      </c>
      <c r="O783" s="1"/>
      <c r="P783" s="38">
        <f t="shared" si="73"/>
        <v>0</v>
      </c>
      <c r="S783" s="24" t="str">
        <f t="shared" si="76"/>
        <v>-</v>
      </c>
      <c r="T783" s="24" t="str">
        <f t="shared" si="74"/>
        <v>-</v>
      </c>
      <c r="U783" s="25" t="str">
        <f t="shared" si="77"/>
        <v>-</v>
      </c>
      <c r="V783" s="26" t="str">
        <f t="shared" si="78"/>
        <v>-</v>
      </c>
      <c r="X783" s="26" t="str">
        <f t="shared" si="75"/>
        <v>-</v>
      </c>
    </row>
    <row r="784" spans="1:24" x14ac:dyDescent="0.3">
      <c r="A784" s="37">
        <v>87614113784</v>
      </c>
      <c r="B784" s="8" t="s">
        <v>1250</v>
      </c>
      <c r="C784" s="10" t="s">
        <v>2052</v>
      </c>
      <c r="D784" s="11" t="s">
        <v>885</v>
      </c>
      <c r="E784" s="11" t="s">
        <v>934</v>
      </c>
      <c r="F784" s="9">
        <v>30</v>
      </c>
      <c r="G784" s="9">
        <v>90</v>
      </c>
      <c r="H784" s="9" t="s">
        <v>868</v>
      </c>
      <c r="I784" s="9">
        <v>36</v>
      </c>
      <c r="J784" s="9">
        <v>60</v>
      </c>
      <c r="K784" s="9" t="s">
        <v>873</v>
      </c>
      <c r="L784" s="27">
        <v>6.583E-2</v>
      </c>
      <c r="M784" s="28" t="s">
        <v>3203</v>
      </c>
      <c r="N784" s="17">
        <v>3.3720329999999996</v>
      </c>
      <c r="O784" s="1"/>
      <c r="P784" s="38">
        <f t="shared" si="73"/>
        <v>0</v>
      </c>
      <c r="S784" s="24" t="str">
        <f t="shared" si="76"/>
        <v>-</v>
      </c>
      <c r="T784" s="24" t="str">
        <f t="shared" si="74"/>
        <v>-</v>
      </c>
      <c r="U784" s="25" t="str">
        <f t="shared" si="77"/>
        <v>-</v>
      </c>
      <c r="V784" s="26" t="str">
        <f t="shared" si="78"/>
        <v>-</v>
      </c>
      <c r="X784" s="26" t="str">
        <f t="shared" si="75"/>
        <v>-</v>
      </c>
    </row>
    <row r="785" spans="1:24" x14ac:dyDescent="0.3">
      <c r="A785" s="37">
        <v>87614113807</v>
      </c>
      <c r="B785" s="8" t="s">
        <v>1541</v>
      </c>
      <c r="C785" s="10" t="s">
        <v>2302</v>
      </c>
      <c r="D785" s="11" t="s">
        <v>879</v>
      </c>
      <c r="E785" s="11" t="s">
        <v>988</v>
      </c>
      <c r="F785" s="9">
        <v>30</v>
      </c>
      <c r="G785" s="9">
        <v>90</v>
      </c>
      <c r="H785" s="9" t="s">
        <v>868</v>
      </c>
      <c r="I785" s="9">
        <v>24</v>
      </c>
      <c r="J785" s="9">
        <v>90</v>
      </c>
      <c r="K785" s="9" t="s">
        <v>873</v>
      </c>
      <c r="L785" s="27">
        <v>8.6260000000000003E-2</v>
      </c>
      <c r="M785" s="28" t="s">
        <v>3203</v>
      </c>
      <c r="N785" s="17">
        <v>7.1925629999999998</v>
      </c>
      <c r="O785" s="1"/>
      <c r="P785" s="38">
        <f t="shared" si="73"/>
        <v>0</v>
      </c>
      <c r="S785" s="24" t="str">
        <f t="shared" si="76"/>
        <v>-</v>
      </c>
      <c r="T785" s="24" t="str">
        <f t="shared" si="74"/>
        <v>-</v>
      </c>
      <c r="U785" s="25" t="str">
        <f t="shared" si="77"/>
        <v>-</v>
      </c>
      <c r="V785" s="26" t="str">
        <f t="shared" si="78"/>
        <v>-</v>
      </c>
      <c r="X785" s="26" t="str">
        <f t="shared" si="75"/>
        <v>-</v>
      </c>
    </row>
    <row r="786" spans="1:24" x14ac:dyDescent="0.3">
      <c r="A786" s="37">
        <v>87614114095</v>
      </c>
      <c r="B786" s="8" t="s">
        <v>185</v>
      </c>
      <c r="C786" s="10" t="s">
        <v>186</v>
      </c>
      <c r="D786" s="11" t="s">
        <v>874</v>
      </c>
      <c r="E786" s="11" t="s">
        <v>914</v>
      </c>
      <c r="F786" s="9">
        <v>15</v>
      </c>
      <c r="G786" s="9">
        <v>30</v>
      </c>
      <c r="H786" s="9" t="s">
        <v>868</v>
      </c>
      <c r="I786" s="9">
        <v>36</v>
      </c>
      <c r="J786" s="9">
        <v>90</v>
      </c>
      <c r="K786" s="9" t="s">
        <v>869</v>
      </c>
      <c r="L786" s="27">
        <v>0.25310500000000002</v>
      </c>
      <c r="M786" s="28" t="s">
        <v>3203</v>
      </c>
      <c r="N786" s="17">
        <v>8.1726119999999991</v>
      </c>
      <c r="O786" s="1"/>
      <c r="P786" s="38">
        <f t="shared" si="73"/>
        <v>0</v>
      </c>
      <c r="S786" s="24" t="str">
        <f t="shared" si="76"/>
        <v>-</v>
      </c>
      <c r="T786" s="24" t="str">
        <f t="shared" si="74"/>
        <v>-</v>
      </c>
      <c r="U786" s="25" t="str">
        <f t="shared" si="77"/>
        <v>-</v>
      </c>
      <c r="V786" s="26" t="str">
        <f t="shared" si="78"/>
        <v>-</v>
      </c>
      <c r="X786" s="26" t="str">
        <f t="shared" si="75"/>
        <v>-</v>
      </c>
    </row>
    <row r="787" spans="1:24" x14ac:dyDescent="0.3">
      <c r="A787" s="37">
        <v>87614011417</v>
      </c>
      <c r="B787" s="8" t="s">
        <v>1309</v>
      </c>
      <c r="C787" s="10" t="s">
        <v>2094</v>
      </c>
      <c r="D787" s="11" t="s">
        <v>866</v>
      </c>
      <c r="E787" s="11" t="s">
        <v>974</v>
      </c>
      <c r="F787" s="9">
        <v>16</v>
      </c>
      <c r="G787" s="9">
        <v>48</v>
      </c>
      <c r="H787" s="9" t="s">
        <v>868</v>
      </c>
      <c r="I787" s="9">
        <v>24</v>
      </c>
      <c r="J787" s="9">
        <v>250</v>
      </c>
      <c r="K787" s="9" t="s">
        <v>869</v>
      </c>
      <c r="L787" s="27">
        <v>0.21565000000000001</v>
      </c>
      <c r="M787" s="28" t="s">
        <v>3203</v>
      </c>
      <c r="N787" s="17">
        <v>21.311913000000001</v>
      </c>
      <c r="O787" s="1"/>
      <c r="P787" s="38">
        <f t="shared" si="73"/>
        <v>0</v>
      </c>
      <c r="S787" s="24" t="str">
        <f t="shared" si="76"/>
        <v>-</v>
      </c>
      <c r="T787" s="24" t="str">
        <f t="shared" si="74"/>
        <v>-</v>
      </c>
      <c r="U787" s="25" t="str">
        <f t="shared" si="77"/>
        <v>-</v>
      </c>
      <c r="V787" s="26" t="str">
        <f t="shared" si="78"/>
        <v>-</v>
      </c>
      <c r="X787" s="26" t="str">
        <f t="shared" si="75"/>
        <v>-</v>
      </c>
    </row>
    <row r="788" spans="1:24" x14ac:dyDescent="0.3">
      <c r="A788" s="37">
        <v>87614114125</v>
      </c>
      <c r="B788" s="8" t="s">
        <v>1310</v>
      </c>
      <c r="C788" s="10" t="s">
        <v>2095</v>
      </c>
      <c r="D788" s="11" t="s">
        <v>883</v>
      </c>
      <c r="E788" s="11" t="s">
        <v>938</v>
      </c>
      <c r="F788" s="9">
        <v>30</v>
      </c>
      <c r="G788" s="9">
        <v>90</v>
      </c>
      <c r="H788" s="9" t="s">
        <v>868</v>
      </c>
      <c r="I788" s="9">
        <v>24</v>
      </c>
      <c r="J788" s="9">
        <v>60</v>
      </c>
      <c r="K788" s="9" t="s">
        <v>873</v>
      </c>
      <c r="L788" s="27">
        <v>6.583E-2</v>
      </c>
      <c r="M788" s="28" t="s">
        <v>3203</v>
      </c>
      <c r="N788" s="17">
        <v>5.7640169999999999</v>
      </c>
      <c r="O788" s="1"/>
      <c r="P788" s="38">
        <f t="shared" si="73"/>
        <v>0</v>
      </c>
      <c r="S788" s="24" t="str">
        <f t="shared" si="76"/>
        <v>-</v>
      </c>
      <c r="T788" s="24" t="str">
        <f t="shared" si="74"/>
        <v>-</v>
      </c>
      <c r="U788" s="25" t="str">
        <f t="shared" si="77"/>
        <v>-</v>
      </c>
      <c r="V788" s="26" t="str">
        <f t="shared" si="78"/>
        <v>-</v>
      </c>
      <c r="X788" s="26" t="str">
        <f t="shared" si="75"/>
        <v>-</v>
      </c>
    </row>
    <row r="789" spans="1:24" x14ac:dyDescent="0.3">
      <c r="A789" s="37">
        <v>87614114149</v>
      </c>
      <c r="B789" s="8" t="s">
        <v>1384</v>
      </c>
      <c r="C789" s="10" t="s">
        <v>2164</v>
      </c>
      <c r="D789" s="11" t="s">
        <v>878</v>
      </c>
      <c r="E789" s="11" t="s">
        <v>1081</v>
      </c>
      <c r="F789" s="9">
        <v>30</v>
      </c>
      <c r="G789" s="9">
        <v>90</v>
      </c>
      <c r="H789" s="9" t="s">
        <v>868</v>
      </c>
      <c r="I789" s="9">
        <v>36</v>
      </c>
      <c r="J789" s="9">
        <v>60</v>
      </c>
      <c r="K789" s="9" t="s">
        <v>873</v>
      </c>
      <c r="L789" s="27">
        <v>6.1289999999999997E-2</v>
      </c>
      <c r="M789" s="28" t="s">
        <v>3203</v>
      </c>
      <c r="N789" s="17">
        <v>3.9368069999999999</v>
      </c>
      <c r="O789" s="1"/>
      <c r="P789" s="38">
        <f t="shared" si="73"/>
        <v>0</v>
      </c>
      <c r="S789" s="24" t="str">
        <f t="shared" si="76"/>
        <v>-</v>
      </c>
      <c r="T789" s="24" t="str">
        <f t="shared" si="74"/>
        <v>-</v>
      </c>
      <c r="U789" s="25" t="str">
        <f t="shared" si="77"/>
        <v>-</v>
      </c>
      <c r="V789" s="26" t="str">
        <f t="shared" si="78"/>
        <v>-</v>
      </c>
      <c r="X789" s="26" t="str">
        <f t="shared" si="75"/>
        <v>-</v>
      </c>
    </row>
    <row r="790" spans="1:24" x14ac:dyDescent="0.3">
      <c r="A790" s="37">
        <v>87614114279</v>
      </c>
      <c r="B790" s="8" t="s">
        <v>198</v>
      </c>
      <c r="C790" s="10" t="s">
        <v>2680</v>
      </c>
      <c r="D790" s="11" t="s">
        <v>879</v>
      </c>
      <c r="E790" s="11" t="s">
        <v>990</v>
      </c>
      <c r="F790" s="9">
        <v>30</v>
      </c>
      <c r="G790" s="9">
        <v>90</v>
      </c>
      <c r="H790" s="9" t="s">
        <v>868</v>
      </c>
      <c r="I790" s="9">
        <v>24</v>
      </c>
      <c r="J790" s="9">
        <v>90</v>
      </c>
      <c r="K790" s="9" t="s">
        <v>2903</v>
      </c>
      <c r="L790" s="27">
        <v>7.7180000000000012E-2</v>
      </c>
      <c r="M790" s="28" t="s">
        <v>3203</v>
      </c>
      <c r="N790" s="17">
        <v>5.8304609999999997</v>
      </c>
      <c r="O790" s="1"/>
      <c r="P790" s="38">
        <f t="shared" si="73"/>
        <v>0</v>
      </c>
      <c r="S790" s="24" t="str">
        <f t="shared" si="76"/>
        <v>-</v>
      </c>
      <c r="T790" s="24" t="str">
        <f t="shared" si="74"/>
        <v>-</v>
      </c>
      <c r="U790" s="25" t="str">
        <f t="shared" si="77"/>
        <v>-</v>
      </c>
      <c r="V790" s="26" t="str">
        <f t="shared" si="78"/>
        <v>-</v>
      </c>
      <c r="X790" s="26" t="str">
        <f t="shared" si="75"/>
        <v>-</v>
      </c>
    </row>
    <row r="791" spans="1:24" x14ac:dyDescent="0.3">
      <c r="A791" s="37">
        <v>87614114392</v>
      </c>
      <c r="B791" s="8" t="s">
        <v>1385</v>
      </c>
      <c r="C791" s="10" t="s">
        <v>2165</v>
      </c>
      <c r="D791" s="11" t="s">
        <v>866</v>
      </c>
      <c r="E791" s="11" t="s">
        <v>974</v>
      </c>
      <c r="F791" s="9">
        <v>20</v>
      </c>
      <c r="G791" s="9">
        <v>60</v>
      </c>
      <c r="H791" s="9" t="s">
        <v>868</v>
      </c>
      <c r="I791" s="9">
        <v>24</v>
      </c>
      <c r="J791" s="9">
        <v>60</v>
      </c>
      <c r="K791" s="9" t="s">
        <v>869</v>
      </c>
      <c r="L791" s="27">
        <v>0.13847000000000001</v>
      </c>
      <c r="M791" s="28" t="s">
        <v>3203</v>
      </c>
      <c r="N791" s="17">
        <v>8.1061680000000003</v>
      </c>
      <c r="O791" s="1"/>
      <c r="P791" s="38">
        <f t="shared" si="73"/>
        <v>0</v>
      </c>
      <c r="S791" s="24" t="str">
        <f t="shared" si="76"/>
        <v>-</v>
      </c>
      <c r="T791" s="24" t="str">
        <f t="shared" si="74"/>
        <v>-</v>
      </c>
      <c r="U791" s="25" t="str">
        <f t="shared" si="77"/>
        <v>-</v>
      </c>
      <c r="V791" s="26" t="str">
        <f t="shared" si="78"/>
        <v>-</v>
      </c>
      <c r="X791" s="26" t="str">
        <f t="shared" si="75"/>
        <v>-</v>
      </c>
    </row>
    <row r="792" spans="1:24" x14ac:dyDescent="0.3">
      <c r="A792" s="37">
        <v>87614114965</v>
      </c>
      <c r="B792" s="8" t="s">
        <v>1392</v>
      </c>
      <c r="C792" s="10" t="s">
        <v>2172</v>
      </c>
      <c r="D792" s="11" t="s">
        <v>879</v>
      </c>
      <c r="E792" s="11" t="s">
        <v>990</v>
      </c>
      <c r="F792" s="9">
        <v>30</v>
      </c>
      <c r="G792" s="9">
        <v>90</v>
      </c>
      <c r="H792" s="9" t="s">
        <v>868</v>
      </c>
      <c r="I792" s="9">
        <v>36</v>
      </c>
      <c r="J792" s="9">
        <v>60</v>
      </c>
      <c r="K792" s="9" t="s">
        <v>873</v>
      </c>
      <c r="L792" s="27">
        <v>5.9019999999999996E-2</v>
      </c>
      <c r="M792" s="28" t="s">
        <v>3203</v>
      </c>
      <c r="N792" s="17">
        <v>3.4052549999999999</v>
      </c>
      <c r="O792" s="1"/>
      <c r="P792" s="38">
        <f t="shared" si="73"/>
        <v>0</v>
      </c>
      <c r="S792" s="24" t="str">
        <f t="shared" si="76"/>
        <v>-</v>
      </c>
      <c r="T792" s="24" t="str">
        <f t="shared" si="74"/>
        <v>-</v>
      </c>
      <c r="U792" s="25" t="str">
        <f t="shared" si="77"/>
        <v>-</v>
      </c>
      <c r="V792" s="26" t="str">
        <f t="shared" si="78"/>
        <v>-</v>
      </c>
      <c r="X792" s="26" t="str">
        <f t="shared" si="75"/>
        <v>-</v>
      </c>
    </row>
    <row r="793" spans="1:24" x14ac:dyDescent="0.3">
      <c r="A793" s="37">
        <v>87614115221</v>
      </c>
      <c r="B793" s="8" t="s">
        <v>1394</v>
      </c>
      <c r="C793" s="10" t="s">
        <v>2174</v>
      </c>
      <c r="D793" s="11" t="s">
        <v>878</v>
      </c>
      <c r="E793" s="11" t="s">
        <v>994</v>
      </c>
      <c r="F793" s="9">
        <v>30</v>
      </c>
      <c r="G793" s="9">
        <v>90</v>
      </c>
      <c r="H793" s="9" t="s">
        <v>868</v>
      </c>
      <c r="I793" s="9">
        <v>36</v>
      </c>
      <c r="J793" s="9">
        <v>60</v>
      </c>
      <c r="K793" s="9" t="s">
        <v>873</v>
      </c>
      <c r="L793" s="27">
        <v>6.4695000000000003E-2</v>
      </c>
      <c r="M793" s="28" t="s">
        <v>3203</v>
      </c>
      <c r="N793" s="17">
        <v>5.6975730000000002</v>
      </c>
      <c r="O793" s="1"/>
      <c r="P793" s="38">
        <f t="shared" si="73"/>
        <v>0</v>
      </c>
      <c r="S793" s="24" t="str">
        <f t="shared" si="76"/>
        <v>-</v>
      </c>
      <c r="T793" s="24" t="str">
        <f t="shared" si="74"/>
        <v>-</v>
      </c>
      <c r="U793" s="25" t="str">
        <f t="shared" si="77"/>
        <v>-</v>
      </c>
      <c r="V793" s="26" t="str">
        <f t="shared" si="78"/>
        <v>-</v>
      </c>
      <c r="X793" s="26" t="str">
        <f t="shared" si="75"/>
        <v>-</v>
      </c>
    </row>
    <row r="794" spans="1:24" x14ac:dyDescent="0.3">
      <c r="A794" s="37">
        <v>87614115245</v>
      </c>
      <c r="B794" s="8" t="s">
        <v>1900</v>
      </c>
      <c r="C794" s="10" t="s">
        <v>2624</v>
      </c>
      <c r="D794" s="11" t="s">
        <v>882</v>
      </c>
      <c r="E794" s="11" t="s">
        <v>960</v>
      </c>
      <c r="F794" s="9">
        <v>30</v>
      </c>
      <c r="G794" s="9">
        <v>90</v>
      </c>
      <c r="H794" s="9" t="s">
        <v>868</v>
      </c>
      <c r="I794" s="9">
        <v>36</v>
      </c>
      <c r="J794" s="9">
        <v>60</v>
      </c>
      <c r="K794" s="9" t="s">
        <v>889</v>
      </c>
      <c r="L794" s="27">
        <v>6.583E-2</v>
      </c>
      <c r="M794" s="28" t="s">
        <v>3203</v>
      </c>
      <c r="N794" s="17">
        <v>10.066266000000001</v>
      </c>
      <c r="O794" s="1"/>
      <c r="P794" s="38">
        <f t="shared" si="73"/>
        <v>0</v>
      </c>
      <c r="S794" s="24" t="str">
        <f t="shared" si="76"/>
        <v>-</v>
      </c>
      <c r="T794" s="24" t="str">
        <f t="shared" si="74"/>
        <v>-</v>
      </c>
      <c r="U794" s="25" t="str">
        <f t="shared" si="77"/>
        <v>-</v>
      </c>
      <c r="V794" s="26" t="str">
        <f t="shared" si="78"/>
        <v>-</v>
      </c>
      <c r="X794" s="26" t="str">
        <f t="shared" si="75"/>
        <v>-</v>
      </c>
    </row>
    <row r="795" spans="1:24" x14ac:dyDescent="0.3">
      <c r="A795" s="37">
        <v>87614115719</v>
      </c>
      <c r="B795" s="8" t="s">
        <v>1214</v>
      </c>
      <c r="C795" s="10" t="s">
        <v>2028</v>
      </c>
      <c r="D795" s="11" t="s">
        <v>883</v>
      </c>
      <c r="E795" s="11" t="s">
        <v>938</v>
      </c>
      <c r="F795" s="9">
        <v>30</v>
      </c>
      <c r="G795" s="9">
        <v>90</v>
      </c>
      <c r="H795" s="9" t="s">
        <v>868</v>
      </c>
      <c r="I795" s="9">
        <v>36</v>
      </c>
      <c r="J795" s="9">
        <v>60</v>
      </c>
      <c r="K795" s="9" t="s">
        <v>873</v>
      </c>
      <c r="L795" s="27">
        <v>7.831500000000001E-2</v>
      </c>
      <c r="M795" s="28" t="s">
        <v>3203</v>
      </c>
      <c r="N795" s="17">
        <v>7.9068360000000002</v>
      </c>
      <c r="O795" s="1"/>
      <c r="P795" s="38">
        <f t="shared" si="73"/>
        <v>0</v>
      </c>
      <c r="S795" s="24" t="str">
        <f t="shared" si="76"/>
        <v>-</v>
      </c>
      <c r="T795" s="24" t="str">
        <f t="shared" si="74"/>
        <v>-</v>
      </c>
      <c r="U795" s="25" t="str">
        <f t="shared" si="77"/>
        <v>-</v>
      </c>
      <c r="V795" s="26" t="str">
        <f t="shared" si="78"/>
        <v>-</v>
      </c>
      <c r="X795" s="26" t="str">
        <f t="shared" si="75"/>
        <v>-</v>
      </c>
    </row>
    <row r="796" spans="1:24" x14ac:dyDescent="0.3">
      <c r="A796" s="37">
        <v>87614115818</v>
      </c>
      <c r="B796" s="8" t="s">
        <v>1071</v>
      </c>
      <c r="C796" s="10" t="s">
        <v>1072</v>
      </c>
      <c r="D796" s="11" t="s">
        <v>886</v>
      </c>
      <c r="E796" s="11" t="s">
        <v>952</v>
      </c>
      <c r="F796" s="9">
        <v>30</v>
      </c>
      <c r="G796" s="9">
        <v>90</v>
      </c>
      <c r="H796" s="9" t="s">
        <v>868</v>
      </c>
      <c r="I796" s="9">
        <v>36</v>
      </c>
      <c r="J796" s="9">
        <v>60</v>
      </c>
      <c r="K796" s="9" t="s">
        <v>873</v>
      </c>
      <c r="L796" s="27">
        <v>6.583E-2</v>
      </c>
      <c r="M796" s="28" t="s">
        <v>3203</v>
      </c>
      <c r="N796" s="17">
        <v>4.7175240000000001</v>
      </c>
      <c r="O796" s="1"/>
      <c r="P796" s="38">
        <f t="shared" si="73"/>
        <v>0</v>
      </c>
      <c r="S796" s="24" t="str">
        <f t="shared" si="76"/>
        <v>-</v>
      </c>
      <c r="T796" s="24" t="str">
        <f t="shared" si="74"/>
        <v>-</v>
      </c>
      <c r="U796" s="25" t="str">
        <f t="shared" si="77"/>
        <v>-</v>
      </c>
      <c r="V796" s="26" t="str">
        <f t="shared" si="78"/>
        <v>-</v>
      </c>
      <c r="X796" s="26" t="str">
        <f t="shared" si="75"/>
        <v>-</v>
      </c>
    </row>
    <row r="797" spans="1:24" x14ac:dyDescent="0.3">
      <c r="A797" s="37">
        <v>87614115917</v>
      </c>
      <c r="B797" s="8" t="s">
        <v>1186</v>
      </c>
      <c r="C797" s="10" t="s">
        <v>2004</v>
      </c>
      <c r="D797" s="11" t="s">
        <v>897</v>
      </c>
      <c r="E797" s="11" t="s">
        <v>2837</v>
      </c>
      <c r="F797" s="9">
        <v>30</v>
      </c>
      <c r="G797" s="9">
        <v>90</v>
      </c>
      <c r="H797" s="9" t="s">
        <v>868</v>
      </c>
      <c r="I797" s="9">
        <v>18</v>
      </c>
      <c r="J797" s="9">
        <v>60</v>
      </c>
      <c r="K797" s="9" t="s">
        <v>873</v>
      </c>
      <c r="L797" s="27">
        <v>9.7609999999999988E-2</v>
      </c>
      <c r="M797" s="28" t="s">
        <v>3203</v>
      </c>
      <c r="N797" s="17">
        <v>5.2656869999999998</v>
      </c>
      <c r="O797" s="1"/>
      <c r="P797" s="38">
        <f t="shared" si="73"/>
        <v>0</v>
      </c>
      <c r="S797" s="24" t="str">
        <f t="shared" si="76"/>
        <v>-</v>
      </c>
      <c r="T797" s="24" t="str">
        <f t="shared" si="74"/>
        <v>-</v>
      </c>
      <c r="U797" s="25" t="str">
        <f t="shared" si="77"/>
        <v>-</v>
      </c>
      <c r="V797" s="26" t="str">
        <f t="shared" si="78"/>
        <v>-</v>
      </c>
      <c r="X797" s="26" t="str">
        <f t="shared" si="75"/>
        <v>-</v>
      </c>
    </row>
    <row r="798" spans="1:24" x14ac:dyDescent="0.3">
      <c r="A798" s="37">
        <v>87614116013</v>
      </c>
      <c r="B798" s="8" t="s">
        <v>1314</v>
      </c>
      <c r="C798" s="10" t="s">
        <v>2099</v>
      </c>
      <c r="D798" s="11" t="s">
        <v>872</v>
      </c>
      <c r="E798" s="11" t="s">
        <v>1115</v>
      </c>
      <c r="F798" s="9">
        <v>20</v>
      </c>
      <c r="G798" s="9">
        <v>60</v>
      </c>
      <c r="H798" s="9" t="s">
        <v>868</v>
      </c>
      <c r="I798" s="9">
        <v>36</v>
      </c>
      <c r="J798" s="9">
        <v>100</v>
      </c>
      <c r="K798" s="9" t="s">
        <v>869</v>
      </c>
      <c r="L798" s="27">
        <v>0.17024999999999998</v>
      </c>
      <c r="M798" s="28" t="s">
        <v>3203</v>
      </c>
      <c r="N798" s="17">
        <v>13.920018000000001</v>
      </c>
      <c r="O798" s="1"/>
      <c r="P798" s="38">
        <f t="shared" si="73"/>
        <v>0</v>
      </c>
      <c r="S798" s="24" t="str">
        <f t="shared" si="76"/>
        <v>-</v>
      </c>
      <c r="T798" s="24" t="str">
        <f t="shared" si="74"/>
        <v>-</v>
      </c>
      <c r="U798" s="25" t="str">
        <f t="shared" si="77"/>
        <v>-</v>
      </c>
      <c r="V798" s="26" t="str">
        <f t="shared" si="78"/>
        <v>-</v>
      </c>
      <c r="X798" s="26" t="str">
        <f t="shared" si="75"/>
        <v>-</v>
      </c>
    </row>
    <row r="799" spans="1:24" x14ac:dyDescent="0.3">
      <c r="A799" s="37">
        <v>87614116181</v>
      </c>
      <c r="B799" s="8" t="s">
        <v>1576</v>
      </c>
      <c r="C799" s="10" t="s">
        <v>2337</v>
      </c>
      <c r="D799" s="11" t="s">
        <v>866</v>
      </c>
      <c r="E799" s="11" t="s">
        <v>2821</v>
      </c>
      <c r="F799" s="9">
        <v>30</v>
      </c>
      <c r="G799" s="9">
        <v>90</v>
      </c>
      <c r="H799" s="9" t="s">
        <v>868</v>
      </c>
      <c r="I799" s="9">
        <v>36</v>
      </c>
      <c r="J799" s="9">
        <v>60</v>
      </c>
      <c r="K799" s="9" t="s">
        <v>873</v>
      </c>
      <c r="L799" s="27">
        <v>6.2425000000000001E-2</v>
      </c>
      <c r="M799" s="28" t="s">
        <v>3203</v>
      </c>
      <c r="N799" s="17">
        <v>16.378446</v>
      </c>
      <c r="O799" s="1"/>
      <c r="P799" s="38">
        <f t="shared" si="73"/>
        <v>0</v>
      </c>
      <c r="S799" s="24" t="str">
        <f t="shared" si="76"/>
        <v>-</v>
      </c>
      <c r="T799" s="24" t="str">
        <f t="shared" si="74"/>
        <v>-</v>
      </c>
      <c r="U799" s="25" t="str">
        <f t="shared" si="77"/>
        <v>-</v>
      </c>
      <c r="V799" s="26" t="str">
        <f t="shared" si="78"/>
        <v>-</v>
      </c>
      <c r="X799" s="26" t="str">
        <f t="shared" si="75"/>
        <v>-</v>
      </c>
    </row>
    <row r="800" spans="1:24" x14ac:dyDescent="0.3">
      <c r="A800" s="37">
        <v>87614116655</v>
      </c>
      <c r="B800" s="8" t="s">
        <v>1316</v>
      </c>
      <c r="C800" s="10" t="s">
        <v>2100</v>
      </c>
      <c r="D800" s="11" t="s">
        <v>881</v>
      </c>
      <c r="E800" s="11" t="s">
        <v>2820</v>
      </c>
      <c r="F800" s="9">
        <v>30</v>
      </c>
      <c r="G800" s="9">
        <v>90</v>
      </c>
      <c r="H800" s="9" t="s">
        <v>868</v>
      </c>
      <c r="I800" s="9">
        <v>36</v>
      </c>
      <c r="J800" s="9">
        <v>60</v>
      </c>
      <c r="K800" s="9" t="s">
        <v>873</v>
      </c>
      <c r="L800" s="27">
        <v>6.9235000000000005E-2</v>
      </c>
      <c r="M800" s="28" t="s">
        <v>3203</v>
      </c>
      <c r="N800" s="17">
        <v>4.0530840000000001</v>
      </c>
      <c r="O800" s="1"/>
      <c r="P800" s="38">
        <f t="shared" si="73"/>
        <v>0</v>
      </c>
      <c r="S800" s="24" t="str">
        <f t="shared" si="76"/>
        <v>-</v>
      </c>
      <c r="T800" s="24" t="str">
        <f t="shared" si="74"/>
        <v>-</v>
      </c>
      <c r="U800" s="25" t="str">
        <f t="shared" si="77"/>
        <v>-</v>
      </c>
      <c r="V800" s="26" t="str">
        <f t="shared" si="78"/>
        <v>-</v>
      </c>
      <c r="X800" s="26" t="str">
        <f t="shared" si="75"/>
        <v>-</v>
      </c>
    </row>
    <row r="801" spans="1:24" x14ac:dyDescent="0.3">
      <c r="A801" s="37">
        <v>87614117003</v>
      </c>
      <c r="B801" s="8" t="s">
        <v>261</v>
      </c>
      <c r="C801" s="10" t="s">
        <v>262</v>
      </c>
      <c r="D801" s="11" t="s">
        <v>881</v>
      </c>
      <c r="E801" s="11" t="s">
        <v>1010</v>
      </c>
      <c r="F801" s="9">
        <v>20</v>
      </c>
      <c r="G801" s="9">
        <v>60</v>
      </c>
      <c r="H801" s="9" t="s">
        <v>868</v>
      </c>
      <c r="I801" s="9">
        <v>36</v>
      </c>
      <c r="J801" s="9">
        <v>100</v>
      </c>
      <c r="K801" s="9" t="s">
        <v>873</v>
      </c>
      <c r="L801" s="27">
        <v>9.6475000000000005E-2</v>
      </c>
      <c r="M801" s="28" t="s">
        <v>3203</v>
      </c>
      <c r="N801" s="17">
        <v>5.0497439999999996</v>
      </c>
      <c r="O801" s="1"/>
      <c r="P801" s="38">
        <f t="shared" si="73"/>
        <v>0</v>
      </c>
      <c r="S801" s="24" t="str">
        <f t="shared" si="76"/>
        <v>-</v>
      </c>
      <c r="T801" s="24" t="str">
        <f t="shared" si="74"/>
        <v>-</v>
      </c>
      <c r="U801" s="25" t="str">
        <f t="shared" si="77"/>
        <v>-</v>
      </c>
      <c r="V801" s="26" t="str">
        <f t="shared" si="78"/>
        <v>-</v>
      </c>
      <c r="X801" s="26" t="str">
        <f t="shared" si="75"/>
        <v>-</v>
      </c>
    </row>
    <row r="802" spans="1:24" x14ac:dyDescent="0.3">
      <c r="A802" s="37">
        <v>87614117386</v>
      </c>
      <c r="B802" s="8" t="s">
        <v>1404</v>
      </c>
      <c r="C802" s="10" t="s">
        <v>2182</v>
      </c>
      <c r="D802" s="11" t="s">
        <v>874</v>
      </c>
      <c r="E802" s="11" t="s">
        <v>925</v>
      </c>
      <c r="F802" s="9">
        <v>30</v>
      </c>
      <c r="G802" s="9">
        <v>90</v>
      </c>
      <c r="H802" s="9" t="s">
        <v>868</v>
      </c>
      <c r="I802" s="9">
        <v>24</v>
      </c>
      <c r="J802" s="9">
        <v>100</v>
      </c>
      <c r="K802" s="9" t="s">
        <v>889</v>
      </c>
      <c r="L802" s="27">
        <v>9.7609999999999988E-2</v>
      </c>
      <c r="M802" s="28" t="s">
        <v>3203</v>
      </c>
      <c r="N802" s="17">
        <v>5.3321309999999995</v>
      </c>
      <c r="O802" s="1"/>
      <c r="P802" s="38">
        <f t="shared" si="73"/>
        <v>0</v>
      </c>
      <c r="S802" s="24" t="str">
        <f t="shared" si="76"/>
        <v>-</v>
      </c>
      <c r="T802" s="24" t="str">
        <f t="shared" si="74"/>
        <v>-</v>
      </c>
      <c r="U802" s="25" t="str">
        <f t="shared" si="77"/>
        <v>-</v>
      </c>
      <c r="V802" s="26" t="str">
        <f t="shared" si="78"/>
        <v>-</v>
      </c>
      <c r="X802" s="26" t="str">
        <f t="shared" si="75"/>
        <v>-</v>
      </c>
    </row>
    <row r="803" spans="1:24" x14ac:dyDescent="0.3">
      <c r="A803" s="37">
        <v>87614117423</v>
      </c>
      <c r="B803" s="8" t="s">
        <v>271</v>
      </c>
      <c r="C803" s="10" t="s">
        <v>272</v>
      </c>
      <c r="D803" s="11" t="s">
        <v>874</v>
      </c>
      <c r="E803" s="11" t="s">
        <v>919</v>
      </c>
      <c r="F803" s="9">
        <v>16</v>
      </c>
      <c r="G803" s="9">
        <v>48</v>
      </c>
      <c r="H803" s="9" t="s">
        <v>868</v>
      </c>
      <c r="I803" s="9">
        <v>36</v>
      </c>
      <c r="J803" s="9">
        <v>120</v>
      </c>
      <c r="K803" s="9" t="s">
        <v>873</v>
      </c>
      <c r="L803" s="27">
        <v>0.132795</v>
      </c>
      <c r="M803" s="28" t="s">
        <v>3203</v>
      </c>
      <c r="N803" s="17">
        <v>6.063015</v>
      </c>
      <c r="O803" s="1"/>
      <c r="P803" s="38">
        <f t="shared" si="73"/>
        <v>0</v>
      </c>
      <c r="S803" s="24" t="str">
        <f t="shared" si="76"/>
        <v>-</v>
      </c>
      <c r="T803" s="24" t="str">
        <f t="shared" si="74"/>
        <v>-</v>
      </c>
      <c r="U803" s="25" t="str">
        <f t="shared" si="77"/>
        <v>-</v>
      </c>
      <c r="V803" s="26" t="str">
        <f t="shared" si="78"/>
        <v>-</v>
      </c>
      <c r="X803" s="26" t="str">
        <f t="shared" si="75"/>
        <v>-</v>
      </c>
    </row>
    <row r="804" spans="1:24" x14ac:dyDescent="0.3">
      <c r="A804" s="37">
        <v>87614117539</v>
      </c>
      <c r="B804" s="8" t="s">
        <v>279</v>
      </c>
      <c r="C804" s="10" t="s">
        <v>280</v>
      </c>
      <c r="D804" s="11" t="s">
        <v>874</v>
      </c>
      <c r="E804" s="11" t="s">
        <v>919</v>
      </c>
      <c r="F804" s="9">
        <v>20</v>
      </c>
      <c r="G804" s="9">
        <v>60</v>
      </c>
      <c r="H804" s="9" t="s">
        <v>868</v>
      </c>
      <c r="I804" s="9">
        <v>36</v>
      </c>
      <c r="J804" s="9">
        <v>120</v>
      </c>
      <c r="K804" s="9" t="s">
        <v>873</v>
      </c>
      <c r="L804" s="27">
        <v>0.107825</v>
      </c>
      <c r="M804" s="28" t="s">
        <v>3203</v>
      </c>
      <c r="N804" s="17">
        <v>6.4782900000000003</v>
      </c>
      <c r="O804" s="1"/>
      <c r="P804" s="38">
        <f t="shared" si="73"/>
        <v>0</v>
      </c>
      <c r="S804" s="24" t="str">
        <f t="shared" si="76"/>
        <v>-</v>
      </c>
      <c r="T804" s="24" t="str">
        <f t="shared" si="74"/>
        <v>-</v>
      </c>
      <c r="U804" s="25" t="str">
        <f t="shared" si="77"/>
        <v>-</v>
      </c>
      <c r="V804" s="26" t="str">
        <f t="shared" si="78"/>
        <v>-</v>
      </c>
      <c r="X804" s="26" t="str">
        <f t="shared" si="75"/>
        <v>-</v>
      </c>
    </row>
    <row r="805" spans="1:24" x14ac:dyDescent="0.3">
      <c r="A805" s="37">
        <v>87614117553</v>
      </c>
      <c r="B805" s="8" t="s">
        <v>1598</v>
      </c>
      <c r="C805" s="10" t="s">
        <v>2359</v>
      </c>
      <c r="D805" s="11" t="s">
        <v>879</v>
      </c>
      <c r="E805" s="11" t="s">
        <v>988</v>
      </c>
      <c r="F805" s="9">
        <v>30</v>
      </c>
      <c r="G805" s="9">
        <v>90</v>
      </c>
      <c r="H805" s="9" t="s">
        <v>892</v>
      </c>
      <c r="I805" s="9">
        <v>24</v>
      </c>
      <c r="J805" s="9">
        <v>60</v>
      </c>
      <c r="K805" s="9" t="s">
        <v>873</v>
      </c>
      <c r="L805" s="27">
        <v>5.4480000000000001E-2</v>
      </c>
      <c r="M805" s="28" t="s">
        <v>3203</v>
      </c>
      <c r="N805" s="17">
        <v>4.518192</v>
      </c>
      <c r="O805" s="1"/>
      <c r="P805" s="38">
        <f t="shared" si="73"/>
        <v>0</v>
      </c>
      <c r="S805" s="24" t="str">
        <f t="shared" si="76"/>
        <v>-</v>
      </c>
      <c r="T805" s="24" t="str">
        <f t="shared" si="74"/>
        <v>-</v>
      </c>
      <c r="U805" s="25" t="str">
        <f t="shared" si="77"/>
        <v>-</v>
      </c>
      <c r="V805" s="26" t="str">
        <f t="shared" si="78"/>
        <v>-</v>
      </c>
      <c r="X805" s="26" t="str">
        <f t="shared" si="75"/>
        <v>-</v>
      </c>
    </row>
    <row r="806" spans="1:24" x14ac:dyDescent="0.3">
      <c r="A806" s="37">
        <v>87614117614</v>
      </c>
      <c r="B806" s="8" t="s">
        <v>283</v>
      </c>
      <c r="C806" s="10" t="s">
        <v>284</v>
      </c>
      <c r="D806" s="11" t="s">
        <v>884</v>
      </c>
      <c r="E806" s="11" t="s">
        <v>1006</v>
      </c>
      <c r="F806" s="9">
        <v>30</v>
      </c>
      <c r="G806" s="9">
        <v>90</v>
      </c>
      <c r="H806" s="9" t="s">
        <v>868</v>
      </c>
      <c r="I806" s="9">
        <v>36</v>
      </c>
      <c r="J806" s="9">
        <v>60</v>
      </c>
      <c r="K806" s="9" t="s">
        <v>873</v>
      </c>
      <c r="L806" s="27">
        <v>7.6045000000000001E-2</v>
      </c>
      <c r="M806" s="28" t="s">
        <v>3203</v>
      </c>
      <c r="N806" s="17">
        <v>6.5779560000000004</v>
      </c>
      <c r="O806" s="1"/>
      <c r="P806" s="38">
        <f t="shared" si="73"/>
        <v>0</v>
      </c>
      <c r="S806" s="24" t="str">
        <f t="shared" si="76"/>
        <v>-</v>
      </c>
      <c r="T806" s="24" t="str">
        <f t="shared" si="74"/>
        <v>-</v>
      </c>
      <c r="U806" s="25" t="str">
        <f t="shared" si="77"/>
        <v>-</v>
      </c>
      <c r="V806" s="26" t="str">
        <f t="shared" si="78"/>
        <v>-</v>
      </c>
      <c r="X806" s="26" t="str">
        <f t="shared" si="75"/>
        <v>-</v>
      </c>
    </row>
    <row r="807" spans="1:24" x14ac:dyDescent="0.3">
      <c r="A807" s="37">
        <v>87614118147</v>
      </c>
      <c r="B807" s="8" t="s">
        <v>1603</v>
      </c>
      <c r="C807" s="10" t="s">
        <v>2364</v>
      </c>
      <c r="D807" s="11" t="s">
        <v>879</v>
      </c>
      <c r="E807" s="11" t="s">
        <v>930</v>
      </c>
      <c r="F807" s="9">
        <v>30</v>
      </c>
      <c r="G807" s="9">
        <v>90</v>
      </c>
      <c r="H807" s="9" t="s">
        <v>868</v>
      </c>
      <c r="I807" s="9">
        <v>36</v>
      </c>
      <c r="J807" s="9">
        <v>60</v>
      </c>
      <c r="K807" s="9" t="s">
        <v>873</v>
      </c>
      <c r="L807" s="27">
        <v>6.8099999999999994E-2</v>
      </c>
      <c r="M807" s="28" t="s">
        <v>3203</v>
      </c>
      <c r="N807" s="17">
        <v>3.4052549999999999</v>
      </c>
      <c r="O807" s="1"/>
      <c r="P807" s="38">
        <f t="shared" si="73"/>
        <v>0</v>
      </c>
      <c r="S807" s="24" t="str">
        <f t="shared" si="76"/>
        <v>-</v>
      </c>
      <c r="T807" s="24" t="str">
        <f t="shared" si="74"/>
        <v>-</v>
      </c>
      <c r="U807" s="25" t="str">
        <f t="shared" si="77"/>
        <v>-</v>
      </c>
      <c r="V807" s="26" t="str">
        <f t="shared" si="78"/>
        <v>-</v>
      </c>
      <c r="X807" s="26" t="str">
        <f t="shared" si="75"/>
        <v>-</v>
      </c>
    </row>
    <row r="808" spans="1:24" x14ac:dyDescent="0.3">
      <c r="A808" s="37">
        <v>87614118284</v>
      </c>
      <c r="B808" s="8" t="s">
        <v>1411</v>
      </c>
      <c r="C808" s="10" t="s">
        <v>2188</v>
      </c>
      <c r="D808" s="11" t="s">
        <v>891</v>
      </c>
      <c r="E808" s="11" t="s">
        <v>1016</v>
      </c>
      <c r="F808" s="9">
        <v>12</v>
      </c>
      <c r="G808" s="9">
        <v>24</v>
      </c>
      <c r="H808" s="9" t="s">
        <v>868</v>
      </c>
      <c r="I808" s="9">
        <v>36</v>
      </c>
      <c r="J808" s="9">
        <v>250</v>
      </c>
      <c r="K808" s="9" t="s">
        <v>877</v>
      </c>
      <c r="L808" s="27">
        <v>0.42221999999999998</v>
      </c>
      <c r="M808" s="28" t="s">
        <v>3203</v>
      </c>
      <c r="N808" s="17">
        <v>13.654242</v>
      </c>
      <c r="O808" s="1"/>
      <c r="P808" s="38">
        <f t="shared" si="73"/>
        <v>0</v>
      </c>
      <c r="S808" s="24" t="str">
        <f t="shared" si="76"/>
        <v>-</v>
      </c>
      <c r="T808" s="24" t="str">
        <f t="shared" si="74"/>
        <v>-</v>
      </c>
      <c r="U808" s="25" t="str">
        <f t="shared" si="77"/>
        <v>-</v>
      </c>
      <c r="V808" s="26" t="str">
        <f t="shared" si="78"/>
        <v>-</v>
      </c>
      <c r="X808" s="26" t="str">
        <f t="shared" si="75"/>
        <v>-</v>
      </c>
    </row>
    <row r="809" spans="1:24" x14ac:dyDescent="0.3">
      <c r="A809" s="37">
        <v>87614118307</v>
      </c>
      <c r="B809" s="8" t="s">
        <v>1412</v>
      </c>
      <c r="C809" s="10" t="s">
        <v>2189</v>
      </c>
      <c r="D809" s="11" t="s">
        <v>882</v>
      </c>
      <c r="E809" s="11" t="s">
        <v>920</v>
      </c>
      <c r="F809" s="9">
        <v>30</v>
      </c>
      <c r="G809" s="9">
        <v>90</v>
      </c>
      <c r="H809" s="9" t="s">
        <v>868</v>
      </c>
      <c r="I809" s="9">
        <v>36</v>
      </c>
      <c r="J809" s="9">
        <v>60</v>
      </c>
      <c r="K809" s="9" t="s">
        <v>877</v>
      </c>
      <c r="L809" s="27">
        <v>0.15209</v>
      </c>
      <c r="M809" s="28" t="s">
        <v>3203</v>
      </c>
      <c r="N809" s="17">
        <v>22.242128999999998</v>
      </c>
      <c r="O809" s="1"/>
      <c r="P809" s="38">
        <f t="shared" si="73"/>
        <v>0</v>
      </c>
      <c r="S809" s="24" t="str">
        <f t="shared" si="76"/>
        <v>-</v>
      </c>
      <c r="T809" s="24" t="str">
        <f t="shared" si="74"/>
        <v>-</v>
      </c>
      <c r="U809" s="25" t="str">
        <f t="shared" si="77"/>
        <v>-</v>
      </c>
      <c r="V809" s="26" t="str">
        <f t="shared" si="78"/>
        <v>-</v>
      </c>
      <c r="X809" s="26" t="str">
        <f t="shared" si="75"/>
        <v>-</v>
      </c>
    </row>
    <row r="810" spans="1:24" x14ac:dyDescent="0.3">
      <c r="A810" s="37">
        <v>87614118406</v>
      </c>
      <c r="B810" s="8" t="s">
        <v>300</v>
      </c>
      <c r="C810" s="10" t="s">
        <v>301</v>
      </c>
      <c r="D810" s="11" t="s">
        <v>891</v>
      </c>
      <c r="E810" s="11" t="s">
        <v>1016</v>
      </c>
      <c r="F810" s="9">
        <v>30</v>
      </c>
      <c r="G810" s="9">
        <v>90</v>
      </c>
      <c r="H810" s="9" t="s">
        <v>868</v>
      </c>
      <c r="I810" s="9">
        <v>36</v>
      </c>
      <c r="J810" s="9">
        <v>60</v>
      </c>
      <c r="K810" s="9" t="s">
        <v>889</v>
      </c>
      <c r="L810" s="27">
        <v>5.6750000000000002E-2</v>
      </c>
      <c r="M810" s="28" t="s">
        <v>3203</v>
      </c>
      <c r="N810" s="17">
        <v>10.863593999999999</v>
      </c>
      <c r="O810" s="1"/>
      <c r="P810" s="38">
        <f t="shared" si="73"/>
        <v>0</v>
      </c>
      <c r="S810" s="24" t="str">
        <f t="shared" si="76"/>
        <v>-</v>
      </c>
      <c r="T810" s="24" t="str">
        <f t="shared" si="74"/>
        <v>-</v>
      </c>
      <c r="U810" s="25" t="str">
        <f t="shared" si="77"/>
        <v>-</v>
      </c>
      <c r="V810" s="26" t="str">
        <f t="shared" si="78"/>
        <v>-</v>
      </c>
      <c r="X810" s="26" t="str">
        <f t="shared" si="75"/>
        <v>-</v>
      </c>
    </row>
    <row r="811" spans="1:24" x14ac:dyDescent="0.3">
      <c r="A811" s="37">
        <v>87614118833</v>
      </c>
      <c r="B811" s="8" t="s">
        <v>316</v>
      </c>
      <c r="C811" s="10" t="s">
        <v>317</v>
      </c>
      <c r="D811" s="11" t="s">
        <v>882</v>
      </c>
      <c r="E811" s="11" t="s">
        <v>920</v>
      </c>
      <c r="F811" s="9">
        <v>16</v>
      </c>
      <c r="G811" s="9">
        <v>1152</v>
      </c>
      <c r="H811" s="9" t="s">
        <v>868</v>
      </c>
      <c r="I811" s="9">
        <v>24</v>
      </c>
      <c r="J811" s="9">
        <v>60</v>
      </c>
      <c r="K811" s="9" t="s">
        <v>901</v>
      </c>
      <c r="L811" s="27">
        <v>0.27126499999999998</v>
      </c>
      <c r="M811" s="28" t="s">
        <v>3203</v>
      </c>
      <c r="N811" s="17">
        <v>10.547985000000001</v>
      </c>
      <c r="O811" s="1"/>
      <c r="P811" s="38">
        <f t="shared" si="73"/>
        <v>0</v>
      </c>
      <c r="S811" s="24" t="str">
        <f t="shared" si="76"/>
        <v>-</v>
      </c>
      <c r="T811" s="24" t="str">
        <f t="shared" si="74"/>
        <v>-</v>
      </c>
      <c r="U811" s="25" t="str">
        <f t="shared" si="77"/>
        <v>-</v>
      </c>
      <c r="V811" s="26" t="str">
        <f t="shared" si="78"/>
        <v>-</v>
      </c>
      <c r="X811" s="26" t="str">
        <f t="shared" si="75"/>
        <v>-</v>
      </c>
    </row>
    <row r="812" spans="1:24" x14ac:dyDescent="0.3">
      <c r="A812" s="37">
        <v>87614119113</v>
      </c>
      <c r="B812" s="8" t="s">
        <v>1414</v>
      </c>
      <c r="C812" s="10" t="s">
        <v>2191</v>
      </c>
      <c r="D812" s="11" t="s">
        <v>882</v>
      </c>
      <c r="E812" s="11" t="s">
        <v>2849</v>
      </c>
      <c r="F812" s="9">
        <v>30</v>
      </c>
      <c r="G812" s="9">
        <v>90</v>
      </c>
      <c r="H812" s="9" t="s">
        <v>868</v>
      </c>
      <c r="I812" s="9">
        <v>36</v>
      </c>
      <c r="J812" s="9">
        <v>60</v>
      </c>
      <c r="K812" s="9" t="s">
        <v>873</v>
      </c>
      <c r="L812" s="27">
        <v>6.1289999999999997E-2</v>
      </c>
      <c r="M812" s="28" t="s">
        <v>3203</v>
      </c>
      <c r="N812" s="17">
        <v>3.5879759999999998</v>
      </c>
      <c r="O812" s="1"/>
      <c r="P812" s="38">
        <f t="shared" si="73"/>
        <v>0</v>
      </c>
      <c r="S812" s="24" t="str">
        <f t="shared" si="76"/>
        <v>-</v>
      </c>
      <c r="T812" s="24" t="str">
        <f t="shared" si="74"/>
        <v>-</v>
      </c>
      <c r="U812" s="25" t="str">
        <f t="shared" si="77"/>
        <v>-</v>
      </c>
      <c r="V812" s="26" t="str">
        <f t="shared" si="78"/>
        <v>-</v>
      </c>
      <c r="X812" s="26" t="str">
        <f t="shared" si="75"/>
        <v>-</v>
      </c>
    </row>
    <row r="813" spans="1:24" x14ac:dyDescent="0.3">
      <c r="A813" s="37">
        <v>87614012179</v>
      </c>
      <c r="B813" s="8" t="s">
        <v>320</v>
      </c>
      <c r="C813" s="10" t="s">
        <v>321</v>
      </c>
      <c r="D813" s="11" t="s">
        <v>870</v>
      </c>
      <c r="E813" s="11" t="s">
        <v>1014</v>
      </c>
      <c r="F813" s="9">
        <v>15</v>
      </c>
      <c r="G813" s="9">
        <v>30</v>
      </c>
      <c r="H813" s="9" t="s">
        <v>868</v>
      </c>
      <c r="I813" s="9">
        <v>36</v>
      </c>
      <c r="J813" s="9">
        <v>100</v>
      </c>
      <c r="K813" s="9" t="s">
        <v>869</v>
      </c>
      <c r="L813" s="27">
        <v>0.31099000000000004</v>
      </c>
      <c r="M813" s="28" t="s">
        <v>3203</v>
      </c>
      <c r="N813" s="17">
        <v>8.4051660000000012</v>
      </c>
      <c r="O813" s="1"/>
      <c r="P813" s="38">
        <f t="shared" si="73"/>
        <v>0</v>
      </c>
      <c r="S813" s="24" t="str">
        <f t="shared" si="76"/>
        <v>-</v>
      </c>
      <c r="T813" s="24" t="str">
        <f t="shared" si="74"/>
        <v>-</v>
      </c>
      <c r="U813" s="25" t="str">
        <f t="shared" si="77"/>
        <v>-</v>
      </c>
      <c r="V813" s="26" t="str">
        <f t="shared" si="78"/>
        <v>-</v>
      </c>
      <c r="X813" s="26" t="str">
        <f t="shared" si="75"/>
        <v>-</v>
      </c>
    </row>
    <row r="814" spans="1:24" x14ac:dyDescent="0.3">
      <c r="A814" s="37">
        <v>87614012698</v>
      </c>
      <c r="B814" s="8" t="s">
        <v>1320</v>
      </c>
      <c r="C814" s="10" t="s">
        <v>2104</v>
      </c>
      <c r="D814" s="11" t="s">
        <v>882</v>
      </c>
      <c r="E814" s="11" t="s">
        <v>1026</v>
      </c>
      <c r="F814" s="9">
        <v>12</v>
      </c>
      <c r="G814" s="9">
        <v>24</v>
      </c>
      <c r="H814" s="9" t="s">
        <v>868</v>
      </c>
      <c r="I814" s="9">
        <v>36</v>
      </c>
      <c r="J814" s="9">
        <v>300</v>
      </c>
      <c r="K814" s="9" t="s">
        <v>873</v>
      </c>
      <c r="L814" s="27">
        <v>0.34958</v>
      </c>
      <c r="M814" s="28" t="s">
        <v>3203</v>
      </c>
      <c r="N814" s="17">
        <v>9.2523270000000011</v>
      </c>
      <c r="O814" s="1"/>
      <c r="P814" s="38">
        <f t="shared" si="73"/>
        <v>0</v>
      </c>
      <c r="S814" s="24" t="str">
        <f t="shared" si="76"/>
        <v>-</v>
      </c>
      <c r="T814" s="24" t="str">
        <f t="shared" si="74"/>
        <v>-</v>
      </c>
      <c r="U814" s="25" t="str">
        <f t="shared" si="77"/>
        <v>-</v>
      </c>
      <c r="V814" s="26" t="str">
        <f t="shared" si="78"/>
        <v>-</v>
      </c>
      <c r="X814" s="26" t="str">
        <f t="shared" si="75"/>
        <v>-</v>
      </c>
    </row>
    <row r="815" spans="1:24" x14ac:dyDescent="0.3">
      <c r="A815" s="37">
        <v>87614014029</v>
      </c>
      <c r="B815" s="8" t="s">
        <v>1323</v>
      </c>
      <c r="C815" s="10" t="s">
        <v>2107</v>
      </c>
      <c r="D815" s="11" t="s">
        <v>874</v>
      </c>
      <c r="E815" s="11" t="s">
        <v>914</v>
      </c>
      <c r="F815" s="9">
        <v>15</v>
      </c>
      <c r="G815" s="9">
        <v>30</v>
      </c>
      <c r="H815" s="9" t="s">
        <v>868</v>
      </c>
      <c r="I815" s="9">
        <v>36</v>
      </c>
      <c r="J815" s="9">
        <v>500</v>
      </c>
      <c r="K815" s="9" t="s">
        <v>869</v>
      </c>
      <c r="L815" s="27">
        <v>0.24743000000000001</v>
      </c>
      <c r="M815" s="28" t="s">
        <v>3203</v>
      </c>
      <c r="N815" s="17">
        <v>14.368514999999999</v>
      </c>
      <c r="O815" s="1"/>
      <c r="P815" s="38">
        <f t="shared" si="73"/>
        <v>0</v>
      </c>
      <c r="S815" s="24" t="str">
        <f t="shared" si="76"/>
        <v>-</v>
      </c>
      <c r="T815" s="24" t="str">
        <f t="shared" si="74"/>
        <v>-</v>
      </c>
      <c r="U815" s="25" t="str">
        <f t="shared" si="77"/>
        <v>-</v>
      </c>
      <c r="V815" s="26" t="str">
        <f t="shared" si="78"/>
        <v>-</v>
      </c>
      <c r="X815" s="26" t="str">
        <f t="shared" si="75"/>
        <v>-</v>
      </c>
    </row>
    <row r="816" spans="1:24" x14ac:dyDescent="0.3">
      <c r="A816" s="37">
        <v>87614014777</v>
      </c>
      <c r="B816" s="8" t="s">
        <v>1264</v>
      </c>
      <c r="C816" s="10" t="s">
        <v>2062</v>
      </c>
      <c r="D816" s="11" t="s">
        <v>879</v>
      </c>
      <c r="E816" s="11" t="s">
        <v>2853</v>
      </c>
      <c r="F816" s="9">
        <v>20</v>
      </c>
      <c r="G816" s="9">
        <v>60</v>
      </c>
      <c r="H816" s="9" t="s">
        <v>868</v>
      </c>
      <c r="I816" s="9">
        <v>36</v>
      </c>
      <c r="J816" s="9">
        <v>100</v>
      </c>
      <c r="K816" s="9" t="s">
        <v>873</v>
      </c>
      <c r="L816" s="27">
        <v>0.10442</v>
      </c>
      <c r="M816" s="28" t="s">
        <v>3203</v>
      </c>
      <c r="N816" s="17">
        <v>6.4118459999999997</v>
      </c>
      <c r="O816" s="1"/>
      <c r="P816" s="38">
        <f t="shared" si="73"/>
        <v>0</v>
      </c>
      <c r="S816" s="24" t="str">
        <f t="shared" si="76"/>
        <v>-</v>
      </c>
      <c r="T816" s="24" t="str">
        <f t="shared" si="74"/>
        <v>-</v>
      </c>
      <c r="U816" s="25" t="str">
        <f t="shared" si="77"/>
        <v>-</v>
      </c>
      <c r="V816" s="26" t="str">
        <f t="shared" si="78"/>
        <v>-</v>
      </c>
      <c r="X816" s="26" t="str">
        <f t="shared" si="75"/>
        <v>-</v>
      </c>
    </row>
    <row r="817" spans="1:24" x14ac:dyDescent="0.3">
      <c r="A817" s="37">
        <v>87614015033</v>
      </c>
      <c r="B817" s="8" t="s">
        <v>346</v>
      </c>
      <c r="C817" s="10" t="s">
        <v>2726</v>
      </c>
      <c r="D817" s="11" t="s">
        <v>874</v>
      </c>
      <c r="E817" s="11" t="s">
        <v>925</v>
      </c>
      <c r="F817" s="9">
        <v>12</v>
      </c>
      <c r="G817" s="9">
        <v>24</v>
      </c>
      <c r="H817" s="9" t="s">
        <v>868</v>
      </c>
      <c r="I817" s="9">
        <v>24</v>
      </c>
      <c r="J817" s="9">
        <v>300</v>
      </c>
      <c r="K817" s="9" t="s">
        <v>873</v>
      </c>
      <c r="L817" s="27">
        <v>0.25651000000000002</v>
      </c>
      <c r="M817" s="28" t="s">
        <v>3203</v>
      </c>
      <c r="N817" s="17">
        <v>11.145980999999999</v>
      </c>
      <c r="O817" s="1"/>
      <c r="P817" s="38">
        <f t="shared" si="73"/>
        <v>0</v>
      </c>
      <c r="S817" s="24" t="str">
        <f t="shared" si="76"/>
        <v>-</v>
      </c>
      <c r="T817" s="24" t="str">
        <f t="shared" si="74"/>
        <v>-</v>
      </c>
      <c r="U817" s="25" t="str">
        <f t="shared" si="77"/>
        <v>-</v>
      </c>
      <c r="V817" s="26" t="str">
        <f t="shared" si="78"/>
        <v>-</v>
      </c>
      <c r="X817" s="26" t="str">
        <f t="shared" si="75"/>
        <v>-</v>
      </c>
    </row>
    <row r="818" spans="1:24" x14ac:dyDescent="0.3">
      <c r="A818" s="37">
        <v>87614016535</v>
      </c>
      <c r="B818" s="8" t="s">
        <v>1266</v>
      </c>
      <c r="C818" s="10" t="s">
        <v>2063</v>
      </c>
      <c r="D818" s="11" t="s">
        <v>883</v>
      </c>
      <c r="E818" s="11" t="s">
        <v>926</v>
      </c>
      <c r="F818" s="9">
        <v>12</v>
      </c>
      <c r="G818" s="9">
        <v>24</v>
      </c>
      <c r="H818" s="9" t="s">
        <v>868</v>
      </c>
      <c r="I818" s="9">
        <v>36</v>
      </c>
      <c r="J818" s="9">
        <v>250</v>
      </c>
      <c r="K818" s="9" t="s">
        <v>873</v>
      </c>
      <c r="L818" s="27">
        <v>0.26105</v>
      </c>
      <c r="M818" s="28" t="s">
        <v>3203</v>
      </c>
      <c r="N818" s="17">
        <v>8.1892230000000001</v>
      </c>
      <c r="O818" s="1"/>
      <c r="P818" s="38">
        <f t="shared" si="73"/>
        <v>0</v>
      </c>
      <c r="S818" s="24" t="str">
        <f t="shared" si="76"/>
        <v>-</v>
      </c>
      <c r="T818" s="24" t="str">
        <f t="shared" si="74"/>
        <v>-</v>
      </c>
      <c r="U818" s="25" t="str">
        <f t="shared" si="77"/>
        <v>-</v>
      </c>
      <c r="V818" s="26" t="str">
        <f t="shared" si="78"/>
        <v>-</v>
      </c>
      <c r="X818" s="26" t="str">
        <f t="shared" si="75"/>
        <v>-</v>
      </c>
    </row>
    <row r="819" spans="1:24" x14ac:dyDescent="0.3">
      <c r="A819" s="37">
        <v>87614017327</v>
      </c>
      <c r="B819" s="8" t="s">
        <v>1185</v>
      </c>
      <c r="C819" s="10" t="s">
        <v>2981</v>
      </c>
      <c r="D819" s="11" t="s">
        <v>885</v>
      </c>
      <c r="E819" s="11" t="s">
        <v>1004</v>
      </c>
      <c r="F819" s="9">
        <v>30</v>
      </c>
      <c r="G819" s="9">
        <v>90</v>
      </c>
      <c r="H819" s="9" t="s">
        <v>868</v>
      </c>
      <c r="I819" s="9">
        <v>24</v>
      </c>
      <c r="J819" s="9">
        <v>100</v>
      </c>
      <c r="K819" s="9" t="s">
        <v>2903</v>
      </c>
      <c r="L819" s="27">
        <v>9.7609999999999988E-2</v>
      </c>
      <c r="M819" s="28" t="s">
        <v>3203</v>
      </c>
      <c r="N819" s="17">
        <v>21.677354999999999</v>
      </c>
      <c r="O819" s="1"/>
      <c r="P819" s="38">
        <f t="shared" si="73"/>
        <v>0</v>
      </c>
      <c r="S819" s="24" t="str">
        <f t="shared" si="76"/>
        <v>-</v>
      </c>
      <c r="T819" s="24" t="str">
        <f t="shared" si="74"/>
        <v>-</v>
      </c>
      <c r="U819" s="25" t="str">
        <f t="shared" si="77"/>
        <v>-</v>
      </c>
      <c r="V819" s="26" t="str">
        <f t="shared" si="78"/>
        <v>-</v>
      </c>
      <c r="X819" s="26" t="str">
        <f t="shared" si="75"/>
        <v>-</v>
      </c>
    </row>
    <row r="820" spans="1:24" x14ac:dyDescent="0.3">
      <c r="A820" s="37">
        <v>87614017334</v>
      </c>
      <c r="B820" s="8" t="s">
        <v>1144</v>
      </c>
      <c r="C820" s="10" t="s">
        <v>2982</v>
      </c>
      <c r="D820" s="11" t="s">
        <v>885</v>
      </c>
      <c r="E820" s="11" t="s">
        <v>1004</v>
      </c>
      <c r="F820" s="9">
        <v>12</v>
      </c>
      <c r="G820" s="9">
        <v>24</v>
      </c>
      <c r="H820" s="9" t="s">
        <v>868</v>
      </c>
      <c r="I820" s="9">
        <v>24</v>
      </c>
      <c r="J820" s="9">
        <v>250</v>
      </c>
      <c r="K820" s="9" t="s">
        <v>2903</v>
      </c>
      <c r="L820" s="27">
        <v>0.23040500000000003</v>
      </c>
      <c r="M820" s="28" t="s">
        <v>3203</v>
      </c>
      <c r="N820" s="17">
        <v>47.158628999999998</v>
      </c>
      <c r="O820" s="1"/>
      <c r="P820" s="38">
        <f t="shared" si="73"/>
        <v>0</v>
      </c>
      <c r="S820" s="24" t="str">
        <f t="shared" si="76"/>
        <v>-</v>
      </c>
      <c r="T820" s="24" t="str">
        <f t="shared" si="74"/>
        <v>-</v>
      </c>
      <c r="U820" s="25" t="str">
        <f t="shared" si="77"/>
        <v>-</v>
      </c>
      <c r="V820" s="26" t="str">
        <f t="shared" si="78"/>
        <v>-</v>
      </c>
      <c r="X820" s="26" t="str">
        <f t="shared" si="75"/>
        <v>-</v>
      </c>
    </row>
    <row r="821" spans="1:24" x14ac:dyDescent="0.3">
      <c r="A821" s="37">
        <v>87614017471</v>
      </c>
      <c r="B821" s="8" t="s">
        <v>1183</v>
      </c>
      <c r="C821" s="10" t="s">
        <v>2002</v>
      </c>
      <c r="D821" s="11" t="s">
        <v>872</v>
      </c>
      <c r="E821" s="11" t="s">
        <v>915</v>
      </c>
      <c r="F821" s="9">
        <v>30</v>
      </c>
      <c r="G821" s="9">
        <v>90</v>
      </c>
      <c r="H821" s="9" t="s">
        <v>868</v>
      </c>
      <c r="I821" s="9">
        <v>36</v>
      </c>
      <c r="J821" s="9">
        <v>250</v>
      </c>
      <c r="K821" s="9" t="s">
        <v>904</v>
      </c>
      <c r="L821" s="27">
        <v>0.12257999999999999</v>
      </c>
      <c r="M821" s="28" t="s">
        <v>3203</v>
      </c>
      <c r="N821" s="17">
        <v>10.747316999999999</v>
      </c>
      <c r="O821" s="1"/>
      <c r="P821" s="38">
        <f t="shared" si="73"/>
        <v>0</v>
      </c>
      <c r="S821" s="24" t="str">
        <f t="shared" si="76"/>
        <v>-</v>
      </c>
      <c r="T821" s="24" t="str">
        <f t="shared" si="74"/>
        <v>-</v>
      </c>
      <c r="U821" s="25" t="str">
        <f t="shared" si="77"/>
        <v>-</v>
      </c>
      <c r="V821" s="26" t="str">
        <f t="shared" si="78"/>
        <v>-</v>
      </c>
      <c r="X821" s="26" t="str">
        <f t="shared" si="75"/>
        <v>-</v>
      </c>
    </row>
    <row r="822" spans="1:24" x14ac:dyDescent="0.3">
      <c r="A822" s="37">
        <v>87614017570</v>
      </c>
      <c r="B822" s="8" t="s">
        <v>1938</v>
      </c>
      <c r="C822" s="10" t="s">
        <v>2660</v>
      </c>
      <c r="D822" s="11" t="s">
        <v>882</v>
      </c>
      <c r="E822" s="11" t="s">
        <v>1028</v>
      </c>
      <c r="F822" s="9">
        <v>12</v>
      </c>
      <c r="G822" s="9">
        <v>24</v>
      </c>
      <c r="H822" s="9" t="s">
        <v>868</v>
      </c>
      <c r="I822" s="9">
        <v>36</v>
      </c>
      <c r="J822" s="9">
        <v>250</v>
      </c>
      <c r="K822" s="9" t="s">
        <v>873</v>
      </c>
      <c r="L822" s="27">
        <v>0.29055999999999998</v>
      </c>
      <c r="M822" s="28" t="s">
        <v>3203</v>
      </c>
      <c r="N822" s="17">
        <v>12.308751000000001</v>
      </c>
      <c r="O822" s="1"/>
      <c r="P822" s="38">
        <f t="shared" si="73"/>
        <v>0</v>
      </c>
      <c r="S822" s="24" t="str">
        <f t="shared" si="76"/>
        <v>-</v>
      </c>
      <c r="T822" s="24" t="str">
        <f t="shared" si="74"/>
        <v>-</v>
      </c>
      <c r="U822" s="25" t="str">
        <f t="shared" si="77"/>
        <v>-</v>
      </c>
      <c r="V822" s="26" t="str">
        <f t="shared" si="78"/>
        <v>-</v>
      </c>
      <c r="X822" s="26" t="str">
        <f t="shared" si="75"/>
        <v>-</v>
      </c>
    </row>
    <row r="823" spans="1:24" x14ac:dyDescent="0.3">
      <c r="A823" s="37">
        <v>87614017617</v>
      </c>
      <c r="B823" s="8" t="s">
        <v>1147</v>
      </c>
      <c r="C823" s="10" t="s">
        <v>3152</v>
      </c>
      <c r="D823" s="11" t="s">
        <v>874</v>
      </c>
      <c r="E823" s="11" t="s">
        <v>1032</v>
      </c>
      <c r="F823" s="9">
        <v>16</v>
      </c>
      <c r="G823" s="9">
        <v>48</v>
      </c>
      <c r="H823" s="9" t="s">
        <v>868</v>
      </c>
      <c r="I823" s="9">
        <v>36</v>
      </c>
      <c r="J823" s="9">
        <v>240</v>
      </c>
      <c r="K823" s="9" t="s">
        <v>2903</v>
      </c>
      <c r="L823" s="27">
        <v>0.16684499999999999</v>
      </c>
      <c r="M823" s="28" t="s">
        <v>3203</v>
      </c>
      <c r="N823" s="17">
        <v>14.219016</v>
      </c>
      <c r="O823" s="1"/>
      <c r="P823" s="38">
        <f t="shared" si="73"/>
        <v>0</v>
      </c>
      <c r="S823" s="24" t="str">
        <f t="shared" si="76"/>
        <v>-</v>
      </c>
      <c r="T823" s="24" t="str">
        <f t="shared" si="74"/>
        <v>-</v>
      </c>
      <c r="U823" s="25" t="str">
        <f t="shared" si="77"/>
        <v>-</v>
      </c>
      <c r="V823" s="26" t="str">
        <f t="shared" si="78"/>
        <v>-</v>
      </c>
      <c r="X823" s="26" t="str">
        <f t="shared" si="75"/>
        <v>-</v>
      </c>
    </row>
    <row r="824" spans="1:24" x14ac:dyDescent="0.3">
      <c r="A824" s="37">
        <v>87614018102</v>
      </c>
      <c r="B824" s="8" t="s">
        <v>1326</v>
      </c>
      <c r="C824" s="10" t="s">
        <v>2110</v>
      </c>
      <c r="D824" s="11" t="s">
        <v>870</v>
      </c>
      <c r="E824" s="11" t="s">
        <v>2814</v>
      </c>
      <c r="F824" s="9">
        <v>12</v>
      </c>
      <c r="G824" s="9">
        <v>24</v>
      </c>
      <c r="H824" s="9" t="s">
        <v>868</v>
      </c>
      <c r="I824" s="9">
        <v>24</v>
      </c>
      <c r="J824" s="9">
        <v>250</v>
      </c>
      <c r="K824" s="9" t="s">
        <v>877</v>
      </c>
      <c r="L824" s="27">
        <v>0.55047499999999994</v>
      </c>
      <c r="M824" s="28" t="s">
        <v>3203</v>
      </c>
      <c r="N824" s="17">
        <v>14.385126</v>
      </c>
      <c r="O824" s="1"/>
      <c r="P824" s="38">
        <f t="shared" si="73"/>
        <v>0</v>
      </c>
      <c r="S824" s="24" t="str">
        <f t="shared" si="76"/>
        <v>-</v>
      </c>
      <c r="T824" s="24" t="str">
        <f t="shared" si="74"/>
        <v>-</v>
      </c>
      <c r="U824" s="25" t="str">
        <f t="shared" si="77"/>
        <v>-</v>
      </c>
      <c r="V824" s="26" t="str">
        <f t="shared" si="78"/>
        <v>-</v>
      </c>
      <c r="X824" s="26" t="str">
        <f t="shared" si="75"/>
        <v>-</v>
      </c>
    </row>
    <row r="825" spans="1:24" x14ac:dyDescent="0.3">
      <c r="A825" s="37">
        <v>87614018669</v>
      </c>
      <c r="B825" s="8" t="s">
        <v>1269</v>
      </c>
      <c r="C825" s="10" t="s">
        <v>2066</v>
      </c>
      <c r="D825" s="11" t="s">
        <v>874</v>
      </c>
      <c r="E825" s="11" t="s">
        <v>925</v>
      </c>
      <c r="F825" s="9">
        <v>16</v>
      </c>
      <c r="G825" s="9">
        <v>48</v>
      </c>
      <c r="H825" s="9" t="s">
        <v>868</v>
      </c>
      <c r="I825" s="9">
        <v>36</v>
      </c>
      <c r="J825" s="9">
        <v>100</v>
      </c>
      <c r="K825" s="9" t="s">
        <v>873</v>
      </c>
      <c r="L825" s="27">
        <v>0.15209</v>
      </c>
      <c r="M825" s="28" t="s">
        <v>3203</v>
      </c>
      <c r="N825" s="17">
        <v>9.4350480000000001</v>
      </c>
      <c r="O825" s="1"/>
      <c r="P825" s="38">
        <f t="shared" si="73"/>
        <v>0</v>
      </c>
      <c r="S825" s="24" t="str">
        <f t="shared" si="76"/>
        <v>-</v>
      </c>
      <c r="T825" s="24" t="str">
        <f t="shared" si="74"/>
        <v>-</v>
      </c>
      <c r="U825" s="25" t="str">
        <f t="shared" si="77"/>
        <v>-</v>
      </c>
      <c r="V825" s="26" t="str">
        <f t="shared" si="78"/>
        <v>-</v>
      </c>
      <c r="X825" s="26" t="str">
        <f t="shared" si="75"/>
        <v>-</v>
      </c>
    </row>
    <row r="826" spans="1:24" x14ac:dyDescent="0.3">
      <c r="A826" s="37">
        <v>87614018737</v>
      </c>
      <c r="B826" s="8" t="s">
        <v>1423</v>
      </c>
      <c r="C826" s="10" t="s">
        <v>2199</v>
      </c>
      <c r="D826" s="11" t="s">
        <v>876</v>
      </c>
      <c r="E826" s="11" t="s">
        <v>2856</v>
      </c>
      <c r="F826" s="9">
        <v>20</v>
      </c>
      <c r="G826" s="9">
        <v>60</v>
      </c>
      <c r="H826" s="9" t="s">
        <v>868</v>
      </c>
      <c r="I826" s="9">
        <v>24</v>
      </c>
      <c r="J826" s="9">
        <v>100</v>
      </c>
      <c r="K826" s="9" t="s">
        <v>873</v>
      </c>
      <c r="L826" s="27">
        <v>0.11123000000000001</v>
      </c>
      <c r="M826" s="28" t="s">
        <v>3203</v>
      </c>
      <c r="N826" s="17">
        <v>9.2523270000000011</v>
      </c>
      <c r="O826" s="1"/>
      <c r="P826" s="38">
        <f t="shared" si="73"/>
        <v>0</v>
      </c>
      <c r="S826" s="24" t="str">
        <f t="shared" si="76"/>
        <v>-</v>
      </c>
      <c r="T826" s="24" t="str">
        <f t="shared" si="74"/>
        <v>-</v>
      </c>
      <c r="U826" s="25" t="str">
        <f t="shared" si="77"/>
        <v>-</v>
      </c>
      <c r="V826" s="26" t="str">
        <f t="shared" si="78"/>
        <v>-</v>
      </c>
      <c r="X826" s="26" t="str">
        <f t="shared" si="75"/>
        <v>-</v>
      </c>
    </row>
    <row r="827" spans="1:24" x14ac:dyDescent="0.3">
      <c r="A827" s="37">
        <v>87614018751</v>
      </c>
      <c r="B827" s="8" t="s">
        <v>1177</v>
      </c>
      <c r="C827" s="10" t="s">
        <v>1996</v>
      </c>
      <c r="D827" s="11" t="s">
        <v>883</v>
      </c>
      <c r="E827" s="11" t="s">
        <v>928</v>
      </c>
      <c r="F827" s="9">
        <v>20</v>
      </c>
      <c r="G827" s="9">
        <v>60</v>
      </c>
      <c r="H827" s="9" t="s">
        <v>868</v>
      </c>
      <c r="I827" s="9">
        <v>36</v>
      </c>
      <c r="J827" s="9">
        <v>100</v>
      </c>
      <c r="K827" s="9" t="s">
        <v>873</v>
      </c>
      <c r="L827" s="27">
        <v>0.13392999999999999</v>
      </c>
      <c r="M827" s="28" t="s">
        <v>3203</v>
      </c>
      <c r="N827" s="17">
        <v>9.700823999999999</v>
      </c>
      <c r="O827" s="1"/>
      <c r="P827" s="38">
        <f t="shared" si="73"/>
        <v>0</v>
      </c>
      <c r="S827" s="24" t="str">
        <f t="shared" si="76"/>
        <v>-</v>
      </c>
      <c r="T827" s="24" t="str">
        <f t="shared" si="74"/>
        <v>-</v>
      </c>
      <c r="U827" s="25" t="str">
        <f t="shared" si="77"/>
        <v>-</v>
      </c>
      <c r="V827" s="26" t="str">
        <f t="shared" si="78"/>
        <v>-</v>
      </c>
      <c r="X827" s="26" t="str">
        <f t="shared" si="75"/>
        <v>-</v>
      </c>
    </row>
    <row r="828" spans="1:24" x14ac:dyDescent="0.3">
      <c r="A828" s="37">
        <v>87614019857</v>
      </c>
      <c r="B828" s="8" t="s">
        <v>1633</v>
      </c>
      <c r="C828" s="10" t="s">
        <v>2395</v>
      </c>
      <c r="D828" s="11" t="s">
        <v>879</v>
      </c>
      <c r="E828" s="11" t="s">
        <v>2826</v>
      </c>
      <c r="F828" s="9">
        <v>30</v>
      </c>
      <c r="G828" s="9">
        <v>90</v>
      </c>
      <c r="H828" s="9" t="s">
        <v>868</v>
      </c>
      <c r="I828" s="9">
        <v>36</v>
      </c>
      <c r="J828" s="9">
        <v>100</v>
      </c>
      <c r="K828" s="9" t="s">
        <v>869</v>
      </c>
      <c r="L828" s="27">
        <v>6.8099999999999994E-2</v>
      </c>
      <c r="M828" s="28" t="s">
        <v>3203</v>
      </c>
      <c r="N828" s="17">
        <v>9.2855489999999996</v>
      </c>
      <c r="O828" s="1"/>
      <c r="P828" s="38">
        <f t="shared" si="73"/>
        <v>0</v>
      </c>
      <c r="S828" s="24" t="str">
        <f t="shared" si="76"/>
        <v>-</v>
      </c>
      <c r="T828" s="24" t="str">
        <f t="shared" si="74"/>
        <v>-</v>
      </c>
      <c r="U828" s="25" t="str">
        <f t="shared" si="77"/>
        <v>-</v>
      </c>
      <c r="V828" s="26" t="str">
        <f t="shared" si="78"/>
        <v>-</v>
      </c>
      <c r="X828" s="26" t="str">
        <f t="shared" si="75"/>
        <v>-</v>
      </c>
    </row>
    <row r="829" spans="1:24" x14ac:dyDescent="0.3">
      <c r="A829" s="37">
        <v>87614019901</v>
      </c>
      <c r="B829" s="8" t="s">
        <v>1634</v>
      </c>
      <c r="C829" s="10" t="s">
        <v>2396</v>
      </c>
      <c r="D829" s="11" t="s">
        <v>870</v>
      </c>
      <c r="E829" s="11" t="s">
        <v>924</v>
      </c>
      <c r="F829" s="9">
        <v>16</v>
      </c>
      <c r="G829" s="9">
        <v>48</v>
      </c>
      <c r="H829" s="9" t="s">
        <v>892</v>
      </c>
      <c r="I829" s="9">
        <v>24</v>
      </c>
      <c r="J829" s="9">
        <v>100</v>
      </c>
      <c r="K829" s="9" t="s">
        <v>873</v>
      </c>
      <c r="L829" s="27">
        <v>0.16230499999999998</v>
      </c>
      <c r="M829" s="28" t="s">
        <v>3203</v>
      </c>
      <c r="N829" s="17">
        <v>6.4616789999999993</v>
      </c>
      <c r="O829" s="1"/>
      <c r="P829" s="38">
        <f t="shared" si="73"/>
        <v>0</v>
      </c>
      <c r="S829" s="24" t="str">
        <f t="shared" si="76"/>
        <v>-</v>
      </c>
      <c r="T829" s="24" t="str">
        <f t="shared" si="74"/>
        <v>-</v>
      </c>
      <c r="U829" s="25" t="str">
        <f t="shared" si="77"/>
        <v>-</v>
      </c>
      <c r="V829" s="26" t="str">
        <f t="shared" si="78"/>
        <v>-</v>
      </c>
      <c r="X829" s="26" t="str">
        <f t="shared" si="75"/>
        <v>-</v>
      </c>
    </row>
    <row r="830" spans="1:24" x14ac:dyDescent="0.3">
      <c r="A830" s="37">
        <v>87614019994</v>
      </c>
      <c r="B830" s="8" t="s">
        <v>1427</v>
      </c>
      <c r="C830" s="10" t="s">
        <v>2203</v>
      </c>
      <c r="D830" s="11" t="s">
        <v>894</v>
      </c>
      <c r="E830" s="11" t="s">
        <v>992</v>
      </c>
      <c r="F830" s="9">
        <v>24</v>
      </c>
      <c r="G830" s="9">
        <v>24</v>
      </c>
      <c r="H830" s="9" t="s">
        <v>892</v>
      </c>
      <c r="I830" s="9">
        <v>60</v>
      </c>
      <c r="J830" s="9">
        <v>1</v>
      </c>
      <c r="K830" s="9" t="s">
        <v>887</v>
      </c>
      <c r="L830" s="27">
        <v>0.568635</v>
      </c>
      <c r="M830" s="28" t="s">
        <v>3203</v>
      </c>
      <c r="N830" s="17">
        <v>16.195724999999999</v>
      </c>
      <c r="O830" s="1"/>
      <c r="P830" s="38">
        <f t="shared" si="73"/>
        <v>0</v>
      </c>
      <c r="S830" s="24" t="str">
        <f t="shared" si="76"/>
        <v>-</v>
      </c>
      <c r="T830" s="24" t="str">
        <f t="shared" si="74"/>
        <v>-</v>
      </c>
      <c r="U830" s="25" t="str">
        <f t="shared" si="77"/>
        <v>-</v>
      </c>
      <c r="V830" s="26" t="str">
        <f t="shared" si="78"/>
        <v>-</v>
      </c>
      <c r="X830" s="26" t="str">
        <f t="shared" si="75"/>
        <v>-</v>
      </c>
    </row>
    <row r="831" spans="1:24" x14ac:dyDescent="0.3">
      <c r="A831" s="37">
        <v>87614190341</v>
      </c>
      <c r="B831" s="8" t="s">
        <v>1636</v>
      </c>
      <c r="C831" s="10" t="s">
        <v>2397</v>
      </c>
      <c r="D831" s="11" t="s">
        <v>879</v>
      </c>
      <c r="E831" s="11" t="s">
        <v>1018</v>
      </c>
      <c r="F831" s="9">
        <v>30</v>
      </c>
      <c r="G831" s="9">
        <v>90</v>
      </c>
      <c r="H831" s="9" t="s">
        <v>868</v>
      </c>
      <c r="I831" s="9">
        <v>24</v>
      </c>
      <c r="J831" s="9">
        <v>60</v>
      </c>
      <c r="K831" s="9" t="s">
        <v>889</v>
      </c>
      <c r="L831" s="27">
        <v>6.1289999999999997E-2</v>
      </c>
      <c r="M831" s="28" t="s">
        <v>3203</v>
      </c>
      <c r="N831" s="17">
        <v>14.9499</v>
      </c>
      <c r="O831" s="1"/>
      <c r="P831" s="38">
        <f t="shared" si="73"/>
        <v>0</v>
      </c>
      <c r="S831" s="24" t="str">
        <f t="shared" si="76"/>
        <v>-</v>
      </c>
      <c r="T831" s="24" t="str">
        <f t="shared" si="74"/>
        <v>-</v>
      </c>
      <c r="U831" s="25" t="str">
        <f t="shared" si="77"/>
        <v>-</v>
      </c>
      <c r="V831" s="26" t="str">
        <f t="shared" si="78"/>
        <v>-</v>
      </c>
      <c r="X831" s="26" t="str">
        <f t="shared" si="75"/>
        <v>-</v>
      </c>
    </row>
    <row r="832" spans="1:24" x14ac:dyDescent="0.3">
      <c r="A832" s="37">
        <v>87614190563</v>
      </c>
      <c r="B832" s="8" t="s">
        <v>1429</v>
      </c>
      <c r="C832" s="10" t="s">
        <v>2205</v>
      </c>
      <c r="D832" s="11" t="s">
        <v>879</v>
      </c>
      <c r="E832" s="11" t="s">
        <v>1018</v>
      </c>
      <c r="F832" s="9">
        <v>30</v>
      </c>
      <c r="G832" s="9">
        <v>90</v>
      </c>
      <c r="H832" s="9" t="s">
        <v>868</v>
      </c>
      <c r="I832" s="9">
        <v>24</v>
      </c>
      <c r="J832" s="9">
        <v>60</v>
      </c>
      <c r="K832" s="9" t="s">
        <v>889</v>
      </c>
      <c r="L832" s="27">
        <v>5.9019999999999996E-2</v>
      </c>
      <c r="M832" s="28" t="s">
        <v>3203</v>
      </c>
      <c r="N832" s="17">
        <v>16.77711</v>
      </c>
      <c r="O832" s="1"/>
      <c r="P832" s="38">
        <f t="shared" si="73"/>
        <v>0</v>
      </c>
      <c r="S832" s="24" t="str">
        <f t="shared" si="76"/>
        <v>-</v>
      </c>
      <c r="T832" s="24" t="str">
        <f t="shared" si="74"/>
        <v>-</v>
      </c>
      <c r="U832" s="25" t="str">
        <f t="shared" si="77"/>
        <v>-</v>
      </c>
      <c r="V832" s="26" t="str">
        <f t="shared" si="78"/>
        <v>-</v>
      </c>
      <c r="X832" s="26" t="str">
        <f t="shared" si="75"/>
        <v>-</v>
      </c>
    </row>
    <row r="833" spans="1:24" x14ac:dyDescent="0.3">
      <c r="A833" s="37">
        <v>87614100098</v>
      </c>
      <c r="B833" s="8" t="s">
        <v>1642</v>
      </c>
      <c r="C833" s="10" t="s">
        <v>2401</v>
      </c>
      <c r="D833" s="11" t="s">
        <v>866</v>
      </c>
      <c r="E833" s="11" t="s">
        <v>2860</v>
      </c>
      <c r="F833" s="9">
        <v>48</v>
      </c>
      <c r="G833" s="9">
        <v>192</v>
      </c>
      <c r="H833" s="9" t="s">
        <v>868</v>
      </c>
      <c r="I833" s="9">
        <v>24</v>
      </c>
      <c r="J833" s="9">
        <v>1</v>
      </c>
      <c r="K833" s="9" t="s">
        <v>887</v>
      </c>
      <c r="L833" s="27">
        <v>5.6750000000000002E-2</v>
      </c>
      <c r="M833" s="28" t="s">
        <v>3203</v>
      </c>
      <c r="N833" s="17">
        <v>5.7806280000000001</v>
      </c>
      <c r="O833" s="1"/>
      <c r="P833" s="38">
        <f t="shared" si="73"/>
        <v>0</v>
      </c>
      <c r="S833" s="24" t="str">
        <f t="shared" si="76"/>
        <v>-</v>
      </c>
      <c r="T833" s="24" t="str">
        <f t="shared" si="74"/>
        <v>-</v>
      </c>
      <c r="U833" s="25" t="str">
        <f t="shared" si="77"/>
        <v>-</v>
      </c>
      <c r="V833" s="26" t="str">
        <f t="shared" si="78"/>
        <v>-</v>
      </c>
      <c r="X833" s="26" t="str">
        <f t="shared" si="75"/>
        <v>-</v>
      </c>
    </row>
    <row r="834" spans="1:24" x14ac:dyDescent="0.3">
      <c r="A834" s="37">
        <v>87614040486</v>
      </c>
      <c r="B834" s="8" t="s">
        <v>1274</v>
      </c>
      <c r="C834" s="10" t="s">
        <v>2069</v>
      </c>
      <c r="D834" s="11" t="s">
        <v>878</v>
      </c>
      <c r="E834" s="11" t="s">
        <v>2865</v>
      </c>
      <c r="F834" s="9">
        <v>16</v>
      </c>
      <c r="G834" s="9">
        <v>48</v>
      </c>
      <c r="H834" s="9" t="s">
        <v>868</v>
      </c>
      <c r="I834" s="9">
        <v>36</v>
      </c>
      <c r="J834" s="9">
        <v>120</v>
      </c>
      <c r="K834" s="9" t="s">
        <v>873</v>
      </c>
      <c r="L834" s="27">
        <v>0.16003499999999998</v>
      </c>
      <c r="M834" s="28" t="s">
        <v>3203</v>
      </c>
      <c r="N834" s="17">
        <v>30.996125999999997</v>
      </c>
      <c r="O834" s="1"/>
      <c r="P834" s="38">
        <f t="shared" si="73"/>
        <v>0</v>
      </c>
      <c r="S834" s="24" t="str">
        <f t="shared" si="76"/>
        <v>-</v>
      </c>
      <c r="T834" s="24" t="str">
        <f t="shared" si="74"/>
        <v>-</v>
      </c>
      <c r="U834" s="25" t="str">
        <f t="shared" si="77"/>
        <v>-</v>
      </c>
      <c r="V834" s="26" t="str">
        <f t="shared" si="78"/>
        <v>-</v>
      </c>
      <c r="X834" s="26" t="str">
        <f t="shared" si="75"/>
        <v>-</v>
      </c>
    </row>
    <row r="835" spans="1:24" x14ac:dyDescent="0.3">
      <c r="A835" s="37">
        <v>87614170114</v>
      </c>
      <c r="B835" s="8" t="s">
        <v>1441</v>
      </c>
      <c r="C835" s="10" t="s">
        <v>2215</v>
      </c>
      <c r="D835" s="11" t="s">
        <v>874</v>
      </c>
      <c r="E835" s="11" t="s">
        <v>2819</v>
      </c>
      <c r="F835" s="9">
        <v>30</v>
      </c>
      <c r="G835" s="9">
        <v>90</v>
      </c>
      <c r="H835" s="9" t="s">
        <v>868</v>
      </c>
      <c r="I835" s="9">
        <v>24</v>
      </c>
      <c r="J835" s="9">
        <v>60</v>
      </c>
      <c r="K835" s="9" t="s">
        <v>869</v>
      </c>
      <c r="L835" s="27">
        <v>0.12485</v>
      </c>
      <c r="M835" s="28" t="s">
        <v>3203</v>
      </c>
      <c r="N835" s="17">
        <v>7.6742819999999998</v>
      </c>
      <c r="O835" s="1"/>
      <c r="P835" s="38">
        <f t="shared" ref="P835:P898" si="79">O835*N835</f>
        <v>0</v>
      </c>
      <c r="S835" s="24" t="str">
        <f t="shared" si="76"/>
        <v>-</v>
      </c>
      <c r="T835" s="24" t="str">
        <f t="shared" ref="T835:T898" si="80">IF(O835&gt;0,N835+L835*O835/$U$2*$V$2/O835,"-")</f>
        <v>-</v>
      </c>
      <c r="U835" s="25" t="str">
        <f t="shared" si="77"/>
        <v>-</v>
      </c>
      <c r="V835" s="26" t="str">
        <f t="shared" si="78"/>
        <v>-</v>
      </c>
      <c r="X835" s="26" t="str">
        <f t="shared" ref="X835:X898" si="81">IFERROR(IF(V835+P835=0, "-", IF(V835&gt;0, V835+P835, "-")), "-")</f>
        <v>-</v>
      </c>
    </row>
    <row r="836" spans="1:24" x14ac:dyDescent="0.3">
      <c r="A836" s="37">
        <v>87614170626</v>
      </c>
      <c r="B836" s="8" t="s">
        <v>1893</v>
      </c>
      <c r="C836" s="10" t="s">
        <v>2617</v>
      </c>
      <c r="D836" s="11" t="s">
        <v>874</v>
      </c>
      <c r="E836" s="11" t="s">
        <v>1118</v>
      </c>
      <c r="F836" s="9">
        <v>30</v>
      </c>
      <c r="G836" s="9">
        <v>90</v>
      </c>
      <c r="H836" s="9" t="s">
        <v>868</v>
      </c>
      <c r="I836" s="9">
        <v>24</v>
      </c>
      <c r="J836" s="9">
        <v>30</v>
      </c>
      <c r="K836" s="9" t="s">
        <v>869</v>
      </c>
      <c r="L836" s="27">
        <v>8.1720000000000001E-2</v>
      </c>
      <c r="M836" s="28" t="s">
        <v>3203</v>
      </c>
      <c r="N836" s="17">
        <v>6.4782900000000003</v>
      </c>
      <c r="O836" s="1"/>
      <c r="P836" s="38">
        <f t="shared" si="79"/>
        <v>0</v>
      </c>
      <c r="S836" s="24" t="str">
        <f t="shared" ref="S836:S899" si="82">IFERROR(IF(S$2*L836=0, "-", $S$2*L836), "-")</f>
        <v>-</v>
      </c>
      <c r="T836" s="24" t="str">
        <f t="shared" si="80"/>
        <v>-</v>
      </c>
      <c r="U836" s="25" t="str">
        <f t="shared" ref="U836:U899" si="83">IF(O836&gt;0,O836*L836, "-")</f>
        <v>-</v>
      </c>
      <c r="V836" s="26" t="str">
        <f t="shared" ref="V836:V899" si="84">IFERROR(IF($S$2&gt;0, $S$2*U836, "-"), "-")</f>
        <v>-</v>
      </c>
      <c r="X836" s="26" t="str">
        <f t="shared" si="81"/>
        <v>-</v>
      </c>
    </row>
    <row r="837" spans="1:24" x14ac:dyDescent="0.3">
      <c r="A837" s="37">
        <v>87614240305</v>
      </c>
      <c r="B837" s="8" t="s">
        <v>1156</v>
      </c>
      <c r="C837" s="10" t="s">
        <v>1980</v>
      </c>
      <c r="D837" s="11" t="s">
        <v>866</v>
      </c>
      <c r="E837" s="11" t="s">
        <v>956</v>
      </c>
      <c r="F837" s="9">
        <v>9</v>
      </c>
      <c r="G837" s="9">
        <v>36</v>
      </c>
      <c r="H837" s="9" t="s">
        <v>868</v>
      </c>
      <c r="I837" s="9">
        <v>36</v>
      </c>
      <c r="J837" s="9">
        <v>1</v>
      </c>
      <c r="K837" s="9" t="s">
        <v>880</v>
      </c>
      <c r="L837" s="27">
        <v>0.16230499999999998</v>
      </c>
      <c r="M837" s="28" t="s">
        <v>3203</v>
      </c>
      <c r="N837" s="17">
        <v>12.690804</v>
      </c>
      <c r="O837" s="1"/>
      <c r="P837" s="38">
        <f t="shared" si="79"/>
        <v>0</v>
      </c>
      <c r="S837" s="24" t="str">
        <f t="shared" si="82"/>
        <v>-</v>
      </c>
      <c r="T837" s="24" t="str">
        <f t="shared" si="80"/>
        <v>-</v>
      </c>
      <c r="U837" s="25" t="str">
        <f t="shared" si="83"/>
        <v>-</v>
      </c>
      <c r="V837" s="26" t="str">
        <f t="shared" si="84"/>
        <v>-</v>
      </c>
      <c r="X837" s="26" t="str">
        <f t="shared" si="81"/>
        <v>-</v>
      </c>
    </row>
    <row r="838" spans="1:24" x14ac:dyDescent="0.3">
      <c r="A838" s="37">
        <v>87614140087</v>
      </c>
      <c r="B838" s="8" t="s">
        <v>1704</v>
      </c>
      <c r="C838" s="10" t="s">
        <v>2452</v>
      </c>
      <c r="D838" s="11" t="s">
        <v>902</v>
      </c>
      <c r="E838" s="11" t="s">
        <v>933</v>
      </c>
      <c r="F838" s="9">
        <v>30</v>
      </c>
      <c r="G838" s="9">
        <v>90</v>
      </c>
      <c r="H838" s="9" t="s">
        <v>868</v>
      </c>
      <c r="I838" s="9">
        <v>18</v>
      </c>
      <c r="J838" s="9">
        <v>60</v>
      </c>
      <c r="K838" s="9" t="s">
        <v>873</v>
      </c>
      <c r="L838" s="27">
        <v>8.3989999999999995E-2</v>
      </c>
      <c r="M838" s="28" t="s">
        <v>3203</v>
      </c>
      <c r="N838" s="17">
        <v>13.438299000000001</v>
      </c>
      <c r="O838" s="1"/>
      <c r="P838" s="38">
        <f t="shared" si="79"/>
        <v>0</v>
      </c>
      <c r="S838" s="24" t="str">
        <f t="shared" si="82"/>
        <v>-</v>
      </c>
      <c r="T838" s="24" t="str">
        <f t="shared" si="80"/>
        <v>-</v>
      </c>
      <c r="U838" s="25" t="str">
        <f t="shared" si="83"/>
        <v>-</v>
      </c>
      <c r="V838" s="26" t="str">
        <f t="shared" si="84"/>
        <v>-</v>
      </c>
      <c r="X838" s="26" t="str">
        <f t="shared" si="81"/>
        <v>-</v>
      </c>
    </row>
    <row r="839" spans="1:24" x14ac:dyDescent="0.3">
      <c r="A839" s="37">
        <v>87614141367</v>
      </c>
      <c r="B839" s="8" t="s">
        <v>1715</v>
      </c>
      <c r="C839" s="10" t="s">
        <v>2460</v>
      </c>
      <c r="D839" s="11" t="s">
        <v>882</v>
      </c>
      <c r="E839" s="11" t="s">
        <v>958</v>
      </c>
      <c r="F839" s="9">
        <v>30</v>
      </c>
      <c r="G839" s="9">
        <v>90</v>
      </c>
      <c r="H839" s="9" t="s">
        <v>868</v>
      </c>
      <c r="I839" s="9">
        <v>24</v>
      </c>
      <c r="J839" s="9">
        <v>60</v>
      </c>
      <c r="K839" s="9" t="s">
        <v>873</v>
      </c>
      <c r="L839" s="27">
        <v>7.6045000000000001E-2</v>
      </c>
      <c r="M839" s="28" t="s">
        <v>3203</v>
      </c>
      <c r="N839" s="17">
        <v>8.1227789999999995</v>
      </c>
      <c r="O839" s="1"/>
      <c r="P839" s="38">
        <f t="shared" si="79"/>
        <v>0</v>
      </c>
      <c r="S839" s="24" t="str">
        <f t="shared" si="82"/>
        <v>-</v>
      </c>
      <c r="T839" s="24" t="str">
        <f t="shared" si="80"/>
        <v>-</v>
      </c>
      <c r="U839" s="25" t="str">
        <f t="shared" si="83"/>
        <v>-</v>
      </c>
      <c r="V839" s="26" t="str">
        <f t="shared" si="84"/>
        <v>-</v>
      </c>
      <c r="X839" s="26" t="str">
        <f t="shared" si="81"/>
        <v>-</v>
      </c>
    </row>
    <row r="840" spans="1:24" x14ac:dyDescent="0.3">
      <c r="A840" s="37">
        <v>87614141404</v>
      </c>
      <c r="B840" s="8" t="s">
        <v>1337</v>
      </c>
      <c r="C840" s="10" t="s">
        <v>3012</v>
      </c>
      <c r="D840" s="11" t="s">
        <v>874</v>
      </c>
      <c r="E840" s="11" t="s">
        <v>919</v>
      </c>
      <c r="F840" s="9">
        <v>30</v>
      </c>
      <c r="G840" s="9">
        <v>90</v>
      </c>
      <c r="H840" s="9" t="s">
        <v>868</v>
      </c>
      <c r="I840" s="9">
        <v>24</v>
      </c>
      <c r="J840" s="9">
        <v>90</v>
      </c>
      <c r="K840" s="9" t="s">
        <v>873</v>
      </c>
      <c r="L840" s="27">
        <v>6.3560000000000005E-2</v>
      </c>
      <c r="M840" s="28" t="s">
        <v>3203</v>
      </c>
      <c r="N840" s="17">
        <v>4.6843019999999997</v>
      </c>
      <c r="O840" s="1"/>
      <c r="P840" s="38">
        <f t="shared" si="79"/>
        <v>0</v>
      </c>
      <c r="S840" s="24" t="str">
        <f t="shared" si="82"/>
        <v>-</v>
      </c>
      <c r="T840" s="24" t="str">
        <f t="shared" si="80"/>
        <v>-</v>
      </c>
      <c r="U840" s="25" t="str">
        <f t="shared" si="83"/>
        <v>-</v>
      </c>
      <c r="V840" s="26" t="str">
        <f t="shared" si="84"/>
        <v>-</v>
      </c>
      <c r="X840" s="26" t="str">
        <f t="shared" si="81"/>
        <v>-</v>
      </c>
    </row>
    <row r="841" spans="1:24" x14ac:dyDescent="0.3">
      <c r="A841" s="37">
        <v>87614141497</v>
      </c>
      <c r="B841" s="8" t="s">
        <v>1449</v>
      </c>
      <c r="C841" s="10" t="s">
        <v>2222</v>
      </c>
      <c r="D841" s="11" t="s">
        <v>866</v>
      </c>
      <c r="E841" s="11" t="s">
        <v>950</v>
      </c>
      <c r="F841" s="9">
        <v>30</v>
      </c>
      <c r="G841" s="9">
        <v>90</v>
      </c>
      <c r="H841" s="9" t="s">
        <v>868</v>
      </c>
      <c r="I841" s="9">
        <v>24</v>
      </c>
      <c r="J841" s="9">
        <v>60</v>
      </c>
      <c r="K841" s="9" t="s">
        <v>873</v>
      </c>
      <c r="L841" s="27">
        <v>8.1720000000000001E-2</v>
      </c>
      <c r="M841" s="28" t="s">
        <v>3203</v>
      </c>
      <c r="N841" s="17">
        <v>6.9766200000000005</v>
      </c>
      <c r="O841" s="1"/>
      <c r="P841" s="38">
        <f t="shared" si="79"/>
        <v>0</v>
      </c>
      <c r="S841" s="24" t="str">
        <f t="shared" si="82"/>
        <v>-</v>
      </c>
      <c r="T841" s="24" t="str">
        <f t="shared" si="80"/>
        <v>-</v>
      </c>
      <c r="U841" s="25" t="str">
        <f t="shared" si="83"/>
        <v>-</v>
      </c>
      <c r="V841" s="26" t="str">
        <f t="shared" si="84"/>
        <v>-</v>
      </c>
      <c r="X841" s="26" t="str">
        <f t="shared" si="81"/>
        <v>-</v>
      </c>
    </row>
    <row r="842" spans="1:24" x14ac:dyDescent="0.3">
      <c r="A842" s="37">
        <v>87614141589</v>
      </c>
      <c r="B842" s="8" t="s">
        <v>1338</v>
      </c>
      <c r="C842" s="10" t="s">
        <v>2119</v>
      </c>
      <c r="D842" s="11" t="s">
        <v>874</v>
      </c>
      <c r="E842" s="11" t="s">
        <v>925</v>
      </c>
      <c r="F842" s="9">
        <v>20</v>
      </c>
      <c r="G842" s="9">
        <v>60</v>
      </c>
      <c r="H842" s="9" t="s">
        <v>868</v>
      </c>
      <c r="I842" s="9">
        <v>36</v>
      </c>
      <c r="J842" s="9">
        <v>60</v>
      </c>
      <c r="K842" s="9" t="s">
        <v>873</v>
      </c>
      <c r="L842" s="27">
        <v>8.2854999999999998E-2</v>
      </c>
      <c r="M842" s="28" t="s">
        <v>3203</v>
      </c>
      <c r="N842" s="17">
        <v>4.3853039999999996</v>
      </c>
      <c r="O842" s="1"/>
      <c r="P842" s="38">
        <f t="shared" si="79"/>
        <v>0</v>
      </c>
      <c r="S842" s="24" t="str">
        <f t="shared" si="82"/>
        <v>-</v>
      </c>
      <c r="T842" s="24" t="str">
        <f t="shared" si="80"/>
        <v>-</v>
      </c>
      <c r="U842" s="25" t="str">
        <f t="shared" si="83"/>
        <v>-</v>
      </c>
      <c r="V842" s="26" t="str">
        <f t="shared" si="84"/>
        <v>-</v>
      </c>
      <c r="X842" s="26" t="str">
        <f t="shared" si="81"/>
        <v>-</v>
      </c>
    </row>
    <row r="843" spans="1:24" x14ac:dyDescent="0.3">
      <c r="A843" s="37">
        <v>87614141879</v>
      </c>
      <c r="B843" s="8" t="s">
        <v>1194</v>
      </c>
      <c r="C843" s="10" t="s">
        <v>2011</v>
      </c>
      <c r="D843" s="11" t="s">
        <v>874</v>
      </c>
      <c r="E843" s="11" t="s">
        <v>919</v>
      </c>
      <c r="F843" s="9">
        <v>30</v>
      </c>
      <c r="G843" s="9">
        <v>90</v>
      </c>
      <c r="H843" s="9" t="s">
        <v>868</v>
      </c>
      <c r="I843" s="9">
        <v>24</v>
      </c>
      <c r="J843" s="9">
        <v>60</v>
      </c>
      <c r="K843" s="9" t="s">
        <v>873</v>
      </c>
      <c r="L843" s="27">
        <v>8.058499999999999E-2</v>
      </c>
      <c r="M843" s="28" t="s">
        <v>3203</v>
      </c>
      <c r="N843" s="17">
        <v>8.6377199999999998</v>
      </c>
      <c r="O843" s="1"/>
      <c r="P843" s="38">
        <f t="shared" si="79"/>
        <v>0</v>
      </c>
      <c r="S843" s="24" t="str">
        <f t="shared" si="82"/>
        <v>-</v>
      </c>
      <c r="T843" s="24" t="str">
        <f t="shared" si="80"/>
        <v>-</v>
      </c>
      <c r="U843" s="25" t="str">
        <f t="shared" si="83"/>
        <v>-</v>
      </c>
      <c r="V843" s="26" t="str">
        <f t="shared" si="84"/>
        <v>-</v>
      </c>
      <c r="X843" s="26" t="str">
        <f t="shared" si="81"/>
        <v>-</v>
      </c>
    </row>
    <row r="844" spans="1:24" x14ac:dyDescent="0.3">
      <c r="A844" s="37">
        <v>87614141923</v>
      </c>
      <c r="B844" s="8" t="s">
        <v>1719</v>
      </c>
      <c r="C844" s="10" t="s">
        <v>2464</v>
      </c>
      <c r="D844" s="11" t="s">
        <v>874</v>
      </c>
      <c r="E844" s="11" t="s">
        <v>914</v>
      </c>
      <c r="F844" s="9">
        <v>30</v>
      </c>
      <c r="G844" s="9">
        <v>90</v>
      </c>
      <c r="H844" s="9" t="s">
        <v>868</v>
      </c>
      <c r="I844" s="9">
        <v>24</v>
      </c>
      <c r="J844" s="9">
        <v>60</v>
      </c>
      <c r="K844" s="9" t="s">
        <v>873</v>
      </c>
      <c r="L844" s="27">
        <v>5.2209999999999999E-2</v>
      </c>
      <c r="M844" s="28" t="s">
        <v>3203</v>
      </c>
      <c r="N844" s="17">
        <v>5.0663549999999997</v>
      </c>
      <c r="O844" s="1"/>
      <c r="P844" s="38">
        <f t="shared" si="79"/>
        <v>0</v>
      </c>
      <c r="S844" s="24" t="str">
        <f t="shared" si="82"/>
        <v>-</v>
      </c>
      <c r="T844" s="24" t="str">
        <f t="shared" si="80"/>
        <v>-</v>
      </c>
      <c r="U844" s="25" t="str">
        <f t="shared" si="83"/>
        <v>-</v>
      </c>
      <c r="V844" s="26" t="str">
        <f t="shared" si="84"/>
        <v>-</v>
      </c>
      <c r="X844" s="26" t="str">
        <f t="shared" si="81"/>
        <v>-</v>
      </c>
    </row>
    <row r="845" spans="1:24" x14ac:dyDescent="0.3">
      <c r="A845" s="37">
        <v>87614142302</v>
      </c>
      <c r="B845" s="8" t="s">
        <v>1725</v>
      </c>
      <c r="C845" s="10" t="s">
        <v>3155</v>
      </c>
      <c r="D845" s="11" t="s">
        <v>879</v>
      </c>
      <c r="E845" s="11" t="s">
        <v>1030</v>
      </c>
      <c r="F845" s="9">
        <v>30</v>
      </c>
      <c r="G845" s="9">
        <v>90</v>
      </c>
      <c r="H845" s="9" t="s">
        <v>868</v>
      </c>
      <c r="I845" s="9">
        <v>24</v>
      </c>
      <c r="J845" s="9">
        <v>60</v>
      </c>
      <c r="K845" s="9" t="s">
        <v>2903</v>
      </c>
      <c r="L845" s="27">
        <v>5.1074999999999995E-2</v>
      </c>
      <c r="M845" s="28" t="s">
        <v>3203</v>
      </c>
      <c r="N845" s="17">
        <v>8.6875530000000012</v>
      </c>
      <c r="O845" s="1"/>
      <c r="P845" s="38">
        <f t="shared" si="79"/>
        <v>0</v>
      </c>
      <c r="S845" s="24" t="str">
        <f t="shared" si="82"/>
        <v>-</v>
      </c>
      <c r="T845" s="24" t="str">
        <f t="shared" si="80"/>
        <v>-</v>
      </c>
      <c r="U845" s="25" t="str">
        <f t="shared" si="83"/>
        <v>-</v>
      </c>
      <c r="V845" s="26" t="str">
        <f t="shared" si="84"/>
        <v>-</v>
      </c>
      <c r="X845" s="26" t="str">
        <f t="shared" si="81"/>
        <v>-</v>
      </c>
    </row>
    <row r="846" spans="1:24" x14ac:dyDescent="0.3">
      <c r="A846" s="37">
        <v>87614142425</v>
      </c>
      <c r="B846" s="8" t="s">
        <v>588</v>
      </c>
      <c r="C846" s="10" t="s">
        <v>589</v>
      </c>
      <c r="D846" s="11" t="s">
        <v>872</v>
      </c>
      <c r="E846" s="11" t="s">
        <v>942</v>
      </c>
      <c r="F846" s="9">
        <v>30</v>
      </c>
      <c r="G846" s="9">
        <v>90</v>
      </c>
      <c r="H846" s="9" t="s">
        <v>892</v>
      </c>
      <c r="I846" s="9">
        <v>24</v>
      </c>
      <c r="J846" s="9">
        <v>60</v>
      </c>
      <c r="K846" s="9" t="s">
        <v>873</v>
      </c>
      <c r="L846" s="27">
        <v>7.831500000000001E-2</v>
      </c>
      <c r="M846" s="28" t="s">
        <v>3203</v>
      </c>
      <c r="N846" s="17">
        <v>7.2756179999999997</v>
      </c>
      <c r="O846" s="1"/>
      <c r="P846" s="38">
        <f t="shared" si="79"/>
        <v>0</v>
      </c>
      <c r="S846" s="24" t="str">
        <f t="shared" si="82"/>
        <v>-</v>
      </c>
      <c r="T846" s="24" t="str">
        <f t="shared" si="80"/>
        <v>-</v>
      </c>
      <c r="U846" s="25" t="str">
        <f t="shared" si="83"/>
        <v>-</v>
      </c>
      <c r="V846" s="26" t="str">
        <f t="shared" si="84"/>
        <v>-</v>
      </c>
      <c r="X846" s="26" t="str">
        <f t="shared" si="81"/>
        <v>-</v>
      </c>
    </row>
    <row r="847" spans="1:24" x14ac:dyDescent="0.3">
      <c r="A847" s="37">
        <v>87614142739</v>
      </c>
      <c r="B847" s="8" t="s">
        <v>1341</v>
      </c>
      <c r="C847" s="10" t="s">
        <v>2121</v>
      </c>
      <c r="D847" s="11" t="s">
        <v>879</v>
      </c>
      <c r="E847" s="11" t="s">
        <v>1030</v>
      </c>
      <c r="F847" s="9">
        <v>30</v>
      </c>
      <c r="G847" s="9">
        <v>90</v>
      </c>
      <c r="H847" s="9" t="s">
        <v>868</v>
      </c>
      <c r="I847" s="9">
        <v>24</v>
      </c>
      <c r="J847" s="9">
        <v>30</v>
      </c>
      <c r="K847" s="9" t="s">
        <v>889</v>
      </c>
      <c r="L847" s="27">
        <v>2.8375000000000001E-2</v>
      </c>
      <c r="M847" s="28" t="s">
        <v>3203</v>
      </c>
      <c r="N847" s="17">
        <v>11.262258000000001</v>
      </c>
      <c r="O847" s="1"/>
      <c r="P847" s="38">
        <f t="shared" si="79"/>
        <v>0</v>
      </c>
      <c r="S847" s="24" t="str">
        <f t="shared" si="82"/>
        <v>-</v>
      </c>
      <c r="T847" s="24" t="str">
        <f t="shared" si="80"/>
        <v>-</v>
      </c>
      <c r="U847" s="25" t="str">
        <f t="shared" si="83"/>
        <v>-</v>
      </c>
      <c r="V847" s="26" t="str">
        <f t="shared" si="84"/>
        <v>-</v>
      </c>
      <c r="X847" s="26" t="str">
        <f t="shared" si="81"/>
        <v>-</v>
      </c>
    </row>
    <row r="848" spans="1:24" x14ac:dyDescent="0.3">
      <c r="A848" s="37">
        <v>87614142791</v>
      </c>
      <c r="B848" s="8" t="s">
        <v>1739</v>
      </c>
      <c r="C848" s="10" t="s">
        <v>2479</v>
      </c>
      <c r="D848" s="11" t="s">
        <v>883</v>
      </c>
      <c r="E848" s="11" t="s">
        <v>1050</v>
      </c>
      <c r="F848" s="9">
        <v>30</v>
      </c>
      <c r="G848" s="9">
        <v>90</v>
      </c>
      <c r="H848" s="9" t="s">
        <v>868</v>
      </c>
      <c r="I848" s="9">
        <v>24</v>
      </c>
      <c r="J848" s="9">
        <v>60</v>
      </c>
      <c r="K848" s="9" t="s">
        <v>873</v>
      </c>
      <c r="L848" s="27">
        <v>9.0800000000000006E-2</v>
      </c>
      <c r="M848" s="28" t="s">
        <v>3203</v>
      </c>
      <c r="N848" s="17">
        <v>17.092719000000002</v>
      </c>
      <c r="O848" s="1"/>
      <c r="P848" s="38">
        <f t="shared" si="79"/>
        <v>0</v>
      </c>
      <c r="S848" s="24" t="str">
        <f t="shared" si="82"/>
        <v>-</v>
      </c>
      <c r="T848" s="24" t="str">
        <f t="shared" si="80"/>
        <v>-</v>
      </c>
      <c r="U848" s="25" t="str">
        <f t="shared" si="83"/>
        <v>-</v>
      </c>
      <c r="V848" s="26" t="str">
        <f t="shared" si="84"/>
        <v>-</v>
      </c>
      <c r="X848" s="26" t="str">
        <f t="shared" si="81"/>
        <v>-</v>
      </c>
    </row>
    <row r="849" spans="1:24" x14ac:dyDescent="0.3">
      <c r="A849" s="37">
        <v>87614142883</v>
      </c>
      <c r="B849" s="8" t="s">
        <v>1178</v>
      </c>
      <c r="C849" s="10" t="s">
        <v>1997</v>
      </c>
      <c r="D849" s="11" t="s">
        <v>881</v>
      </c>
      <c r="E849" s="11" t="s">
        <v>923</v>
      </c>
      <c r="F849" s="9">
        <v>30</v>
      </c>
      <c r="G849" s="9">
        <v>90</v>
      </c>
      <c r="H849" s="9" t="s">
        <v>868</v>
      </c>
      <c r="I849" s="9">
        <v>24</v>
      </c>
      <c r="J849" s="9">
        <v>60</v>
      </c>
      <c r="K849" s="9" t="s">
        <v>873</v>
      </c>
      <c r="L849" s="27">
        <v>6.2425000000000001E-2</v>
      </c>
      <c r="M849" s="28" t="s">
        <v>3203</v>
      </c>
      <c r="N849" s="17">
        <v>12.375195</v>
      </c>
      <c r="O849" s="1"/>
      <c r="P849" s="38">
        <f t="shared" si="79"/>
        <v>0</v>
      </c>
      <c r="S849" s="24" t="str">
        <f t="shared" si="82"/>
        <v>-</v>
      </c>
      <c r="T849" s="24" t="str">
        <f t="shared" si="80"/>
        <v>-</v>
      </c>
      <c r="U849" s="25" t="str">
        <f t="shared" si="83"/>
        <v>-</v>
      </c>
      <c r="V849" s="26" t="str">
        <f t="shared" si="84"/>
        <v>-</v>
      </c>
      <c r="X849" s="26" t="str">
        <f t="shared" si="81"/>
        <v>-</v>
      </c>
    </row>
    <row r="850" spans="1:24" x14ac:dyDescent="0.3">
      <c r="A850" s="37">
        <v>87614180298</v>
      </c>
      <c r="B850" s="8" t="s">
        <v>1744</v>
      </c>
      <c r="C850" s="10" t="s">
        <v>2484</v>
      </c>
      <c r="D850" s="11" t="s">
        <v>866</v>
      </c>
      <c r="E850" s="11" t="s">
        <v>956</v>
      </c>
      <c r="F850" s="9">
        <v>30</v>
      </c>
      <c r="G850" s="9">
        <v>90</v>
      </c>
      <c r="H850" s="9" t="s">
        <v>868</v>
      </c>
      <c r="I850" s="9">
        <v>24</v>
      </c>
      <c r="J850" s="9">
        <v>300</v>
      </c>
      <c r="K850" s="9" t="s">
        <v>877</v>
      </c>
      <c r="L850" s="27">
        <v>9.5340000000000008E-2</v>
      </c>
      <c r="M850" s="28" t="s">
        <v>3203</v>
      </c>
      <c r="N850" s="17">
        <v>5.4317969999999995</v>
      </c>
      <c r="O850" s="1"/>
      <c r="P850" s="38">
        <f t="shared" si="79"/>
        <v>0</v>
      </c>
      <c r="S850" s="24" t="str">
        <f t="shared" si="82"/>
        <v>-</v>
      </c>
      <c r="T850" s="24" t="str">
        <f t="shared" si="80"/>
        <v>-</v>
      </c>
      <c r="U850" s="25" t="str">
        <f t="shared" si="83"/>
        <v>-</v>
      </c>
      <c r="V850" s="26" t="str">
        <f t="shared" si="84"/>
        <v>-</v>
      </c>
      <c r="X850" s="26" t="str">
        <f t="shared" si="81"/>
        <v>-</v>
      </c>
    </row>
    <row r="851" spans="1:24" x14ac:dyDescent="0.3">
      <c r="A851" s="37">
        <v>87614200248</v>
      </c>
      <c r="B851" s="8" t="s">
        <v>596</v>
      </c>
      <c r="C851" s="10" t="s">
        <v>3156</v>
      </c>
      <c r="D851" s="11" t="s">
        <v>879</v>
      </c>
      <c r="E851" s="11" t="s">
        <v>1018</v>
      </c>
      <c r="F851" s="9">
        <v>30</v>
      </c>
      <c r="G851" s="9">
        <v>90</v>
      </c>
      <c r="H851" s="9" t="s">
        <v>868</v>
      </c>
      <c r="I851" s="9">
        <v>24</v>
      </c>
      <c r="J851" s="9">
        <v>30</v>
      </c>
      <c r="K851" s="9" t="s">
        <v>2903</v>
      </c>
      <c r="L851" s="27">
        <v>4.5400000000000003E-2</v>
      </c>
      <c r="M851" s="28" t="s">
        <v>3203</v>
      </c>
      <c r="N851" s="17">
        <v>17.507994</v>
      </c>
      <c r="O851" s="1"/>
      <c r="P851" s="38">
        <f t="shared" si="79"/>
        <v>0</v>
      </c>
      <c r="S851" s="24" t="str">
        <f t="shared" si="82"/>
        <v>-</v>
      </c>
      <c r="T851" s="24" t="str">
        <f t="shared" si="80"/>
        <v>-</v>
      </c>
      <c r="U851" s="25" t="str">
        <f t="shared" si="83"/>
        <v>-</v>
      </c>
      <c r="V851" s="26" t="str">
        <f t="shared" si="84"/>
        <v>-</v>
      </c>
      <c r="X851" s="26" t="str">
        <f t="shared" si="81"/>
        <v>-</v>
      </c>
    </row>
    <row r="852" spans="1:24" x14ac:dyDescent="0.3">
      <c r="A852" s="37">
        <v>87614080048</v>
      </c>
      <c r="B852" s="8" t="s">
        <v>1459</v>
      </c>
      <c r="C852" s="10" t="s">
        <v>2231</v>
      </c>
      <c r="D852" s="11" t="s">
        <v>886</v>
      </c>
      <c r="E852" s="11" t="s">
        <v>2813</v>
      </c>
      <c r="F852" s="9">
        <v>30</v>
      </c>
      <c r="G852" s="9">
        <v>90</v>
      </c>
      <c r="H852" s="9" t="s">
        <v>868</v>
      </c>
      <c r="I852" s="9">
        <v>24</v>
      </c>
      <c r="J852" s="9">
        <v>45</v>
      </c>
      <c r="K852" s="9" t="s">
        <v>877</v>
      </c>
      <c r="L852" s="27">
        <v>0.10442</v>
      </c>
      <c r="M852" s="28" t="s">
        <v>3203</v>
      </c>
      <c r="N852" s="17">
        <v>4.8670230000000005</v>
      </c>
      <c r="O852" s="1"/>
      <c r="P852" s="38">
        <f t="shared" si="79"/>
        <v>0</v>
      </c>
      <c r="S852" s="24" t="str">
        <f t="shared" si="82"/>
        <v>-</v>
      </c>
      <c r="T852" s="24" t="str">
        <f t="shared" si="80"/>
        <v>-</v>
      </c>
      <c r="U852" s="25" t="str">
        <f t="shared" si="83"/>
        <v>-</v>
      </c>
      <c r="V852" s="26" t="str">
        <f t="shared" si="84"/>
        <v>-</v>
      </c>
      <c r="X852" s="26" t="str">
        <f t="shared" si="81"/>
        <v>-</v>
      </c>
    </row>
    <row r="853" spans="1:24" x14ac:dyDescent="0.3">
      <c r="A853" s="37">
        <v>87614080239</v>
      </c>
      <c r="B853" s="8" t="s">
        <v>1462</v>
      </c>
      <c r="C853" s="10" t="s">
        <v>2234</v>
      </c>
      <c r="D853" s="11" t="s">
        <v>886</v>
      </c>
      <c r="E853" s="11" t="s">
        <v>2882</v>
      </c>
      <c r="F853" s="9">
        <v>30</v>
      </c>
      <c r="G853" s="9">
        <v>90</v>
      </c>
      <c r="H853" s="9" t="s">
        <v>868</v>
      </c>
      <c r="I853" s="9">
        <v>24</v>
      </c>
      <c r="J853" s="9">
        <v>60</v>
      </c>
      <c r="K853" s="9" t="s">
        <v>889</v>
      </c>
      <c r="L853" s="27">
        <v>9.5340000000000008E-2</v>
      </c>
      <c r="M853" s="28" t="s">
        <v>3203</v>
      </c>
      <c r="N853" s="17">
        <v>10.730706</v>
      </c>
      <c r="O853" s="1"/>
      <c r="P853" s="38">
        <f t="shared" si="79"/>
        <v>0</v>
      </c>
      <c r="S853" s="24" t="str">
        <f t="shared" si="82"/>
        <v>-</v>
      </c>
      <c r="T853" s="24" t="str">
        <f t="shared" si="80"/>
        <v>-</v>
      </c>
      <c r="U853" s="25" t="str">
        <f t="shared" si="83"/>
        <v>-</v>
      </c>
      <c r="V853" s="26" t="str">
        <f t="shared" si="84"/>
        <v>-</v>
      </c>
      <c r="X853" s="26" t="str">
        <f t="shared" si="81"/>
        <v>-</v>
      </c>
    </row>
    <row r="854" spans="1:24" x14ac:dyDescent="0.3">
      <c r="A854" s="37">
        <v>87614060040</v>
      </c>
      <c r="B854" s="8" t="s">
        <v>1749</v>
      </c>
      <c r="C854" s="10" t="s">
        <v>2487</v>
      </c>
      <c r="D854" s="11" t="s">
        <v>907</v>
      </c>
      <c r="E854" s="11" t="s">
        <v>2851</v>
      </c>
      <c r="F854" s="9">
        <v>12</v>
      </c>
      <c r="G854" s="9">
        <v>24</v>
      </c>
      <c r="H854" s="9" t="s">
        <v>892</v>
      </c>
      <c r="I854" s="9">
        <v>24</v>
      </c>
      <c r="J854" s="9">
        <v>1</v>
      </c>
      <c r="K854" s="9" t="s">
        <v>880</v>
      </c>
      <c r="L854" s="27">
        <v>0.22700000000000001</v>
      </c>
      <c r="M854" s="28" t="s">
        <v>3203</v>
      </c>
      <c r="N854" s="17">
        <v>11.660921999999999</v>
      </c>
      <c r="O854" s="1"/>
      <c r="P854" s="38">
        <f t="shared" si="79"/>
        <v>0</v>
      </c>
      <c r="S854" s="24" t="str">
        <f t="shared" si="82"/>
        <v>-</v>
      </c>
      <c r="T854" s="24" t="str">
        <f t="shared" si="80"/>
        <v>-</v>
      </c>
      <c r="U854" s="25" t="str">
        <f t="shared" si="83"/>
        <v>-</v>
      </c>
      <c r="V854" s="26" t="str">
        <f t="shared" si="84"/>
        <v>-</v>
      </c>
      <c r="X854" s="26" t="str">
        <f t="shared" si="81"/>
        <v>-</v>
      </c>
    </row>
    <row r="855" spans="1:24" x14ac:dyDescent="0.3">
      <c r="A855" s="37">
        <v>87614060064</v>
      </c>
      <c r="B855" s="8" t="s">
        <v>601</v>
      </c>
      <c r="C855" s="10" t="s">
        <v>3018</v>
      </c>
      <c r="D855" s="11" t="s">
        <v>866</v>
      </c>
      <c r="E855" s="11" t="s">
        <v>956</v>
      </c>
      <c r="F855" s="9">
        <v>12</v>
      </c>
      <c r="G855" s="9">
        <v>24</v>
      </c>
      <c r="H855" s="9" t="s">
        <v>868</v>
      </c>
      <c r="I855" s="9">
        <v>36</v>
      </c>
      <c r="J855" s="9">
        <v>360</v>
      </c>
      <c r="K855" s="9" t="s">
        <v>3049</v>
      </c>
      <c r="L855" s="27">
        <v>0.26899499999999998</v>
      </c>
      <c r="M855" s="28" t="s">
        <v>3203</v>
      </c>
      <c r="N855" s="17">
        <v>18.371766000000001</v>
      </c>
      <c r="O855" s="1"/>
      <c r="P855" s="38">
        <f t="shared" si="79"/>
        <v>0</v>
      </c>
      <c r="S855" s="24" t="str">
        <f t="shared" si="82"/>
        <v>-</v>
      </c>
      <c r="T855" s="24" t="str">
        <f t="shared" si="80"/>
        <v>-</v>
      </c>
      <c r="U855" s="25" t="str">
        <f t="shared" si="83"/>
        <v>-</v>
      </c>
      <c r="V855" s="26" t="str">
        <f t="shared" si="84"/>
        <v>-</v>
      </c>
      <c r="X855" s="26" t="str">
        <f t="shared" si="81"/>
        <v>-</v>
      </c>
    </row>
    <row r="856" spans="1:24" x14ac:dyDescent="0.3">
      <c r="A856" s="37">
        <v>87614060811</v>
      </c>
      <c r="B856" s="8" t="s">
        <v>1759</v>
      </c>
      <c r="C856" s="10" t="s">
        <v>2497</v>
      </c>
      <c r="D856" s="11" t="s">
        <v>866</v>
      </c>
      <c r="E856" s="11" t="s">
        <v>956</v>
      </c>
      <c r="F856" s="9">
        <v>15</v>
      </c>
      <c r="G856" s="9">
        <v>30</v>
      </c>
      <c r="H856" s="9" t="s">
        <v>868</v>
      </c>
      <c r="I856" s="9">
        <v>24</v>
      </c>
      <c r="J856" s="9">
        <v>500</v>
      </c>
      <c r="K856" s="9" t="s">
        <v>896</v>
      </c>
      <c r="L856" s="27">
        <v>0.262185</v>
      </c>
      <c r="M856" s="28" t="s">
        <v>3203</v>
      </c>
      <c r="N856" s="17">
        <v>11.743976999999999</v>
      </c>
      <c r="O856" s="1"/>
      <c r="P856" s="38">
        <f t="shared" si="79"/>
        <v>0</v>
      </c>
      <c r="S856" s="24" t="str">
        <f t="shared" si="82"/>
        <v>-</v>
      </c>
      <c r="T856" s="24" t="str">
        <f t="shared" si="80"/>
        <v>-</v>
      </c>
      <c r="U856" s="25" t="str">
        <f t="shared" si="83"/>
        <v>-</v>
      </c>
      <c r="V856" s="26" t="str">
        <f t="shared" si="84"/>
        <v>-</v>
      </c>
      <c r="X856" s="26" t="str">
        <f t="shared" si="81"/>
        <v>-</v>
      </c>
    </row>
    <row r="857" spans="1:24" x14ac:dyDescent="0.3">
      <c r="A857" s="37">
        <v>87614060835</v>
      </c>
      <c r="B857" s="8" t="s">
        <v>1760</v>
      </c>
      <c r="C857" s="10" t="s">
        <v>2498</v>
      </c>
      <c r="D857" s="11" t="s">
        <v>866</v>
      </c>
      <c r="E857" s="11" t="s">
        <v>956</v>
      </c>
      <c r="F857" s="9">
        <v>30</v>
      </c>
      <c r="G857" s="9">
        <v>90</v>
      </c>
      <c r="H857" s="9" t="s">
        <v>868</v>
      </c>
      <c r="I857" s="9">
        <v>36</v>
      </c>
      <c r="J857" s="9">
        <v>60</v>
      </c>
      <c r="K857" s="9" t="s">
        <v>889</v>
      </c>
      <c r="L857" s="27">
        <v>6.3560000000000005E-2</v>
      </c>
      <c r="M857" s="28" t="s">
        <v>3203</v>
      </c>
      <c r="N857" s="17">
        <v>10.498152000000001</v>
      </c>
      <c r="O857" s="1"/>
      <c r="P857" s="38">
        <f t="shared" si="79"/>
        <v>0</v>
      </c>
      <c r="S857" s="24" t="str">
        <f t="shared" si="82"/>
        <v>-</v>
      </c>
      <c r="T857" s="24" t="str">
        <f t="shared" si="80"/>
        <v>-</v>
      </c>
      <c r="U857" s="25" t="str">
        <f t="shared" si="83"/>
        <v>-</v>
      </c>
      <c r="V857" s="26" t="str">
        <f t="shared" si="84"/>
        <v>-</v>
      </c>
      <c r="X857" s="26" t="str">
        <f t="shared" si="81"/>
        <v>-</v>
      </c>
    </row>
    <row r="858" spans="1:24" x14ac:dyDescent="0.3">
      <c r="A858" s="37">
        <v>87614060859</v>
      </c>
      <c r="B858" s="8" t="s">
        <v>624</v>
      </c>
      <c r="C858" s="10" t="s">
        <v>2772</v>
      </c>
      <c r="D858" s="11" t="s">
        <v>866</v>
      </c>
      <c r="E858" s="11" t="s">
        <v>956</v>
      </c>
      <c r="F858" s="9">
        <v>30</v>
      </c>
      <c r="G858" s="9">
        <v>90</v>
      </c>
      <c r="H858" s="9" t="s">
        <v>868</v>
      </c>
      <c r="I858" s="9">
        <v>24</v>
      </c>
      <c r="J858" s="9">
        <v>60</v>
      </c>
      <c r="K858" s="9" t="s">
        <v>2903</v>
      </c>
      <c r="L858" s="27">
        <v>8.3989999999999995E-2</v>
      </c>
      <c r="M858" s="28" t="s">
        <v>3203</v>
      </c>
      <c r="N858" s="17">
        <v>14.351903999999999</v>
      </c>
      <c r="O858" s="1"/>
      <c r="P858" s="38">
        <f t="shared" si="79"/>
        <v>0</v>
      </c>
      <c r="S858" s="24" t="str">
        <f t="shared" si="82"/>
        <v>-</v>
      </c>
      <c r="T858" s="24" t="str">
        <f t="shared" si="80"/>
        <v>-</v>
      </c>
      <c r="U858" s="25" t="str">
        <f t="shared" si="83"/>
        <v>-</v>
      </c>
      <c r="V858" s="26" t="str">
        <f t="shared" si="84"/>
        <v>-</v>
      </c>
      <c r="X858" s="26" t="str">
        <f t="shared" si="81"/>
        <v>-</v>
      </c>
    </row>
    <row r="859" spans="1:24" x14ac:dyDescent="0.3">
      <c r="A859" s="37">
        <v>87614020228</v>
      </c>
      <c r="B859" s="8" t="s">
        <v>1343</v>
      </c>
      <c r="C859" s="10" t="s">
        <v>2123</v>
      </c>
      <c r="D859" s="11" t="s">
        <v>866</v>
      </c>
      <c r="E859" s="11" t="s">
        <v>974</v>
      </c>
      <c r="F859" s="9">
        <v>30</v>
      </c>
      <c r="G859" s="9">
        <v>90</v>
      </c>
      <c r="H859" s="9" t="s">
        <v>868</v>
      </c>
      <c r="I859" s="9">
        <v>36</v>
      </c>
      <c r="J859" s="9">
        <v>90</v>
      </c>
      <c r="K859" s="9" t="s">
        <v>869</v>
      </c>
      <c r="L859" s="27">
        <v>0.110095</v>
      </c>
      <c r="M859" s="28" t="s">
        <v>3203</v>
      </c>
      <c r="N859" s="17">
        <v>7.6908930000000009</v>
      </c>
      <c r="O859" s="1"/>
      <c r="P859" s="38">
        <f t="shared" si="79"/>
        <v>0</v>
      </c>
      <c r="S859" s="24" t="str">
        <f t="shared" si="82"/>
        <v>-</v>
      </c>
      <c r="T859" s="24" t="str">
        <f t="shared" si="80"/>
        <v>-</v>
      </c>
      <c r="U859" s="25" t="str">
        <f t="shared" si="83"/>
        <v>-</v>
      </c>
      <c r="V859" s="26" t="str">
        <f t="shared" si="84"/>
        <v>-</v>
      </c>
      <c r="X859" s="26" t="str">
        <f t="shared" si="81"/>
        <v>-</v>
      </c>
    </row>
    <row r="860" spans="1:24" x14ac:dyDescent="0.3">
      <c r="A860" s="37">
        <v>87614210315</v>
      </c>
      <c r="B860" s="8" t="s">
        <v>1776</v>
      </c>
      <c r="C860" s="10" t="s">
        <v>2513</v>
      </c>
      <c r="D860" s="11" t="s">
        <v>898</v>
      </c>
      <c r="E860" s="11" t="s">
        <v>979</v>
      </c>
      <c r="F860" s="9">
        <v>30</v>
      </c>
      <c r="G860" s="9">
        <v>90</v>
      </c>
      <c r="H860" s="9" t="s">
        <v>868</v>
      </c>
      <c r="I860" s="9">
        <v>24</v>
      </c>
      <c r="J860" s="9">
        <v>60</v>
      </c>
      <c r="K860" s="9" t="s">
        <v>869</v>
      </c>
      <c r="L860" s="27">
        <v>7.2639999999999996E-2</v>
      </c>
      <c r="M860" s="28" t="s">
        <v>3203</v>
      </c>
      <c r="N860" s="17">
        <v>20.913248999999997</v>
      </c>
      <c r="O860" s="1"/>
      <c r="P860" s="38">
        <f t="shared" si="79"/>
        <v>0</v>
      </c>
      <c r="S860" s="24" t="str">
        <f t="shared" si="82"/>
        <v>-</v>
      </c>
      <c r="T860" s="24" t="str">
        <f t="shared" si="80"/>
        <v>-</v>
      </c>
      <c r="U860" s="25" t="str">
        <f t="shared" si="83"/>
        <v>-</v>
      </c>
      <c r="V860" s="26" t="str">
        <f t="shared" si="84"/>
        <v>-</v>
      </c>
      <c r="X860" s="26" t="str">
        <f t="shared" si="81"/>
        <v>-</v>
      </c>
    </row>
    <row r="861" spans="1:24" x14ac:dyDescent="0.3">
      <c r="A861" s="37">
        <v>87614210353</v>
      </c>
      <c r="B861" s="8" t="s">
        <v>1777</v>
      </c>
      <c r="C861" s="10" t="s">
        <v>2514</v>
      </c>
      <c r="D861" s="11" t="s">
        <v>876</v>
      </c>
      <c r="E861" s="11" t="s">
        <v>2888</v>
      </c>
      <c r="F861" s="9">
        <v>30</v>
      </c>
      <c r="G861" s="9">
        <v>90</v>
      </c>
      <c r="H861" s="9" t="s">
        <v>868</v>
      </c>
      <c r="I861" s="9">
        <v>24</v>
      </c>
      <c r="J861" s="9">
        <v>60</v>
      </c>
      <c r="K861" s="9" t="s">
        <v>889</v>
      </c>
      <c r="L861" s="27">
        <v>8.058499999999999E-2</v>
      </c>
      <c r="M861" s="28" t="s">
        <v>3203</v>
      </c>
      <c r="N861" s="17">
        <v>19.733868000000001</v>
      </c>
      <c r="O861" s="1"/>
      <c r="P861" s="38">
        <f t="shared" si="79"/>
        <v>0</v>
      </c>
      <c r="S861" s="24" t="str">
        <f t="shared" si="82"/>
        <v>-</v>
      </c>
      <c r="T861" s="24" t="str">
        <f t="shared" si="80"/>
        <v>-</v>
      </c>
      <c r="U861" s="25" t="str">
        <f t="shared" si="83"/>
        <v>-</v>
      </c>
      <c r="V861" s="26" t="str">
        <f t="shared" si="84"/>
        <v>-</v>
      </c>
      <c r="X861" s="26" t="str">
        <f t="shared" si="81"/>
        <v>-</v>
      </c>
    </row>
    <row r="862" spans="1:24" x14ac:dyDescent="0.3">
      <c r="A862" s="37">
        <v>87614210643</v>
      </c>
      <c r="B862" s="8" t="s">
        <v>1786</v>
      </c>
      <c r="C862" s="10" t="s">
        <v>2522</v>
      </c>
      <c r="D862" s="11" t="s">
        <v>874</v>
      </c>
      <c r="E862" s="11" t="s">
        <v>919</v>
      </c>
      <c r="F862" s="9">
        <v>30</v>
      </c>
      <c r="G862" s="9">
        <v>90</v>
      </c>
      <c r="H862" s="9" t="s">
        <v>868</v>
      </c>
      <c r="I862" s="9">
        <v>36</v>
      </c>
      <c r="J862" s="9">
        <v>60</v>
      </c>
      <c r="K862" s="9" t="s">
        <v>889</v>
      </c>
      <c r="L862" s="27">
        <v>7.4910000000000004E-2</v>
      </c>
      <c r="M862" s="28" t="s">
        <v>3203</v>
      </c>
      <c r="N862" s="17">
        <v>13.836963000000001</v>
      </c>
      <c r="O862" s="1"/>
      <c r="P862" s="38">
        <f t="shared" si="79"/>
        <v>0</v>
      </c>
      <c r="S862" s="24" t="str">
        <f t="shared" si="82"/>
        <v>-</v>
      </c>
      <c r="T862" s="24" t="str">
        <f t="shared" si="80"/>
        <v>-</v>
      </c>
      <c r="U862" s="25" t="str">
        <f t="shared" si="83"/>
        <v>-</v>
      </c>
      <c r="V862" s="26" t="str">
        <f t="shared" si="84"/>
        <v>-</v>
      </c>
      <c r="X862" s="26" t="str">
        <f t="shared" si="81"/>
        <v>-</v>
      </c>
    </row>
    <row r="863" spans="1:24" x14ac:dyDescent="0.3">
      <c r="A863" s="37">
        <v>87614021232</v>
      </c>
      <c r="B863" s="8" t="s">
        <v>664</v>
      </c>
      <c r="C863" s="10" t="s">
        <v>665</v>
      </c>
      <c r="D863" s="11" t="s">
        <v>870</v>
      </c>
      <c r="E863" s="11" t="s">
        <v>924</v>
      </c>
      <c r="F863" s="9">
        <v>30</v>
      </c>
      <c r="G863" s="9">
        <v>90</v>
      </c>
      <c r="H863" s="9" t="s">
        <v>868</v>
      </c>
      <c r="I863" s="9">
        <v>36</v>
      </c>
      <c r="J863" s="9">
        <v>60</v>
      </c>
      <c r="K863" s="9" t="s">
        <v>873</v>
      </c>
      <c r="L863" s="27">
        <v>5.4480000000000001E-2</v>
      </c>
      <c r="M863" s="28" t="s">
        <v>3203</v>
      </c>
      <c r="N863" s="17">
        <v>12.607749</v>
      </c>
      <c r="O863" s="1"/>
      <c r="P863" s="38">
        <f t="shared" si="79"/>
        <v>0</v>
      </c>
      <c r="S863" s="24" t="str">
        <f t="shared" si="82"/>
        <v>-</v>
      </c>
      <c r="T863" s="24" t="str">
        <f t="shared" si="80"/>
        <v>-</v>
      </c>
      <c r="U863" s="25" t="str">
        <f t="shared" si="83"/>
        <v>-</v>
      </c>
      <c r="V863" s="26" t="str">
        <f t="shared" si="84"/>
        <v>-</v>
      </c>
      <c r="X863" s="26" t="str">
        <f t="shared" si="81"/>
        <v>-</v>
      </c>
    </row>
    <row r="864" spans="1:24" x14ac:dyDescent="0.3">
      <c r="A864" s="37">
        <v>87614022482</v>
      </c>
      <c r="B864" s="8" t="s">
        <v>1284</v>
      </c>
      <c r="C864" s="10" t="s">
        <v>2075</v>
      </c>
      <c r="D864" s="11" t="s">
        <v>874</v>
      </c>
      <c r="E864" s="11" t="s">
        <v>914</v>
      </c>
      <c r="F864" s="9">
        <v>30</v>
      </c>
      <c r="G864" s="9">
        <v>90</v>
      </c>
      <c r="H864" s="9" t="s">
        <v>868</v>
      </c>
      <c r="I864" s="9">
        <v>24</v>
      </c>
      <c r="J864" s="9">
        <v>60</v>
      </c>
      <c r="K864" s="9" t="s">
        <v>873</v>
      </c>
      <c r="L864" s="27">
        <v>4.8804999999999994E-2</v>
      </c>
      <c r="M864" s="28" t="s">
        <v>3203</v>
      </c>
      <c r="N864" s="17">
        <v>6.4118459999999997</v>
      </c>
      <c r="O864" s="1"/>
      <c r="P864" s="38">
        <f t="shared" si="79"/>
        <v>0</v>
      </c>
      <c r="S864" s="24" t="str">
        <f t="shared" si="82"/>
        <v>-</v>
      </c>
      <c r="T864" s="24" t="str">
        <f t="shared" si="80"/>
        <v>-</v>
      </c>
      <c r="U864" s="25" t="str">
        <f t="shared" si="83"/>
        <v>-</v>
      </c>
      <c r="V864" s="26" t="str">
        <f t="shared" si="84"/>
        <v>-</v>
      </c>
      <c r="X864" s="26" t="str">
        <f t="shared" si="81"/>
        <v>-</v>
      </c>
    </row>
    <row r="865" spans="1:24" x14ac:dyDescent="0.3">
      <c r="A865" s="37">
        <v>87614022895</v>
      </c>
      <c r="B865" s="8" t="s">
        <v>705</v>
      </c>
      <c r="C865" s="10" t="s">
        <v>706</v>
      </c>
      <c r="D865" s="11" t="s">
        <v>876</v>
      </c>
      <c r="E865" s="11" t="s">
        <v>1053</v>
      </c>
      <c r="F865" s="9">
        <v>30</v>
      </c>
      <c r="G865" s="9">
        <v>90</v>
      </c>
      <c r="H865" s="9" t="s">
        <v>868</v>
      </c>
      <c r="I865" s="9">
        <v>24</v>
      </c>
      <c r="J865" s="9">
        <v>90</v>
      </c>
      <c r="K865" s="9" t="s">
        <v>869</v>
      </c>
      <c r="L865" s="27">
        <v>0.103285</v>
      </c>
      <c r="M865" s="28" t="s">
        <v>3203</v>
      </c>
      <c r="N865" s="17">
        <v>22.939791</v>
      </c>
      <c r="O865" s="1"/>
      <c r="P865" s="38">
        <f t="shared" si="79"/>
        <v>0</v>
      </c>
      <c r="S865" s="24" t="str">
        <f t="shared" si="82"/>
        <v>-</v>
      </c>
      <c r="T865" s="24" t="str">
        <f t="shared" si="80"/>
        <v>-</v>
      </c>
      <c r="U865" s="25" t="str">
        <f t="shared" si="83"/>
        <v>-</v>
      </c>
      <c r="V865" s="26" t="str">
        <f t="shared" si="84"/>
        <v>-</v>
      </c>
      <c r="X865" s="26" t="str">
        <f t="shared" si="81"/>
        <v>-</v>
      </c>
    </row>
    <row r="866" spans="1:24" x14ac:dyDescent="0.3">
      <c r="A866" s="37">
        <v>87614023083</v>
      </c>
      <c r="B866" s="8" t="s">
        <v>710</v>
      </c>
      <c r="C866" s="10" t="s">
        <v>3157</v>
      </c>
      <c r="D866" s="11" t="s">
        <v>879</v>
      </c>
      <c r="E866" s="11" t="s">
        <v>930</v>
      </c>
      <c r="F866" s="9">
        <v>30</v>
      </c>
      <c r="G866" s="9">
        <v>90</v>
      </c>
      <c r="H866" s="9" t="s">
        <v>868</v>
      </c>
      <c r="I866" s="9">
        <v>36</v>
      </c>
      <c r="J866" s="9">
        <v>60</v>
      </c>
      <c r="K866" s="9" t="s">
        <v>2903</v>
      </c>
      <c r="L866" s="27">
        <v>4.5400000000000003E-2</v>
      </c>
      <c r="M866" s="28" t="s">
        <v>3203</v>
      </c>
      <c r="N866" s="17">
        <v>3.9534180000000001</v>
      </c>
      <c r="O866" s="1"/>
      <c r="P866" s="38">
        <f t="shared" si="79"/>
        <v>0</v>
      </c>
      <c r="S866" s="24" t="str">
        <f t="shared" si="82"/>
        <v>-</v>
      </c>
      <c r="T866" s="24" t="str">
        <f t="shared" si="80"/>
        <v>-</v>
      </c>
      <c r="U866" s="25" t="str">
        <f t="shared" si="83"/>
        <v>-</v>
      </c>
      <c r="V866" s="26" t="str">
        <f t="shared" si="84"/>
        <v>-</v>
      </c>
      <c r="X866" s="26" t="str">
        <f t="shared" si="81"/>
        <v>-</v>
      </c>
    </row>
    <row r="867" spans="1:24" x14ac:dyDescent="0.3">
      <c r="A867" s="37">
        <v>87614023472</v>
      </c>
      <c r="B867" s="8" t="s">
        <v>1192</v>
      </c>
      <c r="C867" s="10" t="s">
        <v>2010</v>
      </c>
      <c r="D867" s="11" t="s">
        <v>874</v>
      </c>
      <c r="E867" s="11" t="s">
        <v>1032</v>
      </c>
      <c r="F867" s="9">
        <v>48</v>
      </c>
      <c r="G867" s="9">
        <v>192</v>
      </c>
      <c r="H867" s="9" t="s">
        <v>868</v>
      </c>
      <c r="I867" s="9">
        <v>36</v>
      </c>
      <c r="J867" s="9">
        <v>60</v>
      </c>
      <c r="K867" s="9" t="s">
        <v>869</v>
      </c>
      <c r="L867" s="27">
        <v>4.4264999999999999E-2</v>
      </c>
      <c r="M867" s="28" t="s">
        <v>3203</v>
      </c>
      <c r="N867" s="17">
        <v>4.6843019999999997</v>
      </c>
      <c r="O867" s="1"/>
      <c r="P867" s="38">
        <f t="shared" si="79"/>
        <v>0</v>
      </c>
      <c r="S867" s="24" t="str">
        <f t="shared" si="82"/>
        <v>-</v>
      </c>
      <c r="T867" s="24" t="str">
        <f t="shared" si="80"/>
        <v>-</v>
      </c>
      <c r="U867" s="25" t="str">
        <f t="shared" si="83"/>
        <v>-</v>
      </c>
      <c r="V867" s="26" t="str">
        <f t="shared" si="84"/>
        <v>-</v>
      </c>
      <c r="X867" s="26" t="str">
        <f t="shared" si="81"/>
        <v>-</v>
      </c>
    </row>
    <row r="868" spans="1:24" x14ac:dyDescent="0.3">
      <c r="A868" s="37">
        <v>87614023762</v>
      </c>
      <c r="B868" s="8" t="s">
        <v>1811</v>
      </c>
      <c r="C868" s="10" t="s">
        <v>2547</v>
      </c>
      <c r="D868" s="11" t="s">
        <v>881</v>
      </c>
      <c r="E868" s="11" t="s">
        <v>1019</v>
      </c>
      <c r="F868" s="9">
        <v>30</v>
      </c>
      <c r="G868" s="9">
        <v>90</v>
      </c>
      <c r="H868" s="9" t="s">
        <v>868</v>
      </c>
      <c r="I868" s="9">
        <v>24</v>
      </c>
      <c r="J868" s="9">
        <v>120</v>
      </c>
      <c r="K868" s="9" t="s">
        <v>873</v>
      </c>
      <c r="L868" s="27">
        <v>8.058499999999999E-2</v>
      </c>
      <c r="M868" s="28" t="s">
        <v>3203</v>
      </c>
      <c r="N868" s="17">
        <v>14.850234</v>
      </c>
      <c r="O868" s="1"/>
      <c r="P868" s="38">
        <f t="shared" si="79"/>
        <v>0</v>
      </c>
      <c r="S868" s="24" t="str">
        <f t="shared" si="82"/>
        <v>-</v>
      </c>
      <c r="T868" s="24" t="str">
        <f t="shared" si="80"/>
        <v>-</v>
      </c>
      <c r="U868" s="25" t="str">
        <f t="shared" si="83"/>
        <v>-</v>
      </c>
      <c r="V868" s="26" t="str">
        <f t="shared" si="84"/>
        <v>-</v>
      </c>
      <c r="X868" s="26" t="str">
        <f t="shared" si="81"/>
        <v>-</v>
      </c>
    </row>
    <row r="869" spans="1:24" x14ac:dyDescent="0.3">
      <c r="A869" s="37">
        <v>87614024097</v>
      </c>
      <c r="B869" s="8" t="s">
        <v>733</v>
      </c>
      <c r="C869" s="10" t="s">
        <v>734</v>
      </c>
      <c r="D869" s="11" t="s">
        <v>882</v>
      </c>
      <c r="E869" s="11" t="s">
        <v>958</v>
      </c>
      <c r="F869" s="9">
        <v>30</v>
      </c>
      <c r="G869" s="9">
        <v>90</v>
      </c>
      <c r="H869" s="9" t="s">
        <v>892</v>
      </c>
      <c r="I869" s="9">
        <v>24</v>
      </c>
      <c r="J869" s="9">
        <v>60</v>
      </c>
      <c r="K869" s="9" t="s">
        <v>869</v>
      </c>
      <c r="L869" s="27">
        <v>0.10101499999999999</v>
      </c>
      <c r="M869" s="28" t="s">
        <v>3203</v>
      </c>
      <c r="N869" s="17">
        <v>4.3686930000000004</v>
      </c>
      <c r="O869" s="1"/>
      <c r="P869" s="38">
        <f t="shared" si="79"/>
        <v>0</v>
      </c>
      <c r="S869" s="24" t="str">
        <f t="shared" si="82"/>
        <v>-</v>
      </c>
      <c r="T869" s="24" t="str">
        <f t="shared" si="80"/>
        <v>-</v>
      </c>
      <c r="U869" s="25" t="str">
        <f t="shared" si="83"/>
        <v>-</v>
      </c>
      <c r="V869" s="26" t="str">
        <f t="shared" si="84"/>
        <v>-</v>
      </c>
      <c r="X869" s="26" t="str">
        <f t="shared" si="81"/>
        <v>-</v>
      </c>
    </row>
    <row r="870" spans="1:24" x14ac:dyDescent="0.3">
      <c r="A870" s="37">
        <v>87614024271</v>
      </c>
      <c r="B870" s="8" t="s">
        <v>1478</v>
      </c>
      <c r="C870" s="10" t="s">
        <v>2248</v>
      </c>
      <c r="D870" s="11" t="s">
        <v>876</v>
      </c>
      <c r="E870" s="11" t="s">
        <v>1058</v>
      </c>
      <c r="F870" s="9">
        <v>24</v>
      </c>
      <c r="G870" s="9">
        <v>48</v>
      </c>
      <c r="H870" s="9" t="s">
        <v>868</v>
      </c>
      <c r="I870" s="9">
        <v>24</v>
      </c>
      <c r="J870" s="9">
        <v>30</v>
      </c>
      <c r="K870" s="9" t="s">
        <v>904</v>
      </c>
      <c r="L870" s="27">
        <v>1.7024999999999998E-2</v>
      </c>
      <c r="M870" s="28" t="s">
        <v>3203</v>
      </c>
      <c r="N870" s="17">
        <v>32.341616999999999</v>
      </c>
      <c r="O870" s="1"/>
      <c r="P870" s="38">
        <f t="shared" si="79"/>
        <v>0</v>
      </c>
      <c r="S870" s="24" t="str">
        <f t="shared" si="82"/>
        <v>-</v>
      </c>
      <c r="T870" s="24" t="str">
        <f t="shared" si="80"/>
        <v>-</v>
      </c>
      <c r="U870" s="25" t="str">
        <f t="shared" si="83"/>
        <v>-</v>
      </c>
      <c r="V870" s="26" t="str">
        <f t="shared" si="84"/>
        <v>-</v>
      </c>
      <c r="X870" s="26" t="str">
        <f t="shared" si="81"/>
        <v>-</v>
      </c>
    </row>
    <row r="871" spans="1:24" x14ac:dyDescent="0.3">
      <c r="A871" s="37">
        <v>87614024646</v>
      </c>
      <c r="B871" s="8" t="s">
        <v>1889</v>
      </c>
      <c r="C871" s="10" t="s">
        <v>2613</v>
      </c>
      <c r="D871" s="11" t="s">
        <v>870</v>
      </c>
      <c r="E871" s="11" t="s">
        <v>1014</v>
      </c>
      <c r="F871" s="9">
        <v>30</v>
      </c>
      <c r="G871" s="9">
        <v>90</v>
      </c>
      <c r="H871" s="9" t="s">
        <v>868</v>
      </c>
      <c r="I871" s="9">
        <v>36</v>
      </c>
      <c r="J871" s="9">
        <v>60</v>
      </c>
      <c r="K871" s="9" t="s">
        <v>873</v>
      </c>
      <c r="L871" s="27">
        <v>9.8744999999999999E-2</v>
      </c>
      <c r="M871" s="28" t="s">
        <v>3203</v>
      </c>
      <c r="N871" s="17">
        <v>6.5115119999999997</v>
      </c>
      <c r="O871" s="1"/>
      <c r="P871" s="38">
        <f t="shared" si="79"/>
        <v>0</v>
      </c>
      <c r="S871" s="24" t="str">
        <f t="shared" si="82"/>
        <v>-</v>
      </c>
      <c r="T871" s="24" t="str">
        <f t="shared" si="80"/>
        <v>-</v>
      </c>
      <c r="U871" s="25" t="str">
        <f t="shared" si="83"/>
        <v>-</v>
      </c>
      <c r="V871" s="26" t="str">
        <f t="shared" si="84"/>
        <v>-</v>
      </c>
      <c r="X871" s="26" t="str">
        <f t="shared" si="81"/>
        <v>-</v>
      </c>
    </row>
    <row r="872" spans="1:24" x14ac:dyDescent="0.3">
      <c r="A872" s="37">
        <v>87614025087</v>
      </c>
      <c r="B872" s="8" t="s">
        <v>754</v>
      </c>
      <c r="C872" s="10" t="s">
        <v>755</v>
      </c>
      <c r="D872" s="11" t="s">
        <v>879</v>
      </c>
      <c r="E872" s="11" t="s">
        <v>922</v>
      </c>
      <c r="F872" s="9">
        <v>6</v>
      </c>
      <c r="G872" s="9">
        <v>12</v>
      </c>
      <c r="H872" s="9" t="s">
        <v>868</v>
      </c>
      <c r="I872" s="9">
        <v>36</v>
      </c>
      <c r="J872" s="9">
        <v>1</v>
      </c>
      <c r="K872" s="9" t="s">
        <v>880</v>
      </c>
      <c r="L872" s="27">
        <v>0.38249500000000003</v>
      </c>
      <c r="M872" s="28" t="s">
        <v>3203</v>
      </c>
      <c r="N872" s="17">
        <v>19.76709</v>
      </c>
      <c r="O872" s="1"/>
      <c r="P872" s="38">
        <f t="shared" si="79"/>
        <v>0</v>
      </c>
      <c r="S872" s="24" t="str">
        <f t="shared" si="82"/>
        <v>-</v>
      </c>
      <c r="T872" s="24" t="str">
        <f t="shared" si="80"/>
        <v>-</v>
      </c>
      <c r="U872" s="25" t="str">
        <f t="shared" si="83"/>
        <v>-</v>
      </c>
      <c r="V872" s="26" t="str">
        <f t="shared" si="84"/>
        <v>-</v>
      </c>
      <c r="X872" s="26" t="str">
        <f t="shared" si="81"/>
        <v>-</v>
      </c>
    </row>
    <row r="873" spans="1:24" x14ac:dyDescent="0.3">
      <c r="A873" s="37">
        <v>87614025209</v>
      </c>
      <c r="B873" s="8" t="s">
        <v>757</v>
      </c>
      <c r="C873" s="10" t="s">
        <v>758</v>
      </c>
      <c r="D873" s="11" t="s">
        <v>879</v>
      </c>
      <c r="E873" s="11" t="s">
        <v>1018</v>
      </c>
      <c r="F873" s="9">
        <v>9</v>
      </c>
      <c r="G873" s="9">
        <v>27</v>
      </c>
      <c r="H873" s="9" t="s">
        <v>868</v>
      </c>
      <c r="I873" s="9">
        <v>36</v>
      </c>
      <c r="J873" s="9">
        <v>1</v>
      </c>
      <c r="K873" s="9" t="s">
        <v>880</v>
      </c>
      <c r="L873" s="27">
        <v>0.328015</v>
      </c>
      <c r="M873" s="28" t="s">
        <v>3203</v>
      </c>
      <c r="N873" s="17">
        <v>10.498152000000001</v>
      </c>
      <c r="O873" s="1"/>
      <c r="P873" s="38">
        <f t="shared" si="79"/>
        <v>0</v>
      </c>
      <c r="S873" s="24" t="str">
        <f t="shared" si="82"/>
        <v>-</v>
      </c>
      <c r="T873" s="24" t="str">
        <f t="shared" si="80"/>
        <v>-</v>
      </c>
      <c r="U873" s="25" t="str">
        <f t="shared" si="83"/>
        <v>-</v>
      </c>
      <c r="V873" s="26" t="str">
        <f t="shared" si="84"/>
        <v>-</v>
      </c>
      <c r="X873" s="26" t="str">
        <f t="shared" si="81"/>
        <v>-</v>
      </c>
    </row>
    <row r="874" spans="1:24" x14ac:dyDescent="0.3">
      <c r="A874" s="37">
        <v>87614025360</v>
      </c>
      <c r="B874" s="8" t="s">
        <v>765</v>
      </c>
      <c r="C874" s="10" t="s">
        <v>766</v>
      </c>
      <c r="D874" s="11" t="s">
        <v>870</v>
      </c>
      <c r="E874" s="11" t="s">
        <v>1051</v>
      </c>
      <c r="F874" s="9">
        <v>30</v>
      </c>
      <c r="G874" s="9">
        <v>90</v>
      </c>
      <c r="H874" s="9" t="s">
        <v>868</v>
      </c>
      <c r="I874" s="9">
        <v>36</v>
      </c>
      <c r="J874" s="9">
        <v>180</v>
      </c>
      <c r="K874" s="9" t="s">
        <v>873</v>
      </c>
      <c r="L874" s="27">
        <v>6.6964999999999997E-2</v>
      </c>
      <c r="M874" s="28" t="s">
        <v>3203</v>
      </c>
      <c r="N874" s="17">
        <v>5.9799599999999993</v>
      </c>
      <c r="O874" s="1"/>
      <c r="P874" s="38">
        <f t="shared" si="79"/>
        <v>0</v>
      </c>
      <c r="S874" s="24" t="str">
        <f t="shared" si="82"/>
        <v>-</v>
      </c>
      <c r="T874" s="24" t="str">
        <f t="shared" si="80"/>
        <v>-</v>
      </c>
      <c r="U874" s="25" t="str">
        <f t="shared" si="83"/>
        <v>-</v>
      </c>
      <c r="V874" s="26" t="str">
        <f t="shared" si="84"/>
        <v>-</v>
      </c>
      <c r="X874" s="26" t="str">
        <f t="shared" si="81"/>
        <v>-</v>
      </c>
    </row>
    <row r="875" spans="1:24" x14ac:dyDescent="0.3">
      <c r="A875" s="37">
        <v>87614026787</v>
      </c>
      <c r="B875" s="8" t="s">
        <v>1483</v>
      </c>
      <c r="C875" s="10" t="s">
        <v>2790</v>
      </c>
      <c r="D875" s="11" t="s">
        <v>897</v>
      </c>
      <c r="E875" s="11" t="s">
        <v>2884</v>
      </c>
      <c r="F875" s="9">
        <v>30</v>
      </c>
      <c r="G875" s="9">
        <v>90</v>
      </c>
      <c r="H875" s="9" t="s">
        <v>868</v>
      </c>
      <c r="I875" s="9">
        <v>24</v>
      </c>
      <c r="J875" s="9">
        <v>60</v>
      </c>
      <c r="K875" s="9" t="s">
        <v>2903</v>
      </c>
      <c r="L875" s="27">
        <v>8.7395E-2</v>
      </c>
      <c r="M875" s="28" t="s">
        <v>3203</v>
      </c>
      <c r="N875" s="17">
        <v>12.29214</v>
      </c>
      <c r="O875" s="1"/>
      <c r="P875" s="38">
        <f t="shared" si="79"/>
        <v>0</v>
      </c>
      <c r="S875" s="24" t="str">
        <f t="shared" si="82"/>
        <v>-</v>
      </c>
      <c r="T875" s="24" t="str">
        <f t="shared" si="80"/>
        <v>-</v>
      </c>
      <c r="U875" s="25" t="str">
        <f t="shared" si="83"/>
        <v>-</v>
      </c>
      <c r="V875" s="26" t="str">
        <f t="shared" si="84"/>
        <v>-</v>
      </c>
      <c r="X875" s="26" t="str">
        <f t="shared" si="81"/>
        <v>-</v>
      </c>
    </row>
    <row r="876" spans="1:24" x14ac:dyDescent="0.3">
      <c r="A876" s="37">
        <v>87614027043</v>
      </c>
      <c r="B876" s="8" t="s">
        <v>782</v>
      </c>
      <c r="C876" s="10" t="s">
        <v>783</v>
      </c>
      <c r="D876" s="11" t="s">
        <v>882</v>
      </c>
      <c r="E876" s="11" t="s">
        <v>1035</v>
      </c>
      <c r="F876" s="9">
        <v>30</v>
      </c>
      <c r="G876" s="9">
        <v>90</v>
      </c>
      <c r="H876" s="9" t="s">
        <v>868</v>
      </c>
      <c r="I876" s="9">
        <v>36</v>
      </c>
      <c r="J876" s="9">
        <v>60</v>
      </c>
      <c r="K876" s="9" t="s">
        <v>889</v>
      </c>
      <c r="L876" s="27">
        <v>5.4480000000000001E-2</v>
      </c>
      <c r="M876" s="28" t="s">
        <v>3203</v>
      </c>
      <c r="N876" s="17">
        <v>15.747228</v>
      </c>
      <c r="O876" s="1"/>
      <c r="P876" s="38">
        <f t="shared" si="79"/>
        <v>0</v>
      </c>
      <c r="S876" s="24" t="str">
        <f t="shared" si="82"/>
        <v>-</v>
      </c>
      <c r="T876" s="24" t="str">
        <f t="shared" si="80"/>
        <v>-</v>
      </c>
      <c r="U876" s="25" t="str">
        <f t="shared" si="83"/>
        <v>-</v>
      </c>
      <c r="V876" s="26" t="str">
        <f t="shared" si="84"/>
        <v>-</v>
      </c>
      <c r="X876" s="26" t="str">
        <f t="shared" si="81"/>
        <v>-</v>
      </c>
    </row>
    <row r="877" spans="1:24" x14ac:dyDescent="0.3">
      <c r="A877" s="37">
        <v>87614027074</v>
      </c>
      <c r="B877" s="8" t="s">
        <v>784</v>
      </c>
      <c r="C877" s="10" t="s">
        <v>2791</v>
      </c>
      <c r="D877" s="11" t="s">
        <v>876</v>
      </c>
      <c r="E877" s="11" t="s">
        <v>1060</v>
      </c>
      <c r="F877" s="9">
        <v>48</v>
      </c>
      <c r="G877" s="9">
        <v>192</v>
      </c>
      <c r="H877" s="9" t="s">
        <v>868</v>
      </c>
      <c r="I877" s="9">
        <v>24</v>
      </c>
      <c r="J877" s="9">
        <v>30</v>
      </c>
      <c r="K877" s="9" t="s">
        <v>2903</v>
      </c>
      <c r="L877" s="27">
        <v>2.8375000000000001E-2</v>
      </c>
      <c r="M877" s="28" t="s">
        <v>3203</v>
      </c>
      <c r="N877" s="17">
        <v>18.155822999999998</v>
      </c>
      <c r="O877" s="1"/>
      <c r="P877" s="38">
        <f t="shared" si="79"/>
        <v>0</v>
      </c>
      <c r="S877" s="24" t="str">
        <f t="shared" si="82"/>
        <v>-</v>
      </c>
      <c r="T877" s="24" t="str">
        <f t="shared" si="80"/>
        <v>-</v>
      </c>
      <c r="U877" s="25" t="str">
        <f t="shared" si="83"/>
        <v>-</v>
      </c>
      <c r="V877" s="26" t="str">
        <f t="shared" si="84"/>
        <v>-</v>
      </c>
      <c r="X877" s="26" t="str">
        <f t="shared" si="81"/>
        <v>-</v>
      </c>
    </row>
    <row r="878" spans="1:24" x14ac:dyDescent="0.3">
      <c r="A878" s="37">
        <v>87614027180</v>
      </c>
      <c r="B878" s="8" t="s">
        <v>1485</v>
      </c>
      <c r="C878" s="10" t="s">
        <v>3037</v>
      </c>
      <c r="D878" s="11" t="s">
        <v>881</v>
      </c>
      <c r="E878" s="11" t="s">
        <v>939</v>
      </c>
      <c r="F878" s="9">
        <v>30</v>
      </c>
      <c r="G878" s="9">
        <v>90</v>
      </c>
      <c r="H878" s="9" t="s">
        <v>868</v>
      </c>
      <c r="I878" s="9">
        <v>24</v>
      </c>
      <c r="J878" s="9">
        <v>60</v>
      </c>
      <c r="K878" s="9" t="s">
        <v>3049</v>
      </c>
      <c r="L878" s="27">
        <v>0.132795</v>
      </c>
      <c r="M878" s="28" t="s">
        <v>3203</v>
      </c>
      <c r="N878" s="17">
        <v>7.8736139999999999</v>
      </c>
      <c r="O878" s="1"/>
      <c r="P878" s="38">
        <f t="shared" si="79"/>
        <v>0</v>
      </c>
      <c r="S878" s="24" t="str">
        <f t="shared" si="82"/>
        <v>-</v>
      </c>
      <c r="T878" s="24" t="str">
        <f t="shared" si="80"/>
        <v>-</v>
      </c>
      <c r="U878" s="25" t="str">
        <f t="shared" si="83"/>
        <v>-</v>
      </c>
      <c r="V878" s="26" t="str">
        <f t="shared" si="84"/>
        <v>-</v>
      </c>
      <c r="X878" s="26" t="str">
        <f t="shared" si="81"/>
        <v>-</v>
      </c>
    </row>
    <row r="879" spans="1:24" x14ac:dyDescent="0.3">
      <c r="A879" s="37">
        <v>87614027616</v>
      </c>
      <c r="B879" s="8" t="s">
        <v>797</v>
      </c>
      <c r="C879" s="10" t="s">
        <v>2795</v>
      </c>
      <c r="D879" s="11" t="s">
        <v>884</v>
      </c>
      <c r="E879" s="11" t="s">
        <v>940</v>
      </c>
      <c r="F879" s="9">
        <v>20</v>
      </c>
      <c r="G879" s="9">
        <v>60</v>
      </c>
      <c r="H879" s="9" t="s">
        <v>868</v>
      </c>
      <c r="I879" s="9">
        <v>36</v>
      </c>
      <c r="J879" s="9">
        <v>120</v>
      </c>
      <c r="K879" s="9" t="s">
        <v>2903</v>
      </c>
      <c r="L879" s="27">
        <v>9.7609999999999988E-2</v>
      </c>
      <c r="M879" s="28" t="s">
        <v>3203</v>
      </c>
      <c r="N879" s="17">
        <v>10.846983</v>
      </c>
      <c r="O879" s="1"/>
      <c r="P879" s="38">
        <f t="shared" si="79"/>
        <v>0</v>
      </c>
      <c r="S879" s="24" t="str">
        <f t="shared" si="82"/>
        <v>-</v>
      </c>
      <c r="T879" s="24" t="str">
        <f t="shared" si="80"/>
        <v>-</v>
      </c>
      <c r="U879" s="25" t="str">
        <f t="shared" si="83"/>
        <v>-</v>
      </c>
      <c r="V879" s="26" t="str">
        <f t="shared" si="84"/>
        <v>-</v>
      </c>
      <c r="X879" s="26" t="str">
        <f t="shared" si="81"/>
        <v>-</v>
      </c>
    </row>
    <row r="880" spans="1:24" x14ac:dyDescent="0.3">
      <c r="A880" s="37">
        <v>87614027661</v>
      </c>
      <c r="B880" s="8" t="s">
        <v>798</v>
      </c>
      <c r="C880" s="10" t="s">
        <v>799</v>
      </c>
      <c r="D880" s="11" t="s">
        <v>891</v>
      </c>
      <c r="E880" s="11" t="s">
        <v>970</v>
      </c>
      <c r="F880" s="9">
        <v>20</v>
      </c>
      <c r="G880" s="9">
        <v>60</v>
      </c>
      <c r="H880" s="9" t="s">
        <v>868</v>
      </c>
      <c r="I880" s="9">
        <v>24</v>
      </c>
      <c r="J880" s="9">
        <v>60</v>
      </c>
      <c r="K880" s="9" t="s">
        <v>877</v>
      </c>
      <c r="L880" s="27">
        <v>0.15095500000000001</v>
      </c>
      <c r="M880" s="28" t="s">
        <v>3203</v>
      </c>
      <c r="N880" s="17">
        <v>11.162592</v>
      </c>
      <c r="O880" s="1"/>
      <c r="P880" s="38">
        <f t="shared" si="79"/>
        <v>0</v>
      </c>
      <c r="S880" s="24" t="str">
        <f t="shared" si="82"/>
        <v>-</v>
      </c>
      <c r="T880" s="24" t="str">
        <f t="shared" si="80"/>
        <v>-</v>
      </c>
      <c r="U880" s="25" t="str">
        <f t="shared" si="83"/>
        <v>-</v>
      </c>
      <c r="V880" s="26" t="str">
        <f t="shared" si="84"/>
        <v>-</v>
      </c>
      <c r="X880" s="26" t="str">
        <f t="shared" si="81"/>
        <v>-</v>
      </c>
    </row>
    <row r="881" spans="1:24" x14ac:dyDescent="0.3">
      <c r="A881" s="37">
        <v>87614028033</v>
      </c>
      <c r="B881" s="8" t="s">
        <v>808</v>
      </c>
      <c r="C881" s="10" t="s">
        <v>3040</v>
      </c>
      <c r="D881" s="11" t="s">
        <v>870</v>
      </c>
      <c r="E881" s="11" t="s">
        <v>1014</v>
      </c>
      <c r="F881" s="9">
        <v>20</v>
      </c>
      <c r="G881" s="9">
        <v>60</v>
      </c>
      <c r="H881" s="9" t="s">
        <v>868</v>
      </c>
      <c r="I881" s="9">
        <v>24</v>
      </c>
      <c r="J881" s="9">
        <v>90</v>
      </c>
      <c r="K881" s="9" t="s">
        <v>873</v>
      </c>
      <c r="L881" s="27">
        <v>0.153225</v>
      </c>
      <c r="M881" s="28" t="s">
        <v>3203</v>
      </c>
      <c r="N881" s="17">
        <v>11.145980999999999</v>
      </c>
      <c r="O881" s="1"/>
      <c r="P881" s="38">
        <f t="shared" si="79"/>
        <v>0</v>
      </c>
      <c r="S881" s="24" t="str">
        <f t="shared" si="82"/>
        <v>-</v>
      </c>
      <c r="T881" s="24" t="str">
        <f t="shared" si="80"/>
        <v>-</v>
      </c>
      <c r="U881" s="25" t="str">
        <f t="shared" si="83"/>
        <v>-</v>
      </c>
      <c r="V881" s="26" t="str">
        <f t="shared" si="84"/>
        <v>-</v>
      </c>
      <c r="X881" s="26" t="str">
        <f t="shared" si="81"/>
        <v>-</v>
      </c>
    </row>
    <row r="882" spans="1:24" x14ac:dyDescent="0.3">
      <c r="A882" s="37">
        <v>87614028460</v>
      </c>
      <c r="B882" s="8" t="s">
        <v>1853</v>
      </c>
      <c r="C882" s="10" t="s">
        <v>2585</v>
      </c>
      <c r="D882" s="11" t="s">
        <v>902</v>
      </c>
      <c r="E882" s="11" t="s">
        <v>1056</v>
      </c>
      <c r="F882" s="9">
        <v>48</v>
      </c>
      <c r="G882" s="9">
        <v>192</v>
      </c>
      <c r="H882" s="9" t="s">
        <v>868</v>
      </c>
      <c r="I882" s="9">
        <v>24</v>
      </c>
      <c r="J882" s="9">
        <v>30</v>
      </c>
      <c r="K882" s="9" t="s">
        <v>869</v>
      </c>
      <c r="L882" s="27">
        <v>3.6319999999999998E-2</v>
      </c>
      <c r="M882" s="28" t="s">
        <v>3203</v>
      </c>
      <c r="N882" s="17">
        <v>9.6676020000000005</v>
      </c>
      <c r="O882" s="1"/>
      <c r="P882" s="38">
        <f t="shared" si="79"/>
        <v>0</v>
      </c>
      <c r="S882" s="24" t="str">
        <f t="shared" si="82"/>
        <v>-</v>
      </c>
      <c r="T882" s="24" t="str">
        <f t="shared" si="80"/>
        <v>-</v>
      </c>
      <c r="U882" s="25" t="str">
        <f t="shared" si="83"/>
        <v>-</v>
      </c>
      <c r="V882" s="26" t="str">
        <f t="shared" si="84"/>
        <v>-</v>
      </c>
      <c r="X882" s="26" t="str">
        <f t="shared" si="81"/>
        <v>-</v>
      </c>
    </row>
    <row r="883" spans="1:24" x14ac:dyDescent="0.3">
      <c r="A883" s="37">
        <v>87614029009</v>
      </c>
      <c r="B883" s="8" t="s">
        <v>831</v>
      </c>
      <c r="C883" s="10" t="s">
        <v>832</v>
      </c>
      <c r="D883" s="11" t="s">
        <v>872</v>
      </c>
      <c r="E883" s="11" t="s">
        <v>913</v>
      </c>
      <c r="F883" s="9">
        <v>30</v>
      </c>
      <c r="G883" s="9">
        <v>90</v>
      </c>
      <c r="H883" s="9" t="s">
        <v>868</v>
      </c>
      <c r="I883" s="9">
        <v>24</v>
      </c>
      <c r="J883" s="9">
        <v>60</v>
      </c>
      <c r="K883" s="9" t="s">
        <v>889</v>
      </c>
      <c r="L883" s="27">
        <v>5.9019999999999996E-2</v>
      </c>
      <c r="M883" s="28" t="s">
        <v>3203</v>
      </c>
      <c r="N883" s="17">
        <v>7.7905589999999991</v>
      </c>
      <c r="O883" s="1"/>
      <c r="P883" s="38">
        <f t="shared" si="79"/>
        <v>0</v>
      </c>
      <c r="S883" s="24" t="str">
        <f t="shared" si="82"/>
        <v>-</v>
      </c>
      <c r="T883" s="24" t="str">
        <f t="shared" si="80"/>
        <v>-</v>
      </c>
      <c r="U883" s="25" t="str">
        <f t="shared" si="83"/>
        <v>-</v>
      </c>
      <c r="V883" s="26" t="str">
        <f t="shared" si="84"/>
        <v>-</v>
      </c>
      <c r="X883" s="26" t="str">
        <f t="shared" si="81"/>
        <v>-</v>
      </c>
    </row>
    <row r="884" spans="1:24" x14ac:dyDescent="0.3">
      <c r="A884" s="37">
        <v>87614029337</v>
      </c>
      <c r="B884" s="8" t="s">
        <v>840</v>
      </c>
      <c r="C884" s="10" t="s">
        <v>2805</v>
      </c>
      <c r="D884" s="11" t="s">
        <v>874</v>
      </c>
      <c r="E884" s="11" t="s">
        <v>919</v>
      </c>
      <c r="F884" s="9">
        <v>30</v>
      </c>
      <c r="G884" s="9">
        <v>90</v>
      </c>
      <c r="H884" s="9" t="s">
        <v>892</v>
      </c>
      <c r="I884" s="9">
        <v>24</v>
      </c>
      <c r="J884" s="9">
        <v>60</v>
      </c>
      <c r="K884" s="9" t="s">
        <v>873</v>
      </c>
      <c r="L884" s="27">
        <v>5.9019999999999996E-2</v>
      </c>
      <c r="M884" s="28" t="s">
        <v>3203</v>
      </c>
      <c r="N884" s="17">
        <v>14.617680000000002</v>
      </c>
      <c r="O884" s="1"/>
      <c r="P884" s="38">
        <f t="shared" si="79"/>
        <v>0</v>
      </c>
      <c r="S884" s="24" t="str">
        <f t="shared" si="82"/>
        <v>-</v>
      </c>
      <c r="T884" s="24" t="str">
        <f t="shared" si="80"/>
        <v>-</v>
      </c>
      <c r="U884" s="25" t="str">
        <f t="shared" si="83"/>
        <v>-</v>
      </c>
      <c r="V884" s="26" t="str">
        <f t="shared" si="84"/>
        <v>-</v>
      </c>
      <c r="X884" s="26" t="str">
        <f t="shared" si="81"/>
        <v>-</v>
      </c>
    </row>
    <row r="885" spans="1:24" x14ac:dyDescent="0.3">
      <c r="A885" s="37">
        <v>87614029771</v>
      </c>
      <c r="B885" s="8" t="s">
        <v>1924</v>
      </c>
      <c r="C885" s="10" t="s">
        <v>2647</v>
      </c>
      <c r="D885" s="11" t="s">
        <v>874</v>
      </c>
      <c r="E885" s="11" t="s">
        <v>919</v>
      </c>
      <c r="F885" s="9">
        <v>30</v>
      </c>
      <c r="G885" s="9">
        <v>90</v>
      </c>
      <c r="H885" s="9" t="s">
        <v>868</v>
      </c>
      <c r="I885" s="9">
        <v>24</v>
      </c>
      <c r="J885" s="9">
        <v>60</v>
      </c>
      <c r="K885" s="9" t="s">
        <v>889</v>
      </c>
      <c r="L885" s="27">
        <v>6.8099999999999994E-2</v>
      </c>
      <c r="M885" s="28" t="s">
        <v>3203</v>
      </c>
      <c r="N885" s="17">
        <v>12.391806000000001</v>
      </c>
      <c r="O885" s="1"/>
      <c r="P885" s="38">
        <f t="shared" si="79"/>
        <v>0</v>
      </c>
      <c r="S885" s="24" t="str">
        <f t="shared" si="82"/>
        <v>-</v>
      </c>
      <c r="T885" s="24" t="str">
        <f t="shared" si="80"/>
        <v>-</v>
      </c>
      <c r="U885" s="25" t="str">
        <f t="shared" si="83"/>
        <v>-</v>
      </c>
      <c r="V885" s="26" t="str">
        <f t="shared" si="84"/>
        <v>-</v>
      </c>
      <c r="X885" s="26" t="str">
        <f t="shared" si="81"/>
        <v>-</v>
      </c>
    </row>
    <row r="886" spans="1:24" x14ac:dyDescent="0.3">
      <c r="A886" s="37">
        <v>87614010397</v>
      </c>
      <c r="B886" s="8" t="s">
        <v>20</v>
      </c>
      <c r="C886" s="10" t="s">
        <v>21</v>
      </c>
      <c r="D886" s="11" t="s">
        <v>876</v>
      </c>
      <c r="E886" s="11" t="s">
        <v>916</v>
      </c>
      <c r="F886" s="9">
        <v>12</v>
      </c>
      <c r="G886" s="9">
        <v>24</v>
      </c>
      <c r="H886" s="9" t="s">
        <v>868</v>
      </c>
      <c r="I886" s="9">
        <v>24</v>
      </c>
      <c r="J886" s="9">
        <v>250</v>
      </c>
      <c r="K886" s="9" t="s">
        <v>873</v>
      </c>
      <c r="L886" s="27">
        <v>0.37001000000000001</v>
      </c>
      <c r="M886" s="28" t="s">
        <v>3203</v>
      </c>
      <c r="N886" s="17">
        <v>20.581029000000001</v>
      </c>
      <c r="O886" s="1"/>
      <c r="P886" s="38">
        <f t="shared" si="79"/>
        <v>0</v>
      </c>
      <c r="S886" s="24" t="str">
        <f t="shared" si="82"/>
        <v>-</v>
      </c>
      <c r="T886" s="24" t="str">
        <f t="shared" si="80"/>
        <v>-</v>
      </c>
      <c r="U886" s="25" t="str">
        <f t="shared" si="83"/>
        <v>-</v>
      </c>
      <c r="V886" s="26" t="str">
        <f t="shared" si="84"/>
        <v>-</v>
      </c>
      <c r="X886" s="26" t="str">
        <f t="shared" si="81"/>
        <v>-</v>
      </c>
    </row>
    <row r="887" spans="1:24" x14ac:dyDescent="0.3">
      <c r="A887" s="37">
        <v>87614010625</v>
      </c>
      <c r="B887" s="8" t="s">
        <v>1198</v>
      </c>
      <c r="C887" s="10" t="s">
        <v>2014</v>
      </c>
      <c r="D887" s="11" t="s">
        <v>874</v>
      </c>
      <c r="E887" s="11" t="s">
        <v>919</v>
      </c>
      <c r="F887" s="9">
        <v>12</v>
      </c>
      <c r="G887" s="9">
        <v>24</v>
      </c>
      <c r="H887" s="9" t="s">
        <v>868</v>
      </c>
      <c r="I887" s="9">
        <v>36</v>
      </c>
      <c r="J887" s="9">
        <v>250</v>
      </c>
      <c r="K887" s="9" t="s">
        <v>873</v>
      </c>
      <c r="L887" s="27">
        <v>0.23607999999999998</v>
      </c>
      <c r="M887" s="28" t="s">
        <v>3203</v>
      </c>
      <c r="N887" s="17">
        <v>19.202316</v>
      </c>
      <c r="O887" s="1"/>
      <c r="P887" s="38">
        <f t="shared" si="79"/>
        <v>0</v>
      </c>
      <c r="S887" s="24" t="str">
        <f t="shared" si="82"/>
        <v>-</v>
      </c>
      <c r="T887" s="24" t="str">
        <f t="shared" si="80"/>
        <v>-</v>
      </c>
      <c r="U887" s="25" t="str">
        <f t="shared" si="83"/>
        <v>-</v>
      </c>
      <c r="V887" s="26" t="str">
        <f t="shared" si="84"/>
        <v>-</v>
      </c>
      <c r="X887" s="26" t="str">
        <f t="shared" si="81"/>
        <v>-</v>
      </c>
    </row>
    <row r="888" spans="1:24" x14ac:dyDescent="0.3">
      <c r="A888" s="37">
        <v>87614010830</v>
      </c>
      <c r="B888" s="8" t="s">
        <v>1206</v>
      </c>
      <c r="C888" s="10" t="s">
        <v>2021</v>
      </c>
      <c r="D888" s="11" t="s">
        <v>882</v>
      </c>
      <c r="E888" s="11" t="s">
        <v>920</v>
      </c>
      <c r="F888" s="9">
        <v>12</v>
      </c>
      <c r="G888" s="9">
        <v>24</v>
      </c>
      <c r="H888" s="9" t="s">
        <v>892</v>
      </c>
      <c r="I888" s="9">
        <v>24</v>
      </c>
      <c r="J888" s="9">
        <v>250</v>
      </c>
      <c r="K888" s="9" t="s">
        <v>873</v>
      </c>
      <c r="L888" s="27">
        <v>0.28261500000000001</v>
      </c>
      <c r="M888" s="28" t="s">
        <v>3203</v>
      </c>
      <c r="N888" s="17">
        <v>11.145980999999999</v>
      </c>
      <c r="O888" s="1"/>
      <c r="P888" s="38">
        <f t="shared" si="79"/>
        <v>0</v>
      </c>
      <c r="S888" s="24" t="str">
        <f t="shared" si="82"/>
        <v>-</v>
      </c>
      <c r="T888" s="24" t="str">
        <f t="shared" si="80"/>
        <v>-</v>
      </c>
      <c r="U888" s="25" t="str">
        <f t="shared" si="83"/>
        <v>-</v>
      </c>
      <c r="V888" s="26" t="str">
        <f t="shared" si="84"/>
        <v>-</v>
      </c>
      <c r="X888" s="26" t="str">
        <f t="shared" si="81"/>
        <v>-</v>
      </c>
    </row>
    <row r="889" spans="1:24" x14ac:dyDescent="0.3">
      <c r="A889" s="37">
        <v>87614010878</v>
      </c>
      <c r="B889" s="8" t="s">
        <v>1501</v>
      </c>
      <c r="C889" s="10" t="s">
        <v>2262</v>
      </c>
      <c r="D889" s="11" t="s">
        <v>882</v>
      </c>
      <c r="E889" s="11" t="s">
        <v>920</v>
      </c>
      <c r="F889" s="9">
        <v>12</v>
      </c>
      <c r="G889" s="9">
        <v>24</v>
      </c>
      <c r="H889" s="9" t="s">
        <v>868</v>
      </c>
      <c r="I889" s="9">
        <v>36</v>
      </c>
      <c r="J889" s="9">
        <v>500</v>
      </c>
      <c r="K889" s="9" t="s">
        <v>877</v>
      </c>
      <c r="L889" s="27">
        <v>0.51869500000000002</v>
      </c>
      <c r="M889" s="28" t="s">
        <v>3203</v>
      </c>
      <c r="N889" s="17">
        <v>16.660833</v>
      </c>
      <c r="O889" s="1"/>
      <c r="P889" s="38">
        <f t="shared" si="79"/>
        <v>0</v>
      </c>
      <c r="S889" s="24" t="str">
        <f t="shared" si="82"/>
        <v>-</v>
      </c>
      <c r="T889" s="24" t="str">
        <f t="shared" si="80"/>
        <v>-</v>
      </c>
      <c r="U889" s="25" t="str">
        <f t="shared" si="83"/>
        <v>-</v>
      </c>
      <c r="V889" s="26" t="str">
        <f t="shared" si="84"/>
        <v>-</v>
      </c>
      <c r="X889" s="26" t="str">
        <f t="shared" si="81"/>
        <v>-</v>
      </c>
    </row>
    <row r="890" spans="1:24" x14ac:dyDescent="0.3">
      <c r="A890" s="37">
        <v>87614010908</v>
      </c>
      <c r="B890" s="8" t="s">
        <v>1358</v>
      </c>
      <c r="C890" s="10" t="s">
        <v>2137</v>
      </c>
      <c r="D890" s="11" t="s">
        <v>882</v>
      </c>
      <c r="E890" s="11" t="s">
        <v>920</v>
      </c>
      <c r="F890" s="9">
        <v>12</v>
      </c>
      <c r="G890" s="9">
        <v>24</v>
      </c>
      <c r="H890" s="9" t="s">
        <v>868</v>
      </c>
      <c r="I890" s="9">
        <v>24</v>
      </c>
      <c r="J890" s="9">
        <v>250</v>
      </c>
      <c r="K890" s="9" t="s">
        <v>877</v>
      </c>
      <c r="L890" s="27">
        <v>0.47215999999999997</v>
      </c>
      <c r="M890" s="28" t="s">
        <v>3203</v>
      </c>
      <c r="N890" s="17">
        <v>16.627610999999998</v>
      </c>
      <c r="O890" s="1"/>
      <c r="P890" s="38">
        <f t="shared" si="79"/>
        <v>0</v>
      </c>
      <c r="S890" s="24" t="str">
        <f t="shared" si="82"/>
        <v>-</v>
      </c>
      <c r="T890" s="24" t="str">
        <f t="shared" si="80"/>
        <v>-</v>
      </c>
      <c r="U890" s="25" t="str">
        <f t="shared" si="83"/>
        <v>-</v>
      </c>
      <c r="V890" s="26" t="str">
        <f t="shared" si="84"/>
        <v>-</v>
      </c>
      <c r="X890" s="26" t="str">
        <f t="shared" si="81"/>
        <v>-</v>
      </c>
    </row>
    <row r="891" spans="1:24" x14ac:dyDescent="0.3">
      <c r="A891" s="37">
        <v>87614110363</v>
      </c>
      <c r="B891" s="8" t="s">
        <v>50</v>
      </c>
      <c r="C891" s="10" t="s">
        <v>51</v>
      </c>
      <c r="D891" s="11" t="s">
        <v>879</v>
      </c>
      <c r="E891" s="11" t="s">
        <v>929</v>
      </c>
      <c r="F891" s="9">
        <v>20</v>
      </c>
      <c r="G891" s="9">
        <v>60</v>
      </c>
      <c r="H891" s="9" t="s">
        <v>868</v>
      </c>
      <c r="I891" s="9">
        <v>36</v>
      </c>
      <c r="J891" s="9">
        <v>100</v>
      </c>
      <c r="K891" s="9" t="s">
        <v>873</v>
      </c>
      <c r="L891" s="27">
        <v>0.105555</v>
      </c>
      <c r="M891" s="28" t="s">
        <v>3203</v>
      </c>
      <c r="N891" s="17">
        <v>7.0098419999999999</v>
      </c>
      <c r="O891" s="1"/>
      <c r="P891" s="38">
        <f t="shared" si="79"/>
        <v>0</v>
      </c>
      <c r="S891" s="24" t="str">
        <f t="shared" si="82"/>
        <v>-</v>
      </c>
      <c r="T891" s="24" t="str">
        <f t="shared" si="80"/>
        <v>-</v>
      </c>
      <c r="U891" s="25" t="str">
        <f t="shared" si="83"/>
        <v>-</v>
      </c>
      <c r="V891" s="26" t="str">
        <f t="shared" si="84"/>
        <v>-</v>
      </c>
      <c r="X891" s="26" t="str">
        <f t="shared" si="81"/>
        <v>-</v>
      </c>
    </row>
    <row r="892" spans="1:24" x14ac:dyDescent="0.3">
      <c r="A892" s="37">
        <v>87614110370</v>
      </c>
      <c r="B892" s="8" t="s">
        <v>1502</v>
      </c>
      <c r="C892" s="10" t="s">
        <v>2263</v>
      </c>
      <c r="D892" s="11" t="s">
        <v>879</v>
      </c>
      <c r="E892" s="11" t="s">
        <v>930</v>
      </c>
      <c r="F892" s="9">
        <v>16</v>
      </c>
      <c r="G892" s="9">
        <v>48</v>
      </c>
      <c r="H892" s="9" t="s">
        <v>868</v>
      </c>
      <c r="I892" s="9">
        <v>36</v>
      </c>
      <c r="J892" s="9">
        <v>100</v>
      </c>
      <c r="K892" s="9" t="s">
        <v>873</v>
      </c>
      <c r="L892" s="27">
        <v>0.121445</v>
      </c>
      <c r="M892" s="28" t="s">
        <v>3203</v>
      </c>
      <c r="N892" s="17">
        <v>7.209174</v>
      </c>
      <c r="O892" s="1"/>
      <c r="P892" s="38">
        <f t="shared" si="79"/>
        <v>0</v>
      </c>
      <c r="S892" s="24" t="str">
        <f t="shared" si="82"/>
        <v>-</v>
      </c>
      <c r="T892" s="24" t="str">
        <f t="shared" si="80"/>
        <v>-</v>
      </c>
      <c r="U892" s="25" t="str">
        <f t="shared" si="83"/>
        <v>-</v>
      </c>
      <c r="V892" s="26" t="str">
        <f t="shared" si="84"/>
        <v>-</v>
      </c>
      <c r="X892" s="26" t="str">
        <f t="shared" si="81"/>
        <v>-</v>
      </c>
    </row>
    <row r="893" spans="1:24" x14ac:dyDescent="0.3">
      <c r="A893" s="37">
        <v>87614110400</v>
      </c>
      <c r="B893" s="8" t="s">
        <v>1503</v>
      </c>
      <c r="C893" s="10" t="s">
        <v>2264</v>
      </c>
      <c r="D893" s="11" t="s">
        <v>879</v>
      </c>
      <c r="E893" s="11" t="s">
        <v>930</v>
      </c>
      <c r="F893" s="9">
        <v>30</v>
      </c>
      <c r="G893" s="9">
        <v>90</v>
      </c>
      <c r="H893" s="9" t="s">
        <v>868</v>
      </c>
      <c r="I893" s="9">
        <v>36</v>
      </c>
      <c r="J893" s="9">
        <v>100</v>
      </c>
      <c r="K893" s="9" t="s">
        <v>873</v>
      </c>
      <c r="L893" s="27">
        <v>9.7609999999999988E-2</v>
      </c>
      <c r="M893" s="28" t="s">
        <v>3203</v>
      </c>
      <c r="N893" s="17">
        <v>4.7673569999999996</v>
      </c>
      <c r="O893" s="1"/>
      <c r="P893" s="38">
        <f t="shared" si="79"/>
        <v>0</v>
      </c>
      <c r="S893" s="24" t="str">
        <f t="shared" si="82"/>
        <v>-</v>
      </c>
      <c r="T893" s="24" t="str">
        <f t="shared" si="80"/>
        <v>-</v>
      </c>
      <c r="U893" s="25" t="str">
        <f t="shared" si="83"/>
        <v>-</v>
      </c>
      <c r="V893" s="26" t="str">
        <f t="shared" si="84"/>
        <v>-</v>
      </c>
      <c r="X893" s="26" t="str">
        <f t="shared" si="81"/>
        <v>-</v>
      </c>
    </row>
    <row r="894" spans="1:24" x14ac:dyDescent="0.3">
      <c r="A894" s="37">
        <v>87614110455</v>
      </c>
      <c r="B894" s="8" t="s">
        <v>1505</v>
      </c>
      <c r="C894" s="10" t="s">
        <v>2266</v>
      </c>
      <c r="D894" s="11" t="s">
        <v>870</v>
      </c>
      <c r="E894" s="11" t="s">
        <v>2814</v>
      </c>
      <c r="F894" s="9">
        <v>12</v>
      </c>
      <c r="G894" s="9">
        <v>24</v>
      </c>
      <c r="H894" s="9" t="s">
        <v>868</v>
      </c>
      <c r="I894" s="9">
        <v>24</v>
      </c>
      <c r="J894" s="9">
        <v>240</v>
      </c>
      <c r="K894" s="9" t="s">
        <v>873</v>
      </c>
      <c r="L894" s="27">
        <v>0.38703500000000002</v>
      </c>
      <c r="M894" s="28" t="s">
        <v>3203</v>
      </c>
      <c r="N894" s="17">
        <v>10.913427</v>
      </c>
      <c r="O894" s="1"/>
      <c r="P894" s="38">
        <f t="shared" si="79"/>
        <v>0</v>
      </c>
      <c r="S894" s="24" t="str">
        <f t="shared" si="82"/>
        <v>-</v>
      </c>
      <c r="T894" s="24" t="str">
        <f t="shared" si="80"/>
        <v>-</v>
      </c>
      <c r="U894" s="25" t="str">
        <f t="shared" si="83"/>
        <v>-</v>
      </c>
      <c r="V894" s="26" t="str">
        <f t="shared" si="84"/>
        <v>-</v>
      </c>
      <c r="X894" s="26" t="str">
        <f t="shared" si="81"/>
        <v>-</v>
      </c>
    </row>
    <row r="895" spans="1:24" x14ac:dyDescent="0.3">
      <c r="A895" s="37">
        <v>87614110622</v>
      </c>
      <c r="B895" s="8" t="s">
        <v>1360</v>
      </c>
      <c r="C895" s="10" t="s">
        <v>2139</v>
      </c>
      <c r="D895" s="11" t="s">
        <v>885</v>
      </c>
      <c r="E895" s="11" t="s">
        <v>934</v>
      </c>
      <c r="F895" s="9">
        <v>16</v>
      </c>
      <c r="G895" s="9">
        <v>48</v>
      </c>
      <c r="H895" s="9" t="s">
        <v>868</v>
      </c>
      <c r="I895" s="9">
        <v>36</v>
      </c>
      <c r="J895" s="9">
        <v>120</v>
      </c>
      <c r="K895" s="9" t="s">
        <v>873</v>
      </c>
      <c r="L895" s="27">
        <v>0.12371500000000001</v>
      </c>
      <c r="M895" s="28" t="s">
        <v>3203</v>
      </c>
      <c r="N895" s="17">
        <v>8.0231130000000004</v>
      </c>
      <c r="O895" s="1"/>
      <c r="P895" s="38">
        <f t="shared" si="79"/>
        <v>0</v>
      </c>
      <c r="S895" s="24" t="str">
        <f t="shared" si="82"/>
        <v>-</v>
      </c>
      <c r="T895" s="24" t="str">
        <f t="shared" si="80"/>
        <v>-</v>
      </c>
      <c r="U895" s="25" t="str">
        <f t="shared" si="83"/>
        <v>-</v>
      </c>
      <c r="V895" s="26" t="str">
        <f t="shared" si="84"/>
        <v>-</v>
      </c>
      <c r="X895" s="26" t="str">
        <f t="shared" si="81"/>
        <v>-</v>
      </c>
    </row>
    <row r="896" spans="1:24" x14ac:dyDescent="0.3">
      <c r="A896" s="37">
        <v>87614110691</v>
      </c>
      <c r="B896" s="8" t="s">
        <v>1127</v>
      </c>
      <c r="C896" s="10" t="s">
        <v>1959</v>
      </c>
      <c r="D896" s="11" t="s">
        <v>874</v>
      </c>
      <c r="E896" s="11" t="s">
        <v>914</v>
      </c>
      <c r="F896" s="9">
        <v>6</v>
      </c>
      <c r="G896" s="9">
        <v>6</v>
      </c>
      <c r="H896" s="9" t="s">
        <v>868</v>
      </c>
      <c r="I896" s="9">
        <v>24</v>
      </c>
      <c r="J896" s="9">
        <v>1</v>
      </c>
      <c r="K896" s="9" t="s">
        <v>2901</v>
      </c>
      <c r="L896" s="27">
        <v>1.721795</v>
      </c>
      <c r="M896" s="28" t="s">
        <v>3203</v>
      </c>
      <c r="N896" s="17">
        <v>49.500779999999999</v>
      </c>
      <c r="O896" s="1"/>
      <c r="P896" s="38">
        <f t="shared" si="79"/>
        <v>0</v>
      </c>
      <c r="S896" s="24" t="str">
        <f t="shared" si="82"/>
        <v>-</v>
      </c>
      <c r="T896" s="24" t="str">
        <f t="shared" si="80"/>
        <v>-</v>
      </c>
      <c r="U896" s="25" t="str">
        <f t="shared" si="83"/>
        <v>-</v>
      </c>
      <c r="V896" s="26" t="str">
        <f t="shared" si="84"/>
        <v>-</v>
      </c>
      <c r="X896" s="26" t="str">
        <f t="shared" si="81"/>
        <v>-</v>
      </c>
    </row>
    <row r="897" spans="1:24" x14ac:dyDescent="0.3">
      <c r="A897" s="37">
        <v>87614110813</v>
      </c>
      <c r="B897" s="8" t="s">
        <v>1507</v>
      </c>
      <c r="C897" s="10" t="s">
        <v>2268</v>
      </c>
      <c r="D897" s="11" t="s">
        <v>883</v>
      </c>
      <c r="E897" s="11" t="s">
        <v>926</v>
      </c>
      <c r="F897" s="9">
        <v>12</v>
      </c>
      <c r="G897" s="9">
        <v>24</v>
      </c>
      <c r="H897" s="9" t="s">
        <v>868</v>
      </c>
      <c r="I897" s="9">
        <v>24</v>
      </c>
      <c r="J897" s="9">
        <v>240</v>
      </c>
      <c r="K897" s="9" t="s">
        <v>877</v>
      </c>
      <c r="L897" s="27">
        <v>0.53798999999999997</v>
      </c>
      <c r="M897" s="28" t="s">
        <v>3203</v>
      </c>
      <c r="N897" s="17">
        <v>39.500958000000004</v>
      </c>
      <c r="O897" s="1"/>
      <c r="P897" s="38">
        <f t="shared" si="79"/>
        <v>0</v>
      </c>
      <c r="S897" s="24" t="str">
        <f t="shared" si="82"/>
        <v>-</v>
      </c>
      <c r="T897" s="24" t="str">
        <f t="shared" si="80"/>
        <v>-</v>
      </c>
      <c r="U897" s="25" t="str">
        <f t="shared" si="83"/>
        <v>-</v>
      </c>
      <c r="V897" s="26" t="str">
        <f t="shared" si="84"/>
        <v>-</v>
      </c>
      <c r="X897" s="26" t="str">
        <f t="shared" si="81"/>
        <v>-</v>
      </c>
    </row>
    <row r="898" spans="1:24" x14ac:dyDescent="0.3">
      <c r="A898" s="37">
        <v>87614110851</v>
      </c>
      <c r="B898" s="8" t="s">
        <v>1909</v>
      </c>
      <c r="C898" s="10" t="s">
        <v>2633</v>
      </c>
      <c r="D898" s="11" t="s">
        <v>879</v>
      </c>
      <c r="E898" s="11" t="s">
        <v>922</v>
      </c>
      <c r="F898" s="9">
        <v>12</v>
      </c>
      <c r="G898" s="9">
        <v>24</v>
      </c>
      <c r="H898" s="9" t="s">
        <v>868</v>
      </c>
      <c r="I898" s="9">
        <v>24</v>
      </c>
      <c r="J898" s="9">
        <v>180</v>
      </c>
      <c r="K898" s="9" t="s">
        <v>873</v>
      </c>
      <c r="L898" s="27">
        <v>0.239485</v>
      </c>
      <c r="M898" s="28" t="s">
        <v>3203</v>
      </c>
      <c r="N898" s="17">
        <v>12.640970999999999</v>
      </c>
      <c r="O898" s="1"/>
      <c r="P898" s="38">
        <f t="shared" si="79"/>
        <v>0</v>
      </c>
      <c r="S898" s="24" t="str">
        <f t="shared" si="82"/>
        <v>-</v>
      </c>
      <c r="T898" s="24" t="str">
        <f t="shared" si="80"/>
        <v>-</v>
      </c>
      <c r="U898" s="25" t="str">
        <f t="shared" si="83"/>
        <v>-</v>
      </c>
      <c r="V898" s="26" t="str">
        <f t="shared" si="84"/>
        <v>-</v>
      </c>
      <c r="X898" s="26" t="str">
        <f t="shared" si="81"/>
        <v>-</v>
      </c>
    </row>
    <row r="899" spans="1:24" x14ac:dyDescent="0.3">
      <c r="A899" s="37">
        <v>87614111100</v>
      </c>
      <c r="B899" s="8" t="s">
        <v>1508</v>
      </c>
      <c r="C899" s="10" t="s">
        <v>2269</v>
      </c>
      <c r="D899" s="11" t="s">
        <v>870</v>
      </c>
      <c r="E899" s="11" t="s">
        <v>924</v>
      </c>
      <c r="F899" s="9">
        <v>12</v>
      </c>
      <c r="G899" s="9">
        <v>24</v>
      </c>
      <c r="H899" s="9" t="s">
        <v>868</v>
      </c>
      <c r="I899" s="9">
        <v>36</v>
      </c>
      <c r="J899" s="9">
        <v>300</v>
      </c>
      <c r="K899" s="9" t="s">
        <v>873</v>
      </c>
      <c r="L899" s="27">
        <v>0.44946000000000003</v>
      </c>
      <c r="M899" s="28" t="s">
        <v>3203</v>
      </c>
      <c r="N899" s="17">
        <v>12.707415000000001</v>
      </c>
      <c r="O899" s="1"/>
      <c r="P899" s="38">
        <f t="shared" ref="P899:P962" si="85">O899*N899</f>
        <v>0</v>
      </c>
      <c r="S899" s="24" t="str">
        <f t="shared" si="82"/>
        <v>-</v>
      </c>
      <c r="T899" s="24" t="str">
        <f t="shared" ref="T899:T962" si="86">IF(O899&gt;0,N899+L899*O899/$U$2*$V$2/O899,"-")</f>
        <v>-</v>
      </c>
      <c r="U899" s="25" t="str">
        <f t="shared" si="83"/>
        <v>-</v>
      </c>
      <c r="V899" s="26" t="str">
        <f t="shared" si="84"/>
        <v>-</v>
      </c>
      <c r="X899" s="26" t="str">
        <f t="shared" ref="X899:X962" si="87">IFERROR(IF(V899+P899=0, "-", IF(V899&gt;0, V899+P899, "-")), "-")</f>
        <v>-</v>
      </c>
    </row>
    <row r="900" spans="1:24" x14ac:dyDescent="0.3">
      <c r="A900" s="37">
        <v>87614111414</v>
      </c>
      <c r="B900" s="8" t="s">
        <v>88</v>
      </c>
      <c r="C900" s="10" t="s">
        <v>89</v>
      </c>
      <c r="D900" s="11" t="s">
        <v>878</v>
      </c>
      <c r="E900" s="11" t="s">
        <v>954</v>
      </c>
      <c r="F900" s="9">
        <v>30</v>
      </c>
      <c r="G900" s="9">
        <v>90</v>
      </c>
      <c r="H900" s="9" t="s">
        <v>868</v>
      </c>
      <c r="I900" s="9">
        <v>36</v>
      </c>
      <c r="J900" s="9">
        <v>60</v>
      </c>
      <c r="K900" s="9" t="s">
        <v>873</v>
      </c>
      <c r="L900" s="27">
        <v>6.0155E-2</v>
      </c>
      <c r="M900" s="28" t="s">
        <v>3203</v>
      </c>
      <c r="N900" s="17">
        <v>5.8138500000000004</v>
      </c>
      <c r="O900" s="1"/>
      <c r="P900" s="38">
        <f t="shared" si="85"/>
        <v>0</v>
      </c>
      <c r="S900" s="24" t="str">
        <f t="shared" ref="S900:S963" si="88">IFERROR(IF(S$2*L900=0, "-", $S$2*L900), "-")</f>
        <v>-</v>
      </c>
      <c r="T900" s="24" t="str">
        <f t="shared" si="86"/>
        <v>-</v>
      </c>
      <c r="U900" s="25" t="str">
        <f t="shared" ref="U900:U963" si="89">IF(O900&gt;0,O900*L900, "-")</f>
        <v>-</v>
      </c>
      <c r="V900" s="26" t="str">
        <f t="shared" ref="V900:V963" si="90">IFERROR(IF($S$2&gt;0, $S$2*U900, "-"), "-")</f>
        <v>-</v>
      </c>
      <c r="X900" s="26" t="str">
        <f t="shared" si="87"/>
        <v>-</v>
      </c>
    </row>
    <row r="901" spans="1:24" x14ac:dyDescent="0.3">
      <c r="A901" s="37">
        <v>87614111605</v>
      </c>
      <c r="B901" s="8" t="s">
        <v>1512</v>
      </c>
      <c r="C901" s="10" t="s">
        <v>2273</v>
      </c>
      <c r="D901" s="11" t="s">
        <v>879</v>
      </c>
      <c r="E901" s="11" t="s">
        <v>930</v>
      </c>
      <c r="F901" s="9">
        <v>30</v>
      </c>
      <c r="G901" s="9">
        <v>90</v>
      </c>
      <c r="H901" s="9" t="s">
        <v>868</v>
      </c>
      <c r="I901" s="9">
        <v>36</v>
      </c>
      <c r="J901" s="9">
        <v>60</v>
      </c>
      <c r="K901" s="9" t="s">
        <v>873</v>
      </c>
      <c r="L901" s="27">
        <v>6.2425000000000001E-2</v>
      </c>
      <c r="M901" s="28" t="s">
        <v>3203</v>
      </c>
      <c r="N901" s="17">
        <v>4.6676909999999996</v>
      </c>
      <c r="O901" s="1"/>
      <c r="P901" s="38">
        <f t="shared" si="85"/>
        <v>0</v>
      </c>
      <c r="S901" s="24" t="str">
        <f t="shared" si="88"/>
        <v>-</v>
      </c>
      <c r="T901" s="24" t="str">
        <f t="shared" si="86"/>
        <v>-</v>
      </c>
      <c r="U901" s="25" t="str">
        <f t="shared" si="89"/>
        <v>-</v>
      </c>
      <c r="V901" s="26" t="str">
        <f t="shared" si="90"/>
        <v>-</v>
      </c>
      <c r="X901" s="26" t="str">
        <f t="shared" si="87"/>
        <v>-</v>
      </c>
    </row>
    <row r="902" spans="1:24" x14ac:dyDescent="0.3">
      <c r="A902" s="37">
        <v>87614111711</v>
      </c>
      <c r="B902" s="8" t="s">
        <v>1303</v>
      </c>
      <c r="C902" s="10" t="s">
        <v>2088</v>
      </c>
      <c r="D902" s="11" t="s">
        <v>884</v>
      </c>
      <c r="E902" s="11" t="s">
        <v>959</v>
      </c>
      <c r="F902" s="9">
        <v>12</v>
      </c>
      <c r="G902" s="9">
        <v>108</v>
      </c>
      <c r="H902" s="9" t="s">
        <v>868</v>
      </c>
      <c r="I902" s="9">
        <v>36</v>
      </c>
      <c r="J902" s="9">
        <v>1</v>
      </c>
      <c r="K902" s="9" t="s">
        <v>887</v>
      </c>
      <c r="L902" s="27">
        <v>9.9879999999999997E-2</v>
      </c>
      <c r="M902" s="28" t="s">
        <v>3203</v>
      </c>
      <c r="N902" s="17">
        <v>10.680873</v>
      </c>
      <c r="O902" s="1"/>
      <c r="P902" s="38">
        <f t="shared" si="85"/>
        <v>0</v>
      </c>
      <c r="S902" s="24" t="str">
        <f t="shared" si="88"/>
        <v>-</v>
      </c>
      <c r="T902" s="24" t="str">
        <f t="shared" si="86"/>
        <v>-</v>
      </c>
      <c r="U902" s="25" t="str">
        <f t="shared" si="89"/>
        <v>-</v>
      </c>
      <c r="V902" s="26" t="str">
        <f t="shared" si="90"/>
        <v>-</v>
      </c>
      <c r="X902" s="26" t="str">
        <f t="shared" si="87"/>
        <v>-</v>
      </c>
    </row>
    <row r="903" spans="1:24" x14ac:dyDescent="0.3">
      <c r="A903" s="37">
        <v>87614111735</v>
      </c>
      <c r="B903" s="8" t="s">
        <v>97</v>
      </c>
      <c r="C903" s="10" t="s">
        <v>98</v>
      </c>
      <c r="D903" s="11" t="s">
        <v>882</v>
      </c>
      <c r="E903" s="11" t="s">
        <v>927</v>
      </c>
      <c r="F903" s="9">
        <v>48</v>
      </c>
      <c r="G903" s="9">
        <v>48</v>
      </c>
      <c r="H903" s="9" t="s">
        <v>868</v>
      </c>
      <c r="I903" s="9">
        <v>26</v>
      </c>
      <c r="J903" s="9">
        <v>1</v>
      </c>
      <c r="K903" s="9" t="s">
        <v>887</v>
      </c>
      <c r="L903" s="27">
        <v>9.8744999999999999E-2</v>
      </c>
      <c r="M903" s="28" t="s">
        <v>3203</v>
      </c>
      <c r="N903" s="17">
        <v>14.003073000000001</v>
      </c>
      <c r="O903" s="1"/>
      <c r="P903" s="38">
        <f t="shared" si="85"/>
        <v>0</v>
      </c>
      <c r="S903" s="24" t="str">
        <f t="shared" si="88"/>
        <v>-</v>
      </c>
      <c r="T903" s="24" t="str">
        <f t="shared" si="86"/>
        <v>-</v>
      </c>
      <c r="U903" s="25" t="str">
        <f t="shared" si="89"/>
        <v>-</v>
      </c>
      <c r="V903" s="26" t="str">
        <f t="shared" si="90"/>
        <v>-</v>
      </c>
      <c r="X903" s="26" t="str">
        <f t="shared" si="87"/>
        <v>-</v>
      </c>
    </row>
    <row r="904" spans="1:24" x14ac:dyDescent="0.3">
      <c r="A904" s="37">
        <v>87614111766</v>
      </c>
      <c r="B904" s="8" t="s">
        <v>1304</v>
      </c>
      <c r="C904" s="10" t="s">
        <v>2089</v>
      </c>
      <c r="D904" s="11" t="s">
        <v>876</v>
      </c>
      <c r="E904" s="11" t="s">
        <v>955</v>
      </c>
      <c r="F904" s="9">
        <v>12</v>
      </c>
      <c r="G904" s="9">
        <v>120</v>
      </c>
      <c r="H904" s="9" t="s">
        <v>868</v>
      </c>
      <c r="I904" s="9">
        <v>36</v>
      </c>
      <c r="J904" s="9">
        <v>1</v>
      </c>
      <c r="K904" s="9" t="s">
        <v>887</v>
      </c>
      <c r="L904" s="27">
        <v>0.10214999999999999</v>
      </c>
      <c r="M904" s="28" t="s">
        <v>3203</v>
      </c>
      <c r="N904" s="17">
        <v>9.4848809999999997</v>
      </c>
      <c r="O904" s="1"/>
      <c r="P904" s="38">
        <f t="shared" si="85"/>
        <v>0</v>
      </c>
      <c r="S904" s="24" t="str">
        <f t="shared" si="88"/>
        <v>-</v>
      </c>
      <c r="T904" s="24" t="str">
        <f t="shared" si="86"/>
        <v>-</v>
      </c>
      <c r="U904" s="25" t="str">
        <f t="shared" si="89"/>
        <v>-</v>
      </c>
      <c r="V904" s="26" t="str">
        <f t="shared" si="90"/>
        <v>-</v>
      </c>
      <c r="X904" s="26" t="str">
        <f t="shared" si="87"/>
        <v>-</v>
      </c>
    </row>
    <row r="905" spans="1:24" x14ac:dyDescent="0.3">
      <c r="A905" s="37">
        <v>87614111780</v>
      </c>
      <c r="B905" s="8" t="s">
        <v>99</v>
      </c>
      <c r="C905" s="10" t="s">
        <v>100</v>
      </c>
      <c r="D905" s="11" t="s">
        <v>872</v>
      </c>
      <c r="E905" s="11" t="s">
        <v>961</v>
      </c>
      <c r="F905" s="9">
        <v>12</v>
      </c>
      <c r="G905" s="9">
        <v>96</v>
      </c>
      <c r="H905" s="9" t="s">
        <v>868</v>
      </c>
      <c r="I905" s="9">
        <v>36</v>
      </c>
      <c r="J905" s="9">
        <v>1</v>
      </c>
      <c r="K905" s="9" t="s">
        <v>887</v>
      </c>
      <c r="L905" s="27">
        <v>0.105555</v>
      </c>
      <c r="M905" s="28" t="s">
        <v>3203</v>
      </c>
      <c r="N905" s="17">
        <v>10.116099</v>
      </c>
      <c r="O905" s="1"/>
      <c r="P905" s="38">
        <f t="shared" si="85"/>
        <v>0</v>
      </c>
      <c r="S905" s="24" t="str">
        <f t="shared" si="88"/>
        <v>-</v>
      </c>
      <c r="T905" s="24" t="str">
        <f t="shared" si="86"/>
        <v>-</v>
      </c>
      <c r="U905" s="25" t="str">
        <f t="shared" si="89"/>
        <v>-</v>
      </c>
      <c r="V905" s="26" t="str">
        <f t="shared" si="90"/>
        <v>-</v>
      </c>
      <c r="X905" s="26" t="str">
        <f t="shared" si="87"/>
        <v>-</v>
      </c>
    </row>
    <row r="906" spans="1:24" x14ac:dyDescent="0.3">
      <c r="A906" s="37">
        <v>87614112145</v>
      </c>
      <c r="B906" s="8" t="s">
        <v>1365</v>
      </c>
      <c r="C906" s="10" t="s">
        <v>2145</v>
      </c>
      <c r="D906" s="11" t="s">
        <v>866</v>
      </c>
      <c r="E906" s="11" t="s">
        <v>963</v>
      </c>
      <c r="F906" s="9">
        <v>20</v>
      </c>
      <c r="G906" s="9">
        <v>60</v>
      </c>
      <c r="H906" s="9" t="s">
        <v>868</v>
      </c>
      <c r="I906" s="9">
        <v>36</v>
      </c>
      <c r="J906" s="9">
        <v>120</v>
      </c>
      <c r="K906" s="9" t="s">
        <v>873</v>
      </c>
      <c r="L906" s="27">
        <v>0.132795</v>
      </c>
      <c r="M906" s="28" t="s">
        <v>3203</v>
      </c>
      <c r="N906" s="17">
        <v>4.418526</v>
      </c>
      <c r="O906" s="1"/>
      <c r="P906" s="38">
        <f t="shared" si="85"/>
        <v>0</v>
      </c>
      <c r="S906" s="24" t="str">
        <f t="shared" si="88"/>
        <v>-</v>
      </c>
      <c r="T906" s="24" t="str">
        <f t="shared" si="86"/>
        <v>-</v>
      </c>
      <c r="U906" s="25" t="str">
        <f t="shared" si="89"/>
        <v>-</v>
      </c>
      <c r="V906" s="26" t="str">
        <f t="shared" si="90"/>
        <v>-</v>
      </c>
      <c r="X906" s="26" t="str">
        <f t="shared" si="87"/>
        <v>-</v>
      </c>
    </row>
    <row r="907" spans="1:24" x14ac:dyDescent="0.3">
      <c r="A907" s="37">
        <v>87614112152</v>
      </c>
      <c r="B907" s="8" t="s">
        <v>110</v>
      </c>
      <c r="C907" s="10" t="s">
        <v>111</v>
      </c>
      <c r="D907" s="11" t="s">
        <v>888</v>
      </c>
      <c r="E907" s="11" t="s">
        <v>964</v>
      </c>
      <c r="F907" s="9">
        <v>24</v>
      </c>
      <c r="G907" s="9">
        <v>168</v>
      </c>
      <c r="H907" s="9" t="s">
        <v>868</v>
      </c>
      <c r="I907" s="9">
        <v>24</v>
      </c>
      <c r="J907" s="9">
        <v>1</v>
      </c>
      <c r="K907" s="9" t="s">
        <v>887</v>
      </c>
      <c r="L907" s="27">
        <v>9.8744999999999999E-2</v>
      </c>
      <c r="M907" s="28" t="s">
        <v>3203</v>
      </c>
      <c r="N907" s="17">
        <v>9.235716</v>
      </c>
      <c r="O907" s="1"/>
      <c r="P907" s="38">
        <f t="shared" si="85"/>
        <v>0</v>
      </c>
      <c r="S907" s="24" t="str">
        <f t="shared" si="88"/>
        <v>-</v>
      </c>
      <c r="T907" s="24" t="str">
        <f t="shared" si="86"/>
        <v>-</v>
      </c>
      <c r="U907" s="25" t="str">
        <f t="shared" si="89"/>
        <v>-</v>
      </c>
      <c r="V907" s="26" t="str">
        <f t="shared" si="90"/>
        <v>-</v>
      </c>
      <c r="X907" s="26" t="str">
        <f t="shared" si="87"/>
        <v>-</v>
      </c>
    </row>
    <row r="908" spans="1:24" x14ac:dyDescent="0.3">
      <c r="A908" s="37">
        <v>87614112169</v>
      </c>
      <c r="B908" s="8" t="s">
        <v>1366</v>
      </c>
      <c r="C908" s="10" t="s">
        <v>2146</v>
      </c>
      <c r="D908" s="11" t="s">
        <v>882</v>
      </c>
      <c r="E908" s="11" t="s">
        <v>965</v>
      </c>
      <c r="F908" s="9">
        <v>12</v>
      </c>
      <c r="G908" s="9">
        <v>108</v>
      </c>
      <c r="H908" s="9" t="s">
        <v>868</v>
      </c>
      <c r="I908" s="9">
        <v>36</v>
      </c>
      <c r="J908" s="9">
        <v>1</v>
      </c>
      <c r="K908" s="9" t="s">
        <v>887</v>
      </c>
      <c r="L908" s="27">
        <v>0.107825</v>
      </c>
      <c r="M908" s="28" t="s">
        <v>3203</v>
      </c>
      <c r="N908" s="17">
        <v>15.315341999999999</v>
      </c>
      <c r="O908" s="1"/>
      <c r="P908" s="38">
        <f t="shared" si="85"/>
        <v>0</v>
      </c>
      <c r="S908" s="24" t="str">
        <f t="shared" si="88"/>
        <v>-</v>
      </c>
      <c r="T908" s="24" t="str">
        <f t="shared" si="86"/>
        <v>-</v>
      </c>
      <c r="U908" s="25" t="str">
        <f t="shared" si="89"/>
        <v>-</v>
      </c>
      <c r="V908" s="26" t="str">
        <f t="shared" si="90"/>
        <v>-</v>
      </c>
      <c r="X908" s="26" t="str">
        <f t="shared" si="87"/>
        <v>-</v>
      </c>
    </row>
    <row r="909" spans="1:24" x14ac:dyDescent="0.3">
      <c r="A909" s="37">
        <v>87614112213</v>
      </c>
      <c r="B909" s="8" t="s">
        <v>1367</v>
      </c>
      <c r="C909" s="10" t="s">
        <v>2147</v>
      </c>
      <c r="D909" s="11" t="s">
        <v>872</v>
      </c>
      <c r="E909" s="11" t="s">
        <v>915</v>
      </c>
      <c r="F909" s="9">
        <v>12</v>
      </c>
      <c r="G909" s="9">
        <v>96</v>
      </c>
      <c r="H909" s="9" t="s">
        <v>868</v>
      </c>
      <c r="I909" s="9">
        <v>24</v>
      </c>
      <c r="J909" s="9">
        <v>1</v>
      </c>
      <c r="K909" s="9" t="s">
        <v>887</v>
      </c>
      <c r="L909" s="27">
        <v>0.16230499999999998</v>
      </c>
      <c r="M909" s="28" t="s">
        <v>3203</v>
      </c>
      <c r="N909" s="17">
        <v>11.860253999999999</v>
      </c>
      <c r="O909" s="1"/>
      <c r="P909" s="38">
        <f t="shared" si="85"/>
        <v>0</v>
      </c>
      <c r="S909" s="24" t="str">
        <f t="shared" si="88"/>
        <v>-</v>
      </c>
      <c r="T909" s="24" t="str">
        <f t="shared" si="86"/>
        <v>-</v>
      </c>
      <c r="U909" s="25" t="str">
        <f t="shared" si="89"/>
        <v>-</v>
      </c>
      <c r="V909" s="26" t="str">
        <f t="shared" si="90"/>
        <v>-</v>
      </c>
      <c r="X909" s="26" t="str">
        <f t="shared" si="87"/>
        <v>-</v>
      </c>
    </row>
    <row r="910" spans="1:24" x14ac:dyDescent="0.3">
      <c r="A910" s="37">
        <v>87614011257</v>
      </c>
      <c r="B910" s="8" t="s">
        <v>1126</v>
      </c>
      <c r="C910" s="10" t="s">
        <v>3162</v>
      </c>
      <c r="D910" s="11" t="s">
        <v>882</v>
      </c>
      <c r="E910" s="11" t="s">
        <v>920</v>
      </c>
      <c r="F910" s="9">
        <v>12</v>
      </c>
      <c r="G910" s="9">
        <v>24</v>
      </c>
      <c r="H910" s="9" t="s">
        <v>868</v>
      </c>
      <c r="I910" s="9">
        <v>24</v>
      </c>
      <c r="J910" s="9">
        <v>250</v>
      </c>
      <c r="K910" s="9" t="s">
        <v>2903</v>
      </c>
      <c r="L910" s="27">
        <v>0.23721499999999998</v>
      </c>
      <c r="M910" s="28" t="s">
        <v>3203</v>
      </c>
      <c r="N910" s="17">
        <v>21.212246999999998</v>
      </c>
      <c r="O910" s="1"/>
      <c r="P910" s="38">
        <f t="shared" si="85"/>
        <v>0</v>
      </c>
      <c r="S910" s="24" t="str">
        <f t="shared" si="88"/>
        <v>-</v>
      </c>
      <c r="T910" s="24" t="str">
        <f t="shared" si="86"/>
        <v>-</v>
      </c>
      <c r="U910" s="25" t="str">
        <f t="shared" si="89"/>
        <v>-</v>
      </c>
      <c r="V910" s="26" t="str">
        <f t="shared" si="90"/>
        <v>-</v>
      </c>
      <c r="X910" s="26" t="str">
        <f t="shared" si="87"/>
        <v>-</v>
      </c>
    </row>
    <row r="911" spans="1:24" x14ac:dyDescent="0.3">
      <c r="A911" s="37">
        <v>87614112572</v>
      </c>
      <c r="B911" s="8" t="s">
        <v>1369</v>
      </c>
      <c r="C911" s="10" t="s">
        <v>2149</v>
      </c>
      <c r="D911" s="11" t="s">
        <v>872</v>
      </c>
      <c r="E911" s="11" t="s">
        <v>945</v>
      </c>
      <c r="F911" s="9">
        <v>30</v>
      </c>
      <c r="G911" s="9">
        <v>90</v>
      </c>
      <c r="H911" s="9" t="s">
        <v>868</v>
      </c>
      <c r="I911" s="9">
        <v>36</v>
      </c>
      <c r="J911" s="9">
        <v>60</v>
      </c>
      <c r="K911" s="9" t="s">
        <v>873</v>
      </c>
      <c r="L911" s="27">
        <v>5.9019999999999996E-2</v>
      </c>
      <c r="M911" s="28" t="s">
        <v>3203</v>
      </c>
      <c r="N911" s="17">
        <v>2.5082609999999996</v>
      </c>
      <c r="O911" s="1"/>
      <c r="P911" s="38">
        <f t="shared" si="85"/>
        <v>0</v>
      </c>
      <c r="S911" s="24" t="str">
        <f t="shared" si="88"/>
        <v>-</v>
      </c>
      <c r="T911" s="24" t="str">
        <f t="shared" si="86"/>
        <v>-</v>
      </c>
      <c r="U911" s="25" t="str">
        <f t="shared" si="89"/>
        <v>-</v>
      </c>
      <c r="V911" s="26" t="str">
        <f t="shared" si="90"/>
        <v>-</v>
      </c>
      <c r="X911" s="26" t="str">
        <f t="shared" si="87"/>
        <v>-</v>
      </c>
    </row>
    <row r="912" spans="1:24" x14ac:dyDescent="0.3">
      <c r="A912" s="37">
        <v>87614112640</v>
      </c>
      <c r="B912" s="8" t="s">
        <v>1370</v>
      </c>
      <c r="C912" s="10" t="s">
        <v>2150</v>
      </c>
      <c r="D912" s="11" t="s">
        <v>874</v>
      </c>
      <c r="E912" s="11" t="s">
        <v>914</v>
      </c>
      <c r="F912" s="9">
        <v>30</v>
      </c>
      <c r="G912" s="9">
        <v>90</v>
      </c>
      <c r="H912" s="9" t="s">
        <v>868</v>
      </c>
      <c r="I912" s="9">
        <v>36</v>
      </c>
      <c r="J912" s="9">
        <v>60</v>
      </c>
      <c r="K912" s="9" t="s">
        <v>873</v>
      </c>
      <c r="L912" s="27">
        <v>6.3560000000000005E-2</v>
      </c>
      <c r="M912" s="28" t="s">
        <v>3203</v>
      </c>
      <c r="N912" s="17">
        <v>2.9567580000000002</v>
      </c>
      <c r="O912" s="1"/>
      <c r="P912" s="38">
        <f t="shared" si="85"/>
        <v>0</v>
      </c>
      <c r="S912" s="24" t="str">
        <f t="shared" si="88"/>
        <v>-</v>
      </c>
      <c r="T912" s="24" t="str">
        <f t="shared" si="86"/>
        <v>-</v>
      </c>
      <c r="U912" s="25" t="str">
        <f t="shared" si="89"/>
        <v>-</v>
      </c>
      <c r="V912" s="26" t="str">
        <f t="shared" si="90"/>
        <v>-</v>
      </c>
      <c r="X912" s="26" t="str">
        <f t="shared" si="87"/>
        <v>-</v>
      </c>
    </row>
    <row r="913" spans="1:24" x14ac:dyDescent="0.3">
      <c r="A913" s="37">
        <v>87614112664</v>
      </c>
      <c r="B913" s="8" t="s">
        <v>1522</v>
      </c>
      <c r="C913" s="10" t="s">
        <v>2283</v>
      </c>
      <c r="D913" s="11" t="s">
        <v>879</v>
      </c>
      <c r="E913" s="11" t="s">
        <v>930</v>
      </c>
      <c r="F913" s="9">
        <v>30</v>
      </c>
      <c r="G913" s="9">
        <v>90</v>
      </c>
      <c r="H913" s="9" t="s">
        <v>868</v>
      </c>
      <c r="I913" s="9">
        <v>36</v>
      </c>
      <c r="J913" s="9">
        <v>60</v>
      </c>
      <c r="K913" s="9" t="s">
        <v>873</v>
      </c>
      <c r="L913" s="27">
        <v>6.2425000000000001E-2</v>
      </c>
      <c r="M913" s="28" t="s">
        <v>3203</v>
      </c>
      <c r="N913" s="17">
        <v>2.9899799999999996</v>
      </c>
      <c r="O913" s="1"/>
      <c r="P913" s="38">
        <f t="shared" si="85"/>
        <v>0</v>
      </c>
      <c r="S913" s="24" t="str">
        <f t="shared" si="88"/>
        <v>-</v>
      </c>
      <c r="T913" s="24" t="str">
        <f t="shared" si="86"/>
        <v>-</v>
      </c>
      <c r="U913" s="25" t="str">
        <f t="shared" si="89"/>
        <v>-</v>
      </c>
      <c r="V913" s="26" t="str">
        <f t="shared" si="90"/>
        <v>-</v>
      </c>
      <c r="X913" s="26" t="str">
        <f t="shared" si="87"/>
        <v>-</v>
      </c>
    </row>
    <row r="914" spans="1:24" x14ac:dyDescent="0.3">
      <c r="A914" s="37">
        <v>87614112718</v>
      </c>
      <c r="B914" s="8" t="s">
        <v>135</v>
      </c>
      <c r="C914" s="10" t="s">
        <v>136</v>
      </c>
      <c r="D914" s="11" t="s">
        <v>891</v>
      </c>
      <c r="E914" s="11" t="s">
        <v>970</v>
      </c>
      <c r="F914" s="9">
        <v>30</v>
      </c>
      <c r="G914" s="9">
        <v>90</v>
      </c>
      <c r="H914" s="9" t="s">
        <v>892</v>
      </c>
      <c r="I914" s="9">
        <v>24</v>
      </c>
      <c r="J914" s="9">
        <v>60</v>
      </c>
      <c r="K914" s="9" t="s">
        <v>873</v>
      </c>
      <c r="L914" s="27">
        <v>6.0155E-2</v>
      </c>
      <c r="M914" s="28" t="s">
        <v>3203</v>
      </c>
      <c r="N914" s="17">
        <v>5.3487419999999997</v>
      </c>
      <c r="O914" s="1"/>
      <c r="P914" s="38">
        <f t="shared" si="85"/>
        <v>0</v>
      </c>
      <c r="S914" s="24" t="str">
        <f t="shared" si="88"/>
        <v>-</v>
      </c>
      <c r="T914" s="24" t="str">
        <f t="shared" si="86"/>
        <v>-</v>
      </c>
      <c r="U914" s="25" t="str">
        <f t="shared" si="89"/>
        <v>-</v>
      </c>
      <c r="V914" s="26" t="str">
        <f t="shared" si="90"/>
        <v>-</v>
      </c>
      <c r="X914" s="26" t="str">
        <f t="shared" si="87"/>
        <v>-</v>
      </c>
    </row>
    <row r="915" spans="1:24" x14ac:dyDescent="0.3">
      <c r="A915" s="37">
        <v>87614112725</v>
      </c>
      <c r="B915" s="8" t="s">
        <v>1226</v>
      </c>
      <c r="C915" s="10" t="s">
        <v>2035</v>
      </c>
      <c r="D915" s="11" t="s">
        <v>902</v>
      </c>
      <c r="E915" s="11" t="s">
        <v>971</v>
      </c>
      <c r="F915" s="9">
        <v>30</v>
      </c>
      <c r="G915" s="9">
        <v>90</v>
      </c>
      <c r="H915" s="9" t="s">
        <v>868</v>
      </c>
      <c r="I915" s="9">
        <v>36</v>
      </c>
      <c r="J915" s="9">
        <v>60</v>
      </c>
      <c r="K915" s="9" t="s">
        <v>873</v>
      </c>
      <c r="L915" s="27">
        <v>6.3560000000000005E-2</v>
      </c>
      <c r="M915" s="28" t="s">
        <v>3203</v>
      </c>
      <c r="N915" s="17">
        <v>5.0165219999999993</v>
      </c>
      <c r="O915" s="1"/>
      <c r="P915" s="38">
        <f t="shared" si="85"/>
        <v>0</v>
      </c>
      <c r="S915" s="24" t="str">
        <f t="shared" si="88"/>
        <v>-</v>
      </c>
      <c r="T915" s="24" t="str">
        <f t="shared" si="86"/>
        <v>-</v>
      </c>
      <c r="U915" s="25" t="str">
        <f t="shared" si="89"/>
        <v>-</v>
      </c>
      <c r="V915" s="26" t="str">
        <f t="shared" si="90"/>
        <v>-</v>
      </c>
      <c r="X915" s="26" t="str">
        <f t="shared" si="87"/>
        <v>-</v>
      </c>
    </row>
    <row r="916" spans="1:24" x14ac:dyDescent="0.3">
      <c r="A916" s="37">
        <v>87614112923</v>
      </c>
      <c r="B916" s="8" t="s">
        <v>1372</v>
      </c>
      <c r="C916" s="10" t="s">
        <v>2152</v>
      </c>
      <c r="D916" s="11" t="s">
        <v>875</v>
      </c>
      <c r="E916" s="11" t="s">
        <v>935</v>
      </c>
      <c r="F916" s="9">
        <v>30</v>
      </c>
      <c r="G916" s="9">
        <v>90</v>
      </c>
      <c r="H916" s="9" t="s">
        <v>868</v>
      </c>
      <c r="I916" s="9">
        <v>36</v>
      </c>
      <c r="J916" s="9">
        <v>60</v>
      </c>
      <c r="K916" s="9" t="s">
        <v>873</v>
      </c>
      <c r="L916" s="27">
        <v>6.583E-2</v>
      </c>
      <c r="M916" s="28" t="s">
        <v>3203</v>
      </c>
      <c r="N916" s="17">
        <v>3.554754</v>
      </c>
      <c r="O916" s="1"/>
      <c r="P916" s="38">
        <f t="shared" si="85"/>
        <v>0</v>
      </c>
      <c r="S916" s="24" t="str">
        <f t="shared" si="88"/>
        <v>-</v>
      </c>
      <c r="T916" s="24" t="str">
        <f t="shared" si="86"/>
        <v>-</v>
      </c>
      <c r="U916" s="25" t="str">
        <f t="shared" si="89"/>
        <v>-</v>
      </c>
      <c r="V916" s="26" t="str">
        <f t="shared" si="90"/>
        <v>-</v>
      </c>
      <c r="X916" s="26" t="str">
        <f t="shared" si="87"/>
        <v>-</v>
      </c>
    </row>
    <row r="917" spans="1:24" x14ac:dyDescent="0.3">
      <c r="A917" s="37">
        <v>87614112961</v>
      </c>
      <c r="B917" s="8" t="s">
        <v>1373</v>
      </c>
      <c r="C917" s="10" t="s">
        <v>2153</v>
      </c>
      <c r="D917" s="11" t="s">
        <v>866</v>
      </c>
      <c r="E917" s="11" t="s">
        <v>950</v>
      </c>
      <c r="F917" s="9">
        <v>30</v>
      </c>
      <c r="G917" s="9">
        <v>90</v>
      </c>
      <c r="H917" s="9" t="s">
        <v>868</v>
      </c>
      <c r="I917" s="9">
        <v>36</v>
      </c>
      <c r="J917" s="9">
        <v>60</v>
      </c>
      <c r="K917" s="9" t="s">
        <v>873</v>
      </c>
      <c r="L917" s="27">
        <v>6.583E-2</v>
      </c>
      <c r="M917" s="28" t="s">
        <v>3203</v>
      </c>
      <c r="N917" s="17">
        <v>6.4949010000000005</v>
      </c>
      <c r="O917" s="1"/>
      <c r="P917" s="38">
        <f t="shared" si="85"/>
        <v>0</v>
      </c>
      <c r="S917" s="24" t="str">
        <f t="shared" si="88"/>
        <v>-</v>
      </c>
      <c r="T917" s="24" t="str">
        <f t="shared" si="86"/>
        <v>-</v>
      </c>
      <c r="U917" s="25" t="str">
        <f t="shared" si="89"/>
        <v>-</v>
      </c>
      <c r="V917" s="26" t="str">
        <f t="shared" si="90"/>
        <v>-</v>
      </c>
      <c r="X917" s="26" t="str">
        <f t="shared" si="87"/>
        <v>-</v>
      </c>
    </row>
    <row r="918" spans="1:24" x14ac:dyDescent="0.3">
      <c r="A918" s="37">
        <v>87614113005</v>
      </c>
      <c r="B918" s="8" t="s">
        <v>1529</v>
      </c>
      <c r="C918" s="10" t="s">
        <v>2290</v>
      </c>
      <c r="D918" s="11" t="s">
        <v>881</v>
      </c>
      <c r="E918" s="11" t="s">
        <v>936</v>
      </c>
      <c r="F918" s="9">
        <v>30</v>
      </c>
      <c r="G918" s="9">
        <v>90</v>
      </c>
      <c r="H918" s="9" t="s">
        <v>868</v>
      </c>
      <c r="I918" s="9">
        <v>36</v>
      </c>
      <c r="J918" s="9">
        <v>60</v>
      </c>
      <c r="K918" s="9" t="s">
        <v>873</v>
      </c>
      <c r="L918" s="27">
        <v>6.4695000000000003E-2</v>
      </c>
      <c r="M918" s="28" t="s">
        <v>3203</v>
      </c>
      <c r="N918" s="17">
        <v>4.1195279999999999</v>
      </c>
      <c r="O918" s="1"/>
      <c r="P918" s="38">
        <f t="shared" si="85"/>
        <v>0</v>
      </c>
      <c r="S918" s="24" t="str">
        <f t="shared" si="88"/>
        <v>-</v>
      </c>
      <c r="T918" s="24" t="str">
        <f t="shared" si="86"/>
        <v>-</v>
      </c>
      <c r="U918" s="25" t="str">
        <f t="shared" si="89"/>
        <v>-</v>
      </c>
      <c r="V918" s="26" t="str">
        <f t="shared" si="90"/>
        <v>-</v>
      </c>
      <c r="X918" s="26" t="str">
        <f t="shared" si="87"/>
        <v>-</v>
      </c>
    </row>
    <row r="919" spans="1:24" x14ac:dyDescent="0.3">
      <c r="A919" s="37">
        <v>87614113036</v>
      </c>
      <c r="B919" s="8" t="s">
        <v>1531</v>
      </c>
      <c r="C919" s="10" t="s">
        <v>2292</v>
      </c>
      <c r="D919" s="11" t="s">
        <v>866</v>
      </c>
      <c r="E919" s="11" t="s">
        <v>2821</v>
      </c>
      <c r="F919" s="9">
        <v>30</v>
      </c>
      <c r="G919" s="9">
        <v>90</v>
      </c>
      <c r="H919" s="9" t="s">
        <v>868</v>
      </c>
      <c r="I919" s="9">
        <v>36</v>
      </c>
      <c r="J919" s="9">
        <v>60</v>
      </c>
      <c r="K919" s="9" t="s">
        <v>873</v>
      </c>
      <c r="L919" s="27">
        <v>4.7670000000000004E-2</v>
      </c>
      <c r="M919" s="28" t="s">
        <v>3203</v>
      </c>
      <c r="N919" s="17">
        <v>4.8171900000000001</v>
      </c>
      <c r="O919" s="1"/>
      <c r="P919" s="38">
        <f t="shared" si="85"/>
        <v>0</v>
      </c>
      <c r="S919" s="24" t="str">
        <f t="shared" si="88"/>
        <v>-</v>
      </c>
      <c r="T919" s="24" t="str">
        <f t="shared" si="86"/>
        <v>-</v>
      </c>
      <c r="U919" s="25" t="str">
        <f t="shared" si="89"/>
        <v>-</v>
      </c>
      <c r="V919" s="26" t="str">
        <f t="shared" si="90"/>
        <v>-</v>
      </c>
      <c r="X919" s="26" t="str">
        <f t="shared" si="87"/>
        <v>-</v>
      </c>
    </row>
    <row r="920" spans="1:24" x14ac:dyDescent="0.3">
      <c r="A920" s="37">
        <v>87614113067</v>
      </c>
      <c r="B920" s="8" t="s">
        <v>1533</v>
      </c>
      <c r="C920" s="10" t="s">
        <v>2294</v>
      </c>
      <c r="D920" s="11" t="s">
        <v>866</v>
      </c>
      <c r="E920" s="11" t="s">
        <v>2821</v>
      </c>
      <c r="F920" s="9">
        <v>30</v>
      </c>
      <c r="G920" s="9">
        <v>90</v>
      </c>
      <c r="H920" s="9" t="s">
        <v>868</v>
      </c>
      <c r="I920" s="9">
        <v>36</v>
      </c>
      <c r="J920" s="9">
        <v>60</v>
      </c>
      <c r="K920" s="9" t="s">
        <v>873</v>
      </c>
      <c r="L920" s="27">
        <v>5.1074999999999995E-2</v>
      </c>
      <c r="M920" s="28" t="s">
        <v>3203</v>
      </c>
      <c r="N920" s="17">
        <v>4.6676909999999996</v>
      </c>
      <c r="O920" s="1"/>
      <c r="P920" s="38">
        <f t="shared" si="85"/>
        <v>0</v>
      </c>
      <c r="S920" s="24" t="str">
        <f t="shared" si="88"/>
        <v>-</v>
      </c>
      <c r="T920" s="24" t="str">
        <f t="shared" si="86"/>
        <v>-</v>
      </c>
      <c r="U920" s="25" t="str">
        <f t="shared" si="89"/>
        <v>-</v>
      </c>
      <c r="V920" s="26" t="str">
        <f t="shared" si="90"/>
        <v>-</v>
      </c>
      <c r="X920" s="26" t="str">
        <f t="shared" si="87"/>
        <v>-</v>
      </c>
    </row>
    <row r="921" spans="1:24" x14ac:dyDescent="0.3">
      <c r="A921" s="37">
        <v>87614113234</v>
      </c>
      <c r="B921" s="8" t="s">
        <v>144</v>
      </c>
      <c r="C921" s="10" t="s">
        <v>145</v>
      </c>
      <c r="D921" s="11" t="s">
        <v>879</v>
      </c>
      <c r="E921" s="11" t="s">
        <v>978</v>
      </c>
      <c r="F921" s="9">
        <v>12</v>
      </c>
      <c r="G921" s="9">
        <v>120</v>
      </c>
      <c r="H921" s="9" t="s">
        <v>868</v>
      </c>
      <c r="I921" s="9">
        <v>36</v>
      </c>
      <c r="J921" s="9">
        <v>1</v>
      </c>
      <c r="K921" s="9" t="s">
        <v>887</v>
      </c>
      <c r="L921" s="27">
        <v>9.9879999999999997E-2</v>
      </c>
      <c r="M921" s="28" t="s">
        <v>3203</v>
      </c>
      <c r="N921" s="17">
        <v>10.930038</v>
      </c>
      <c r="O921" s="1"/>
      <c r="P921" s="38">
        <f t="shared" si="85"/>
        <v>0</v>
      </c>
      <c r="S921" s="24" t="str">
        <f t="shared" si="88"/>
        <v>-</v>
      </c>
      <c r="T921" s="24" t="str">
        <f t="shared" si="86"/>
        <v>-</v>
      </c>
      <c r="U921" s="25" t="str">
        <f t="shared" si="89"/>
        <v>-</v>
      </c>
      <c r="V921" s="26" t="str">
        <f t="shared" si="90"/>
        <v>-</v>
      </c>
      <c r="X921" s="26" t="str">
        <f t="shared" si="87"/>
        <v>-</v>
      </c>
    </row>
    <row r="922" spans="1:24" x14ac:dyDescent="0.3">
      <c r="A922" s="37">
        <v>87614113241</v>
      </c>
      <c r="B922" s="8" t="s">
        <v>1376</v>
      </c>
      <c r="C922" s="10" t="s">
        <v>2156</v>
      </c>
      <c r="D922" s="11" t="s">
        <v>879</v>
      </c>
      <c r="E922" s="11" t="s">
        <v>930</v>
      </c>
      <c r="F922" s="9">
        <v>30</v>
      </c>
      <c r="G922" s="9">
        <v>90</v>
      </c>
      <c r="H922" s="9" t="s">
        <v>892</v>
      </c>
      <c r="I922" s="9">
        <v>24</v>
      </c>
      <c r="J922" s="9">
        <v>60</v>
      </c>
      <c r="K922" s="9" t="s">
        <v>873</v>
      </c>
      <c r="L922" s="27">
        <v>5.9019999999999996E-2</v>
      </c>
      <c r="M922" s="28" t="s">
        <v>3203</v>
      </c>
      <c r="N922" s="17">
        <v>5.6809619999999992</v>
      </c>
      <c r="O922" s="1"/>
      <c r="P922" s="38">
        <f t="shared" si="85"/>
        <v>0</v>
      </c>
      <c r="S922" s="24" t="str">
        <f t="shared" si="88"/>
        <v>-</v>
      </c>
      <c r="T922" s="24" t="str">
        <f t="shared" si="86"/>
        <v>-</v>
      </c>
      <c r="U922" s="25" t="str">
        <f t="shared" si="89"/>
        <v>-</v>
      </c>
      <c r="V922" s="26" t="str">
        <f t="shared" si="90"/>
        <v>-</v>
      </c>
      <c r="X922" s="26" t="str">
        <f t="shared" si="87"/>
        <v>-</v>
      </c>
    </row>
    <row r="923" spans="1:24" x14ac:dyDescent="0.3">
      <c r="A923" s="37">
        <v>87614113258</v>
      </c>
      <c r="B923" s="8" t="s">
        <v>1377</v>
      </c>
      <c r="C923" s="10" t="s">
        <v>2157</v>
      </c>
      <c r="D923" s="11" t="s">
        <v>881</v>
      </c>
      <c r="E923" s="11" t="s">
        <v>2816</v>
      </c>
      <c r="F923" s="9">
        <v>12</v>
      </c>
      <c r="G923" s="9">
        <v>96</v>
      </c>
      <c r="H923" s="9" t="s">
        <v>868</v>
      </c>
      <c r="I923" s="9">
        <v>36</v>
      </c>
      <c r="J923" s="9">
        <v>1</v>
      </c>
      <c r="K923" s="9" t="s">
        <v>887</v>
      </c>
      <c r="L923" s="27">
        <v>0.103285</v>
      </c>
      <c r="M923" s="28" t="s">
        <v>3203</v>
      </c>
      <c r="N923" s="17">
        <v>9.9001559999999991</v>
      </c>
      <c r="O923" s="1"/>
      <c r="P923" s="38">
        <f t="shared" si="85"/>
        <v>0</v>
      </c>
      <c r="S923" s="24" t="str">
        <f t="shared" si="88"/>
        <v>-</v>
      </c>
      <c r="T923" s="24" t="str">
        <f t="shared" si="86"/>
        <v>-</v>
      </c>
      <c r="U923" s="25" t="str">
        <f t="shared" si="89"/>
        <v>-</v>
      </c>
      <c r="V923" s="26" t="str">
        <f t="shared" si="90"/>
        <v>-</v>
      </c>
      <c r="X923" s="26" t="str">
        <f t="shared" si="87"/>
        <v>-</v>
      </c>
    </row>
    <row r="924" spans="1:24" x14ac:dyDescent="0.3">
      <c r="A924" s="37">
        <v>87614113265</v>
      </c>
      <c r="B924" s="8" t="s">
        <v>1899</v>
      </c>
      <c r="C924" s="10" t="s">
        <v>2623</v>
      </c>
      <c r="D924" s="11" t="s">
        <v>898</v>
      </c>
      <c r="E924" s="11" t="s">
        <v>979</v>
      </c>
      <c r="F924" s="9">
        <v>12</v>
      </c>
      <c r="G924" s="9">
        <v>12</v>
      </c>
      <c r="H924" s="9" t="s">
        <v>868</v>
      </c>
      <c r="I924" s="9">
        <v>36</v>
      </c>
      <c r="J924" s="9">
        <v>1</v>
      </c>
      <c r="K924" s="9" t="s">
        <v>887</v>
      </c>
      <c r="L924" s="27">
        <v>0.103285</v>
      </c>
      <c r="M924" s="28" t="s">
        <v>3203</v>
      </c>
      <c r="N924" s="17">
        <v>12.508083000000001</v>
      </c>
      <c r="O924" s="1"/>
      <c r="P924" s="38">
        <f t="shared" si="85"/>
        <v>0</v>
      </c>
      <c r="S924" s="24" t="str">
        <f t="shared" si="88"/>
        <v>-</v>
      </c>
      <c r="T924" s="24" t="str">
        <f t="shared" si="86"/>
        <v>-</v>
      </c>
      <c r="U924" s="25" t="str">
        <f t="shared" si="89"/>
        <v>-</v>
      </c>
      <c r="V924" s="26" t="str">
        <f t="shared" si="90"/>
        <v>-</v>
      </c>
      <c r="X924" s="26" t="str">
        <f t="shared" si="87"/>
        <v>-</v>
      </c>
    </row>
    <row r="925" spans="1:24" x14ac:dyDescent="0.3">
      <c r="A925" s="37">
        <v>87614113302</v>
      </c>
      <c r="B925" s="8" t="s">
        <v>1537</v>
      </c>
      <c r="C925" s="10" t="s">
        <v>2298</v>
      </c>
      <c r="D925" s="11" t="s">
        <v>882</v>
      </c>
      <c r="E925" s="11" t="s">
        <v>958</v>
      </c>
      <c r="F925" s="9">
        <v>24</v>
      </c>
      <c r="G925" s="9">
        <v>168</v>
      </c>
      <c r="H925" s="9" t="s">
        <v>868</v>
      </c>
      <c r="I925" s="9">
        <v>60</v>
      </c>
      <c r="J925" s="9">
        <v>1</v>
      </c>
      <c r="K925" s="9" t="s">
        <v>887</v>
      </c>
      <c r="L925" s="27">
        <v>9.5340000000000008E-2</v>
      </c>
      <c r="M925" s="28" t="s">
        <v>3203</v>
      </c>
      <c r="N925" s="17">
        <v>10.315430999999998</v>
      </c>
      <c r="O925" s="1"/>
      <c r="P925" s="38">
        <f t="shared" si="85"/>
        <v>0</v>
      </c>
      <c r="S925" s="24" t="str">
        <f t="shared" si="88"/>
        <v>-</v>
      </c>
      <c r="T925" s="24" t="str">
        <f t="shared" si="86"/>
        <v>-</v>
      </c>
      <c r="U925" s="25" t="str">
        <f t="shared" si="89"/>
        <v>-</v>
      </c>
      <c r="V925" s="26" t="str">
        <f t="shared" si="90"/>
        <v>-</v>
      </c>
      <c r="X925" s="26" t="str">
        <f t="shared" si="87"/>
        <v>-</v>
      </c>
    </row>
    <row r="926" spans="1:24" x14ac:dyDescent="0.3">
      <c r="A926" s="37">
        <v>87614113371</v>
      </c>
      <c r="B926" s="8" t="s">
        <v>1378</v>
      </c>
      <c r="C926" s="10" t="s">
        <v>2158</v>
      </c>
      <c r="D926" s="11" t="s">
        <v>874</v>
      </c>
      <c r="E926" s="11" t="s">
        <v>914</v>
      </c>
      <c r="F926" s="9">
        <v>30</v>
      </c>
      <c r="G926" s="9">
        <v>90</v>
      </c>
      <c r="H926" s="9" t="s">
        <v>868</v>
      </c>
      <c r="I926" s="9">
        <v>36</v>
      </c>
      <c r="J926" s="9">
        <v>60</v>
      </c>
      <c r="K926" s="9" t="s">
        <v>873</v>
      </c>
      <c r="L926" s="27">
        <v>7.831500000000001E-2</v>
      </c>
      <c r="M926" s="28" t="s">
        <v>3203</v>
      </c>
      <c r="N926" s="17">
        <v>10.298820000000001</v>
      </c>
      <c r="O926" s="1"/>
      <c r="P926" s="38">
        <f t="shared" si="85"/>
        <v>0</v>
      </c>
      <c r="S926" s="24" t="str">
        <f t="shared" si="88"/>
        <v>-</v>
      </c>
      <c r="T926" s="24" t="str">
        <f t="shared" si="86"/>
        <v>-</v>
      </c>
      <c r="U926" s="25" t="str">
        <f t="shared" si="89"/>
        <v>-</v>
      </c>
      <c r="V926" s="26" t="str">
        <f t="shared" si="90"/>
        <v>-</v>
      </c>
      <c r="X926" s="26" t="str">
        <f t="shared" si="87"/>
        <v>-</v>
      </c>
    </row>
    <row r="927" spans="1:24" x14ac:dyDescent="0.3">
      <c r="A927" s="37">
        <v>87614113388</v>
      </c>
      <c r="B927" s="8" t="s">
        <v>1538</v>
      </c>
      <c r="C927" s="10" t="s">
        <v>2299</v>
      </c>
      <c r="D927" s="11" t="s">
        <v>902</v>
      </c>
      <c r="E927" s="11" t="s">
        <v>971</v>
      </c>
      <c r="F927" s="9">
        <v>30</v>
      </c>
      <c r="G927" s="9">
        <v>90</v>
      </c>
      <c r="H927" s="9" t="s">
        <v>868</v>
      </c>
      <c r="I927" s="9">
        <v>36</v>
      </c>
      <c r="J927" s="9">
        <v>60</v>
      </c>
      <c r="K927" s="9" t="s">
        <v>873</v>
      </c>
      <c r="L927" s="27">
        <v>6.583E-2</v>
      </c>
      <c r="M927" s="28" t="s">
        <v>3203</v>
      </c>
      <c r="N927" s="17">
        <v>6.4616789999999993</v>
      </c>
      <c r="O927" s="1"/>
      <c r="P927" s="38">
        <f t="shared" si="85"/>
        <v>0</v>
      </c>
      <c r="S927" s="24" t="str">
        <f t="shared" si="88"/>
        <v>-</v>
      </c>
      <c r="T927" s="24" t="str">
        <f t="shared" si="86"/>
        <v>-</v>
      </c>
      <c r="U927" s="25" t="str">
        <f t="shared" si="89"/>
        <v>-</v>
      </c>
      <c r="V927" s="26" t="str">
        <f t="shared" si="90"/>
        <v>-</v>
      </c>
      <c r="X927" s="26" t="str">
        <f t="shared" si="87"/>
        <v>-</v>
      </c>
    </row>
    <row r="928" spans="1:24" x14ac:dyDescent="0.3">
      <c r="A928" s="37">
        <v>87614011370</v>
      </c>
      <c r="B928" s="8" t="s">
        <v>1540</v>
      </c>
      <c r="C928" s="10" t="s">
        <v>2301</v>
      </c>
      <c r="D928" s="11" t="s">
        <v>866</v>
      </c>
      <c r="E928" s="11" t="s">
        <v>974</v>
      </c>
      <c r="F928" s="9">
        <v>30</v>
      </c>
      <c r="G928" s="9">
        <v>90</v>
      </c>
      <c r="H928" s="9" t="s">
        <v>868</v>
      </c>
      <c r="I928" s="9">
        <v>36</v>
      </c>
      <c r="J928" s="9">
        <v>250</v>
      </c>
      <c r="K928" s="9" t="s">
        <v>869</v>
      </c>
      <c r="L928" s="27">
        <v>0.132795</v>
      </c>
      <c r="M928" s="28" t="s">
        <v>3203</v>
      </c>
      <c r="N928" s="17">
        <v>10.730706</v>
      </c>
      <c r="O928" s="1"/>
      <c r="P928" s="38">
        <f t="shared" si="85"/>
        <v>0</v>
      </c>
      <c r="S928" s="24" t="str">
        <f t="shared" si="88"/>
        <v>-</v>
      </c>
      <c r="T928" s="24" t="str">
        <f t="shared" si="86"/>
        <v>-</v>
      </c>
      <c r="U928" s="25" t="str">
        <f t="shared" si="89"/>
        <v>-</v>
      </c>
      <c r="V928" s="26" t="str">
        <f t="shared" si="90"/>
        <v>-</v>
      </c>
      <c r="X928" s="26" t="str">
        <f t="shared" si="87"/>
        <v>-</v>
      </c>
    </row>
    <row r="929" spans="1:24" x14ac:dyDescent="0.3">
      <c r="A929" s="37">
        <v>87614113753</v>
      </c>
      <c r="B929" s="8" t="s">
        <v>1148</v>
      </c>
      <c r="C929" s="10" t="s">
        <v>1974</v>
      </c>
      <c r="D929" s="11" t="s">
        <v>870</v>
      </c>
      <c r="E929" s="11" t="s">
        <v>924</v>
      </c>
      <c r="F929" s="9">
        <v>9</v>
      </c>
      <c r="G929" s="9">
        <v>36</v>
      </c>
      <c r="H929" s="9" t="s">
        <v>868</v>
      </c>
      <c r="I929" s="9">
        <v>36</v>
      </c>
      <c r="J929" s="9">
        <v>1</v>
      </c>
      <c r="K929" s="9" t="s">
        <v>880</v>
      </c>
      <c r="L929" s="27">
        <v>0.32120499999999996</v>
      </c>
      <c r="M929" s="28" t="s">
        <v>3203</v>
      </c>
      <c r="N929" s="17">
        <v>10.033043999999999</v>
      </c>
      <c r="O929" s="1"/>
      <c r="P929" s="38">
        <f t="shared" si="85"/>
        <v>0</v>
      </c>
      <c r="S929" s="24" t="str">
        <f t="shared" si="88"/>
        <v>-</v>
      </c>
      <c r="T929" s="24" t="str">
        <f t="shared" si="86"/>
        <v>-</v>
      </c>
      <c r="U929" s="25" t="str">
        <f t="shared" si="89"/>
        <v>-</v>
      </c>
      <c r="V929" s="26" t="str">
        <f t="shared" si="90"/>
        <v>-</v>
      </c>
      <c r="X929" s="26" t="str">
        <f t="shared" si="87"/>
        <v>-</v>
      </c>
    </row>
    <row r="930" spans="1:24" x14ac:dyDescent="0.3">
      <c r="A930" s="37">
        <v>87614113968</v>
      </c>
      <c r="B930" s="8" t="s">
        <v>1381</v>
      </c>
      <c r="C930" s="10" t="s">
        <v>2161</v>
      </c>
      <c r="D930" s="11" t="s">
        <v>879</v>
      </c>
      <c r="E930" s="11" t="s">
        <v>988</v>
      </c>
      <c r="F930" s="9">
        <v>30</v>
      </c>
      <c r="G930" s="9">
        <v>90</v>
      </c>
      <c r="H930" s="9" t="s">
        <v>868</v>
      </c>
      <c r="I930" s="9">
        <v>24</v>
      </c>
      <c r="J930" s="9">
        <v>90</v>
      </c>
      <c r="K930" s="9" t="s">
        <v>873</v>
      </c>
      <c r="L930" s="27">
        <v>7.1504999999999999E-2</v>
      </c>
      <c r="M930" s="28" t="s">
        <v>3203</v>
      </c>
      <c r="N930" s="17">
        <v>6.8935649999999997</v>
      </c>
      <c r="O930" s="1"/>
      <c r="P930" s="38">
        <f t="shared" si="85"/>
        <v>0</v>
      </c>
      <c r="S930" s="24" t="str">
        <f t="shared" si="88"/>
        <v>-</v>
      </c>
      <c r="T930" s="24" t="str">
        <f t="shared" si="86"/>
        <v>-</v>
      </c>
      <c r="U930" s="25" t="str">
        <f t="shared" si="89"/>
        <v>-</v>
      </c>
      <c r="V930" s="26" t="str">
        <f t="shared" si="90"/>
        <v>-</v>
      </c>
      <c r="X930" s="26" t="str">
        <f t="shared" si="87"/>
        <v>-</v>
      </c>
    </row>
    <row r="931" spans="1:24" x14ac:dyDescent="0.3">
      <c r="A931" s="37">
        <v>87614114019</v>
      </c>
      <c r="B931" s="8" t="s">
        <v>1542</v>
      </c>
      <c r="C931" s="10" t="s">
        <v>2303</v>
      </c>
      <c r="D931" s="11" t="s">
        <v>866</v>
      </c>
      <c r="E931" s="11" t="s">
        <v>950</v>
      </c>
      <c r="F931" s="9">
        <v>30</v>
      </c>
      <c r="G931" s="9">
        <v>90</v>
      </c>
      <c r="H931" s="9" t="s">
        <v>868</v>
      </c>
      <c r="I931" s="9">
        <v>36</v>
      </c>
      <c r="J931" s="9">
        <v>60</v>
      </c>
      <c r="K931" s="9" t="s">
        <v>889</v>
      </c>
      <c r="L931" s="27">
        <v>5.7884999999999999E-2</v>
      </c>
      <c r="M931" s="28" t="s">
        <v>3203</v>
      </c>
      <c r="N931" s="17">
        <v>4.6510800000000003</v>
      </c>
      <c r="O931" s="1"/>
      <c r="P931" s="38">
        <f t="shared" si="85"/>
        <v>0</v>
      </c>
      <c r="S931" s="24" t="str">
        <f t="shared" si="88"/>
        <v>-</v>
      </c>
      <c r="T931" s="24" t="str">
        <f t="shared" si="86"/>
        <v>-</v>
      </c>
      <c r="U931" s="25" t="str">
        <f t="shared" si="89"/>
        <v>-</v>
      </c>
      <c r="V931" s="26" t="str">
        <f t="shared" si="90"/>
        <v>-</v>
      </c>
      <c r="X931" s="26" t="str">
        <f t="shared" si="87"/>
        <v>-</v>
      </c>
    </row>
    <row r="932" spans="1:24" x14ac:dyDescent="0.3">
      <c r="A932" s="37">
        <v>87614114026</v>
      </c>
      <c r="B932" s="8" t="s">
        <v>1543</v>
      </c>
      <c r="C932" s="10" t="s">
        <v>2304</v>
      </c>
      <c r="D932" s="11" t="s">
        <v>866</v>
      </c>
      <c r="E932" s="11" t="s">
        <v>950</v>
      </c>
      <c r="F932" s="9">
        <v>30</v>
      </c>
      <c r="G932" s="9">
        <v>90</v>
      </c>
      <c r="H932" s="9" t="s">
        <v>868</v>
      </c>
      <c r="I932" s="9">
        <v>36</v>
      </c>
      <c r="J932" s="9">
        <v>90</v>
      </c>
      <c r="K932" s="9" t="s">
        <v>889</v>
      </c>
      <c r="L932" s="27">
        <v>8.1720000000000001E-2</v>
      </c>
      <c r="M932" s="28" t="s">
        <v>3203</v>
      </c>
      <c r="N932" s="17">
        <v>5.0331330000000003</v>
      </c>
      <c r="O932" s="1"/>
      <c r="P932" s="38">
        <f t="shared" si="85"/>
        <v>0</v>
      </c>
      <c r="S932" s="24" t="str">
        <f t="shared" si="88"/>
        <v>-</v>
      </c>
      <c r="T932" s="24" t="str">
        <f t="shared" si="86"/>
        <v>-</v>
      </c>
      <c r="U932" s="25" t="str">
        <f t="shared" si="89"/>
        <v>-</v>
      </c>
      <c r="V932" s="26" t="str">
        <f t="shared" si="90"/>
        <v>-</v>
      </c>
      <c r="X932" s="26" t="str">
        <f t="shared" si="87"/>
        <v>-</v>
      </c>
    </row>
    <row r="933" spans="1:24" x14ac:dyDescent="0.3">
      <c r="A933" s="37">
        <v>87614114064</v>
      </c>
      <c r="B933" s="8" t="s">
        <v>1382</v>
      </c>
      <c r="C933" s="10" t="s">
        <v>2162</v>
      </c>
      <c r="D933" s="11" t="s">
        <v>874</v>
      </c>
      <c r="E933" s="11" t="s">
        <v>914</v>
      </c>
      <c r="F933" s="9">
        <v>30</v>
      </c>
      <c r="G933" s="9">
        <v>90</v>
      </c>
      <c r="H933" s="9" t="s">
        <v>868</v>
      </c>
      <c r="I933" s="9">
        <v>36</v>
      </c>
      <c r="J933" s="9">
        <v>60</v>
      </c>
      <c r="K933" s="9" t="s">
        <v>873</v>
      </c>
      <c r="L933" s="27">
        <v>6.0155E-2</v>
      </c>
      <c r="M933" s="28" t="s">
        <v>3203</v>
      </c>
      <c r="N933" s="17">
        <v>3.3720329999999996</v>
      </c>
      <c r="O933" s="1"/>
      <c r="P933" s="38">
        <f t="shared" si="85"/>
        <v>0</v>
      </c>
      <c r="S933" s="24" t="str">
        <f t="shared" si="88"/>
        <v>-</v>
      </c>
      <c r="T933" s="24" t="str">
        <f t="shared" si="86"/>
        <v>-</v>
      </c>
      <c r="U933" s="25" t="str">
        <f t="shared" si="89"/>
        <v>-</v>
      </c>
      <c r="V933" s="26" t="str">
        <f t="shared" si="90"/>
        <v>-</v>
      </c>
      <c r="X933" s="26" t="str">
        <f t="shared" si="87"/>
        <v>-</v>
      </c>
    </row>
    <row r="934" spans="1:24" x14ac:dyDescent="0.3">
      <c r="A934" s="37">
        <v>87614114101</v>
      </c>
      <c r="B934" s="8" t="s">
        <v>1383</v>
      </c>
      <c r="C934" s="10" t="s">
        <v>2163</v>
      </c>
      <c r="D934" s="11" t="s">
        <v>874</v>
      </c>
      <c r="E934" s="11" t="s">
        <v>914</v>
      </c>
      <c r="F934" s="9">
        <v>12</v>
      </c>
      <c r="G934" s="9">
        <v>24</v>
      </c>
      <c r="H934" s="9" t="s">
        <v>868</v>
      </c>
      <c r="I934" s="9">
        <v>36</v>
      </c>
      <c r="J934" s="9">
        <v>180</v>
      </c>
      <c r="K934" s="9" t="s">
        <v>869</v>
      </c>
      <c r="L934" s="27">
        <v>0.47670000000000001</v>
      </c>
      <c r="M934" s="28" t="s">
        <v>3203</v>
      </c>
      <c r="N934" s="17">
        <v>16.295390999999999</v>
      </c>
      <c r="O934" s="1"/>
      <c r="P934" s="38">
        <f t="shared" si="85"/>
        <v>0</v>
      </c>
      <c r="S934" s="24" t="str">
        <f t="shared" si="88"/>
        <v>-</v>
      </c>
      <c r="T934" s="24" t="str">
        <f t="shared" si="86"/>
        <v>-</v>
      </c>
      <c r="U934" s="25" t="str">
        <f t="shared" si="89"/>
        <v>-</v>
      </c>
      <c r="V934" s="26" t="str">
        <f t="shared" si="90"/>
        <v>-</v>
      </c>
      <c r="X934" s="26" t="str">
        <f t="shared" si="87"/>
        <v>-</v>
      </c>
    </row>
    <row r="935" spans="1:24" x14ac:dyDescent="0.3">
      <c r="A935" s="37">
        <v>87614011448</v>
      </c>
      <c r="B935" s="8" t="s">
        <v>206</v>
      </c>
      <c r="C935" s="10" t="s">
        <v>2682</v>
      </c>
      <c r="D935" s="11" t="s">
        <v>866</v>
      </c>
      <c r="E935" s="11" t="s">
        <v>974</v>
      </c>
      <c r="F935" s="9">
        <v>16</v>
      </c>
      <c r="G935" s="9">
        <v>48</v>
      </c>
      <c r="H935" s="9" t="s">
        <v>868</v>
      </c>
      <c r="I935" s="9">
        <v>24</v>
      </c>
      <c r="J935" s="9">
        <v>100</v>
      </c>
      <c r="K935" s="9" t="s">
        <v>869</v>
      </c>
      <c r="L935" s="27">
        <v>0.20089499999999999</v>
      </c>
      <c r="M935" s="28" t="s">
        <v>3203</v>
      </c>
      <c r="N935" s="17">
        <v>17.208995999999999</v>
      </c>
      <c r="O935" s="1"/>
      <c r="P935" s="38">
        <f t="shared" si="85"/>
        <v>0</v>
      </c>
      <c r="S935" s="24" t="str">
        <f t="shared" si="88"/>
        <v>-</v>
      </c>
      <c r="T935" s="24" t="str">
        <f t="shared" si="86"/>
        <v>-</v>
      </c>
      <c r="U935" s="25" t="str">
        <f t="shared" si="89"/>
        <v>-</v>
      </c>
      <c r="V935" s="26" t="str">
        <f t="shared" si="90"/>
        <v>-</v>
      </c>
      <c r="X935" s="26" t="str">
        <f t="shared" si="87"/>
        <v>-</v>
      </c>
    </row>
    <row r="936" spans="1:24" x14ac:dyDescent="0.3">
      <c r="A936" s="37">
        <v>87614114484</v>
      </c>
      <c r="B936" s="8" t="s">
        <v>1386</v>
      </c>
      <c r="C936" s="10" t="s">
        <v>2166</v>
      </c>
      <c r="D936" s="11" t="s">
        <v>894</v>
      </c>
      <c r="E936" s="11" t="s">
        <v>992</v>
      </c>
      <c r="F936" s="9">
        <v>12</v>
      </c>
      <c r="G936" s="9">
        <v>96</v>
      </c>
      <c r="H936" s="9" t="s">
        <v>892</v>
      </c>
      <c r="I936" s="9">
        <v>60</v>
      </c>
      <c r="J936" s="9">
        <v>1</v>
      </c>
      <c r="K936" s="9" t="s">
        <v>895</v>
      </c>
      <c r="L936" s="27">
        <v>0.10442</v>
      </c>
      <c r="M936" s="28" t="s">
        <v>3203</v>
      </c>
      <c r="N936" s="17">
        <v>8.7207749999999997</v>
      </c>
      <c r="O936" s="1"/>
      <c r="P936" s="38">
        <f t="shared" si="85"/>
        <v>0</v>
      </c>
      <c r="S936" s="24" t="str">
        <f t="shared" si="88"/>
        <v>-</v>
      </c>
      <c r="T936" s="24" t="str">
        <f t="shared" si="86"/>
        <v>-</v>
      </c>
      <c r="U936" s="25" t="str">
        <f t="shared" si="89"/>
        <v>-</v>
      </c>
      <c r="V936" s="26" t="str">
        <f t="shared" si="90"/>
        <v>-</v>
      </c>
      <c r="X936" s="26" t="str">
        <f t="shared" si="87"/>
        <v>-</v>
      </c>
    </row>
    <row r="937" spans="1:24" x14ac:dyDescent="0.3">
      <c r="A937" s="37">
        <v>87614114538</v>
      </c>
      <c r="B937" s="8" t="s">
        <v>1548</v>
      </c>
      <c r="C937" s="10" t="s">
        <v>2309</v>
      </c>
      <c r="D937" s="11" t="s">
        <v>1116</v>
      </c>
      <c r="E937" s="11" t="s">
        <v>1117</v>
      </c>
      <c r="F937" s="9">
        <v>12</v>
      </c>
      <c r="G937" s="9">
        <v>96</v>
      </c>
      <c r="H937" s="9" t="s">
        <v>892</v>
      </c>
      <c r="I937" s="9">
        <v>60</v>
      </c>
      <c r="J937" s="9">
        <v>1</v>
      </c>
      <c r="K937" s="9" t="s">
        <v>895</v>
      </c>
      <c r="L937" s="27">
        <v>9.9879999999999997E-2</v>
      </c>
      <c r="M937" s="28" t="s">
        <v>3203</v>
      </c>
      <c r="N937" s="17">
        <v>9.219104999999999</v>
      </c>
      <c r="O937" s="1"/>
      <c r="P937" s="38">
        <f t="shared" si="85"/>
        <v>0</v>
      </c>
      <c r="S937" s="24" t="str">
        <f t="shared" si="88"/>
        <v>-</v>
      </c>
      <c r="T937" s="24" t="str">
        <f t="shared" si="86"/>
        <v>-</v>
      </c>
      <c r="U937" s="25" t="str">
        <f t="shared" si="89"/>
        <v>-</v>
      </c>
      <c r="V937" s="26" t="str">
        <f t="shared" si="90"/>
        <v>-</v>
      </c>
      <c r="X937" s="26" t="str">
        <f t="shared" si="87"/>
        <v>-</v>
      </c>
    </row>
    <row r="938" spans="1:24" x14ac:dyDescent="0.3">
      <c r="A938" s="37">
        <v>87614114583</v>
      </c>
      <c r="B938" s="8" t="s">
        <v>1387</v>
      </c>
      <c r="C938" s="10" t="s">
        <v>2167</v>
      </c>
      <c r="D938" s="11" t="s">
        <v>894</v>
      </c>
      <c r="E938" s="11" t="s">
        <v>992</v>
      </c>
      <c r="F938" s="9">
        <v>12</v>
      </c>
      <c r="G938" s="9">
        <v>96</v>
      </c>
      <c r="H938" s="9" t="s">
        <v>892</v>
      </c>
      <c r="I938" s="9">
        <v>60</v>
      </c>
      <c r="J938" s="9">
        <v>1</v>
      </c>
      <c r="K938" s="9" t="s">
        <v>895</v>
      </c>
      <c r="L938" s="27">
        <v>0.10214999999999999</v>
      </c>
      <c r="M938" s="28" t="s">
        <v>3203</v>
      </c>
      <c r="N938" s="17">
        <v>8.4051660000000012</v>
      </c>
      <c r="O938" s="1"/>
      <c r="P938" s="38">
        <f t="shared" si="85"/>
        <v>0</v>
      </c>
      <c r="S938" s="24" t="str">
        <f t="shared" si="88"/>
        <v>-</v>
      </c>
      <c r="T938" s="24" t="str">
        <f t="shared" si="86"/>
        <v>-</v>
      </c>
      <c r="U938" s="25" t="str">
        <f t="shared" si="89"/>
        <v>-</v>
      </c>
      <c r="V938" s="26" t="str">
        <f t="shared" si="90"/>
        <v>-</v>
      </c>
      <c r="X938" s="26" t="str">
        <f t="shared" si="87"/>
        <v>-</v>
      </c>
    </row>
    <row r="939" spans="1:24" x14ac:dyDescent="0.3">
      <c r="A939" s="37">
        <v>87614114613</v>
      </c>
      <c r="B939" s="8" t="s">
        <v>1389</v>
      </c>
      <c r="C939" s="10" t="s">
        <v>2169</v>
      </c>
      <c r="D939" s="11" t="s">
        <v>894</v>
      </c>
      <c r="E939" s="11" t="s">
        <v>992</v>
      </c>
      <c r="F939" s="9">
        <v>12</v>
      </c>
      <c r="G939" s="9">
        <v>96</v>
      </c>
      <c r="H939" s="9" t="s">
        <v>892</v>
      </c>
      <c r="I939" s="9">
        <v>60</v>
      </c>
      <c r="J939" s="9">
        <v>1</v>
      </c>
      <c r="K939" s="9" t="s">
        <v>895</v>
      </c>
      <c r="L939" s="27">
        <v>0.10214999999999999</v>
      </c>
      <c r="M939" s="28" t="s">
        <v>3203</v>
      </c>
      <c r="N939" s="17">
        <v>9.9499890000000004</v>
      </c>
      <c r="O939" s="1"/>
      <c r="P939" s="38">
        <f t="shared" si="85"/>
        <v>0</v>
      </c>
      <c r="S939" s="24" t="str">
        <f t="shared" si="88"/>
        <v>-</v>
      </c>
      <c r="T939" s="24" t="str">
        <f t="shared" si="86"/>
        <v>-</v>
      </c>
      <c r="U939" s="25" t="str">
        <f t="shared" si="89"/>
        <v>-</v>
      </c>
      <c r="V939" s="26" t="str">
        <f t="shared" si="90"/>
        <v>-</v>
      </c>
      <c r="X939" s="26" t="str">
        <f t="shared" si="87"/>
        <v>-</v>
      </c>
    </row>
    <row r="940" spans="1:24" x14ac:dyDescent="0.3">
      <c r="A940" s="37">
        <v>87614114620</v>
      </c>
      <c r="B940" s="8" t="s">
        <v>1106</v>
      </c>
      <c r="C940" s="10" t="s">
        <v>1107</v>
      </c>
      <c r="D940" s="11" t="s">
        <v>894</v>
      </c>
      <c r="E940" s="11" t="s">
        <v>992</v>
      </c>
      <c r="F940" s="9">
        <v>12</v>
      </c>
      <c r="G940" s="9">
        <v>96</v>
      </c>
      <c r="H940" s="9" t="s">
        <v>892</v>
      </c>
      <c r="I940" s="9">
        <v>60</v>
      </c>
      <c r="J940" s="9">
        <v>1</v>
      </c>
      <c r="K940" s="9" t="s">
        <v>895</v>
      </c>
      <c r="L940" s="27">
        <v>0.10214999999999999</v>
      </c>
      <c r="M940" s="28" t="s">
        <v>3203</v>
      </c>
      <c r="N940" s="17">
        <v>9.0862169999999995</v>
      </c>
      <c r="O940" s="1"/>
      <c r="P940" s="38">
        <f t="shared" si="85"/>
        <v>0</v>
      </c>
      <c r="S940" s="24" t="str">
        <f t="shared" si="88"/>
        <v>-</v>
      </c>
      <c r="T940" s="24" t="str">
        <f t="shared" si="86"/>
        <v>-</v>
      </c>
      <c r="U940" s="25" t="str">
        <f t="shared" si="89"/>
        <v>-</v>
      </c>
      <c r="V940" s="26" t="str">
        <f t="shared" si="90"/>
        <v>-</v>
      </c>
      <c r="X940" s="26" t="str">
        <f t="shared" si="87"/>
        <v>-</v>
      </c>
    </row>
    <row r="941" spans="1:24" x14ac:dyDescent="0.3">
      <c r="A941" s="37">
        <v>87614114651</v>
      </c>
      <c r="B941" s="8" t="s">
        <v>1092</v>
      </c>
      <c r="C941" s="10" t="s">
        <v>1093</v>
      </c>
      <c r="D941" s="11" t="s">
        <v>1116</v>
      </c>
      <c r="E941" s="11" t="s">
        <v>1117</v>
      </c>
      <c r="F941" s="9">
        <v>12</v>
      </c>
      <c r="G941" s="9">
        <v>108</v>
      </c>
      <c r="H941" s="9" t="s">
        <v>892</v>
      </c>
      <c r="I941" s="9">
        <v>60</v>
      </c>
      <c r="J941" s="9">
        <v>1</v>
      </c>
      <c r="K941" s="9" t="s">
        <v>895</v>
      </c>
      <c r="L941" s="27">
        <v>0.10214999999999999</v>
      </c>
      <c r="M941" s="28" t="s">
        <v>3203</v>
      </c>
      <c r="N941" s="17">
        <v>9.5679359999999996</v>
      </c>
      <c r="O941" s="1"/>
      <c r="P941" s="38">
        <f t="shared" si="85"/>
        <v>0</v>
      </c>
      <c r="S941" s="24" t="str">
        <f t="shared" si="88"/>
        <v>-</v>
      </c>
      <c r="T941" s="24" t="str">
        <f t="shared" si="86"/>
        <v>-</v>
      </c>
      <c r="U941" s="25" t="str">
        <f t="shared" si="89"/>
        <v>-</v>
      </c>
      <c r="V941" s="26" t="str">
        <f t="shared" si="90"/>
        <v>-</v>
      </c>
      <c r="X941" s="26" t="str">
        <f t="shared" si="87"/>
        <v>-</v>
      </c>
    </row>
    <row r="942" spans="1:24" x14ac:dyDescent="0.3">
      <c r="A942" s="37">
        <v>87614114705</v>
      </c>
      <c r="B942" s="8" t="s">
        <v>1552</v>
      </c>
      <c r="C942" s="10" t="s">
        <v>2313</v>
      </c>
      <c r="D942" s="11" t="s">
        <v>1116</v>
      </c>
      <c r="E942" s="11" t="s">
        <v>1117</v>
      </c>
      <c r="F942" s="9">
        <v>12</v>
      </c>
      <c r="G942" s="9">
        <v>96</v>
      </c>
      <c r="H942" s="9" t="s">
        <v>892</v>
      </c>
      <c r="I942" s="9">
        <v>60</v>
      </c>
      <c r="J942" s="9">
        <v>1</v>
      </c>
      <c r="K942" s="9" t="s">
        <v>887</v>
      </c>
      <c r="L942" s="27">
        <v>0.13506499999999999</v>
      </c>
      <c r="M942" s="28" t="s">
        <v>3203</v>
      </c>
      <c r="N942" s="17">
        <v>13.704075</v>
      </c>
      <c r="O942" s="1"/>
      <c r="P942" s="38">
        <f t="shared" si="85"/>
        <v>0</v>
      </c>
      <c r="S942" s="24" t="str">
        <f t="shared" si="88"/>
        <v>-</v>
      </c>
      <c r="T942" s="24" t="str">
        <f t="shared" si="86"/>
        <v>-</v>
      </c>
      <c r="U942" s="25" t="str">
        <f t="shared" si="89"/>
        <v>-</v>
      </c>
      <c r="V942" s="26" t="str">
        <f t="shared" si="90"/>
        <v>-</v>
      </c>
      <c r="X942" s="26" t="str">
        <f t="shared" si="87"/>
        <v>-</v>
      </c>
    </row>
    <row r="943" spans="1:24" x14ac:dyDescent="0.3">
      <c r="A943" s="37">
        <v>87614114729</v>
      </c>
      <c r="B943" s="8" t="s">
        <v>1553</v>
      </c>
      <c r="C943" s="10" t="s">
        <v>2314</v>
      </c>
      <c r="D943" s="11" t="s">
        <v>894</v>
      </c>
      <c r="E943" s="11" t="s">
        <v>992</v>
      </c>
      <c r="F943" s="9">
        <v>12</v>
      </c>
      <c r="G943" s="9">
        <v>96</v>
      </c>
      <c r="H943" s="9" t="s">
        <v>892</v>
      </c>
      <c r="I943" s="9">
        <v>60</v>
      </c>
      <c r="J943" s="9">
        <v>1</v>
      </c>
      <c r="K943" s="9" t="s">
        <v>895</v>
      </c>
      <c r="L943" s="27">
        <v>0.103285</v>
      </c>
      <c r="M943" s="28" t="s">
        <v>3203</v>
      </c>
      <c r="N943" s="17">
        <v>15.514673999999999</v>
      </c>
      <c r="O943" s="1"/>
      <c r="P943" s="38">
        <f t="shared" si="85"/>
        <v>0</v>
      </c>
      <c r="S943" s="24" t="str">
        <f t="shared" si="88"/>
        <v>-</v>
      </c>
      <c r="T943" s="24" t="str">
        <f t="shared" si="86"/>
        <v>-</v>
      </c>
      <c r="U943" s="25" t="str">
        <f t="shared" si="89"/>
        <v>-</v>
      </c>
      <c r="V943" s="26" t="str">
        <f t="shared" si="90"/>
        <v>-</v>
      </c>
      <c r="X943" s="26" t="str">
        <f t="shared" si="87"/>
        <v>-</v>
      </c>
    </row>
    <row r="944" spans="1:24" x14ac:dyDescent="0.3">
      <c r="A944" s="37">
        <v>87614114743</v>
      </c>
      <c r="B944" s="8" t="s">
        <v>1554</v>
      </c>
      <c r="C944" s="10" t="s">
        <v>2315</v>
      </c>
      <c r="D944" s="11" t="s">
        <v>2829</v>
      </c>
      <c r="E944" s="11" t="s">
        <v>2830</v>
      </c>
      <c r="F944" s="9">
        <v>24</v>
      </c>
      <c r="G944" s="9">
        <v>48</v>
      </c>
      <c r="H944" s="9" t="s">
        <v>892</v>
      </c>
      <c r="I944" s="9">
        <v>60</v>
      </c>
      <c r="J944" s="9">
        <v>1</v>
      </c>
      <c r="K944" s="9" t="s">
        <v>887</v>
      </c>
      <c r="L944" s="27">
        <v>0.29169499999999998</v>
      </c>
      <c r="M944" s="28" t="s">
        <v>3203</v>
      </c>
      <c r="N944" s="17">
        <v>10.381874999999999</v>
      </c>
      <c r="O944" s="1"/>
      <c r="P944" s="38">
        <f t="shared" si="85"/>
        <v>0</v>
      </c>
      <c r="S944" s="24" t="str">
        <f t="shared" si="88"/>
        <v>-</v>
      </c>
      <c r="T944" s="24" t="str">
        <f t="shared" si="86"/>
        <v>-</v>
      </c>
      <c r="U944" s="25" t="str">
        <f t="shared" si="89"/>
        <v>-</v>
      </c>
      <c r="V944" s="26" t="str">
        <f t="shared" si="90"/>
        <v>-</v>
      </c>
      <c r="X944" s="26" t="str">
        <f t="shared" si="87"/>
        <v>-</v>
      </c>
    </row>
    <row r="945" spans="1:24" x14ac:dyDescent="0.3">
      <c r="A945" s="37">
        <v>87614114750</v>
      </c>
      <c r="B945" s="8" t="s">
        <v>1097</v>
      </c>
      <c r="C945" s="10" t="s">
        <v>1098</v>
      </c>
      <c r="D945" s="11" t="s">
        <v>894</v>
      </c>
      <c r="E945" s="11" t="s">
        <v>992</v>
      </c>
      <c r="F945" s="9">
        <v>24</v>
      </c>
      <c r="G945" s="9">
        <v>168</v>
      </c>
      <c r="H945" s="9" t="s">
        <v>892</v>
      </c>
      <c r="I945" s="9">
        <v>60</v>
      </c>
      <c r="J945" s="9">
        <v>1</v>
      </c>
      <c r="K945" s="9" t="s">
        <v>2904</v>
      </c>
      <c r="L945" s="27">
        <v>9.0800000000000006E-2</v>
      </c>
      <c r="M945" s="28" t="s">
        <v>3203</v>
      </c>
      <c r="N945" s="17">
        <v>10.099487999999999</v>
      </c>
      <c r="O945" s="1"/>
      <c r="P945" s="38">
        <f t="shared" si="85"/>
        <v>0</v>
      </c>
      <c r="S945" s="24" t="str">
        <f t="shared" si="88"/>
        <v>-</v>
      </c>
      <c r="T945" s="24" t="str">
        <f t="shared" si="86"/>
        <v>-</v>
      </c>
      <c r="U945" s="25" t="str">
        <f t="shared" si="89"/>
        <v>-</v>
      </c>
      <c r="V945" s="26" t="str">
        <f t="shared" si="90"/>
        <v>-</v>
      </c>
      <c r="X945" s="26" t="str">
        <f t="shared" si="87"/>
        <v>-</v>
      </c>
    </row>
    <row r="946" spans="1:24" x14ac:dyDescent="0.3">
      <c r="A946" s="37">
        <v>87614114828</v>
      </c>
      <c r="B946" s="8" t="s">
        <v>1556</v>
      </c>
      <c r="C946" s="10" t="s">
        <v>2317</v>
      </c>
      <c r="D946" s="11" t="s">
        <v>894</v>
      </c>
      <c r="E946" s="11" t="s">
        <v>2833</v>
      </c>
      <c r="F946" s="9">
        <v>36</v>
      </c>
      <c r="G946" s="9">
        <v>72</v>
      </c>
      <c r="H946" s="9" t="s">
        <v>892</v>
      </c>
      <c r="I946" s="9">
        <v>60</v>
      </c>
      <c r="J946" s="9">
        <v>1</v>
      </c>
      <c r="K946" s="9" t="s">
        <v>903</v>
      </c>
      <c r="L946" s="27">
        <v>0.16571</v>
      </c>
      <c r="M946" s="28" t="s">
        <v>3203</v>
      </c>
      <c r="N946" s="17">
        <v>8.3221109999999996</v>
      </c>
      <c r="O946" s="1"/>
      <c r="P946" s="38">
        <f t="shared" si="85"/>
        <v>0</v>
      </c>
      <c r="S946" s="24" t="str">
        <f t="shared" si="88"/>
        <v>-</v>
      </c>
      <c r="T946" s="24" t="str">
        <f t="shared" si="86"/>
        <v>-</v>
      </c>
      <c r="U946" s="25" t="str">
        <f t="shared" si="89"/>
        <v>-</v>
      </c>
      <c r="V946" s="26" t="str">
        <f t="shared" si="90"/>
        <v>-</v>
      </c>
      <c r="X946" s="26" t="str">
        <f t="shared" si="87"/>
        <v>-</v>
      </c>
    </row>
    <row r="947" spans="1:24" x14ac:dyDescent="0.3">
      <c r="A947" s="37">
        <v>87614011493</v>
      </c>
      <c r="B947" s="8" t="s">
        <v>208</v>
      </c>
      <c r="C947" s="10" t="s">
        <v>2684</v>
      </c>
      <c r="D947" s="11" t="s">
        <v>866</v>
      </c>
      <c r="E947" s="11" t="s">
        <v>974</v>
      </c>
      <c r="F947" s="9">
        <v>30</v>
      </c>
      <c r="G947" s="9">
        <v>90</v>
      </c>
      <c r="H947" s="9" t="s">
        <v>868</v>
      </c>
      <c r="I947" s="9">
        <v>24</v>
      </c>
      <c r="J947" s="9">
        <v>250</v>
      </c>
      <c r="K947" s="9" t="s">
        <v>869</v>
      </c>
      <c r="L947" s="27">
        <v>0.13506499999999999</v>
      </c>
      <c r="M947" s="28" t="s">
        <v>3203</v>
      </c>
      <c r="N947" s="17">
        <v>11.743976999999999</v>
      </c>
      <c r="O947" s="1"/>
      <c r="P947" s="38">
        <f t="shared" si="85"/>
        <v>0</v>
      </c>
      <c r="S947" s="24" t="str">
        <f t="shared" si="88"/>
        <v>-</v>
      </c>
      <c r="T947" s="24" t="str">
        <f t="shared" si="86"/>
        <v>-</v>
      </c>
      <c r="U947" s="25" t="str">
        <f t="shared" si="89"/>
        <v>-</v>
      </c>
      <c r="V947" s="26" t="str">
        <f t="shared" si="90"/>
        <v>-</v>
      </c>
      <c r="X947" s="26" t="str">
        <f t="shared" si="87"/>
        <v>-</v>
      </c>
    </row>
    <row r="948" spans="1:24" x14ac:dyDescent="0.3">
      <c r="A948" s="37">
        <v>87614114996</v>
      </c>
      <c r="B948" s="8" t="s">
        <v>1393</v>
      </c>
      <c r="C948" s="10" t="s">
        <v>2173</v>
      </c>
      <c r="D948" s="11" t="s">
        <v>883</v>
      </c>
      <c r="E948" s="11" t="s">
        <v>977</v>
      </c>
      <c r="F948" s="9">
        <v>30</v>
      </c>
      <c r="G948" s="9">
        <v>90</v>
      </c>
      <c r="H948" s="9" t="s">
        <v>868</v>
      </c>
      <c r="I948" s="9">
        <v>36</v>
      </c>
      <c r="J948" s="9">
        <v>60</v>
      </c>
      <c r="K948" s="9" t="s">
        <v>873</v>
      </c>
      <c r="L948" s="27">
        <v>8.2854999999999998E-2</v>
      </c>
      <c r="M948" s="28" t="s">
        <v>3203</v>
      </c>
      <c r="N948" s="17">
        <v>4.7839679999999998</v>
      </c>
      <c r="O948" s="1"/>
      <c r="P948" s="38">
        <f t="shared" si="85"/>
        <v>0</v>
      </c>
      <c r="S948" s="24" t="str">
        <f t="shared" si="88"/>
        <v>-</v>
      </c>
      <c r="T948" s="24" t="str">
        <f t="shared" si="86"/>
        <v>-</v>
      </c>
      <c r="U948" s="25" t="str">
        <f t="shared" si="89"/>
        <v>-</v>
      </c>
      <c r="V948" s="26" t="str">
        <f t="shared" si="90"/>
        <v>-</v>
      </c>
      <c r="X948" s="26" t="str">
        <f t="shared" si="87"/>
        <v>-</v>
      </c>
    </row>
    <row r="949" spans="1:24" x14ac:dyDescent="0.3">
      <c r="A949" s="37">
        <v>87614115054</v>
      </c>
      <c r="B949" s="8" t="s">
        <v>1559</v>
      </c>
      <c r="C949" s="10" t="s">
        <v>2320</v>
      </c>
      <c r="D949" s="11" t="s">
        <v>890</v>
      </c>
      <c r="E949" s="11" t="s">
        <v>1119</v>
      </c>
      <c r="F949" s="9">
        <v>30</v>
      </c>
      <c r="G949" s="9">
        <v>90</v>
      </c>
      <c r="H949" s="9" t="s">
        <v>868</v>
      </c>
      <c r="I949" s="9">
        <v>36</v>
      </c>
      <c r="J949" s="9">
        <v>60</v>
      </c>
      <c r="K949" s="9" t="s">
        <v>873</v>
      </c>
      <c r="L949" s="27">
        <v>7.831500000000001E-2</v>
      </c>
      <c r="M949" s="28" t="s">
        <v>3203</v>
      </c>
      <c r="N949" s="17">
        <v>8.3885550000000002</v>
      </c>
      <c r="O949" s="1"/>
      <c r="P949" s="38">
        <f t="shared" si="85"/>
        <v>0</v>
      </c>
      <c r="S949" s="24" t="str">
        <f t="shared" si="88"/>
        <v>-</v>
      </c>
      <c r="T949" s="24" t="str">
        <f t="shared" si="86"/>
        <v>-</v>
      </c>
      <c r="U949" s="25" t="str">
        <f t="shared" si="89"/>
        <v>-</v>
      </c>
      <c r="V949" s="26" t="str">
        <f t="shared" si="90"/>
        <v>-</v>
      </c>
      <c r="X949" s="26" t="str">
        <f t="shared" si="87"/>
        <v>-</v>
      </c>
    </row>
    <row r="950" spans="1:24" x14ac:dyDescent="0.3">
      <c r="A950" s="37">
        <v>87614115139</v>
      </c>
      <c r="B950" s="8" t="s">
        <v>1897</v>
      </c>
      <c r="C950" s="10" t="s">
        <v>2621</v>
      </c>
      <c r="D950" s="11" t="s">
        <v>874</v>
      </c>
      <c r="E950" s="11" t="s">
        <v>1118</v>
      </c>
      <c r="F950" s="9">
        <v>20</v>
      </c>
      <c r="G950" s="9">
        <v>60</v>
      </c>
      <c r="H950" s="9" t="s">
        <v>868</v>
      </c>
      <c r="I950" s="9">
        <v>24</v>
      </c>
      <c r="J950" s="9">
        <v>180</v>
      </c>
      <c r="K950" s="9" t="s">
        <v>869</v>
      </c>
      <c r="L950" s="27">
        <v>0.141875</v>
      </c>
      <c r="M950" s="28" t="s">
        <v>3203</v>
      </c>
      <c r="N950" s="17">
        <v>7.9732800000000008</v>
      </c>
      <c r="O950" s="1"/>
      <c r="P950" s="38">
        <f t="shared" si="85"/>
        <v>0</v>
      </c>
      <c r="S950" s="24" t="str">
        <f t="shared" si="88"/>
        <v>-</v>
      </c>
      <c r="T950" s="24" t="str">
        <f t="shared" si="86"/>
        <v>-</v>
      </c>
      <c r="U950" s="25" t="str">
        <f t="shared" si="89"/>
        <v>-</v>
      </c>
      <c r="V950" s="26" t="str">
        <f t="shared" si="90"/>
        <v>-</v>
      </c>
      <c r="X950" s="26" t="str">
        <f t="shared" si="87"/>
        <v>-</v>
      </c>
    </row>
    <row r="951" spans="1:24" x14ac:dyDescent="0.3">
      <c r="A951" s="37">
        <v>87614115214</v>
      </c>
      <c r="B951" s="8" t="s">
        <v>1561</v>
      </c>
      <c r="C951" s="10" t="s">
        <v>2322</v>
      </c>
      <c r="D951" s="11" t="s">
        <v>874</v>
      </c>
      <c r="E951" s="11" t="s">
        <v>914</v>
      </c>
      <c r="F951" s="9">
        <v>30</v>
      </c>
      <c r="G951" s="9">
        <v>90</v>
      </c>
      <c r="H951" s="9" t="s">
        <v>868</v>
      </c>
      <c r="I951" s="9">
        <v>36</v>
      </c>
      <c r="J951" s="9">
        <v>60</v>
      </c>
      <c r="K951" s="9" t="s">
        <v>873</v>
      </c>
      <c r="L951" s="27">
        <v>7.7180000000000012E-2</v>
      </c>
      <c r="M951" s="28" t="s">
        <v>3203</v>
      </c>
      <c r="N951" s="17">
        <v>3.1394789999999997</v>
      </c>
      <c r="O951" s="1"/>
      <c r="P951" s="38">
        <f t="shared" si="85"/>
        <v>0</v>
      </c>
      <c r="S951" s="24" t="str">
        <f t="shared" si="88"/>
        <v>-</v>
      </c>
      <c r="T951" s="24" t="str">
        <f t="shared" si="86"/>
        <v>-</v>
      </c>
      <c r="U951" s="25" t="str">
        <f t="shared" si="89"/>
        <v>-</v>
      </c>
      <c r="V951" s="26" t="str">
        <f t="shared" si="90"/>
        <v>-</v>
      </c>
      <c r="X951" s="26" t="str">
        <f t="shared" si="87"/>
        <v>-</v>
      </c>
    </row>
    <row r="952" spans="1:24" x14ac:dyDescent="0.3">
      <c r="A952" s="37">
        <v>87614115238</v>
      </c>
      <c r="B952" s="8" t="s">
        <v>1562</v>
      </c>
      <c r="C952" s="10" t="s">
        <v>2323</v>
      </c>
      <c r="D952" s="11" t="s">
        <v>874</v>
      </c>
      <c r="E952" s="11" t="s">
        <v>914</v>
      </c>
      <c r="F952" s="9">
        <v>6</v>
      </c>
      <c r="G952" s="9">
        <v>12</v>
      </c>
      <c r="H952" s="9" t="s">
        <v>868</v>
      </c>
      <c r="I952" s="9">
        <v>24</v>
      </c>
      <c r="J952" s="9">
        <v>1</v>
      </c>
      <c r="K952" s="9" t="s">
        <v>880</v>
      </c>
      <c r="L952" s="27">
        <v>0.66737999999999997</v>
      </c>
      <c r="M952" s="28" t="s">
        <v>3203</v>
      </c>
      <c r="N952" s="17">
        <v>29.235360000000004</v>
      </c>
      <c r="O952" s="1"/>
      <c r="P952" s="38">
        <f t="shared" si="85"/>
        <v>0</v>
      </c>
      <c r="S952" s="24" t="str">
        <f t="shared" si="88"/>
        <v>-</v>
      </c>
      <c r="T952" s="24" t="str">
        <f t="shared" si="86"/>
        <v>-</v>
      </c>
      <c r="U952" s="25" t="str">
        <f t="shared" si="89"/>
        <v>-</v>
      </c>
      <c r="V952" s="26" t="str">
        <f t="shared" si="90"/>
        <v>-</v>
      </c>
      <c r="X952" s="26" t="str">
        <f t="shared" si="87"/>
        <v>-</v>
      </c>
    </row>
    <row r="953" spans="1:24" x14ac:dyDescent="0.3">
      <c r="A953" s="37">
        <v>87614115368</v>
      </c>
      <c r="B953" s="8" t="s">
        <v>224</v>
      </c>
      <c r="C953" s="10" t="s">
        <v>225</v>
      </c>
      <c r="D953" s="11" t="s">
        <v>882</v>
      </c>
      <c r="E953" s="11" t="s">
        <v>920</v>
      </c>
      <c r="F953" s="9">
        <v>12</v>
      </c>
      <c r="G953" s="9">
        <v>48</v>
      </c>
      <c r="H953" s="9" t="s">
        <v>868</v>
      </c>
      <c r="I953" s="9">
        <v>24</v>
      </c>
      <c r="J953" s="9">
        <v>1</v>
      </c>
      <c r="K953" s="9" t="s">
        <v>880</v>
      </c>
      <c r="L953" s="27">
        <v>0.175925</v>
      </c>
      <c r="M953" s="28" t="s">
        <v>3203</v>
      </c>
      <c r="N953" s="17">
        <v>7.9234470000000004</v>
      </c>
      <c r="O953" s="1"/>
      <c r="P953" s="38">
        <f t="shared" si="85"/>
        <v>0</v>
      </c>
      <c r="S953" s="24" t="str">
        <f t="shared" si="88"/>
        <v>-</v>
      </c>
      <c r="T953" s="24" t="str">
        <f t="shared" si="86"/>
        <v>-</v>
      </c>
      <c r="U953" s="25" t="str">
        <f t="shared" si="89"/>
        <v>-</v>
      </c>
      <c r="V953" s="26" t="str">
        <f t="shared" si="90"/>
        <v>-</v>
      </c>
      <c r="X953" s="26" t="str">
        <f t="shared" si="87"/>
        <v>-</v>
      </c>
    </row>
    <row r="954" spans="1:24" x14ac:dyDescent="0.3">
      <c r="A954" s="37">
        <v>87614115382</v>
      </c>
      <c r="B954" s="8" t="s">
        <v>226</v>
      </c>
      <c r="C954" s="10" t="s">
        <v>2687</v>
      </c>
      <c r="D954" s="11" t="s">
        <v>882</v>
      </c>
      <c r="E954" s="11" t="s">
        <v>920</v>
      </c>
      <c r="F954" s="9">
        <v>16</v>
      </c>
      <c r="G954" s="9">
        <v>48</v>
      </c>
      <c r="H954" s="9" t="s">
        <v>892</v>
      </c>
      <c r="I954" s="9">
        <v>24</v>
      </c>
      <c r="J954" s="9">
        <v>60</v>
      </c>
      <c r="K954" s="9" t="s">
        <v>896</v>
      </c>
      <c r="L954" s="27">
        <v>0.15095500000000001</v>
      </c>
      <c r="M954" s="28" t="s">
        <v>3203</v>
      </c>
      <c r="N954" s="17">
        <v>8.072946</v>
      </c>
      <c r="O954" s="1"/>
      <c r="P954" s="38">
        <f t="shared" si="85"/>
        <v>0</v>
      </c>
      <c r="S954" s="24" t="str">
        <f t="shared" si="88"/>
        <v>-</v>
      </c>
      <c r="T954" s="24" t="str">
        <f t="shared" si="86"/>
        <v>-</v>
      </c>
      <c r="U954" s="25" t="str">
        <f t="shared" si="89"/>
        <v>-</v>
      </c>
      <c r="V954" s="26" t="str">
        <f t="shared" si="90"/>
        <v>-</v>
      </c>
      <c r="X954" s="26" t="str">
        <f t="shared" si="87"/>
        <v>-</v>
      </c>
    </row>
    <row r="955" spans="1:24" x14ac:dyDescent="0.3">
      <c r="A955" s="37">
        <v>87614115450</v>
      </c>
      <c r="B955" s="8" t="s">
        <v>1395</v>
      </c>
      <c r="C955" s="10" t="s">
        <v>2175</v>
      </c>
      <c r="D955" s="11" t="s">
        <v>870</v>
      </c>
      <c r="E955" s="11" t="s">
        <v>924</v>
      </c>
      <c r="F955" s="9">
        <v>30</v>
      </c>
      <c r="G955" s="9">
        <v>90</v>
      </c>
      <c r="H955" s="9" t="s">
        <v>868</v>
      </c>
      <c r="I955" s="9">
        <v>36</v>
      </c>
      <c r="J955" s="9">
        <v>60</v>
      </c>
      <c r="K955" s="9" t="s">
        <v>873</v>
      </c>
      <c r="L955" s="27">
        <v>0.11123000000000001</v>
      </c>
      <c r="M955" s="28" t="s">
        <v>3203</v>
      </c>
      <c r="N955" s="17">
        <v>6.3121799999999997</v>
      </c>
      <c r="O955" s="1"/>
      <c r="P955" s="38">
        <f t="shared" si="85"/>
        <v>0</v>
      </c>
      <c r="S955" s="24" t="str">
        <f t="shared" si="88"/>
        <v>-</v>
      </c>
      <c r="T955" s="24" t="str">
        <f t="shared" si="86"/>
        <v>-</v>
      </c>
      <c r="U955" s="25" t="str">
        <f t="shared" si="89"/>
        <v>-</v>
      </c>
      <c r="V955" s="26" t="str">
        <f t="shared" si="90"/>
        <v>-</v>
      </c>
      <c r="X955" s="26" t="str">
        <f t="shared" si="87"/>
        <v>-</v>
      </c>
    </row>
    <row r="956" spans="1:24" x14ac:dyDescent="0.3">
      <c r="A956" s="37">
        <v>87614011561</v>
      </c>
      <c r="B956" s="8" t="s">
        <v>1565</v>
      </c>
      <c r="C956" s="10" t="s">
        <v>2326</v>
      </c>
      <c r="D956" s="11" t="s">
        <v>866</v>
      </c>
      <c r="E956" s="11" t="s">
        <v>974</v>
      </c>
      <c r="F956" s="9">
        <v>12</v>
      </c>
      <c r="G956" s="9">
        <v>24</v>
      </c>
      <c r="H956" s="9" t="s">
        <v>868</v>
      </c>
      <c r="I956" s="9">
        <v>24</v>
      </c>
      <c r="J956" s="9">
        <v>250</v>
      </c>
      <c r="K956" s="9" t="s">
        <v>869</v>
      </c>
      <c r="L956" s="27">
        <v>0.51983000000000001</v>
      </c>
      <c r="M956" s="28" t="s">
        <v>3203</v>
      </c>
      <c r="N956" s="17">
        <v>47.590514999999996</v>
      </c>
      <c r="O956" s="1"/>
      <c r="P956" s="38">
        <f t="shared" si="85"/>
        <v>0</v>
      </c>
      <c r="S956" s="24" t="str">
        <f t="shared" si="88"/>
        <v>-</v>
      </c>
      <c r="T956" s="24" t="str">
        <f t="shared" si="86"/>
        <v>-</v>
      </c>
      <c r="U956" s="25" t="str">
        <f t="shared" si="89"/>
        <v>-</v>
      </c>
      <c r="V956" s="26" t="str">
        <f t="shared" si="90"/>
        <v>-</v>
      </c>
      <c r="X956" s="26" t="str">
        <f t="shared" si="87"/>
        <v>-</v>
      </c>
    </row>
    <row r="957" spans="1:24" x14ac:dyDescent="0.3">
      <c r="A957" s="37">
        <v>87614115702</v>
      </c>
      <c r="B957" s="8" t="s">
        <v>1396</v>
      </c>
      <c r="C957" s="10" t="s">
        <v>2176</v>
      </c>
      <c r="D957" s="11" t="s">
        <v>883</v>
      </c>
      <c r="E957" s="11" t="s">
        <v>938</v>
      </c>
      <c r="F957" s="9">
        <v>30</v>
      </c>
      <c r="G957" s="9">
        <v>90</v>
      </c>
      <c r="H957" s="9" t="s">
        <v>892</v>
      </c>
      <c r="I957" s="9">
        <v>24</v>
      </c>
      <c r="J957" s="9">
        <v>60</v>
      </c>
      <c r="K957" s="9" t="s">
        <v>873</v>
      </c>
      <c r="L957" s="27">
        <v>7.831500000000001E-2</v>
      </c>
      <c r="M957" s="28" t="s">
        <v>3203</v>
      </c>
      <c r="N957" s="17">
        <v>4.8005789999999999</v>
      </c>
      <c r="O957" s="1"/>
      <c r="P957" s="38">
        <f t="shared" si="85"/>
        <v>0</v>
      </c>
      <c r="S957" s="24" t="str">
        <f t="shared" si="88"/>
        <v>-</v>
      </c>
      <c r="T957" s="24" t="str">
        <f t="shared" si="86"/>
        <v>-</v>
      </c>
      <c r="U957" s="25" t="str">
        <f t="shared" si="89"/>
        <v>-</v>
      </c>
      <c r="V957" s="26" t="str">
        <f t="shared" si="90"/>
        <v>-</v>
      </c>
      <c r="X957" s="26" t="str">
        <f t="shared" si="87"/>
        <v>-</v>
      </c>
    </row>
    <row r="958" spans="1:24" x14ac:dyDescent="0.3">
      <c r="A958" s="37">
        <v>87614115887</v>
      </c>
      <c r="B958" s="8" t="s">
        <v>235</v>
      </c>
      <c r="C958" s="10" t="s">
        <v>236</v>
      </c>
      <c r="D958" s="11" t="s">
        <v>870</v>
      </c>
      <c r="E958" s="11" t="s">
        <v>871</v>
      </c>
      <c r="F958" s="9">
        <v>30</v>
      </c>
      <c r="G958" s="9">
        <v>90</v>
      </c>
      <c r="H958" s="9" t="s">
        <v>868</v>
      </c>
      <c r="I958" s="9">
        <v>36</v>
      </c>
      <c r="J958" s="9">
        <v>60</v>
      </c>
      <c r="K958" s="9" t="s">
        <v>889</v>
      </c>
      <c r="L958" s="27">
        <v>5.2209999999999999E-2</v>
      </c>
      <c r="M958" s="28" t="s">
        <v>3203</v>
      </c>
      <c r="N958" s="17">
        <v>4.0032509999999997</v>
      </c>
      <c r="O958" s="1"/>
      <c r="P958" s="38">
        <f t="shared" si="85"/>
        <v>0</v>
      </c>
      <c r="S958" s="24" t="str">
        <f t="shared" si="88"/>
        <v>-</v>
      </c>
      <c r="T958" s="24" t="str">
        <f t="shared" si="86"/>
        <v>-</v>
      </c>
      <c r="U958" s="25" t="str">
        <f t="shared" si="89"/>
        <v>-</v>
      </c>
      <c r="V958" s="26" t="str">
        <f t="shared" si="90"/>
        <v>-</v>
      </c>
      <c r="X958" s="26" t="str">
        <f t="shared" si="87"/>
        <v>-</v>
      </c>
    </row>
    <row r="959" spans="1:24" x14ac:dyDescent="0.3">
      <c r="A959" s="37">
        <v>87614115931</v>
      </c>
      <c r="B959" s="8" t="s">
        <v>1571</v>
      </c>
      <c r="C959" s="10" t="s">
        <v>2332</v>
      </c>
      <c r="D959" s="11" t="s">
        <v>866</v>
      </c>
      <c r="E959" s="11" t="s">
        <v>956</v>
      </c>
      <c r="F959" s="9">
        <v>30</v>
      </c>
      <c r="G959" s="9">
        <v>90</v>
      </c>
      <c r="H959" s="9" t="s">
        <v>892</v>
      </c>
      <c r="I959" s="9">
        <v>24</v>
      </c>
      <c r="J959" s="9">
        <v>60</v>
      </c>
      <c r="K959" s="9" t="s">
        <v>889</v>
      </c>
      <c r="L959" s="27">
        <v>8.3989999999999995E-2</v>
      </c>
      <c r="M959" s="28" t="s">
        <v>3203</v>
      </c>
      <c r="N959" s="17">
        <v>10.830372000000001</v>
      </c>
      <c r="O959" s="1"/>
      <c r="P959" s="38">
        <f t="shared" si="85"/>
        <v>0</v>
      </c>
      <c r="S959" s="24" t="str">
        <f t="shared" si="88"/>
        <v>-</v>
      </c>
      <c r="T959" s="24" t="str">
        <f t="shared" si="86"/>
        <v>-</v>
      </c>
      <c r="U959" s="25" t="str">
        <f t="shared" si="89"/>
        <v>-</v>
      </c>
      <c r="V959" s="26" t="str">
        <f t="shared" si="90"/>
        <v>-</v>
      </c>
      <c r="X959" s="26" t="str">
        <f t="shared" si="87"/>
        <v>-</v>
      </c>
    </row>
    <row r="960" spans="1:24" x14ac:dyDescent="0.3">
      <c r="A960" s="37">
        <v>87614115948</v>
      </c>
      <c r="B960" s="8" t="s">
        <v>1137</v>
      </c>
      <c r="C960" s="10" t="s">
        <v>1965</v>
      </c>
      <c r="D960" s="11" t="s">
        <v>897</v>
      </c>
      <c r="E960" s="11" t="s">
        <v>2837</v>
      </c>
      <c r="F960" s="9">
        <v>9</v>
      </c>
      <c r="G960" s="9">
        <v>27</v>
      </c>
      <c r="H960" s="9" t="s">
        <v>892</v>
      </c>
      <c r="I960" s="9">
        <v>24</v>
      </c>
      <c r="J960" s="9">
        <v>1</v>
      </c>
      <c r="K960" s="9" t="s">
        <v>880</v>
      </c>
      <c r="L960" s="27">
        <v>0.27239999999999998</v>
      </c>
      <c r="M960" s="28" t="s">
        <v>3203</v>
      </c>
      <c r="N960" s="17">
        <v>16.893387000000001</v>
      </c>
      <c r="O960" s="1"/>
      <c r="P960" s="38">
        <f t="shared" si="85"/>
        <v>0</v>
      </c>
      <c r="S960" s="24" t="str">
        <f t="shared" si="88"/>
        <v>-</v>
      </c>
      <c r="T960" s="24" t="str">
        <f t="shared" si="86"/>
        <v>-</v>
      </c>
      <c r="U960" s="25" t="str">
        <f t="shared" si="89"/>
        <v>-</v>
      </c>
      <c r="V960" s="26" t="str">
        <f t="shared" si="90"/>
        <v>-</v>
      </c>
      <c r="X960" s="26" t="str">
        <f t="shared" si="87"/>
        <v>-</v>
      </c>
    </row>
    <row r="961" spans="1:24" x14ac:dyDescent="0.3">
      <c r="A961" s="37">
        <v>87614115986</v>
      </c>
      <c r="B961" s="8" t="s">
        <v>1572</v>
      </c>
      <c r="C961" s="10" t="s">
        <v>2333</v>
      </c>
      <c r="D961" s="11" t="s">
        <v>882</v>
      </c>
      <c r="E961" s="11" t="s">
        <v>958</v>
      </c>
      <c r="F961" s="9">
        <v>30</v>
      </c>
      <c r="G961" s="9">
        <v>90</v>
      </c>
      <c r="H961" s="9" t="s">
        <v>868</v>
      </c>
      <c r="I961" s="9">
        <v>36</v>
      </c>
      <c r="J961" s="9">
        <v>60</v>
      </c>
      <c r="K961" s="9" t="s">
        <v>873</v>
      </c>
      <c r="L961" s="27">
        <v>6.6964999999999997E-2</v>
      </c>
      <c r="M961" s="28" t="s">
        <v>3203</v>
      </c>
      <c r="N961" s="17">
        <v>7.1759519999999997</v>
      </c>
      <c r="O961" s="1"/>
      <c r="P961" s="38">
        <f t="shared" si="85"/>
        <v>0</v>
      </c>
      <c r="S961" s="24" t="str">
        <f t="shared" si="88"/>
        <v>-</v>
      </c>
      <c r="T961" s="24" t="str">
        <f t="shared" si="86"/>
        <v>-</v>
      </c>
      <c r="U961" s="25" t="str">
        <f t="shared" si="89"/>
        <v>-</v>
      </c>
      <c r="V961" s="26" t="str">
        <f t="shared" si="90"/>
        <v>-</v>
      </c>
      <c r="X961" s="26" t="str">
        <f t="shared" si="87"/>
        <v>-</v>
      </c>
    </row>
    <row r="962" spans="1:24" x14ac:dyDescent="0.3">
      <c r="A962" s="37">
        <v>87614116051</v>
      </c>
      <c r="B962" s="8" t="s">
        <v>1573</v>
      </c>
      <c r="C962" s="10" t="s">
        <v>2334</v>
      </c>
      <c r="D962" s="11" t="s">
        <v>874</v>
      </c>
      <c r="E962" s="11" t="s">
        <v>914</v>
      </c>
      <c r="F962" s="9">
        <v>30</v>
      </c>
      <c r="G962" s="9">
        <v>90</v>
      </c>
      <c r="H962" s="9" t="s">
        <v>868</v>
      </c>
      <c r="I962" s="9">
        <v>24</v>
      </c>
      <c r="J962" s="9">
        <v>90</v>
      </c>
      <c r="K962" s="9" t="s">
        <v>889</v>
      </c>
      <c r="L962" s="27">
        <v>4.8804999999999994E-2</v>
      </c>
      <c r="M962" s="28" t="s">
        <v>3203</v>
      </c>
      <c r="N962" s="17">
        <v>4.999911</v>
      </c>
      <c r="O962" s="1"/>
      <c r="P962" s="38">
        <f t="shared" si="85"/>
        <v>0</v>
      </c>
      <c r="S962" s="24" t="str">
        <f t="shared" si="88"/>
        <v>-</v>
      </c>
      <c r="T962" s="24" t="str">
        <f t="shared" si="86"/>
        <v>-</v>
      </c>
      <c r="U962" s="25" t="str">
        <f t="shared" si="89"/>
        <v>-</v>
      </c>
      <c r="V962" s="26" t="str">
        <f t="shared" si="90"/>
        <v>-</v>
      </c>
      <c r="X962" s="26" t="str">
        <f t="shared" si="87"/>
        <v>-</v>
      </c>
    </row>
    <row r="963" spans="1:24" x14ac:dyDescent="0.3">
      <c r="A963" s="37">
        <v>87614116075</v>
      </c>
      <c r="B963" s="8" t="s">
        <v>1125</v>
      </c>
      <c r="C963" s="10" t="s">
        <v>1958</v>
      </c>
      <c r="D963" s="11" t="s">
        <v>874</v>
      </c>
      <c r="E963" s="11" t="s">
        <v>998</v>
      </c>
      <c r="F963" s="9">
        <v>6</v>
      </c>
      <c r="G963" s="9">
        <v>6</v>
      </c>
      <c r="H963" s="9" t="s">
        <v>868</v>
      </c>
      <c r="I963" s="9">
        <v>36</v>
      </c>
      <c r="J963" s="9">
        <v>1</v>
      </c>
      <c r="K963" s="9" t="s">
        <v>887</v>
      </c>
      <c r="L963" s="27">
        <v>1.1009499999999999</v>
      </c>
      <c r="M963" s="28" t="s">
        <v>3203</v>
      </c>
      <c r="N963" s="17">
        <v>28.055978999999997</v>
      </c>
      <c r="O963" s="1"/>
      <c r="P963" s="38">
        <f t="shared" ref="P963:P1026" si="91">O963*N963</f>
        <v>0</v>
      </c>
      <c r="S963" s="24" t="str">
        <f t="shared" si="88"/>
        <v>-</v>
      </c>
      <c r="T963" s="24" t="str">
        <f t="shared" ref="T963:T1026" si="92">IF(O963&gt;0,N963+L963*O963/$U$2*$V$2/O963,"-")</f>
        <v>-</v>
      </c>
      <c r="U963" s="25" t="str">
        <f t="shared" si="89"/>
        <v>-</v>
      </c>
      <c r="V963" s="26" t="str">
        <f t="shared" si="90"/>
        <v>-</v>
      </c>
      <c r="X963" s="26" t="str">
        <f t="shared" ref="X963:X1026" si="93">IFERROR(IF(V963+P963=0, "-", IF(V963&gt;0, V963+P963, "-")), "-")</f>
        <v>-</v>
      </c>
    </row>
    <row r="964" spans="1:24" x14ac:dyDescent="0.3">
      <c r="A964" s="37">
        <v>87614116310</v>
      </c>
      <c r="B964" s="8" t="s">
        <v>1580</v>
      </c>
      <c r="C964" s="10" t="s">
        <v>2341</v>
      </c>
      <c r="D964" s="11" t="s">
        <v>881</v>
      </c>
      <c r="E964" s="11" t="s">
        <v>936</v>
      </c>
      <c r="F964" s="9">
        <v>30</v>
      </c>
      <c r="G964" s="9">
        <v>90</v>
      </c>
      <c r="H964" s="9" t="s">
        <v>868</v>
      </c>
      <c r="I964" s="9">
        <v>36</v>
      </c>
      <c r="J964" s="9">
        <v>60</v>
      </c>
      <c r="K964" s="9" t="s">
        <v>889</v>
      </c>
      <c r="L964" s="27">
        <v>4.7670000000000004E-2</v>
      </c>
      <c r="M964" s="28" t="s">
        <v>3203</v>
      </c>
      <c r="N964" s="17">
        <v>7.6244490000000003</v>
      </c>
      <c r="O964" s="1"/>
      <c r="P964" s="38">
        <f t="shared" si="91"/>
        <v>0</v>
      </c>
      <c r="S964" s="24" t="str">
        <f t="shared" ref="S964:S1027" si="94">IFERROR(IF(S$2*L964=0, "-", $S$2*L964), "-")</f>
        <v>-</v>
      </c>
      <c r="T964" s="24" t="str">
        <f t="shared" si="92"/>
        <v>-</v>
      </c>
      <c r="U964" s="25" t="str">
        <f t="shared" ref="U964:U1027" si="95">IF(O964&gt;0,O964*L964, "-")</f>
        <v>-</v>
      </c>
      <c r="V964" s="26" t="str">
        <f t="shared" ref="V964:V1027" si="96">IFERROR(IF($S$2&gt;0, $S$2*U964, "-"), "-")</f>
        <v>-</v>
      </c>
      <c r="X964" s="26" t="str">
        <f t="shared" si="93"/>
        <v>-</v>
      </c>
    </row>
    <row r="965" spans="1:24" x14ac:dyDescent="0.3">
      <c r="A965" s="37">
        <v>87614116525</v>
      </c>
      <c r="B965" s="8" t="s">
        <v>1582</v>
      </c>
      <c r="C965" s="10" t="s">
        <v>2343</v>
      </c>
      <c r="D965" s="11" t="s">
        <v>884</v>
      </c>
      <c r="E965" s="11" t="s">
        <v>940</v>
      </c>
      <c r="F965" s="9">
        <v>30</v>
      </c>
      <c r="G965" s="9">
        <v>90</v>
      </c>
      <c r="H965" s="9" t="s">
        <v>868</v>
      </c>
      <c r="I965" s="9">
        <v>36</v>
      </c>
      <c r="J965" s="9">
        <v>60</v>
      </c>
      <c r="K965" s="9" t="s">
        <v>889</v>
      </c>
      <c r="L965" s="27">
        <v>6.1289999999999997E-2</v>
      </c>
      <c r="M965" s="28" t="s">
        <v>3203</v>
      </c>
      <c r="N965" s="17">
        <v>6.5447340000000001</v>
      </c>
      <c r="O965" s="1"/>
      <c r="P965" s="38">
        <f t="shared" si="91"/>
        <v>0</v>
      </c>
      <c r="S965" s="24" t="str">
        <f t="shared" si="94"/>
        <v>-</v>
      </c>
      <c r="T965" s="24" t="str">
        <f t="shared" si="92"/>
        <v>-</v>
      </c>
      <c r="U965" s="25" t="str">
        <f t="shared" si="95"/>
        <v>-</v>
      </c>
      <c r="V965" s="26" t="str">
        <f t="shared" si="96"/>
        <v>-</v>
      </c>
      <c r="X965" s="26" t="str">
        <f t="shared" si="93"/>
        <v>-</v>
      </c>
    </row>
    <row r="966" spans="1:24" x14ac:dyDescent="0.3">
      <c r="A966" s="37">
        <v>87614116570</v>
      </c>
      <c r="B966" s="8" t="s">
        <v>1398</v>
      </c>
      <c r="C966" s="10" t="s">
        <v>3163</v>
      </c>
      <c r="D966" s="11" t="s">
        <v>883</v>
      </c>
      <c r="E966" s="11" t="s">
        <v>2839</v>
      </c>
      <c r="F966" s="9">
        <v>6</v>
      </c>
      <c r="G966" s="9">
        <v>6</v>
      </c>
      <c r="H966" s="9" t="s">
        <v>868</v>
      </c>
      <c r="I966" s="9">
        <v>36</v>
      </c>
      <c r="J966" s="9">
        <v>1</v>
      </c>
      <c r="K966" s="9" t="s">
        <v>880</v>
      </c>
      <c r="L966" s="27">
        <v>0.64581499999999992</v>
      </c>
      <c r="M966" s="28" t="s">
        <v>3203</v>
      </c>
      <c r="N966" s="17">
        <v>20.448141</v>
      </c>
      <c r="O966" s="1"/>
      <c r="P966" s="38">
        <f t="shared" si="91"/>
        <v>0</v>
      </c>
      <c r="S966" s="24" t="str">
        <f t="shared" si="94"/>
        <v>-</v>
      </c>
      <c r="T966" s="24" t="str">
        <f t="shared" si="92"/>
        <v>-</v>
      </c>
      <c r="U966" s="25" t="str">
        <f t="shared" si="95"/>
        <v>-</v>
      </c>
      <c r="V966" s="26" t="str">
        <f t="shared" si="96"/>
        <v>-</v>
      </c>
      <c r="X966" s="26" t="str">
        <f t="shared" si="93"/>
        <v>-</v>
      </c>
    </row>
    <row r="967" spans="1:24" x14ac:dyDescent="0.3">
      <c r="A967" s="37">
        <v>87614116594</v>
      </c>
      <c r="B967" s="8" t="s">
        <v>1583</v>
      </c>
      <c r="C967" s="10" t="s">
        <v>2344</v>
      </c>
      <c r="D967" s="11" t="s">
        <v>874</v>
      </c>
      <c r="E967" s="11" t="s">
        <v>925</v>
      </c>
      <c r="F967" s="9">
        <v>30</v>
      </c>
      <c r="G967" s="9">
        <v>90</v>
      </c>
      <c r="H967" s="9" t="s">
        <v>868</v>
      </c>
      <c r="I967" s="9">
        <v>36</v>
      </c>
      <c r="J967" s="9">
        <v>60</v>
      </c>
      <c r="K967" s="9" t="s">
        <v>889</v>
      </c>
      <c r="L967" s="27">
        <v>8.3989999999999995E-2</v>
      </c>
      <c r="M967" s="28" t="s">
        <v>3203</v>
      </c>
      <c r="N967" s="17">
        <v>5.48163</v>
      </c>
      <c r="O967" s="1"/>
      <c r="P967" s="38">
        <f t="shared" si="91"/>
        <v>0</v>
      </c>
      <c r="S967" s="24" t="str">
        <f t="shared" si="94"/>
        <v>-</v>
      </c>
      <c r="T967" s="24" t="str">
        <f t="shared" si="92"/>
        <v>-</v>
      </c>
      <c r="U967" s="25" t="str">
        <f t="shared" si="95"/>
        <v>-</v>
      </c>
      <c r="V967" s="26" t="str">
        <f t="shared" si="96"/>
        <v>-</v>
      </c>
      <c r="X967" s="26" t="str">
        <f t="shared" si="93"/>
        <v>-</v>
      </c>
    </row>
    <row r="968" spans="1:24" x14ac:dyDescent="0.3">
      <c r="A968" s="37">
        <v>87614116730</v>
      </c>
      <c r="B968" s="8" t="s">
        <v>1399</v>
      </c>
      <c r="C968" s="10" t="s">
        <v>2178</v>
      </c>
      <c r="D968" s="11" t="s">
        <v>882</v>
      </c>
      <c r="E968" s="11" t="s">
        <v>1005</v>
      </c>
      <c r="F968" s="9">
        <v>16</v>
      </c>
      <c r="G968" s="9">
        <v>48</v>
      </c>
      <c r="H968" s="9" t="s">
        <v>868</v>
      </c>
      <c r="I968" s="9">
        <v>36</v>
      </c>
      <c r="J968" s="9">
        <v>120</v>
      </c>
      <c r="K968" s="9" t="s">
        <v>889</v>
      </c>
      <c r="L968" s="27">
        <v>0.13847000000000001</v>
      </c>
      <c r="M968" s="28" t="s">
        <v>3203</v>
      </c>
      <c r="N968" s="17">
        <v>9.8503229999999995</v>
      </c>
      <c r="O968" s="1"/>
      <c r="P968" s="38">
        <f t="shared" si="91"/>
        <v>0</v>
      </c>
      <c r="S968" s="24" t="str">
        <f t="shared" si="94"/>
        <v>-</v>
      </c>
      <c r="T968" s="24" t="str">
        <f t="shared" si="92"/>
        <v>-</v>
      </c>
      <c r="U968" s="25" t="str">
        <f t="shared" si="95"/>
        <v>-</v>
      </c>
      <c r="V968" s="26" t="str">
        <f t="shared" si="96"/>
        <v>-</v>
      </c>
      <c r="X968" s="26" t="str">
        <f t="shared" si="93"/>
        <v>-</v>
      </c>
    </row>
    <row r="969" spans="1:24" x14ac:dyDescent="0.3">
      <c r="A969" s="37">
        <v>87614116815</v>
      </c>
      <c r="B969" s="8" t="s">
        <v>1587</v>
      </c>
      <c r="C969" s="10" t="s">
        <v>2348</v>
      </c>
      <c r="D969" s="11" t="s">
        <v>874</v>
      </c>
      <c r="E969" s="11" t="s">
        <v>914</v>
      </c>
      <c r="F969" s="9">
        <v>30</v>
      </c>
      <c r="G969" s="9">
        <v>90</v>
      </c>
      <c r="H969" s="9" t="s">
        <v>868</v>
      </c>
      <c r="I969" s="9">
        <v>36</v>
      </c>
      <c r="J969" s="9">
        <v>100</v>
      </c>
      <c r="K969" s="9" t="s">
        <v>873</v>
      </c>
      <c r="L969" s="27">
        <v>8.1720000000000001E-2</v>
      </c>
      <c r="M969" s="28" t="s">
        <v>3203</v>
      </c>
      <c r="N969" s="17">
        <v>5.6311290000000005</v>
      </c>
      <c r="O969" s="1"/>
      <c r="P969" s="38">
        <f t="shared" si="91"/>
        <v>0</v>
      </c>
      <c r="S969" s="24" t="str">
        <f t="shared" si="94"/>
        <v>-</v>
      </c>
      <c r="T969" s="24" t="str">
        <f t="shared" si="92"/>
        <v>-</v>
      </c>
      <c r="U969" s="25" t="str">
        <f t="shared" si="95"/>
        <v>-</v>
      </c>
      <c r="V969" s="26" t="str">
        <f t="shared" si="96"/>
        <v>-</v>
      </c>
      <c r="X969" s="26" t="str">
        <f t="shared" si="93"/>
        <v>-</v>
      </c>
    </row>
    <row r="970" spans="1:24" x14ac:dyDescent="0.3">
      <c r="A970" s="37">
        <v>87614116938</v>
      </c>
      <c r="B970" s="8" t="s">
        <v>259</v>
      </c>
      <c r="C970" s="10" t="s">
        <v>260</v>
      </c>
      <c r="D970" s="11" t="s">
        <v>884</v>
      </c>
      <c r="E970" s="11" t="s">
        <v>940</v>
      </c>
      <c r="F970" s="9">
        <v>20</v>
      </c>
      <c r="G970" s="9">
        <v>60</v>
      </c>
      <c r="H970" s="9" t="s">
        <v>868</v>
      </c>
      <c r="I970" s="9">
        <v>36</v>
      </c>
      <c r="J970" s="9">
        <v>90</v>
      </c>
      <c r="K970" s="9" t="s">
        <v>873</v>
      </c>
      <c r="L970" s="27">
        <v>9.0800000000000006E-2</v>
      </c>
      <c r="M970" s="28" t="s">
        <v>3203</v>
      </c>
      <c r="N970" s="17">
        <v>6.3121799999999997</v>
      </c>
      <c r="O970" s="1"/>
      <c r="P970" s="38">
        <f t="shared" si="91"/>
        <v>0</v>
      </c>
      <c r="S970" s="24" t="str">
        <f t="shared" si="94"/>
        <v>-</v>
      </c>
      <c r="T970" s="24" t="str">
        <f t="shared" si="92"/>
        <v>-</v>
      </c>
      <c r="U970" s="25" t="str">
        <f t="shared" si="95"/>
        <v>-</v>
      </c>
      <c r="V970" s="26" t="str">
        <f t="shared" si="96"/>
        <v>-</v>
      </c>
      <c r="X970" s="26" t="str">
        <f t="shared" si="93"/>
        <v>-</v>
      </c>
    </row>
    <row r="971" spans="1:24" x14ac:dyDescent="0.3">
      <c r="A971" s="37">
        <v>87614116969</v>
      </c>
      <c r="B971" s="8" t="s">
        <v>1400</v>
      </c>
      <c r="C971" s="10" t="s">
        <v>2179</v>
      </c>
      <c r="D971" s="11" t="s">
        <v>881</v>
      </c>
      <c r="E971" s="11" t="s">
        <v>1008</v>
      </c>
      <c r="F971" s="9">
        <v>16</v>
      </c>
      <c r="G971" s="9">
        <v>48</v>
      </c>
      <c r="H971" s="9" t="s">
        <v>868</v>
      </c>
      <c r="I971" s="9">
        <v>36</v>
      </c>
      <c r="J971" s="9">
        <v>120</v>
      </c>
      <c r="K971" s="9" t="s">
        <v>873</v>
      </c>
      <c r="L971" s="27">
        <v>0.116905</v>
      </c>
      <c r="M971" s="28" t="s">
        <v>3203</v>
      </c>
      <c r="N971" s="17">
        <v>5.4982410000000002</v>
      </c>
      <c r="O971" s="1"/>
      <c r="P971" s="38">
        <f t="shared" si="91"/>
        <v>0</v>
      </c>
      <c r="S971" s="24" t="str">
        <f t="shared" si="94"/>
        <v>-</v>
      </c>
      <c r="T971" s="24" t="str">
        <f t="shared" si="92"/>
        <v>-</v>
      </c>
      <c r="U971" s="25" t="str">
        <f t="shared" si="95"/>
        <v>-</v>
      </c>
      <c r="V971" s="26" t="str">
        <f t="shared" si="96"/>
        <v>-</v>
      </c>
      <c r="X971" s="26" t="str">
        <f t="shared" si="93"/>
        <v>-</v>
      </c>
    </row>
    <row r="972" spans="1:24" x14ac:dyDescent="0.3">
      <c r="A972" s="37">
        <v>87614116983</v>
      </c>
      <c r="B972" s="8" t="s">
        <v>1401</v>
      </c>
      <c r="C972" s="10" t="s">
        <v>2180</v>
      </c>
      <c r="D972" s="11" t="s">
        <v>883</v>
      </c>
      <c r="E972" s="11" t="s">
        <v>926</v>
      </c>
      <c r="F972" s="9">
        <v>16</v>
      </c>
      <c r="G972" s="9">
        <v>48</v>
      </c>
      <c r="H972" s="9" t="s">
        <v>868</v>
      </c>
      <c r="I972" s="9">
        <v>36</v>
      </c>
      <c r="J972" s="9">
        <v>120</v>
      </c>
      <c r="K972" s="9" t="s">
        <v>873</v>
      </c>
      <c r="L972" s="27">
        <v>0.19635499999999997</v>
      </c>
      <c r="M972" s="28" t="s">
        <v>3203</v>
      </c>
      <c r="N972" s="17">
        <v>7.7739479999999999</v>
      </c>
      <c r="O972" s="1"/>
      <c r="P972" s="38">
        <f t="shared" si="91"/>
        <v>0</v>
      </c>
      <c r="S972" s="24" t="str">
        <f t="shared" si="94"/>
        <v>-</v>
      </c>
      <c r="T972" s="24" t="str">
        <f t="shared" si="92"/>
        <v>-</v>
      </c>
      <c r="U972" s="25" t="str">
        <f t="shared" si="95"/>
        <v>-</v>
      </c>
      <c r="V972" s="26" t="str">
        <f t="shared" si="96"/>
        <v>-</v>
      </c>
      <c r="X972" s="26" t="str">
        <f t="shared" si="93"/>
        <v>-</v>
      </c>
    </row>
    <row r="973" spans="1:24" x14ac:dyDescent="0.3">
      <c r="A973" s="37">
        <v>87614117027</v>
      </c>
      <c r="B973" s="8" t="s">
        <v>1131</v>
      </c>
      <c r="C973" s="10" t="s">
        <v>1961</v>
      </c>
      <c r="D973" s="11" t="s">
        <v>2822</v>
      </c>
      <c r="E973" s="11" t="s">
        <v>2843</v>
      </c>
      <c r="F973" s="9">
        <v>6</v>
      </c>
      <c r="G973" s="9">
        <v>6</v>
      </c>
      <c r="H973" s="9" t="s">
        <v>868</v>
      </c>
      <c r="I973" s="9">
        <v>24</v>
      </c>
      <c r="J973" s="9">
        <v>1</v>
      </c>
      <c r="K973" s="9" t="s">
        <v>880</v>
      </c>
      <c r="L973" s="27">
        <v>0.69802500000000001</v>
      </c>
      <c r="M973" s="28" t="s">
        <v>3203</v>
      </c>
      <c r="N973" s="17">
        <v>18.355155</v>
      </c>
      <c r="O973" s="1"/>
      <c r="P973" s="38">
        <f t="shared" si="91"/>
        <v>0</v>
      </c>
      <c r="S973" s="24" t="str">
        <f t="shared" si="94"/>
        <v>-</v>
      </c>
      <c r="T973" s="24" t="str">
        <f t="shared" si="92"/>
        <v>-</v>
      </c>
      <c r="U973" s="25" t="str">
        <f t="shared" si="95"/>
        <v>-</v>
      </c>
      <c r="V973" s="26" t="str">
        <f t="shared" si="96"/>
        <v>-</v>
      </c>
      <c r="X973" s="26" t="str">
        <f t="shared" si="93"/>
        <v>-</v>
      </c>
    </row>
    <row r="974" spans="1:24" x14ac:dyDescent="0.3">
      <c r="A974" s="37">
        <v>87614117034</v>
      </c>
      <c r="B974" s="8" t="s">
        <v>1591</v>
      </c>
      <c r="C974" s="10" t="s">
        <v>2352</v>
      </c>
      <c r="D974" s="11" t="s">
        <v>874</v>
      </c>
      <c r="E974" s="11" t="s">
        <v>914</v>
      </c>
      <c r="F974" s="9">
        <v>15</v>
      </c>
      <c r="G974" s="9">
        <v>30</v>
      </c>
      <c r="H974" s="9" t="s">
        <v>868</v>
      </c>
      <c r="I974" s="9">
        <v>24</v>
      </c>
      <c r="J974" s="9">
        <v>300</v>
      </c>
      <c r="K974" s="9" t="s">
        <v>869</v>
      </c>
      <c r="L974" s="27">
        <v>0.28828999999999999</v>
      </c>
      <c r="M974" s="28" t="s">
        <v>3203</v>
      </c>
      <c r="N974" s="17">
        <v>16.428279</v>
      </c>
      <c r="O974" s="1"/>
      <c r="P974" s="38">
        <f t="shared" si="91"/>
        <v>0</v>
      </c>
      <c r="S974" s="24" t="str">
        <f t="shared" si="94"/>
        <v>-</v>
      </c>
      <c r="T974" s="24" t="str">
        <f t="shared" si="92"/>
        <v>-</v>
      </c>
      <c r="U974" s="25" t="str">
        <f t="shared" si="95"/>
        <v>-</v>
      </c>
      <c r="V974" s="26" t="str">
        <f t="shared" si="96"/>
        <v>-</v>
      </c>
      <c r="X974" s="26" t="str">
        <f t="shared" si="93"/>
        <v>-</v>
      </c>
    </row>
    <row r="975" spans="1:24" x14ac:dyDescent="0.3">
      <c r="A975" s="37">
        <v>87614117201</v>
      </c>
      <c r="B975" s="8" t="s">
        <v>1403</v>
      </c>
      <c r="C975" s="10" t="s">
        <v>2181</v>
      </c>
      <c r="D975" s="11" t="s">
        <v>882</v>
      </c>
      <c r="E975" s="11" t="s">
        <v>920</v>
      </c>
      <c r="F975" s="9">
        <v>12</v>
      </c>
      <c r="G975" s="9">
        <v>24</v>
      </c>
      <c r="H975" s="9" t="s">
        <v>868</v>
      </c>
      <c r="I975" s="9">
        <v>24</v>
      </c>
      <c r="J975" s="9">
        <v>250</v>
      </c>
      <c r="K975" s="9" t="s">
        <v>877</v>
      </c>
      <c r="L975" s="27">
        <v>0.47670000000000001</v>
      </c>
      <c r="M975" s="28" t="s">
        <v>3203</v>
      </c>
      <c r="N975" s="17">
        <v>21.793631999999999</v>
      </c>
      <c r="O975" s="1"/>
      <c r="P975" s="38">
        <f t="shared" si="91"/>
        <v>0</v>
      </c>
      <c r="S975" s="24" t="str">
        <f t="shared" si="94"/>
        <v>-</v>
      </c>
      <c r="T975" s="24" t="str">
        <f t="shared" si="92"/>
        <v>-</v>
      </c>
      <c r="U975" s="25" t="str">
        <f t="shared" si="95"/>
        <v>-</v>
      </c>
      <c r="V975" s="26" t="str">
        <f t="shared" si="96"/>
        <v>-</v>
      </c>
      <c r="X975" s="26" t="str">
        <f t="shared" si="93"/>
        <v>-</v>
      </c>
    </row>
    <row r="976" spans="1:24" x14ac:dyDescent="0.3">
      <c r="A976" s="37">
        <v>87614117317</v>
      </c>
      <c r="B976" s="8" t="s">
        <v>1593</v>
      </c>
      <c r="C976" s="10" t="s">
        <v>2354</v>
      </c>
      <c r="D976" s="11" t="s">
        <v>881</v>
      </c>
      <c r="E976" s="11" t="s">
        <v>939</v>
      </c>
      <c r="F976" s="9">
        <v>9</v>
      </c>
      <c r="G976" s="9">
        <v>9</v>
      </c>
      <c r="H976" s="9" t="s">
        <v>868</v>
      </c>
      <c r="I976" s="9">
        <v>36</v>
      </c>
      <c r="J976" s="9">
        <v>1</v>
      </c>
      <c r="K976" s="9" t="s">
        <v>880</v>
      </c>
      <c r="L976" s="27">
        <v>0.76045000000000007</v>
      </c>
      <c r="M976" s="28" t="s">
        <v>3203</v>
      </c>
      <c r="N976" s="17">
        <v>32.059229999999999</v>
      </c>
      <c r="O976" s="1"/>
      <c r="P976" s="38">
        <f t="shared" si="91"/>
        <v>0</v>
      </c>
      <c r="S976" s="24" t="str">
        <f t="shared" si="94"/>
        <v>-</v>
      </c>
      <c r="T976" s="24" t="str">
        <f t="shared" si="92"/>
        <v>-</v>
      </c>
      <c r="U976" s="25" t="str">
        <f t="shared" si="95"/>
        <v>-</v>
      </c>
      <c r="V976" s="26" t="str">
        <f t="shared" si="96"/>
        <v>-</v>
      </c>
      <c r="X976" s="26" t="str">
        <f t="shared" si="93"/>
        <v>-</v>
      </c>
    </row>
    <row r="977" spans="1:24" x14ac:dyDescent="0.3">
      <c r="A977" s="37">
        <v>87614117324</v>
      </c>
      <c r="B977" s="8" t="s">
        <v>1946</v>
      </c>
      <c r="C977" s="10" t="s">
        <v>2668</v>
      </c>
      <c r="D977" s="11" t="s">
        <v>881</v>
      </c>
      <c r="E977" s="11" t="s">
        <v>939</v>
      </c>
      <c r="F977" s="9">
        <v>9</v>
      </c>
      <c r="G977" s="9">
        <v>9</v>
      </c>
      <c r="H977" s="9" t="s">
        <v>868</v>
      </c>
      <c r="I977" s="9">
        <v>36</v>
      </c>
      <c r="J977" s="9">
        <v>1</v>
      </c>
      <c r="K977" s="9" t="s">
        <v>880</v>
      </c>
      <c r="L977" s="27">
        <v>0.73207500000000003</v>
      </c>
      <c r="M977" s="28" t="s">
        <v>3203</v>
      </c>
      <c r="N977" s="17">
        <v>30.464573999999999</v>
      </c>
      <c r="O977" s="1"/>
      <c r="P977" s="38">
        <f t="shared" si="91"/>
        <v>0</v>
      </c>
      <c r="S977" s="24" t="str">
        <f t="shared" si="94"/>
        <v>-</v>
      </c>
      <c r="T977" s="24" t="str">
        <f t="shared" si="92"/>
        <v>-</v>
      </c>
      <c r="U977" s="25" t="str">
        <f t="shared" si="95"/>
        <v>-</v>
      </c>
      <c r="V977" s="26" t="str">
        <f t="shared" si="96"/>
        <v>-</v>
      </c>
      <c r="X977" s="26" t="str">
        <f t="shared" si="93"/>
        <v>-</v>
      </c>
    </row>
    <row r="978" spans="1:24" x14ac:dyDescent="0.3">
      <c r="A978" s="37">
        <v>87614117348</v>
      </c>
      <c r="B978" s="8" t="s">
        <v>1594</v>
      </c>
      <c r="C978" s="10" t="s">
        <v>2355</v>
      </c>
      <c r="D978" s="11" t="s">
        <v>876</v>
      </c>
      <c r="E978" s="11" t="s">
        <v>1012</v>
      </c>
      <c r="F978" s="9">
        <v>30</v>
      </c>
      <c r="G978" s="9">
        <v>90</v>
      </c>
      <c r="H978" s="9" t="s">
        <v>868</v>
      </c>
      <c r="I978" s="9">
        <v>36</v>
      </c>
      <c r="J978" s="9">
        <v>60</v>
      </c>
      <c r="K978" s="9" t="s">
        <v>873</v>
      </c>
      <c r="L978" s="27">
        <v>4.7670000000000004E-2</v>
      </c>
      <c r="M978" s="28" t="s">
        <v>3203</v>
      </c>
      <c r="N978" s="17">
        <v>10.165932</v>
      </c>
      <c r="O978" s="1"/>
      <c r="P978" s="38">
        <f t="shared" si="91"/>
        <v>0</v>
      </c>
      <c r="S978" s="24" t="str">
        <f t="shared" si="94"/>
        <v>-</v>
      </c>
      <c r="T978" s="24" t="str">
        <f t="shared" si="92"/>
        <v>-</v>
      </c>
      <c r="U978" s="25" t="str">
        <f t="shared" si="95"/>
        <v>-</v>
      </c>
      <c r="V978" s="26" t="str">
        <f t="shared" si="96"/>
        <v>-</v>
      </c>
      <c r="X978" s="26" t="str">
        <f t="shared" si="93"/>
        <v>-</v>
      </c>
    </row>
    <row r="979" spans="1:24" x14ac:dyDescent="0.3">
      <c r="A979" s="37">
        <v>87614117379</v>
      </c>
      <c r="B979" s="8" t="s">
        <v>2919</v>
      </c>
      <c r="C979" s="10" t="s">
        <v>2368</v>
      </c>
      <c r="D979" s="11" t="s">
        <v>882</v>
      </c>
      <c r="E979" s="11" t="s">
        <v>976</v>
      </c>
      <c r="F979" s="9">
        <v>16</v>
      </c>
      <c r="G979" s="9">
        <v>48</v>
      </c>
      <c r="H979" s="9" t="s">
        <v>868</v>
      </c>
      <c r="I979" s="9">
        <v>36</v>
      </c>
      <c r="J979" s="9">
        <v>250</v>
      </c>
      <c r="K979" s="9" t="s">
        <v>873</v>
      </c>
      <c r="L979" s="27">
        <v>0.15095500000000001</v>
      </c>
      <c r="M979" s="28" t="s">
        <v>3203</v>
      </c>
      <c r="N979" s="17">
        <v>21.959741999999999</v>
      </c>
      <c r="O979" s="1"/>
      <c r="P979" s="38">
        <f t="shared" si="91"/>
        <v>0</v>
      </c>
      <c r="S979" s="24" t="str">
        <f t="shared" si="94"/>
        <v>-</v>
      </c>
      <c r="T979" s="24" t="str">
        <f t="shared" si="92"/>
        <v>-</v>
      </c>
      <c r="U979" s="25" t="str">
        <f t="shared" si="95"/>
        <v>-</v>
      </c>
      <c r="V979" s="26" t="str">
        <f t="shared" si="96"/>
        <v>-</v>
      </c>
      <c r="X979" s="26" t="str">
        <f t="shared" si="93"/>
        <v>-</v>
      </c>
    </row>
    <row r="980" spans="1:24" x14ac:dyDescent="0.3">
      <c r="A980" s="37">
        <v>87614117416</v>
      </c>
      <c r="B980" s="8" t="s">
        <v>1596</v>
      </c>
      <c r="C980" s="10" t="s">
        <v>2357</v>
      </c>
      <c r="D980" s="11" t="s">
        <v>874</v>
      </c>
      <c r="E980" s="11" t="s">
        <v>919</v>
      </c>
      <c r="F980" s="9">
        <v>20</v>
      </c>
      <c r="G980" s="9">
        <v>60</v>
      </c>
      <c r="H980" s="9" t="s">
        <v>868</v>
      </c>
      <c r="I980" s="9">
        <v>36</v>
      </c>
      <c r="J980" s="9">
        <v>200</v>
      </c>
      <c r="K980" s="9" t="s">
        <v>873</v>
      </c>
      <c r="L980" s="27">
        <v>0.15095500000000001</v>
      </c>
      <c r="M980" s="28" t="s">
        <v>3203</v>
      </c>
      <c r="N980" s="17">
        <v>7.4085059999999991</v>
      </c>
      <c r="O980" s="1"/>
      <c r="P980" s="38">
        <f t="shared" si="91"/>
        <v>0</v>
      </c>
      <c r="S980" s="24" t="str">
        <f t="shared" si="94"/>
        <v>-</v>
      </c>
      <c r="T980" s="24" t="str">
        <f t="shared" si="92"/>
        <v>-</v>
      </c>
      <c r="U980" s="25" t="str">
        <f t="shared" si="95"/>
        <v>-</v>
      </c>
      <c r="V980" s="26" t="str">
        <f t="shared" si="96"/>
        <v>-</v>
      </c>
      <c r="X980" s="26" t="str">
        <f t="shared" si="93"/>
        <v>-</v>
      </c>
    </row>
    <row r="981" spans="1:24" x14ac:dyDescent="0.3">
      <c r="A981" s="37">
        <v>87614117478</v>
      </c>
      <c r="B981" s="8" t="s">
        <v>1597</v>
      </c>
      <c r="C981" s="10" t="s">
        <v>2358</v>
      </c>
      <c r="D981" s="11" t="s">
        <v>874</v>
      </c>
      <c r="E981" s="11" t="s">
        <v>919</v>
      </c>
      <c r="F981" s="9">
        <v>15</v>
      </c>
      <c r="G981" s="9">
        <v>30</v>
      </c>
      <c r="H981" s="9" t="s">
        <v>868</v>
      </c>
      <c r="I981" s="9">
        <v>36</v>
      </c>
      <c r="J981" s="9">
        <v>120</v>
      </c>
      <c r="K981" s="9" t="s">
        <v>873</v>
      </c>
      <c r="L981" s="27">
        <v>0.16003499999999998</v>
      </c>
      <c r="M981" s="28" t="s">
        <v>3203</v>
      </c>
      <c r="N981" s="17">
        <v>7.5413940000000004</v>
      </c>
      <c r="O981" s="1"/>
      <c r="P981" s="38">
        <f t="shared" si="91"/>
        <v>0</v>
      </c>
      <c r="S981" s="24" t="str">
        <f t="shared" si="94"/>
        <v>-</v>
      </c>
      <c r="T981" s="24" t="str">
        <f t="shared" si="92"/>
        <v>-</v>
      </c>
      <c r="U981" s="25" t="str">
        <f t="shared" si="95"/>
        <v>-</v>
      </c>
      <c r="V981" s="26" t="str">
        <f t="shared" si="96"/>
        <v>-</v>
      </c>
      <c r="X981" s="26" t="str">
        <f t="shared" si="93"/>
        <v>-</v>
      </c>
    </row>
    <row r="982" spans="1:24" x14ac:dyDescent="0.3">
      <c r="A982" s="37">
        <v>87614117638</v>
      </c>
      <c r="B982" s="8" t="s">
        <v>1406</v>
      </c>
      <c r="C982" s="10" t="s">
        <v>2184</v>
      </c>
      <c r="D982" s="11" t="s">
        <v>874</v>
      </c>
      <c r="E982" s="11" t="s">
        <v>1118</v>
      </c>
      <c r="F982" s="9">
        <v>12</v>
      </c>
      <c r="G982" s="9">
        <v>24</v>
      </c>
      <c r="H982" s="9" t="s">
        <v>868</v>
      </c>
      <c r="I982" s="9">
        <v>24</v>
      </c>
      <c r="J982" s="9">
        <v>250</v>
      </c>
      <c r="K982" s="9" t="s">
        <v>869</v>
      </c>
      <c r="L982" s="27">
        <v>0.348445</v>
      </c>
      <c r="M982" s="28" t="s">
        <v>3203</v>
      </c>
      <c r="N982" s="17">
        <v>15.630951</v>
      </c>
      <c r="O982" s="1"/>
      <c r="P982" s="38">
        <f t="shared" si="91"/>
        <v>0</v>
      </c>
      <c r="S982" s="24" t="str">
        <f t="shared" si="94"/>
        <v>-</v>
      </c>
      <c r="T982" s="24" t="str">
        <f t="shared" si="92"/>
        <v>-</v>
      </c>
      <c r="U982" s="25" t="str">
        <f t="shared" si="95"/>
        <v>-</v>
      </c>
      <c r="V982" s="26" t="str">
        <f t="shared" si="96"/>
        <v>-</v>
      </c>
      <c r="X982" s="26" t="str">
        <f t="shared" si="93"/>
        <v>-</v>
      </c>
    </row>
    <row r="983" spans="1:24" x14ac:dyDescent="0.3">
      <c r="A983" s="37">
        <v>87614117669</v>
      </c>
      <c r="B983" s="8" t="s">
        <v>1599</v>
      </c>
      <c r="C983" s="10" t="s">
        <v>2360</v>
      </c>
      <c r="D983" s="11" t="s">
        <v>885</v>
      </c>
      <c r="E983" s="11" t="s">
        <v>973</v>
      </c>
      <c r="F983" s="9">
        <v>30</v>
      </c>
      <c r="G983" s="9">
        <v>90</v>
      </c>
      <c r="H983" s="9" t="s">
        <v>868</v>
      </c>
      <c r="I983" s="9">
        <v>36</v>
      </c>
      <c r="J983" s="9">
        <v>60</v>
      </c>
      <c r="K983" s="9" t="s">
        <v>873</v>
      </c>
      <c r="L983" s="27">
        <v>7.7180000000000012E-2</v>
      </c>
      <c r="M983" s="28" t="s">
        <v>3203</v>
      </c>
      <c r="N983" s="17">
        <v>10.481541</v>
      </c>
      <c r="O983" s="1"/>
      <c r="P983" s="38">
        <f t="shared" si="91"/>
        <v>0</v>
      </c>
      <c r="S983" s="24" t="str">
        <f t="shared" si="94"/>
        <v>-</v>
      </c>
      <c r="T983" s="24" t="str">
        <f t="shared" si="92"/>
        <v>-</v>
      </c>
      <c r="U983" s="25" t="str">
        <f t="shared" si="95"/>
        <v>-</v>
      </c>
      <c r="V983" s="26" t="str">
        <f t="shared" si="96"/>
        <v>-</v>
      </c>
      <c r="X983" s="26" t="str">
        <f t="shared" si="93"/>
        <v>-</v>
      </c>
    </row>
    <row r="984" spans="1:24" x14ac:dyDescent="0.3">
      <c r="A984" s="37">
        <v>87614117713</v>
      </c>
      <c r="B984" s="8" t="s">
        <v>1407</v>
      </c>
      <c r="C984" s="10" t="s">
        <v>2692</v>
      </c>
      <c r="D984" s="11" t="s">
        <v>885</v>
      </c>
      <c r="E984" s="11" t="s">
        <v>973</v>
      </c>
      <c r="F984" s="9">
        <v>30</v>
      </c>
      <c r="G984" s="9">
        <v>90</v>
      </c>
      <c r="H984" s="9" t="s">
        <v>868</v>
      </c>
      <c r="I984" s="9">
        <v>36</v>
      </c>
      <c r="J984" s="9">
        <v>60</v>
      </c>
      <c r="K984" s="9" t="s">
        <v>2903</v>
      </c>
      <c r="L984" s="27">
        <v>7.6045000000000001E-2</v>
      </c>
      <c r="M984" s="28" t="s">
        <v>3203</v>
      </c>
      <c r="N984" s="17">
        <v>5.9965709999999994</v>
      </c>
      <c r="O984" s="1"/>
      <c r="P984" s="38">
        <f t="shared" si="91"/>
        <v>0</v>
      </c>
      <c r="S984" s="24" t="str">
        <f t="shared" si="94"/>
        <v>-</v>
      </c>
      <c r="T984" s="24" t="str">
        <f t="shared" si="92"/>
        <v>-</v>
      </c>
      <c r="U984" s="25" t="str">
        <f t="shared" si="95"/>
        <v>-</v>
      </c>
      <c r="V984" s="26" t="str">
        <f t="shared" si="96"/>
        <v>-</v>
      </c>
      <c r="X984" s="26" t="str">
        <f t="shared" si="93"/>
        <v>-</v>
      </c>
    </row>
    <row r="985" spans="1:24" x14ac:dyDescent="0.3">
      <c r="A985" s="37">
        <v>87614118031</v>
      </c>
      <c r="B985" s="8" t="s">
        <v>286</v>
      </c>
      <c r="C985" s="10" t="s">
        <v>2693</v>
      </c>
      <c r="D985" s="11" t="s">
        <v>882</v>
      </c>
      <c r="E985" s="11" t="s">
        <v>1005</v>
      </c>
      <c r="F985" s="9">
        <v>16</v>
      </c>
      <c r="G985" s="9">
        <v>16</v>
      </c>
      <c r="H985" s="9" t="s">
        <v>868</v>
      </c>
      <c r="I985" s="9">
        <v>24</v>
      </c>
      <c r="J985" s="9">
        <v>60</v>
      </c>
      <c r="K985" s="9" t="s">
        <v>901</v>
      </c>
      <c r="L985" s="27">
        <v>0.25083500000000003</v>
      </c>
      <c r="M985" s="28" t="s">
        <v>3203</v>
      </c>
      <c r="N985" s="17">
        <v>10.282209</v>
      </c>
      <c r="O985" s="1"/>
      <c r="P985" s="38">
        <f t="shared" si="91"/>
        <v>0</v>
      </c>
      <c r="S985" s="24" t="str">
        <f t="shared" si="94"/>
        <v>-</v>
      </c>
      <c r="T985" s="24" t="str">
        <f t="shared" si="92"/>
        <v>-</v>
      </c>
      <c r="U985" s="25" t="str">
        <f t="shared" si="95"/>
        <v>-</v>
      </c>
      <c r="V985" s="26" t="str">
        <f t="shared" si="96"/>
        <v>-</v>
      </c>
      <c r="X985" s="26" t="str">
        <f t="shared" si="93"/>
        <v>-</v>
      </c>
    </row>
    <row r="986" spans="1:24" x14ac:dyDescent="0.3">
      <c r="A986" s="37">
        <v>87614118062</v>
      </c>
      <c r="B986" s="8" t="s">
        <v>1319</v>
      </c>
      <c r="C986" s="10" t="s">
        <v>2103</v>
      </c>
      <c r="D986" s="11" t="s">
        <v>883</v>
      </c>
      <c r="E986" s="11" t="s">
        <v>1015</v>
      </c>
      <c r="F986" s="9">
        <v>20</v>
      </c>
      <c r="G986" s="9">
        <v>60</v>
      </c>
      <c r="H986" s="9" t="s">
        <v>868</v>
      </c>
      <c r="I986" s="9">
        <v>24</v>
      </c>
      <c r="J986" s="9">
        <v>90</v>
      </c>
      <c r="K986" s="9" t="s">
        <v>873</v>
      </c>
      <c r="L986" s="27">
        <v>0.14982000000000001</v>
      </c>
      <c r="M986" s="28" t="s">
        <v>3203</v>
      </c>
      <c r="N986" s="17">
        <v>16.611000000000001</v>
      </c>
      <c r="O986" s="1"/>
      <c r="P986" s="38">
        <f t="shared" si="91"/>
        <v>0</v>
      </c>
      <c r="S986" s="24" t="str">
        <f t="shared" si="94"/>
        <v>-</v>
      </c>
      <c r="T986" s="24" t="str">
        <f t="shared" si="92"/>
        <v>-</v>
      </c>
      <c r="U986" s="25" t="str">
        <f t="shared" si="95"/>
        <v>-</v>
      </c>
      <c r="V986" s="26" t="str">
        <f t="shared" si="96"/>
        <v>-</v>
      </c>
      <c r="X986" s="26" t="str">
        <f t="shared" si="93"/>
        <v>-</v>
      </c>
    </row>
    <row r="987" spans="1:24" x14ac:dyDescent="0.3">
      <c r="A987" s="37">
        <v>87614118079</v>
      </c>
      <c r="B987" s="8" t="s">
        <v>1602</v>
      </c>
      <c r="C987" s="10" t="s">
        <v>2363</v>
      </c>
      <c r="D987" s="11" t="s">
        <v>883</v>
      </c>
      <c r="E987" s="11" t="s">
        <v>2839</v>
      </c>
      <c r="F987" s="9">
        <v>20</v>
      </c>
      <c r="G987" s="9">
        <v>60</v>
      </c>
      <c r="H987" s="9" t="s">
        <v>868</v>
      </c>
      <c r="I987" s="9">
        <v>36</v>
      </c>
      <c r="J987" s="9">
        <v>120</v>
      </c>
      <c r="K987" s="9" t="s">
        <v>873</v>
      </c>
      <c r="L987" s="27">
        <v>0.130525</v>
      </c>
      <c r="M987" s="28" t="s">
        <v>3203</v>
      </c>
      <c r="N987" s="17">
        <v>33.986105999999999</v>
      </c>
      <c r="O987" s="1"/>
      <c r="P987" s="38">
        <f t="shared" si="91"/>
        <v>0</v>
      </c>
      <c r="S987" s="24" t="str">
        <f t="shared" si="94"/>
        <v>-</v>
      </c>
      <c r="T987" s="24" t="str">
        <f t="shared" si="92"/>
        <v>-</v>
      </c>
      <c r="U987" s="25" t="str">
        <f t="shared" si="95"/>
        <v>-</v>
      </c>
      <c r="V987" s="26" t="str">
        <f t="shared" si="96"/>
        <v>-</v>
      </c>
      <c r="X987" s="26" t="str">
        <f t="shared" si="93"/>
        <v>-</v>
      </c>
    </row>
    <row r="988" spans="1:24" x14ac:dyDescent="0.3">
      <c r="A988" s="37">
        <v>87614118109</v>
      </c>
      <c r="B988" s="8" t="s">
        <v>1410</v>
      </c>
      <c r="C988" s="10" t="s">
        <v>2187</v>
      </c>
      <c r="D988" s="11" t="s">
        <v>891</v>
      </c>
      <c r="E988" s="11" t="s">
        <v>1016</v>
      </c>
      <c r="F988" s="9">
        <v>30</v>
      </c>
      <c r="G988" s="9">
        <v>90</v>
      </c>
      <c r="H988" s="9" t="s">
        <v>868</v>
      </c>
      <c r="I988" s="9">
        <v>36</v>
      </c>
      <c r="J988" s="9">
        <v>60</v>
      </c>
      <c r="K988" s="9" t="s">
        <v>889</v>
      </c>
      <c r="L988" s="27">
        <v>7.2639999999999996E-2</v>
      </c>
      <c r="M988" s="28" t="s">
        <v>3203</v>
      </c>
      <c r="N988" s="17">
        <v>15.298730999999998</v>
      </c>
      <c r="O988" s="1"/>
      <c r="P988" s="38">
        <f t="shared" si="91"/>
        <v>0</v>
      </c>
      <c r="S988" s="24" t="str">
        <f t="shared" si="94"/>
        <v>-</v>
      </c>
      <c r="T988" s="24" t="str">
        <f t="shared" si="92"/>
        <v>-</v>
      </c>
      <c r="U988" s="25" t="str">
        <f t="shared" si="95"/>
        <v>-</v>
      </c>
      <c r="V988" s="26" t="str">
        <f t="shared" si="96"/>
        <v>-</v>
      </c>
      <c r="X988" s="26" t="str">
        <f t="shared" si="93"/>
        <v>-</v>
      </c>
    </row>
    <row r="989" spans="1:24" x14ac:dyDescent="0.3">
      <c r="A989" s="37">
        <v>87614118123</v>
      </c>
      <c r="B989" s="8" t="s">
        <v>291</v>
      </c>
      <c r="C989" s="10" t="s">
        <v>292</v>
      </c>
      <c r="D989" s="11" t="s">
        <v>882</v>
      </c>
      <c r="E989" s="11" t="s">
        <v>932</v>
      </c>
      <c r="F989" s="9">
        <v>30</v>
      </c>
      <c r="G989" s="9">
        <v>90</v>
      </c>
      <c r="H989" s="9" t="s">
        <v>868</v>
      </c>
      <c r="I989" s="9">
        <v>36</v>
      </c>
      <c r="J989" s="9">
        <v>60</v>
      </c>
      <c r="K989" s="9" t="s">
        <v>873</v>
      </c>
      <c r="L989" s="27">
        <v>9.4205000000000011E-2</v>
      </c>
      <c r="M989" s="28" t="s">
        <v>3203</v>
      </c>
      <c r="N989" s="17">
        <v>4.4019149999999998</v>
      </c>
      <c r="O989" s="1"/>
      <c r="P989" s="38">
        <f t="shared" si="91"/>
        <v>0</v>
      </c>
      <c r="S989" s="24" t="str">
        <f t="shared" si="94"/>
        <v>-</v>
      </c>
      <c r="T989" s="24" t="str">
        <f t="shared" si="92"/>
        <v>-</v>
      </c>
      <c r="U989" s="25" t="str">
        <f t="shared" si="95"/>
        <v>-</v>
      </c>
      <c r="V989" s="26" t="str">
        <f t="shared" si="96"/>
        <v>-</v>
      </c>
      <c r="X989" s="26" t="str">
        <f t="shared" si="93"/>
        <v>-</v>
      </c>
    </row>
    <row r="990" spans="1:24" x14ac:dyDescent="0.3">
      <c r="A990" s="37">
        <v>87614118178</v>
      </c>
      <c r="B990" s="8" t="s">
        <v>1604</v>
      </c>
      <c r="C990" s="10" t="s">
        <v>2366</v>
      </c>
      <c r="D990" s="11" t="s">
        <v>881</v>
      </c>
      <c r="E990" s="11" t="s">
        <v>939</v>
      </c>
      <c r="F990" s="9">
        <v>16</v>
      </c>
      <c r="G990" s="9">
        <v>48</v>
      </c>
      <c r="H990" s="9" t="s">
        <v>868</v>
      </c>
      <c r="I990" s="9">
        <v>36</v>
      </c>
      <c r="J990" s="9">
        <v>100</v>
      </c>
      <c r="K990" s="9" t="s">
        <v>873</v>
      </c>
      <c r="L990" s="27">
        <v>0.15776500000000002</v>
      </c>
      <c r="M990" s="28" t="s">
        <v>3203</v>
      </c>
      <c r="N990" s="17">
        <v>5.2822979999999999</v>
      </c>
      <c r="O990" s="1"/>
      <c r="P990" s="38">
        <f t="shared" si="91"/>
        <v>0</v>
      </c>
      <c r="S990" s="24" t="str">
        <f t="shared" si="94"/>
        <v>-</v>
      </c>
      <c r="T990" s="24" t="str">
        <f t="shared" si="92"/>
        <v>-</v>
      </c>
      <c r="U990" s="25" t="str">
        <f t="shared" si="95"/>
        <v>-</v>
      </c>
      <c r="V990" s="26" t="str">
        <f t="shared" si="96"/>
        <v>-</v>
      </c>
      <c r="X990" s="26" t="str">
        <f t="shared" si="93"/>
        <v>-</v>
      </c>
    </row>
    <row r="991" spans="1:24" x14ac:dyDescent="0.3">
      <c r="A991" s="37">
        <v>87614118185</v>
      </c>
      <c r="B991" s="8" t="s">
        <v>293</v>
      </c>
      <c r="C991" s="10" t="s">
        <v>294</v>
      </c>
      <c r="D991" s="11" t="s">
        <v>876</v>
      </c>
      <c r="E991" s="11" t="s">
        <v>1017</v>
      </c>
      <c r="F991" s="9">
        <v>48</v>
      </c>
      <c r="G991" s="9">
        <v>192</v>
      </c>
      <c r="H991" s="9" t="s">
        <v>868</v>
      </c>
      <c r="I991" s="9">
        <v>24</v>
      </c>
      <c r="J991" s="9">
        <v>30</v>
      </c>
      <c r="K991" s="9" t="s">
        <v>873</v>
      </c>
      <c r="L991" s="27">
        <v>3.2915E-2</v>
      </c>
      <c r="M991" s="28" t="s">
        <v>3203</v>
      </c>
      <c r="N991" s="17">
        <v>8.9201069999999998</v>
      </c>
      <c r="O991" s="1"/>
      <c r="P991" s="38">
        <f t="shared" si="91"/>
        <v>0</v>
      </c>
      <c r="S991" s="24" t="str">
        <f t="shared" si="94"/>
        <v>-</v>
      </c>
      <c r="T991" s="24" t="str">
        <f t="shared" si="92"/>
        <v>-</v>
      </c>
      <c r="U991" s="25" t="str">
        <f t="shared" si="95"/>
        <v>-</v>
      </c>
      <c r="V991" s="26" t="str">
        <f t="shared" si="96"/>
        <v>-</v>
      </c>
      <c r="X991" s="26" t="str">
        <f t="shared" si="93"/>
        <v>-</v>
      </c>
    </row>
    <row r="992" spans="1:24" x14ac:dyDescent="0.3">
      <c r="A992" s="37">
        <v>87614118208</v>
      </c>
      <c r="B992" s="8" t="s">
        <v>1605</v>
      </c>
      <c r="C992" s="10" t="s">
        <v>2367</v>
      </c>
      <c r="D992" s="11" t="s">
        <v>894</v>
      </c>
      <c r="E992" s="11" t="s">
        <v>992</v>
      </c>
      <c r="F992" s="9">
        <v>8</v>
      </c>
      <c r="G992" s="9">
        <v>16</v>
      </c>
      <c r="H992" s="9" t="s">
        <v>868</v>
      </c>
      <c r="I992" s="9">
        <v>36</v>
      </c>
      <c r="J992" s="9">
        <v>1</v>
      </c>
      <c r="K992" s="9" t="s">
        <v>887</v>
      </c>
      <c r="L992" s="27">
        <v>0.330285</v>
      </c>
      <c r="M992" s="28" t="s">
        <v>3203</v>
      </c>
      <c r="N992" s="17">
        <v>12.209085</v>
      </c>
      <c r="O992" s="1"/>
      <c r="P992" s="38">
        <f t="shared" si="91"/>
        <v>0</v>
      </c>
      <c r="S992" s="24" t="str">
        <f t="shared" si="94"/>
        <v>-</v>
      </c>
      <c r="T992" s="24" t="str">
        <f t="shared" si="92"/>
        <v>-</v>
      </c>
      <c r="U992" s="25" t="str">
        <f t="shared" si="95"/>
        <v>-</v>
      </c>
      <c r="V992" s="26" t="str">
        <f t="shared" si="96"/>
        <v>-</v>
      </c>
      <c r="X992" s="26" t="str">
        <f t="shared" si="93"/>
        <v>-</v>
      </c>
    </row>
    <row r="993" spans="1:24" x14ac:dyDescent="0.3">
      <c r="A993" s="37">
        <v>87614118222</v>
      </c>
      <c r="B993" s="8" t="s">
        <v>296</v>
      </c>
      <c r="C993" s="10" t="s">
        <v>297</v>
      </c>
      <c r="D993" s="11" t="s">
        <v>881</v>
      </c>
      <c r="E993" s="11" t="s">
        <v>1019</v>
      </c>
      <c r="F993" s="9">
        <v>16</v>
      </c>
      <c r="G993" s="9">
        <v>48</v>
      </c>
      <c r="H993" s="9" t="s">
        <v>868</v>
      </c>
      <c r="I993" s="9">
        <v>36</v>
      </c>
      <c r="J993" s="9">
        <v>120</v>
      </c>
      <c r="K993" s="9" t="s">
        <v>873</v>
      </c>
      <c r="L993" s="27">
        <v>0.12485</v>
      </c>
      <c r="M993" s="28" t="s">
        <v>3203</v>
      </c>
      <c r="N993" s="17">
        <v>12.939969</v>
      </c>
      <c r="O993" s="1"/>
      <c r="P993" s="38">
        <f t="shared" si="91"/>
        <v>0</v>
      </c>
      <c r="S993" s="24" t="str">
        <f t="shared" si="94"/>
        <v>-</v>
      </c>
      <c r="T993" s="24" t="str">
        <f t="shared" si="92"/>
        <v>-</v>
      </c>
      <c r="U993" s="25" t="str">
        <f t="shared" si="95"/>
        <v>-</v>
      </c>
      <c r="V993" s="26" t="str">
        <f t="shared" si="96"/>
        <v>-</v>
      </c>
      <c r="X993" s="26" t="str">
        <f t="shared" si="93"/>
        <v>-</v>
      </c>
    </row>
    <row r="994" spans="1:24" x14ac:dyDescent="0.3">
      <c r="A994" s="37">
        <v>87614118277</v>
      </c>
      <c r="B994" s="8" t="s">
        <v>1947</v>
      </c>
      <c r="C994" s="10" t="s">
        <v>2973</v>
      </c>
      <c r="D994" s="11" t="s">
        <v>876</v>
      </c>
      <c r="E994" s="11" t="s">
        <v>1020</v>
      </c>
      <c r="F994" s="9">
        <v>30</v>
      </c>
      <c r="G994" s="9">
        <v>90</v>
      </c>
      <c r="H994" s="9" t="s">
        <v>868</v>
      </c>
      <c r="I994" s="9">
        <v>24</v>
      </c>
      <c r="J994" s="9">
        <v>30</v>
      </c>
      <c r="K994" s="9" t="s">
        <v>2903</v>
      </c>
      <c r="L994" s="27">
        <v>3.8590000000000006E-2</v>
      </c>
      <c r="M994" s="28" t="s">
        <v>3203</v>
      </c>
      <c r="N994" s="17">
        <v>23.919839999999997</v>
      </c>
      <c r="O994" s="1"/>
      <c r="P994" s="38">
        <f t="shared" si="91"/>
        <v>0</v>
      </c>
      <c r="S994" s="24" t="str">
        <f t="shared" si="94"/>
        <v>-</v>
      </c>
      <c r="T994" s="24" t="str">
        <f t="shared" si="92"/>
        <v>-</v>
      </c>
      <c r="U994" s="25" t="str">
        <f t="shared" si="95"/>
        <v>-</v>
      </c>
      <c r="V994" s="26" t="str">
        <f t="shared" si="96"/>
        <v>-</v>
      </c>
      <c r="X994" s="26" t="str">
        <f t="shared" si="93"/>
        <v>-</v>
      </c>
    </row>
    <row r="995" spans="1:24" x14ac:dyDescent="0.3">
      <c r="A995" s="37">
        <v>87614118314</v>
      </c>
      <c r="B995" s="8" t="s">
        <v>1915</v>
      </c>
      <c r="C995" s="10" t="s">
        <v>2639</v>
      </c>
      <c r="D995" s="11" t="s">
        <v>881</v>
      </c>
      <c r="E995" s="11" t="s">
        <v>939</v>
      </c>
      <c r="F995" s="9">
        <v>12</v>
      </c>
      <c r="G995" s="9">
        <v>12</v>
      </c>
      <c r="H995" s="9" t="s">
        <v>868</v>
      </c>
      <c r="I995" s="9">
        <v>36</v>
      </c>
      <c r="J995" s="9">
        <v>1</v>
      </c>
      <c r="K995" s="9" t="s">
        <v>880</v>
      </c>
      <c r="L995" s="27">
        <v>0.29737000000000002</v>
      </c>
      <c r="M995" s="28" t="s">
        <v>3203</v>
      </c>
      <c r="N995" s="17">
        <v>16.478111999999999</v>
      </c>
      <c r="O995" s="1"/>
      <c r="P995" s="38">
        <f t="shared" si="91"/>
        <v>0</v>
      </c>
      <c r="S995" s="24" t="str">
        <f t="shared" si="94"/>
        <v>-</v>
      </c>
      <c r="T995" s="24" t="str">
        <f t="shared" si="92"/>
        <v>-</v>
      </c>
      <c r="U995" s="25" t="str">
        <f t="shared" si="95"/>
        <v>-</v>
      </c>
      <c r="V995" s="26" t="str">
        <f t="shared" si="96"/>
        <v>-</v>
      </c>
      <c r="X995" s="26" t="str">
        <f t="shared" si="93"/>
        <v>-</v>
      </c>
    </row>
    <row r="996" spans="1:24" x14ac:dyDescent="0.3">
      <c r="A996" s="37">
        <v>87614118338</v>
      </c>
      <c r="B996" s="8" t="s">
        <v>1606</v>
      </c>
      <c r="C996" s="10" t="s">
        <v>3164</v>
      </c>
      <c r="D996" s="11" t="s">
        <v>891</v>
      </c>
      <c r="E996" s="11" t="s">
        <v>1016</v>
      </c>
      <c r="F996" s="9">
        <v>6</v>
      </c>
      <c r="G996" s="9">
        <v>6</v>
      </c>
      <c r="H996" s="9" t="s">
        <v>868</v>
      </c>
      <c r="I996" s="9">
        <v>36</v>
      </c>
      <c r="J996" s="9">
        <v>1</v>
      </c>
      <c r="K996" s="9" t="s">
        <v>880</v>
      </c>
      <c r="L996" s="27">
        <v>0.79449999999999998</v>
      </c>
      <c r="M996" s="28" t="s">
        <v>3203</v>
      </c>
      <c r="N996" s="17">
        <v>26.976263999999997</v>
      </c>
      <c r="O996" s="1"/>
      <c r="P996" s="38">
        <f t="shared" si="91"/>
        <v>0</v>
      </c>
      <c r="S996" s="24" t="str">
        <f t="shared" si="94"/>
        <v>-</v>
      </c>
      <c r="T996" s="24" t="str">
        <f t="shared" si="92"/>
        <v>-</v>
      </c>
      <c r="U996" s="25" t="str">
        <f t="shared" si="95"/>
        <v>-</v>
      </c>
      <c r="V996" s="26" t="str">
        <f t="shared" si="96"/>
        <v>-</v>
      </c>
      <c r="X996" s="26" t="str">
        <f t="shared" si="93"/>
        <v>-</v>
      </c>
    </row>
    <row r="997" spans="1:24" x14ac:dyDescent="0.3">
      <c r="A997" s="37">
        <v>87614118451</v>
      </c>
      <c r="B997" s="8" t="s">
        <v>302</v>
      </c>
      <c r="C997" s="10" t="s">
        <v>303</v>
      </c>
      <c r="D997" s="11" t="s">
        <v>878</v>
      </c>
      <c r="E997" s="11" t="s">
        <v>1022</v>
      </c>
      <c r="F997" s="9">
        <v>36</v>
      </c>
      <c r="G997" s="9">
        <v>36</v>
      </c>
      <c r="H997" s="9" t="s">
        <v>868</v>
      </c>
      <c r="I997" s="9">
        <v>24</v>
      </c>
      <c r="J997" s="9">
        <v>60</v>
      </c>
      <c r="K997" s="9" t="s">
        <v>901</v>
      </c>
      <c r="L997" s="27">
        <v>0.32915</v>
      </c>
      <c r="M997" s="28" t="s">
        <v>3203</v>
      </c>
      <c r="N997" s="17">
        <v>14.401737000000001</v>
      </c>
      <c r="O997" s="1"/>
      <c r="P997" s="38">
        <f t="shared" si="91"/>
        <v>0</v>
      </c>
      <c r="S997" s="24" t="str">
        <f t="shared" si="94"/>
        <v>-</v>
      </c>
      <c r="T997" s="24" t="str">
        <f t="shared" si="92"/>
        <v>-</v>
      </c>
      <c r="U997" s="25" t="str">
        <f t="shared" si="95"/>
        <v>-</v>
      </c>
      <c r="V997" s="26" t="str">
        <f t="shared" si="96"/>
        <v>-</v>
      </c>
      <c r="X997" s="26" t="str">
        <f t="shared" si="93"/>
        <v>-</v>
      </c>
    </row>
    <row r="998" spans="1:24" x14ac:dyDescent="0.3">
      <c r="A998" s="37">
        <v>87614118543</v>
      </c>
      <c r="B998" s="8" t="s">
        <v>1413</v>
      </c>
      <c r="C998" s="10" t="s">
        <v>2190</v>
      </c>
      <c r="D998" s="11" t="s">
        <v>874</v>
      </c>
      <c r="E998" s="11" t="s">
        <v>925</v>
      </c>
      <c r="F998" s="9">
        <v>20</v>
      </c>
      <c r="G998" s="9">
        <v>60</v>
      </c>
      <c r="H998" s="9" t="s">
        <v>868</v>
      </c>
      <c r="I998" s="9">
        <v>36</v>
      </c>
      <c r="J998" s="9">
        <v>60</v>
      </c>
      <c r="K998" s="9" t="s">
        <v>869</v>
      </c>
      <c r="L998" s="27">
        <v>0.12712000000000001</v>
      </c>
      <c r="M998" s="28" t="s">
        <v>3203</v>
      </c>
      <c r="N998" s="17">
        <v>8.4051660000000012</v>
      </c>
      <c r="O998" s="1"/>
      <c r="P998" s="38">
        <f t="shared" si="91"/>
        <v>0</v>
      </c>
      <c r="S998" s="24" t="str">
        <f t="shared" si="94"/>
        <v>-</v>
      </c>
      <c r="T998" s="24" t="str">
        <f t="shared" si="92"/>
        <v>-</v>
      </c>
      <c r="U998" s="25" t="str">
        <f t="shared" si="95"/>
        <v>-</v>
      </c>
      <c r="V998" s="26" t="str">
        <f t="shared" si="96"/>
        <v>-</v>
      </c>
      <c r="X998" s="26" t="str">
        <f t="shared" si="93"/>
        <v>-</v>
      </c>
    </row>
    <row r="999" spans="1:24" x14ac:dyDescent="0.3">
      <c r="A999" s="37">
        <v>87614118581</v>
      </c>
      <c r="B999" s="8" t="s">
        <v>307</v>
      </c>
      <c r="C999" s="10" t="s">
        <v>2699</v>
      </c>
      <c r="D999" s="11" t="s">
        <v>866</v>
      </c>
      <c r="E999" s="11" t="s">
        <v>1000</v>
      </c>
      <c r="F999" s="9">
        <v>24</v>
      </c>
      <c r="G999" s="9">
        <v>48</v>
      </c>
      <c r="H999" s="9" t="s">
        <v>892</v>
      </c>
      <c r="I999" s="9">
        <v>24</v>
      </c>
      <c r="J999" s="9">
        <v>60</v>
      </c>
      <c r="K999" s="9" t="s">
        <v>901</v>
      </c>
      <c r="L999" s="27">
        <v>0.21338000000000001</v>
      </c>
      <c r="M999" s="28" t="s">
        <v>3203</v>
      </c>
      <c r="N999" s="17">
        <v>10.415096999999999</v>
      </c>
      <c r="O999" s="1"/>
      <c r="P999" s="38">
        <f t="shared" si="91"/>
        <v>0</v>
      </c>
      <c r="S999" s="24" t="str">
        <f t="shared" si="94"/>
        <v>-</v>
      </c>
      <c r="T999" s="24" t="str">
        <f t="shared" si="92"/>
        <v>-</v>
      </c>
      <c r="U999" s="25" t="str">
        <f t="shared" si="95"/>
        <v>-</v>
      </c>
      <c r="V999" s="26" t="str">
        <f t="shared" si="96"/>
        <v>-</v>
      </c>
      <c r="X999" s="26" t="str">
        <f t="shared" si="93"/>
        <v>-</v>
      </c>
    </row>
    <row r="1000" spans="1:24" x14ac:dyDescent="0.3">
      <c r="A1000" s="37">
        <v>87614118604</v>
      </c>
      <c r="B1000" s="8" t="s">
        <v>310</v>
      </c>
      <c r="C1000" s="10" t="s">
        <v>311</v>
      </c>
      <c r="D1000" s="11" t="s">
        <v>891</v>
      </c>
      <c r="E1000" s="11" t="s">
        <v>968</v>
      </c>
      <c r="F1000" s="9">
        <v>16</v>
      </c>
      <c r="G1000" s="9">
        <v>32</v>
      </c>
      <c r="H1000" s="9" t="s">
        <v>868</v>
      </c>
      <c r="I1000" s="9">
        <v>36</v>
      </c>
      <c r="J1000" s="9">
        <v>60</v>
      </c>
      <c r="K1000" s="9" t="s">
        <v>901</v>
      </c>
      <c r="L1000" s="27">
        <v>0.19635499999999997</v>
      </c>
      <c r="M1000" s="28" t="s">
        <v>3203</v>
      </c>
      <c r="N1000" s="17">
        <v>12.076196999999999</v>
      </c>
      <c r="O1000" s="1"/>
      <c r="P1000" s="38">
        <f t="shared" si="91"/>
        <v>0</v>
      </c>
      <c r="S1000" s="24" t="str">
        <f t="shared" si="94"/>
        <v>-</v>
      </c>
      <c r="T1000" s="24" t="str">
        <f t="shared" si="92"/>
        <v>-</v>
      </c>
      <c r="U1000" s="25" t="str">
        <f t="shared" si="95"/>
        <v>-</v>
      </c>
      <c r="V1000" s="26" t="str">
        <f t="shared" si="96"/>
        <v>-</v>
      </c>
      <c r="X1000" s="26" t="str">
        <f t="shared" si="93"/>
        <v>-</v>
      </c>
    </row>
    <row r="1001" spans="1:24" x14ac:dyDescent="0.3">
      <c r="A1001" s="37">
        <v>87614118666</v>
      </c>
      <c r="B1001" s="8" t="s">
        <v>1609</v>
      </c>
      <c r="C1001" s="10" t="s">
        <v>2371</v>
      </c>
      <c r="D1001" s="11" t="s">
        <v>884</v>
      </c>
      <c r="E1001" s="11" t="s">
        <v>940</v>
      </c>
      <c r="F1001" s="9">
        <v>30</v>
      </c>
      <c r="G1001" s="9">
        <v>90</v>
      </c>
      <c r="H1001" s="9" t="s">
        <v>868</v>
      </c>
      <c r="I1001" s="9">
        <v>36</v>
      </c>
      <c r="J1001" s="9">
        <v>60</v>
      </c>
      <c r="K1001" s="9" t="s">
        <v>873</v>
      </c>
      <c r="L1001" s="27">
        <v>6.6964999999999997E-2</v>
      </c>
      <c r="M1001" s="28" t="s">
        <v>3203</v>
      </c>
      <c r="N1001" s="17">
        <v>7.3918949999999999</v>
      </c>
      <c r="O1001" s="1"/>
      <c r="P1001" s="38">
        <f t="shared" si="91"/>
        <v>0</v>
      </c>
      <c r="S1001" s="24" t="str">
        <f t="shared" si="94"/>
        <v>-</v>
      </c>
      <c r="T1001" s="24" t="str">
        <f t="shared" si="92"/>
        <v>-</v>
      </c>
      <c r="U1001" s="25" t="str">
        <f t="shared" si="95"/>
        <v>-</v>
      </c>
      <c r="V1001" s="26" t="str">
        <f t="shared" si="96"/>
        <v>-</v>
      </c>
      <c r="X1001" s="26" t="str">
        <f t="shared" si="93"/>
        <v>-</v>
      </c>
    </row>
    <row r="1002" spans="1:24" x14ac:dyDescent="0.3">
      <c r="A1002" s="37">
        <v>87614118796</v>
      </c>
      <c r="B1002" s="8" t="s">
        <v>1911</v>
      </c>
      <c r="C1002" s="10" t="s">
        <v>2635</v>
      </c>
      <c r="D1002" s="11" t="s">
        <v>882</v>
      </c>
      <c r="E1002" s="11" t="s">
        <v>1024</v>
      </c>
      <c r="F1002" s="9">
        <v>30</v>
      </c>
      <c r="G1002" s="9">
        <v>90</v>
      </c>
      <c r="H1002" s="9" t="s">
        <v>868</v>
      </c>
      <c r="I1002" s="9">
        <v>36</v>
      </c>
      <c r="J1002" s="9">
        <v>60</v>
      </c>
      <c r="K1002" s="9" t="s">
        <v>873</v>
      </c>
      <c r="L1002" s="27">
        <v>6.9235000000000005E-2</v>
      </c>
      <c r="M1002" s="28" t="s">
        <v>3203</v>
      </c>
      <c r="N1002" s="17">
        <v>22.607571</v>
      </c>
      <c r="O1002" s="1"/>
      <c r="P1002" s="38">
        <f t="shared" si="91"/>
        <v>0</v>
      </c>
      <c r="S1002" s="24" t="str">
        <f t="shared" si="94"/>
        <v>-</v>
      </c>
      <c r="T1002" s="24" t="str">
        <f t="shared" si="92"/>
        <v>-</v>
      </c>
      <c r="U1002" s="25" t="str">
        <f t="shared" si="95"/>
        <v>-</v>
      </c>
      <c r="V1002" s="26" t="str">
        <f t="shared" si="96"/>
        <v>-</v>
      </c>
      <c r="X1002" s="26" t="str">
        <f t="shared" si="93"/>
        <v>-</v>
      </c>
    </row>
    <row r="1003" spans="1:24" x14ac:dyDescent="0.3">
      <c r="A1003" s="37">
        <v>87614118819</v>
      </c>
      <c r="B1003" s="8" t="s">
        <v>1611</v>
      </c>
      <c r="C1003" s="10" t="s">
        <v>2373</v>
      </c>
      <c r="D1003" s="11" t="s">
        <v>882</v>
      </c>
      <c r="E1003" s="11" t="s">
        <v>960</v>
      </c>
      <c r="F1003" s="9">
        <v>30</v>
      </c>
      <c r="G1003" s="9">
        <v>90</v>
      </c>
      <c r="H1003" s="9" t="s">
        <v>868</v>
      </c>
      <c r="I1003" s="9">
        <v>36</v>
      </c>
      <c r="J1003" s="9">
        <v>60</v>
      </c>
      <c r="K1003" s="9" t="s">
        <v>873</v>
      </c>
      <c r="L1003" s="27">
        <v>7.831500000000001E-2</v>
      </c>
      <c r="M1003" s="28" t="s">
        <v>3203</v>
      </c>
      <c r="N1003" s="17">
        <v>4.6676909999999996</v>
      </c>
      <c r="O1003" s="1"/>
      <c r="P1003" s="38">
        <f t="shared" si="91"/>
        <v>0</v>
      </c>
      <c r="S1003" s="24" t="str">
        <f t="shared" si="94"/>
        <v>-</v>
      </c>
      <c r="T1003" s="24" t="str">
        <f t="shared" si="92"/>
        <v>-</v>
      </c>
      <c r="U1003" s="25" t="str">
        <f t="shared" si="95"/>
        <v>-</v>
      </c>
      <c r="V1003" s="26" t="str">
        <f t="shared" si="96"/>
        <v>-</v>
      </c>
      <c r="X1003" s="26" t="str">
        <f t="shared" si="93"/>
        <v>-</v>
      </c>
    </row>
    <row r="1004" spans="1:24" x14ac:dyDescent="0.3">
      <c r="A1004" s="37">
        <v>87614119106</v>
      </c>
      <c r="B1004" s="8" t="s">
        <v>1232</v>
      </c>
      <c r="C1004" s="10" t="s">
        <v>2040</v>
      </c>
      <c r="D1004" s="11" t="s">
        <v>890</v>
      </c>
      <c r="E1004" s="11" t="s">
        <v>1119</v>
      </c>
      <c r="F1004" s="9">
        <v>15</v>
      </c>
      <c r="G1004" s="9">
        <v>30</v>
      </c>
      <c r="H1004" s="9" t="s">
        <v>868</v>
      </c>
      <c r="I1004" s="9">
        <v>36</v>
      </c>
      <c r="J1004" s="9">
        <v>120</v>
      </c>
      <c r="K1004" s="9" t="s">
        <v>873</v>
      </c>
      <c r="L1004" s="27">
        <v>0.18273500000000001</v>
      </c>
      <c r="M1004" s="28" t="s">
        <v>3203</v>
      </c>
      <c r="N1004" s="17">
        <v>11.710754999999999</v>
      </c>
      <c r="O1004" s="1"/>
      <c r="P1004" s="38">
        <f t="shared" si="91"/>
        <v>0</v>
      </c>
      <c r="S1004" s="24" t="str">
        <f t="shared" si="94"/>
        <v>-</v>
      </c>
      <c r="T1004" s="24" t="str">
        <f t="shared" si="92"/>
        <v>-</v>
      </c>
      <c r="U1004" s="25" t="str">
        <f t="shared" si="95"/>
        <v>-</v>
      </c>
      <c r="V1004" s="26" t="str">
        <f t="shared" si="96"/>
        <v>-</v>
      </c>
      <c r="X1004" s="26" t="str">
        <f t="shared" si="93"/>
        <v>-</v>
      </c>
    </row>
    <row r="1005" spans="1:24" x14ac:dyDescent="0.3">
      <c r="A1005" s="37">
        <v>87614119229</v>
      </c>
      <c r="B1005" s="8" t="s">
        <v>1124</v>
      </c>
      <c r="C1005" s="10" t="s">
        <v>2702</v>
      </c>
      <c r="D1005" s="11" t="s">
        <v>893</v>
      </c>
      <c r="E1005" s="11" t="s">
        <v>1080</v>
      </c>
      <c r="F1005" s="9">
        <v>30</v>
      </c>
      <c r="G1005" s="9">
        <v>90</v>
      </c>
      <c r="H1005" s="9" t="s">
        <v>892</v>
      </c>
      <c r="I1005" s="9">
        <v>24</v>
      </c>
      <c r="J1005" s="9">
        <v>30</v>
      </c>
      <c r="K1005" s="9" t="s">
        <v>2903</v>
      </c>
      <c r="L1005" s="27">
        <v>4.9939999999999998E-2</v>
      </c>
      <c r="M1005" s="28" t="s">
        <v>3203</v>
      </c>
      <c r="N1005" s="17">
        <v>17.790381</v>
      </c>
      <c r="O1005" s="1"/>
      <c r="P1005" s="38">
        <f t="shared" si="91"/>
        <v>0</v>
      </c>
      <c r="S1005" s="24" t="str">
        <f t="shared" si="94"/>
        <v>-</v>
      </c>
      <c r="T1005" s="24" t="str">
        <f t="shared" si="92"/>
        <v>-</v>
      </c>
      <c r="U1005" s="25" t="str">
        <f t="shared" si="95"/>
        <v>-</v>
      </c>
      <c r="V1005" s="26" t="str">
        <f t="shared" si="96"/>
        <v>-</v>
      </c>
      <c r="X1005" s="26" t="str">
        <f t="shared" si="93"/>
        <v>-</v>
      </c>
    </row>
    <row r="1006" spans="1:24" x14ac:dyDescent="0.3">
      <c r="A1006" s="37">
        <v>87614119250</v>
      </c>
      <c r="B1006" s="8" t="s">
        <v>2705</v>
      </c>
      <c r="C1006" s="10" t="s">
        <v>2706</v>
      </c>
      <c r="D1006" s="11" t="s">
        <v>870</v>
      </c>
      <c r="E1006" s="11" t="s">
        <v>924</v>
      </c>
      <c r="F1006" s="9">
        <v>20</v>
      </c>
      <c r="G1006" s="9">
        <v>60</v>
      </c>
      <c r="H1006" s="9" t="s">
        <v>868</v>
      </c>
      <c r="I1006" s="9">
        <v>36</v>
      </c>
      <c r="J1006" s="9">
        <v>100</v>
      </c>
      <c r="K1006" s="9" t="s">
        <v>873</v>
      </c>
      <c r="L1006" s="27">
        <v>0.13619999999999999</v>
      </c>
      <c r="M1006" s="28" t="s">
        <v>3203</v>
      </c>
      <c r="N1006" s="17">
        <v>6.1460699999999999</v>
      </c>
      <c r="O1006" s="1"/>
      <c r="P1006" s="38">
        <f t="shared" si="91"/>
        <v>0</v>
      </c>
      <c r="S1006" s="24" t="str">
        <f t="shared" si="94"/>
        <v>-</v>
      </c>
      <c r="T1006" s="24" t="str">
        <f t="shared" si="92"/>
        <v>-</v>
      </c>
      <c r="U1006" s="25" t="str">
        <f t="shared" si="95"/>
        <v>-</v>
      </c>
      <c r="V1006" s="26" t="str">
        <f t="shared" si="96"/>
        <v>-</v>
      </c>
      <c r="X1006" s="26" t="str">
        <f t="shared" si="93"/>
        <v>-</v>
      </c>
    </row>
    <row r="1007" spans="1:24" x14ac:dyDescent="0.3">
      <c r="A1007" s="37">
        <v>87614119304</v>
      </c>
      <c r="B1007" s="8" t="s">
        <v>1878</v>
      </c>
      <c r="C1007" s="10" t="s">
        <v>2606</v>
      </c>
      <c r="D1007" s="11" t="s">
        <v>883</v>
      </c>
      <c r="E1007" s="11" t="s">
        <v>926</v>
      </c>
      <c r="F1007" s="9">
        <v>16</v>
      </c>
      <c r="G1007" s="9">
        <v>48</v>
      </c>
      <c r="H1007" s="9" t="s">
        <v>868</v>
      </c>
      <c r="I1007" s="9">
        <v>24</v>
      </c>
      <c r="J1007" s="9">
        <v>120</v>
      </c>
      <c r="K1007" s="9" t="s">
        <v>873</v>
      </c>
      <c r="L1007" s="27">
        <v>0.16116999999999998</v>
      </c>
      <c r="M1007" s="28" t="s">
        <v>3203</v>
      </c>
      <c r="N1007" s="17">
        <v>22.773681</v>
      </c>
      <c r="O1007" s="1"/>
      <c r="P1007" s="38">
        <f t="shared" si="91"/>
        <v>0</v>
      </c>
      <c r="S1007" s="24" t="str">
        <f t="shared" si="94"/>
        <v>-</v>
      </c>
      <c r="T1007" s="24" t="str">
        <f t="shared" si="92"/>
        <v>-</v>
      </c>
      <c r="U1007" s="25" t="str">
        <f t="shared" si="95"/>
        <v>-</v>
      </c>
      <c r="V1007" s="26" t="str">
        <f t="shared" si="96"/>
        <v>-</v>
      </c>
      <c r="X1007" s="26" t="str">
        <f t="shared" si="93"/>
        <v>-</v>
      </c>
    </row>
    <row r="1008" spans="1:24" x14ac:dyDescent="0.3">
      <c r="A1008" s="37">
        <v>87614119311</v>
      </c>
      <c r="B1008" s="8" t="s">
        <v>1415</v>
      </c>
      <c r="C1008" s="10" t="s">
        <v>141</v>
      </c>
      <c r="D1008" s="11" t="s">
        <v>866</v>
      </c>
      <c r="E1008" s="11" t="s">
        <v>950</v>
      </c>
      <c r="F1008" s="9">
        <v>30</v>
      </c>
      <c r="G1008" s="9">
        <v>90</v>
      </c>
      <c r="H1008" s="9" t="s">
        <v>868</v>
      </c>
      <c r="I1008" s="9">
        <v>36</v>
      </c>
      <c r="J1008" s="9">
        <v>60</v>
      </c>
      <c r="K1008" s="9" t="s">
        <v>873</v>
      </c>
      <c r="L1008" s="27">
        <v>7.831500000000001E-2</v>
      </c>
      <c r="M1008" s="28" t="s">
        <v>3203</v>
      </c>
      <c r="N1008" s="17">
        <v>3.0232019999999999</v>
      </c>
      <c r="O1008" s="1"/>
      <c r="P1008" s="38">
        <f t="shared" si="91"/>
        <v>0</v>
      </c>
      <c r="S1008" s="24" t="str">
        <f t="shared" si="94"/>
        <v>-</v>
      </c>
      <c r="T1008" s="24" t="str">
        <f t="shared" si="92"/>
        <v>-</v>
      </c>
      <c r="U1008" s="25" t="str">
        <f t="shared" si="95"/>
        <v>-</v>
      </c>
      <c r="V1008" s="26" t="str">
        <f t="shared" si="96"/>
        <v>-</v>
      </c>
      <c r="X1008" s="26" t="str">
        <f t="shared" si="93"/>
        <v>-</v>
      </c>
    </row>
    <row r="1009" spans="1:24" x14ac:dyDescent="0.3">
      <c r="A1009" s="37">
        <v>87614119359</v>
      </c>
      <c r="B1009" s="8" t="s">
        <v>1174</v>
      </c>
      <c r="C1009" s="10" t="s">
        <v>1994</v>
      </c>
      <c r="D1009" s="11" t="s">
        <v>875</v>
      </c>
      <c r="E1009" s="11" t="s">
        <v>935</v>
      </c>
      <c r="F1009" s="9">
        <v>30</v>
      </c>
      <c r="G1009" s="9">
        <v>90</v>
      </c>
      <c r="H1009" s="9" t="s">
        <v>868</v>
      </c>
      <c r="I1009" s="9">
        <v>36</v>
      </c>
      <c r="J1009" s="9">
        <v>60</v>
      </c>
      <c r="K1009" s="9" t="s">
        <v>873</v>
      </c>
      <c r="L1009" s="27">
        <v>7.1504999999999999E-2</v>
      </c>
      <c r="M1009" s="28" t="s">
        <v>3203</v>
      </c>
      <c r="N1009" s="17">
        <v>4.7009129999999999</v>
      </c>
      <c r="O1009" s="1"/>
      <c r="P1009" s="38">
        <f t="shared" si="91"/>
        <v>0</v>
      </c>
      <c r="S1009" s="24" t="str">
        <f t="shared" si="94"/>
        <v>-</v>
      </c>
      <c r="T1009" s="24" t="str">
        <f t="shared" si="92"/>
        <v>-</v>
      </c>
      <c r="U1009" s="25" t="str">
        <f t="shared" si="95"/>
        <v>-</v>
      </c>
      <c r="V1009" s="26" t="str">
        <f t="shared" si="96"/>
        <v>-</v>
      </c>
      <c r="X1009" s="26" t="str">
        <f t="shared" si="93"/>
        <v>-</v>
      </c>
    </row>
    <row r="1010" spans="1:24" x14ac:dyDescent="0.3">
      <c r="A1010" s="37">
        <v>87614119441</v>
      </c>
      <c r="B1010" s="8" t="s">
        <v>1240</v>
      </c>
      <c r="C1010" s="10" t="s">
        <v>2047</v>
      </c>
      <c r="D1010" s="11" t="s">
        <v>879</v>
      </c>
      <c r="E1010" s="11" t="s">
        <v>922</v>
      </c>
      <c r="F1010" s="9">
        <v>12</v>
      </c>
      <c r="G1010" s="9">
        <v>24</v>
      </c>
      <c r="H1010" s="9" t="s">
        <v>868</v>
      </c>
      <c r="I1010" s="9">
        <v>24</v>
      </c>
      <c r="J1010" s="9">
        <v>60</v>
      </c>
      <c r="K1010" s="9" t="s">
        <v>901</v>
      </c>
      <c r="L1010" s="27">
        <v>0.30191000000000001</v>
      </c>
      <c r="M1010" s="28" t="s">
        <v>3203</v>
      </c>
      <c r="N1010" s="17">
        <v>12.009753</v>
      </c>
      <c r="O1010" s="1"/>
      <c r="P1010" s="38">
        <f t="shared" si="91"/>
        <v>0</v>
      </c>
      <c r="S1010" s="24" t="str">
        <f t="shared" si="94"/>
        <v>-</v>
      </c>
      <c r="T1010" s="24" t="str">
        <f t="shared" si="92"/>
        <v>-</v>
      </c>
      <c r="U1010" s="25" t="str">
        <f t="shared" si="95"/>
        <v>-</v>
      </c>
      <c r="V1010" s="26" t="str">
        <f t="shared" si="96"/>
        <v>-</v>
      </c>
      <c r="X1010" s="26" t="str">
        <f t="shared" si="93"/>
        <v>-</v>
      </c>
    </row>
    <row r="1011" spans="1:24" x14ac:dyDescent="0.3">
      <c r="A1011" s="37">
        <v>87614119472</v>
      </c>
      <c r="B1011" s="8" t="s">
        <v>2720</v>
      </c>
      <c r="C1011" s="10" t="s">
        <v>2185</v>
      </c>
      <c r="D1011" s="11" t="s">
        <v>874</v>
      </c>
      <c r="E1011" s="11" t="s">
        <v>925</v>
      </c>
      <c r="F1011" s="9">
        <v>39</v>
      </c>
      <c r="G1011" s="9">
        <v>39</v>
      </c>
      <c r="H1011" s="9" t="s">
        <v>868</v>
      </c>
      <c r="I1011" s="9">
        <v>24</v>
      </c>
      <c r="J1011" s="9">
        <v>1</v>
      </c>
      <c r="K1011" s="9" t="s">
        <v>880</v>
      </c>
      <c r="L1011" s="27">
        <v>0.51075000000000004</v>
      </c>
      <c r="M1011" s="28" t="s">
        <v>3203</v>
      </c>
      <c r="N1011" s="17">
        <v>31.012737000000001</v>
      </c>
      <c r="O1011" s="1"/>
      <c r="P1011" s="38">
        <f t="shared" si="91"/>
        <v>0</v>
      </c>
      <c r="S1011" s="24" t="str">
        <f t="shared" si="94"/>
        <v>-</v>
      </c>
      <c r="T1011" s="24" t="str">
        <f t="shared" si="92"/>
        <v>-</v>
      </c>
      <c r="U1011" s="25" t="str">
        <f t="shared" si="95"/>
        <v>-</v>
      </c>
      <c r="V1011" s="26" t="str">
        <f t="shared" si="96"/>
        <v>-</v>
      </c>
      <c r="X1011" s="26" t="str">
        <f t="shared" si="93"/>
        <v>-</v>
      </c>
    </row>
    <row r="1012" spans="1:24" x14ac:dyDescent="0.3">
      <c r="A1012" s="37">
        <v>87614119489</v>
      </c>
      <c r="B1012" s="8" t="s">
        <v>2721</v>
      </c>
      <c r="C1012" s="10" t="s">
        <v>2365</v>
      </c>
      <c r="D1012" s="11" t="s">
        <v>907</v>
      </c>
      <c r="E1012" s="11" t="s">
        <v>2851</v>
      </c>
      <c r="F1012" s="9">
        <v>12</v>
      </c>
      <c r="G1012" s="9">
        <v>12</v>
      </c>
      <c r="H1012" s="9" t="s">
        <v>868</v>
      </c>
      <c r="I1012" s="9">
        <v>24</v>
      </c>
      <c r="J1012" s="9">
        <v>1</v>
      </c>
      <c r="K1012" s="9" t="s">
        <v>887</v>
      </c>
      <c r="L1012" s="27">
        <v>0.71959000000000006</v>
      </c>
      <c r="M1012" s="28" t="s">
        <v>3203</v>
      </c>
      <c r="N1012" s="17">
        <v>12.408417</v>
      </c>
      <c r="O1012" s="1"/>
      <c r="P1012" s="38">
        <f t="shared" si="91"/>
        <v>0</v>
      </c>
      <c r="S1012" s="24" t="str">
        <f t="shared" si="94"/>
        <v>-</v>
      </c>
      <c r="T1012" s="24" t="str">
        <f t="shared" si="92"/>
        <v>-</v>
      </c>
      <c r="U1012" s="25" t="str">
        <f t="shared" si="95"/>
        <v>-</v>
      </c>
      <c r="V1012" s="26" t="str">
        <f t="shared" si="96"/>
        <v>-</v>
      </c>
      <c r="X1012" s="26" t="str">
        <f t="shared" si="93"/>
        <v>-</v>
      </c>
    </row>
    <row r="1013" spans="1:24" x14ac:dyDescent="0.3">
      <c r="A1013" s="37">
        <v>87614119595</v>
      </c>
      <c r="B1013" s="8" t="s">
        <v>3165</v>
      </c>
      <c r="C1013" s="10" t="s">
        <v>3166</v>
      </c>
      <c r="D1013" s="11" t="s">
        <v>884</v>
      </c>
      <c r="E1013" s="11" t="s">
        <v>2847</v>
      </c>
      <c r="F1013" s="9">
        <v>30</v>
      </c>
      <c r="G1013" s="9">
        <v>90</v>
      </c>
      <c r="H1013" s="9" t="s">
        <v>868</v>
      </c>
      <c r="I1013" s="9">
        <v>36</v>
      </c>
      <c r="J1013" s="9">
        <v>30</v>
      </c>
      <c r="K1013" s="9" t="s">
        <v>2903</v>
      </c>
      <c r="L1013" s="27">
        <v>4.7670000000000004E-2</v>
      </c>
      <c r="M1013" s="28" t="s">
        <v>3203</v>
      </c>
      <c r="N1013" s="17">
        <v>6.727455</v>
      </c>
      <c r="O1013" s="1"/>
      <c r="P1013" s="38">
        <f t="shared" si="91"/>
        <v>0</v>
      </c>
      <c r="S1013" s="24" t="str">
        <f t="shared" si="94"/>
        <v>-</v>
      </c>
      <c r="T1013" s="24" t="str">
        <f t="shared" si="92"/>
        <v>-</v>
      </c>
      <c r="U1013" s="25" t="str">
        <f t="shared" si="95"/>
        <v>-</v>
      </c>
      <c r="V1013" s="26" t="str">
        <f t="shared" si="96"/>
        <v>-</v>
      </c>
      <c r="X1013" s="26" t="str">
        <f t="shared" si="93"/>
        <v>-</v>
      </c>
    </row>
    <row r="1014" spans="1:24" x14ac:dyDescent="0.3">
      <c r="A1014" s="37">
        <v>87614119717</v>
      </c>
      <c r="B1014" s="8" t="s">
        <v>3167</v>
      </c>
      <c r="C1014" s="10" t="s">
        <v>3168</v>
      </c>
      <c r="D1014" s="11" t="s">
        <v>866</v>
      </c>
      <c r="E1014" s="11" t="s">
        <v>918</v>
      </c>
      <c r="F1014" s="9">
        <v>12</v>
      </c>
      <c r="G1014" s="9">
        <v>196</v>
      </c>
      <c r="H1014" s="9" t="s">
        <v>868</v>
      </c>
      <c r="I1014" s="9">
        <v>24</v>
      </c>
      <c r="J1014" s="9">
        <v>300</v>
      </c>
      <c r="K1014" s="9" t="s">
        <v>3049</v>
      </c>
      <c r="L1014" s="27">
        <v>0</v>
      </c>
      <c r="M1014" s="28" t="s">
        <v>3203</v>
      </c>
      <c r="N1014" s="17">
        <v>35.032599000000005</v>
      </c>
      <c r="O1014" s="1"/>
      <c r="P1014" s="38">
        <f t="shared" si="91"/>
        <v>0</v>
      </c>
      <c r="S1014" s="24" t="str">
        <f t="shared" si="94"/>
        <v>-</v>
      </c>
      <c r="T1014" s="24" t="str">
        <f t="shared" si="92"/>
        <v>-</v>
      </c>
      <c r="U1014" s="25" t="str">
        <f t="shared" si="95"/>
        <v>-</v>
      </c>
      <c r="V1014" s="26" t="str">
        <f t="shared" si="96"/>
        <v>-</v>
      </c>
      <c r="X1014" s="26" t="str">
        <f t="shared" si="93"/>
        <v>-</v>
      </c>
    </row>
    <row r="1015" spans="1:24" x14ac:dyDescent="0.3">
      <c r="A1015" s="37">
        <v>87614119724</v>
      </c>
      <c r="B1015" s="8" t="s">
        <v>3169</v>
      </c>
      <c r="C1015" s="10" t="s">
        <v>3170</v>
      </c>
      <c r="D1015" s="11" t="s">
        <v>866</v>
      </c>
      <c r="E1015" s="11" t="s">
        <v>918</v>
      </c>
      <c r="F1015" s="9">
        <v>16</v>
      </c>
      <c r="G1015" s="9">
        <v>200</v>
      </c>
      <c r="H1015" s="9" t="s">
        <v>868</v>
      </c>
      <c r="I1015" s="9">
        <v>24</v>
      </c>
      <c r="J1015" s="9">
        <v>100</v>
      </c>
      <c r="K1015" s="9" t="s">
        <v>3049</v>
      </c>
      <c r="L1015" s="27">
        <v>0</v>
      </c>
      <c r="M1015" s="28" t="s">
        <v>3203</v>
      </c>
      <c r="N1015" s="17">
        <v>13.056246</v>
      </c>
      <c r="O1015" s="1"/>
      <c r="P1015" s="38">
        <f t="shared" si="91"/>
        <v>0</v>
      </c>
      <c r="S1015" s="24" t="str">
        <f t="shared" si="94"/>
        <v>-</v>
      </c>
      <c r="T1015" s="24" t="str">
        <f t="shared" si="92"/>
        <v>-</v>
      </c>
      <c r="U1015" s="25" t="str">
        <f t="shared" si="95"/>
        <v>-</v>
      </c>
      <c r="V1015" s="26" t="str">
        <f t="shared" si="96"/>
        <v>-</v>
      </c>
      <c r="X1015" s="26" t="str">
        <f t="shared" si="93"/>
        <v>-</v>
      </c>
    </row>
    <row r="1016" spans="1:24" x14ac:dyDescent="0.3">
      <c r="A1016" s="37">
        <v>87614119748</v>
      </c>
      <c r="B1016" s="8" t="s">
        <v>3171</v>
      </c>
      <c r="C1016" s="10" t="s">
        <v>2358</v>
      </c>
      <c r="D1016" s="11" t="s">
        <v>874</v>
      </c>
      <c r="E1016" s="11" t="s">
        <v>919</v>
      </c>
      <c r="F1016" s="9">
        <v>15</v>
      </c>
      <c r="G1016" s="9">
        <v>204</v>
      </c>
      <c r="H1016" s="9" t="s">
        <v>868</v>
      </c>
      <c r="I1016" s="9">
        <v>36</v>
      </c>
      <c r="J1016" s="9">
        <v>120</v>
      </c>
      <c r="K1016" s="9" t="s">
        <v>873</v>
      </c>
      <c r="L1016" s="27">
        <v>0</v>
      </c>
      <c r="M1016" s="28" t="s">
        <v>3203</v>
      </c>
      <c r="N1016" s="17">
        <v>7.6576709999999997</v>
      </c>
      <c r="O1016" s="1"/>
      <c r="P1016" s="38">
        <f t="shared" si="91"/>
        <v>0</v>
      </c>
      <c r="S1016" s="24" t="str">
        <f t="shared" si="94"/>
        <v>-</v>
      </c>
      <c r="T1016" s="24" t="str">
        <f t="shared" si="92"/>
        <v>-</v>
      </c>
      <c r="U1016" s="25" t="str">
        <f t="shared" si="95"/>
        <v>-</v>
      </c>
      <c r="V1016" s="26" t="str">
        <f t="shared" si="96"/>
        <v>-</v>
      </c>
      <c r="X1016" s="26" t="str">
        <f t="shared" si="93"/>
        <v>-</v>
      </c>
    </row>
    <row r="1017" spans="1:24" x14ac:dyDescent="0.3">
      <c r="A1017" s="37">
        <v>87614012247</v>
      </c>
      <c r="B1017" s="8" t="s">
        <v>1416</v>
      </c>
      <c r="C1017" s="10" t="s">
        <v>2192</v>
      </c>
      <c r="D1017" s="11" t="s">
        <v>874</v>
      </c>
      <c r="E1017" s="11" t="s">
        <v>914</v>
      </c>
      <c r="F1017" s="9">
        <v>15</v>
      </c>
      <c r="G1017" s="9">
        <v>30</v>
      </c>
      <c r="H1017" s="9" t="s">
        <v>868</v>
      </c>
      <c r="I1017" s="9">
        <v>36</v>
      </c>
      <c r="J1017" s="9">
        <v>100</v>
      </c>
      <c r="K1017" s="9" t="s">
        <v>873</v>
      </c>
      <c r="L1017" s="27">
        <v>0.16797999999999999</v>
      </c>
      <c r="M1017" s="28" t="s">
        <v>3203</v>
      </c>
      <c r="N1017" s="17">
        <v>7.209174</v>
      </c>
      <c r="O1017" s="1"/>
      <c r="P1017" s="38">
        <f t="shared" si="91"/>
        <v>0</v>
      </c>
      <c r="S1017" s="24" t="str">
        <f t="shared" si="94"/>
        <v>-</v>
      </c>
      <c r="T1017" s="24" t="str">
        <f t="shared" si="92"/>
        <v>-</v>
      </c>
      <c r="U1017" s="25" t="str">
        <f t="shared" si="95"/>
        <v>-</v>
      </c>
      <c r="V1017" s="26" t="str">
        <f t="shared" si="96"/>
        <v>-</v>
      </c>
      <c r="X1017" s="26" t="str">
        <f t="shared" si="93"/>
        <v>-</v>
      </c>
    </row>
    <row r="1018" spans="1:24" x14ac:dyDescent="0.3">
      <c r="A1018" s="37">
        <v>87614012254</v>
      </c>
      <c r="B1018" s="8" t="s">
        <v>1613</v>
      </c>
      <c r="C1018" s="10" t="s">
        <v>2375</v>
      </c>
      <c r="D1018" s="11" t="s">
        <v>874</v>
      </c>
      <c r="E1018" s="11" t="s">
        <v>914</v>
      </c>
      <c r="F1018" s="9">
        <v>12</v>
      </c>
      <c r="G1018" s="9">
        <v>24</v>
      </c>
      <c r="H1018" s="9" t="s">
        <v>868</v>
      </c>
      <c r="I1018" s="9">
        <v>36</v>
      </c>
      <c r="J1018" s="9">
        <v>250</v>
      </c>
      <c r="K1018" s="9" t="s">
        <v>873</v>
      </c>
      <c r="L1018" s="27">
        <v>0.371145</v>
      </c>
      <c r="M1018" s="28" t="s">
        <v>3203</v>
      </c>
      <c r="N1018" s="17">
        <v>17.507994</v>
      </c>
      <c r="O1018" s="1"/>
      <c r="P1018" s="38">
        <f t="shared" si="91"/>
        <v>0</v>
      </c>
      <c r="S1018" s="24" t="str">
        <f t="shared" si="94"/>
        <v>-</v>
      </c>
      <c r="T1018" s="24" t="str">
        <f t="shared" si="92"/>
        <v>-</v>
      </c>
      <c r="U1018" s="25" t="str">
        <f t="shared" si="95"/>
        <v>-</v>
      </c>
      <c r="V1018" s="26" t="str">
        <f t="shared" si="96"/>
        <v>-</v>
      </c>
      <c r="X1018" s="26" t="str">
        <f t="shared" si="93"/>
        <v>-</v>
      </c>
    </row>
    <row r="1019" spans="1:24" x14ac:dyDescent="0.3">
      <c r="A1019" s="37">
        <v>87614012575</v>
      </c>
      <c r="B1019" s="8" t="s">
        <v>1158</v>
      </c>
      <c r="C1019" s="10" t="s">
        <v>1982</v>
      </c>
      <c r="D1019" s="11" t="s">
        <v>866</v>
      </c>
      <c r="E1019" s="11" t="s">
        <v>1000</v>
      </c>
      <c r="F1019" s="9">
        <v>12</v>
      </c>
      <c r="G1019" s="9">
        <v>24</v>
      </c>
      <c r="H1019" s="9" t="s">
        <v>892</v>
      </c>
      <c r="I1019" s="9">
        <v>24</v>
      </c>
      <c r="J1019" s="9">
        <v>250</v>
      </c>
      <c r="K1019" s="9" t="s">
        <v>873</v>
      </c>
      <c r="L1019" s="27">
        <v>0.42903000000000002</v>
      </c>
      <c r="M1019" s="28" t="s">
        <v>3203</v>
      </c>
      <c r="N1019" s="17">
        <v>23.122512</v>
      </c>
      <c r="O1019" s="1"/>
      <c r="P1019" s="38">
        <f t="shared" si="91"/>
        <v>0</v>
      </c>
      <c r="S1019" s="24" t="str">
        <f t="shared" si="94"/>
        <v>-</v>
      </c>
      <c r="T1019" s="24" t="str">
        <f t="shared" si="92"/>
        <v>-</v>
      </c>
      <c r="U1019" s="25" t="str">
        <f t="shared" si="95"/>
        <v>-</v>
      </c>
      <c r="V1019" s="26" t="str">
        <f t="shared" si="96"/>
        <v>-</v>
      </c>
      <c r="X1019" s="26" t="str">
        <f t="shared" si="93"/>
        <v>-</v>
      </c>
    </row>
    <row r="1020" spans="1:24" x14ac:dyDescent="0.3">
      <c r="A1020" s="37">
        <v>87614012599</v>
      </c>
      <c r="B1020" s="8" t="s">
        <v>1614</v>
      </c>
      <c r="C1020" s="10" t="s">
        <v>2376</v>
      </c>
      <c r="D1020" s="11" t="s">
        <v>879</v>
      </c>
      <c r="E1020" s="11" t="s">
        <v>1025</v>
      </c>
      <c r="F1020" s="9">
        <v>4</v>
      </c>
      <c r="G1020" s="9">
        <v>4</v>
      </c>
      <c r="H1020" s="9" t="s">
        <v>892</v>
      </c>
      <c r="I1020" s="9">
        <v>24</v>
      </c>
      <c r="J1020" s="9">
        <v>1</v>
      </c>
      <c r="K1020" s="9" t="s">
        <v>887</v>
      </c>
      <c r="L1020" s="27">
        <v>4.4208249999999998</v>
      </c>
      <c r="M1020" s="28" t="s">
        <v>3203</v>
      </c>
      <c r="N1020" s="17">
        <v>25.962992999999997</v>
      </c>
      <c r="O1020" s="1"/>
      <c r="P1020" s="38">
        <f t="shared" si="91"/>
        <v>0</v>
      </c>
      <c r="S1020" s="24" t="str">
        <f t="shared" si="94"/>
        <v>-</v>
      </c>
      <c r="T1020" s="24" t="str">
        <f t="shared" si="92"/>
        <v>-</v>
      </c>
      <c r="U1020" s="25" t="str">
        <f t="shared" si="95"/>
        <v>-</v>
      </c>
      <c r="V1020" s="26" t="str">
        <f t="shared" si="96"/>
        <v>-</v>
      </c>
      <c r="X1020" s="26" t="str">
        <f t="shared" si="93"/>
        <v>-</v>
      </c>
    </row>
    <row r="1021" spans="1:24" x14ac:dyDescent="0.3">
      <c r="A1021" s="37">
        <v>87614012797</v>
      </c>
      <c r="B1021" s="8" t="s">
        <v>331</v>
      </c>
      <c r="C1021" s="10" t="s">
        <v>332</v>
      </c>
      <c r="D1021" s="11" t="s">
        <v>879</v>
      </c>
      <c r="E1021" s="11" t="s">
        <v>990</v>
      </c>
      <c r="F1021" s="9">
        <v>20</v>
      </c>
      <c r="G1021" s="9">
        <v>60</v>
      </c>
      <c r="H1021" s="9" t="s">
        <v>868</v>
      </c>
      <c r="I1021" s="9">
        <v>24</v>
      </c>
      <c r="J1021" s="9">
        <v>300</v>
      </c>
      <c r="K1021" s="9" t="s">
        <v>877</v>
      </c>
      <c r="L1021" s="27">
        <v>0.239485</v>
      </c>
      <c r="M1021" s="28" t="s">
        <v>3203</v>
      </c>
      <c r="N1021" s="17">
        <v>9.6842129999999997</v>
      </c>
      <c r="O1021" s="1"/>
      <c r="P1021" s="38">
        <f t="shared" si="91"/>
        <v>0</v>
      </c>
      <c r="S1021" s="24" t="str">
        <f t="shared" si="94"/>
        <v>-</v>
      </c>
      <c r="T1021" s="24" t="str">
        <f t="shared" si="92"/>
        <v>-</v>
      </c>
      <c r="U1021" s="25" t="str">
        <f t="shared" si="95"/>
        <v>-</v>
      </c>
      <c r="V1021" s="26" t="str">
        <f t="shared" si="96"/>
        <v>-</v>
      </c>
      <c r="X1021" s="26" t="str">
        <f t="shared" si="93"/>
        <v>-</v>
      </c>
    </row>
    <row r="1022" spans="1:24" x14ac:dyDescent="0.3">
      <c r="A1022" s="37">
        <v>87614012872</v>
      </c>
      <c r="B1022" s="8" t="s">
        <v>1616</v>
      </c>
      <c r="C1022" s="10" t="s">
        <v>2378</v>
      </c>
      <c r="D1022" s="11" t="s">
        <v>879</v>
      </c>
      <c r="E1022" s="11" t="s">
        <v>990</v>
      </c>
      <c r="F1022" s="9">
        <v>12</v>
      </c>
      <c r="G1022" s="9">
        <v>24</v>
      </c>
      <c r="H1022" s="9" t="s">
        <v>868</v>
      </c>
      <c r="I1022" s="9">
        <v>24</v>
      </c>
      <c r="J1022" s="9">
        <v>300</v>
      </c>
      <c r="K1022" s="9" t="s">
        <v>877</v>
      </c>
      <c r="L1022" s="27">
        <v>0.67986499999999994</v>
      </c>
      <c r="M1022" s="28" t="s">
        <v>3203</v>
      </c>
      <c r="N1022" s="17">
        <v>26.046047999999999</v>
      </c>
      <c r="O1022" s="1"/>
      <c r="P1022" s="38">
        <f t="shared" si="91"/>
        <v>0</v>
      </c>
      <c r="S1022" s="24" t="str">
        <f t="shared" si="94"/>
        <v>-</v>
      </c>
      <c r="T1022" s="24" t="str">
        <f t="shared" si="92"/>
        <v>-</v>
      </c>
      <c r="U1022" s="25" t="str">
        <f t="shared" si="95"/>
        <v>-</v>
      </c>
      <c r="V1022" s="26" t="str">
        <f t="shared" si="96"/>
        <v>-</v>
      </c>
      <c r="X1022" s="26" t="str">
        <f t="shared" si="93"/>
        <v>-</v>
      </c>
    </row>
    <row r="1023" spans="1:24" x14ac:dyDescent="0.3">
      <c r="A1023" s="37">
        <v>87614013053</v>
      </c>
      <c r="B1023" s="8" t="s">
        <v>1941</v>
      </c>
      <c r="C1023" s="10" t="s">
        <v>2663</v>
      </c>
      <c r="D1023" s="11" t="s">
        <v>879</v>
      </c>
      <c r="E1023" s="11" t="s">
        <v>922</v>
      </c>
      <c r="F1023" s="9">
        <v>12</v>
      </c>
      <c r="G1023" s="9">
        <v>24</v>
      </c>
      <c r="H1023" s="9" t="s">
        <v>892</v>
      </c>
      <c r="I1023" s="9">
        <v>24</v>
      </c>
      <c r="J1023" s="9">
        <v>250</v>
      </c>
      <c r="K1023" s="9" t="s">
        <v>873</v>
      </c>
      <c r="L1023" s="27">
        <v>0.23154</v>
      </c>
      <c r="M1023" s="28" t="s">
        <v>3203</v>
      </c>
      <c r="N1023" s="17">
        <v>13.488131999999998</v>
      </c>
      <c r="O1023" s="1"/>
      <c r="P1023" s="38">
        <f t="shared" si="91"/>
        <v>0</v>
      </c>
      <c r="S1023" s="24" t="str">
        <f t="shared" si="94"/>
        <v>-</v>
      </c>
      <c r="T1023" s="24" t="str">
        <f t="shared" si="92"/>
        <v>-</v>
      </c>
      <c r="U1023" s="25" t="str">
        <f t="shared" si="95"/>
        <v>-</v>
      </c>
      <c r="V1023" s="26" t="str">
        <f t="shared" si="96"/>
        <v>-</v>
      </c>
      <c r="X1023" s="26" t="str">
        <f t="shared" si="93"/>
        <v>-</v>
      </c>
    </row>
    <row r="1024" spans="1:24" x14ac:dyDescent="0.3">
      <c r="A1024" s="37">
        <v>87614013329</v>
      </c>
      <c r="B1024" s="8" t="s">
        <v>1617</v>
      </c>
      <c r="C1024" s="10" t="s">
        <v>2379</v>
      </c>
      <c r="D1024" s="11" t="s">
        <v>874</v>
      </c>
      <c r="E1024" s="11" t="s">
        <v>1118</v>
      </c>
      <c r="F1024" s="9">
        <v>20</v>
      </c>
      <c r="G1024" s="9">
        <v>60</v>
      </c>
      <c r="H1024" s="9" t="s">
        <v>868</v>
      </c>
      <c r="I1024" s="9">
        <v>24</v>
      </c>
      <c r="J1024" s="9">
        <v>250</v>
      </c>
      <c r="K1024" s="9" t="s">
        <v>869</v>
      </c>
      <c r="L1024" s="27">
        <v>0.185005</v>
      </c>
      <c r="M1024" s="28" t="s">
        <v>3203</v>
      </c>
      <c r="N1024" s="17">
        <v>10.265597999999999</v>
      </c>
      <c r="O1024" s="1"/>
      <c r="P1024" s="38">
        <f t="shared" si="91"/>
        <v>0</v>
      </c>
      <c r="S1024" s="24" t="str">
        <f t="shared" si="94"/>
        <v>-</v>
      </c>
      <c r="T1024" s="24" t="str">
        <f t="shared" si="92"/>
        <v>-</v>
      </c>
      <c r="U1024" s="25" t="str">
        <f t="shared" si="95"/>
        <v>-</v>
      </c>
      <c r="V1024" s="26" t="str">
        <f t="shared" si="96"/>
        <v>-</v>
      </c>
      <c r="X1024" s="26" t="str">
        <f t="shared" si="93"/>
        <v>-</v>
      </c>
    </row>
    <row r="1025" spans="1:24" x14ac:dyDescent="0.3">
      <c r="A1025" s="37">
        <v>87614013480</v>
      </c>
      <c r="B1025" s="8" t="s">
        <v>1901</v>
      </c>
      <c r="C1025" s="10" t="s">
        <v>2625</v>
      </c>
      <c r="D1025" s="11" t="s">
        <v>874</v>
      </c>
      <c r="E1025" s="11" t="s">
        <v>914</v>
      </c>
      <c r="F1025" s="9">
        <v>6</v>
      </c>
      <c r="G1025" s="9">
        <v>6</v>
      </c>
      <c r="H1025" s="9" t="s">
        <v>868</v>
      </c>
      <c r="I1025" s="9">
        <v>24</v>
      </c>
      <c r="J1025" s="9">
        <v>1</v>
      </c>
      <c r="K1025" s="9" t="s">
        <v>2901</v>
      </c>
      <c r="L1025" s="27">
        <v>0.64467999999999992</v>
      </c>
      <c r="M1025" s="28" t="s">
        <v>3203</v>
      </c>
      <c r="N1025" s="17">
        <v>17.424938999999998</v>
      </c>
      <c r="O1025" s="1"/>
      <c r="P1025" s="38">
        <f t="shared" si="91"/>
        <v>0</v>
      </c>
      <c r="S1025" s="24" t="str">
        <f t="shared" si="94"/>
        <v>-</v>
      </c>
      <c r="T1025" s="24" t="str">
        <f t="shared" si="92"/>
        <v>-</v>
      </c>
      <c r="U1025" s="25" t="str">
        <f t="shared" si="95"/>
        <v>-</v>
      </c>
      <c r="V1025" s="26" t="str">
        <f t="shared" si="96"/>
        <v>-</v>
      </c>
      <c r="X1025" s="26" t="str">
        <f t="shared" si="93"/>
        <v>-</v>
      </c>
    </row>
    <row r="1026" spans="1:24" x14ac:dyDescent="0.3">
      <c r="A1026" s="37">
        <v>87614014227</v>
      </c>
      <c r="B1026" s="8" t="s">
        <v>341</v>
      </c>
      <c r="C1026" s="10" t="s">
        <v>342</v>
      </c>
      <c r="D1026" s="11" t="s">
        <v>875</v>
      </c>
      <c r="E1026" s="11" t="s">
        <v>935</v>
      </c>
      <c r="F1026" s="9">
        <v>16</v>
      </c>
      <c r="G1026" s="9">
        <v>48</v>
      </c>
      <c r="H1026" s="9" t="s">
        <v>868</v>
      </c>
      <c r="I1026" s="9">
        <v>36</v>
      </c>
      <c r="J1026" s="9">
        <v>100</v>
      </c>
      <c r="K1026" s="9" t="s">
        <v>873</v>
      </c>
      <c r="L1026" s="27">
        <v>0.11236500000000001</v>
      </c>
      <c r="M1026" s="28" t="s">
        <v>3203</v>
      </c>
      <c r="N1026" s="17">
        <v>7.0264529999999992</v>
      </c>
      <c r="O1026" s="1"/>
      <c r="P1026" s="38">
        <f t="shared" si="91"/>
        <v>0</v>
      </c>
      <c r="S1026" s="24" t="str">
        <f t="shared" si="94"/>
        <v>-</v>
      </c>
      <c r="T1026" s="24" t="str">
        <f t="shared" si="92"/>
        <v>-</v>
      </c>
      <c r="U1026" s="25" t="str">
        <f t="shared" si="95"/>
        <v>-</v>
      </c>
      <c r="V1026" s="26" t="str">
        <f t="shared" si="96"/>
        <v>-</v>
      </c>
      <c r="X1026" s="26" t="str">
        <f t="shared" si="93"/>
        <v>-</v>
      </c>
    </row>
    <row r="1027" spans="1:24" x14ac:dyDescent="0.3">
      <c r="A1027" s="37">
        <v>87614014272</v>
      </c>
      <c r="B1027" s="8" t="s">
        <v>1916</v>
      </c>
      <c r="C1027" s="10" t="s">
        <v>2640</v>
      </c>
      <c r="D1027" s="11" t="s">
        <v>902</v>
      </c>
      <c r="E1027" s="11" t="s">
        <v>971</v>
      </c>
      <c r="F1027" s="9">
        <v>20</v>
      </c>
      <c r="G1027" s="9">
        <v>60</v>
      </c>
      <c r="H1027" s="9" t="s">
        <v>868</v>
      </c>
      <c r="I1027" s="9">
        <v>36</v>
      </c>
      <c r="J1027" s="9">
        <v>100</v>
      </c>
      <c r="K1027" s="9" t="s">
        <v>873</v>
      </c>
      <c r="L1027" s="27">
        <v>0.10214999999999999</v>
      </c>
      <c r="M1027" s="28" t="s">
        <v>3203</v>
      </c>
      <c r="N1027" s="17">
        <v>9.2689379999999986</v>
      </c>
      <c r="O1027" s="1"/>
      <c r="P1027" s="38">
        <f t="shared" ref="P1027:P1090" si="97">O1027*N1027</f>
        <v>0</v>
      </c>
      <c r="S1027" s="24" t="str">
        <f t="shared" si="94"/>
        <v>-</v>
      </c>
      <c r="T1027" s="24" t="str">
        <f t="shared" ref="T1027:T1090" si="98">IF(O1027&gt;0,N1027+L1027*O1027/$U$2*$V$2/O1027,"-")</f>
        <v>-</v>
      </c>
      <c r="U1027" s="25" t="str">
        <f t="shared" si="95"/>
        <v>-</v>
      </c>
      <c r="V1027" s="26" t="str">
        <f t="shared" si="96"/>
        <v>-</v>
      </c>
      <c r="X1027" s="26" t="str">
        <f t="shared" ref="X1027:X1090" si="99">IFERROR(IF(V1027+P1027=0, "-", IF(V1027&gt;0, V1027+P1027, "-")), "-")</f>
        <v>-</v>
      </c>
    </row>
    <row r="1028" spans="1:24" x14ac:dyDescent="0.3">
      <c r="A1028" s="37">
        <v>87614015125</v>
      </c>
      <c r="B1028" s="8" t="s">
        <v>1619</v>
      </c>
      <c r="C1028" s="10" t="s">
        <v>2381</v>
      </c>
      <c r="D1028" s="11" t="s">
        <v>872</v>
      </c>
      <c r="E1028" s="11" t="s">
        <v>942</v>
      </c>
      <c r="F1028" s="9">
        <v>16</v>
      </c>
      <c r="G1028" s="9">
        <v>48</v>
      </c>
      <c r="H1028" s="9" t="s">
        <v>868</v>
      </c>
      <c r="I1028" s="9">
        <v>36</v>
      </c>
      <c r="J1028" s="9">
        <v>100</v>
      </c>
      <c r="K1028" s="9" t="s">
        <v>873</v>
      </c>
      <c r="L1028" s="27">
        <v>0.16116999999999998</v>
      </c>
      <c r="M1028" s="28" t="s">
        <v>3203</v>
      </c>
      <c r="N1028" s="17">
        <v>22.474682999999999</v>
      </c>
      <c r="O1028" s="1"/>
      <c r="P1028" s="38">
        <f t="shared" si="97"/>
        <v>0</v>
      </c>
      <c r="S1028" s="24" t="str">
        <f t="shared" ref="S1028:S1091" si="100">IFERROR(IF(S$2*L1028=0, "-", $S$2*L1028), "-")</f>
        <v>-</v>
      </c>
      <c r="T1028" s="24" t="str">
        <f t="shared" si="98"/>
        <v>-</v>
      </c>
      <c r="U1028" s="25" t="str">
        <f t="shared" ref="U1028:U1091" si="101">IF(O1028&gt;0,O1028*L1028, "-")</f>
        <v>-</v>
      </c>
      <c r="V1028" s="26" t="str">
        <f t="shared" ref="V1028:V1091" si="102">IFERROR(IF($S$2&gt;0, $S$2*U1028, "-"), "-")</f>
        <v>-</v>
      </c>
      <c r="X1028" s="26" t="str">
        <f t="shared" si="99"/>
        <v>-</v>
      </c>
    </row>
    <row r="1029" spans="1:24" x14ac:dyDescent="0.3">
      <c r="A1029" s="37">
        <v>87614015286</v>
      </c>
      <c r="B1029" s="8" t="s">
        <v>353</v>
      </c>
      <c r="C1029" s="10" t="s">
        <v>354</v>
      </c>
      <c r="D1029" s="11" t="s">
        <v>883</v>
      </c>
      <c r="E1029" s="11" t="s">
        <v>926</v>
      </c>
      <c r="F1029" s="9">
        <v>12</v>
      </c>
      <c r="G1029" s="9">
        <v>24</v>
      </c>
      <c r="H1029" s="9" t="s">
        <v>868</v>
      </c>
      <c r="I1029" s="9">
        <v>36</v>
      </c>
      <c r="J1029" s="9">
        <v>250</v>
      </c>
      <c r="K1029" s="9" t="s">
        <v>873</v>
      </c>
      <c r="L1029" s="27">
        <v>0.29055999999999998</v>
      </c>
      <c r="M1029" s="28" t="s">
        <v>3203</v>
      </c>
      <c r="N1029" s="17">
        <v>10.846983</v>
      </c>
      <c r="O1029" s="1"/>
      <c r="P1029" s="38">
        <f t="shared" si="97"/>
        <v>0</v>
      </c>
      <c r="S1029" s="24" t="str">
        <f t="shared" si="100"/>
        <v>-</v>
      </c>
      <c r="T1029" s="24" t="str">
        <f t="shared" si="98"/>
        <v>-</v>
      </c>
      <c r="U1029" s="25" t="str">
        <f t="shared" si="101"/>
        <v>-</v>
      </c>
      <c r="V1029" s="26" t="str">
        <f t="shared" si="102"/>
        <v>-</v>
      </c>
      <c r="X1029" s="26" t="str">
        <f t="shared" si="99"/>
        <v>-</v>
      </c>
    </row>
    <row r="1030" spans="1:24" x14ac:dyDescent="0.3">
      <c r="A1030" s="37">
        <v>87614015439</v>
      </c>
      <c r="B1030" s="8" t="s">
        <v>1419</v>
      </c>
      <c r="C1030" s="10" t="s">
        <v>2195</v>
      </c>
      <c r="D1030" s="11" t="s">
        <v>874</v>
      </c>
      <c r="E1030" s="11" t="s">
        <v>919</v>
      </c>
      <c r="F1030" s="9">
        <v>12</v>
      </c>
      <c r="G1030" s="9">
        <v>24</v>
      </c>
      <c r="H1030" s="9" t="s">
        <v>868</v>
      </c>
      <c r="I1030" s="9">
        <v>36</v>
      </c>
      <c r="J1030" s="9">
        <v>180</v>
      </c>
      <c r="K1030" s="9" t="s">
        <v>873</v>
      </c>
      <c r="L1030" s="27">
        <v>0.21792</v>
      </c>
      <c r="M1030" s="28" t="s">
        <v>3203</v>
      </c>
      <c r="N1030" s="17">
        <v>14.069516999999999</v>
      </c>
      <c r="O1030" s="1"/>
      <c r="P1030" s="38">
        <f t="shared" si="97"/>
        <v>0</v>
      </c>
      <c r="S1030" s="24" t="str">
        <f t="shared" si="100"/>
        <v>-</v>
      </c>
      <c r="T1030" s="24" t="str">
        <f t="shared" si="98"/>
        <v>-</v>
      </c>
      <c r="U1030" s="25" t="str">
        <f t="shared" si="101"/>
        <v>-</v>
      </c>
      <c r="V1030" s="26" t="str">
        <f t="shared" si="102"/>
        <v>-</v>
      </c>
      <c r="X1030" s="26" t="str">
        <f t="shared" si="99"/>
        <v>-</v>
      </c>
    </row>
    <row r="1031" spans="1:24" x14ac:dyDescent="0.3">
      <c r="A1031" s="37">
        <v>87614016597</v>
      </c>
      <c r="B1031" s="8" t="s">
        <v>1420</v>
      </c>
      <c r="C1031" s="10" t="s">
        <v>2196</v>
      </c>
      <c r="D1031" s="11" t="s">
        <v>883</v>
      </c>
      <c r="E1031" s="11" t="s">
        <v>2854</v>
      </c>
      <c r="F1031" s="9">
        <v>12</v>
      </c>
      <c r="G1031" s="9">
        <v>24</v>
      </c>
      <c r="H1031" s="9" t="s">
        <v>868</v>
      </c>
      <c r="I1031" s="9">
        <v>36</v>
      </c>
      <c r="J1031" s="9">
        <v>250</v>
      </c>
      <c r="K1031" s="9" t="s">
        <v>873</v>
      </c>
      <c r="L1031" s="27">
        <v>0.33255499999999999</v>
      </c>
      <c r="M1031" s="28" t="s">
        <v>3203</v>
      </c>
      <c r="N1031" s="17">
        <v>21.262080000000001</v>
      </c>
      <c r="O1031" s="1"/>
      <c r="P1031" s="38">
        <f t="shared" si="97"/>
        <v>0</v>
      </c>
      <c r="S1031" s="24" t="str">
        <f t="shared" si="100"/>
        <v>-</v>
      </c>
      <c r="T1031" s="24" t="str">
        <f t="shared" si="98"/>
        <v>-</v>
      </c>
      <c r="U1031" s="25" t="str">
        <f t="shared" si="101"/>
        <v>-</v>
      </c>
      <c r="V1031" s="26" t="str">
        <f t="shared" si="102"/>
        <v>-</v>
      </c>
      <c r="X1031" s="26" t="str">
        <f t="shared" si="99"/>
        <v>-</v>
      </c>
    </row>
    <row r="1032" spans="1:24" x14ac:dyDescent="0.3">
      <c r="A1032" s="37">
        <v>87614018331</v>
      </c>
      <c r="B1032" s="8" t="s">
        <v>383</v>
      </c>
      <c r="C1032" s="10" t="s">
        <v>2727</v>
      </c>
      <c r="D1032" s="11" t="s">
        <v>866</v>
      </c>
      <c r="E1032" s="11" t="s">
        <v>1000</v>
      </c>
      <c r="F1032" s="9">
        <v>20</v>
      </c>
      <c r="G1032" s="9">
        <v>60</v>
      </c>
      <c r="H1032" s="9" t="s">
        <v>868</v>
      </c>
      <c r="I1032" s="9">
        <v>24</v>
      </c>
      <c r="J1032" s="9">
        <v>90</v>
      </c>
      <c r="K1032" s="9" t="s">
        <v>873</v>
      </c>
      <c r="L1032" s="27">
        <v>0.153225</v>
      </c>
      <c r="M1032" s="28" t="s">
        <v>3203</v>
      </c>
      <c r="N1032" s="17">
        <v>13.587797999999999</v>
      </c>
      <c r="O1032" s="1"/>
      <c r="P1032" s="38">
        <f t="shared" si="97"/>
        <v>0</v>
      </c>
      <c r="S1032" s="24" t="str">
        <f t="shared" si="100"/>
        <v>-</v>
      </c>
      <c r="T1032" s="24" t="str">
        <f t="shared" si="98"/>
        <v>-</v>
      </c>
      <c r="U1032" s="25" t="str">
        <f t="shared" si="101"/>
        <v>-</v>
      </c>
      <c r="V1032" s="26" t="str">
        <f t="shared" si="102"/>
        <v>-</v>
      </c>
      <c r="X1032" s="26" t="str">
        <f t="shared" si="99"/>
        <v>-</v>
      </c>
    </row>
    <row r="1033" spans="1:24" x14ac:dyDescent="0.3">
      <c r="A1033" s="37">
        <v>87614018379</v>
      </c>
      <c r="B1033" s="8" t="s">
        <v>2929</v>
      </c>
      <c r="C1033" s="10" t="s">
        <v>2986</v>
      </c>
      <c r="D1033" s="11" t="s">
        <v>870</v>
      </c>
      <c r="E1033" s="11" t="s">
        <v>1014</v>
      </c>
      <c r="F1033" s="9">
        <v>12</v>
      </c>
      <c r="G1033" s="9">
        <v>24</v>
      </c>
      <c r="H1033" s="9" t="s">
        <v>868</v>
      </c>
      <c r="I1033" s="9">
        <v>36</v>
      </c>
      <c r="J1033" s="9">
        <v>200</v>
      </c>
      <c r="K1033" s="9" t="s">
        <v>869</v>
      </c>
      <c r="L1033" s="27">
        <v>0.59474000000000005</v>
      </c>
      <c r="M1033" s="28" t="s">
        <v>3203</v>
      </c>
      <c r="N1033" s="17">
        <v>16.162502999999997</v>
      </c>
      <c r="O1033" s="1"/>
      <c r="P1033" s="38">
        <f t="shared" si="97"/>
        <v>0</v>
      </c>
      <c r="S1033" s="24" t="str">
        <f t="shared" si="100"/>
        <v>-</v>
      </c>
      <c r="T1033" s="24" t="str">
        <f t="shared" si="98"/>
        <v>-</v>
      </c>
      <c r="U1033" s="25" t="str">
        <f t="shared" si="101"/>
        <v>-</v>
      </c>
      <c r="V1033" s="26" t="str">
        <f t="shared" si="102"/>
        <v>-</v>
      </c>
      <c r="X1033" s="26" t="str">
        <f t="shared" si="99"/>
        <v>-</v>
      </c>
    </row>
    <row r="1034" spans="1:24" x14ac:dyDescent="0.3">
      <c r="A1034" s="37">
        <v>87614018423</v>
      </c>
      <c r="B1034" s="8" t="s">
        <v>386</v>
      </c>
      <c r="C1034" s="10" t="s">
        <v>387</v>
      </c>
      <c r="D1034" s="11" t="s">
        <v>883</v>
      </c>
      <c r="E1034" s="11" t="s">
        <v>926</v>
      </c>
      <c r="F1034" s="9">
        <v>15</v>
      </c>
      <c r="G1034" s="9">
        <v>30</v>
      </c>
      <c r="H1034" s="9" t="s">
        <v>868</v>
      </c>
      <c r="I1034" s="9">
        <v>24</v>
      </c>
      <c r="J1034" s="9">
        <v>100</v>
      </c>
      <c r="K1034" s="9" t="s">
        <v>877</v>
      </c>
      <c r="L1034" s="27">
        <v>0.27239999999999998</v>
      </c>
      <c r="M1034" s="28" t="s">
        <v>3203</v>
      </c>
      <c r="N1034" s="17">
        <v>11.694144</v>
      </c>
      <c r="O1034" s="1"/>
      <c r="P1034" s="38">
        <f t="shared" si="97"/>
        <v>0</v>
      </c>
      <c r="S1034" s="24" t="str">
        <f t="shared" si="100"/>
        <v>-</v>
      </c>
      <c r="T1034" s="24" t="str">
        <f t="shared" si="98"/>
        <v>-</v>
      </c>
      <c r="U1034" s="25" t="str">
        <f t="shared" si="101"/>
        <v>-</v>
      </c>
      <c r="V1034" s="26" t="str">
        <f t="shared" si="102"/>
        <v>-</v>
      </c>
      <c r="X1034" s="26" t="str">
        <f t="shared" si="99"/>
        <v>-</v>
      </c>
    </row>
    <row r="1035" spans="1:24" x14ac:dyDescent="0.3">
      <c r="A1035" s="37">
        <v>87614018492</v>
      </c>
      <c r="B1035" s="8" t="s">
        <v>1139</v>
      </c>
      <c r="C1035" s="10" t="s">
        <v>1967</v>
      </c>
      <c r="D1035" s="11" t="s">
        <v>883</v>
      </c>
      <c r="E1035" s="11" t="s">
        <v>926</v>
      </c>
      <c r="F1035" s="9">
        <v>12</v>
      </c>
      <c r="G1035" s="9">
        <v>24</v>
      </c>
      <c r="H1035" s="9" t="s">
        <v>868</v>
      </c>
      <c r="I1035" s="9">
        <v>36</v>
      </c>
      <c r="J1035" s="9">
        <v>400</v>
      </c>
      <c r="K1035" s="9" t="s">
        <v>873</v>
      </c>
      <c r="L1035" s="27">
        <v>0.44037999999999999</v>
      </c>
      <c r="M1035" s="28" t="s">
        <v>3203</v>
      </c>
      <c r="N1035" s="17">
        <v>16.677444000000001</v>
      </c>
      <c r="O1035" s="1"/>
      <c r="P1035" s="38">
        <f t="shared" si="97"/>
        <v>0</v>
      </c>
      <c r="S1035" s="24" t="str">
        <f t="shared" si="100"/>
        <v>-</v>
      </c>
      <c r="T1035" s="24" t="str">
        <f t="shared" si="98"/>
        <v>-</v>
      </c>
      <c r="U1035" s="25" t="str">
        <f t="shared" si="101"/>
        <v>-</v>
      </c>
      <c r="V1035" s="26" t="str">
        <f t="shared" si="102"/>
        <v>-</v>
      </c>
      <c r="X1035" s="26" t="str">
        <f t="shared" si="99"/>
        <v>-</v>
      </c>
    </row>
    <row r="1036" spans="1:24" x14ac:dyDescent="0.3">
      <c r="A1036" s="37">
        <v>87614018515</v>
      </c>
      <c r="B1036" s="8" t="s">
        <v>1181</v>
      </c>
      <c r="C1036" s="10" t="s">
        <v>2000</v>
      </c>
      <c r="D1036" s="11" t="s">
        <v>883</v>
      </c>
      <c r="E1036" s="11" t="s">
        <v>926</v>
      </c>
      <c r="F1036" s="9">
        <v>6</v>
      </c>
      <c r="G1036" s="9">
        <v>12</v>
      </c>
      <c r="H1036" s="9" t="s">
        <v>868</v>
      </c>
      <c r="I1036" s="9">
        <v>24</v>
      </c>
      <c r="J1036" s="9">
        <v>1</v>
      </c>
      <c r="K1036" s="9" t="s">
        <v>880</v>
      </c>
      <c r="L1036" s="27">
        <v>0.6163050000000001</v>
      </c>
      <c r="M1036" s="28" t="s">
        <v>3203</v>
      </c>
      <c r="N1036" s="17">
        <v>16.743887999999998</v>
      </c>
      <c r="O1036" s="1"/>
      <c r="P1036" s="38">
        <f t="shared" si="97"/>
        <v>0</v>
      </c>
      <c r="S1036" s="24" t="str">
        <f t="shared" si="100"/>
        <v>-</v>
      </c>
      <c r="T1036" s="24" t="str">
        <f t="shared" si="98"/>
        <v>-</v>
      </c>
      <c r="U1036" s="25" t="str">
        <f t="shared" si="101"/>
        <v>-</v>
      </c>
      <c r="V1036" s="26" t="str">
        <f t="shared" si="102"/>
        <v>-</v>
      </c>
      <c r="X1036" s="26" t="str">
        <f t="shared" si="99"/>
        <v>-</v>
      </c>
    </row>
    <row r="1037" spans="1:24" x14ac:dyDescent="0.3">
      <c r="A1037" s="37">
        <v>87614018652</v>
      </c>
      <c r="B1037" s="8" t="s">
        <v>1422</v>
      </c>
      <c r="C1037" s="10" t="s">
        <v>2198</v>
      </c>
      <c r="D1037" s="11" t="s">
        <v>870</v>
      </c>
      <c r="E1037" s="11" t="s">
        <v>2814</v>
      </c>
      <c r="F1037" s="9">
        <v>15</v>
      </c>
      <c r="G1037" s="9">
        <v>30</v>
      </c>
      <c r="H1037" s="9" t="s">
        <v>868</v>
      </c>
      <c r="I1037" s="9">
        <v>24</v>
      </c>
      <c r="J1037" s="9">
        <v>100</v>
      </c>
      <c r="K1037" s="9" t="s">
        <v>896</v>
      </c>
      <c r="L1037" s="27">
        <v>0.32120499999999996</v>
      </c>
      <c r="M1037" s="28" t="s">
        <v>3203</v>
      </c>
      <c r="N1037" s="17">
        <v>6.2291249999999998</v>
      </c>
      <c r="O1037" s="1"/>
      <c r="P1037" s="38">
        <f t="shared" si="97"/>
        <v>0</v>
      </c>
      <c r="S1037" s="24" t="str">
        <f t="shared" si="100"/>
        <v>-</v>
      </c>
      <c r="T1037" s="24" t="str">
        <f t="shared" si="98"/>
        <v>-</v>
      </c>
      <c r="U1037" s="25" t="str">
        <f t="shared" si="101"/>
        <v>-</v>
      </c>
      <c r="V1037" s="26" t="str">
        <f t="shared" si="102"/>
        <v>-</v>
      </c>
      <c r="X1037" s="26" t="str">
        <f t="shared" si="99"/>
        <v>-</v>
      </c>
    </row>
    <row r="1038" spans="1:24" x14ac:dyDescent="0.3">
      <c r="A1038" s="37">
        <v>87614018829</v>
      </c>
      <c r="B1038" s="8" t="s">
        <v>402</v>
      </c>
      <c r="C1038" s="10" t="s">
        <v>2728</v>
      </c>
      <c r="D1038" s="11" t="s">
        <v>866</v>
      </c>
      <c r="E1038" s="11" t="s">
        <v>1000</v>
      </c>
      <c r="F1038" s="9">
        <v>15</v>
      </c>
      <c r="G1038" s="9">
        <v>30</v>
      </c>
      <c r="H1038" s="9" t="s">
        <v>868</v>
      </c>
      <c r="I1038" s="9">
        <v>24</v>
      </c>
      <c r="J1038" s="9">
        <v>120</v>
      </c>
      <c r="K1038" s="9" t="s">
        <v>869</v>
      </c>
      <c r="L1038" s="27">
        <v>0.34958</v>
      </c>
      <c r="M1038" s="28" t="s">
        <v>3203</v>
      </c>
      <c r="N1038" s="17">
        <v>16.278780000000001</v>
      </c>
      <c r="O1038" s="1"/>
      <c r="P1038" s="38">
        <f t="shared" si="97"/>
        <v>0</v>
      </c>
      <c r="S1038" s="24" t="str">
        <f t="shared" si="100"/>
        <v>-</v>
      </c>
      <c r="T1038" s="24" t="str">
        <f t="shared" si="98"/>
        <v>-</v>
      </c>
      <c r="U1038" s="25" t="str">
        <f t="shared" si="101"/>
        <v>-</v>
      </c>
      <c r="V1038" s="26" t="str">
        <f t="shared" si="102"/>
        <v>-</v>
      </c>
      <c r="X1038" s="26" t="str">
        <f t="shared" si="99"/>
        <v>-</v>
      </c>
    </row>
    <row r="1039" spans="1:24" x14ac:dyDescent="0.3">
      <c r="A1039" s="37">
        <v>87614018898</v>
      </c>
      <c r="B1039" s="8" t="s">
        <v>1624</v>
      </c>
      <c r="C1039" s="10" t="s">
        <v>2386</v>
      </c>
      <c r="D1039" s="11" t="s">
        <v>883</v>
      </c>
      <c r="E1039" s="11" t="s">
        <v>926</v>
      </c>
      <c r="F1039" s="9">
        <v>12</v>
      </c>
      <c r="G1039" s="9">
        <v>24</v>
      </c>
      <c r="H1039" s="9" t="s">
        <v>868</v>
      </c>
      <c r="I1039" s="9">
        <v>24</v>
      </c>
      <c r="J1039" s="9">
        <v>200</v>
      </c>
      <c r="K1039" s="9" t="s">
        <v>873</v>
      </c>
      <c r="L1039" s="27">
        <v>0.31212500000000004</v>
      </c>
      <c r="M1039" s="28" t="s">
        <v>3203</v>
      </c>
      <c r="N1039" s="17">
        <v>22.408239000000002</v>
      </c>
      <c r="O1039" s="1"/>
      <c r="P1039" s="38">
        <f t="shared" si="97"/>
        <v>0</v>
      </c>
      <c r="S1039" s="24" t="str">
        <f t="shared" si="100"/>
        <v>-</v>
      </c>
      <c r="T1039" s="24" t="str">
        <f t="shared" si="98"/>
        <v>-</v>
      </c>
      <c r="U1039" s="25" t="str">
        <f t="shared" si="101"/>
        <v>-</v>
      </c>
      <c r="V1039" s="26" t="str">
        <f t="shared" si="102"/>
        <v>-</v>
      </c>
      <c r="X1039" s="26" t="str">
        <f t="shared" si="99"/>
        <v>-</v>
      </c>
    </row>
    <row r="1040" spans="1:24" x14ac:dyDescent="0.3">
      <c r="A1040" s="37">
        <v>87614018911</v>
      </c>
      <c r="B1040" s="8" t="s">
        <v>1328</v>
      </c>
      <c r="C1040" s="10" t="s">
        <v>3172</v>
      </c>
      <c r="D1040" s="11" t="s">
        <v>883</v>
      </c>
      <c r="E1040" s="11" t="s">
        <v>926</v>
      </c>
      <c r="F1040" s="9">
        <v>15</v>
      </c>
      <c r="G1040" s="9">
        <v>30</v>
      </c>
      <c r="H1040" s="9" t="s">
        <v>868</v>
      </c>
      <c r="I1040" s="9">
        <v>24</v>
      </c>
      <c r="J1040" s="9">
        <v>120</v>
      </c>
      <c r="K1040" s="9" t="s">
        <v>877</v>
      </c>
      <c r="L1040" s="27">
        <v>0.28148000000000001</v>
      </c>
      <c r="M1040" s="28" t="s">
        <v>3203</v>
      </c>
      <c r="N1040" s="17">
        <v>23.288621999999997</v>
      </c>
      <c r="O1040" s="1"/>
      <c r="P1040" s="38">
        <f t="shared" si="97"/>
        <v>0</v>
      </c>
      <c r="S1040" s="24" t="str">
        <f t="shared" si="100"/>
        <v>-</v>
      </c>
      <c r="T1040" s="24" t="str">
        <f t="shared" si="98"/>
        <v>-</v>
      </c>
      <c r="U1040" s="25" t="str">
        <f t="shared" si="101"/>
        <v>-</v>
      </c>
      <c r="V1040" s="26" t="str">
        <f t="shared" si="102"/>
        <v>-</v>
      </c>
      <c r="X1040" s="26" t="str">
        <f t="shared" si="99"/>
        <v>-</v>
      </c>
    </row>
    <row r="1041" spans="1:24" x14ac:dyDescent="0.3">
      <c r="A1041" s="37">
        <v>87614018935</v>
      </c>
      <c r="B1041" s="8" t="s">
        <v>1424</v>
      </c>
      <c r="C1041" s="10" t="s">
        <v>2200</v>
      </c>
      <c r="D1041" s="11" t="s">
        <v>876</v>
      </c>
      <c r="E1041" s="11" t="s">
        <v>955</v>
      </c>
      <c r="F1041" s="9">
        <v>16</v>
      </c>
      <c r="G1041" s="9">
        <v>48</v>
      </c>
      <c r="H1041" s="9" t="s">
        <v>868</v>
      </c>
      <c r="I1041" s="9">
        <v>36</v>
      </c>
      <c r="J1041" s="9">
        <v>240</v>
      </c>
      <c r="K1041" s="9" t="s">
        <v>873</v>
      </c>
      <c r="L1041" s="27">
        <v>0.16116999999999998</v>
      </c>
      <c r="M1041" s="28" t="s">
        <v>3203</v>
      </c>
      <c r="N1041" s="17">
        <v>11.262258000000001</v>
      </c>
      <c r="O1041" s="1"/>
      <c r="P1041" s="38">
        <f t="shared" si="97"/>
        <v>0</v>
      </c>
      <c r="S1041" s="24" t="str">
        <f t="shared" si="100"/>
        <v>-</v>
      </c>
      <c r="T1041" s="24" t="str">
        <f t="shared" si="98"/>
        <v>-</v>
      </c>
      <c r="U1041" s="25" t="str">
        <f t="shared" si="101"/>
        <v>-</v>
      </c>
      <c r="V1041" s="26" t="str">
        <f t="shared" si="102"/>
        <v>-</v>
      </c>
      <c r="X1041" s="26" t="str">
        <f t="shared" si="99"/>
        <v>-</v>
      </c>
    </row>
    <row r="1042" spans="1:24" x14ac:dyDescent="0.3">
      <c r="A1042" s="37">
        <v>87614019185</v>
      </c>
      <c r="B1042" s="8" t="s">
        <v>1625</v>
      </c>
      <c r="C1042" s="10" t="s">
        <v>2387</v>
      </c>
      <c r="D1042" s="11" t="s">
        <v>866</v>
      </c>
      <c r="E1042" s="11" t="s">
        <v>1000</v>
      </c>
      <c r="F1042" s="9">
        <v>20</v>
      </c>
      <c r="G1042" s="9">
        <v>60</v>
      </c>
      <c r="H1042" s="9" t="s">
        <v>892</v>
      </c>
      <c r="I1042" s="9">
        <v>24</v>
      </c>
      <c r="J1042" s="9">
        <v>100</v>
      </c>
      <c r="K1042" s="9" t="s">
        <v>877</v>
      </c>
      <c r="L1042" s="27">
        <v>0.20429999999999998</v>
      </c>
      <c r="M1042" s="28" t="s">
        <v>3203</v>
      </c>
      <c r="N1042" s="17">
        <v>9.5845470000000006</v>
      </c>
      <c r="O1042" s="1"/>
      <c r="P1042" s="38">
        <f t="shared" si="97"/>
        <v>0</v>
      </c>
      <c r="S1042" s="24" t="str">
        <f t="shared" si="100"/>
        <v>-</v>
      </c>
      <c r="T1042" s="24" t="str">
        <f t="shared" si="98"/>
        <v>-</v>
      </c>
      <c r="U1042" s="25" t="str">
        <f t="shared" si="101"/>
        <v>-</v>
      </c>
      <c r="V1042" s="26" t="str">
        <f t="shared" si="102"/>
        <v>-</v>
      </c>
      <c r="X1042" s="26" t="str">
        <f t="shared" si="99"/>
        <v>-</v>
      </c>
    </row>
    <row r="1043" spans="1:24" x14ac:dyDescent="0.3">
      <c r="A1043" s="37">
        <v>87614019253</v>
      </c>
      <c r="B1043" s="8" t="s">
        <v>1128</v>
      </c>
      <c r="C1043" s="10" t="s">
        <v>3173</v>
      </c>
      <c r="D1043" s="11" t="s">
        <v>893</v>
      </c>
      <c r="E1043" s="11" t="s">
        <v>2857</v>
      </c>
      <c r="F1043" s="9">
        <v>6</v>
      </c>
      <c r="G1043" s="9">
        <v>12</v>
      </c>
      <c r="H1043" s="9" t="s">
        <v>868</v>
      </c>
      <c r="I1043" s="9">
        <v>24</v>
      </c>
      <c r="J1043" s="9">
        <v>1</v>
      </c>
      <c r="K1043" s="9" t="s">
        <v>880</v>
      </c>
      <c r="L1043" s="27">
        <v>1.2530400000000002</v>
      </c>
      <c r="M1043" s="28" t="s">
        <v>3203</v>
      </c>
      <c r="N1043" s="17">
        <v>70.663194000000004</v>
      </c>
      <c r="O1043" s="1"/>
      <c r="P1043" s="38">
        <f t="shared" si="97"/>
        <v>0</v>
      </c>
      <c r="S1043" s="24" t="str">
        <f t="shared" si="100"/>
        <v>-</v>
      </c>
      <c r="T1043" s="24" t="str">
        <f t="shared" si="98"/>
        <v>-</v>
      </c>
      <c r="U1043" s="25" t="str">
        <f t="shared" si="101"/>
        <v>-</v>
      </c>
      <c r="V1043" s="26" t="str">
        <f t="shared" si="102"/>
        <v>-</v>
      </c>
      <c r="X1043" s="26" t="str">
        <f t="shared" si="99"/>
        <v>-</v>
      </c>
    </row>
    <row r="1044" spans="1:24" x14ac:dyDescent="0.3">
      <c r="A1044" s="37">
        <v>87614019390</v>
      </c>
      <c r="B1044" s="8" t="s">
        <v>1425</v>
      </c>
      <c r="C1044" s="10" t="s">
        <v>2201</v>
      </c>
      <c r="D1044" s="11" t="s">
        <v>872</v>
      </c>
      <c r="E1044" s="11" t="s">
        <v>2858</v>
      </c>
      <c r="F1044" s="9">
        <v>20</v>
      </c>
      <c r="G1044" s="9">
        <v>60</v>
      </c>
      <c r="H1044" s="9" t="s">
        <v>868</v>
      </c>
      <c r="I1044" s="9">
        <v>36</v>
      </c>
      <c r="J1044" s="9">
        <v>100</v>
      </c>
      <c r="K1044" s="9" t="s">
        <v>889</v>
      </c>
      <c r="L1044" s="27">
        <v>0.13733499999999998</v>
      </c>
      <c r="M1044" s="28" t="s">
        <v>3203</v>
      </c>
      <c r="N1044" s="17">
        <v>5.5314630000000005</v>
      </c>
      <c r="O1044" s="1"/>
      <c r="P1044" s="38">
        <f t="shared" si="97"/>
        <v>0</v>
      </c>
      <c r="S1044" s="24" t="str">
        <f t="shared" si="100"/>
        <v>-</v>
      </c>
      <c r="T1044" s="24" t="str">
        <f t="shared" si="98"/>
        <v>-</v>
      </c>
      <c r="U1044" s="25" t="str">
        <f t="shared" si="101"/>
        <v>-</v>
      </c>
      <c r="V1044" s="26" t="str">
        <f t="shared" si="102"/>
        <v>-</v>
      </c>
      <c r="X1044" s="26" t="str">
        <f t="shared" si="99"/>
        <v>-</v>
      </c>
    </row>
    <row r="1045" spans="1:24" x14ac:dyDescent="0.3">
      <c r="A1045" s="37">
        <v>87614019413</v>
      </c>
      <c r="B1045" s="8" t="s">
        <v>1627</v>
      </c>
      <c r="C1045" s="10" t="s">
        <v>2389</v>
      </c>
      <c r="D1045" s="11" t="s">
        <v>870</v>
      </c>
      <c r="E1045" s="11" t="s">
        <v>871</v>
      </c>
      <c r="F1045" s="9">
        <v>30</v>
      </c>
      <c r="G1045" s="9">
        <v>90</v>
      </c>
      <c r="H1045" s="9" t="s">
        <v>868</v>
      </c>
      <c r="I1045" s="9">
        <v>24</v>
      </c>
      <c r="J1045" s="9">
        <v>250</v>
      </c>
      <c r="K1045" s="9" t="s">
        <v>869</v>
      </c>
      <c r="L1045" s="27">
        <v>8.058499999999999E-2</v>
      </c>
      <c r="M1045" s="28" t="s">
        <v>3203</v>
      </c>
      <c r="N1045" s="17">
        <v>5.099577</v>
      </c>
      <c r="O1045" s="1"/>
      <c r="P1045" s="38">
        <f t="shared" si="97"/>
        <v>0</v>
      </c>
      <c r="S1045" s="24" t="str">
        <f t="shared" si="100"/>
        <v>-</v>
      </c>
      <c r="T1045" s="24" t="str">
        <f t="shared" si="98"/>
        <v>-</v>
      </c>
      <c r="U1045" s="25" t="str">
        <f t="shared" si="101"/>
        <v>-</v>
      </c>
      <c r="V1045" s="26" t="str">
        <f t="shared" si="102"/>
        <v>-</v>
      </c>
      <c r="X1045" s="26" t="str">
        <f t="shared" si="99"/>
        <v>-</v>
      </c>
    </row>
    <row r="1046" spans="1:24" x14ac:dyDescent="0.3">
      <c r="A1046" s="37">
        <v>87614019420</v>
      </c>
      <c r="B1046" s="8" t="s">
        <v>1908</v>
      </c>
      <c r="C1046" s="10" t="s">
        <v>2632</v>
      </c>
      <c r="D1046" s="11" t="s">
        <v>882</v>
      </c>
      <c r="E1046" s="11" t="s">
        <v>920</v>
      </c>
      <c r="F1046" s="9">
        <v>42</v>
      </c>
      <c r="G1046" s="9">
        <v>168</v>
      </c>
      <c r="H1046" s="9" t="s">
        <v>868</v>
      </c>
      <c r="I1046" s="9">
        <v>36</v>
      </c>
      <c r="J1046" s="9">
        <v>1</v>
      </c>
      <c r="K1046" s="9" t="s">
        <v>880</v>
      </c>
      <c r="L1046" s="27">
        <v>0.31099000000000004</v>
      </c>
      <c r="M1046" s="28" t="s">
        <v>3203</v>
      </c>
      <c r="N1046" s="17">
        <v>18.571097999999999</v>
      </c>
      <c r="O1046" s="1"/>
      <c r="P1046" s="38">
        <f t="shared" si="97"/>
        <v>0</v>
      </c>
      <c r="S1046" s="24" t="str">
        <f t="shared" si="100"/>
        <v>-</v>
      </c>
      <c r="T1046" s="24" t="str">
        <f t="shared" si="98"/>
        <v>-</v>
      </c>
      <c r="U1046" s="25" t="str">
        <f t="shared" si="101"/>
        <v>-</v>
      </c>
      <c r="V1046" s="26" t="str">
        <f t="shared" si="102"/>
        <v>-</v>
      </c>
      <c r="X1046" s="26" t="str">
        <f t="shared" si="99"/>
        <v>-</v>
      </c>
    </row>
    <row r="1047" spans="1:24" x14ac:dyDescent="0.3">
      <c r="A1047" s="37">
        <v>87614019468</v>
      </c>
      <c r="B1047" s="8" t="s">
        <v>1426</v>
      </c>
      <c r="C1047" s="10" t="s">
        <v>2202</v>
      </c>
      <c r="D1047" s="11" t="s">
        <v>882</v>
      </c>
      <c r="E1047" s="11" t="s">
        <v>920</v>
      </c>
      <c r="F1047" s="9">
        <v>12</v>
      </c>
      <c r="G1047" s="9">
        <v>24</v>
      </c>
      <c r="H1047" s="9" t="s">
        <v>868</v>
      </c>
      <c r="I1047" s="9">
        <v>24</v>
      </c>
      <c r="J1047" s="9">
        <v>250</v>
      </c>
      <c r="K1047" s="9" t="s">
        <v>877</v>
      </c>
      <c r="L1047" s="27">
        <v>0.67532499999999995</v>
      </c>
      <c r="M1047" s="28" t="s">
        <v>3203</v>
      </c>
      <c r="N1047" s="17">
        <v>27.541037999999997</v>
      </c>
      <c r="O1047" s="1"/>
      <c r="P1047" s="38">
        <f t="shared" si="97"/>
        <v>0</v>
      </c>
      <c r="S1047" s="24" t="str">
        <f t="shared" si="100"/>
        <v>-</v>
      </c>
      <c r="T1047" s="24" t="str">
        <f t="shared" si="98"/>
        <v>-</v>
      </c>
      <c r="U1047" s="25" t="str">
        <f t="shared" si="101"/>
        <v>-</v>
      </c>
      <c r="V1047" s="26" t="str">
        <f t="shared" si="102"/>
        <v>-</v>
      </c>
      <c r="X1047" s="26" t="str">
        <f t="shared" si="99"/>
        <v>-</v>
      </c>
    </row>
    <row r="1048" spans="1:24" x14ac:dyDescent="0.3">
      <c r="A1048" s="37">
        <v>87614019536</v>
      </c>
      <c r="B1048" s="8" t="s">
        <v>1629</v>
      </c>
      <c r="C1048" s="10" t="s">
        <v>2391</v>
      </c>
      <c r="D1048" s="11" t="s">
        <v>874</v>
      </c>
      <c r="E1048" s="11" t="s">
        <v>1118</v>
      </c>
      <c r="F1048" s="9">
        <v>6</v>
      </c>
      <c r="G1048" s="9">
        <v>12</v>
      </c>
      <c r="H1048" s="9" t="s">
        <v>868</v>
      </c>
      <c r="I1048" s="9">
        <v>18</v>
      </c>
      <c r="J1048" s="9">
        <v>1</v>
      </c>
      <c r="K1048" s="9" t="s">
        <v>887</v>
      </c>
      <c r="L1048" s="27">
        <v>0.60495500000000002</v>
      </c>
      <c r="M1048" s="28" t="s">
        <v>3203</v>
      </c>
      <c r="N1048" s="17">
        <v>18.205656000000001</v>
      </c>
      <c r="O1048" s="1"/>
      <c r="P1048" s="38">
        <f t="shared" si="97"/>
        <v>0</v>
      </c>
      <c r="S1048" s="24" t="str">
        <f t="shared" si="100"/>
        <v>-</v>
      </c>
      <c r="T1048" s="24" t="str">
        <f t="shared" si="98"/>
        <v>-</v>
      </c>
      <c r="U1048" s="25" t="str">
        <f t="shared" si="101"/>
        <v>-</v>
      </c>
      <c r="V1048" s="26" t="str">
        <f t="shared" si="102"/>
        <v>-</v>
      </c>
      <c r="X1048" s="26" t="str">
        <f t="shared" si="99"/>
        <v>-</v>
      </c>
    </row>
    <row r="1049" spans="1:24" x14ac:dyDescent="0.3">
      <c r="A1049" s="37">
        <v>87614019840</v>
      </c>
      <c r="B1049" s="8" t="s">
        <v>1632</v>
      </c>
      <c r="C1049" s="10" t="s">
        <v>2394</v>
      </c>
      <c r="D1049" s="11" t="s">
        <v>891</v>
      </c>
      <c r="E1049" s="11" t="s">
        <v>970</v>
      </c>
      <c r="F1049" s="9">
        <v>12</v>
      </c>
      <c r="G1049" s="9">
        <v>24</v>
      </c>
      <c r="H1049" s="9" t="s">
        <v>892</v>
      </c>
      <c r="I1049" s="9">
        <v>24</v>
      </c>
      <c r="J1049" s="9">
        <v>200</v>
      </c>
      <c r="K1049" s="9" t="s">
        <v>873</v>
      </c>
      <c r="L1049" s="27">
        <v>0.24856500000000001</v>
      </c>
      <c r="M1049" s="28" t="s">
        <v>3203</v>
      </c>
      <c r="N1049" s="17">
        <v>17.989712999999998</v>
      </c>
      <c r="O1049" s="1"/>
      <c r="P1049" s="38">
        <f t="shared" si="97"/>
        <v>0</v>
      </c>
      <c r="S1049" s="24" t="str">
        <f t="shared" si="100"/>
        <v>-</v>
      </c>
      <c r="T1049" s="24" t="str">
        <f t="shared" si="98"/>
        <v>-</v>
      </c>
      <c r="U1049" s="25" t="str">
        <f t="shared" si="101"/>
        <v>-</v>
      </c>
      <c r="V1049" s="26" t="str">
        <f t="shared" si="102"/>
        <v>-</v>
      </c>
      <c r="X1049" s="26" t="str">
        <f t="shared" si="99"/>
        <v>-</v>
      </c>
    </row>
    <row r="1050" spans="1:24" x14ac:dyDescent="0.3">
      <c r="A1050" s="37">
        <v>87614190013</v>
      </c>
      <c r="B1050" s="8" t="s">
        <v>456</v>
      </c>
      <c r="C1050" s="10" t="s">
        <v>2730</v>
      </c>
      <c r="D1050" s="11" t="s">
        <v>879</v>
      </c>
      <c r="E1050" s="11" t="s">
        <v>1018</v>
      </c>
      <c r="F1050" s="9">
        <v>30</v>
      </c>
      <c r="G1050" s="9">
        <v>90</v>
      </c>
      <c r="H1050" s="9" t="s">
        <v>868</v>
      </c>
      <c r="I1050" s="9">
        <v>24</v>
      </c>
      <c r="J1050" s="9">
        <v>60</v>
      </c>
      <c r="K1050" s="9" t="s">
        <v>2903</v>
      </c>
      <c r="L1050" s="27">
        <v>5.4480000000000001E-2</v>
      </c>
      <c r="M1050" s="28" t="s">
        <v>3203</v>
      </c>
      <c r="N1050" s="17">
        <v>6.3786239999999994</v>
      </c>
      <c r="O1050" s="1"/>
      <c r="P1050" s="38">
        <f t="shared" si="97"/>
        <v>0</v>
      </c>
      <c r="S1050" s="24" t="str">
        <f t="shared" si="100"/>
        <v>-</v>
      </c>
      <c r="T1050" s="24" t="str">
        <f t="shared" si="98"/>
        <v>-</v>
      </c>
      <c r="U1050" s="25" t="str">
        <f t="shared" si="101"/>
        <v>-</v>
      </c>
      <c r="V1050" s="26" t="str">
        <f t="shared" si="102"/>
        <v>-</v>
      </c>
      <c r="X1050" s="26" t="str">
        <f t="shared" si="99"/>
        <v>-</v>
      </c>
    </row>
    <row r="1051" spans="1:24" x14ac:dyDescent="0.3">
      <c r="A1051" s="37">
        <v>87614190235</v>
      </c>
      <c r="B1051" s="8" t="s">
        <v>1159</v>
      </c>
      <c r="C1051" s="10" t="s">
        <v>2734</v>
      </c>
      <c r="D1051" s="11" t="s">
        <v>879</v>
      </c>
      <c r="E1051" s="11" t="s">
        <v>1018</v>
      </c>
      <c r="F1051" s="9">
        <v>30</v>
      </c>
      <c r="G1051" s="9">
        <v>90</v>
      </c>
      <c r="H1051" s="9" t="s">
        <v>868</v>
      </c>
      <c r="I1051" s="9">
        <v>24</v>
      </c>
      <c r="J1051" s="9">
        <v>60</v>
      </c>
      <c r="K1051" s="9" t="s">
        <v>2903</v>
      </c>
      <c r="L1051" s="27">
        <v>4.4264999999999999E-2</v>
      </c>
      <c r="M1051" s="28" t="s">
        <v>3203</v>
      </c>
      <c r="N1051" s="17">
        <v>15.016343999999998</v>
      </c>
      <c r="O1051" s="1"/>
      <c r="P1051" s="38">
        <f t="shared" si="97"/>
        <v>0</v>
      </c>
      <c r="S1051" s="24" t="str">
        <f t="shared" si="100"/>
        <v>-</v>
      </c>
      <c r="T1051" s="24" t="str">
        <f t="shared" si="98"/>
        <v>-</v>
      </c>
      <c r="U1051" s="25" t="str">
        <f t="shared" si="101"/>
        <v>-</v>
      </c>
      <c r="V1051" s="26" t="str">
        <f t="shared" si="102"/>
        <v>-</v>
      </c>
      <c r="X1051" s="26" t="str">
        <f t="shared" si="99"/>
        <v>-</v>
      </c>
    </row>
    <row r="1052" spans="1:24" x14ac:dyDescent="0.3">
      <c r="A1052" s="37">
        <v>87614190280</v>
      </c>
      <c r="B1052" s="8" t="s">
        <v>461</v>
      </c>
      <c r="C1052" s="10" t="s">
        <v>462</v>
      </c>
      <c r="D1052" s="11" t="s">
        <v>879</v>
      </c>
      <c r="E1052" s="11" t="s">
        <v>1018</v>
      </c>
      <c r="F1052" s="9">
        <v>48</v>
      </c>
      <c r="G1052" s="9">
        <v>192</v>
      </c>
      <c r="H1052" s="9" t="s">
        <v>868</v>
      </c>
      <c r="I1052" s="9">
        <v>36</v>
      </c>
      <c r="J1052" s="9">
        <v>30</v>
      </c>
      <c r="K1052" s="9" t="s">
        <v>889</v>
      </c>
      <c r="L1052" s="27">
        <v>5.6750000000000002E-2</v>
      </c>
      <c r="M1052" s="28" t="s">
        <v>3203</v>
      </c>
      <c r="N1052" s="17">
        <v>10.647651</v>
      </c>
      <c r="O1052" s="1"/>
      <c r="P1052" s="38">
        <f t="shared" si="97"/>
        <v>0</v>
      </c>
      <c r="S1052" s="24" t="str">
        <f t="shared" si="100"/>
        <v>-</v>
      </c>
      <c r="T1052" s="24" t="str">
        <f t="shared" si="98"/>
        <v>-</v>
      </c>
      <c r="U1052" s="25" t="str">
        <f t="shared" si="101"/>
        <v>-</v>
      </c>
      <c r="V1052" s="26" t="str">
        <f t="shared" si="102"/>
        <v>-</v>
      </c>
      <c r="X1052" s="26" t="str">
        <f t="shared" si="99"/>
        <v>-</v>
      </c>
    </row>
    <row r="1053" spans="1:24" x14ac:dyDescent="0.3">
      <c r="A1053" s="37">
        <v>87614190372</v>
      </c>
      <c r="B1053" s="8" t="s">
        <v>465</v>
      </c>
      <c r="C1053" s="10" t="s">
        <v>466</v>
      </c>
      <c r="D1053" s="11" t="s">
        <v>879</v>
      </c>
      <c r="E1053" s="11" t="s">
        <v>1018</v>
      </c>
      <c r="F1053" s="9">
        <v>30</v>
      </c>
      <c r="G1053" s="9">
        <v>90</v>
      </c>
      <c r="H1053" s="9" t="s">
        <v>868</v>
      </c>
      <c r="I1053" s="9">
        <v>24</v>
      </c>
      <c r="J1053" s="9">
        <v>60</v>
      </c>
      <c r="K1053" s="9" t="s">
        <v>889</v>
      </c>
      <c r="L1053" s="27">
        <v>5.7884999999999999E-2</v>
      </c>
      <c r="M1053" s="28" t="s">
        <v>3203</v>
      </c>
      <c r="N1053" s="17">
        <v>6.0131820000000005</v>
      </c>
      <c r="O1053" s="1"/>
      <c r="P1053" s="38">
        <f t="shared" si="97"/>
        <v>0</v>
      </c>
      <c r="S1053" s="24" t="str">
        <f t="shared" si="100"/>
        <v>-</v>
      </c>
      <c r="T1053" s="24" t="str">
        <f t="shared" si="98"/>
        <v>-</v>
      </c>
      <c r="U1053" s="25" t="str">
        <f t="shared" si="101"/>
        <v>-</v>
      </c>
      <c r="V1053" s="26" t="str">
        <f t="shared" si="102"/>
        <v>-</v>
      </c>
      <c r="X1053" s="26" t="str">
        <f t="shared" si="99"/>
        <v>-</v>
      </c>
    </row>
    <row r="1054" spans="1:24" x14ac:dyDescent="0.3">
      <c r="A1054" s="37">
        <v>87614190396</v>
      </c>
      <c r="B1054" s="8" t="s">
        <v>1638</v>
      </c>
      <c r="C1054" s="10" t="s">
        <v>2998</v>
      </c>
      <c r="D1054" s="11" t="s">
        <v>879</v>
      </c>
      <c r="E1054" s="11" t="s">
        <v>1018</v>
      </c>
      <c r="F1054" s="9">
        <v>20</v>
      </c>
      <c r="G1054" s="9">
        <v>60</v>
      </c>
      <c r="H1054" s="9" t="s">
        <v>868</v>
      </c>
      <c r="I1054" s="9">
        <v>18</v>
      </c>
      <c r="J1054" s="9">
        <v>120</v>
      </c>
      <c r="K1054" s="9" t="s">
        <v>2903</v>
      </c>
      <c r="L1054" s="27">
        <v>0.11577</v>
      </c>
      <c r="M1054" s="28" t="s">
        <v>3203</v>
      </c>
      <c r="N1054" s="17">
        <v>10.514763</v>
      </c>
      <c r="O1054" s="1"/>
      <c r="P1054" s="38">
        <f t="shared" si="97"/>
        <v>0</v>
      </c>
      <c r="S1054" s="24" t="str">
        <f t="shared" si="100"/>
        <v>-</v>
      </c>
      <c r="T1054" s="24" t="str">
        <f t="shared" si="98"/>
        <v>-</v>
      </c>
      <c r="U1054" s="25" t="str">
        <f t="shared" si="101"/>
        <v>-</v>
      </c>
      <c r="V1054" s="26" t="str">
        <f t="shared" si="102"/>
        <v>-</v>
      </c>
      <c r="X1054" s="26" t="str">
        <f t="shared" si="99"/>
        <v>-</v>
      </c>
    </row>
    <row r="1055" spans="1:24" x14ac:dyDescent="0.3">
      <c r="A1055" s="37">
        <v>87614190440</v>
      </c>
      <c r="B1055" s="8" t="s">
        <v>1162</v>
      </c>
      <c r="C1055" s="10" t="s">
        <v>2999</v>
      </c>
      <c r="D1055" s="11" t="s">
        <v>879</v>
      </c>
      <c r="E1055" s="11" t="s">
        <v>1018</v>
      </c>
      <c r="F1055" s="9">
        <v>30</v>
      </c>
      <c r="G1055" s="9">
        <v>90</v>
      </c>
      <c r="H1055" s="9" t="s">
        <v>868</v>
      </c>
      <c r="I1055" s="9">
        <v>24</v>
      </c>
      <c r="J1055" s="9">
        <v>60</v>
      </c>
      <c r="K1055" s="9" t="s">
        <v>2903</v>
      </c>
      <c r="L1055" s="27">
        <v>6.1289999999999997E-2</v>
      </c>
      <c r="M1055" s="28" t="s">
        <v>3203</v>
      </c>
      <c r="N1055" s="17">
        <v>21.743798999999999</v>
      </c>
      <c r="O1055" s="1"/>
      <c r="P1055" s="38">
        <f t="shared" si="97"/>
        <v>0</v>
      </c>
      <c r="S1055" s="24" t="str">
        <f t="shared" si="100"/>
        <v>-</v>
      </c>
      <c r="T1055" s="24" t="str">
        <f t="shared" si="98"/>
        <v>-</v>
      </c>
      <c r="U1055" s="25" t="str">
        <f t="shared" si="101"/>
        <v>-</v>
      </c>
      <c r="V1055" s="26" t="str">
        <f t="shared" si="102"/>
        <v>-</v>
      </c>
      <c r="X1055" s="26" t="str">
        <f t="shared" si="99"/>
        <v>-</v>
      </c>
    </row>
    <row r="1056" spans="1:24" x14ac:dyDescent="0.3">
      <c r="A1056" s="37">
        <v>87614190457</v>
      </c>
      <c r="B1056" s="8" t="s">
        <v>1639</v>
      </c>
      <c r="C1056" s="10" t="s">
        <v>2739</v>
      </c>
      <c r="D1056" s="11" t="s">
        <v>879</v>
      </c>
      <c r="E1056" s="11" t="s">
        <v>1018</v>
      </c>
      <c r="F1056" s="9">
        <v>30</v>
      </c>
      <c r="G1056" s="9">
        <v>90</v>
      </c>
      <c r="H1056" s="9" t="s">
        <v>868</v>
      </c>
      <c r="I1056" s="9">
        <v>24</v>
      </c>
      <c r="J1056" s="9">
        <v>60</v>
      </c>
      <c r="K1056" s="9" t="s">
        <v>2903</v>
      </c>
      <c r="L1056" s="27">
        <v>7.6045000000000001E-2</v>
      </c>
      <c r="M1056" s="28" t="s">
        <v>3203</v>
      </c>
      <c r="N1056" s="17">
        <v>31.776843</v>
      </c>
      <c r="O1056" s="1"/>
      <c r="P1056" s="38">
        <f t="shared" si="97"/>
        <v>0</v>
      </c>
      <c r="S1056" s="24" t="str">
        <f t="shared" si="100"/>
        <v>-</v>
      </c>
      <c r="T1056" s="24" t="str">
        <f t="shared" si="98"/>
        <v>-</v>
      </c>
      <c r="U1056" s="25" t="str">
        <f t="shared" si="101"/>
        <v>-</v>
      </c>
      <c r="V1056" s="26" t="str">
        <f t="shared" si="102"/>
        <v>-</v>
      </c>
      <c r="X1056" s="26" t="str">
        <f t="shared" si="99"/>
        <v>-</v>
      </c>
    </row>
    <row r="1057" spans="1:24" x14ac:dyDescent="0.3">
      <c r="A1057" s="37">
        <v>87614370019</v>
      </c>
      <c r="B1057" s="8" t="s">
        <v>1640</v>
      </c>
      <c r="C1057" s="10" t="s">
        <v>2399</v>
      </c>
      <c r="D1057" s="11" t="s">
        <v>2831</v>
      </c>
      <c r="E1057" s="11" t="s">
        <v>2832</v>
      </c>
      <c r="F1057" s="9">
        <v>24</v>
      </c>
      <c r="G1057" s="9">
        <v>24</v>
      </c>
      <c r="H1057" s="9" t="s">
        <v>892</v>
      </c>
      <c r="I1057" s="9">
        <v>60</v>
      </c>
      <c r="J1057" s="9">
        <v>1</v>
      </c>
      <c r="K1057" s="9" t="s">
        <v>887</v>
      </c>
      <c r="L1057" s="27">
        <v>6.1289999999999997E-2</v>
      </c>
      <c r="M1057" s="28" t="s">
        <v>3203</v>
      </c>
      <c r="N1057" s="17">
        <v>13.421688</v>
      </c>
      <c r="O1057" s="1"/>
      <c r="P1057" s="38">
        <f t="shared" si="97"/>
        <v>0</v>
      </c>
      <c r="S1057" s="24" t="str">
        <f t="shared" si="100"/>
        <v>-</v>
      </c>
      <c r="T1057" s="24" t="str">
        <f t="shared" si="98"/>
        <v>-</v>
      </c>
      <c r="U1057" s="25" t="str">
        <f t="shared" si="101"/>
        <v>-</v>
      </c>
      <c r="V1057" s="26" t="str">
        <f t="shared" si="102"/>
        <v>-</v>
      </c>
      <c r="X1057" s="26" t="str">
        <f t="shared" si="99"/>
        <v>-</v>
      </c>
    </row>
    <row r="1058" spans="1:24" x14ac:dyDescent="0.3">
      <c r="A1058" s="37">
        <v>87614100012</v>
      </c>
      <c r="B1058" s="8" t="s">
        <v>1641</v>
      </c>
      <c r="C1058" s="10" t="s">
        <v>2400</v>
      </c>
      <c r="D1058" s="11" t="s">
        <v>866</v>
      </c>
      <c r="E1058" s="11" t="s">
        <v>2860</v>
      </c>
      <c r="F1058" s="9">
        <v>48</v>
      </c>
      <c r="G1058" s="9">
        <v>432</v>
      </c>
      <c r="H1058" s="9" t="s">
        <v>892</v>
      </c>
      <c r="I1058" s="9">
        <v>36</v>
      </c>
      <c r="J1058" s="9">
        <v>1</v>
      </c>
      <c r="K1058" s="9" t="s">
        <v>2910</v>
      </c>
      <c r="L1058" s="27">
        <v>2.043E-2</v>
      </c>
      <c r="M1058" s="28" t="s">
        <v>3203</v>
      </c>
      <c r="N1058" s="17">
        <v>9.8835449999999998</v>
      </c>
      <c r="O1058" s="1"/>
      <c r="P1058" s="38">
        <f t="shared" si="97"/>
        <v>0</v>
      </c>
      <c r="S1058" s="24" t="str">
        <f t="shared" si="100"/>
        <v>-</v>
      </c>
      <c r="T1058" s="24" t="str">
        <f t="shared" si="98"/>
        <v>-</v>
      </c>
      <c r="U1058" s="25" t="str">
        <f t="shared" si="101"/>
        <v>-</v>
      </c>
      <c r="V1058" s="26" t="str">
        <f t="shared" si="102"/>
        <v>-</v>
      </c>
      <c r="X1058" s="26" t="str">
        <f t="shared" si="99"/>
        <v>-</v>
      </c>
    </row>
    <row r="1059" spans="1:24" x14ac:dyDescent="0.3">
      <c r="A1059" s="37">
        <v>87614100067</v>
      </c>
      <c r="B1059" s="8" t="s">
        <v>1430</v>
      </c>
      <c r="C1059" s="10" t="s">
        <v>2206</v>
      </c>
      <c r="D1059" s="11" t="s">
        <v>866</v>
      </c>
      <c r="E1059" s="11" t="s">
        <v>956</v>
      </c>
      <c r="F1059" s="9">
        <v>9</v>
      </c>
      <c r="G1059" s="9">
        <v>27</v>
      </c>
      <c r="H1059" s="9" t="s">
        <v>868</v>
      </c>
      <c r="I1059" s="9">
        <v>36</v>
      </c>
      <c r="J1059" s="9">
        <v>1</v>
      </c>
      <c r="K1059" s="9" t="s">
        <v>880</v>
      </c>
      <c r="L1059" s="27">
        <v>0.31326000000000004</v>
      </c>
      <c r="M1059" s="28" t="s">
        <v>3203</v>
      </c>
      <c r="N1059" s="17">
        <v>22.408239000000002</v>
      </c>
      <c r="O1059" s="1"/>
      <c r="P1059" s="38">
        <f t="shared" si="97"/>
        <v>0</v>
      </c>
      <c r="S1059" s="24" t="str">
        <f t="shared" si="100"/>
        <v>-</v>
      </c>
      <c r="T1059" s="24" t="str">
        <f t="shared" si="98"/>
        <v>-</v>
      </c>
      <c r="U1059" s="25" t="str">
        <f t="shared" si="101"/>
        <v>-</v>
      </c>
      <c r="V1059" s="26" t="str">
        <f t="shared" si="102"/>
        <v>-</v>
      </c>
      <c r="X1059" s="26" t="str">
        <f t="shared" si="99"/>
        <v>-</v>
      </c>
    </row>
    <row r="1060" spans="1:24" x14ac:dyDescent="0.3">
      <c r="A1060" s="37">
        <v>87614070285</v>
      </c>
      <c r="B1060" s="8" t="s">
        <v>1927</v>
      </c>
      <c r="C1060" s="10" t="s">
        <v>2650</v>
      </c>
      <c r="D1060" s="11" t="s">
        <v>875</v>
      </c>
      <c r="E1060" s="11" t="s">
        <v>935</v>
      </c>
      <c r="F1060" s="9">
        <v>20</v>
      </c>
      <c r="G1060" s="9">
        <v>60</v>
      </c>
      <c r="H1060" s="9" t="s">
        <v>892</v>
      </c>
      <c r="I1060" s="9">
        <v>24</v>
      </c>
      <c r="J1060" s="9">
        <v>120</v>
      </c>
      <c r="K1060" s="9" t="s">
        <v>873</v>
      </c>
      <c r="L1060" s="27">
        <v>0.13166</v>
      </c>
      <c r="M1060" s="28" t="s">
        <v>3203</v>
      </c>
      <c r="N1060" s="17">
        <v>13.654242</v>
      </c>
      <c r="O1060" s="1"/>
      <c r="P1060" s="38">
        <f t="shared" si="97"/>
        <v>0</v>
      </c>
      <c r="S1060" s="24" t="str">
        <f t="shared" si="100"/>
        <v>-</v>
      </c>
      <c r="T1060" s="24" t="str">
        <f t="shared" si="98"/>
        <v>-</v>
      </c>
      <c r="U1060" s="25" t="str">
        <f t="shared" si="101"/>
        <v>-</v>
      </c>
      <c r="V1060" s="26" t="str">
        <f t="shared" si="102"/>
        <v>-</v>
      </c>
      <c r="X1060" s="26" t="str">
        <f t="shared" si="99"/>
        <v>-</v>
      </c>
    </row>
    <row r="1061" spans="1:24" x14ac:dyDescent="0.3">
      <c r="A1061" s="37">
        <v>87614070537</v>
      </c>
      <c r="B1061" s="8" t="s">
        <v>1644</v>
      </c>
      <c r="C1061" s="10" t="s">
        <v>2403</v>
      </c>
      <c r="D1061" s="11" t="s">
        <v>2861</v>
      </c>
      <c r="E1061" s="11" t="s">
        <v>2862</v>
      </c>
      <c r="F1061" s="9">
        <v>30</v>
      </c>
      <c r="G1061" s="9">
        <v>90</v>
      </c>
      <c r="H1061" s="9" t="s">
        <v>892</v>
      </c>
      <c r="I1061" s="9">
        <v>24</v>
      </c>
      <c r="J1061" s="9">
        <v>60</v>
      </c>
      <c r="K1061" s="9" t="s">
        <v>873</v>
      </c>
      <c r="L1061" s="27">
        <v>9.9879999999999997E-2</v>
      </c>
      <c r="M1061" s="28" t="s">
        <v>3203</v>
      </c>
      <c r="N1061" s="17">
        <v>12.491472</v>
      </c>
      <c r="O1061" s="1"/>
      <c r="P1061" s="38">
        <f t="shared" si="97"/>
        <v>0</v>
      </c>
      <c r="S1061" s="24" t="str">
        <f t="shared" si="100"/>
        <v>-</v>
      </c>
      <c r="T1061" s="24" t="str">
        <f t="shared" si="98"/>
        <v>-</v>
      </c>
      <c r="U1061" s="25" t="str">
        <f t="shared" si="101"/>
        <v>-</v>
      </c>
      <c r="V1061" s="26" t="str">
        <f t="shared" si="102"/>
        <v>-</v>
      </c>
      <c r="X1061" s="26" t="str">
        <f t="shared" si="99"/>
        <v>-</v>
      </c>
    </row>
    <row r="1062" spans="1:24" x14ac:dyDescent="0.3">
      <c r="A1062" s="37">
        <v>87614070599</v>
      </c>
      <c r="B1062" s="8" t="s">
        <v>1431</v>
      </c>
      <c r="C1062" s="10" t="s">
        <v>2207</v>
      </c>
      <c r="D1062" s="11" t="s">
        <v>874</v>
      </c>
      <c r="E1062" s="11" t="s">
        <v>919</v>
      </c>
      <c r="F1062" s="9">
        <v>20</v>
      </c>
      <c r="G1062" s="9">
        <v>60</v>
      </c>
      <c r="H1062" s="9" t="s">
        <v>868</v>
      </c>
      <c r="I1062" s="9">
        <v>24</v>
      </c>
      <c r="J1062" s="9">
        <v>90</v>
      </c>
      <c r="K1062" s="9" t="s">
        <v>873</v>
      </c>
      <c r="L1062" s="27">
        <v>0.11123000000000001</v>
      </c>
      <c r="M1062" s="28" t="s">
        <v>3203</v>
      </c>
      <c r="N1062" s="17">
        <v>17.856825000000001</v>
      </c>
      <c r="O1062" s="1"/>
      <c r="P1062" s="38">
        <f t="shared" si="97"/>
        <v>0</v>
      </c>
      <c r="S1062" s="24" t="str">
        <f t="shared" si="100"/>
        <v>-</v>
      </c>
      <c r="T1062" s="24" t="str">
        <f t="shared" si="98"/>
        <v>-</v>
      </c>
      <c r="U1062" s="25" t="str">
        <f t="shared" si="101"/>
        <v>-</v>
      </c>
      <c r="V1062" s="26" t="str">
        <f t="shared" si="102"/>
        <v>-</v>
      </c>
      <c r="X1062" s="26" t="str">
        <f t="shared" si="99"/>
        <v>-</v>
      </c>
    </row>
    <row r="1063" spans="1:24" x14ac:dyDescent="0.3">
      <c r="A1063" s="37">
        <v>87614070827</v>
      </c>
      <c r="B1063" s="8" t="s">
        <v>1646</v>
      </c>
      <c r="C1063" s="10" t="s">
        <v>2742</v>
      </c>
      <c r="D1063" s="11" t="s">
        <v>879</v>
      </c>
      <c r="E1063" s="11" t="s">
        <v>1018</v>
      </c>
      <c r="F1063" s="9">
        <v>16</v>
      </c>
      <c r="G1063" s="9">
        <v>48</v>
      </c>
      <c r="H1063" s="9" t="s">
        <v>868</v>
      </c>
      <c r="I1063" s="9">
        <v>24</v>
      </c>
      <c r="J1063" s="9">
        <v>120</v>
      </c>
      <c r="K1063" s="9" t="s">
        <v>2903</v>
      </c>
      <c r="L1063" s="27">
        <v>0.14527999999999999</v>
      </c>
      <c r="M1063" s="28" t="s">
        <v>3203</v>
      </c>
      <c r="N1063" s="17">
        <v>12.674193000000001</v>
      </c>
      <c r="O1063" s="1"/>
      <c r="P1063" s="38">
        <f t="shared" si="97"/>
        <v>0</v>
      </c>
      <c r="S1063" s="24" t="str">
        <f t="shared" si="100"/>
        <v>-</v>
      </c>
      <c r="T1063" s="24" t="str">
        <f t="shared" si="98"/>
        <v>-</v>
      </c>
      <c r="U1063" s="25" t="str">
        <f t="shared" si="101"/>
        <v>-</v>
      </c>
      <c r="V1063" s="26" t="str">
        <f t="shared" si="102"/>
        <v>-</v>
      </c>
      <c r="X1063" s="26" t="str">
        <f t="shared" si="99"/>
        <v>-</v>
      </c>
    </row>
    <row r="1064" spans="1:24" x14ac:dyDescent="0.3">
      <c r="A1064" s="37">
        <v>87614070841</v>
      </c>
      <c r="B1064" s="8" t="s">
        <v>1163</v>
      </c>
      <c r="C1064" s="10" t="s">
        <v>1985</v>
      </c>
      <c r="D1064" s="11" t="s">
        <v>883</v>
      </c>
      <c r="E1064" s="11" t="s">
        <v>926</v>
      </c>
      <c r="F1064" s="9">
        <v>12</v>
      </c>
      <c r="G1064" s="9">
        <v>24</v>
      </c>
      <c r="H1064" s="9" t="s">
        <v>868</v>
      </c>
      <c r="I1064" s="9">
        <v>24</v>
      </c>
      <c r="J1064" s="9">
        <v>180</v>
      </c>
      <c r="K1064" s="9" t="s">
        <v>889</v>
      </c>
      <c r="L1064" s="27">
        <v>0.27126499999999998</v>
      </c>
      <c r="M1064" s="28" t="s">
        <v>3203</v>
      </c>
      <c r="N1064" s="17">
        <v>19.301981999999999</v>
      </c>
      <c r="O1064" s="1"/>
      <c r="P1064" s="38">
        <f t="shared" si="97"/>
        <v>0</v>
      </c>
      <c r="S1064" s="24" t="str">
        <f t="shared" si="100"/>
        <v>-</v>
      </c>
      <c r="T1064" s="24" t="str">
        <f t="shared" si="98"/>
        <v>-</v>
      </c>
      <c r="U1064" s="25" t="str">
        <f t="shared" si="101"/>
        <v>-</v>
      </c>
      <c r="V1064" s="26" t="str">
        <f t="shared" si="102"/>
        <v>-</v>
      </c>
      <c r="X1064" s="26" t="str">
        <f t="shared" si="99"/>
        <v>-</v>
      </c>
    </row>
    <row r="1065" spans="1:24" x14ac:dyDescent="0.3">
      <c r="A1065" s="37">
        <v>87614070872</v>
      </c>
      <c r="B1065" s="8" t="s">
        <v>1647</v>
      </c>
      <c r="C1065" s="10" t="s">
        <v>2405</v>
      </c>
      <c r="D1065" s="11" t="s">
        <v>885</v>
      </c>
      <c r="E1065" s="11" t="s">
        <v>973</v>
      </c>
      <c r="F1065" s="9">
        <v>20</v>
      </c>
      <c r="G1065" s="9">
        <v>60</v>
      </c>
      <c r="H1065" s="9" t="s">
        <v>868</v>
      </c>
      <c r="I1065" s="9">
        <v>36</v>
      </c>
      <c r="J1065" s="9">
        <v>120</v>
      </c>
      <c r="K1065" s="9" t="s">
        <v>889</v>
      </c>
      <c r="L1065" s="27">
        <v>0.116905</v>
      </c>
      <c r="M1065" s="28" t="s">
        <v>3203</v>
      </c>
      <c r="N1065" s="17">
        <v>17.507994</v>
      </c>
      <c r="O1065" s="1"/>
      <c r="P1065" s="38">
        <f t="shared" si="97"/>
        <v>0</v>
      </c>
      <c r="S1065" s="24" t="str">
        <f t="shared" si="100"/>
        <v>-</v>
      </c>
      <c r="T1065" s="24" t="str">
        <f t="shared" si="98"/>
        <v>-</v>
      </c>
      <c r="U1065" s="25" t="str">
        <f t="shared" si="101"/>
        <v>-</v>
      </c>
      <c r="V1065" s="26" t="str">
        <f t="shared" si="102"/>
        <v>-</v>
      </c>
      <c r="X1065" s="26" t="str">
        <f t="shared" si="99"/>
        <v>-</v>
      </c>
    </row>
    <row r="1066" spans="1:24" x14ac:dyDescent="0.3">
      <c r="A1066" s="37">
        <v>87614070926</v>
      </c>
      <c r="B1066" s="8" t="s">
        <v>477</v>
      </c>
      <c r="C1066" s="10" t="s">
        <v>478</v>
      </c>
      <c r="D1066" s="11" t="s">
        <v>884</v>
      </c>
      <c r="E1066" s="11" t="s">
        <v>946</v>
      </c>
      <c r="F1066" s="9">
        <v>30</v>
      </c>
      <c r="G1066" s="9">
        <v>90</v>
      </c>
      <c r="H1066" s="9" t="s">
        <v>892</v>
      </c>
      <c r="I1066" s="9">
        <v>24</v>
      </c>
      <c r="J1066" s="9">
        <v>60</v>
      </c>
      <c r="K1066" s="9" t="s">
        <v>889</v>
      </c>
      <c r="L1066" s="27">
        <v>8.3989999999999995E-2</v>
      </c>
      <c r="M1066" s="28" t="s">
        <v>3203</v>
      </c>
      <c r="N1066" s="17">
        <v>12.574527</v>
      </c>
      <c r="O1066" s="1"/>
      <c r="P1066" s="38">
        <f t="shared" si="97"/>
        <v>0</v>
      </c>
      <c r="S1066" s="24" t="str">
        <f t="shared" si="100"/>
        <v>-</v>
      </c>
      <c r="T1066" s="24" t="str">
        <f t="shared" si="98"/>
        <v>-</v>
      </c>
      <c r="U1066" s="25" t="str">
        <f t="shared" si="101"/>
        <v>-</v>
      </c>
      <c r="V1066" s="26" t="str">
        <f t="shared" si="102"/>
        <v>-</v>
      </c>
      <c r="X1066" s="26" t="str">
        <f t="shared" si="99"/>
        <v>-</v>
      </c>
    </row>
    <row r="1067" spans="1:24" x14ac:dyDescent="0.3">
      <c r="A1067" s="37">
        <v>87614070933</v>
      </c>
      <c r="B1067" s="8" t="s">
        <v>479</v>
      </c>
      <c r="C1067" s="10" t="s">
        <v>2743</v>
      </c>
      <c r="D1067" s="11" t="s">
        <v>874</v>
      </c>
      <c r="E1067" s="11" t="s">
        <v>925</v>
      </c>
      <c r="F1067" s="9">
        <v>30</v>
      </c>
      <c r="G1067" s="9">
        <v>90</v>
      </c>
      <c r="H1067" s="9" t="s">
        <v>868</v>
      </c>
      <c r="I1067" s="9">
        <v>24</v>
      </c>
      <c r="J1067" s="9">
        <v>60</v>
      </c>
      <c r="K1067" s="9" t="s">
        <v>2903</v>
      </c>
      <c r="L1067" s="27">
        <v>8.3989999999999995E-2</v>
      </c>
      <c r="M1067" s="28" t="s">
        <v>3203</v>
      </c>
      <c r="N1067" s="17">
        <v>11.660921999999999</v>
      </c>
      <c r="O1067" s="1"/>
      <c r="P1067" s="38">
        <f t="shared" si="97"/>
        <v>0</v>
      </c>
      <c r="S1067" s="24" t="str">
        <f t="shared" si="100"/>
        <v>-</v>
      </c>
      <c r="T1067" s="24" t="str">
        <f t="shared" si="98"/>
        <v>-</v>
      </c>
      <c r="U1067" s="25" t="str">
        <f t="shared" si="101"/>
        <v>-</v>
      </c>
      <c r="V1067" s="26" t="str">
        <f t="shared" si="102"/>
        <v>-</v>
      </c>
      <c r="X1067" s="26" t="str">
        <f t="shared" si="99"/>
        <v>-</v>
      </c>
    </row>
    <row r="1068" spans="1:24" x14ac:dyDescent="0.3">
      <c r="A1068" s="37">
        <v>87614070971</v>
      </c>
      <c r="B1068" s="8" t="s">
        <v>1433</v>
      </c>
      <c r="C1068" s="10" t="s">
        <v>3001</v>
      </c>
      <c r="D1068" s="11" t="s">
        <v>902</v>
      </c>
      <c r="E1068" s="11" t="s">
        <v>1023</v>
      </c>
      <c r="F1068" s="9">
        <v>30</v>
      </c>
      <c r="G1068" s="9">
        <v>90</v>
      </c>
      <c r="H1068" s="9" t="s">
        <v>868</v>
      </c>
      <c r="I1068" s="9">
        <v>24</v>
      </c>
      <c r="J1068" s="9">
        <v>60</v>
      </c>
      <c r="K1068" s="9" t="s">
        <v>2903</v>
      </c>
      <c r="L1068" s="27">
        <v>9.9879999999999997E-2</v>
      </c>
      <c r="M1068" s="28" t="s">
        <v>3203</v>
      </c>
      <c r="N1068" s="17">
        <v>10.813761</v>
      </c>
      <c r="O1068" s="1"/>
      <c r="P1068" s="38">
        <f t="shared" si="97"/>
        <v>0</v>
      </c>
      <c r="S1068" s="24" t="str">
        <f t="shared" si="100"/>
        <v>-</v>
      </c>
      <c r="T1068" s="24" t="str">
        <f t="shared" si="98"/>
        <v>-</v>
      </c>
      <c r="U1068" s="25" t="str">
        <f t="shared" si="101"/>
        <v>-</v>
      </c>
      <c r="V1068" s="26" t="str">
        <f t="shared" si="102"/>
        <v>-</v>
      </c>
      <c r="X1068" s="26" t="str">
        <f t="shared" si="99"/>
        <v>-</v>
      </c>
    </row>
    <row r="1069" spans="1:24" x14ac:dyDescent="0.3">
      <c r="A1069" s="37">
        <v>87614071008</v>
      </c>
      <c r="B1069" s="8" t="s">
        <v>1434</v>
      </c>
      <c r="C1069" s="10" t="s">
        <v>2209</v>
      </c>
      <c r="D1069" s="11" t="s">
        <v>879</v>
      </c>
      <c r="E1069" s="11" t="s">
        <v>988</v>
      </c>
      <c r="F1069" s="9">
        <v>30</v>
      </c>
      <c r="G1069" s="9">
        <v>90</v>
      </c>
      <c r="H1069" s="9" t="s">
        <v>892</v>
      </c>
      <c r="I1069" s="9">
        <v>24</v>
      </c>
      <c r="J1069" s="9">
        <v>60</v>
      </c>
      <c r="K1069" s="9" t="s">
        <v>889</v>
      </c>
      <c r="L1069" s="27">
        <v>6.0155E-2</v>
      </c>
      <c r="M1069" s="28" t="s">
        <v>3203</v>
      </c>
      <c r="N1069" s="17">
        <v>16.727276999999997</v>
      </c>
      <c r="O1069" s="1"/>
      <c r="P1069" s="38">
        <f t="shared" si="97"/>
        <v>0</v>
      </c>
      <c r="S1069" s="24" t="str">
        <f t="shared" si="100"/>
        <v>-</v>
      </c>
      <c r="T1069" s="24" t="str">
        <f t="shared" si="98"/>
        <v>-</v>
      </c>
      <c r="U1069" s="25" t="str">
        <f t="shared" si="101"/>
        <v>-</v>
      </c>
      <c r="V1069" s="26" t="str">
        <f t="shared" si="102"/>
        <v>-</v>
      </c>
      <c r="X1069" s="26" t="str">
        <f t="shared" si="99"/>
        <v>-</v>
      </c>
    </row>
    <row r="1070" spans="1:24" x14ac:dyDescent="0.3">
      <c r="A1070" s="37">
        <v>87614071084</v>
      </c>
      <c r="B1070" s="8" t="s">
        <v>1435</v>
      </c>
      <c r="C1070" s="10" t="s">
        <v>3003</v>
      </c>
      <c r="D1070" s="11" t="s">
        <v>874</v>
      </c>
      <c r="E1070" s="11" t="s">
        <v>914</v>
      </c>
      <c r="F1070" s="9">
        <v>20</v>
      </c>
      <c r="G1070" s="9">
        <v>60</v>
      </c>
      <c r="H1070" s="9" t="s">
        <v>892</v>
      </c>
      <c r="I1070" s="9">
        <v>24</v>
      </c>
      <c r="J1070" s="9">
        <v>90</v>
      </c>
      <c r="K1070" s="9" t="s">
        <v>2903</v>
      </c>
      <c r="L1070" s="27">
        <v>0.13619999999999999</v>
      </c>
      <c r="M1070" s="28" t="s">
        <v>3203</v>
      </c>
      <c r="N1070" s="17">
        <v>11.893476</v>
      </c>
      <c r="O1070" s="1"/>
      <c r="P1070" s="38">
        <f t="shared" si="97"/>
        <v>0</v>
      </c>
      <c r="S1070" s="24" t="str">
        <f t="shared" si="100"/>
        <v>-</v>
      </c>
      <c r="T1070" s="24" t="str">
        <f t="shared" si="98"/>
        <v>-</v>
      </c>
      <c r="U1070" s="25" t="str">
        <f t="shared" si="101"/>
        <v>-</v>
      </c>
      <c r="V1070" s="26" t="str">
        <f t="shared" si="102"/>
        <v>-</v>
      </c>
      <c r="X1070" s="26" t="str">
        <f t="shared" si="99"/>
        <v>-</v>
      </c>
    </row>
    <row r="1071" spans="1:24" x14ac:dyDescent="0.3">
      <c r="A1071" s="37">
        <v>87614040356</v>
      </c>
      <c r="B1071" s="8" t="s">
        <v>1651</v>
      </c>
      <c r="C1071" s="10" t="s">
        <v>2408</v>
      </c>
      <c r="D1071" s="11" t="s">
        <v>884</v>
      </c>
      <c r="E1071" s="11" t="s">
        <v>940</v>
      </c>
      <c r="F1071" s="9">
        <v>16</v>
      </c>
      <c r="G1071" s="9">
        <v>48</v>
      </c>
      <c r="H1071" s="9" t="s">
        <v>868</v>
      </c>
      <c r="I1071" s="9">
        <v>24</v>
      </c>
      <c r="J1071" s="9">
        <v>120</v>
      </c>
      <c r="K1071" s="9" t="s">
        <v>873</v>
      </c>
      <c r="L1071" s="27">
        <v>0.13733499999999998</v>
      </c>
      <c r="M1071" s="28" t="s">
        <v>3203</v>
      </c>
      <c r="N1071" s="17">
        <v>10.398486</v>
      </c>
      <c r="O1071" s="1"/>
      <c r="P1071" s="38">
        <f t="shared" si="97"/>
        <v>0</v>
      </c>
      <c r="S1071" s="24" t="str">
        <f t="shared" si="100"/>
        <v>-</v>
      </c>
      <c r="T1071" s="24" t="str">
        <f t="shared" si="98"/>
        <v>-</v>
      </c>
      <c r="U1071" s="25" t="str">
        <f t="shared" si="101"/>
        <v>-</v>
      </c>
      <c r="V1071" s="26" t="str">
        <f t="shared" si="102"/>
        <v>-</v>
      </c>
      <c r="X1071" s="26" t="str">
        <f t="shared" si="99"/>
        <v>-</v>
      </c>
    </row>
    <row r="1072" spans="1:24" x14ac:dyDescent="0.3">
      <c r="A1072" s="37">
        <v>87614040455</v>
      </c>
      <c r="B1072" s="8" t="s">
        <v>1437</v>
      </c>
      <c r="C1072" s="10" t="s">
        <v>2211</v>
      </c>
      <c r="D1072" s="11" t="s">
        <v>874</v>
      </c>
      <c r="E1072" s="11" t="s">
        <v>919</v>
      </c>
      <c r="F1072" s="9">
        <v>20</v>
      </c>
      <c r="G1072" s="9">
        <v>60</v>
      </c>
      <c r="H1072" s="9" t="s">
        <v>868</v>
      </c>
      <c r="I1072" s="9">
        <v>24</v>
      </c>
      <c r="J1072" s="9">
        <v>120</v>
      </c>
      <c r="K1072" s="9" t="s">
        <v>873</v>
      </c>
      <c r="L1072" s="27">
        <v>0.103285</v>
      </c>
      <c r="M1072" s="28" t="s">
        <v>3203</v>
      </c>
      <c r="N1072" s="17">
        <v>15.730617000000001</v>
      </c>
      <c r="O1072" s="1"/>
      <c r="P1072" s="38">
        <f t="shared" si="97"/>
        <v>0</v>
      </c>
      <c r="S1072" s="24" t="str">
        <f t="shared" si="100"/>
        <v>-</v>
      </c>
      <c r="T1072" s="24" t="str">
        <f t="shared" si="98"/>
        <v>-</v>
      </c>
      <c r="U1072" s="25" t="str">
        <f t="shared" si="101"/>
        <v>-</v>
      </c>
      <c r="V1072" s="26" t="str">
        <f t="shared" si="102"/>
        <v>-</v>
      </c>
      <c r="X1072" s="26" t="str">
        <f t="shared" si="99"/>
        <v>-</v>
      </c>
    </row>
    <row r="1073" spans="1:24" x14ac:dyDescent="0.3">
      <c r="A1073" s="37">
        <v>87614040516</v>
      </c>
      <c r="B1073" s="8" t="s">
        <v>1652</v>
      </c>
      <c r="C1073" s="10" t="s">
        <v>2409</v>
      </c>
      <c r="D1073" s="11" t="s">
        <v>878</v>
      </c>
      <c r="E1073" s="11" t="s">
        <v>997</v>
      </c>
      <c r="F1073" s="9">
        <v>16</v>
      </c>
      <c r="G1073" s="9">
        <v>48</v>
      </c>
      <c r="H1073" s="9" t="s">
        <v>868</v>
      </c>
      <c r="I1073" s="9">
        <v>24</v>
      </c>
      <c r="J1073" s="9">
        <v>120</v>
      </c>
      <c r="K1073" s="9" t="s">
        <v>873</v>
      </c>
      <c r="L1073" s="27">
        <v>0.187275</v>
      </c>
      <c r="M1073" s="28" t="s">
        <v>3203</v>
      </c>
      <c r="N1073" s="17">
        <v>18.903318000000002</v>
      </c>
      <c r="O1073" s="1"/>
      <c r="P1073" s="38">
        <f t="shared" si="97"/>
        <v>0</v>
      </c>
      <c r="S1073" s="24" t="str">
        <f t="shared" si="100"/>
        <v>-</v>
      </c>
      <c r="T1073" s="24" t="str">
        <f t="shared" si="98"/>
        <v>-</v>
      </c>
      <c r="U1073" s="25" t="str">
        <f t="shared" si="101"/>
        <v>-</v>
      </c>
      <c r="V1073" s="26" t="str">
        <f t="shared" si="102"/>
        <v>-</v>
      </c>
      <c r="X1073" s="26" t="str">
        <f t="shared" si="99"/>
        <v>-</v>
      </c>
    </row>
    <row r="1074" spans="1:24" x14ac:dyDescent="0.3">
      <c r="A1074" s="37">
        <v>87614040653</v>
      </c>
      <c r="B1074" s="8" t="s">
        <v>1438</v>
      </c>
      <c r="C1074" s="10" t="s">
        <v>2212</v>
      </c>
      <c r="D1074" s="11" t="s">
        <v>878</v>
      </c>
      <c r="E1074" s="11" t="s">
        <v>2865</v>
      </c>
      <c r="F1074" s="9">
        <v>12</v>
      </c>
      <c r="G1074" s="9">
        <v>24</v>
      </c>
      <c r="H1074" s="9" t="s">
        <v>868</v>
      </c>
      <c r="I1074" s="9">
        <v>36</v>
      </c>
      <c r="J1074" s="9">
        <v>180</v>
      </c>
      <c r="K1074" s="9" t="s">
        <v>873</v>
      </c>
      <c r="L1074" s="27">
        <v>0.20089499999999999</v>
      </c>
      <c r="M1074" s="28" t="s">
        <v>3203</v>
      </c>
      <c r="N1074" s="17">
        <v>25.763660999999999</v>
      </c>
      <c r="O1074" s="1"/>
      <c r="P1074" s="38">
        <f t="shared" si="97"/>
        <v>0</v>
      </c>
      <c r="S1074" s="24" t="str">
        <f t="shared" si="100"/>
        <v>-</v>
      </c>
      <c r="T1074" s="24" t="str">
        <f t="shared" si="98"/>
        <v>-</v>
      </c>
      <c r="U1074" s="25" t="str">
        <f t="shared" si="101"/>
        <v>-</v>
      </c>
      <c r="V1074" s="26" t="str">
        <f t="shared" si="102"/>
        <v>-</v>
      </c>
      <c r="X1074" s="26" t="str">
        <f t="shared" si="99"/>
        <v>-</v>
      </c>
    </row>
    <row r="1075" spans="1:24" x14ac:dyDescent="0.3">
      <c r="A1075" s="37">
        <v>87614040677</v>
      </c>
      <c r="B1075" s="8" t="s">
        <v>1654</v>
      </c>
      <c r="C1075" s="10" t="s">
        <v>2411</v>
      </c>
      <c r="D1075" s="11" t="s">
        <v>874</v>
      </c>
      <c r="E1075" s="11" t="s">
        <v>2819</v>
      </c>
      <c r="F1075" s="9">
        <v>12</v>
      </c>
      <c r="G1075" s="9">
        <v>24</v>
      </c>
      <c r="H1075" s="9" t="s">
        <v>868</v>
      </c>
      <c r="I1075" s="9">
        <v>24</v>
      </c>
      <c r="J1075" s="9">
        <v>180</v>
      </c>
      <c r="K1075" s="9" t="s">
        <v>869</v>
      </c>
      <c r="L1075" s="27">
        <v>0.36660500000000001</v>
      </c>
      <c r="M1075" s="28" t="s">
        <v>3203</v>
      </c>
      <c r="N1075" s="17">
        <v>27.325094999999997</v>
      </c>
      <c r="O1075" s="1"/>
      <c r="P1075" s="38">
        <f t="shared" si="97"/>
        <v>0</v>
      </c>
      <c r="S1075" s="24" t="str">
        <f t="shared" si="100"/>
        <v>-</v>
      </c>
      <c r="T1075" s="24" t="str">
        <f t="shared" si="98"/>
        <v>-</v>
      </c>
      <c r="U1075" s="25" t="str">
        <f t="shared" si="101"/>
        <v>-</v>
      </c>
      <c r="V1075" s="26" t="str">
        <f t="shared" si="102"/>
        <v>-</v>
      </c>
      <c r="X1075" s="26" t="str">
        <f t="shared" si="99"/>
        <v>-</v>
      </c>
    </row>
    <row r="1076" spans="1:24" x14ac:dyDescent="0.3">
      <c r="A1076" s="37">
        <v>87614040769</v>
      </c>
      <c r="B1076" s="8" t="s">
        <v>1219</v>
      </c>
      <c r="C1076" s="10" t="s">
        <v>3005</v>
      </c>
      <c r="D1076" s="11" t="s">
        <v>878</v>
      </c>
      <c r="E1076" s="11" t="s">
        <v>954</v>
      </c>
      <c r="F1076" s="9">
        <v>30</v>
      </c>
      <c r="G1076" s="9">
        <v>90</v>
      </c>
      <c r="H1076" s="9" t="s">
        <v>892</v>
      </c>
      <c r="I1076" s="9">
        <v>24</v>
      </c>
      <c r="J1076" s="9">
        <v>60</v>
      </c>
      <c r="K1076" s="9" t="s">
        <v>2903</v>
      </c>
      <c r="L1076" s="27">
        <v>5.4480000000000001E-2</v>
      </c>
      <c r="M1076" s="28" t="s">
        <v>3203</v>
      </c>
      <c r="N1076" s="17">
        <v>3.8869739999999999</v>
      </c>
      <c r="O1076" s="1"/>
      <c r="P1076" s="38">
        <f t="shared" si="97"/>
        <v>0</v>
      </c>
      <c r="S1076" s="24" t="str">
        <f t="shared" si="100"/>
        <v>-</v>
      </c>
      <c r="T1076" s="24" t="str">
        <f t="shared" si="98"/>
        <v>-</v>
      </c>
      <c r="U1076" s="25" t="str">
        <f t="shared" si="101"/>
        <v>-</v>
      </c>
      <c r="V1076" s="26" t="str">
        <f t="shared" si="102"/>
        <v>-</v>
      </c>
      <c r="X1076" s="26" t="str">
        <f t="shared" si="99"/>
        <v>-</v>
      </c>
    </row>
    <row r="1077" spans="1:24" x14ac:dyDescent="0.3">
      <c r="A1077" s="37">
        <v>87614040837</v>
      </c>
      <c r="B1077" s="8" t="s">
        <v>1655</v>
      </c>
      <c r="C1077" s="10" t="s">
        <v>2412</v>
      </c>
      <c r="D1077" s="11" t="s">
        <v>874</v>
      </c>
      <c r="E1077" s="11" t="s">
        <v>919</v>
      </c>
      <c r="F1077" s="9">
        <v>48</v>
      </c>
      <c r="G1077" s="9">
        <v>192</v>
      </c>
      <c r="H1077" s="9" t="s">
        <v>868</v>
      </c>
      <c r="I1077" s="9">
        <v>36</v>
      </c>
      <c r="J1077" s="9">
        <v>60</v>
      </c>
      <c r="K1077" s="9" t="s">
        <v>889</v>
      </c>
      <c r="L1077" s="27">
        <v>3.7455000000000002E-2</v>
      </c>
      <c r="M1077" s="28" t="s">
        <v>3203</v>
      </c>
      <c r="N1077" s="17">
        <v>9.2855489999999996</v>
      </c>
      <c r="O1077" s="1"/>
      <c r="P1077" s="38">
        <f t="shared" si="97"/>
        <v>0</v>
      </c>
      <c r="S1077" s="24" t="str">
        <f t="shared" si="100"/>
        <v>-</v>
      </c>
      <c r="T1077" s="24" t="str">
        <f t="shared" si="98"/>
        <v>-</v>
      </c>
      <c r="U1077" s="25" t="str">
        <f t="shared" si="101"/>
        <v>-</v>
      </c>
      <c r="V1077" s="26" t="str">
        <f t="shared" si="102"/>
        <v>-</v>
      </c>
      <c r="X1077" s="26" t="str">
        <f t="shared" si="99"/>
        <v>-</v>
      </c>
    </row>
    <row r="1078" spans="1:24" x14ac:dyDescent="0.3">
      <c r="A1078" s="37">
        <v>87614040844</v>
      </c>
      <c r="B1078" s="8" t="s">
        <v>499</v>
      </c>
      <c r="C1078" s="10" t="s">
        <v>500</v>
      </c>
      <c r="D1078" s="11" t="s">
        <v>878</v>
      </c>
      <c r="E1078" s="11" t="s">
        <v>1001</v>
      </c>
      <c r="F1078" s="9">
        <v>30</v>
      </c>
      <c r="G1078" s="9">
        <v>90</v>
      </c>
      <c r="H1078" s="9" t="s">
        <v>868</v>
      </c>
      <c r="I1078" s="9">
        <v>36</v>
      </c>
      <c r="J1078" s="9">
        <v>90</v>
      </c>
      <c r="K1078" s="9" t="s">
        <v>889</v>
      </c>
      <c r="L1078" s="27">
        <v>6.583E-2</v>
      </c>
      <c r="M1078" s="28" t="s">
        <v>3203</v>
      </c>
      <c r="N1078" s="17">
        <v>5.4484079999999997</v>
      </c>
      <c r="O1078" s="1"/>
      <c r="P1078" s="38">
        <f t="shared" si="97"/>
        <v>0</v>
      </c>
      <c r="S1078" s="24" t="str">
        <f t="shared" si="100"/>
        <v>-</v>
      </c>
      <c r="T1078" s="24" t="str">
        <f t="shared" si="98"/>
        <v>-</v>
      </c>
      <c r="U1078" s="25" t="str">
        <f t="shared" si="101"/>
        <v>-</v>
      </c>
      <c r="V1078" s="26" t="str">
        <f t="shared" si="102"/>
        <v>-</v>
      </c>
      <c r="X1078" s="26" t="str">
        <f t="shared" si="99"/>
        <v>-</v>
      </c>
    </row>
    <row r="1079" spans="1:24" x14ac:dyDescent="0.3">
      <c r="A1079" s="37">
        <v>87614170022</v>
      </c>
      <c r="B1079" s="8" t="s">
        <v>505</v>
      </c>
      <c r="C1079" s="10" t="s">
        <v>506</v>
      </c>
      <c r="D1079" s="11" t="s">
        <v>874</v>
      </c>
      <c r="E1079" s="11" t="s">
        <v>2819</v>
      </c>
      <c r="F1079" s="9">
        <v>12</v>
      </c>
      <c r="G1079" s="9">
        <v>24</v>
      </c>
      <c r="H1079" s="9" t="s">
        <v>868</v>
      </c>
      <c r="I1079" s="9">
        <v>36</v>
      </c>
      <c r="J1079" s="9">
        <v>200</v>
      </c>
      <c r="K1079" s="9" t="s">
        <v>869</v>
      </c>
      <c r="L1079" s="27">
        <v>0.37909000000000004</v>
      </c>
      <c r="M1079" s="28" t="s">
        <v>3203</v>
      </c>
      <c r="N1079" s="17">
        <v>13.371855</v>
      </c>
      <c r="O1079" s="1"/>
      <c r="P1079" s="38">
        <f t="shared" si="97"/>
        <v>0</v>
      </c>
      <c r="S1079" s="24" t="str">
        <f t="shared" si="100"/>
        <v>-</v>
      </c>
      <c r="T1079" s="24" t="str">
        <f t="shared" si="98"/>
        <v>-</v>
      </c>
      <c r="U1079" s="25" t="str">
        <f t="shared" si="101"/>
        <v>-</v>
      </c>
      <c r="V1079" s="26" t="str">
        <f t="shared" si="102"/>
        <v>-</v>
      </c>
      <c r="X1079" s="26" t="str">
        <f t="shared" si="99"/>
        <v>-</v>
      </c>
    </row>
    <row r="1080" spans="1:24" x14ac:dyDescent="0.3">
      <c r="A1080" s="37">
        <v>87614170039</v>
      </c>
      <c r="B1080" s="8" t="s">
        <v>507</v>
      </c>
      <c r="C1080" s="10" t="s">
        <v>508</v>
      </c>
      <c r="D1080" s="11" t="s">
        <v>905</v>
      </c>
      <c r="E1080" s="11" t="s">
        <v>1044</v>
      </c>
      <c r="F1080" s="9">
        <v>24</v>
      </c>
      <c r="G1080" s="9">
        <v>120</v>
      </c>
      <c r="H1080" s="9" t="s">
        <v>868</v>
      </c>
      <c r="I1080" s="9">
        <v>36</v>
      </c>
      <c r="J1080" s="9">
        <v>1</v>
      </c>
      <c r="K1080" s="9" t="s">
        <v>887</v>
      </c>
      <c r="L1080" s="27">
        <v>0.55955500000000002</v>
      </c>
      <c r="M1080" s="28" t="s">
        <v>3203</v>
      </c>
      <c r="N1080" s="17">
        <v>16.644221999999999</v>
      </c>
      <c r="O1080" s="1"/>
      <c r="P1080" s="38">
        <f t="shared" si="97"/>
        <v>0</v>
      </c>
      <c r="S1080" s="24" t="str">
        <f t="shared" si="100"/>
        <v>-</v>
      </c>
      <c r="T1080" s="24" t="str">
        <f t="shared" si="98"/>
        <v>-</v>
      </c>
      <c r="U1080" s="25" t="str">
        <f t="shared" si="101"/>
        <v>-</v>
      </c>
      <c r="V1080" s="26" t="str">
        <f t="shared" si="102"/>
        <v>-</v>
      </c>
      <c r="X1080" s="26" t="str">
        <f t="shared" si="99"/>
        <v>-</v>
      </c>
    </row>
    <row r="1081" spans="1:24" x14ac:dyDescent="0.3">
      <c r="A1081" s="37">
        <v>87614170053</v>
      </c>
      <c r="B1081" s="8" t="s">
        <v>1657</v>
      </c>
      <c r="C1081" s="10" t="s">
        <v>2414</v>
      </c>
      <c r="D1081" s="11" t="s">
        <v>874</v>
      </c>
      <c r="E1081" s="11" t="s">
        <v>2819</v>
      </c>
      <c r="F1081" s="9">
        <v>12</v>
      </c>
      <c r="G1081" s="9">
        <v>24</v>
      </c>
      <c r="H1081" s="9" t="s">
        <v>868</v>
      </c>
      <c r="I1081" s="9">
        <v>24</v>
      </c>
      <c r="J1081" s="9">
        <v>200</v>
      </c>
      <c r="K1081" s="9" t="s">
        <v>869</v>
      </c>
      <c r="L1081" s="27">
        <v>0.41200500000000001</v>
      </c>
      <c r="M1081" s="28" t="s">
        <v>3203</v>
      </c>
      <c r="N1081" s="17">
        <v>14.551235999999999</v>
      </c>
      <c r="O1081" s="1"/>
      <c r="P1081" s="38">
        <f t="shared" si="97"/>
        <v>0</v>
      </c>
      <c r="S1081" s="24" t="str">
        <f t="shared" si="100"/>
        <v>-</v>
      </c>
      <c r="T1081" s="24" t="str">
        <f t="shared" si="98"/>
        <v>-</v>
      </c>
      <c r="U1081" s="25" t="str">
        <f t="shared" si="101"/>
        <v>-</v>
      </c>
      <c r="V1081" s="26" t="str">
        <f t="shared" si="102"/>
        <v>-</v>
      </c>
      <c r="X1081" s="26" t="str">
        <f t="shared" si="99"/>
        <v>-</v>
      </c>
    </row>
    <row r="1082" spans="1:24" x14ac:dyDescent="0.3">
      <c r="A1082" s="37">
        <v>87614170060</v>
      </c>
      <c r="B1082" s="8" t="s">
        <v>1658</v>
      </c>
      <c r="C1082" s="10" t="s">
        <v>2415</v>
      </c>
      <c r="D1082" s="11" t="s">
        <v>905</v>
      </c>
      <c r="E1082" s="11" t="s">
        <v>1044</v>
      </c>
      <c r="F1082" s="9">
        <v>6</v>
      </c>
      <c r="G1082" s="9">
        <v>30</v>
      </c>
      <c r="H1082" s="9" t="s">
        <v>868</v>
      </c>
      <c r="I1082" s="9">
        <v>18</v>
      </c>
      <c r="J1082" s="9">
        <v>1</v>
      </c>
      <c r="K1082" s="9" t="s">
        <v>887</v>
      </c>
      <c r="L1082" s="27">
        <v>0.568635</v>
      </c>
      <c r="M1082" s="28" t="s">
        <v>3203</v>
      </c>
      <c r="N1082" s="17">
        <v>13.687463999999999</v>
      </c>
      <c r="O1082" s="1"/>
      <c r="P1082" s="38">
        <f t="shared" si="97"/>
        <v>0</v>
      </c>
      <c r="S1082" s="24" t="str">
        <f t="shared" si="100"/>
        <v>-</v>
      </c>
      <c r="T1082" s="24" t="str">
        <f t="shared" si="98"/>
        <v>-</v>
      </c>
      <c r="U1082" s="25" t="str">
        <f t="shared" si="101"/>
        <v>-</v>
      </c>
      <c r="V1082" s="26" t="str">
        <f t="shared" si="102"/>
        <v>-</v>
      </c>
      <c r="X1082" s="26" t="str">
        <f t="shared" si="99"/>
        <v>-</v>
      </c>
    </row>
    <row r="1083" spans="1:24" x14ac:dyDescent="0.3">
      <c r="A1083" s="37">
        <v>87614170091</v>
      </c>
      <c r="B1083" s="8" t="s">
        <v>1440</v>
      </c>
      <c r="C1083" s="10" t="s">
        <v>2214</v>
      </c>
      <c r="D1083" s="11" t="s">
        <v>874</v>
      </c>
      <c r="E1083" s="11" t="s">
        <v>2819</v>
      </c>
      <c r="F1083" s="9">
        <v>15</v>
      </c>
      <c r="G1083" s="9">
        <v>30</v>
      </c>
      <c r="H1083" s="9" t="s">
        <v>868</v>
      </c>
      <c r="I1083" s="9">
        <v>24</v>
      </c>
      <c r="J1083" s="9">
        <v>250</v>
      </c>
      <c r="K1083" s="9" t="s">
        <v>869</v>
      </c>
      <c r="L1083" s="27">
        <v>0.24856500000000001</v>
      </c>
      <c r="M1083" s="28" t="s">
        <v>3203</v>
      </c>
      <c r="N1083" s="17">
        <v>18.537875999999997</v>
      </c>
      <c r="O1083" s="1"/>
      <c r="P1083" s="38">
        <f t="shared" si="97"/>
        <v>0</v>
      </c>
      <c r="S1083" s="24" t="str">
        <f t="shared" si="100"/>
        <v>-</v>
      </c>
      <c r="T1083" s="24" t="str">
        <f t="shared" si="98"/>
        <v>-</v>
      </c>
      <c r="U1083" s="25" t="str">
        <f t="shared" si="101"/>
        <v>-</v>
      </c>
      <c r="V1083" s="26" t="str">
        <f t="shared" si="102"/>
        <v>-</v>
      </c>
      <c r="X1083" s="26" t="str">
        <f t="shared" si="99"/>
        <v>-</v>
      </c>
    </row>
    <row r="1084" spans="1:24" x14ac:dyDescent="0.3">
      <c r="A1084" s="37">
        <v>87614170107</v>
      </c>
      <c r="B1084" s="8" t="s">
        <v>1333</v>
      </c>
      <c r="C1084" s="10" t="s">
        <v>2115</v>
      </c>
      <c r="D1084" s="11" t="s">
        <v>874</v>
      </c>
      <c r="E1084" s="11" t="s">
        <v>2819</v>
      </c>
      <c r="F1084" s="9">
        <v>15</v>
      </c>
      <c r="G1084" s="9">
        <v>30</v>
      </c>
      <c r="H1084" s="9" t="s">
        <v>868</v>
      </c>
      <c r="I1084" s="9">
        <v>18</v>
      </c>
      <c r="J1084" s="9">
        <v>100</v>
      </c>
      <c r="K1084" s="9" t="s">
        <v>869</v>
      </c>
      <c r="L1084" s="27">
        <v>0.25878000000000001</v>
      </c>
      <c r="M1084" s="28" t="s">
        <v>3203</v>
      </c>
      <c r="N1084" s="17">
        <v>19.468092000000002</v>
      </c>
      <c r="O1084" s="1"/>
      <c r="P1084" s="38">
        <f t="shared" si="97"/>
        <v>0</v>
      </c>
      <c r="S1084" s="24" t="str">
        <f t="shared" si="100"/>
        <v>-</v>
      </c>
      <c r="T1084" s="24" t="str">
        <f t="shared" si="98"/>
        <v>-</v>
      </c>
      <c r="U1084" s="25" t="str">
        <f t="shared" si="101"/>
        <v>-</v>
      </c>
      <c r="V1084" s="26" t="str">
        <f t="shared" si="102"/>
        <v>-</v>
      </c>
      <c r="X1084" s="26" t="str">
        <f t="shared" si="99"/>
        <v>-</v>
      </c>
    </row>
    <row r="1085" spans="1:24" x14ac:dyDescent="0.3">
      <c r="A1085" s="37">
        <v>87614170138</v>
      </c>
      <c r="B1085" s="8" t="s">
        <v>1442</v>
      </c>
      <c r="C1085" s="10" t="s">
        <v>2216</v>
      </c>
      <c r="D1085" s="11" t="s">
        <v>874</v>
      </c>
      <c r="E1085" s="11" t="s">
        <v>2819</v>
      </c>
      <c r="F1085" s="9">
        <v>20</v>
      </c>
      <c r="G1085" s="9">
        <v>60</v>
      </c>
      <c r="H1085" s="9" t="s">
        <v>868</v>
      </c>
      <c r="I1085" s="9">
        <v>24</v>
      </c>
      <c r="J1085" s="9">
        <v>180</v>
      </c>
      <c r="K1085" s="9" t="s">
        <v>869</v>
      </c>
      <c r="L1085" s="27">
        <v>0.17932999999999999</v>
      </c>
      <c r="M1085" s="28" t="s">
        <v>3203</v>
      </c>
      <c r="N1085" s="17">
        <v>14.318682000000001</v>
      </c>
      <c r="O1085" s="1"/>
      <c r="P1085" s="38">
        <f t="shared" si="97"/>
        <v>0</v>
      </c>
      <c r="S1085" s="24" t="str">
        <f t="shared" si="100"/>
        <v>-</v>
      </c>
      <c r="T1085" s="24" t="str">
        <f t="shared" si="98"/>
        <v>-</v>
      </c>
      <c r="U1085" s="25" t="str">
        <f t="shared" si="101"/>
        <v>-</v>
      </c>
      <c r="V1085" s="26" t="str">
        <f t="shared" si="102"/>
        <v>-</v>
      </c>
      <c r="X1085" s="26" t="str">
        <f t="shared" si="99"/>
        <v>-</v>
      </c>
    </row>
    <row r="1086" spans="1:24" x14ac:dyDescent="0.3">
      <c r="A1086" s="37">
        <v>87614170442</v>
      </c>
      <c r="B1086" s="8" t="s">
        <v>1659</v>
      </c>
      <c r="C1086" s="10" t="s">
        <v>2416</v>
      </c>
      <c r="D1086" s="11" t="s">
        <v>874</v>
      </c>
      <c r="E1086" s="11" t="s">
        <v>914</v>
      </c>
      <c r="F1086" s="9">
        <v>16</v>
      </c>
      <c r="G1086" s="9">
        <v>48</v>
      </c>
      <c r="H1086" s="9" t="s">
        <v>868</v>
      </c>
      <c r="I1086" s="9">
        <v>36</v>
      </c>
      <c r="J1086" s="9">
        <v>90</v>
      </c>
      <c r="K1086" s="9" t="s">
        <v>869</v>
      </c>
      <c r="L1086" s="27">
        <v>0.19181500000000001</v>
      </c>
      <c r="M1086" s="28" t="s">
        <v>3203</v>
      </c>
      <c r="N1086" s="17">
        <v>7.2756179999999997</v>
      </c>
      <c r="O1086" s="1"/>
      <c r="P1086" s="38">
        <f t="shared" si="97"/>
        <v>0</v>
      </c>
      <c r="S1086" s="24" t="str">
        <f t="shared" si="100"/>
        <v>-</v>
      </c>
      <c r="T1086" s="24" t="str">
        <f t="shared" si="98"/>
        <v>-</v>
      </c>
      <c r="U1086" s="25" t="str">
        <f t="shared" si="101"/>
        <v>-</v>
      </c>
      <c r="V1086" s="26" t="str">
        <f t="shared" si="102"/>
        <v>-</v>
      </c>
      <c r="X1086" s="26" t="str">
        <f t="shared" si="99"/>
        <v>-</v>
      </c>
    </row>
    <row r="1087" spans="1:24" x14ac:dyDescent="0.3">
      <c r="A1087" s="37">
        <v>87614170459</v>
      </c>
      <c r="B1087" s="8" t="s">
        <v>511</v>
      </c>
      <c r="C1087" s="10" t="s">
        <v>512</v>
      </c>
      <c r="D1087" s="11" t="s">
        <v>874</v>
      </c>
      <c r="E1087" s="11" t="s">
        <v>1045</v>
      </c>
      <c r="F1087" s="9">
        <v>30</v>
      </c>
      <c r="G1087" s="9">
        <v>90</v>
      </c>
      <c r="H1087" s="9" t="s">
        <v>868</v>
      </c>
      <c r="I1087" s="9">
        <v>36</v>
      </c>
      <c r="J1087" s="9">
        <v>60</v>
      </c>
      <c r="K1087" s="9" t="s">
        <v>869</v>
      </c>
      <c r="L1087" s="27">
        <v>0.12939000000000001</v>
      </c>
      <c r="M1087" s="28" t="s">
        <v>3203</v>
      </c>
      <c r="N1087" s="17">
        <v>4.6843019999999997</v>
      </c>
      <c r="O1087" s="1"/>
      <c r="P1087" s="38">
        <f t="shared" si="97"/>
        <v>0</v>
      </c>
      <c r="S1087" s="24" t="str">
        <f t="shared" si="100"/>
        <v>-</v>
      </c>
      <c r="T1087" s="24" t="str">
        <f t="shared" si="98"/>
        <v>-</v>
      </c>
      <c r="U1087" s="25" t="str">
        <f t="shared" si="101"/>
        <v>-</v>
      </c>
      <c r="V1087" s="26" t="str">
        <f t="shared" si="102"/>
        <v>-</v>
      </c>
      <c r="X1087" s="26" t="str">
        <f t="shared" si="99"/>
        <v>-</v>
      </c>
    </row>
    <row r="1088" spans="1:24" x14ac:dyDescent="0.3">
      <c r="A1088" s="37">
        <v>87614170480</v>
      </c>
      <c r="B1088" s="8" t="s">
        <v>1895</v>
      </c>
      <c r="C1088" s="10" t="s">
        <v>2619</v>
      </c>
      <c r="D1088" s="11" t="s">
        <v>874</v>
      </c>
      <c r="E1088" s="11" t="s">
        <v>1118</v>
      </c>
      <c r="F1088" s="9">
        <v>20</v>
      </c>
      <c r="G1088" s="9">
        <v>60</v>
      </c>
      <c r="H1088" s="9" t="s">
        <v>868</v>
      </c>
      <c r="I1088" s="9">
        <v>24</v>
      </c>
      <c r="J1088" s="9">
        <v>60</v>
      </c>
      <c r="K1088" s="9" t="s">
        <v>869</v>
      </c>
      <c r="L1088" s="27">
        <v>0.13960500000000001</v>
      </c>
      <c r="M1088" s="28" t="s">
        <v>3203</v>
      </c>
      <c r="N1088" s="17">
        <v>8.0397239999999996</v>
      </c>
      <c r="O1088" s="1"/>
      <c r="P1088" s="38">
        <f t="shared" si="97"/>
        <v>0</v>
      </c>
      <c r="S1088" s="24" t="str">
        <f t="shared" si="100"/>
        <v>-</v>
      </c>
      <c r="T1088" s="24" t="str">
        <f t="shared" si="98"/>
        <v>-</v>
      </c>
      <c r="U1088" s="25" t="str">
        <f t="shared" si="101"/>
        <v>-</v>
      </c>
      <c r="V1088" s="26" t="str">
        <f t="shared" si="102"/>
        <v>-</v>
      </c>
      <c r="X1088" s="26" t="str">
        <f t="shared" si="99"/>
        <v>-</v>
      </c>
    </row>
    <row r="1089" spans="1:24" x14ac:dyDescent="0.3">
      <c r="A1089" s="37">
        <v>87614170541</v>
      </c>
      <c r="B1089" s="8" t="s">
        <v>513</v>
      </c>
      <c r="C1089" s="10" t="s">
        <v>514</v>
      </c>
      <c r="D1089" s="11" t="s">
        <v>874</v>
      </c>
      <c r="E1089" s="11" t="s">
        <v>2819</v>
      </c>
      <c r="F1089" s="9">
        <v>20</v>
      </c>
      <c r="G1089" s="9">
        <v>60</v>
      </c>
      <c r="H1089" s="9" t="s">
        <v>868</v>
      </c>
      <c r="I1089" s="9">
        <v>24</v>
      </c>
      <c r="J1089" s="9">
        <v>60</v>
      </c>
      <c r="K1089" s="9" t="s">
        <v>869</v>
      </c>
      <c r="L1089" s="27">
        <v>0.12825500000000001</v>
      </c>
      <c r="M1089" s="28" t="s">
        <v>3203</v>
      </c>
      <c r="N1089" s="17">
        <v>6.9932309999999998</v>
      </c>
      <c r="O1089" s="1"/>
      <c r="P1089" s="38">
        <f t="shared" si="97"/>
        <v>0</v>
      </c>
      <c r="S1089" s="24" t="str">
        <f t="shared" si="100"/>
        <v>-</v>
      </c>
      <c r="T1089" s="24" t="str">
        <f t="shared" si="98"/>
        <v>-</v>
      </c>
      <c r="U1089" s="25" t="str">
        <f t="shared" si="101"/>
        <v>-</v>
      </c>
      <c r="V1089" s="26" t="str">
        <f t="shared" si="102"/>
        <v>-</v>
      </c>
      <c r="X1089" s="26" t="str">
        <f t="shared" si="99"/>
        <v>-</v>
      </c>
    </row>
    <row r="1090" spans="1:24" x14ac:dyDescent="0.3">
      <c r="A1090" s="37">
        <v>87614170657</v>
      </c>
      <c r="B1090" s="8" t="s">
        <v>1925</v>
      </c>
      <c r="C1090" s="10" t="s">
        <v>2648</v>
      </c>
      <c r="D1090" s="11" t="s">
        <v>874</v>
      </c>
      <c r="E1090" s="11" t="s">
        <v>1118</v>
      </c>
      <c r="F1090" s="9">
        <v>30</v>
      </c>
      <c r="G1090" s="9">
        <v>90</v>
      </c>
      <c r="H1090" s="9" t="s">
        <v>868</v>
      </c>
      <c r="I1090" s="9">
        <v>24</v>
      </c>
      <c r="J1090" s="9">
        <v>30</v>
      </c>
      <c r="K1090" s="9" t="s">
        <v>869</v>
      </c>
      <c r="L1090" s="27">
        <v>8.1720000000000001E-2</v>
      </c>
      <c r="M1090" s="28" t="s">
        <v>3203</v>
      </c>
      <c r="N1090" s="17">
        <v>17.474772000000002</v>
      </c>
      <c r="O1090" s="1"/>
      <c r="P1090" s="38">
        <f t="shared" si="97"/>
        <v>0</v>
      </c>
      <c r="S1090" s="24" t="str">
        <f t="shared" si="100"/>
        <v>-</v>
      </c>
      <c r="T1090" s="24" t="str">
        <f t="shared" si="98"/>
        <v>-</v>
      </c>
      <c r="U1090" s="25" t="str">
        <f t="shared" si="101"/>
        <v>-</v>
      </c>
      <c r="V1090" s="26" t="str">
        <f t="shared" si="102"/>
        <v>-</v>
      </c>
      <c r="X1090" s="26" t="str">
        <f t="shared" si="99"/>
        <v>-</v>
      </c>
    </row>
    <row r="1091" spans="1:24" x14ac:dyDescent="0.3">
      <c r="A1091" s="37">
        <v>87614170718</v>
      </c>
      <c r="B1091" s="8" t="s">
        <v>1661</v>
      </c>
      <c r="C1091" s="10" t="s">
        <v>2418</v>
      </c>
      <c r="D1091" s="11" t="s">
        <v>874</v>
      </c>
      <c r="E1091" s="11" t="s">
        <v>1118</v>
      </c>
      <c r="F1091" s="9">
        <v>20</v>
      </c>
      <c r="G1091" s="9">
        <v>60</v>
      </c>
      <c r="H1091" s="9" t="s">
        <v>868</v>
      </c>
      <c r="I1091" s="9">
        <v>14</v>
      </c>
      <c r="J1091" s="9">
        <v>60</v>
      </c>
      <c r="K1091" s="9" t="s">
        <v>869</v>
      </c>
      <c r="L1091" s="27">
        <v>0.15209</v>
      </c>
      <c r="M1091" s="28" t="s">
        <v>3203</v>
      </c>
      <c r="N1091" s="17">
        <v>33.687108000000002</v>
      </c>
      <c r="O1091" s="1"/>
      <c r="P1091" s="38">
        <f t="shared" ref="P1091:P1154" si="103">O1091*N1091</f>
        <v>0</v>
      </c>
      <c r="S1091" s="24" t="str">
        <f t="shared" si="100"/>
        <v>-</v>
      </c>
      <c r="T1091" s="24" t="str">
        <f t="shared" ref="T1091:T1154" si="104">IF(O1091&gt;0,N1091+L1091*O1091/$U$2*$V$2/O1091,"-")</f>
        <v>-</v>
      </c>
      <c r="U1091" s="25" t="str">
        <f t="shared" si="101"/>
        <v>-</v>
      </c>
      <c r="V1091" s="26" t="str">
        <f t="shared" si="102"/>
        <v>-</v>
      </c>
      <c r="X1091" s="26" t="str">
        <f t="shared" ref="X1091:X1154" si="105">IFERROR(IF(V1091+P1091=0, "-", IF(V1091&gt;0, V1091+P1091, "-")), "-")</f>
        <v>-</v>
      </c>
    </row>
    <row r="1092" spans="1:24" x14ac:dyDescent="0.3">
      <c r="A1092" s="37">
        <v>87614170763</v>
      </c>
      <c r="B1092" s="8" t="s">
        <v>1917</v>
      </c>
      <c r="C1092" s="10" t="s">
        <v>2641</v>
      </c>
      <c r="D1092" s="11" t="s">
        <v>874</v>
      </c>
      <c r="E1092" s="11" t="s">
        <v>2819</v>
      </c>
      <c r="F1092" s="9">
        <v>20</v>
      </c>
      <c r="G1092" s="9">
        <v>60</v>
      </c>
      <c r="H1092" s="9" t="s">
        <v>868</v>
      </c>
      <c r="I1092" s="9">
        <v>24</v>
      </c>
      <c r="J1092" s="9">
        <v>60</v>
      </c>
      <c r="K1092" s="9" t="s">
        <v>869</v>
      </c>
      <c r="L1092" s="27">
        <v>0.13619999999999999</v>
      </c>
      <c r="M1092" s="28" t="s">
        <v>3203</v>
      </c>
      <c r="N1092" s="17">
        <v>11.777199</v>
      </c>
      <c r="O1092" s="1"/>
      <c r="P1092" s="38">
        <f t="shared" si="103"/>
        <v>0</v>
      </c>
      <c r="S1092" s="24" t="str">
        <f t="shared" ref="S1092:S1155" si="106">IFERROR(IF(S$2*L1092=0, "-", $S$2*L1092), "-")</f>
        <v>-</v>
      </c>
      <c r="T1092" s="24" t="str">
        <f t="shared" si="104"/>
        <v>-</v>
      </c>
      <c r="U1092" s="25" t="str">
        <f t="shared" ref="U1092:U1155" si="107">IF(O1092&gt;0,O1092*L1092, "-")</f>
        <v>-</v>
      </c>
      <c r="V1092" s="26" t="str">
        <f t="shared" ref="V1092:V1155" si="108">IFERROR(IF($S$2&gt;0, $S$2*U1092, "-"), "-")</f>
        <v>-</v>
      </c>
      <c r="X1092" s="26" t="str">
        <f t="shared" si="105"/>
        <v>-</v>
      </c>
    </row>
    <row r="1093" spans="1:24" x14ac:dyDescent="0.3">
      <c r="A1093" s="37">
        <v>87614170794</v>
      </c>
      <c r="B1093" s="8" t="s">
        <v>1134</v>
      </c>
      <c r="C1093" s="10" t="s">
        <v>1963</v>
      </c>
      <c r="D1093" s="11" t="s">
        <v>883</v>
      </c>
      <c r="E1093" s="11" t="s">
        <v>928</v>
      </c>
      <c r="F1093" s="9">
        <v>48</v>
      </c>
      <c r="G1093" s="9">
        <v>192</v>
      </c>
      <c r="H1093" s="9" t="s">
        <v>868</v>
      </c>
      <c r="I1093" s="9">
        <v>36</v>
      </c>
      <c r="J1093" s="9">
        <v>30</v>
      </c>
      <c r="K1093" s="9" t="s">
        <v>869</v>
      </c>
      <c r="L1093" s="27">
        <v>2.6105E-2</v>
      </c>
      <c r="M1093" s="28" t="s">
        <v>3203</v>
      </c>
      <c r="N1093" s="17">
        <v>13.969850999999998</v>
      </c>
      <c r="O1093" s="1"/>
      <c r="P1093" s="38">
        <f t="shared" si="103"/>
        <v>0</v>
      </c>
      <c r="S1093" s="24" t="str">
        <f t="shared" si="106"/>
        <v>-</v>
      </c>
      <c r="T1093" s="24" t="str">
        <f t="shared" si="104"/>
        <v>-</v>
      </c>
      <c r="U1093" s="25" t="str">
        <f t="shared" si="107"/>
        <v>-</v>
      </c>
      <c r="V1093" s="26" t="str">
        <f t="shared" si="108"/>
        <v>-</v>
      </c>
      <c r="X1093" s="26" t="str">
        <f t="shared" si="105"/>
        <v>-</v>
      </c>
    </row>
    <row r="1094" spans="1:24" x14ac:dyDescent="0.3">
      <c r="A1094" s="37">
        <v>87614170817</v>
      </c>
      <c r="B1094" s="8" t="s">
        <v>1950</v>
      </c>
      <c r="C1094" s="10" t="s">
        <v>2671</v>
      </c>
      <c r="D1094" s="11" t="s">
        <v>874</v>
      </c>
      <c r="E1094" s="11" t="s">
        <v>1118</v>
      </c>
      <c r="F1094" s="9">
        <v>6</v>
      </c>
      <c r="G1094" s="9">
        <v>24</v>
      </c>
      <c r="H1094" s="9" t="s">
        <v>868</v>
      </c>
      <c r="I1094" s="9">
        <v>24</v>
      </c>
      <c r="J1094" s="9">
        <v>1</v>
      </c>
      <c r="K1094" s="9" t="s">
        <v>887</v>
      </c>
      <c r="L1094" s="27">
        <v>0.239485</v>
      </c>
      <c r="M1094" s="28" t="s">
        <v>3203</v>
      </c>
      <c r="N1094" s="17">
        <v>22.474682999999999</v>
      </c>
      <c r="O1094" s="1"/>
      <c r="P1094" s="38">
        <f t="shared" si="103"/>
        <v>0</v>
      </c>
      <c r="S1094" s="24" t="str">
        <f t="shared" si="106"/>
        <v>-</v>
      </c>
      <c r="T1094" s="24" t="str">
        <f t="shared" si="104"/>
        <v>-</v>
      </c>
      <c r="U1094" s="25" t="str">
        <f t="shared" si="107"/>
        <v>-</v>
      </c>
      <c r="V1094" s="26" t="str">
        <f t="shared" si="108"/>
        <v>-</v>
      </c>
      <c r="X1094" s="26" t="str">
        <f t="shared" si="105"/>
        <v>-</v>
      </c>
    </row>
    <row r="1095" spans="1:24" x14ac:dyDescent="0.3">
      <c r="A1095" s="37">
        <v>87614170824</v>
      </c>
      <c r="B1095" s="8" t="s">
        <v>1662</v>
      </c>
      <c r="C1095" s="10" t="s">
        <v>2419</v>
      </c>
      <c r="D1095" s="11" t="s">
        <v>874</v>
      </c>
      <c r="E1095" s="11" t="s">
        <v>1118</v>
      </c>
      <c r="F1095" s="9">
        <v>30</v>
      </c>
      <c r="G1095" s="9">
        <v>90</v>
      </c>
      <c r="H1095" s="9" t="s">
        <v>868</v>
      </c>
      <c r="I1095" s="9">
        <v>19</v>
      </c>
      <c r="J1095" s="9">
        <v>30</v>
      </c>
      <c r="K1095" s="9" t="s">
        <v>869</v>
      </c>
      <c r="L1095" s="27">
        <v>7.2639999999999996E-2</v>
      </c>
      <c r="M1095" s="28" t="s">
        <v>3203</v>
      </c>
      <c r="N1095" s="17">
        <v>18.355155</v>
      </c>
      <c r="O1095" s="1"/>
      <c r="P1095" s="38">
        <f t="shared" si="103"/>
        <v>0</v>
      </c>
      <c r="S1095" s="24" t="str">
        <f t="shared" si="106"/>
        <v>-</v>
      </c>
      <c r="T1095" s="24" t="str">
        <f t="shared" si="104"/>
        <v>-</v>
      </c>
      <c r="U1095" s="25" t="str">
        <f t="shared" si="107"/>
        <v>-</v>
      </c>
      <c r="V1095" s="26" t="str">
        <f t="shared" si="108"/>
        <v>-</v>
      </c>
      <c r="X1095" s="26" t="str">
        <f t="shared" si="105"/>
        <v>-</v>
      </c>
    </row>
    <row r="1096" spans="1:24" x14ac:dyDescent="0.3">
      <c r="A1096" s="37">
        <v>87614170862</v>
      </c>
      <c r="B1096" s="8" t="s">
        <v>1663</v>
      </c>
      <c r="C1096" s="10" t="s">
        <v>2420</v>
      </c>
      <c r="D1096" s="11" t="s">
        <v>874</v>
      </c>
      <c r="E1096" s="11" t="s">
        <v>1118</v>
      </c>
      <c r="F1096" s="9">
        <v>16</v>
      </c>
      <c r="G1096" s="9">
        <v>48</v>
      </c>
      <c r="H1096" s="9" t="s">
        <v>868</v>
      </c>
      <c r="I1096" s="9">
        <v>24</v>
      </c>
      <c r="J1096" s="9">
        <v>90</v>
      </c>
      <c r="K1096" s="9" t="s">
        <v>869</v>
      </c>
      <c r="L1096" s="27">
        <v>0.19635499999999997</v>
      </c>
      <c r="M1096" s="28" t="s">
        <v>3203</v>
      </c>
      <c r="N1096" s="17">
        <v>8.1061680000000003</v>
      </c>
      <c r="O1096" s="1"/>
      <c r="P1096" s="38">
        <f t="shared" si="103"/>
        <v>0</v>
      </c>
      <c r="S1096" s="24" t="str">
        <f t="shared" si="106"/>
        <v>-</v>
      </c>
      <c r="T1096" s="24" t="str">
        <f t="shared" si="104"/>
        <v>-</v>
      </c>
      <c r="U1096" s="25" t="str">
        <f t="shared" si="107"/>
        <v>-</v>
      </c>
      <c r="V1096" s="26" t="str">
        <f t="shared" si="108"/>
        <v>-</v>
      </c>
      <c r="X1096" s="26" t="str">
        <f t="shared" si="105"/>
        <v>-</v>
      </c>
    </row>
    <row r="1097" spans="1:24" x14ac:dyDescent="0.3">
      <c r="A1097" s="37">
        <v>87614170923</v>
      </c>
      <c r="B1097" s="8" t="s">
        <v>1445</v>
      </c>
      <c r="C1097" s="10" t="s">
        <v>2219</v>
      </c>
      <c r="D1097" s="11" t="s">
        <v>874</v>
      </c>
      <c r="E1097" s="11" t="s">
        <v>2819</v>
      </c>
      <c r="F1097" s="9">
        <v>15</v>
      </c>
      <c r="G1097" s="9">
        <v>30</v>
      </c>
      <c r="H1097" s="9" t="s">
        <v>868</v>
      </c>
      <c r="I1097" s="9">
        <v>29</v>
      </c>
      <c r="J1097" s="9">
        <v>120</v>
      </c>
      <c r="K1097" s="9" t="s">
        <v>869</v>
      </c>
      <c r="L1097" s="27">
        <v>0.24402499999999999</v>
      </c>
      <c r="M1097" s="28" t="s">
        <v>3203</v>
      </c>
      <c r="N1097" s="17">
        <v>9.5679359999999996</v>
      </c>
      <c r="O1097" s="1"/>
      <c r="P1097" s="38">
        <f t="shared" si="103"/>
        <v>0</v>
      </c>
      <c r="S1097" s="24" t="str">
        <f t="shared" si="106"/>
        <v>-</v>
      </c>
      <c r="T1097" s="24" t="str">
        <f t="shared" si="104"/>
        <v>-</v>
      </c>
      <c r="U1097" s="25" t="str">
        <f t="shared" si="107"/>
        <v>-</v>
      </c>
      <c r="V1097" s="26" t="str">
        <f t="shared" si="108"/>
        <v>-</v>
      </c>
      <c r="X1097" s="26" t="str">
        <f t="shared" si="105"/>
        <v>-</v>
      </c>
    </row>
    <row r="1098" spans="1:24" x14ac:dyDescent="0.3">
      <c r="A1098" s="37">
        <v>87614170985</v>
      </c>
      <c r="B1098" s="8" t="s">
        <v>1939</v>
      </c>
      <c r="C1098" s="10" t="s">
        <v>2661</v>
      </c>
      <c r="D1098" s="11" t="s">
        <v>874</v>
      </c>
      <c r="E1098" s="11" t="s">
        <v>1118</v>
      </c>
      <c r="F1098" s="9">
        <v>16</v>
      </c>
      <c r="G1098" s="9">
        <v>48</v>
      </c>
      <c r="H1098" s="9" t="s">
        <v>868</v>
      </c>
      <c r="I1098" s="9">
        <v>30</v>
      </c>
      <c r="J1098" s="9">
        <v>100</v>
      </c>
      <c r="K1098" s="9" t="s">
        <v>869</v>
      </c>
      <c r="L1098" s="27">
        <v>0.20543500000000001</v>
      </c>
      <c r="M1098" s="28" t="s">
        <v>3203</v>
      </c>
      <c r="N1098" s="17">
        <v>14.933288999999998</v>
      </c>
      <c r="O1098" s="1"/>
      <c r="P1098" s="38">
        <f t="shared" si="103"/>
        <v>0</v>
      </c>
      <c r="S1098" s="24" t="str">
        <f t="shared" si="106"/>
        <v>-</v>
      </c>
      <c r="T1098" s="24" t="str">
        <f t="shared" si="104"/>
        <v>-</v>
      </c>
      <c r="U1098" s="25" t="str">
        <f t="shared" si="107"/>
        <v>-</v>
      </c>
      <c r="V1098" s="26" t="str">
        <f t="shared" si="108"/>
        <v>-</v>
      </c>
      <c r="X1098" s="26" t="str">
        <f t="shared" si="105"/>
        <v>-</v>
      </c>
    </row>
    <row r="1099" spans="1:24" x14ac:dyDescent="0.3">
      <c r="A1099" s="37">
        <v>87614240060</v>
      </c>
      <c r="B1099" s="8" t="s">
        <v>1666</v>
      </c>
      <c r="C1099" s="10" t="s">
        <v>2423</v>
      </c>
      <c r="D1099" s="11" t="s">
        <v>905</v>
      </c>
      <c r="E1099" s="11" t="s">
        <v>2867</v>
      </c>
      <c r="F1099" s="9">
        <v>24</v>
      </c>
      <c r="G1099" s="9">
        <v>48</v>
      </c>
      <c r="H1099" s="9" t="s">
        <v>868</v>
      </c>
      <c r="I1099" s="9">
        <v>36</v>
      </c>
      <c r="J1099" s="9">
        <v>1</v>
      </c>
      <c r="K1099" s="9" t="s">
        <v>887</v>
      </c>
      <c r="L1099" s="27">
        <v>0.54252999999999996</v>
      </c>
      <c r="M1099" s="28" t="s">
        <v>3203</v>
      </c>
      <c r="N1099" s="17">
        <v>21.860075999999999</v>
      </c>
      <c r="O1099" s="1"/>
      <c r="P1099" s="38">
        <f t="shared" si="103"/>
        <v>0</v>
      </c>
      <c r="S1099" s="24" t="str">
        <f t="shared" si="106"/>
        <v>-</v>
      </c>
      <c r="T1099" s="24" t="str">
        <f t="shared" si="104"/>
        <v>-</v>
      </c>
      <c r="U1099" s="25" t="str">
        <f t="shared" si="107"/>
        <v>-</v>
      </c>
      <c r="V1099" s="26" t="str">
        <f t="shared" si="108"/>
        <v>-</v>
      </c>
      <c r="X1099" s="26" t="str">
        <f t="shared" si="105"/>
        <v>-</v>
      </c>
    </row>
    <row r="1100" spans="1:24" x14ac:dyDescent="0.3">
      <c r="A1100" s="37">
        <v>87614240633</v>
      </c>
      <c r="B1100" s="8" t="s">
        <v>1671</v>
      </c>
      <c r="C1100" s="10" t="s">
        <v>3175</v>
      </c>
      <c r="D1100" s="11" t="s">
        <v>879</v>
      </c>
      <c r="E1100" s="11" t="s">
        <v>922</v>
      </c>
      <c r="F1100" s="9">
        <v>6</v>
      </c>
      <c r="G1100" s="9">
        <v>12</v>
      </c>
      <c r="H1100" s="9" t="s">
        <v>868</v>
      </c>
      <c r="I1100" s="9">
        <v>24</v>
      </c>
      <c r="J1100" s="9">
        <v>1</v>
      </c>
      <c r="K1100" s="9" t="s">
        <v>880</v>
      </c>
      <c r="L1100" s="27">
        <v>0.42108499999999999</v>
      </c>
      <c r="M1100" s="28" t="s">
        <v>3203</v>
      </c>
      <c r="N1100" s="17">
        <v>20.165754</v>
      </c>
      <c r="O1100" s="1"/>
      <c r="P1100" s="38">
        <f t="shared" si="103"/>
        <v>0</v>
      </c>
      <c r="S1100" s="24" t="str">
        <f t="shared" si="106"/>
        <v>-</v>
      </c>
      <c r="T1100" s="24" t="str">
        <f t="shared" si="104"/>
        <v>-</v>
      </c>
      <c r="U1100" s="25" t="str">
        <f t="shared" si="107"/>
        <v>-</v>
      </c>
      <c r="V1100" s="26" t="str">
        <f t="shared" si="108"/>
        <v>-</v>
      </c>
      <c r="X1100" s="26" t="str">
        <f t="shared" si="105"/>
        <v>-</v>
      </c>
    </row>
    <row r="1101" spans="1:24" x14ac:dyDescent="0.3">
      <c r="A1101" s="37">
        <v>87614240756</v>
      </c>
      <c r="B1101" s="8" t="s">
        <v>1675</v>
      </c>
      <c r="C1101" s="10" t="s">
        <v>2430</v>
      </c>
      <c r="D1101" s="11" t="s">
        <v>2866</v>
      </c>
      <c r="E1101" s="11" t="s">
        <v>2872</v>
      </c>
      <c r="F1101" s="9">
        <v>8</v>
      </c>
      <c r="G1101" s="9">
        <v>88</v>
      </c>
      <c r="H1101" s="9" t="s">
        <v>868</v>
      </c>
      <c r="I1101" s="9">
        <v>9</v>
      </c>
      <c r="J1101" s="9">
        <v>1</v>
      </c>
      <c r="K1101" s="9" t="s">
        <v>2912</v>
      </c>
      <c r="L1101" s="27">
        <v>0.20884</v>
      </c>
      <c r="M1101" s="28" t="s">
        <v>3203</v>
      </c>
      <c r="N1101" s="17">
        <v>6.0796259999999993</v>
      </c>
      <c r="O1101" s="1"/>
      <c r="P1101" s="38">
        <f t="shared" si="103"/>
        <v>0</v>
      </c>
      <c r="S1101" s="24" t="str">
        <f t="shared" si="106"/>
        <v>-</v>
      </c>
      <c r="T1101" s="24" t="str">
        <f t="shared" si="104"/>
        <v>-</v>
      </c>
      <c r="U1101" s="25" t="str">
        <f t="shared" si="107"/>
        <v>-</v>
      </c>
      <c r="V1101" s="26" t="str">
        <f t="shared" si="108"/>
        <v>-</v>
      </c>
      <c r="X1101" s="26" t="str">
        <f t="shared" si="105"/>
        <v>-</v>
      </c>
    </row>
    <row r="1102" spans="1:24" x14ac:dyDescent="0.3">
      <c r="A1102" s="37">
        <v>87614240770</v>
      </c>
      <c r="B1102" s="8" t="s">
        <v>1676</v>
      </c>
      <c r="C1102" s="10" t="s">
        <v>2431</v>
      </c>
      <c r="D1102" s="11" t="s">
        <v>907</v>
      </c>
      <c r="E1102" s="11" t="s">
        <v>2873</v>
      </c>
      <c r="F1102" s="9">
        <v>24</v>
      </c>
      <c r="G1102" s="9">
        <v>24</v>
      </c>
      <c r="H1102" s="9" t="s">
        <v>868</v>
      </c>
      <c r="I1102" s="9">
        <v>24</v>
      </c>
      <c r="J1102" s="9">
        <v>20</v>
      </c>
      <c r="K1102" s="9" t="s">
        <v>2913</v>
      </c>
      <c r="L1102" s="27">
        <v>9.0800000000000006E-2</v>
      </c>
      <c r="M1102" s="28" t="s">
        <v>3203</v>
      </c>
      <c r="N1102" s="17">
        <v>6.1792919999999993</v>
      </c>
      <c r="O1102" s="1"/>
      <c r="P1102" s="38">
        <f t="shared" si="103"/>
        <v>0</v>
      </c>
      <c r="S1102" s="24" t="str">
        <f t="shared" si="106"/>
        <v>-</v>
      </c>
      <c r="T1102" s="24" t="str">
        <f t="shared" si="104"/>
        <v>-</v>
      </c>
      <c r="U1102" s="25" t="str">
        <f t="shared" si="107"/>
        <v>-</v>
      </c>
      <c r="V1102" s="26" t="str">
        <f t="shared" si="108"/>
        <v>-</v>
      </c>
      <c r="X1102" s="26" t="str">
        <f t="shared" si="105"/>
        <v>-</v>
      </c>
    </row>
    <row r="1103" spans="1:24" x14ac:dyDescent="0.3">
      <c r="A1103" s="37">
        <v>87614240794</v>
      </c>
      <c r="B1103" s="8" t="s">
        <v>1677</v>
      </c>
      <c r="C1103" s="10" t="s">
        <v>2432</v>
      </c>
      <c r="D1103" s="11" t="s">
        <v>907</v>
      </c>
      <c r="E1103" s="11" t="s">
        <v>2873</v>
      </c>
      <c r="F1103" s="9">
        <v>24</v>
      </c>
      <c r="G1103" s="9">
        <v>24</v>
      </c>
      <c r="H1103" s="9" t="s">
        <v>868</v>
      </c>
      <c r="I1103" s="9">
        <v>36</v>
      </c>
      <c r="J1103" s="9">
        <v>20</v>
      </c>
      <c r="K1103" s="9" t="s">
        <v>2913</v>
      </c>
      <c r="L1103" s="27">
        <v>6.6964999999999997E-2</v>
      </c>
      <c r="M1103" s="28" t="s">
        <v>3203</v>
      </c>
      <c r="N1103" s="17">
        <v>4.8504119999999995</v>
      </c>
      <c r="O1103" s="1"/>
      <c r="P1103" s="38">
        <f t="shared" si="103"/>
        <v>0</v>
      </c>
      <c r="S1103" s="24" t="str">
        <f t="shared" si="106"/>
        <v>-</v>
      </c>
      <c r="T1103" s="24" t="str">
        <f t="shared" si="104"/>
        <v>-</v>
      </c>
      <c r="U1103" s="25" t="str">
        <f t="shared" si="107"/>
        <v>-</v>
      </c>
      <c r="V1103" s="26" t="str">
        <f t="shared" si="108"/>
        <v>-</v>
      </c>
      <c r="X1103" s="26" t="str">
        <f t="shared" si="105"/>
        <v>-</v>
      </c>
    </row>
    <row r="1104" spans="1:24" x14ac:dyDescent="0.3">
      <c r="A1104" s="37">
        <v>87614240817</v>
      </c>
      <c r="B1104" s="8" t="s">
        <v>1678</v>
      </c>
      <c r="C1104" s="10" t="s">
        <v>3176</v>
      </c>
      <c r="D1104" s="11" t="s">
        <v>907</v>
      </c>
      <c r="E1104" s="11" t="s">
        <v>2873</v>
      </c>
      <c r="F1104" s="9">
        <v>24</v>
      </c>
      <c r="G1104" s="9">
        <v>24</v>
      </c>
      <c r="H1104" s="9" t="s">
        <v>868</v>
      </c>
      <c r="I1104" s="9">
        <v>36</v>
      </c>
      <c r="J1104" s="9">
        <v>20</v>
      </c>
      <c r="K1104" s="9" t="s">
        <v>2913</v>
      </c>
      <c r="L1104" s="27">
        <v>7.831500000000001E-2</v>
      </c>
      <c r="M1104" s="28" t="s">
        <v>3203</v>
      </c>
      <c r="N1104" s="17">
        <v>5.2324649999999995</v>
      </c>
      <c r="O1104" s="1"/>
      <c r="P1104" s="38">
        <f t="shared" si="103"/>
        <v>0</v>
      </c>
      <c r="S1104" s="24" t="str">
        <f t="shared" si="106"/>
        <v>-</v>
      </c>
      <c r="T1104" s="24" t="str">
        <f t="shared" si="104"/>
        <v>-</v>
      </c>
      <c r="U1104" s="25" t="str">
        <f t="shared" si="107"/>
        <v>-</v>
      </c>
      <c r="V1104" s="26" t="str">
        <f t="shared" si="108"/>
        <v>-</v>
      </c>
      <c r="X1104" s="26" t="str">
        <f t="shared" si="105"/>
        <v>-</v>
      </c>
    </row>
    <row r="1105" spans="1:24" x14ac:dyDescent="0.3">
      <c r="A1105" s="37">
        <v>87614240824</v>
      </c>
      <c r="B1105" s="8" t="s">
        <v>1679</v>
      </c>
      <c r="C1105" s="10" t="s">
        <v>3177</v>
      </c>
      <c r="D1105" s="11" t="s">
        <v>907</v>
      </c>
      <c r="E1105" s="11" t="s">
        <v>2873</v>
      </c>
      <c r="F1105" s="9">
        <v>24</v>
      </c>
      <c r="G1105" s="9">
        <v>24</v>
      </c>
      <c r="H1105" s="9" t="s">
        <v>868</v>
      </c>
      <c r="I1105" s="9">
        <v>36</v>
      </c>
      <c r="J1105" s="9">
        <v>20</v>
      </c>
      <c r="K1105" s="9" t="s">
        <v>2913</v>
      </c>
      <c r="L1105" s="27">
        <v>9.0800000000000006E-2</v>
      </c>
      <c r="M1105" s="28" t="s">
        <v>3203</v>
      </c>
      <c r="N1105" s="17">
        <v>5.4151860000000003</v>
      </c>
      <c r="O1105" s="1"/>
      <c r="P1105" s="38">
        <f t="shared" si="103"/>
        <v>0</v>
      </c>
      <c r="S1105" s="24" t="str">
        <f t="shared" si="106"/>
        <v>-</v>
      </c>
      <c r="T1105" s="24" t="str">
        <f t="shared" si="104"/>
        <v>-</v>
      </c>
      <c r="U1105" s="25" t="str">
        <f t="shared" si="107"/>
        <v>-</v>
      </c>
      <c r="V1105" s="26" t="str">
        <f t="shared" si="108"/>
        <v>-</v>
      </c>
      <c r="X1105" s="26" t="str">
        <f t="shared" si="105"/>
        <v>-</v>
      </c>
    </row>
    <row r="1106" spans="1:24" x14ac:dyDescent="0.3">
      <c r="A1106" s="37">
        <v>87614240848</v>
      </c>
      <c r="B1106" s="8" t="s">
        <v>1680</v>
      </c>
      <c r="C1106" s="10" t="s">
        <v>2433</v>
      </c>
      <c r="D1106" s="11" t="s">
        <v>907</v>
      </c>
      <c r="E1106" s="11" t="s">
        <v>2873</v>
      </c>
      <c r="F1106" s="9">
        <v>24</v>
      </c>
      <c r="G1106" s="9">
        <v>24</v>
      </c>
      <c r="H1106" s="9" t="s">
        <v>868</v>
      </c>
      <c r="I1106" s="9">
        <v>36</v>
      </c>
      <c r="J1106" s="9">
        <v>20</v>
      </c>
      <c r="K1106" s="9" t="s">
        <v>2913</v>
      </c>
      <c r="L1106" s="27">
        <v>9.0800000000000006E-2</v>
      </c>
      <c r="M1106" s="28" t="s">
        <v>3203</v>
      </c>
      <c r="N1106" s="17">
        <v>4.3188599999999999</v>
      </c>
      <c r="O1106" s="1"/>
      <c r="P1106" s="38">
        <f t="shared" si="103"/>
        <v>0</v>
      </c>
      <c r="S1106" s="24" t="str">
        <f t="shared" si="106"/>
        <v>-</v>
      </c>
      <c r="T1106" s="24" t="str">
        <f t="shared" si="104"/>
        <v>-</v>
      </c>
      <c r="U1106" s="25" t="str">
        <f t="shared" si="107"/>
        <v>-</v>
      </c>
      <c r="V1106" s="26" t="str">
        <f t="shared" si="108"/>
        <v>-</v>
      </c>
      <c r="X1106" s="26" t="str">
        <f t="shared" si="105"/>
        <v>-</v>
      </c>
    </row>
    <row r="1107" spans="1:24" x14ac:dyDescent="0.3">
      <c r="A1107" s="37">
        <v>87614240886</v>
      </c>
      <c r="B1107" s="8" t="s">
        <v>1681</v>
      </c>
      <c r="C1107" s="10" t="s">
        <v>2434</v>
      </c>
      <c r="D1107" s="11" t="s">
        <v>2866</v>
      </c>
      <c r="E1107" s="11" t="s">
        <v>2868</v>
      </c>
      <c r="F1107" s="9">
        <v>24</v>
      </c>
      <c r="G1107" s="9">
        <v>24</v>
      </c>
      <c r="H1107" s="9" t="s">
        <v>892</v>
      </c>
      <c r="I1107" s="9">
        <v>18</v>
      </c>
      <c r="J1107" s="9">
        <v>1</v>
      </c>
      <c r="K1107" s="9" t="s">
        <v>2912</v>
      </c>
      <c r="L1107" s="27">
        <v>7.9450000000000007E-2</v>
      </c>
      <c r="M1107" s="28" t="s">
        <v>3203</v>
      </c>
      <c r="N1107" s="17">
        <v>11.345313000000001</v>
      </c>
      <c r="O1107" s="1"/>
      <c r="P1107" s="38">
        <f t="shared" si="103"/>
        <v>0</v>
      </c>
      <c r="S1107" s="24" t="str">
        <f t="shared" si="106"/>
        <v>-</v>
      </c>
      <c r="T1107" s="24" t="str">
        <f t="shared" si="104"/>
        <v>-</v>
      </c>
      <c r="U1107" s="25" t="str">
        <f t="shared" si="107"/>
        <v>-</v>
      </c>
      <c r="V1107" s="26" t="str">
        <f t="shared" si="108"/>
        <v>-</v>
      </c>
      <c r="X1107" s="26" t="str">
        <f t="shared" si="105"/>
        <v>-</v>
      </c>
    </row>
    <row r="1108" spans="1:24" x14ac:dyDescent="0.3">
      <c r="A1108" s="37">
        <v>87614240916</v>
      </c>
      <c r="B1108" s="8" t="s">
        <v>1683</v>
      </c>
      <c r="C1108" s="10" t="s">
        <v>3178</v>
      </c>
      <c r="D1108" s="11" t="s">
        <v>907</v>
      </c>
      <c r="E1108" s="11" t="s">
        <v>2873</v>
      </c>
      <c r="F1108" s="9">
        <v>24</v>
      </c>
      <c r="G1108" s="9">
        <v>48</v>
      </c>
      <c r="H1108" s="9" t="s">
        <v>868</v>
      </c>
      <c r="I1108" s="9">
        <v>36</v>
      </c>
      <c r="J1108" s="9">
        <v>20</v>
      </c>
      <c r="K1108" s="9" t="s">
        <v>2913</v>
      </c>
      <c r="L1108" s="27">
        <v>9.307E-2</v>
      </c>
      <c r="M1108" s="28" t="s">
        <v>3203</v>
      </c>
      <c r="N1108" s="17">
        <v>6.5447340000000001</v>
      </c>
      <c r="O1108" s="1"/>
      <c r="P1108" s="38">
        <f t="shared" si="103"/>
        <v>0</v>
      </c>
      <c r="S1108" s="24" t="str">
        <f t="shared" si="106"/>
        <v>-</v>
      </c>
      <c r="T1108" s="24" t="str">
        <f t="shared" si="104"/>
        <v>-</v>
      </c>
      <c r="U1108" s="25" t="str">
        <f t="shared" si="107"/>
        <v>-</v>
      </c>
      <c r="V1108" s="26" t="str">
        <f t="shared" si="108"/>
        <v>-</v>
      </c>
      <c r="X1108" s="26" t="str">
        <f t="shared" si="105"/>
        <v>-</v>
      </c>
    </row>
    <row r="1109" spans="1:24" x14ac:dyDescent="0.3">
      <c r="A1109" s="37">
        <v>87614240961</v>
      </c>
      <c r="B1109" s="8" t="s">
        <v>1684</v>
      </c>
      <c r="C1109" s="10" t="s">
        <v>2436</v>
      </c>
      <c r="D1109" s="11" t="s">
        <v>2835</v>
      </c>
      <c r="E1109" s="11" t="s">
        <v>2874</v>
      </c>
      <c r="F1109" s="9">
        <v>12</v>
      </c>
      <c r="G1109" s="9">
        <v>12</v>
      </c>
      <c r="H1109" s="9" t="s">
        <v>868</v>
      </c>
      <c r="I1109" s="9">
        <v>12</v>
      </c>
      <c r="J1109" s="9">
        <v>1</v>
      </c>
      <c r="K1109" s="9" t="s">
        <v>880</v>
      </c>
      <c r="L1109" s="27">
        <v>0.50280500000000006</v>
      </c>
      <c r="M1109" s="28" t="s">
        <v>3203</v>
      </c>
      <c r="N1109" s="17">
        <v>10.415096999999999</v>
      </c>
      <c r="O1109" s="1"/>
      <c r="P1109" s="38">
        <f t="shared" si="103"/>
        <v>0</v>
      </c>
      <c r="S1109" s="24" t="str">
        <f t="shared" si="106"/>
        <v>-</v>
      </c>
      <c r="T1109" s="24" t="str">
        <f t="shared" si="104"/>
        <v>-</v>
      </c>
      <c r="U1109" s="25" t="str">
        <f t="shared" si="107"/>
        <v>-</v>
      </c>
      <c r="V1109" s="26" t="str">
        <f t="shared" si="108"/>
        <v>-</v>
      </c>
      <c r="X1109" s="26" t="str">
        <f t="shared" si="105"/>
        <v>-</v>
      </c>
    </row>
    <row r="1110" spans="1:24" x14ac:dyDescent="0.3">
      <c r="A1110" s="37">
        <v>87614240985</v>
      </c>
      <c r="B1110" s="8" t="s">
        <v>1685</v>
      </c>
      <c r="C1110" s="10" t="s">
        <v>3179</v>
      </c>
      <c r="D1110" s="11" t="s">
        <v>907</v>
      </c>
      <c r="E1110" s="11" t="s">
        <v>2873</v>
      </c>
      <c r="F1110" s="9">
        <v>12</v>
      </c>
      <c r="G1110" s="9">
        <v>48</v>
      </c>
      <c r="H1110" s="9" t="s">
        <v>868</v>
      </c>
      <c r="I1110" s="9">
        <v>24</v>
      </c>
      <c r="J1110" s="9">
        <v>1</v>
      </c>
      <c r="K1110" s="9" t="s">
        <v>880</v>
      </c>
      <c r="L1110" s="27">
        <v>9.6475000000000005E-2</v>
      </c>
      <c r="M1110" s="28" t="s">
        <v>3203</v>
      </c>
      <c r="N1110" s="17">
        <v>11.428367999999999</v>
      </c>
      <c r="O1110" s="1"/>
      <c r="P1110" s="38">
        <f t="shared" si="103"/>
        <v>0</v>
      </c>
      <c r="S1110" s="24" t="str">
        <f t="shared" si="106"/>
        <v>-</v>
      </c>
      <c r="T1110" s="24" t="str">
        <f t="shared" si="104"/>
        <v>-</v>
      </c>
      <c r="U1110" s="25" t="str">
        <f t="shared" si="107"/>
        <v>-</v>
      </c>
      <c r="V1110" s="26" t="str">
        <f t="shared" si="108"/>
        <v>-</v>
      </c>
      <c r="X1110" s="26" t="str">
        <f t="shared" si="105"/>
        <v>-</v>
      </c>
    </row>
    <row r="1111" spans="1:24" x14ac:dyDescent="0.3">
      <c r="A1111" s="37">
        <v>87614240992</v>
      </c>
      <c r="B1111" s="8" t="s">
        <v>1888</v>
      </c>
      <c r="C1111" s="10" t="s">
        <v>3180</v>
      </c>
      <c r="D1111" s="11" t="s">
        <v>907</v>
      </c>
      <c r="E1111" s="11" t="s">
        <v>2873</v>
      </c>
      <c r="F1111" s="9">
        <v>24</v>
      </c>
      <c r="G1111" s="9">
        <v>24</v>
      </c>
      <c r="H1111" s="9" t="s">
        <v>868</v>
      </c>
      <c r="I1111" s="9">
        <v>36</v>
      </c>
      <c r="J1111" s="9">
        <v>20</v>
      </c>
      <c r="K1111" s="9" t="s">
        <v>2913</v>
      </c>
      <c r="L1111" s="27">
        <v>6.9235000000000005E-2</v>
      </c>
      <c r="M1111" s="28" t="s">
        <v>3203</v>
      </c>
      <c r="N1111" s="17">
        <v>6.445068</v>
      </c>
      <c r="O1111" s="1"/>
      <c r="P1111" s="38">
        <f t="shared" si="103"/>
        <v>0</v>
      </c>
      <c r="S1111" s="24" t="str">
        <f t="shared" si="106"/>
        <v>-</v>
      </c>
      <c r="T1111" s="24" t="str">
        <f t="shared" si="104"/>
        <v>-</v>
      </c>
      <c r="U1111" s="25" t="str">
        <f t="shared" si="107"/>
        <v>-</v>
      </c>
      <c r="V1111" s="26" t="str">
        <f t="shared" si="108"/>
        <v>-</v>
      </c>
      <c r="X1111" s="26" t="str">
        <f t="shared" si="105"/>
        <v>-</v>
      </c>
    </row>
    <row r="1112" spans="1:24" x14ac:dyDescent="0.3">
      <c r="A1112" s="37">
        <v>87614241029</v>
      </c>
      <c r="B1112" s="8" t="s">
        <v>1907</v>
      </c>
      <c r="C1112" s="10" t="s">
        <v>2631</v>
      </c>
      <c r="D1112" s="11" t="s">
        <v>879</v>
      </c>
      <c r="E1112" s="11" t="s">
        <v>922</v>
      </c>
      <c r="F1112" s="9">
        <v>6</v>
      </c>
      <c r="G1112" s="9">
        <v>12</v>
      </c>
      <c r="H1112" s="9" t="s">
        <v>868</v>
      </c>
      <c r="I1112" s="9">
        <v>36</v>
      </c>
      <c r="J1112" s="9">
        <v>1</v>
      </c>
      <c r="K1112" s="9" t="s">
        <v>880</v>
      </c>
      <c r="L1112" s="27">
        <v>0.47102499999999997</v>
      </c>
      <c r="M1112" s="28" t="s">
        <v>3203</v>
      </c>
      <c r="N1112" s="17">
        <v>16.179113999999998</v>
      </c>
      <c r="O1112" s="1"/>
      <c r="P1112" s="38">
        <f t="shared" si="103"/>
        <v>0</v>
      </c>
      <c r="S1112" s="24" t="str">
        <f t="shared" si="106"/>
        <v>-</v>
      </c>
      <c r="T1112" s="24" t="str">
        <f t="shared" si="104"/>
        <v>-</v>
      </c>
      <c r="U1112" s="25" t="str">
        <f t="shared" si="107"/>
        <v>-</v>
      </c>
      <c r="V1112" s="26" t="str">
        <f t="shared" si="108"/>
        <v>-</v>
      </c>
      <c r="X1112" s="26" t="str">
        <f t="shared" si="105"/>
        <v>-</v>
      </c>
    </row>
    <row r="1113" spans="1:24" x14ac:dyDescent="0.3">
      <c r="A1113" s="37">
        <v>87614241043</v>
      </c>
      <c r="B1113" s="8" t="s">
        <v>1686</v>
      </c>
      <c r="C1113" s="10" t="s">
        <v>2437</v>
      </c>
      <c r="D1113" s="11" t="s">
        <v>888</v>
      </c>
      <c r="E1113" s="11" t="s">
        <v>964</v>
      </c>
      <c r="F1113" s="9">
        <v>12</v>
      </c>
      <c r="G1113" s="9">
        <v>24</v>
      </c>
      <c r="H1113" s="9" t="s">
        <v>892</v>
      </c>
      <c r="I1113" s="9">
        <v>36</v>
      </c>
      <c r="J1113" s="9">
        <v>75</v>
      </c>
      <c r="K1113" s="9" t="s">
        <v>900</v>
      </c>
      <c r="L1113" s="27">
        <v>0.164575</v>
      </c>
      <c r="M1113" s="28" t="s">
        <v>3203</v>
      </c>
      <c r="N1113" s="17">
        <v>9.0031619999999997</v>
      </c>
      <c r="O1113" s="1"/>
      <c r="P1113" s="38">
        <f t="shared" si="103"/>
        <v>0</v>
      </c>
      <c r="S1113" s="24" t="str">
        <f t="shared" si="106"/>
        <v>-</v>
      </c>
      <c r="T1113" s="24" t="str">
        <f t="shared" si="104"/>
        <v>-</v>
      </c>
      <c r="U1113" s="25" t="str">
        <f t="shared" si="107"/>
        <v>-</v>
      </c>
      <c r="V1113" s="26" t="str">
        <f t="shared" si="108"/>
        <v>-</v>
      </c>
      <c r="X1113" s="26" t="str">
        <f t="shared" si="105"/>
        <v>-</v>
      </c>
    </row>
    <row r="1114" spans="1:24" x14ac:dyDescent="0.3">
      <c r="A1114" s="37">
        <v>87614241197</v>
      </c>
      <c r="B1114" s="8" t="s">
        <v>1689</v>
      </c>
      <c r="C1114" s="10" t="s">
        <v>2440</v>
      </c>
      <c r="D1114" s="11" t="s">
        <v>2835</v>
      </c>
      <c r="E1114" s="11" t="s">
        <v>2874</v>
      </c>
      <c r="F1114" s="9">
        <v>12</v>
      </c>
      <c r="G1114" s="9">
        <v>12</v>
      </c>
      <c r="H1114" s="9" t="s">
        <v>868</v>
      </c>
      <c r="I1114" s="9">
        <v>12</v>
      </c>
      <c r="J1114" s="9">
        <v>1</v>
      </c>
      <c r="K1114" s="9" t="s">
        <v>2912</v>
      </c>
      <c r="L1114" s="27">
        <v>0.49940000000000001</v>
      </c>
      <c r="M1114" s="28" t="s">
        <v>3203</v>
      </c>
      <c r="N1114" s="17">
        <v>19.252148999999999</v>
      </c>
      <c r="O1114" s="1"/>
      <c r="P1114" s="38">
        <f t="shared" si="103"/>
        <v>0</v>
      </c>
      <c r="S1114" s="24" t="str">
        <f t="shared" si="106"/>
        <v>-</v>
      </c>
      <c r="T1114" s="24" t="str">
        <f t="shared" si="104"/>
        <v>-</v>
      </c>
      <c r="U1114" s="25" t="str">
        <f t="shared" si="107"/>
        <v>-</v>
      </c>
      <c r="V1114" s="26" t="str">
        <f t="shared" si="108"/>
        <v>-</v>
      </c>
      <c r="X1114" s="26" t="str">
        <f t="shared" si="105"/>
        <v>-</v>
      </c>
    </row>
    <row r="1115" spans="1:24" x14ac:dyDescent="0.3">
      <c r="A1115" s="37">
        <v>87614241531</v>
      </c>
      <c r="B1115" s="8" t="s">
        <v>1693</v>
      </c>
      <c r="C1115" s="10" t="s">
        <v>2443</v>
      </c>
      <c r="D1115" s="11" t="s">
        <v>888</v>
      </c>
      <c r="E1115" s="11" t="s">
        <v>1082</v>
      </c>
      <c r="F1115" s="9">
        <v>6</v>
      </c>
      <c r="G1115" s="9">
        <v>30</v>
      </c>
      <c r="H1115" s="9" t="s">
        <v>868</v>
      </c>
      <c r="I1115" s="9">
        <v>24</v>
      </c>
      <c r="J1115" s="9">
        <v>1</v>
      </c>
      <c r="K1115" s="9" t="s">
        <v>887</v>
      </c>
      <c r="L1115" s="27">
        <v>0.79903999999999997</v>
      </c>
      <c r="M1115" s="28" t="s">
        <v>3203</v>
      </c>
      <c r="N1115" s="17">
        <v>7.9400579999999996</v>
      </c>
      <c r="O1115" s="1"/>
      <c r="P1115" s="38">
        <f t="shared" si="103"/>
        <v>0</v>
      </c>
      <c r="S1115" s="24" t="str">
        <f t="shared" si="106"/>
        <v>-</v>
      </c>
      <c r="T1115" s="24" t="str">
        <f t="shared" si="104"/>
        <v>-</v>
      </c>
      <c r="U1115" s="25" t="str">
        <f t="shared" si="107"/>
        <v>-</v>
      </c>
      <c r="V1115" s="26" t="str">
        <f t="shared" si="108"/>
        <v>-</v>
      </c>
      <c r="X1115" s="26" t="str">
        <f t="shared" si="105"/>
        <v>-</v>
      </c>
    </row>
    <row r="1116" spans="1:24" x14ac:dyDescent="0.3">
      <c r="A1116" s="37">
        <v>87614241630</v>
      </c>
      <c r="B1116" s="8" t="s">
        <v>1694</v>
      </c>
      <c r="C1116" s="10" t="s">
        <v>2444</v>
      </c>
      <c r="D1116" s="11" t="s">
        <v>2835</v>
      </c>
      <c r="E1116" s="11" t="s">
        <v>2870</v>
      </c>
      <c r="F1116" s="9">
        <v>6</v>
      </c>
      <c r="G1116" s="9">
        <v>6</v>
      </c>
      <c r="H1116" s="9" t="s">
        <v>868</v>
      </c>
      <c r="I1116" s="9">
        <v>24</v>
      </c>
      <c r="J1116" s="9">
        <v>1</v>
      </c>
      <c r="K1116" s="9" t="s">
        <v>2906</v>
      </c>
      <c r="L1116" s="27">
        <v>1.8863699999999999</v>
      </c>
      <c r="M1116" s="28" t="s">
        <v>3203</v>
      </c>
      <c r="N1116" s="17">
        <v>19.534535999999999</v>
      </c>
      <c r="O1116" s="1"/>
      <c r="P1116" s="38">
        <f t="shared" si="103"/>
        <v>0</v>
      </c>
      <c r="S1116" s="24" t="str">
        <f t="shared" si="106"/>
        <v>-</v>
      </c>
      <c r="T1116" s="24" t="str">
        <f t="shared" si="104"/>
        <v>-</v>
      </c>
      <c r="U1116" s="25" t="str">
        <f t="shared" si="107"/>
        <v>-</v>
      </c>
      <c r="V1116" s="26" t="str">
        <f t="shared" si="108"/>
        <v>-</v>
      </c>
      <c r="X1116" s="26" t="str">
        <f t="shared" si="105"/>
        <v>-</v>
      </c>
    </row>
    <row r="1117" spans="1:24" x14ac:dyDescent="0.3">
      <c r="A1117" s="37">
        <v>87614241944</v>
      </c>
      <c r="B1117" s="8" t="s">
        <v>1952</v>
      </c>
      <c r="C1117" s="10" t="s">
        <v>2673</v>
      </c>
      <c r="D1117" s="11" t="s">
        <v>907</v>
      </c>
      <c r="E1117" s="11" t="s">
        <v>2871</v>
      </c>
      <c r="F1117" s="9">
        <v>10</v>
      </c>
      <c r="G1117" s="9">
        <v>10</v>
      </c>
      <c r="H1117" s="9" t="s">
        <v>868</v>
      </c>
      <c r="I1117" s="9">
        <v>24</v>
      </c>
      <c r="J1117" s="9">
        <v>1</v>
      </c>
      <c r="K1117" s="9" t="s">
        <v>2914</v>
      </c>
      <c r="L1117" s="27">
        <v>0.153225</v>
      </c>
      <c r="M1117" s="28" t="s">
        <v>3203</v>
      </c>
      <c r="N1117" s="17">
        <v>34.766823000000002</v>
      </c>
      <c r="O1117" s="1"/>
      <c r="P1117" s="38">
        <f t="shared" si="103"/>
        <v>0</v>
      </c>
      <c r="S1117" s="24" t="str">
        <f t="shared" si="106"/>
        <v>-</v>
      </c>
      <c r="T1117" s="24" t="str">
        <f t="shared" si="104"/>
        <v>-</v>
      </c>
      <c r="U1117" s="25" t="str">
        <f t="shared" si="107"/>
        <v>-</v>
      </c>
      <c r="V1117" s="26" t="str">
        <f t="shared" si="108"/>
        <v>-</v>
      </c>
      <c r="X1117" s="26" t="str">
        <f t="shared" si="105"/>
        <v>-</v>
      </c>
    </row>
    <row r="1118" spans="1:24" x14ac:dyDescent="0.3">
      <c r="A1118" s="37">
        <v>87614241975</v>
      </c>
      <c r="B1118" s="8" t="s">
        <v>1140</v>
      </c>
      <c r="C1118" s="10" t="s">
        <v>1968</v>
      </c>
      <c r="D1118" s="11" t="s">
        <v>2822</v>
      </c>
      <c r="E1118" s="11" t="s">
        <v>2843</v>
      </c>
      <c r="F1118" s="9">
        <v>6</v>
      </c>
      <c r="G1118" s="9">
        <v>6</v>
      </c>
      <c r="H1118" s="9" t="s">
        <v>868</v>
      </c>
      <c r="I1118" s="9">
        <v>24</v>
      </c>
      <c r="J1118" s="9">
        <v>1</v>
      </c>
      <c r="K1118" s="9" t="s">
        <v>880</v>
      </c>
      <c r="L1118" s="27">
        <v>0.69689000000000001</v>
      </c>
      <c r="M1118" s="28" t="s">
        <v>3203</v>
      </c>
      <c r="N1118" s="17">
        <v>21.727187999999998</v>
      </c>
      <c r="O1118" s="1"/>
      <c r="P1118" s="38">
        <f t="shared" si="103"/>
        <v>0</v>
      </c>
      <c r="S1118" s="24" t="str">
        <f t="shared" si="106"/>
        <v>-</v>
      </c>
      <c r="T1118" s="24" t="str">
        <f t="shared" si="104"/>
        <v>-</v>
      </c>
      <c r="U1118" s="25" t="str">
        <f t="shared" si="107"/>
        <v>-</v>
      </c>
      <c r="V1118" s="26" t="str">
        <f t="shared" si="108"/>
        <v>-</v>
      </c>
      <c r="X1118" s="26" t="str">
        <f t="shared" si="105"/>
        <v>-</v>
      </c>
    </row>
    <row r="1119" spans="1:24" x14ac:dyDescent="0.3">
      <c r="A1119" s="37">
        <v>87614242026</v>
      </c>
      <c r="B1119" s="8" t="s">
        <v>1696</v>
      </c>
      <c r="C1119" s="10" t="s">
        <v>2446</v>
      </c>
      <c r="D1119" s="11" t="s">
        <v>905</v>
      </c>
      <c r="E1119" s="11" t="s">
        <v>2880</v>
      </c>
      <c r="F1119" s="9">
        <v>24</v>
      </c>
      <c r="G1119" s="9">
        <v>24</v>
      </c>
      <c r="H1119" s="9" t="s">
        <v>868</v>
      </c>
      <c r="I1119" s="9">
        <v>36</v>
      </c>
      <c r="J1119" s="9">
        <v>1</v>
      </c>
      <c r="K1119" s="9" t="s">
        <v>887</v>
      </c>
      <c r="L1119" s="27">
        <v>0.54139499999999996</v>
      </c>
      <c r="M1119" s="28" t="s">
        <v>3203</v>
      </c>
      <c r="N1119" s="17">
        <v>26.843375999999999</v>
      </c>
      <c r="O1119" s="1"/>
      <c r="P1119" s="38">
        <f t="shared" si="103"/>
        <v>0</v>
      </c>
      <c r="S1119" s="24" t="str">
        <f t="shared" si="106"/>
        <v>-</v>
      </c>
      <c r="T1119" s="24" t="str">
        <f t="shared" si="104"/>
        <v>-</v>
      </c>
      <c r="U1119" s="25" t="str">
        <f t="shared" si="107"/>
        <v>-</v>
      </c>
      <c r="V1119" s="26" t="str">
        <f t="shared" si="108"/>
        <v>-</v>
      </c>
      <c r="X1119" s="26" t="str">
        <f t="shared" si="105"/>
        <v>-</v>
      </c>
    </row>
    <row r="1120" spans="1:24" x14ac:dyDescent="0.3">
      <c r="A1120" s="37">
        <v>87614242101</v>
      </c>
      <c r="B1120" s="8" t="s">
        <v>2750</v>
      </c>
      <c r="C1120" s="10" t="s">
        <v>2751</v>
      </c>
      <c r="D1120" s="11" t="s">
        <v>883</v>
      </c>
      <c r="E1120" s="11" t="s">
        <v>944</v>
      </c>
      <c r="F1120" s="9">
        <v>12</v>
      </c>
      <c r="G1120" s="9">
        <v>12</v>
      </c>
      <c r="H1120" s="9" t="s">
        <v>868</v>
      </c>
      <c r="I1120" s="9">
        <v>24</v>
      </c>
      <c r="J1120" s="9">
        <v>1</v>
      </c>
      <c r="K1120" s="9" t="s">
        <v>887</v>
      </c>
      <c r="L1120" s="27">
        <v>0.73434500000000003</v>
      </c>
      <c r="M1120" s="28" t="s">
        <v>3203</v>
      </c>
      <c r="N1120" s="17">
        <v>14.767179</v>
      </c>
      <c r="O1120" s="1"/>
      <c r="P1120" s="38">
        <f t="shared" si="103"/>
        <v>0</v>
      </c>
      <c r="S1120" s="24" t="str">
        <f t="shared" si="106"/>
        <v>-</v>
      </c>
      <c r="T1120" s="24" t="str">
        <f t="shared" si="104"/>
        <v>-</v>
      </c>
      <c r="U1120" s="25" t="str">
        <f t="shared" si="107"/>
        <v>-</v>
      </c>
      <c r="V1120" s="26" t="str">
        <f t="shared" si="108"/>
        <v>-</v>
      </c>
      <c r="X1120" s="26" t="str">
        <f t="shared" si="105"/>
        <v>-</v>
      </c>
    </row>
    <row r="1121" spans="1:24" x14ac:dyDescent="0.3">
      <c r="A1121" s="37">
        <v>87614242118</v>
      </c>
      <c r="B1121" s="8" t="s">
        <v>2752</v>
      </c>
      <c r="C1121" s="10" t="s">
        <v>2753</v>
      </c>
      <c r="D1121" s="11" t="s">
        <v>907</v>
      </c>
      <c r="E1121" s="11" t="s">
        <v>2851</v>
      </c>
      <c r="F1121" s="9">
        <v>12</v>
      </c>
      <c r="G1121" s="9">
        <v>12</v>
      </c>
      <c r="H1121" s="9" t="s">
        <v>868</v>
      </c>
      <c r="I1121" s="9">
        <v>24</v>
      </c>
      <c r="J1121" s="9">
        <v>1</v>
      </c>
      <c r="K1121" s="9" t="s">
        <v>887</v>
      </c>
      <c r="L1121" s="27">
        <v>1.2825499999999999</v>
      </c>
      <c r="M1121" s="28" t="s">
        <v>3203</v>
      </c>
      <c r="N1121" s="17">
        <v>12.12603</v>
      </c>
      <c r="O1121" s="1"/>
      <c r="P1121" s="38">
        <f t="shared" si="103"/>
        <v>0</v>
      </c>
      <c r="S1121" s="24" t="str">
        <f t="shared" si="106"/>
        <v>-</v>
      </c>
      <c r="T1121" s="24" t="str">
        <f t="shared" si="104"/>
        <v>-</v>
      </c>
      <c r="U1121" s="25" t="str">
        <f t="shared" si="107"/>
        <v>-</v>
      </c>
      <c r="V1121" s="26" t="str">
        <f t="shared" si="108"/>
        <v>-</v>
      </c>
      <c r="X1121" s="26" t="str">
        <f t="shared" si="105"/>
        <v>-</v>
      </c>
    </row>
    <row r="1122" spans="1:24" x14ac:dyDescent="0.3">
      <c r="A1122" s="37">
        <v>87614090085</v>
      </c>
      <c r="B1122" s="8" t="s">
        <v>1699</v>
      </c>
      <c r="C1122" s="10" t="s">
        <v>2755</v>
      </c>
      <c r="D1122" s="11" t="s">
        <v>874</v>
      </c>
      <c r="E1122" s="11" t="s">
        <v>914</v>
      </c>
      <c r="F1122" s="9">
        <v>12</v>
      </c>
      <c r="G1122" s="9">
        <v>24</v>
      </c>
      <c r="H1122" s="9" t="s">
        <v>868</v>
      </c>
      <c r="I1122" s="9">
        <v>36</v>
      </c>
      <c r="J1122" s="9">
        <v>200</v>
      </c>
      <c r="K1122" s="9" t="s">
        <v>873</v>
      </c>
      <c r="L1122" s="27">
        <v>0.219055</v>
      </c>
      <c r="M1122" s="28" t="s">
        <v>3203</v>
      </c>
      <c r="N1122" s="17">
        <v>17.175774000000001</v>
      </c>
      <c r="O1122" s="1"/>
      <c r="P1122" s="38">
        <f t="shared" si="103"/>
        <v>0</v>
      </c>
      <c r="S1122" s="24" t="str">
        <f t="shared" si="106"/>
        <v>-</v>
      </c>
      <c r="T1122" s="24" t="str">
        <f t="shared" si="104"/>
        <v>-</v>
      </c>
      <c r="U1122" s="25" t="str">
        <f t="shared" si="107"/>
        <v>-</v>
      </c>
      <c r="V1122" s="26" t="str">
        <f t="shared" si="108"/>
        <v>-</v>
      </c>
      <c r="X1122" s="26" t="str">
        <f t="shared" si="105"/>
        <v>-</v>
      </c>
    </row>
    <row r="1123" spans="1:24" x14ac:dyDescent="0.3">
      <c r="A1123" s="37">
        <v>87614140391</v>
      </c>
      <c r="B1123" s="8" t="s">
        <v>1447</v>
      </c>
      <c r="C1123" s="10" t="s">
        <v>2220</v>
      </c>
      <c r="D1123" s="11" t="s">
        <v>874</v>
      </c>
      <c r="E1123" s="11" t="s">
        <v>914</v>
      </c>
      <c r="F1123" s="9">
        <v>20</v>
      </c>
      <c r="G1123" s="9">
        <v>60</v>
      </c>
      <c r="H1123" s="9" t="s">
        <v>868</v>
      </c>
      <c r="I1123" s="9">
        <v>24</v>
      </c>
      <c r="J1123" s="9">
        <v>120</v>
      </c>
      <c r="K1123" s="9" t="s">
        <v>873</v>
      </c>
      <c r="L1123" s="27">
        <v>0.12031</v>
      </c>
      <c r="M1123" s="28" t="s">
        <v>3203</v>
      </c>
      <c r="N1123" s="17">
        <v>10.747316999999999</v>
      </c>
      <c r="O1123" s="1"/>
      <c r="P1123" s="38">
        <f t="shared" si="103"/>
        <v>0</v>
      </c>
      <c r="S1123" s="24" t="str">
        <f t="shared" si="106"/>
        <v>-</v>
      </c>
      <c r="T1123" s="24" t="str">
        <f t="shared" si="104"/>
        <v>-</v>
      </c>
      <c r="U1123" s="25" t="str">
        <f t="shared" si="107"/>
        <v>-</v>
      </c>
      <c r="V1123" s="26" t="str">
        <f t="shared" si="108"/>
        <v>-</v>
      </c>
      <c r="X1123" s="26" t="str">
        <f t="shared" si="105"/>
        <v>-</v>
      </c>
    </row>
    <row r="1124" spans="1:24" x14ac:dyDescent="0.3">
      <c r="A1124" s="37">
        <v>87614140537</v>
      </c>
      <c r="B1124" s="8" t="s">
        <v>1896</v>
      </c>
      <c r="C1124" s="10" t="s">
        <v>2620</v>
      </c>
      <c r="D1124" s="11" t="s">
        <v>874</v>
      </c>
      <c r="E1124" s="11" t="s">
        <v>919</v>
      </c>
      <c r="F1124" s="9">
        <v>20</v>
      </c>
      <c r="G1124" s="9">
        <v>60</v>
      </c>
      <c r="H1124" s="9" t="s">
        <v>868</v>
      </c>
      <c r="I1124" s="9">
        <v>24</v>
      </c>
      <c r="J1124" s="9">
        <v>120</v>
      </c>
      <c r="K1124" s="9" t="s">
        <v>873</v>
      </c>
      <c r="L1124" s="27">
        <v>0.12257999999999999</v>
      </c>
      <c r="M1124" s="28" t="s">
        <v>3203</v>
      </c>
      <c r="N1124" s="17">
        <v>10.398486</v>
      </c>
      <c r="O1124" s="1"/>
      <c r="P1124" s="38">
        <f t="shared" si="103"/>
        <v>0</v>
      </c>
      <c r="S1124" s="24" t="str">
        <f t="shared" si="106"/>
        <v>-</v>
      </c>
      <c r="T1124" s="24" t="str">
        <f t="shared" si="104"/>
        <v>-</v>
      </c>
      <c r="U1124" s="25" t="str">
        <f t="shared" si="107"/>
        <v>-</v>
      </c>
      <c r="V1124" s="26" t="str">
        <f t="shared" si="108"/>
        <v>-</v>
      </c>
      <c r="X1124" s="26" t="str">
        <f t="shared" si="105"/>
        <v>-</v>
      </c>
    </row>
    <row r="1125" spans="1:24" x14ac:dyDescent="0.3">
      <c r="A1125" s="37">
        <v>87614140650</v>
      </c>
      <c r="B1125" s="8" t="s">
        <v>1709</v>
      </c>
      <c r="C1125" s="10" t="s">
        <v>2456</v>
      </c>
      <c r="D1125" s="11" t="s">
        <v>884</v>
      </c>
      <c r="E1125" s="11" t="s">
        <v>931</v>
      </c>
      <c r="F1125" s="9">
        <v>20</v>
      </c>
      <c r="G1125" s="9">
        <v>60</v>
      </c>
      <c r="H1125" s="9" t="s">
        <v>868</v>
      </c>
      <c r="I1125" s="9">
        <v>24</v>
      </c>
      <c r="J1125" s="9">
        <v>120</v>
      </c>
      <c r="K1125" s="9" t="s">
        <v>873</v>
      </c>
      <c r="L1125" s="27">
        <v>0.116905</v>
      </c>
      <c r="M1125" s="28" t="s">
        <v>3203</v>
      </c>
      <c r="N1125" s="17">
        <v>7.9068360000000002</v>
      </c>
      <c r="O1125" s="1"/>
      <c r="P1125" s="38">
        <f t="shared" si="103"/>
        <v>0</v>
      </c>
      <c r="S1125" s="24" t="str">
        <f t="shared" si="106"/>
        <v>-</v>
      </c>
      <c r="T1125" s="24" t="str">
        <f t="shared" si="104"/>
        <v>-</v>
      </c>
      <c r="U1125" s="25" t="str">
        <f t="shared" si="107"/>
        <v>-</v>
      </c>
      <c r="V1125" s="26" t="str">
        <f t="shared" si="108"/>
        <v>-</v>
      </c>
      <c r="X1125" s="26" t="str">
        <f t="shared" si="105"/>
        <v>-</v>
      </c>
    </row>
    <row r="1126" spans="1:24" x14ac:dyDescent="0.3">
      <c r="A1126" s="37">
        <v>87614140698</v>
      </c>
      <c r="B1126" s="8" t="s">
        <v>523</v>
      </c>
      <c r="C1126" s="10" t="s">
        <v>524</v>
      </c>
      <c r="D1126" s="11" t="s">
        <v>881</v>
      </c>
      <c r="E1126" s="11" t="s">
        <v>969</v>
      </c>
      <c r="F1126" s="9">
        <v>16</v>
      </c>
      <c r="G1126" s="9">
        <v>48</v>
      </c>
      <c r="H1126" s="9" t="s">
        <v>892</v>
      </c>
      <c r="I1126" s="9">
        <v>24</v>
      </c>
      <c r="J1126" s="9">
        <v>120</v>
      </c>
      <c r="K1126" s="9" t="s">
        <v>873</v>
      </c>
      <c r="L1126" s="27">
        <v>0.14755000000000001</v>
      </c>
      <c r="M1126" s="28" t="s">
        <v>3203</v>
      </c>
      <c r="N1126" s="17">
        <v>12.740637</v>
      </c>
      <c r="O1126" s="1"/>
      <c r="P1126" s="38">
        <f t="shared" si="103"/>
        <v>0</v>
      </c>
      <c r="S1126" s="24" t="str">
        <f t="shared" si="106"/>
        <v>-</v>
      </c>
      <c r="T1126" s="24" t="str">
        <f t="shared" si="104"/>
        <v>-</v>
      </c>
      <c r="U1126" s="25" t="str">
        <f t="shared" si="107"/>
        <v>-</v>
      </c>
      <c r="V1126" s="26" t="str">
        <f t="shared" si="108"/>
        <v>-</v>
      </c>
      <c r="X1126" s="26" t="str">
        <f t="shared" si="105"/>
        <v>-</v>
      </c>
    </row>
    <row r="1127" spans="1:24" x14ac:dyDescent="0.3">
      <c r="A1127" s="37">
        <v>87614140728</v>
      </c>
      <c r="B1127" s="8" t="s">
        <v>1448</v>
      </c>
      <c r="C1127" s="10" t="s">
        <v>2221</v>
      </c>
      <c r="D1127" s="11" t="s">
        <v>886</v>
      </c>
      <c r="E1127" s="11" t="s">
        <v>952</v>
      </c>
      <c r="F1127" s="9">
        <v>16</v>
      </c>
      <c r="G1127" s="9">
        <v>48</v>
      </c>
      <c r="H1127" s="9" t="s">
        <v>868</v>
      </c>
      <c r="I1127" s="9">
        <v>24</v>
      </c>
      <c r="J1127" s="9">
        <v>120</v>
      </c>
      <c r="K1127" s="9" t="s">
        <v>873</v>
      </c>
      <c r="L1127" s="27">
        <v>0.12712000000000001</v>
      </c>
      <c r="M1127" s="28" t="s">
        <v>3203</v>
      </c>
      <c r="N1127" s="17">
        <v>10.979870999999999</v>
      </c>
      <c r="O1127" s="1"/>
      <c r="P1127" s="38">
        <f t="shared" si="103"/>
        <v>0</v>
      </c>
      <c r="S1127" s="24" t="str">
        <f t="shared" si="106"/>
        <v>-</v>
      </c>
      <c r="T1127" s="24" t="str">
        <f t="shared" si="104"/>
        <v>-</v>
      </c>
      <c r="U1127" s="25" t="str">
        <f t="shared" si="107"/>
        <v>-</v>
      </c>
      <c r="V1127" s="26" t="str">
        <f t="shared" si="108"/>
        <v>-</v>
      </c>
      <c r="X1127" s="26" t="str">
        <f t="shared" si="105"/>
        <v>-</v>
      </c>
    </row>
    <row r="1128" spans="1:24" x14ac:dyDescent="0.3">
      <c r="A1128" s="37">
        <v>87614140803</v>
      </c>
      <c r="B1128" s="8" t="s">
        <v>1336</v>
      </c>
      <c r="C1128" s="10" t="s">
        <v>2118</v>
      </c>
      <c r="D1128" s="11" t="s">
        <v>886</v>
      </c>
      <c r="E1128" s="11" t="s">
        <v>952</v>
      </c>
      <c r="F1128" s="9">
        <v>30</v>
      </c>
      <c r="G1128" s="9">
        <v>90</v>
      </c>
      <c r="H1128" s="9" t="s">
        <v>868</v>
      </c>
      <c r="I1128" s="9">
        <v>36</v>
      </c>
      <c r="J1128" s="9">
        <v>60</v>
      </c>
      <c r="K1128" s="9" t="s">
        <v>873</v>
      </c>
      <c r="L1128" s="27">
        <v>6.8099999999999994E-2</v>
      </c>
      <c r="M1128" s="28" t="s">
        <v>3203</v>
      </c>
      <c r="N1128" s="17">
        <v>5.1161880000000002</v>
      </c>
      <c r="O1128" s="1"/>
      <c r="P1128" s="38">
        <f t="shared" si="103"/>
        <v>0</v>
      </c>
      <c r="S1128" s="24" t="str">
        <f t="shared" si="106"/>
        <v>-</v>
      </c>
      <c r="T1128" s="24" t="str">
        <f t="shared" si="104"/>
        <v>-</v>
      </c>
      <c r="U1128" s="25" t="str">
        <f t="shared" si="107"/>
        <v>-</v>
      </c>
      <c r="V1128" s="26" t="str">
        <f t="shared" si="108"/>
        <v>-</v>
      </c>
      <c r="X1128" s="26" t="str">
        <f t="shared" si="105"/>
        <v>-</v>
      </c>
    </row>
    <row r="1129" spans="1:24" x14ac:dyDescent="0.3">
      <c r="A1129" s="37">
        <v>87614140810</v>
      </c>
      <c r="B1129" s="8" t="s">
        <v>1710</v>
      </c>
      <c r="C1129" s="10" t="s">
        <v>3181</v>
      </c>
      <c r="D1129" s="11" t="s">
        <v>874</v>
      </c>
      <c r="E1129" s="11" t="s">
        <v>925</v>
      </c>
      <c r="F1129" s="9">
        <v>30</v>
      </c>
      <c r="G1129" s="9">
        <v>90</v>
      </c>
      <c r="H1129" s="9" t="s">
        <v>868</v>
      </c>
      <c r="I1129" s="9">
        <v>24</v>
      </c>
      <c r="J1129" s="9">
        <v>60</v>
      </c>
      <c r="K1129" s="9" t="s">
        <v>873</v>
      </c>
      <c r="L1129" s="27">
        <v>4.7670000000000004E-2</v>
      </c>
      <c r="M1129" s="28" t="s">
        <v>3203</v>
      </c>
      <c r="N1129" s="17">
        <v>15.116009999999999</v>
      </c>
      <c r="O1129" s="1"/>
      <c r="P1129" s="38">
        <f t="shared" si="103"/>
        <v>0</v>
      </c>
      <c r="S1129" s="24" t="str">
        <f t="shared" si="106"/>
        <v>-</v>
      </c>
      <c r="T1129" s="24" t="str">
        <f t="shared" si="104"/>
        <v>-</v>
      </c>
      <c r="U1129" s="25" t="str">
        <f t="shared" si="107"/>
        <v>-</v>
      </c>
      <c r="V1129" s="26" t="str">
        <f t="shared" si="108"/>
        <v>-</v>
      </c>
      <c r="X1129" s="26" t="str">
        <f t="shared" si="105"/>
        <v>-</v>
      </c>
    </row>
    <row r="1130" spans="1:24" x14ac:dyDescent="0.3">
      <c r="A1130" s="37">
        <v>87614140957</v>
      </c>
      <c r="B1130" s="8" t="s">
        <v>1712</v>
      </c>
      <c r="C1130" s="10" t="s">
        <v>2457</v>
      </c>
      <c r="D1130" s="11" t="s">
        <v>866</v>
      </c>
      <c r="E1130" s="11" t="s">
        <v>950</v>
      </c>
      <c r="F1130" s="9">
        <v>30</v>
      </c>
      <c r="G1130" s="9">
        <v>90</v>
      </c>
      <c r="H1130" s="9" t="s">
        <v>868</v>
      </c>
      <c r="I1130" s="9">
        <v>24</v>
      </c>
      <c r="J1130" s="9">
        <v>90</v>
      </c>
      <c r="K1130" s="9" t="s">
        <v>873</v>
      </c>
      <c r="L1130" s="27">
        <v>6.0155E-2</v>
      </c>
      <c r="M1130" s="28" t="s">
        <v>3203</v>
      </c>
      <c r="N1130" s="17">
        <v>5.381964</v>
      </c>
      <c r="O1130" s="1"/>
      <c r="P1130" s="38">
        <f t="shared" si="103"/>
        <v>0</v>
      </c>
      <c r="S1130" s="24" t="str">
        <f t="shared" si="106"/>
        <v>-</v>
      </c>
      <c r="T1130" s="24" t="str">
        <f t="shared" si="104"/>
        <v>-</v>
      </c>
      <c r="U1130" s="25" t="str">
        <f t="shared" si="107"/>
        <v>-</v>
      </c>
      <c r="V1130" s="26" t="str">
        <f t="shared" si="108"/>
        <v>-</v>
      </c>
      <c r="X1130" s="26" t="str">
        <f t="shared" si="105"/>
        <v>-</v>
      </c>
    </row>
    <row r="1131" spans="1:24" x14ac:dyDescent="0.3">
      <c r="A1131" s="37">
        <v>87614141077</v>
      </c>
      <c r="B1131" s="8" t="s">
        <v>1713</v>
      </c>
      <c r="C1131" s="10" t="s">
        <v>2458</v>
      </c>
      <c r="D1131" s="11" t="s">
        <v>872</v>
      </c>
      <c r="E1131" s="11" t="s">
        <v>961</v>
      </c>
      <c r="F1131" s="9">
        <v>16</v>
      </c>
      <c r="G1131" s="9">
        <v>48</v>
      </c>
      <c r="H1131" s="9" t="s">
        <v>868</v>
      </c>
      <c r="I1131" s="9">
        <v>24</v>
      </c>
      <c r="J1131" s="9">
        <v>120</v>
      </c>
      <c r="K1131" s="9" t="s">
        <v>873</v>
      </c>
      <c r="L1131" s="27">
        <v>0.13506499999999999</v>
      </c>
      <c r="M1131" s="28" t="s">
        <v>3203</v>
      </c>
      <c r="N1131" s="17">
        <v>7.4251170000000002</v>
      </c>
      <c r="O1131" s="1"/>
      <c r="P1131" s="38">
        <f t="shared" si="103"/>
        <v>0</v>
      </c>
      <c r="S1131" s="24" t="str">
        <f t="shared" si="106"/>
        <v>-</v>
      </c>
      <c r="T1131" s="24" t="str">
        <f t="shared" si="104"/>
        <v>-</v>
      </c>
      <c r="U1131" s="25" t="str">
        <f t="shared" si="107"/>
        <v>-</v>
      </c>
      <c r="V1131" s="26" t="str">
        <f t="shared" si="108"/>
        <v>-</v>
      </c>
      <c r="X1131" s="26" t="str">
        <f t="shared" si="105"/>
        <v>-</v>
      </c>
    </row>
    <row r="1132" spans="1:24" x14ac:dyDescent="0.3">
      <c r="A1132" s="37">
        <v>87614141152</v>
      </c>
      <c r="B1132" s="8" t="s">
        <v>1714</v>
      </c>
      <c r="C1132" s="10" t="s">
        <v>2459</v>
      </c>
      <c r="D1132" s="11" t="s">
        <v>902</v>
      </c>
      <c r="E1132" s="11" t="s">
        <v>933</v>
      </c>
      <c r="F1132" s="9">
        <v>30</v>
      </c>
      <c r="G1132" s="9">
        <v>90</v>
      </c>
      <c r="H1132" s="9" t="s">
        <v>868</v>
      </c>
      <c r="I1132" s="9">
        <v>24</v>
      </c>
      <c r="J1132" s="9">
        <v>60</v>
      </c>
      <c r="K1132" s="9" t="s">
        <v>873</v>
      </c>
      <c r="L1132" s="27">
        <v>4.8804999999999994E-2</v>
      </c>
      <c r="M1132" s="28" t="s">
        <v>3203</v>
      </c>
      <c r="N1132" s="17">
        <v>22.840125</v>
      </c>
      <c r="O1132" s="1"/>
      <c r="P1132" s="38">
        <f t="shared" si="103"/>
        <v>0</v>
      </c>
      <c r="S1132" s="24" t="str">
        <f t="shared" si="106"/>
        <v>-</v>
      </c>
      <c r="T1132" s="24" t="str">
        <f t="shared" si="104"/>
        <v>-</v>
      </c>
      <c r="U1132" s="25" t="str">
        <f t="shared" si="107"/>
        <v>-</v>
      </c>
      <c r="V1132" s="26" t="str">
        <f t="shared" si="108"/>
        <v>-</v>
      </c>
      <c r="X1132" s="26" t="str">
        <f t="shared" si="105"/>
        <v>-</v>
      </c>
    </row>
    <row r="1133" spans="1:24" x14ac:dyDescent="0.3">
      <c r="A1133" s="37">
        <v>87614141220</v>
      </c>
      <c r="B1133" s="8" t="s">
        <v>540</v>
      </c>
      <c r="C1133" s="10" t="s">
        <v>541</v>
      </c>
      <c r="D1133" s="11" t="s">
        <v>882</v>
      </c>
      <c r="E1133" s="11" t="s">
        <v>960</v>
      </c>
      <c r="F1133" s="9">
        <v>20</v>
      </c>
      <c r="G1133" s="9">
        <v>60</v>
      </c>
      <c r="H1133" s="9" t="s">
        <v>868</v>
      </c>
      <c r="I1133" s="9">
        <v>24</v>
      </c>
      <c r="J1133" s="9">
        <v>90</v>
      </c>
      <c r="K1133" s="9" t="s">
        <v>889</v>
      </c>
      <c r="L1133" s="27">
        <v>0.11236500000000001</v>
      </c>
      <c r="M1133" s="28" t="s">
        <v>3203</v>
      </c>
      <c r="N1133" s="17">
        <v>10.996482</v>
      </c>
      <c r="O1133" s="1"/>
      <c r="P1133" s="38">
        <f t="shared" si="103"/>
        <v>0</v>
      </c>
      <c r="S1133" s="24" t="str">
        <f t="shared" si="106"/>
        <v>-</v>
      </c>
      <c r="T1133" s="24" t="str">
        <f t="shared" si="104"/>
        <v>-</v>
      </c>
      <c r="U1133" s="25" t="str">
        <f t="shared" si="107"/>
        <v>-</v>
      </c>
      <c r="V1133" s="26" t="str">
        <f t="shared" si="108"/>
        <v>-</v>
      </c>
      <c r="X1133" s="26" t="str">
        <f t="shared" si="105"/>
        <v>-</v>
      </c>
    </row>
    <row r="1134" spans="1:24" x14ac:dyDescent="0.3">
      <c r="A1134" s="37">
        <v>87614141428</v>
      </c>
      <c r="B1134" s="8" t="s">
        <v>546</v>
      </c>
      <c r="C1134" s="10" t="s">
        <v>547</v>
      </c>
      <c r="D1134" s="11" t="s">
        <v>874</v>
      </c>
      <c r="E1134" s="11" t="s">
        <v>919</v>
      </c>
      <c r="F1134" s="9">
        <v>30</v>
      </c>
      <c r="G1134" s="9">
        <v>90</v>
      </c>
      <c r="H1134" s="9" t="s">
        <v>868</v>
      </c>
      <c r="I1134" s="9">
        <v>24</v>
      </c>
      <c r="J1134" s="9">
        <v>90</v>
      </c>
      <c r="K1134" s="9" t="s">
        <v>873</v>
      </c>
      <c r="L1134" s="27">
        <v>9.5340000000000008E-2</v>
      </c>
      <c r="M1134" s="28" t="s">
        <v>3203</v>
      </c>
      <c r="N1134" s="17">
        <v>11.478201</v>
      </c>
      <c r="O1134" s="1"/>
      <c r="P1134" s="38">
        <f t="shared" si="103"/>
        <v>0</v>
      </c>
      <c r="S1134" s="24" t="str">
        <f t="shared" si="106"/>
        <v>-</v>
      </c>
      <c r="T1134" s="24" t="str">
        <f t="shared" si="104"/>
        <v>-</v>
      </c>
      <c r="U1134" s="25" t="str">
        <f t="shared" si="107"/>
        <v>-</v>
      </c>
      <c r="V1134" s="26" t="str">
        <f t="shared" si="108"/>
        <v>-</v>
      </c>
      <c r="X1134" s="26" t="str">
        <f t="shared" si="105"/>
        <v>-</v>
      </c>
    </row>
    <row r="1135" spans="1:24" x14ac:dyDescent="0.3">
      <c r="A1135" s="37">
        <v>87614141480</v>
      </c>
      <c r="B1135" s="8" t="s">
        <v>1189</v>
      </c>
      <c r="C1135" s="10" t="s">
        <v>2007</v>
      </c>
      <c r="D1135" s="11" t="s">
        <v>883</v>
      </c>
      <c r="E1135" s="11" t="s">
        <v>985</v>
      </c>
      <c r="F1135" s="9">
        <v>16</v>
      </c>
      <c r="G1135" s="9">
        <v>48</v>
      </c>
      <c r="H1135" s="9" t="s">
        <v>868</v>
      </c>
      <c r="I1135" s="9">
        <v>24</v>
      </c>
      <c r="J1135" s="9">
        <v>120</v>
      </c>
      <c r="K1135" s="9" t="s">
        <v>873</v>
      </c>
      <c r="L1135" s="27">
        <v>0.14074</v>
      </c>
      <c r="M1135" s="28" t="s">
        <v>3203</v>
      </c>
      <c r="N1135" s="17">
        <v>7.5413940000000004</v>
      </c>
      <c r="O1135" s="1"/>
      <c r="P1135" s="38">
        <f t="shared" si="103"/>
        <v>0</v>
      </c>
      <c r="S1135" s="24" t="str">
        <f t="shared" si="106"/>
        <v>-</v>
      </c>
      <c r="T1135" s="24" t="str">
        <f t="shared" si="104"/>
        <v>-</v>
      </c>
      <c r="U1135" s="25" t="str">
        <f t="shared" si="107"/>
        <v>-</v>
      </c>
      <c r="V1135" s="26" t="str">
        <f t="shared" si="108"/>
        <v>-</v>
      </c>
      <c r="X1135" s="26" t="str">
        <f t="shared" si="105"/>
        <v>-</v>
      </c>
    </row>
    <row r="1136" spans="1:24" x14ac:dyDescent="0.3">
      <c r="A1136" s="37">
        <v>87614141534</v>
      </c>
      <c r="B1136" s="8" t="s">
        <v>1716</v>
      </c>
      <c r="C1136" s="10" t="s">
        <v>2461</v>
      </c>
      <c r="D1136" s="11" t="s">
        <v>902</v>
      </c>
      <c r="E1136" s="11" t="s">
        <v>933</v>
      </c>
      <c r="F1136" s="9">
        <v>30</v>
      </c>
      <c r="G1136" s="9">
        <v>90</v>
      </c>
      <c r="H1136" s="9" t="s">
        <v>868</v>
      </c>
      <c r="I1136" s="9">
        <v>18</v>
      </c>
      <c r="J1136" s="9">
        <v>120</v>
      </c>
      <c r="K1136" s="9" t="s">
        <v>873</v>
      </c>
      <c r="L1136" s="27">
        <v>7.3775000000000007E-2</v>
      </c>
      <c r="M1136" s="28" t="s">
        <v>3203</v>
      </c>
      <c r="N1136" s="17">
        <v>16.976441999999999</v>
      </c>
      <c r="O1136" s="1"/>
      <c r="P1136" s="38">
        <f t="shared" si="103"/>
        <v>0</v>
      </c>
      <c r="S1136" s="24" t="str">
        <f t="shared" si="106"/>
        <v>-</v>
      </c>
      <c r="T1136" s="24" t="str">
        <f t="shared" si="104"/>
        <v>-</v>
      </c>
      <c r="U1136" s="25" t="str">
        <f t="shared" si="107"/>
        <v>-</v>
      </c>
      <c r="V1136" s="26" t="str">
        <f t="shared" si="108"/>
        <v>-</v>
      </c>
      <c r="X1136" s="26" t="str">
        <f t="shared" si="105"/>
        <v>-</v>
      </c>
    </row>
    <row r="1137" spans="1:24" x14ac:dyDescent="0.3">
      <c r="A1137" s="37">
        <v>87614141558</v>
      </c>
      <c r="B1137" s="8" t="s">
        <v>1717</v>
      </c>
      <c r="C1137" s="10" t="s">
        <v>2462</v>
      </c>
      <c r="D1137" s="11" t="s">
        <v>874</v>
      </c>
      <c r="E1137" s="11" t="s">
        <v>925</v>
      </c>
      <c r="F1137" s="9">
        <v>30</v>
      </c>
      <c r="G1137" s="9">
        <v>90</v>
      </c>
      <c r="H1137" s="9" t="s">
        <v>892</v>
      </c>
      <c r="I1137" s="9">
        <v>24</v>
      </c>
      <c r="J1137" s="9">
        <v>120</v>
      </c>
      <c r="K1137" s="9" t="s">
        <v>873</v>
      </c>
      <c r="L1137" s="27">
        <v>9.9879999999999997E-2</v>
      </c>
      <c r="M1137" s="28" t="s">
        <v>3203</v>
      </c>
      <c r="N1137" s="17">
        <v>5.8802940000000001</v>
      </c>
      <c r="O1137" s="1"/>
      <c r="P1137" s="38">
        <f t="shared" si="103"/>
        <v>0</v>
      </c>
      <c r="S1137" s="24" t="str">
        <f t="shared" si="106"/>
        <v>-</v>
      </c>
      <c r="T1137" s="24" t="str">
        <f t="shared" si="104"/>
        <v>-</v>
      </c>
      <c r="U1137" s="25" t="str">
        <f t="shared" si="107"/>
        <v>-</v>
      </c>
      <c r="V1137" s="26" t="str">
        <f t="shared" si="108"/>
        <v>-</v>
      </c>
      <c r="X1137" s="26" t="str">
        <f t="shared" si="105"/>
        <v>-</v>
      </c>
    </row>
    <row r="1138" spans="1:24" x14ac:dyDescent="0.3">
      <c r="A1138" s="37">
        <v>87614141626</v>
      </c>
      <c r="B1138" s="8" t="s">
        <v>1451</v>
      </c>
      <c r="C1138" s="10" t="s">
        <v>2224</v>
      </c>
      <c r="D1138" s="11" t="s">
        <v>879</v>
      </c>
      <c r="E1138" s="11" t="s">
        <v>1025</v>
      </c>
      <c r="F1138" s="9">
        <v>12</v>
      </c>
      <c r="G1138" s="9">
        <v>24</v>
      </c>
      <c r="H1138" s="9" t="s">
        <v>868</v>
      </c>
      <c r="I1138" s="9">
        <v>36</v>
      </c>
      <c r="J1138" s="9">
        <v>300</v>
      </c>
      <c r="K1138" s="9" t="s">
        <v>869</v>
      </c>
      <c r="L1138" s="27">
        <v>0.45854000000000006</v>
      </c>
      <c r="M1138" s="28" t="s">
        <v>3203</v>
      </c>
      <c r="N1138" s="17">
        <v>17.10933</v>
      </c>
      <c r="O1138" s="1"/>
      <c r="P1138" s="38">
        <f t="shared" si="103"/>
        <v>0</v>
      </c>
      <c r="S1138" s="24" t="str">
        <f t="shared" si="106"/>
        <v>-</v>
      </c>
      <c r="T1138" s="24" t="str">
        <f t="shared" si="104"/>
        <v>-</v>
      </c>
      <c r="U1138" s="25" t="str">
        <f t="shared" si="107"/>
        <v>-</v>
      </c>
      <c r="V1138" s="26" t="str">
        <f t="shared" si="108"/>
        <v>-</v>
      </c>
      <c r="X1138" s="26" t="str">
        <f t="shared" si="105"/>
        <v>-</v>
      </c>
    </row>
    <row r="1139" spans="1:24" x14ac:dyDescent="0.3">
      <c r="A1139" s="37">
        <v>87614141671</v>
      </c>
      <c r="B1139" s="8" t="s">
        <v>1718</v>
      </c>
      <c r="C1139" s="10" t="s">
        <v>2463</v>
      </c>
      <c r="D1139" s="11" t="s">
        <v>882</v>
      </c>
      <c r="E1139" s="11" t="s">
        <v>920</v>
      </c>
      <c r="F1139" s="9">
        <v>30</v>
      </c>
      <c r="G1139" s="9">
        <v>90</v>
      </c>
      <c r="H1139" s="9" t="s">
        <v>868</v>
      </c>
      <c r="I1139" s="9">
        <v>24</v>
      </c>
      <c r="J1139" s="9">
        <v>60</v>
      </c>
      <c r="K1139" s="9" t="s">
        <v>873</v>
      </c>
      <c r="L1139" s="27">
        <v>7.9450000000000007E-2</v>
      </c>
      <c r="M1139" s="28" t="s">
        <v>3203</v>
      </c>
      <c r="N1139" s="17">
        <v>6.7772880000000004</v>
      </c>
      <c r="O1139" s="1"/>
      <c r="P1139" s="38">
        <f t="shared" si="103"/>
        <v>0</v>
      </c>
      <c r="S1139" s="24" t="str">
        <f t="shared" si="106"/>
        <v>-</v>
      </c>
      <c r="T1139" s="24" t="str">
        <f t="shared" si="104"/>
        <v>-</v>
      </c>
      <c r="U1139" s="25" t="str">
        <f t="shared" si="107"/>
        <v>-</v>
      </c>
      <c r="V1139" s="26" t="str">
        <f t="shared" si="108"/>
        <v>-</v>
      </c>
      <c r="X1139" s="26" t="str">
        <f t="shared" si="105"/>
        <v>-</v>
      </c>
    </row>
    <row r="1140" spans="1:24" x14ac:dyDescent="0.3">
      <c r="A1140" s="37">
        <v>87614141688</v>
      </c>
      <c r="B1140" s="8" t="s">
        <v>564</v>
      </c>
      <c r="C1140" s="10" t="s">
        <v>565</v>
      </c>
      <c r="D1140" s="11" t="s">
        <v>882</v>
      </c>
      <c r="E1140" s="11" t="s">
        <v>960</v>
      </c>
      <c r="F1140" s="9">
        <v>30</v>
      </c>
      <c r="G1140" s="9">
        <v>90</v>
      </c>
      <c r="H1140" s="9" t="s">
        <v>868</v>
      </c>
      <c r="I1140" s="9">
        <v>24</v>
      </c>
      <c r="J1140" s="9">
        <v>60</v>
      </c>
      <c r="K1140" s="9" t="s">
        <v>873</v>
      </c>
      <c r="L1140" s="27">
        <v>7.7180000000000012E-2</v>
      </c>
      <c r="M1140" s="28" t="s">
        <v>3203</v>
      </c>
      <c r="N1140" s="17">
        <v>8.4217770000000005</v>
      </c>
      <c r="O1140" s="1"/>
      <c r="P1140" s="38">
        <f t="shared" si="103"/>
        <v>0</v>
      </c>
      <c r="S1140" s="24" t="str">
        <f t="shared" si="106"/>
        <v>-</v>
      </c>
      <c r="T1140" s="24" t="str">
        <f t="shared" si="104"/>
        <v>-</v>
      </c>
      <c r="U1140" s="25" t="str">
        <f t="shared" si="107"/>
        <v>-</v>
      </c>
      <c r="V1140" s="26" t="str">
        <f t="shared" si="108"/>
        <v>-</v>
      </c>
      <c r="X1140" s="26" t="str">
        <f t="shared" si="105"/>
        <v>-</v>
      </c>
    </row>
    <row r="1141" spans="1:24" x14ac:dyDescent="0.3">
      <c r="A1141" s="37">
        <v>87614141787</v>
      </c>
      <c r="B1141" s="8" t="s">
        <v>572</v>
      </c>
      <c r="C1141" s="10" t="s">
        <v>573</v>
      </c>
      <c r="D1141" s="11" t="s">
        <v>881</v>
      </c>
      <c r="E1141" s="11" t="s">
        <v>1008</v>
      </c>
      <c r="F1141" s="9">
        <v>30</v>
      </c>
      <c r="G1141" s="9">
        <v>90</v>
      </c>
      <c r="H1141" s="9" t="s">
        <v>868</v>
      </c>
      <c r="I1141" s="9">
        <v>24</v>
      </c>
      <c r="J1141" s="9">
        <v>60</v>
      </c>
      <c r="K1141" s="9" t="s">
        <v>873</v>
      </c>
      <c r="L1141" s="27">
        <v>6.6964999999999997E-2</v>
      </c>
      <c r="M1141" s="28" t="s">
        <v>3203</v>
      </c>
      <c r="N1141" s="17">
        <v>7.5912269999999999</v>
      </c>
      <c r="O1141" s="1"/>
      <c r="P1141" s="38">
        <f t="shared" si="103"/>
        <v>0</v>
      </c>
      <c r="S1141" s="24" t="str">
        <f t="shared" si="106"/>
        <v>-</v>
      </c>
      <c r="T1141" s="24" t="str">
        <f t="shared" si="104"/>
        <v>-</v>
      </c>
      <c r="U1141" s="25" t="str">
        <f t="shared" si="107"/>
        <v>-</v>
      </c>
      <c r="V1141" s="26" t="str">
        <f t="shared" si="108"/>
        <v>-</v>
      </c>
      <c r="X1141" s="26" t="str">
        <f t="shared" si="105"/>
        <v>-</v>
      </c>
    </row>
    <row r="1142" spans="1:24" x14ac:dyDescent="0.3">
      <c r="A1142" s="37">
        <v>87614141800</v>
      </c>
      <c r="B1142" s="8" t="s">
        <v>1339</v>
      </c>
      <c r="C1142" s="10" t="s">
        <v>2120</v>
      </c>
      <c r="D1142" s="11" t="s">
        <v>886</v>
      </c>
      <c r="E1142" s="11" t="s">
        <v>1048</v>
      </c>
      <c r="F1142" s="9">
        <v>16</v>
      </c>
      <c r="G1142" s="9">
        <v>48</v>
      </c>
      <c r="H1142" s="9" t="s">
        <v>868</v>
      </c>
      <c r="I1142" s="9">
        <v>24</v>
      </c>
      <c r="J1142" s="9">
        <v>120</v>
      </c>
      <c r="K1142" s="9" t="s">
        <v>873</v>
      </c>
      <c r="L1142" s="27">
        <v>0.13960500000000001</v>
      </c>
      <c r="M1142" s="28" t="s">
        <v>3203</v>
      </c>
      <c r="N1142" s="17">
        <v>13.106078999999999</v>
      </c>
      <c r="O1142" s="1"/>
      <c r="P1142" s="38">
        <f t="shared" si="103"/>
        <v>0</v>
      </c>
      <c r="S1142" s="24" t="str">
        <f t="shared" si="106"/>
        <v>-</v>
      </c>
      <c r="T1142" s="24" t="str">
        <f t="shared" si="104"/>
        <v>-</v>
      </c>
      <c r="U1142" s="25" t="str">
        <f t="shared" si="107"/>
        <v>-</v>
      </c>
      <c r="V1142" s="26" t="str">
        <f t="shared" si="108"/>
        <v>-</v>
      </c>
      <c r="X1142" s="26" t="str">
        <f t="shared" si="105"/>
        <v>-</v>
      </c>
    </row>
    <row r="1143" spans="1:24" x14ac:dyDescent="0.3">
      <c r="A1143" s="37">
        <v>87614141985</v>
      </c>
      <c r="B1143" s="8" t="s">
        <v>1340</v>
      </c>
      <c r="C1143" s="10" t="s">
        <v>2758</v>
      </c>
      <c r="D1143" s="11" t="s">
        <v>872</v>
      </c>
      <c r="E1143" s="11" t="s">
        <v>961</v>
      </c>
      <c r="F1143" s="9">
        <v>48</v>
      </c>
      <c r="G1143" s="9">
        <v>192</v>
      </c>
      <c r="H1143" s="9" t="s">
        <v>868</v>
      </c>
      <c r="I1143" s="9">
        <v>24</v>
      </c>
      <c r="J1143" s="9">
        <v>30</v>
      </c>
      <c r="K1143" s="9" t="s">
        <v>2903</v>
      </c>
      <c r="L1143" s="27">
        <v>3.2915E-2</v>
      </c>
      <c r="M1143" s="28" t="s">
        <v>3203</v>
      </c>
      <c r="N1143" s="17">
        <v>11.644310999999998</v>
      </c>
      <c r="O1143" s="1"/>
      <c r="P1143" s="38">
        <f t="shared" si="103"/>
        <v>0</v>
      </c>
      <c r="S1143" s="24" t="str">
        <f t="shared" si="106"/>
        <v>-</v>
      </c>
      <c r="T1143" s="24" t="str">
        <f t="shared" si="104"/>
        <v>-</v>
      </c>
      <c r="U1143" s="25" t="str">
        <f t="shared" si="107"/>
        <v>-</v>
      </c>
      <c r="V1143" s="26" t="str">
        <f t="shared" si="108"/>
        <v>-</v>
      </c>
      <c r="X1143" s="26" t="str">
        <f t="shared" si="105"/>
        <v>-</v>
      </c>
    </row>
    <row r="1144" spans="1:24" x14ac:dyDescent="0.3">
      <c r="A1144" s="37">
        <v>87614141992</v>
      </c>
      <c r="B1144" s="8" t="s">
        <v>579</v>
      </c>
      <c r="C1144" s="10" t="s">
        <v>580</v>
      </c>
      <c r="D1144" s="11" t="s">
        <v>874</v>
      </c>
      <c r="E1144" s="11" t="s">
        <v>914</v>
      </c>
      <c r="F1144" s="9">
        <v>30</v>
      </c>
      <c r="G1144" s="9">
        <v>90</v>
      </c>
      <c r="H1144" s="9" t="s">
        <v>868</v>
      </c>
      <c r="I1144" s="9">
        <v>24</v>
      </c>
      <c r="J1144" s="9">
        <v>60</v>
      </c>
      <c r="K1144" s="9" t="s">
        <v>889</v>
      </c>
      <c r="L1144" s="27">
        <v>7.0370000000000002E-2</v>
      </c>
      <c r="M1144" s="28" t="s">
        <v>3203</v>
      </c>
      <c r="N1144" s="17">
        <v>8.5380540000000007</v>
      </c>
      <c r="O1144" s="1"/>
      <c r="P1144" s="38">
        <f t="shared" si="103"/>
        <v>0</v>
      </c>
      <c r="S1144" s="24" t="str">
        <f t="shared" si="106"/>
        <v>-</v>
      </c>
      <c r="T1144" s="24" t="str">
        <f t="shared" si="104"/>
        <v>-</v>
      </c>
      <c r="U1144" s="25" t="str">
        <f t="shared" si="107"/>
        <v>-</v>
      </c>
      <c r="V1144" s="26" t="str">
        <f t="shared" si="108"/>
        <v>-</v>
      </c>
      <c r="X1144" s="26" t="str">
        <f t="shared" si="105"/>
        <v>-</v>
      </c>
    </row>
    <row r="1145" spans="1:24" x14ac:dyDescent="0.3">
      <c r="A1145" s="37">
        <v>87614142029</v>
      </c>
      <c r="B1145" s="8" t="s">
        <v>1720</v>
      </c>
      <c r="C1145" s="10" t="s">
        <v>2465</v>
      </c>
      <c r="D1145" s="11" t="s">
        <v>884</v>
      </c>
      <c r="E1145" s="11" t="s">
        <v>946</v>
      </c>
      <c r="F1145" s="9">
        <v>30</v>
      </c>
      <c r="G1145" s="9">
        <v>90</v>
      </c>
      <c r="H1145" s="9" t="s">
        <v>868</v>
      </c>
      <c r="I1145" s="9">
        <v>24</v>
      </c>
      <c r="J1145" s="9">
        <v>60</v>
      </c>
      <c r="K1145" s="9" t="s">
        <v>873</v>
      </c>
      <c r="L1145" s="27">
        <v>4.7670000000000004E-2</v>
      </c>
      <c r="M1145" s="28" t="s">
        <v>3203</v>
      </c>
      <c r="N1145" s="17">
        <v>11.411757</v>
      </c>
      <c r="O1145" s="1"/>
      <c r="P1145" s="38">
        <f t="shared" si="103"/>
        <v>0</v>
      </c>
      <c r="S1145" s="24" t="str">
        <f t="shared" si="106"/>
        <v>-</v>
      </c>
      <c r="T1145" s="24" t="str">
        <f t="shared" si="104"/>
        <v>-</v>
      </c>
      <c r="U1145" s="25" t="str">
        <f t="shared" si="107"/>
        <v>-</v>
      </c>
      <c r="V1145" s="26" t="str">
        <f t="shared" si="108"/>
        <v>-</v>
      </c>
      <c r="X1145" s="26" t="str">
        <f t="shared" si="105"/>
        <v>-</v>
      </c>
    </row>
    <row r="1146" spans="1:24" x14ac:dyDescent="0.3">
      <c r="A1146" s="37">
        <v>87614142043</v>
      </c>
      <c r="B1146" s="8" t="s">
        <v>1722</v>
      </c>
      <c r="C1146" s="10" t="s">
        <v>2467</v>
      </c>
      <c r="D1146" s="11" t="s">
        <v>874</v>
      </c>
      <c r="E1146" s="11" t="s">
        <v>919</v>
      </c>
      <c r="F1146" s="9">
        <v>30</v>
      </c>
      <c r="G1146" s="9">
        <v>90</v>
      </c>
      <c r="H1146" s="9" t="s">
        <v>868</v>
      </c>
      <c r="I1146" s="9">
        <v>24</v>
      </c>
      <c r="J1146" s="9">
        <v>90</v>
      </c>
      <c r="K1146" s="9" t="s">
        <v>873</v>
      </c>
      <c r="L1146" s="27">
        <v>8.2854999999999998E-2</v>
      </c>
      <c r="M1146" s="28" t="s">
        <v>3203</v>
      </c>
      <c r="N1146" s="17">
        <v>12.757247999999999</v>
      </c>
      <c r="O1146" s="1"/>
      <c r="P1146" s="38">
        <f t="shared" si="103"/>
        <v>0</v>
      </c>
      <c r="S1146" s="24" t="str">
        <f t="shared" si="106"/>
        <v>-</v>
      </c>
      <c r="T1146" s="24" t="str">
        <f t="shared" si="104"/>
        <v>-</v>
      </c>
      <c r="U1146" s="25" t="str">
        <f t="shared" si="107"/>
        <v>-</v>
      </c>
      <c r="V1146" s="26" t="str">
        <f t="shared" si="108"/>
        <v>-</v>
      </c>
      <c r="X1146" s="26" t="str">
        <f t="shared" si="105"/>
        <v>-</v>
      </c>
    </row>
    <row r="1147" spans="1:24" x14ac:dyDescent="0.3">
      <c r="A1147" s="37">
        <v>87614142074</v>
      </c>
      <c r="B1147" s="8" t="s">
        <v>1452</v>
      </c>
      <c r="C1147" s="10" t="s">
        <v>2225</v>
      </c>
      <c r="D1147" s="11" t="s">
        <v>866</v>
      </c>
      <c r="E1147" s="11" t="s">
        <v>950</v>
      </c>
      <c r="F1147" s="9">
        <v>30</v>
      </c>
      <c r="G1147" s="9">
        <v>90</v>
      </c>
      <c r="H1147" s="9" t="s">
        <v>868</v>
      </c>
      <c r="I1147" s="9">
        <v>36</v>
      </c>
      <c r="J1147" s="9">
        <v>60</v>
      </c>
      <c r="K1147" s="9" t="s">
        <v>873</v>
      </c>
      <c r="L1147" s="27">
        <v>8.3989999999999995E-2</v>
      </c>
      <c r="M1147" s="28" t="s">
        <v>3203</v>
      </c>
      <c r="N1147" s="17">
        <v>15.116009999999999</v>
      </c>
      <c r="O1147" s="1"/>
      <c r="P1147" s="38">
        <f t="shared" si="103"/>
        <v>0</v>
      </c>
      <c r="S1147" s="24" t="str">
        <f t="shared" si="106"/>
        <v>-</v>
      </c>
      <c r="T1147" s="24" t="str">
        <f t="shared" si="104"/>
        <v>-</v>
      </c>
      <c r="U1147" s="25" t="str">
        <f t="shared" si="107"/>
        <v>-</v>
      </c>
      <c r="V1147" s="26" t="str">
        <f t="shared" si="108"/>
        <v>-</v>
      </c>
      <c r="X1147" s="26" t="str">
        <f t="shared" si="105"/>
        <v>-</v>
      </c>
    </row>
    <row r="1148" spans="1:24" x14ac:dyDescent="0.3">
      <c r="A1148" s="37">
        <v>87614142104</v>
      </c>
      <c r="B1148" s="8" t="s">
        <v>1723</v>
      </c>
      <c r="C1148" s="10" t="s">
        <v>2468</v>
      </c>
      <c r="D1148" s="11" t="s">
        <v>874</v>
      </c>
      <c r="E1148" s="11" t="s">
        <v>925</v>
      </c>
      <c r="F1148" s="9">
        <v>20</v>
      </c>
      <c r="G1148" s="9">
        <v>60</v>
      </c>
      <c r="H1148" s="9" t="s">
        <v>868</v>
      </c>
      <c r="I1148" s="9">
        <v>24</v>
      </c>
      <c r="J1148" s="9">
        <v>120</v>
      </c>
      <c r="K1148" s="9" t="s">
        <v>873</v>
      </c>
      <c r="L1148" s="27">
        <v>0.105555</v>
      </c>
      <c r="M1148" s="28" t="s">
        <v>3203</v>
      </c>
      <c r="N1148" s="17">
        <v>9.6509909999999994</v>
      </c>
      <c r="O1148" s="1"/>
      <c r="P1148" s="38">
        <f t="shared" si="103"/>
        <v>0</v>
      </c>
      <c r="S1148" s="24" t="str">
        <f t="shared" si="106"/>
        <v>-</v>
      </c>
      <c r="T1148" s="24" t="str">
        <f t="shared" si="104"/>
        <v>-</v>
      </c>
      <c r="U1148" s="25" t="str">
        <f t="shared" si="107"/>
        <v>-</v>
      </c>
      <c r="V1148" s="26" t="str">
        <f t="shared" si="108"/>
        <v>-</v>
      </c>
      <c r="X1148" s="26" t="str">
        <f t="shared" si="105"/>
        <v>-</v>
      </c>
    </row>
    <row r="1149" spans="1:24" x14ac:dyDescent="0.3">
      <c r="A1149" s="37">
        <v>87614142173</v>
      </c>
      <c r="B1149" s="8" t="s">
        <v>1182</v>
      </c>
      <c r="C1149" s="10" t="s">
        <v>2001</v>
      </c>
      <c r="D1149" s="11" t="s">
        <v>875</v>
      </c>
      <c r="E1149" s="11" t="s">
        <v>935</v>
      </c>
      <c r="F1149" s="9">
        <v>48</v>
      </c>
      <c r="G1149" s="9">
        <v>192</v>
      </c>
      <c r="H1149" s="9" t="s">
        <v>868</v>
      </c>
      <c r="I1149" s="9">
        <v>36</v>
      </c>
      <c r="J1149" s="9">
        <v>60</v>
      </c>
      <c r="K1149" s="9" t="s">
        <v>889</v>
      </c>
      <c r="L1149" s="27">
        <v>3.2915E-2</v>
      </c>
      <c r="M1149" s="28" t="s">
        <v>3203</v>
      </c>
      <c r="N1149" s="17">
        <v>10.199154</v>
      </c>
      <c r="O1149" s="1"/>
      <c r="P1149" s="38">
        <f t="shared" si="103"/>
        <v>0</v>
      </c>
      <c r="S1149" s="24" t="str">
        <f t="shared" si="106"/>
        <v>-</v>
      </c>
      <c r="T1149" s="24" t="str">
        <f t="shared" si="104"/>
        <v>-</v>
      </c>
      <c r="U1149" s="25" t="str">
        <f t="shared" si="107"/>
        <v>-</v>
      </c>
      <c r="V1149" s="26" t="str">
        <f t="shared" si="108"/>
        <v>-</v>
      </c>
      <c r="X1149" s="26" t="str">
        <f t="shared" si="105"/>
        <v>-</v>
      </c>
    </row>
    <row r="1150" spans="1:24" x14ac:dyDescent="0.3">
      <c r="A1150" s="37">
        <v>87614142197</v>
      </c>
      <c r="B1150" s="8" t="s">
        <v>1724</v>
      </c>
      <c r="C1150" s="10" t="s">
        <v>2469</v>
      </c>
      <c r="D1150" s="11" t="s">
        <v>879</v>
      </c>
      <c r="E1150" s="11" t="s">
        <v>2881</v>
      </c>
      <c r="F1150" s="9">
        <v>48</v>
      </c>
      <c r="G1150" s="9">
        <v>192</v>
      </c>
      <c r="H1150" s="9" t="s">
        <v>892</v>
      </c>
      <c r="I1150" s="9">
        <v>24</v>
      </c>
      <c r="J1150" s="9">
        <v>60</v>
      </c>
      <c r="K1150" s="9" t="s">
        <v>869</v>
      </c>
      <c r="L1150" s="27">
        <v>4.9939999999999998E-2</v>
      </c>
      <c r="M1150" s="28" t="s">
        <v>3203</v>
      </c>
      <c r="N1150" s="17">
        <v>4.2191939999999999</v>
      </c>
      <c r="O1150" s="1"/>
      <c r="P1150" s="38">
        <f t="shared" si="103"/>
        <v>0</v>
      </c>
      <c r="S1150" s="24" t="str">
        <f t="shared" si="106"/>
        <v>-</v>
      </c>
      <c r="T1150" s="24" t="str">
        <f t="shared" si="104"/>
        <v>-</v>
      </c>
      <c r="U1150" s="25" t="str">
        <f t="shared" si="107"/>
        <v>-</v>
      </c>
      <c r="V1150" s="26" t="str">
        <f t="shared" si="108"/>
        <v>-</v>
      </c>
      <c r="X1150" s="26" t="str">
        <f t="shared" si="105"/>
        <v>-</v>
      </c>
    </row>
    <row r="1151" spans="1:24" x14ac:dyDescent="0.3">
      <c r="A1151" s="37">
        <v>87614142210</v>
      </c>
      <c r="B1151" s="8" t="s">
        <v>1453</v>
      </c>
      <c r="C1151" s="10" t="s">
        <v>2226</v>
      </c>
      <c r="D1151" s="11" t="s">
        <v>898</v>
      </c>
      <c r="E1151" s="11" t="s">
        <v>966</v>
      </c>
      <c r="F1151" s="9">
        <v>30</v>
      </c>
      <c r="G1151" s="9">
        <v>90</v>
      </c>
      <c r="H1151" s="9" t="s">
        <v>868</v>
      </c>
      <c r="I1151" s="9">
        <v>30</v>
      </c>
      <c r="J1151" s="9">
        <v>60</v>
      </c>
      <c r="K1151" s="9" t="s">
        <v>869</v>
      </c>
      <c r="L1151" s="27">
        <v>6.583E-2</v>
      </c>
      <c r="M1151" s="28" t="s">
        <v>3203</v>
      </c>
      <c r="N1151" s="17">
        <v>17.773769999999999</v>
      </c>
      <c r="O1151" s="1"/>
      <c r="P1151" s="38">
        <f t="shared" si="103"/>
        <v>0</v>
      </c>
      <c r="S1151" s="24" t="str">
        <f t="shared" si="106"/>
        <v>-</v>
      </c>
      <c r="T1151" s="24" t="str">
        <f t="shared" si="104"/>
        <v>-</v>
      </c>
      <c r="U1151" s="25" t="str">
        <f t="shared" si="107"/>
        <v>-</v>
      </c>
      <c r="V1151" s="26" t="str">
        <f t="shared" si="108"/>
        <v>-</v>
      </c>
      <c r="X1151" s="26" t="str">
        <f t="shared" si="105"/>
        <v>-</v>
      </c>
    </row>
    <row r="1152" spans="1:24" x14ac:dyDescent="0.3">
      <c r="A1152" s="37">
        <v>87614142227</v>
      </c>
      <c r="B1152" s="8" t="s">
        <v>1454</v>
      </c>
      <c r="C1152" s="10" t="s">
        <v>2227</v>
      </c>
      <c r="D1152" s="11" t="s">
        <v>898</v>
      </c>
      <c r="E1152" s="11" t="s">
        <v>966</v>
      </c>
      <c r="F1152" s="9">
        <v>30</v>
      </c>
      <c r="G1152" s="9">
        <v>90</v>
      </c>
      <c r="H1152" s="9" t="s">
        <v>868</v>
      </c>
      <c r="I1152" s="9">
        <v>24</v>
      </c>
      <c r="J1152" s="9">
        <v>120</v>
      </c>
      <c r="K1152" s="9" t="s">
        <v>869</v>
      </c>
      <c r="L1152" s="27">
        <v>8.5124999999999992E-2</v>
      </c>
      <c r="M1152" s="28" t="s">
        <v>3203</v>
      </c>
      <c r="N1152" s="17">
        <v>15.481451999999999</v>
      </c>
      <c r="O1152" s="1"/>
      <c r="P1152" s="38">
        <f t="shared" si="103"/>
        <v>0</v>
      </c>
      <c r="S1152" s="24" t="str">
        <f t="shared" si="106"/>
        <v>-</v>
      </c>
      <c r="T1152" s="24" t="str">
        <f t="shared" si="104"/>
        <v>-</v>
      </c>
      <c r="U1152" s="25" t="str">
        <f t="shared" si="107"/>
        <v>-</v>
      </c>
      <c r="V1152" s="26" t="str">
        <f t="shared" si="108"/>
        <v>-</v>
      </c>
      <c r="X1152" s="26" t="str">
        <f t="shared" si="105"/>
        <v>-</v>
      </c>
    </row>
    <row r="1153" spans="1:24" x14ac:dyDescent="0.3">
      <c r="A1153" s="37">
        <v>87614142333</v>
      </c>
      <c r="B1153" s="8" t="s">
        <v>1726</v>
      </c>
      <c r="C1153" s="10" t="s">
        <v>3014</v>
      </c>
      <c r="D1153" s="11" t="s">
        <v>883</v>
      </c>
      <c r="E1153" s="11" t="s">
        <v>1050</v>
      </c>
      <c r="F1153" s="9">
        <v>30</v>
      </c>
      <c r="G1153" s="9">
        <v>90</v>
      </c>
      <c r="H1153" s="9" t="s">
        <v>868</v>
      </c>
      <c r="I1153" s="9">
        <v>24</v>
      </c>
      <c r="J1153" s="9">
        <v>60</v>
      </c>
      <c r="K1153" s="9" t="s">
        <v>2903</v>
      </c>
      <c r="L1153" s="27">
        <v>7.7180000000000012E-2</v>
      </c>
      <c r="M1153" s="28" t="s">
        <v>3203</v>
      </c>
      <c r="N1153" s="17">
        <v>29.152304999999998</v>
      </c>
      <c r="O1153" s="1"/>
      <c r="P1153" s="38">
        <f t="shared" si="103"/>
        <v>0</v>
      </c>
      <c r="S1153" s="24" t="str">
        <f t="shared" si="106"/>
        <v>-</v>
      </c>
      <c r="T1153" s="24" t="str">
        <f t="shared" si="104"/>
        <v>-</v>
      </c>
      <c r="U1153" s="25" t="str">
        <f t="shared" si="107"/>
        <v>-</v>
      </c>
      <c r="V1153" s="26" t="str">
        <f t="shared" si="108"/>
        <v>-</v>
      </c>
      <c r="X1153" s="26" t="str">
        <f t="shared" si="105"/>
        <v>-</v>
      </c>
    </row>
    <row r="1154" spans="1:24" x14ac:dyDescent="0.3">
      <c r="A1154" s="37">
        <v>87614142357</v>
      </c>
      <c r="B1154" s="8" t="s">
        <v>1727</v>
      </c>
      <c r="C1154" s="10" t="s">
        <v>3182</v>
      </c>
      <c r="D1154" s="11" t="s">
        <v>866</v>
      </c>
      <c r="E1154" s="11" t="s">
        <v>950</v>
      </c>
      <c r="F1154" s="9">
        <v>30</v>
      </c>
      <c r="G1154" s="9">
        <v>90</v>
      </c>
      <c r="H1154" s="9" t="s">
        <v>892</v>
      </c>
      <c r="I1154" s="9">
        <v>24</v>
      </c>
      <c r="J1154" s="9">
        <v>60</v>
      </c>
      <c r="K1154" s="9" t="s">
        <v>2903</v>
      </c>
      <c r="L1154" s="27">
        <v>8.6260000000000003E-2</v>
      </c>
      <c r="M1154" s="28" t="s">
        <v>3203</v>
      </c>
      <c r="N1154" s="17">
        <v>9.1360499999999991</v>
      </c>
      <c r="O1154" s="1"/>
      <c r="P1154" s="38">
        <f t="shared" si="103"/>
        <v>0</v>
      </c>
      <c r="S1154" s="24" t="str">
        <f t="shared" si="106"/>
        <v>-</v>
      </c>
      <c r="T1154" s="24" t="str">
        <f t="shared" si="104"/>
        <v>-</v>
      </c>
      <c r="U1154" s="25" t="str">
        <f t="shared" si="107"/>
        <v>-</v>
      </c>
      <c r="V1154" s="26" t="str">
        <f t="shared" si="108"/>
        <v>-</v>
      </c>
      <c r="X1154" s="26" t="str">
        <f t="shared" si="105"/>
        <v>-</v>
      </c>
    </row>
    <row r="1155" spans="1:24" x14ac:dyDescent="0.3">
      <c r="A1155" s="37">
        <v>87614142647</v>
      </c>
      <c r="B1155" s="8" t="s">
        <v>1733</v>
      </c>
      <c r="C1155" s="10" t="s">
        <v>2474</v>
      </c>
      <c r="D1155" s="11" t="s">
        <v>882</v>
      </c>
      <c r="E1155" s="11" t="s">
        <v>976</v>
      </c>
      <c r="F1155" s="9">
        <v>20</v>
      </c>
      <c r="G1155" s="9">
        <v>60</v>
      </c>
      <c r="H1155" s="9" t="s">
        <v>868</v>
      </c>
      <c r="I1155" s="9">
        <v>24</v>
      </c>
      <c r="J1155" s="9">
        <v>120</v>
      </c>
      <c r="K1155" s="9" t="s">
        <v>873</v>
      </c>
      <c r="L1155" s="27">
        <v>0.107825</v>
      </c>
      <c r="M1155" s="28" t="s">
        <v>3203</v>
      </c>
      <c r="N1155" s="17">
        <v>32.026007999999997</v>
      </c>
      <c r="O1155" s="1"/>
      <c r="P1155" s="38">
        <f t="shared" ref="P1155:P1218" si="109">O1155*N1155</f>
        <v>0</v>
      </c>
      <c r="S1155" s="24" t="str">
        <f t="shared" si="106"/>
        <v>-</v>
      </c>
      <c r="T1155" s="24" t="str">
        <f t="shared" ref="T1155:T1218" si="110">IF(O1155&gt;0,N1155+L1155*O1155/$U$2*$V$2/O1155,"-")</f>
        <v>-</v>
      </c>
      <c r="U1155" s="25" t="str">
        <f t="shared" si="107"/>
        <v>-</v>
      </c>
      <c r="V1155" s="26" t="str">
        <f t="shared" si="108"/>
        <v>-</v>
      </c>
      <c r="X1155" s="26" t="str">
        <f t="shared" ref="X1155:X1218" si="111">IFERROR(IF(V1155+P1155=0, "-", IF(V1155&gt;0, V1155+P1155, "-")), "-")</f>
        <v>-</v>
      </c>
    </row>
    <row r="1156" spans="1:24" x14ac:dyDescent="0.3">
      <c r="A1156" s="37">
        <v>87614142661</v>
      </c>
      <c r="B1156" s="8" t="s">
        <v>1734</v>
      </c>
      <c r="C1156" s="10" t="s">
        <v>2475</v>
      </c>
      <c r="D1156" s="11" t="s">
        <v>874</v>
      </c>
      <c r="E1156" s="11" t="s">
        <v>914</v>
      </c>
      <c r="F1156" s="9">
        <v>30</v>
      </c>
      <c r="G1156" s="9">
        <v>90</v>
      </c>
      <c r="H1156" s="9" t="s">
        <v>868</v>
      </c>
      <c r="I1156" s="9">
        <v>24</v>
      </c>
      <c r="J1156" s="9">
        <v>60</v>
      </c>
      <c r="K1156" s="9" t="s">
        <v>873</v>
      </c>
      <c r="L1156" s="27">
        <v>6.2425000000000001E-2</v>
      </c>
      <c r="M1156" s="28" t="s">
        <v>3203</v>
      </c>
      <c r="N1156" s="17">
        <v>10.415096999999999</v>
      </c>
      <c r="O1156" s="1"/>
      <c r="P1156" s="38">
        <f t="shared" si="109"/>
        <v>0</v>
      </c>
      <c r="S1156" s="24" t="str">
        <f t="shared" ref="S1156:S1219" si="112">IFERROR(IF(S$2*L1156=0, "-", $S$2*L1156), "-")</f>
        <v>-</v>
      </c>
      <c r="T1156" s="24" t="str">
        <f t="shared" si="110"/>
        <v>-</v>
      </c>
      <c r="U1156" s="25" t="str">
        <f t="shared" ref="U1156:U1219" si="113">IF(O1156&gt;0,O1156*L1156, "-")</f>
        <v>-</v>
      </c>
      <c r="V1156" s="26" t="str">
        <f t="shared" ref="V1156:V1219" si="114">IFERROR(IF($S$2&gt;0, $S$2*U1156, "-"), "-")</f>
        <v>-</v>
      </c>
      <c r="X1156" s="26" t="str">
        <f t="shared" si="111"/>
        <v>-</v>
      </c>
    </row>
    <row r="1157" spans="1:24" x14ac:dyDescent="0.3">
      <c r="A1157" s="37">
        <v>87614142678</v>
      </c>
      <c r="B1157" s="8" t="s">
        <v>1735</v>
      </c>
      <c r="C1157" s="10" t="s">
        <v>2476</v>
      </c>
      <c r="D1157" s="11" t="s">
        <v>881</v>
      </c>
      <c r="E1157" s="11" t="s">
        <v>1010</v>
      </c>
      <c r="F1157" s="9">
        <v>30</v>
      </c>
      <c r="G1157" s="9">
        <v>90</v>
      </c>
      <c r="H1157" s="9" t="s">
        <v>868</v>
      </c>
      <c r="I1157" s="9">
        <v>12</v>
      </c>
      <c r="J1157" s="9">
        <v>60</v>
      </c>
      <c r="K1157" s="9" t="s">
        <v>873</v>
      </c>
      <c r="L1157" s="27">
        <v>8.3989999999999995E-2</v>
      </c>
      <c r="M1157" s="28" t="s">
        <v>3203</v>
      </c>
      <c r="N1157" s="17">
        <v>11.145980999999999</v>
      </c>
      <c r="O1157" s="1"/>
      <c r="P1157" s="38">
        <f t="shared" si="109"/>
        <v>0</v>
      </c>
      <c r="S1157" s="24" t="str">
        <f t="shared" si="112"/>
        <v>-</v>
      </c>
      <c r="T1157" s="24" t="str">
        <f t="shared" si="110"/>
        <v>-</v>
      </c>
      <c r="U1157" s="25" t="str">
        <f t="shared" si="113"/>
        <v>-</v>
      </c>
      <c r="V1157" s="26" t="str">
        <f t="shared" si="114"/>
        <v>-</v>
      </c>
      <c r="X1157" s="26" t="str">
        <f t="shared" si="111"/>
        <v>-</v>
      </c>
    </row>
    <row r="1158" spans="1:24" x14ac:dyDescent="0.3">
      <c r="A1158" s="37">
        <v>87614142685</v>
      </c>
      <c r="B1158" s="8" t="s">
        <v>1200</v>
      </c>
      <c r="C1158" s="10" t="s">
        <v>2016</v>
      </c>
      <c r="D1158" s="11" t="s">
        <v>882</v>
      </c>
      <c r="E1158" s="11" t="s">
        <v>960</v>
      </c>
      <c r="F1158" s="9">
        <v>16</v>
      </c>
      <c r="G1158" s="9">
        <v>48</v>
      </c>
      <c r="H1158" s="9" t="s">
        <v>868</v>
      </c>
      <c r="I1158" s="9">
        <v>36</v>
      </c>
      <c r="J1158" s="9">
        <v>120</v>
      </c>
      <c r="K1158" s="9" t="s">
        <v>873</v>
      </c>
      <c r="L1158" s="27">
        <v>0.14301</v>
      </c>
      <c r="M1158" s="28" t="s">
        <v>3203</v>
      </c>
      <c r="N1158" s="17">
        <v>14.003073000000001</v>
      </c>
      <c r="O1158" s="1"/>
      <c r="P1158" s="38">
        <f t="shared" si="109"/>
        <v>0</v>
      </c>
      <c r="S1158" s="24" t="str">
        <f t="shared" si="112"/>
        <v>-</v>
      </c>
      <c r="T1158" s="24" t="str">
        <f t="shared" si="110"/>
        <v>-</v>
      </c>
      <c r="U1158" s="25" t="str">
        <f t="shared" si="113"/>
        <v>-</v>
      </c>
      <c r="V1158" s="26" t="str">
        <f t="shared" si="114"/>
        <v>-</v>
      </c>
      <c r="X1158" s="26" t="str">
        <f t="shared" si="111"/>
        <v>-</v>
      </c>
    </row>
    <row r="1159" spans="1:24" x14ac:dyDescent="0.3">
      <c r="A1159" s="37">
        <v>87614142722</v>
      </c>
      <c r="B1159" s="8" t="s">
        <v>1736</v>
      </c>
      <c r="C1159" s="10" t="s">
        <v>2765</v>
      </c>
      <c r="D1159" s="11" t="s">
        <v>872</v>
      </c>
      <c r="E1159" s="11" t="s">
        <v>945</v>
      </c>
      <c r="F1159" s="9">
        <v>30</v>
      </c>
      <c r="G1159" s="9">
        <v>90</v>
      </c>
      <c r="H1159" s="9" t="s">
        <v>868</v>
      </c>
      <c r="I1159" s="9">
        <v>24</v>
      </c>
      <c r="J1159" s="9">
        <v>30</v>
      </c>
      <c r="K1159" s="9" t="s">
        <v>2903</v>
      </c>
      <c r="L1159" s="27">
        <v>3.8590000000000006E-2</v>
      </c>
      <c r="M1159" s="28" t="s">
        <v>3203</v>
      </c>
      <c r="N1159" s="17">
        <v>25.747050000000002</v>
      </c>
      <c r="O1159" s="1"/>
      <c r="P1159" s="38">
        <f t="shared" si="109"/>
        <v>0</v>
      </c>
      <c r="S1159" s="24" t="str">
        <f t="shared" si="112"/>
        <v>-</v>
      </c>
      <c r="T1159" s="24" t="str">
        <f t="shared" si="110"/>
        <v>-</v>
      </c>
      <c r="U1159" s="25" t="str">
        <f t="shared" si="113"/>
        <v>-</v>
      </c>
      <c r="V1159" s="26" t="str">
        <f t="shared" si="114"/>
        <v>-</v>
      </c>
      <c r="X1159" s="26" t="str">
        <f t="shared" si="111"/>
        <v>-</v>
      </c>
    </row>
    <row r="1160" spans="1:24" x14ac:dyDescent="0.3">
      <c r="A1160" s="37">
        <v>87614142890</v>
      </c>
      <c r="B1160" s="8" t="s">
        <v>1179</v>
      </c>
      <c r="C1160" s="10" t="s">
        <v>1998</v>
      </c>
      <c r="D1160" s="11" t="s">
        <v>878</v>
      </c>
      <c r="E1160" s="11" t="s">
        <v>997</v>
      </c>
      <c r="F1160" s="9">
        <v>20</v>
      </c>
      <c r="G1160" s="9">
        <v>60</v>
      </c>
      <c r="H1160" s="9" t="s">
        <v>868</v>
      </c>
      <c r="I1160" s="9">
        <v>24</v>
      </c>
      <c r="J1160" s="9">
        <v>120</v>
      </c>
      <c r="K1160" s="9" t="s">
        <v>889</v>
      </c>
      <c r="L1160" s="27">
        <v>9.9879999999999997E-2</v>
      </c>
      <c r="M1160" s="28" t="s">
        <v>3203</v>
      </c>
      <c r="N1160" s="17">
        <v>7.7739479999999999</v>
      </c>
      <c r="O1160" s="1"/>
      <c r="P1160" s="38">
        <f t="shared" si="109"/>
        <v>0</v>
      </c>
      <c r="S1160" s="24" t="str">
        <f t="shared" si="112"/>
        <v>-</v>
      </c>
      <c r="T1160" s="24" t="str">
        <f t="shared" si="110"/>
        <v>-</v>
      </c>
      <c r="U1160" s="25" t="str">
        <f t="shared" si="113"/>
        <v>-</v>
      </c>
      <c r="V1160" s="26" t="str">
        <f t="shared" si="114"/>
        <v>-</v>
      </c>
      <c r="X1160" s="26" t="str">
        <f t="shared" si="111"/>
        <v>-</v>
      </c>
    </row>
    <row r="1161" spans="1:24" x14ac:dyDescent="0.3">
      <c r="A1161" s="37">
        <v>87614142913</v>
      </c>
      <c r="B1161" s="8" t="s">
        <v>1456</v>
      </c>
      <c r="C1161" s="10" t="s">
        <v>2229</v>
      </c>
      <c r="D1161" s="11" t="s">
        <v>874</v>
      </c>
      <c r="E1161" s="11" t="s">
        <v>925</v>
      </c>
      <c r="F1161" s="9">
        <v>30</v>
      </c>
      <c r="G1161" s="9">
        <v>90</v>
      </c>
      <c r="H1161" s="9" t="s">
        <v>868</v>
      </c>
      <c r="I1161" s="9">
        <v>24</v>
      </c>
      <c r="J1161" s="9">
        <v>60</v>
      </c>
      <c r="K1161" s="9" t="s">
        <v>873</v>
      </c>
      <c r="L1161" s="27">
        <v>7.831500000000001E-2</v>
      </c>
      <c r="M1161" s="28" t="s">
        <v>3203</v>
      </c>
      <c r="N1161" s="17">
        <v>7.2257849999999992</v>
      </c>
      <c r="O1161" s="1"/>
      <c r="P1161" s="38">
        <f t="shared" si="109"/>
        <v>0</v>
      </c>
      <c r="S1161" s="24" t="str">
        <f t="shared" si="112"/>
        <v>-</v>
      </c>
      <c r="T1161" s="24" t="str">
        <f t="shared" si="110"/>
        <v>-</v>
      </c>
      <c r="U1161" s="25" t="str">
        <f t="shared" si="113"/>
        <v>-</v>
      </c>
      <c r="V1161" s="26" t="str">
        <f t="shared" si="114"/>
        <v>-</v>
      </c>
      <c r="X1161" s="26" t="str">
        <f t="shared" si="111"/>
        <v>-</v>
      </c>
    </row>
    <row r="1162" spans="1:24" x14ac:dyDescent="0.3">
      <c r="A1162" s="37">
        <v>87614142982</v>
      </c>
      <c r="B1162" s="8" t="s">
        <v>2766</v>
      </c>
      <c r="C1162" s="10" t="s">
        <v>2767</v>
      </c>
      <c r="D1162" s="11" t="s">
        <v>881</v>
      </c>
      <c r="E1162" s="11" t="s">
        <v>986</v>
      </c>
      <c r="F1162" s="9">
        <v>30</v>
      </c>
      <c r="G1162" s="9">
        <v>90</v>
      </c>
      <c r="H1162" s="9" t="s">
        <v>868</v>
      </c>
      <c r="I1162" s="9">
        <v>36</v>
      </c>
      <c r="J1162" s="9">
        <v>60</v>
      </c>
      <c r="K1162" s="9" t="s">
        <v>2903</v>
      </c>
      <c r="L1162" s="27">
        <v>5.4480000000000001E-2</v>
      </c>
      <c r="M1162" s="28" t="s">
        <v>3203</v>
      </c>
      <c r="N1162" s="17">
        <v>21.527856</v>
      </c>
      <c r="O1162" s="1"/>
      <c r="P1162" s="38">
        <f t="shared" si="109"/>
        <v>0</v>
      </c>
      <c r="S1162" s="24" t="str">
        <f t="shared" si="112"/>
        <v>-</v>
      </c>
      <c r="T1162" s="24" t="str">
        <f t="shared" si="110"/>
        <v>-</v>
      </c>
      <c r="U1162" s="25" t="str">
        <f t="shared" si="113"/>
        <v>-</v>
      </c>
      <c r="V1162" s="26" t="str">
        <f t="shared" si="114"/>
        <v>-</v>
      </c>
      <c r="X1162" s="26" t="str">
        <f t="shared" si="111"/>
        <v>-</v>
      </c>
    </row>
    <row r="1163" spans="1:24" x14ac:dyDescent="0.3">
      <c r="A1163" s="37">
        <v>87614142999</v>
      </c>
      <c r="B1163" s="8" t="s">
        <v>3183</v>
      </c>
      <c r="C1163" s="10" t="s">
        <v>3184</v>
      </c>
      <c r="D1163" s="11" t="s">
        <v>878</v>
      </c>
      <c r="E1163" s="11" t="s">
        <v>997</v>
      </c>
      <c r="F1163" s="9">
        <v>20</v>
      </c>
      <c r="G1163" s="9">
        <v>208</v>
      </c>
      <c r="H1163" s="9" t="s">
        <v>868</v>
      </c>
      <c r="I1163" s="9">
        <v>24</v>
      </c>
      <c r="J1163" s="9">
        <v>120</v>
      </c>
      <c r="K1163" s="9" t="s">
        <v>2903</v>
      </c>
      <c r="L1163" s="27">
        <v>0</v>
      </c>
      <c r="M1163" s="28" t="s">
        <v>3203</v>
      </c>
      <c r="N1163" s="17">
        <v>4.6510800000000003</v>
      </c>
      <c r="O1163" s="1"/>
      <c r="P1163" s="38">
        <f t="shared" si="109"/>
        <v>0</v>
      </c>
      <c r="S1163" s="24" t="str">
        <f t="shared" si="112"/>
        <v>-</v>
      </c>
      <c r="T1163" s="24" t="str">
        <f t="shared" si="110"/>
        <v>-</v>
      </c>
      <c r="U1163" s="25" t="str">
        <f t="shared" si="113"/>
        <v>-</v>
      </c>
      <c r="V1163" s="26" t="str">
        <f t="shared" si="114"/>
        <v>-</v>
      </c>
      <c r="X1163" s="26" t="str">
        <f t="shared" si="111"/>
        <v>-</v>
      </c>
    </row>
    <row r="1164" spans="1:24" x14ac:dyDescent="0.3">
      <c r="A1164" s="37">
        <v>87614450018</v>
      </c>
      <c r="B1164" s="8" t="s">
        <v>1740</v>
      </c>
      <c r="C1164" s="10" t="s">
        <v>2480</v>
      </c>
      <c r="D1164" s="11" t="s">
        <v>2835</v>
      </c>
      <c r="E1164" s="11" t="s">
        <v>2870</v>
      </c>
      <c r="F1164" s="9">
        <v>6</v>
      </c>
      <c r="G1164" s="9">
        <v>24</v>
      </c>
      <c r="H1164" s="9" t="s">
        <v>868</v>
      </c>
      <c r="I1164" s="9">
        <v>24</v>
      </c>
      <c r="J1164" s="9">
        <v>1</v>
      </c>
      <c r="K1164" s="9" t="s">
        <v>887</v>
      </c>
      <c r="L1164" s="27">
        <v>0.54933999999999994</v>
      </c>
      <c r="M1164" s="28" t="s">
        <v>3203</v>
      </c>
      <c r="N1164" s="17">
        <v>14.534624999999998</v>
      </c>
      <c r="O1164" s="1"/>
      <c r="P1164" s="38">
        <f t="shared" si="109"/>
        <v>0</v>
      </c>
      <c r="S1164" s="24" t="str">
        <f t="shared" si="112"/>
        <v>-</v>
      </c>
      <c r="T1164" s="24" t="str">
        <f t="shared" si="110"/>
        <v>-</v>
      </c>
      <c r="U1164" s="25" t="str">
        <f t="shared" si="113"/>
        <v>-</v>
      </c>
      <c r="V1164" s="26" t="str">
        <f t="shared" si="114"/>
        <v>-</v>
      </c>
      <c r="X1164" s="26" t="str">
        <f t="shared" si="111"/>
        <v>-</v>
      </c>
    </row>
    <row r="1165" spans="1:24" x14ac:dyDescent="0.3">
      <c r="A1165" s="37">
        <v>87614180144</v>
      </c>
      <c r="B1165" s="8" t="s">
        <v>1458</v>
      </c>
      <c r="C1165" s="10" t="s">
        <v>2230</v>
      </c>
      <c r="D1165" s="11" t="s">
        <v>874</v>
      </c>
      <c r="E1165" s="11" t="s">
        <v>914</v>
      </c>
      <c r="F1165" s="9">
        <v>30</v>
      </c>
      <c r="G1165" s="9">
        <v>90</v>
      </c>
      <c r="H1165" s="9" t="s">
        <v>868</v>
      </c>
      <c r="I1165" s="9">
        <v>36</v>
      </c>
      <c r="J1165" s="9">
        <v>30</v>
      </c>
      <c r="K1165" s="9" t="s">
        <v>873</v>
      </c>
      <c r="L1165" s="27">
        <v>5.1074999999999995E-2</v>
      </c>
      <c r="M1165" s="28" t="s">
        <v>3203</v>
      </c>
      <c r="N1165" s="17">
        <v>10.913427</v>
      </c>
      <c r="O1165" s="1"/>
      <c r="P1165" s="38">
        <f t="shared" si="109"/>
        <v>0</v>
      </c>
      <c r="S1165" s="24" t="str">
        <f t="shared" si="112"/>
        <v>-</v>
      </c>
      <c r="T1165" s="24" t="str">
        <f t="shared" si="110"/>
        <v>-</v>
      </c>
      <c r="U1165" s="25" t="str">
        <f t="shared" si="113"/>
        <v>-</v>
      </c>
      <c r="V1165" s="26" t="str">
        <f t="shared" si="114"/>
        <v>-</v>
      </c>
      <c r="X1165" s="26" t="str">
        <f t="shared" si="111"/>
        <v>-</v>
      </c>
    </row>
    <row r="1166" spans="1:24" x14ac:dyDescent="0.3">
      <c r="A1166" s="37">
        <v>87614180304</v>
      </c>
      <c r="B1166" s="8" t="s">
        <v>1745</v>
      </c>
      <c r="C1166" s="10" t="s">
        <v>2485</v>
      </c>
      <c r="D1166" s="11" t="s">
        <v>866</v>
      </c>
      <c r="E1166" s="11" t="s">
        <v>956</v>
      </c>
      <c r="F1166" s="9">
        <v>12</v>
      </c>
      <c r="G1166" s="9">
        <v>24</v>
      </c>
      <c r="H1166" s="9" t="s">
        <v>868</v>
      </c>
      <c r="I1166" s="9">
        <v>24</v>
      </c>
      <c r="J1166" s="9">
        <v>1500</v>
      </c>
      <c r="K1166" s="9" t="s">
        <v>877</v>
      </c>
      <c r="L1166" s="27">
        <v>0.42789500000000003</v>
      </c>
      <c r="M1166" s="28" t="s">
        <v>3203</v>
      </c>
      <c r="N1166" s="17">
        <v>26.776931999999999</v>
      </c>
      <c r="O1166" s="1"/>
      <c r="P1166" s="38">
        <f t="shared" si="109"/>
        <v>0</v>
      </c>
      <c r="S1166" s="24" t="str">
        <f t="shared" si="112"/>
        <v>-</v>
      </c>
      <c r="T1166" s="24" t="str">
        <f t="shared" si="110"/>
        <v>-</v>
      </c>
      <c r="U1166" s="25" t="str">
        <f t="shared" si="113"/>
        <v>-</v>
      </c>
      <c r="V1166" s="26" t="str">
        <f t="shared" si="114"/>
        <v>-</v>
      </c>
      <c r="X1166" s="26" t="str">
        <f t="shared" si="111"/>
        <v>-</v>
      </c>
    </row>
    <row r="1167" spans="1:24" x14ac:dyDescent="0.3">
      <c r="A1167" s="37">
        <v>87614200071</v>
      </c>
      <c r="B1167" s="8" t="s">
        <v>1746</v>
      </c>
      <c r="C1167" s="10" t="s">
        <v>3185</v>
      </c>
      <c r="D1167" s="11" t="s">
        <v>883</v>
      </c>
      <c r="E1167" s="11" t="s">
        <v>926</v>
      </c>
      <c r="F1167" s="9">
        <v>15</v>
      </c>
      <c r="G1167" s="9">
        <v>30</v>
      </c>
      <c r="H1167" s="9" t="s">
        <v>868</v>
      </c>
      <c r="I1167" s="9">
        <v>24</v>
      </c>
      <c r="J1167" s="9">
        <v>150</v>
      </c>
      <c r="K1167" s="9" t="s">
        <v>873</v>
      </c>
      <c r="L1167" s="27">
        <v>0.207705</v>
      </c>
      <c r="M1167" s="28" t="s">
        <v>3203</v>
      </c>
      <c r="N1167" s="17">
        <v>36.643866000000003</v>
      </c>
      <c r="O1167" s="1"/>
      <c r="P1167" s="38">
        <f t="shared" si="109"/>
        <v>0</v>
      </c>
      <c r="S1167" s="24" t="str">
        <f t="shared" si="112"/>
        <v>-</v>
      </c>
      <c r="T1167" s="24" t="str">
        <f t="shared" si="110"/>
        <v>-</v>
      </c>
      <c r="U1167" s="25" t="str">
        <f t="shared" si="113"/>
        <v>-</v>
      </c>
      <c r="V1167" s="26" t="str">
        <f t="shared" si="114"/>
        <v>-</v>
      </c>
      <c r="X1167" s="26" t="str">
        <f t="shared" si="111"/>
        <v>-</v>
      </c>
    </row>
    <row r="1168" spans="1:24" x14ac:dyDescent="0.3">
      <c r="A1168" s="37">
        <v>87614200200</v>
      </c>
      <c r="B1168" s="8" t="s">
        <v>1931</v>
      </c>
      <c r="C1168" s="10" t="s">
        <v>3186</v>
      </c>
      <c r="D1168" s="11" t="s">
        <v>891</v>
      </c>
      <c r="E1168" s="11" t="s">
        <v>970</v>
      </c>
      <c r="F1168" s="9">
        <v>30</v>
      </c>
      <c r="G1168" s="9">
        <v>90</v>
      </c>
      <c r="H1168" s="9" t="s">
        <v>868</v>
      </c>
      <c r="I1168" s="9">
        <v>24</v>
      </c>
      <c r="J1168" s="9">
        <v>30</v>
      </c>
      <c r="K1168" s="9" t="s">
        <v>869</v>
      </c>
      <c r="L1168" s="27">
        <v>7.6045000000000001E-2</v>
      </c>
      <c r="M1168" s="28" t="s">
        <v>3203</v>
      </c>
      <c r="N1168" s="17">
        <v>28.570920000000001</v>
      </c>
      <c r="O1168" s="1"/>
      <c r="P1168" s="38">
        <f t="shared" si="109"/>
        <v>0</v>
      </c>
      <c r="S1168" s="24" t="str">
        <f t="shared" si="112"/>
        <v>-</v>
      </c>
      <c r="T1168" s="24" t="str">
        <f t="shared" si="110"/>
        <v>-</v>
      </c>
      <c r="U1168" s="25" t="str">
        <f t="shared" si="113"/>
        <v>-</v>
      </c>
      <c r="V1168" s="26" t="str">
        <f t="shared" si="114"/>
        <v>-</v>
      </c>
      <c r="X1168" s="26" t="str">
        <f t="shared" si="111"/>
        <v>-</v>
      </c>
    </row>
    <row r="1169" spans="1:24" x14ac:dyDescent="0.3">
      <c r="A1169" s="37">
        <v>87614080185</v>
      </c>
      <c r="B1169" s="8" t="s">
        <v>1748</v>
      </c>
      <c r="C1169" s="10" t="s">
        <v>2486</v>
      </c>
      <c r="D1169" s="11" t="s">
        <v>886</v>
      </c>
      <c r="E1169" s="11" t="s">
        <v>952</v>
      </c>
      <c r="F1169" s="9">
        <v>48</v>
      </c>
      <c r="G1169" s="9">
        <v>192</v>
      </c>
      <c r="H1169" s="9" t="s">
        <v>868</v>
      </c>
      <c r="I1169" s="9">
        <v>36</v>
      </c>
      <c r="J1169" s="9">
        <v>30</v>
      </c>
      <c r="K1169" s="9" t="s">
        <v>873</v>
      </c>
      <c r="L1169" s="27">
        <v>3.9725000000000003E-2</v>
      </c>
      <c r="M1169" s="28" t="s">
        <v>3203</v>
      </c>
      <c r="N1169" s="17">
        <v>15.215675999999998</v>
      </c>
      <c r="O1169" s="1"/>
      <c r="P1169" s="38">
        <f t="shared" si="109"/>
        <v>0</v>
      </c>
      <c r="S1169" s="24" t="str">
        <f t="shared" si="112"/>
        <v>-</v>
      </c>
      <c r="T1169" s="24" t="str">
        <f t="shared" si="110"/>
        <v>-</v>
      </c>
      <c r="U1169" s="25" t="str">
        <f t="shared" si="113"/>
        <v>-</v>
      </c>
      <c r="V1169" s="26" t="str">
        <f t="shared" si="114"/>
        <v>-</v>
      </c>
      <c r="X1169" s="26" t="str">
        <f t="shared" si="111"/>
        <v>-</v>
      </c>
    </row>
    <row r="1170" spans="1:24" x14ac:dyDescent="0.3">
      <c r="A1170" s="37">
        <v>87614080284</v>
      </c>
      <c r="B1170" s="8" t="s">
        <v>1342</v>
      </c>
      <c r="C1170" s="10" t="s">
        <v>2122</v>
      </c>
      <c r="D1170" s="11" t="s">
        <v>886</v>
      </c>
      <c r="E1170" s="11" t="s">
        <v>1048</v>
      </c>
      <c r="F1170" s="9">
        <v>30</v>
      </c>
      <c r="G1170" s="9">
        <v>90</v>
      </c>
      <c r="H1170" s="9" t="s">
        <v>868</v>
      </c>
      <c r="I1170" s="9">
        <v>36</v>
      </c>
      <c r="J1170" s="9">
        <v>60</v>
      </c>
      <c r="K1170" s="9" t="s">
        <v>873</v>
      </c>
      <c r="L1170" s="27">
        <v>8.9664999999999995E-2</v>
      </c>
      <c r="M1170" s="28" t="s">
        <v>3203</v>
      </c>
      <c r="N1170" s="17">
        <v>8.2556670000000008</v>
      </c>
      <c r="O1170" s="1"/>
      <c r="P1170" s="38">
        <f t="shared" si="109"/>
        <v>0</v>
      </c>
      <c r="S1170" s="24" t="str">
        <f t="shared" si="112"/>
        <v>-</v>
      </c>
      <c r="T1170" s="24" t="str">
        <f t="shared" si="110"/>
        <v>-</v>
      </c>
      <c r="U1170" s="25" t="str">
        <f t="shared" si="113"/>
        <v>-</v>
      </c>
      <c r="V1170" s="26" t="str">
        <f t="shared" si="114"/>
        <v>-</v>
      </c>
      <c r="X1170" s="26" t="str">
        <f t="shared" si="111"/>
        <v>-</v>
      </c>
    </row>
    <row r="1171" spans="1:24" x14ac:dyDescent="0.3">
      <c r="A1171" s="37">
        <v>87614060163</v>
      </c>
      <c r="B1171" s="8" t="s">
        <v>602</v>
      </c>
      <c r="C1171" s="10" t="s">
        <v>603</v>
      </c>
      <c r="D1171" s="11" t="s">
        <v>866</v>
      </c>
      <c r="E1171" s="11" t="s">
        <v>956</v>
      </c>
      <c r="F1171" s="9">
        <v>15</v>
      </c>
      <c r="G1171" s="9">
        <v>30</v>
      </c>
      <c r="H1171" s="9" t="s">
        <v>868</v>
      </c>
      <c r="I1171" s="9">
        <v>36</v>
      </c>
      <c r="J1171" s="9">
        <v>300</v>
      </c>
      <c r="K1171" s="9" t="s">
        <v>877</v>
      </c>
      <c r="L1171" s="27">
        <v>0.28375</v>
      </c>
      <c r="M1171" s="28" t="s">
        <v>3203</v>
      </c>
      <c r="N1171" s="17">
        <v>19.933199999999999</v>
      </c>
      <c r="O1171" s="1"/>
      <c r="P1171" s="38">
        <f t="shared" si="109"/>
        <v>0</v>
      </c>
      <c r="S1171" s="24" t="str">
        <f t="shared" si="112"/>
        <v>-</v>
      </c>
      <c r="T1171" s="24" t="str">
        <f t="shared" si="110"/>
        <v>-</v>
      </c>
      <c r="U1171" s="25" t="str">
        <f t="shared" si="113"/>
        <v>-</v>
      </c>
      <c r="V1171" s="26" t="str">
        <f t="shared" si="114"/>
        <v>-</v>
      </c>
      <c r="X1171" s="26" t="str">
        <f t="shared" si="111"/>
        <v>-</v>
      </c>
    </row>
    <row r="1172" spans="1:24" x14ac:dyDescent="0.3">
      <c r="A1172" s="37">
        <v>87614060293</v>
      </c>
      <c r="B1172" s="8" t="s">
        <v>1751</v>
      </c>
      <c r="C1172" s="10" t="s">
        <v>2489</v>
      </c>
      <c r="D1172" s="11" t="s">
        <v>866</v>
      </c>
      <c r="E1172" s="11" t="s">
        <v>956</v>
      </c>
      <c r="F1172" s="9">
        <v>30</v>
      </c>
      <c r="G1172" s="9">
        <v>90</v>
      </c>
      <c r="H1172" s="9" t="s">
        <v>892</v>
      </c>
      <c r="I1172" s="9">
        <v>24</v>
      </c>
      <c r="J1172" s="9">
        <v>60</v>
      </c>
      <c r="K1172" s="9" t="s">
        <v>889</v>
      </c>
      <c r="L1172" s="27">
        <v>8.6260000000000003E-2</v>
      </c>
      <c r="M1172" s="28" t="s">
        <v>3203</v>
      </c>
      <c r="N1172" s="17">
        <v>11.544645000000001</v>
      </c>
      <c r="O1172" s="1"/>
      <c r="P1172" s="38">
        <f t="shared" si="109"/>
        <v>0</v>
      </c>
      <c r="S1172" s="24" t="str">
        <f t="shared" si="112"/>
        <v>-</v>
      </c>
      <c r="T1172" s="24" t="str">
        <f t="shared" si="110"/>
        <v>-</v>
      </c>
      <c r="U1172" s="25" t="str">
        <f t="shared" si="113"/>
        <v>-</v>
      </c>
      <c r="V1172" s="26" t="str">
        <f t="shared" si="114"/>
        <v>-</v>
      </c>
      <c r="X1172" s="26" t="str">
        <f t="shared" si="111"/>
        <v>-</v>
      </c>
    </row>
    <row r="1173" spans="1:24" x14ac:dyDescent="0.3">
      <c r="A1173" s="37">
        <v>87614060361</v>
      </c>
      <c r="B1173" s="8" t="s">
        <v>1752</v>
      </c>
      <c r="C1173" s="10" t="s">
        <v>2490</v>
      </c>
      <c r="D1173" s="11" t="s">
        <v>866</v>
      </c>
      <c r="E1173" s="11" t="s">
        <v>956</v>
      </c>
      <c r="F1173" s="9">
        <v>30</v>
      </c>
      <c r="G1173" s="9">
        <v>90</v>
      </c>
      <c r="H1173" s="9" t="s">
        <v>868</v>
      </c>
      <c r="I1173" s="9">
        <v>36</v>
      </c>
      <c r="J1173" s="9">
        <v>120</v>
      </c>
      <c r="K1173" s="9" t="s">
        <v>877</v>
      </c>
      <c r="L1173" s="27">
        <v>0.1135</v>
      </c>
      <c r="M1173" s="28" t="s">
        <v>3203</v>
      </c>
      <c r="N1173" s="17">
        <v>6.1128480000000005</v>
      </c>
      <c r="O1173" s="1"/>
      <c r="P1173" s="38">
        <f t="shared" si="109"/>
        <v>0</v>
      </c>
      <c r="S1173" s="24" t="str">
        <f t="shared" si="112"/>
        <v>-</v>
      </c>
      <c r="T1173" s="24" t="str">
        <f t="shared" si="110"/>
        <v>-</v>
      </c>
      <c r="U1173" s="25" t="str">
        <f t="shared" si="113"/>
        <v>-</v>
      </c>
      <c r="V1173" s="26" t="str">
        <f t="shared" si="114"/>
        <v>-</v>
      </c>
      <c r="X1173" s="26" t="str">
        <f t="shared" si="111"/>
        <v>-</v>
      </c>
    </row>
    <row r="1174" spans="1:24" x14ac:dyDescent="0.3">
      <c r="A1174" s="37">
        <v>87614060385</v>
      </c>
      <c r="B1174" s="8" t="s">
        <v>1753</v>
      </c>
      <c r="C1174" s="10" t="s">
        <v>2491</v>
      </c>
      <c r="D1174" s="11" t="s">
        <v>866</v>
      </c>
      <c r="E1174" s="11" t="s">
        <v>950</v>
      </c>
      <c r="F1174" s="9">
        <v>30</v>
      </c>
      <c r="G1174" s="9">
        <v>90</v>
      </c>
      <c r="H1174" s="9" t="s">
        <v>892</v>
      </c>
      <c r="I1174" s="9">
        <v>24</v>
      </c>
      <c r="J1174" s="9">
        <v>90</v>
      </c>
      <c r="K1174" s="9" t="s">
        <v>889</v>
      </c>
      <c r="L1174" s="27">
        <v>7.9450000000000007E-2</v>
      </c>
      <c r="M1174" s="28" t="s">
        <v>3203</v>
      </c>
      <c r="N1174" s="17">
        <v>7.7573369999999997</v>
      </c>
      <c r="O1174" s="1"/>
      <c r="P1174" s="38">
        <f t="shared" si="109"/>
        <v>0</v>
      </c>
      <c r="S1174" s="24" t="str">
        <f t="shared" si="112"/>
        <v>-</v>
      </c>
      <c r="T1174" s="24" t="str">
        <f t="shared" si="110"/>
        <v>-</v>
      </c>
      <c r="U1174" s="25" t="str">
        <f t="shared" si="113"/>
        <v>-</v>
      </c>
      <c r="V1174" s="26" t="str">
        <f t="shared" si="114"/>
        <v>-</v>
      </c>
      <c r="X1174" s="26" t="str">
        <f t="shared" si="111"/>
        <v>-</v>
      </c>
    </row>
    <row r="1175" spans="1:24" x14ac:dyDescent="0.3">
      <c r="A1175" s="37">
        <v>87614060590</v>
      </c>
      <c r="B1175" s="8" t="s">
        <v>1754</v>
      </c>
      <c r="C1175" s="10" t="s">
        <v>2492</v>
      </c>
      <c r="D1175" s="11" t="s">
        <v>866</v>
      </c>
      <c r="E1175" s="11" t="s">
        <v>956</v>
      </c>
      <c r="F1175" s="9">
        <v>30</v>
      </c>
      <c r="G1175" s="9">
        <v>90</v>
      </c>
      <c r="H1175" s="9" t="s">
        <v>868</v>
      </c>
      <c r="I1175" s="9">
        <v>36</v>
      </c>
      <c r="J1175" s="9">
        <v>60</v>
      </c>
      <c r="K1175" s="9" t="s">
        <v>889</v>
      </c>
      <c r="L1175" s="27">
        <v>8.3989999999999995E-2</v>
      </c>
      <c r="M1175" s="28" t="s">
        <v>3203</v>
      </c>
      <c r="N1175" s="17">
        <v>10.066266000000001</v>
      </c>
      <c r="O1175" s="1"/>
      <c r="P1175" s="38">
        <f t="shared" si="109"/>
        <v>0</v>
      </c>
      <c r="S1175" s="24" t="str">
        <f t="shared" si="112"/>
        <v>-</v>
      </c>
      <c r="T1175" s="24" t="str">
        <f t="shared" si="110"/>
        <v>-</v>
      </c>
      <c r="U1175" s="25" t="str">
        <f t="shared" si="113"/>
        <v>-</v>
      </c>
      <c r="V1175" s="26" t="str">
        <f t="shared" si="114"/>
        <v>-</v>
      </c>
      <c r="X1175" s="26" t="str">
        <f t="shared" si="111"/>
        <v>-</v>
      </c>
    </row>
    <row r="1176" spans="1:24" x14ac:dyDescent="0.3">
      <c r="A1176" s="37">
        <v>87614060606</v>
      </c>
      <c r="B1176" s="8" t="s">
        <v>1951</v>
      </c>
      <c r="C1176" s="10" t="s">
        <v>2672</v>
      </c>
      <c r="D1176" s="11" t="s">
        <v>866</v>
      </c>
      <c r="E1176" s="11" t="s">
        <v>956</v>
      </c>
      <c r="F1176" s="9">
        <v>22</v>
      </c>
      <c r="G1176" s="9">
        <v>22</v>
      </c>
      <c r="H1176" s="9" t="s">
        <v>868</v>
      </c>
      <c r="I1176" s="9">
        <v>36</v>
      </c>
      <c r="J1176" s="9">
        <v>1</v>
      </c>
      <c r="K1176" s="9" t="s">
        <v>880</v>
      </c>
      <c r="L1176" s="27">
        <v>0.31893500000000002</v>
      </c>
      <c r="M1176" s="28" t="s">
        <v>3203</v>
      </c>
      <c r="N1176" s="17">
        <v>31.278512999999997</v>
      </c>
      <c r="O1176" s="1"/>
      <c r="P1176" s="38">
        <f t="shared" si="109"/>
        <v>0</v>
      </c>
      <c r="S1176" s="24" t="str">
        <f t="shared" si="112"/>
        <v>-</v>
      </c>
      <c r="T1176" s="24" t="str">
        <f t="shared" si="110"/>
        <v>-</v>
      </c>
      <c r="U1176" s="25" t="str">
        <f t="shared" si="113"/>
        <v>-</v>
      </c>
      <c r="V1176" s="26" t="str">
        <f t="shared" si="114"/>
        <v>-</v>
      </c>
      <c r="X1176" s="26" t="str">
        <f t="shared" si="111"/>
        <v>-</v>
      </c>
    </row>
    <row r="1177" spans="1:24" x14ac:dyDescent="0.3">
      <c r="A1177" s="37">
        <v>87614060705</v>
      </c>
      <c r="B1177" s="8" t="s">
        <v>1755</v>
      </c>
      <c r="C1177" s="10" t="s">
        <v>2494</v>
      </c>
      <c r="D1177" s="11" t="s">
        <v>866</v>
      </c>
      <c r="E1177" s="11" t="s">
        <v>956</v>
      </c>
      <c r="F1177" s="9">
        <v>9</v>
      </c>
      <c r="G1177" s="9">
        <v>18</v>
      </c>
      <c r="H1177" s="9" t="s">
        <v>868</v>
      </c>
      <c r="I1177" s="9">
        <v>36</v>
      </c>
      <c r="J1177" s="9">
        <v>1</v>
      </c>
      <c r="K1177" s="9" t="s">
        <v>880</v>
      </c>
      <c r="L1177" s="27">
        <v>0.35638999999999998</v>
      </c>
      <c r="M1177" s="28" t="s">
        <v>3203</v>
      </c>
      <c r="N1177" s="17">
        <v>39.600623999999996</v>
      </c>
      <c r="O1177" s="1"/>
      <c r="P1177" s="38">
        <f t="shared" si="109"/>
        <v>0</v>
      </c>
      <c r="S1177" s="24" t="str">
        <f t="shared" si="112"/>
        <v>-</v>
      </c>
      <c r="T1177" s="24" t="str">
        <f t="shared" si="110"/>
        <v>-</v>
      </c>
      <c r="U1177" s="25" t="str">
        <f t="shared" si="113"/>
        <v>-</v>
      </c>
      <c r="V1177" s="26" t="str">
        <f t="shared" si="114"/>
        <v>-</v>
      </c>
      <c r="X1177" s="26" t="str">
        <f t="shared" si="111"/>
        <v>-</v>
      </c>
    </row>
    <row r="1178" spans="1:24" x14ac:dyDescent="0.3">
      <c r="A1178" s="37">
        <v>87614060712</v>
      </c>
      <c r="B1178" s="8" t="s">
        <v>621</v>
      </c>
      <c r="C1178" s="10" t="s">
        <v>622</v>
      </c>
      <c r="D1178" s="11" t="s">
        <v>866</v>
      </c>
      <c r="E1178" s="11" t="s">
        <v>956</v>
      </c>
      <c r="F1178" s="9">
        <v>30</v>
      </c>
      <c r="G1178" s="9">
        <v>90</v>
      </c>
      <c r="H1178" s="9" t="s">
        <v>868</v>
      </c>
      <c r="I1178" s="9">
        <v>36</v>
      </c>
      <c r="J1178" s="9">
        <v>60</v>
      </c>
      <c r="K1178" s="9" t="s">
        <v>889</v>
      </c>
      <c r="L1178" s="27">
        <v>6.1289999999999997E-2</v>
      </c>
      <c r="M1178" s="28" t="s">
        <v>3203</v>
      </c>
      <c r="N1178" s="17">
        <v>6.0464039999999999</v>
      </c>
      <c r="O1178" s="1"/>
      <c r="P1178" s="38">
        <f t="shared" si="109"/>
        <v>0</v>
      </c>
      <c r="S1178" s="24" t="str">
        <f t="shared" si="112"/>
        <v>-</v>
      </c>
      <c r="T1178" s="24" t="str">
        <f t="shared" si="110"/>
        <v>-</v>
      </c>
      <c r="U1178" s="25" t="str">
        <f t="shared" si="113"/>
        <v>-</v>
      </c>
      <c r="V1178" s="26" t="str">
        <f t="shared" si="114"/>
        <v>-</v>
      </c>
      <c r="X1178" s="26" t="str">
        <f t="shared" si="111"/>
        <v>-</v>
      </c>
    </row>
    <row r="1179" spans="1:24" x14ac:dyDescent="0.3">
      <c r="A1179" s="37">
        <v>87614060774</v>
      </c>
      <c r="B1179" s="8" t="s">
        <v>1756</v>
      </c>
      <c r="C1179" s="10" t="s">
        <v>2495</v>
      </c>
      <c r="D1179" s="11" t="s">
        <v>872</v>
      </c>
      <c r="E1179" s="11" t="s">
        <v>2825</v>
      </c>
      <c r="F1179" s="9">
        <v>6</v>
      </c>
      <c r="G1179" s="9">
        <v>12</v>
      </c>
      <c r="H1179" s="9" t="s">
        <v>868</v>
      </c>
      <c r="I1179" s="9">
        <v>36</v>
      </c>
      <c r="J1179" s="9">
        <v>1</v>
      </c>
      <c r="K1179" s="9" t="s">
        <v>880</v>
      </c>
      <c r="L1179" s="27">
        <v>0.49372500000000002</v>
      </c>
      <c r="M1179" s="28" t="s">
        <v>3203</v>
      </c>
      <c r="N1179" s="17">
        <v>17.823602999999999</v>
      </c>
      <c r="O1179" s="1"/>
      <c r="P1179" s="38">
        <f t="shared" si="109"/>
        <v>0</v>
      </c>
      <c r="S1179" s="24" t="str">
        <f t="shared" si="112"/>
        <v>-</v>
      </c>
      <c r="T1179" s="24" t="str">
        <f t="shared" si="110"/>
        <v>-</v>
      </c>
      <c r="U1179" s="25" t="str">
        <f t="shared" si="113"/>
        <v>-</v>
      </c>
      <c r="V1179" s="26" t="str">
        <f t="shared" si="114"/>
        <v>-</v>
      </c>
      <c r="X1179" s="26" t="str">
        <f t="shared" si="111"/>
        <v>-</v>
      </c>
    </row>
    <row r="1180" spans="1:24" x14ac:dyDescent="0.3">
      <c r="A1180" s="37">
        <v>87614060798</v>
      </c>
      <c r="B1180" s="8" t="s">
        <v>1757</v>
      </c>
      <c r="C1180" s="10" t="s">
        <v>2496</v>
      </c>
      <c r="D1180" s="11" t="s">
        <v>899</v>
      </c>
      <c r="E1180" s="11" t="s">
        <v>2883</v>
      </c>
      <c r="F1180" s="9">
        <v>30</v>
      </c>
      <c r="G1180" s="9">
        <v>90</v>
      </c>
      <c r="H1180" s="9" t="s">
        <v>868</v>
      </c>
      <c r="I1180" s="9">
        <v>24</v>
      </c>
      <c r="J1180" s="9">
        <v>30</v>
      </c>
      <c r="K1180" s="9" t="s">
        <v>889</v>
      </c>
      <c r="L1180" s="27">
        <v>5.2209999999999999E-2</v>
      </c>
      <c r="M1180" s="28" t="s">
        <v>3203</v>
      </c>
      <c r="N1180" s="17">
        <v>5.1494100000000005</v>
      </c>
      <c r="O1180" s="1"/>
      <c r="P1180" s="38">
        <f t="shared" si="109"/>
        <v>0</v>
      </c>
      <c r="S1180" s="24" t="str">
        <f t="shared" si="112"/>
        <v>-</v>
      </c>
      <c r="T1180" s="24" t="str">
        <f t="shared" si="110"/>
        <v>-</v>
      </c>
      <c r="U1180" s="25" t="str">
        <f t="shared" si="113"/>
        <v>-</v>
      </c>
      <c r="V1180" s="26" t="str">
        <f t="shared" si="114"/>
        <v>-</v>
      </c>
      <c r="X1180" s="26" t="str">
        <f t="shared" si="111"/>
        <v>-</v>
      </c>
    </row>
    <row r="1181" spans="1:24" x14ac:dyDescent="0.3">
      <c r="A1181" s="37">
        <v>87614060804</v>
      </c>
      <c r="B1181" s="8" t="s">
        <v>1758</v>
      </c>
      <c r="C1181" s="10" t="s">
        <v>3188</v>
      </c>
      <c r="D1181" s="11" t="s">
        <v>866</v>
      </c>
      <c r="E1181" s="11" t="s">
        <v>950</v>
      </c>
      <c r="F1181" s="9">
        <v>30</v>
      </c>
      <c r="G1181" s="9">
        <v>90</v>
      </c>
      <c r="H1181" s="9" t="s">
        <v>868</v>
      </c>
      <c r="I1181" s="9">
        <v>36</v>
      </c>
      <c r="J1181" s="9">
        <v>60</v>
      </c>
      <c r="K1181" s="9" t="s">
        <v>2903</v>
      </c>
      <c r="L1181" s="27">
        <v>8.3989999999999995E-2</v>
      </c>
      <c r="M1181" s="28" t="s">
        <v>3203</v>
      </c>
      <c r="N1181" s="17">
        <v>11.710754999999999</v>
      </c>
      <c r="O1181" s="1"/>
      <c r="P1181" s="38">
        <f t="shared" si="109"/>
        <v>0</v>
      </c>
      <c r="S1181" s="24" t="str">
        <f t="shared" si="112"/>
        <v>-</v>
      </c>
      <c r="T1181" s="24" t="str">
        <f t="shared" si="110"/>
        <v>-</v>
      </c>
      <c r="U1181" s="25" t="str">
        <f t="shared" si="113"/>
        <v>-</v>
      </c>
      <c r="V1181" s="26" t="str">
        <f t="shared" si="114"/>
        <v>-</v>
      </c>
      <c r="X1181" s="26" t="str">
        <f t="shared" si="111"/>
        <v>-</v>
      </c>
    </row>
    <row r="1182" spans="1:24" x14ac:dyDescent="0.3">
      <c r="A1182" s="37">
        <v>87614060873</v>
      </c>
      <c r="B1182" s="8" t="s">
        <v>1761</v>
      </c>
      <c r="C1182" s="10" t="s">
        <v>2499</v>
      </c>
      <c r="D1182" s="11" t="s">
        <v>866</v>
      </c>
      <c r="E1182" s="11" t="s">
        <v>956</v>
      </c>
      <c r="F1182" s="9">
        <v>30</v>
      </c>
      <c r="G1182" s="9">
        <v>90</v>
      </c>
      <c r="H1182" s="9" t="s">
        <v>868</v>
      </c>
      <c r="I1182" s="9">
        <v>36</v>
      </c>
      <c r="J1182" s="9">
        <v>60</v>
      </c>
      <c r="K1182" s="9" t="s">
        <v>889</v>
      </c>
      <c r="L1182" s="27">
        <v>9.0800000000000006E-2</v>
      </c>
      <c r="M1182" s="28" t="s">
        <v>3203</v>
      </c>
      <c r="N1182" s="17">
        <v>7.4085059999999991</v>
      </c>
      <c r="O1182" s="1"/>
      <c r="P1182" s="38">
        <f t="shared" si="109"/>
        <v>0</v>
      </c>
      <c r="S1182" s="24" t="str">
        <f t="shared" si="112"/>
        <v>-</v>
      </c>
      <c r="T1182" s="24" t="str">
        <f t="shared" si="110"/>
        <v>-</v>
      </c>
      <c r="U1182" s="25" t="str">
        <f t="shared" si="113"/>
        <v>-</v>
      </c>
      <c r="V1182" s="26" t="str">
        <f t="shared" si="114"/>
        <v>-</v>
      </c>
      <c r="X1182" s="26" t="str">
        <f t="shared" si="111"/>
        <v>-</v>
      </c>
    </row>
    <row r="1183" spans="1:24" x14ac:dyDescent="0.3">
      <c r="A1183" s="37">
        <v>87614060927</v>
      </c>
      <c r="B1183" s="8" t="s">
        <v>1763</v>
      </c>
      <c r="C1183" s="10" t="s">
        <v>2500</v>
      </c>
      <c r="D1183" s="11" t="s">
        <v>872</v>
      </c>
      <c r="E1183" s="11" t="s">
        <v>2825</v>
      </c>
      <c r="F1183" s="9">
        <v>12</v>
      </c>
      <c r="G1183" s="9">
        <v>24</v>
      </c>
      <c r="H1183" s="9" t="s">
        <v>868</v>
      </c>
      <c r="I1183" s="9">
        <v>36</v>
      </c>
      <c r="J1183" s="9">
        <v>360</v>
      </c>
      <c r="K1183" s="9" t="s">
        <v>873</v>
      </c>
      <c r="L1183" s="27">
        <v>0.32006999999999997</v>
      </c>
      <c r="M1183" s="28" t="s">
        <v>3203</v>
      </c>
      <c r="N1183" s="17">
        <v>18.654153000000001</v>
      </c>
      <c r="O1183" s="1"/>
      <c r="P1183" s="38">
        <f t="shared" si="109"/>
        <v>0</v>
      </c>
      <c r="S1183" s="24" t="str">
        <f t="shared" si="112"/>
        <v>-</v>
      </c>
      <c r="T1183" s="24" t="str">
        <f t="shared" si="110"/>
        <v>-</v>
      </c>
      <c r="U1183" s="25" t="str">
        <f t="shared" si="113"/>
        <v>-</v>
      </c>
      <c r="V1183" s="26" t="str">
        <f t="shared" si="114"/>
        <v>-</v>
      </c>
      <c r="X1183" s="26" t="str">
        <f t="shared" si="111"/>
        <v>-</v>
      </c>
    </row>
    <row r="1184" spans="1:24" x14ac:dyDescent="0.3">
      <c r="A1184" s="37">
        <v>87614430041</v>
      </c>
      <c r="B1184" s="8" t="s">
        <v>1764</v>
      </c>
      <c r="C1184" s="10" t="s">
        <v>2501</v>
      </c>
      <c r="D1184" s="11" t="s">
        <v>874</v>
      </c>
      <c r="E1184" s="11" t="s">
        <v>914</v>
      </c>
      <c r="F1184" s="9">
        <v>30</v>
      </c>
      <c r="G1184" s="9">
        <v>90</v>
      </c>
      <c r="H1184" s="9" t="s">
        <v>868</v>
      </c>
      <c r="I1184" s="9">
        <v>24</v>
      </c>
      <c r="J1184" s="9">
        <v>90</v>
      </c>
      <c r="K1184" s="9" t="s">
        <v>889</v>
      </c>
      <c r="L1184" s="27">
        <v>4.9939999999999998E-2</v>
      </c>
      <c r="M1184" s="28" t="s">
        <v>3203</v>
      </c>
      <c r="N1184" s="17">
        <v>57.606948000000003</v>
      </c>
      <c r="O1184" s="1"/>
      <c r="P1184" s="38">
        <f t="shared" si="109"/>
        <v>0</v>
      </c>
      <c r="S1184" s="24" t="str">
        <f t="shared" si="112"/>
        <v>-</v>
      </c>
      <c r="T1184" s="24" t="str">
        <f t="shared" si="110"/>
        <v>-</v>
      </c>
      <c r="U1184" s="25" t="str">
        <f t="shared" si="113"/>
        <v>-</v>
      </c>
      <c r="V1184" s="26" t="str">
        <f t="shared" si="114"/>
        <v>-</v>
      </c>
      <c r="X1184" s="26" t="str">
        <f t="shared" si="111"/>
        <v>-</v>
      </c>
    </row>
    <row r="1185" spans="1:24" x14ac:dyDescent="0.3">
      <c r="A1185" s="37">
        <v>87614020365</v>
      </c>
      <c r="B1185" s="8" t="s">
        <v>1207</v>
      </c>
      <c r="C1185" s="10" t="s">
        <v>2022</v>
      </c>
      <c r="D1185" s="11" t="s">
        <v>883</v>
      </c>
      <c r="E1185" s="11" t="s">
        <v>926</v>
      </c>
      <c r="F1185" s="9">
        <v>15</v>
      </c>
      <c r="G1185" s="9">
        <v>30</v>
      </c>
      <c r="H1185" s="9" t="s">
        <v>868</v>
      </c>
      <c r="I1185" s="9">
        <v>24</v>
      </c>
      <c r="J1185" s="9">
        <v>120</v>
      </c>
      <c r="K1185" s="9" t="s">
        <v>877</v>
      </c>
      <c r="L1185" s="27">
        <v>0.32120499999999996</v>
      </c>
      <c r="M1185" s="28" t="s">
        <v>3203</v>
      </c>
      <c r="N1185" s="17">
        <v>23.139122999999998</v>
      </c>
      <c r="O1185" s="1"/>
      <c r="P1185" s="38">
        <f t="shared" si="109"/>
        <v>0</v>
      </c>
      <c r="S1185" s="24" t="str">
        <f t="shared" si="112"/>
        <v>-</v>
      </c>
      <c r="T1185" s="24" t="str">
        <f t="shared" si="110"/>
        <v>-</v>
      </c>
      <c r="U1185" s="25" t="str">
        <f t="shared" si="113"/>
        <v>-</v>
      </c>
      <c r="V1185" s="26" t="str">
        <f t="shared" si="114"/>
        <v>-</v>
      </c>
      <c r="X1185" s="26" t="str">
        <f t="shared" si="111"/>
        <v>-</v>
      </c>
    </row>
    <row r="1186" spans="1:24" x14ac:dyDescent="0.3">
      <c r="A1186" s="37">
        <v>87614020648</v>
      </c>
      <c r="B1186" s="8" t="s">
        <v>1464</v>
      </c>
      <c r="C1186" s="10" t="s">
        <v>2236</v>
      </c>
      <c r="D1186" s="11" t="s">
        <v>870</v>
      </c>
      <c r="E1186" s="11" t="s">
        <v>2814</v>
      </c>
      <c r="F1186" s="9">
        <v>12</v>
      </c>
      <c r="G1186" s="9">
        <v>24</v>
      </c>
      <c r="H1186" s="9" t="s">
        <v>892</v>
      </c>
      <c r="I1186" s="9">
        <v>24</v>
      </c>
      <c r="J1186" s="9">
        <v>180</v>
      </c>
      <c r="K1186" s="9" t="s">
        <v>873</v>
      </c>
      <c r="L1186" s="27">
        <v>0.29510000000000003</v>
      </c>
      <c r="M1186" s="28" t="s">
        <v>3203</v>
      </c>
      <c r="N1186" s="17">
        <v>13.986462</v>
      </c>
      <c r="O1186" s="1"/>
      <c r="P1186" s="38">
        <f t="shared" si="109"/>
        <v>0</v>
      </c>
      <c r="S1186" s="24" t="str">
        <f t="shared" si="112"/>
        <v>-</v>
      </c>
      <c r="T1186" s="24" t="str">
        <f t="shared" si="110"/>
        <v>-</v>
      </c>
      <c r="U1186" s="25" t="str">
        <f t="shared" si="113"/>
        <v>-</v>
      </c>
      <c r="V1186" s="26" t="str">
        <f t="shared" si="114"/>
        <v>-</v>
      </c>
      <c r="X1186" s="26" t="str">
        <f t="shared" si="111"/>
        <v>-</v>
      </c>
    </row>
    <row r="1187" spans="1:24" x14ac:dyDescent="0.3">
      <c r="A1187" s="37">
        <v>87614210063</v>
      </c>
      <c r="B1187" s="8" t="s">
        <v>1769</v>
      </c>
      <c r="C1187" s="10" t="s">
        <v>2506</v>
      </c>
      <c r="D1187" s="11" t="s">
        <v>893</v>
      </c>
      <c r="E1187" s="11" t="s">
        <v>2886</v>
      </c>
      <c r="F1187" s="9">
        <v>20</v>
      </c>
      <c r="G1187" s="9">
        <v>60</v>
      </c>
      <c r="H1187" s="9" t="s">
        <v>868</v>
      </c>
      <c r="I1187" s="9">
        <v>24</v>
      </c>
      <c r="J1187" s="9">
        <v>90</v>
      </c>
      <c r="K1187" s="9" t="s">
        <v>873</v>
      </c>
      <c r="L1187" s="27">
        <v>0.13506499999999999</v>
      </c>
      <c r="M1187" s="28" t="s">
        <v>3203</v>
      </c>
      <c r="N1187" s="17">
        <v>19.800311999999998</v>
      </c>
      <c r="O1187" s="1"/>
      <c r="P1187" s="38">
        <f t="shared" si="109"/>
        <v>0</v>
      </c>
      <c r="S1187" s="24" t="str">
        <f t="shared" si="112"/>
        <v>-</v>
      </c>
      <c r="T1187" s="24" t="str">
        <f t="shared" si="110"/>
        <v>-</v>
      </c>
      <c r="U1187" s="25" t="str">
        <f t="shared" si="113"/>
        <v>-</v>
      </c>
      <c r="V1187" s="26" t="str">
        <f t="shared" si="114"/>
        <v>-</v>
      </c>
      <c r="X1187" s="26" t="str">
        <f t="shared" si="111"/>
        <v>-</v>
      </c>
    </row>
    <row r="1188" spans="1:24" x14ac:dyDescent="0.3">
      <c r="A1188" s="37">
        <v>87614210186</v>
      </c>
      <c r="B1188" s="8" t="s">
        <v>1465</v>
      </c>
      <c r="C1188" s="10" t="s">
        <v>2237</v>
      </c>
      <c r="D1188" s="11" t="s">
        <v>883</v>
      </c>
      <c r="E1188" s="11" t="s">
        <v>1050</v>
      </c>
      <c r="F1188" s="9">
        <v>48</v>
      </c>
      <c r="G1188" s="9">
        <v>192</v>
      </c>
      <c r="H1188" s="9" t="s">
        <v>868</v>
      </c>
      <c r="I1188" s="9">
        <v>24</v>
      </c>
      <c r="J1188" s="9">
        <v>30</v>
      </c>
      <c r="K1188" s="9" t="s">
        <v>889</v>
      </c>
      <c r="L1188" s="27">
        <v>2.9509999999999998E-2</v>
      </c>
      <c r="M1188" s="28" t="s">
        <v>3203</v>
      </c>
      <c r="N1188" s="17">
        <v>6.6443999999999992</v>
      </c>
      <c r="O1188" s="1"/>
      <c r="P1188" s="38">
        <f t="shared" si="109"/>
        <v>0</v>
      </c>
      <c r="S1188" s="24" t="str">
        <f t="shared" si="112"/>
        <v>-</v>
      </c>
      <c r="T1188" s="24" t="str">
        <f t="shared" si="110"/>
        <v>-</v>
      </c>
      <c r="U1188" s="25" t="str">
        <f t="shared" si="113"/>
        <v>-</v>
      </c>
      <c r="V1188" s="26" t="str">
        <f t="shared" si="114"/>
        <v>-</v>
      </c>
      <c r="X1188" s="26" t="str">
        <f t="shared" si="111"/>
        <v>-</v>
      </c>
    </row>
    <row r="1189" spans="1:24" x14ac:dyDescent="0.3">
      <c r="A1189" s="37">
        <v>87614210322</v>
      </c>
      <c r="B1189" s="8" t="s">
        <v>1345</v>
      </c>
      <c r="C1189" s="10" t="s">
        <v>2125</v>
      </c>
      <c r="D1189" s="11" t="s">
        <v>902</v>
      </c>
      <c r="E1189" s="11" t="s">
        <v>1023</v>
      </c>
      <c r="F1189" s="9">
        <v>30</v>
      </c>
      <c r="G1189" s="9">
        <v>90</v>
      </c>
      <c r="H1189" s="9" t="s">
        <v>868</v>
      </c>
      <c r="I1189" s="9">
        <v>36</v>
      </c>
      <c r="J1189" s="9">
        <v>60</v>
      </c>
      <c r="K1189" s="9" t="s">
        <v>869</v>
      </c>
      <c r="L1189" s="27">
        <v>8.7395E-2</v>
      </c>
      <c r="M1189" s="28" t="s">
        <v>3203</v>
      </c>
      <c r="N1189" s="17">
        <v>36.893031000000001</v>
      </c>
      <c r="O1189" s="1"/>
      <c r="P1189" s="38">
        <f t="shared" si="109"/>
        <v>0</v>
      </c>
      <c r="S1189" s="24" t="str">
        <f t="shared" si="112"/>
        <v>-</v>
      </c>
      <c r="T1189" s="24" t="str">
        <f t="shared" si="110"/>
        <v>-</v>
      </c>
      <c r="U1189" s="25" t="str">
        <f t="shared" si="113"/>
        <v>-</v>
      </c>
      <c r="V1189" s="26" t="str">
        <f t="shared" si="114"/>
        <v>-</v>
      </c>
      <c r="X1189" s="26" t="str">
        <f t="shared" si="111"/>
        <v>-</v>
      </c>
    </row>
    <row r="1190" spans="1:24" x14ac:dyDescent="0.3">
      <c r="A1190" s="37">
        <v>87614210407</v>
      </c>
      <c r="B1190" s="8" t="s">
        <v>654</v>
      </c>
      <c r="C1190" s="10" t="s">
        <v>3025</v>
      </c>
      <c r="D1190" s="11" t="s">
        <v>866</v>
      </c>
      <c r="E1190" s="11" t="s">
        <v>918</v>
      </c>
      <c r="F1190" s="9">
        <v>30</v>
      </c>
      <c r="G1190" s="9">
        <v>90</v>
      </c>
      <c r="H1190" s="9" t="s">
        <v>868</v>
      </c>
      <c r="I1190" s="9">
        <v>24</v>
      </c>
      <c r="J1190" s="9">
        <v>60</v>
      </c>
      <c r="K1190" s="9" t="s">
        <v>2903</v>
      </c>
      <c r="L1190" s="27">
        <v>7.831500000000001E-2</v>
      </c>
      <c r="M1190" s="28" t="s">
        <v>3203</v>
      </c>
      <c r="N1190" s="17">
        <v>27.258650999999997</v>
      </c>
      <c r="O1190" s="1"/>
      <c r="P1190" s="38">
        <f t="shared" si="109"/>
        <v>0</v>
      </c>
      <c r="S1190" s="24" t="str">
        <f t="shared" si="112"/>
        <v>-</v>
      </c>
      <c r="T1190" s="24" t="str">
        <f t="shared" si="110"/>
        <v>-</v>
      </c>
      <c r="U1190" s="25" t="str">
        <f t="shared" si="113"/>
        <v>-</v>
      </c>
      <c r="V1190" s="26" t="str">
        <f t="shared" si="114"/>
        <v>-</v>
      </c>
      <c r="X1190" s="26" t="str">
        <f t="shared" si="111"/>
        <v>-</v>
      </c>
    </row>
    <row r="1191" spans="1:24" x14ac:dyDescent="0.3">
      <c r="A1191" s="37">
        <v>87614210414</v>
      </c>
      <c r="B1191" s="8" t="s">
        <v>1779</v>
      </c>
      <c r="C1191" s="10" t="s">
        <v>2516</v>
      </c>
      <c r="D1191" s="11" t="s">
        <v>875</v>
      </c>
      <c r="E1191" s="11" t="s">
        <v>2811</v>
      </c>
      <c r="F1191" s="9">
        <v>48</v>
      </c>
      <c r="G1191" s="9">
        <v>192</v>
      </c>
      <c r="H1191" s="9" t="s">
        <v>868</v>
      </c>
      <c r="I1191" s="9">
        <v>36</v>
      </c>
      <c r="J1191" s="9">
        <v>100</v>
      </c>
      <c r="K1191" s="9" t="s">
        <v>889</v>
      </c>
      <c r="L1191" s="27">
        <v>3.9725000000000003E-2</v>
      </c>
      <c r="M1191" s="28" t="s">
        <v>3203</v>
      </c>
      <c r="N1191" s="17">
        <v>8.3221109999999996</v>
      </c>
      <c r="O1191" s="1"/>
      <c r="P1191" s="38">
        <f t="shared" si="109"/>
        <v>0</v>
      </c>
      <c r="S1191" s="24" t="str">
        <f t="shared" si="112"/>
        <v>-</v>
      </c>
      <c r="T1191" s="24" t="str">
        <f t="shared" si="110"/>
        <v>-</v>
      </c>
      <c r="U1191" s="25" t="str">
        <f t="shared" si="113"/>
        <v>-</v>
      </c>
      <c r="V1191" s="26" t="str">
        <f t="shared" si="114"/>
        <v>-</v>
      </c>
      <c r="X1191" s="26" t="str">
        <f t="shared" si="111"/>
        <v>-</v>
      </c>
    </row>
    <row r="1192" spans="1:24" x14ac:dyDescent="0.3">
      <c r="A1192" s="37">
        <v>87614210483</v>
      </c>
      <c r="B1192" s="8" t="s">
        <v>1467</v>
      </c>
      <c r="C1192" s="10" t="s">
        <v>2238</v>
      </c>
      <c r="D1192" s="11" t="s">
        <v>893</v>
      </c>
      <c r="E1192" s="11" t="s">
        <v>987</v>
      </c>
      <c r="F1192" s="9">
        <v>30</v>
      </c>
      <c r="G1192" s="9">
        <v>90</v>
      </c>
      <c r="H1192" s="9" t="s">
        <v>868</v>
      </c>
      <c r="I1192" s="9">
        <v>24</v>
      </c>
      <c r="J1192" s="9">
        <v>60</v>
      </c>
      <c r="K1192" s="9" t="s">
        <v>889</v>
      </c>
      <c r="L1192" s="27">
        <v>8.8529999999999998E-2</v>
      </c>
      <c r="M1192" s="28" t="s">
        <v>3203</v>
      </c>
      <c r="N1192" s="17">
        <v>12.856914</v>
      </c>
      <c r="O1192" s="1"/>
      <c r="P1192" s="38">
        <f t="shared" si="109"/>
        <v>0</v>
      </c>
      <c r="S1192" s="24" t="str">
        <f t="shared" si="112"/>
        <v>-</v>
      </c>
      <c r="T1192" s="24" t="str">
        <f t="shared" si="110"/>
        <v>-</v>
      </c>
      <c r="U1192" s="25" t="str">
        <f t="shared" si="113"/>
        <v>-</v>
      </c>
      <c r="V1192" s="26" t="str">
        <f t="shared" si="114"/>
        <v>-</v>
      </c>
      <c r="X1192" s="26" t="str">
        <f t="shared" si="111"/>
        <v>-</v>
      </c>
    </row>
    <row r="1193" spans="1:24" x14ac:dyDescent="0.3">
      <c r="A1193" s="37">
        <v>87614210520</v>
      </c>
      <c r="B1193" s="8" t="s">
        <v>1145</v>
      </c>
      <c r="C1193" s="10" t="s">
        <v>1972</v>
      </c>
      <c r="D1193" s="11" t="s">
        <v>2822</v>
      </c>
      <c r="E1193" s="11" t="s">
        <v>2823</v>
      </c>
      <c r="F1193" s="9">
        <v>10</v>
      </c>
      <c r="G1193" s="9">
        <v>10</v>
      </c>
      <c r="H1193" s="9" t="s">
        <v>868</v>
      </c>
      <c r="I1193" s="9">
        <v>24</v>
      </c>
      <c r="J1193" s="9">
        <v>1</v>
      </c>
      <c r="K1193" s="9" t="s">
        <v>880</v>
      </c>
      <c r="L1193" s="27">
        <v>1.1667799999999999</v>
      </c>
      <c r="M1193" s="28" t="s">
        <v>3203</v>
      </c>
      <c r="N1193" s="17">
        <v>34.833266999999999</v>
      </c>
      <c r="O1193" s="1"/>
      <c r="P1193" s="38">
        <f t="shared" si="109"/>
        <v>0</v>
      </c>
      <c r="S1193" s="24" t="str">
        <f t="shared" si="112"/>
        <v>-</v>
      </c>
      <c r="T1193" s="24" t="str">
        <f t="shared" si="110"/>
        <v>-</v>
      </c>
      <c r="U1193" s="25" t="str">
        <f t="shared" si="113"/>
        <v>-</v>
      </c>
      <c r="V1193" s="26" t="str">
        <f t="shared" si="114"/>
        <v>-</v>
      </c>
      <c r="X1193" s="26" t="str">
        <f t="shared" si="111"/>
        <v>-</v>
      </c>
    </row>
    <row r="1194" spans="1:24" x14ac:dyDescent="0.3">
      <c r="A1194" s="37">
        <v>87614210537</v>
      </c>
      <c r="B1194" s="8" t="s">
        <v>1142</v>
      </c>
      <c r="C1194" s="10" t="s">
        <v>1970</v>
      </c>
      <c r="D1194" s="11" t="s">
        <v>2822</v>
      </c>
      <c r="E1194" s="11" t="s">
        <v>2823</v>
      </c>
      <c r="F1194" s="9">
        <v>10</v>
      </c>
      <c r="G1194" s="9">
        <v>10</v>
      </c>
      <c r="H1194" s="9" t="s">
        <v>868</v>
      </c>
      <c r="I1194" s="9">
        <v>24</v>
      </c>
      <c r="J1194" s="9">
        <v>1</v>
      </c>
      <c r="K1194" s="9" t="s">
        <v>880</v>
      </c>
      <c r="L1194" s="27">
        <v>1.06009</v>
      </c>
      <c r="M1194" s="28" t="s">
        <v>3203</v>
      </c>
      <c r="N1194" s="17">
        <v>35.082431999999997</v>
      </c>
      <c r="O1194" s="1"/>
      <c r="P1194" s="38">
        <f t="shared" si="109"/>
        <v>0</v>
      </c>
      <c r="S1194" s="24" t="str">
        <f t="shared" si="112"/>
        <v>-</v>
      </c>
      <c r="T1194" s="24" t="str">
        <f t="shared" si="110"/>
        <v>-</v>
      </c>
      <c r="U1194" s="25" t="str">
        <f t="shared" si="113"/>
        <v>-</v>
      </c>
      <c r="V1194" s="26" t="str">
        <f t="shared" si="114"/>
        <v>-</v>
      </c>
      <c r="X1194" s="26" t="str">
        <f t="shared" si="111"/>
        <v>-</v>
      </c>
    </row>
    <row r="1195" spans="1:24" x14ac:dyDescent="0.3">
      <c r="A1195" s="37">
        <v>87614210575</v>
      </c>
      <c r="B1195" s="8" t="s">
        <v>1784</v>
      </c>
      <c r="C1195" s="10" t="s">
        <v>2520</v>
      </c>
      <c r="D1195" s="11" t="s">
        <v>872</v>
      </c>
      <c r="E1195" s="11" t="s">
        <v>2890</v>
      </c>
      <c r="F1195" s="9">
        <v>30</v>
      </c>
      <c r="G1195" s="9">
        <v>90</v>
      </c>
      <c r="H1195" s="9" t="s">
        <v>868</v>
      </c>
      <c r="I1195" s="9">
        <v>12</v>
      </c>
      <c r="J1195" s="9">
        <v>60</v>
      </c>
      <c r="K1195" s="9" t="s">
        <v>889</v>
      </c>
      <c r="L1195" s="27">
        <v>6.4695000000000003E-2</v>
      </c>
      <c r="M1195" s="28" t="s">
        <v>3203</v>
      </c>
      <c r="N1195" s="17">
        <v>9.3686039999999995</v>
      </c>
      <c r="O1195" s="1"/>
      <c r="P1195" s="38">
        <f t="shared" si="109"/>
        <v>0</v>
      </c>
      <c r="S1195" s="24" t="str">
        <f t="shared" si="112"/>
        <v>-</v>
      </c>
      <c r="T1195" s="24" t="str">
        <f t="shared" si="110"/>
        <v>-</v>
      </c>
      <c r="U1195" s="25" t="str">
        <f t="shared" si="113"/>
        <v>-</v>
      </c>
      <c r="V1195" s="26" t="str">
        <f t="shared" si="114"/>
        <v>-</v>
      </c>
      <c r="X1195" s="26" t="str">
        <f t="shared" si="111"/>
        <v>-</v>
      </c>
    </row>
    <row r="1196" spans="1:24" x14ac:dyDescent="0.3">
      <c r="A1196" s="37">
        <v>87614210599</v>
      </c>
      <c r="B1196" s="8" t="s">
        <v>1785</v>
      </c>
      <c r="C1196" s="10" t="s">
        <v>2521</v>
      </c>
      <c r="D1196" s="11" t="s">
        <v>879</v>
      </c>
      <c r="E1196" s="11" t="s">
        <v>1018</v>
      </c>
      <c r="F1196" s="9">
        <v>20</v>
      </c>
      <c r="G1196" s="9">
        <v>60</v>
      </c>
      <c r="H1196" s="9" t="s">
        <v>868</v>
      </c>
      <c r="I1196" s="9">
        <v>24</v>
      </c>
      <c r="J1196" s="9">
        <v>90</v>
      </c>
      <c r="K1196" s="9" t="s">
        <v>2903</v>
      </c>
      <c r="L1196" s="27">
        <v>9.6475000000000005E-2</v>
      </c>
      <c r="M1196" s="28" t="s">
        <v>3203</v>
      </c>
      <c r="N1196" s="17">
        <v>14.468181</v>
      </c>
      <c r="O1196" s="1"/>
      <c r="P1196" s="38">
        <f t="shared" si="109"/>
        <v>0</v>
      </c>
      <c r="S1196" s="24" t="str">
        <f t="shared" si="112"/>
        <v>-</v>
      </c>
      <c r="T1196" s="24" t="str">
        <f t="shared" si="110"/>
        <v>-</v>
      </c>
      <c r="U1196" s="25" t="str">
        <f t="shared" si="113"/>
        <v>-</v>
      </c>
      <c r="V1196" s="26" t="str">
        <f t="shared" si="114"/>
        <v>-</v>
      </c>
      <c r="X1196" s="26" t="str">
        <f t="shared" si="111"/>
        <v>-</v>
      </c>
    </row>
    <row r="1197" spans="1:24" x14ac:dyDescent="0.3">
      <c r="A1197" s="37">
        <v>87614021072</v>
      </c>
      <c r="B1197" s="8" t="s">
        <v>1932</v>
      </c>
      <c r="C1197" s="10" t="s">
        <v>2654</v>
      </c>
      <c r="D1197" s="11" t="s">
        <v>874</v>
      </c>
      <c r="E1197" s="11" t="s">
        <v>1118</v>
      </c>
      <c r="F1197" s="9">
        <v>30</v>
      </c>
      <c r="G1197" s="9">
        <v>90</v>
      </c>
      <c r="H1197" s="9" t="s">
        <v>892</v>
      </c>
      <c r="I1197" s="9">
        <v>24</v>
      </c>
      <c r="J1197" s="9">
        <v>60</v>
      </c>
      <c r="K1197" s="9" t="s">
        <v>869</v>
      </c>
      <c r="L1197" s="27">
        <v>8.6260000000000003E-2</v>
      </c>
      <c r="M1197" s="28" t="s">
        <v>3203</v>
      </c>
      <c r="N1197" s="17">
        <v>7.8237810000000003</v>
      </c>
      <c r="O1197" s="1"/>
      <c r="P1197" s="38">
        <f t="shared" si="109"/>
        <v>0</v>
      </c>
      <c r="S1197" s="24" t="str">
        <f t="shared" si="112"/>
        <v>-</v>
      </c>
      <c r="T1197" s="24" t="str">
        <f t="shared" si="110"/>
        <v>-</v>
      </c>
      <c r="U1197" s="25" t="str">
        <f t="shared" si="113"/>
        <v>-</v>
      </c>
      <c r="V1197" s="26" t="str">
        <f t="shared" si="114"/>
        <v>-</v>
      </c>
      <c r="X1197" s="26" t="str">
        <f t="shared" si="111"/>
        <v>-</v>
      </c>
    </row>
    <row r="1198" spans="1:24" x14ac:dyDescent="0.3">
      <c r="A1198" s="37">
        <v>87614210704</v>
      </c>
      <c r="B1198" s="8" t="s">
        <v>655</v>
      </c>
      <c r="C1198" s="10" t="s">
        <v>3027</v>
      </c>
      <c r="D1198" s="11" t="s">
        <v>866</v>
      </c>
      <c r="E1198" s="11" t="s">
        <v>918</v>
      </c>
      <c r="F1198" s="9">
        <v>30</v>
      </c>
      <c r="G1198" s="9">
        <v>90</v>
      </c>
      <c r="H1198" s="9" t="s">
        <v>868</v>
      </c>
      <c r="I1198" s="9">
        <v>24</v>
      </c>
      <c r="J1198" s="9">
        <v>60</v>
      </c>
      <c r="K1198" s="9" t="s">
        <v>2903</v>
      </c>
      <c r="L1198" s="27">
        <v>8.7395E-2</v>
      </c>
      <c r="M1198" s="28" t="s">
        <v>3203</v>
      </c>
      <c r="N1198" s="17">
        <v>26.411489999999997</v>
      </c>
      <c r="O1198" s="1"/>
      <c r="P1198" s="38">
        <f t="shared" si="109"/>
        <v>0</v>
      </c>
      <c r="S1198" s="24" t="str">
        <f t="shared" si="112"/>
        <v>-</v>
      </c>
      <c r="T1198" s="24" t="str">
        <f t="shared" si="110"/>
        <v>-</v>
      </c>
      <c r="U1198" s="25" t="str">
        <f t="shared" si="113"/>
        <v>-</v>
      </c>
      <c r="V1198" s="26" t="str">
        <f t="shared" si="114"/>
        <v>-</v>
      </c>
      <c r="X1198" s="26" t="str">
        <f t="shared" si="111"/>
        <v>-</v>
      </c>
    </row>
    <row r="1199" spans="1:24" x14ac:dyDescent="0.3">
      <c r="A1199" s="37">
        <v>87614210759</v>
      </c>
      <c r="B1199" s="8" t="s">
        <v>1789</v>
      </c>
      <c r="C1199" s="10" t="s">
        <v>2525</v>
      </c>
      <c r="D1199" s="11" t="s">
        <v>884</v>
      </c>
      <c r="E1199" s="11" t="s">
        <v>940</v>
      </c>
      <c r="F1199" s="9">
        <v>30</v>
      </c>
      <c r="G1199" s="9">
        <v>90</v>
      </c>
      <c r="H1199" s="9" t="s">
        <v>868</v>
      </c>
      <c r="I1199" s="9">
        <v>24</v>
      </c>
      <c r="J1199" s="9">
        <v>60</v>
      </c>
      <c r="K1199" s="9" t="s">
        <v>2903</v>
      </c>
      <c r="L1199" s="27">
        <v>7.7180000000000012E-2</v>
      </c>
      <c r="M1199" s="28" t="s">
        <v>3203</v>
      </c>
      <c r="N1199" s="17">
        <v>19.700645999999999</v>
      </c>
      <c r="O1199" s="1"/>
      <c r="P1199" s="38">
        <f t="shared" si="109"/>
        <v>0</v>
      </c>
      <c r="S1199" s="24" t="str">
        <f t="shared" si="112"/>
        <v>-</v>
      </c>
      <c r="T1199" s="24" t="str">
        <f t="shared" si="110"/>
        <v>-</v>
      </c>
      <c r="U1199" s="25" t="str">
        <f t="shared" si="113"/>
        <v>-</v>
      </c>
      <c r="V1199" s="26" t="str">
        <f t="shared" si="114"/>
        <v>-</v>
      </c>
      <c r="X1199" s="26" t="str">
        <f t="shared" si="111"/>
        <v>-</v>
      </c>
    </row>
    <row r="1200" spans="1:24" x14ac:dyDescent="0.3">
      <c r="A1200" s="37">
        <v>87614210766</v>
      </c>
      <c r="B1200" s="8" t="s">
        <v>656</v>
      </c>
      <c r="C1200" s="10" t="s">
        <v>657</v>
      </c>
      <c r="D1200" s="11" t="s">
        <v>874</v>
      </c>
      <c r="E1200" s="11" t="s">
        <v>914</v>
      </c>
      <c r="F1200" s="9">
        <v>48</v>
      </c>
      <c r="G1200" s="9">
        <v>192</v>
      </c>
      <c r="H1200" s="9" t="s">
        <v>868</v>
      </c>
      <c r="I1200" s="9">
        <v>24</v>
      </c>
      <c r="J1200" s="9">
        <v>30</v>
      </c>
      <c r="K1200" s="9" t="s">
        <v>889</v>
      </c>
      <c r="L1200" s="27">
        <v>2.724E-2</v>
      </c>
      <c r="M1200" s="28" t="s">
        <v>3203</v>
      </c>
      <c r="N1200" s="17">
        <v>4.8171900000000001</v>
      </c>
      <c r="O1200" s="1"/>
      <c r="P1200" s="38">
        <f t="shared" si="109"/>
        <v>0</v>
      </c>
      <c r="S1200" s="24" t="str">
        <f t="shared" si="112"/>
        <v>-</v>
      </c>
      <c r="T1200" s="24" t="str">
        <f t="shared" si="110"/>
        <v>-</v>
      </c>
      <c r="U1200" s="25" t="str">
        <f t="shared" si="113"/>
        <v>-</v>
      </c>
      <c r="V1200" s="26" t="str">
        <f t="shared" si="114"/>
        <v>-</v>
      </c>
      <c r="X1200" s="26" t="str">
        <f t="shared" si="111"/>
        <v>-</v>
      </c>
    </row>
    <row r="1201" spans="1:24" x14ac:dyDescent="0.3">
      <c r="A1201" s="37">
        <v>87614021096</v>
      </c>
      <c r="B1201" s="8" t="s">
        <v>1790</v>
      </c>
      <c r="C1201" s="10" t="s">
        <v>2526</v>
      </c>
      <c r="D1201" s="11" t="s">
        <v>874</v>
      </c>
      <c r="E1201" s="11" t="s">
        <v>914</v>
      </c>
      <c r="F1201" s="9">
        <v>48</v>
      </c>
      <c r="G1201" s="9">
        <v>192</v>
      </c>
      <c r="H1201" s="9" t="s">
        <v>868</v>
      </c>
      <c r="I1201" s="9">
        <v>24</v>
      </c>
      <c r="J1201" s="9">
        <v>60</v>
      </c>
      <c r="K1201" s="9" t="s">
        <v>873</v>
      </c>
      <c r="L1201" s="27">
        <v>3.0644999999999999E-2</v>
      </c>
      <c r="M1201" s="28" t="s">
        <v>3203</v>
      </c>
      <c r="N1201" s="17">
        <v>2.1095969999999999</v>
      </c>
      <c r="O1201" s="1"/>
      <c r="P1201" s="38">
        <f t="shared" si="109"/>
        <v>0</v>
      </c>
      <c r="S1201" s="24" t="str">
        <f t="shared" si="112"/>
        <v>-</v>
      </c>
      <c r="T1201" s="24" t="str">
        <f t="shared" si="110"/>
        <v>-</v>
      </c>
      <c r="U1201" s="25" t="str">
        <f t="shared" si="113"/>
        <v>-</v>
      </c>
      <c r="V1201" s="26" t="str">
        <f t="shared" si="114"/>
        <v>-</v>
      </c>
      <c r="X1201" s="26" t="str">
        <f t="shared" si="111"/>
        <v>-</v>
      </c>
    </row>
    <row r="1202" spans="1:24" x14ac:dyDescent="0.3">
      <c r="A1202" s="37">
        <v>87614211022</v>
      </c>
      <c r="B1202" s="8" t="s">
        <v>1242</v>
      </c>
      <c r="C1202" s="10" t="s">
        <v>3028</v>
      </c>
      <c r="D1202" s="11" t="s">
        <v>872</v>
      </c>
      <c r="E1202" s="11" t="s">
        <v>2877</v>
      </c>
      <c r="F1202" s="9">
        <v>20</v>
      </c>
      <c r="G1202" s="9">
        <v>60</v>
      </c>
      <c r="H1202" s="9" t="s">
        <v>868</v>
      </c>
      <c r="I1202" s="9">
        <v>24</v>
      </c>
      <c r="J1202" s="9">
        <v>60</v>
      </c>
      <c r="K1202" s="9" t="s">
        <v>3050</v>
      </c>
      <c r="L1202" s="27">
        <v>0.11123000000000001</v>
      </c>
      <c r="M1202" s="28" t="s">
        <v>3203</v>
      </c>
      <c r="N1202" s="17">
        <v>7.3088400000000009</v>
      </c>
      <c r="O1202" s="1"/>
      <c r="P1202" s="38">
        <f t="shared" si="109"/>
        <v>0</v>
      </c>
      <c r="S1202" s="24" t="str">
        <f t="shared" si="112"/>
        <v>-</v>
      </c>
      <c r="T1202" s="24" t="str">
        <f t="shared" si="110"/>
        <v>-</v>
      </c>
      <c r="U1202" s="25" t="str">
        <f t="shared" si="113"/>
        <v>-</v>
      </c>
      <c r="V1202" s="26" t="str">
        <f t="shared" si="114"/>
        <v>-</v>
      </c>
      <c r="X1202" s="26" t="str">
        <f t="shared" si="111"/>
        <v>-</v>
      </c>
    </row>
    <row r="1203" spans="1:24" x14ac:dyDescent="0.3">
      <c r="A1203" s="37">
        <v>87614211053</v>
      </c>
      <c r="B1203" s="8" t="s">
        <v>2782</v>
      </c>
      <c r="C1203" s="10" t="s">
        <v>2783</v>
      </c>
      <c r="D1203" s="11" t="s">
        <v>870</v>
      </c>
      <c r="E1203" s="11" t="s">
        <v>2818</v>
      </c>
      <c r="F1203" s="9">
        <v>16</v>
      </c>
      <c r="G1203" s="9">
        <v>48</v>
      </c>
      <c r="H1203" s="9" t="s">
        <v>868</v>
      </c>
      <c r="I1203" s="9">
        <v>24</v>
      </c>
      <c r="J1203" s="9">
        <v>120</v>
      </c>
      <c r="K1203" s="9" t="s">
        <v>873</v>
      </c>
      <c r="L1203" s="27">
        <v>0.20316499999999998</v>
      </c>
      <c r="M1203" s="28" t="s">
        <v>3203</v>
      </c>
      <c r="N1203" s="17">
        <v>7.9732800000000008</v>
      </c>
      <c r="O1203" s="1"/>
      <c r="P1203" s="38">
        <f t="shared" si="109"/>
        <v>0</v>
      </c>
      <c r="S1203" s="24" t="str">
        <f t="shared" si="112"/>
        <v>-</v>
      </c>
      <c r="T1203" s="24" t="str">
        <f t="shared" si="110"/>
        <v>-</v>
      </c>
      <c r="U1203" s="25" t="str">
        <f t="shared" si="113"/>
        <v>-</v>
      </c>
      <c r="V1203" s="26" t="str">
        <f t="shared" si="114"/>
        <v>-</v>
      </c>
      <c r="X1203" s="26" t="str">
        <f t="shared" si="111"/>
        <v>-</v>
      </c>
    </row>
    <row r="1204" spans="1:24" x14ac:dyDescent="0.3">
      <c r="A1204" s="37">
        <v>87614211077</v>
      </c>
      <c r="B1204" s="8" t="s">
        <v>2931</v>
      </c>
      <c r="C1204" s="10" t="s">
        <v>688</v>
      </c>
      <c r="D1204" s="11" t="s">
        <v>870</v>
      </c>
      <c r="E1204" s="11" t="s">
        <v>924</v>
      </c>
      <c r="F1204" s="9">
        <v>16</v>
      </c>
      <c r="G1204" s="9">
        <v>48</v>
      </c>
      <c r="H1204" s="9" t="s">
        <v>868</v>
      </c>
      <c r="I1204" s="9">
        <v>24</v>
      </c>
      <c r="J1204" s="9">
        <v>180</v>
      </c>
      <c r="K1204" s="9" t="s">
        <v>873</v>
      </c>
      <c r="L1204" s="27">
        <v>0.22359500000000002</v>
      </c>
      <c r="M1204" s="28" t="s">
        <v>3203</v>
      </c>
      <c r="N1204" s="17">
        <v>11.627700000000001</v>
      </c>
      <c r="O1204" s="1"/>
      <c r="P1204" s="38">
        <f t="shared" si="109"/>
        <v>0</v>
      </c>
      <c r="S1204" s="24" t="str">
        <f t="shared" si="112"/>
        <v>-</v>
      </c>
      <c r="T1204" s="24" t="str">
        <f t="shared" si="110"/>
        <v>-</v>
      </c>
      <c r="U1204" s="25" t="str">
        <f t="shared" si="113"/>
        <v>-</v>
      </c>
      <c r="V1204" s="26" t="str">
        <f t="shared" si="114"/>
        <v>-</v>
      </c>
      <c r="X1204" s="26" t="str">
        <f t="shared" si="111"/>
        <v>-</v>
      </c>
    </row>
    <row r="1205" spans="1:24" x14ac:dyDescent="0.3">
      <c r="A1205" s="37">
        <v>87614211107</v>
      </c>
      <c r="B1205" s="8" t="s">
        <v>2934</v>
      </c>
      <c r="C1205" s="10" t="s">
        <v>2540</v>
      </c>
      <c r="D1205" s="11" t="s">
        <v>883</v>
      </c>
      <c r="E1205" s="11" t="s">
        <v>928</v>
      </c>
      <c r="F1205" s="9">
        <v>30</v>
      </c>
      <c r="G1205" s="9">
        <v>212</v>
      </c>
      <c r="H1205" s="9" t="s">
        <v>868</v>
      </c>
      <c r="I1205" s="9">
        <v>36</v>
      </c>
      <c r="J1205" s="9">
        <v>90</v>
      </c>
      <c r="K1205" s="9" t="s">
        <v>869</v>
      </c>
      <c r="L1205" s="27">
        <v>0</v>
      </c>
      <c r="M1205" s="28" t="s">
        <v>3203</v>
      </c>
      <c r="N1205" s="17">
        <v>18.288710999999999</v>
      </c>
      <c r="O1205" s="1"/>
      <c r="P1205" s="38">
        <f t="shared" si="109"/>
        <v>0</v>
      </c>
      <c r="S1205" s="24" t="str">
        <f t="shared" si="112"/>
        <v>-</v>
      </c>
      <c r="T1205" s="24" t="str">
        <f t="shared" si="110"/>
        <v>-</v>
      </c>
      <c r="U1205" s="25" t="str">
        <f t="shared" si="113"/>
        <v>-</v>
      </c>
      <c r="V1205" s="26" t="str">
        <f t="shared" si="114"/>
        <v>-</v>
      </c>
      <c r="X1205" s="26" t="str">
        <f t="shared" si="111"/>
        <v>-</v>
      </c>
    </row>
    <row r="1206" spans="1:24" x14ac:dyDescent="0.3">
      <c r="A1206" s="37">
        <v>87614211114</v>
      </c>
      <c r="B1206" s="8" t="s">
        <v>3190</v>
      </c>
      <c r="C1206" s="10" t="s">
        <v>3191</v>
      </c>
      <c r="D1206" s="11" t="s">
        <v>893</v>
      </c>
      <c r="E1206" s="11" t="s">
        <v>2857</v>
      </c>
      <c r="F1206" s="9">
        <v>12</v>
      </c>
      <c r="G1206" s="9">
        <v>24</v>
      </c>
      <c r="H1206" s="9" t="s">
        <v>868</v>
      </c>
      <c r="I1206" s="9">
        <v>24</v>
      </c>
      <c r="J1206" s="9">
        <v>180</v>
      </c>
      <c r="K1206" s="9" t="s">
        <v>873</v>
      </c>
      <c r="L1206" s="27">
        <v>0.35525499999999999</v>
      </c>
      <c r="M1206" s="28" t="s">
        <v>3203</v>
      </c>
      <c r="N1206" s="17">
        <v>20.763749999999998</v>
      </c>
      <c r="O1206" s="1"/>
      <c r="P1206" s="38">
        <f t="shared" si="109"/>
        <v>0</v>
      </c>
      <c r="S1206" s="24" t="str">
        <f t="shared" si="112"/>
        <v>-</v>
      </c>
      <c r="T1206" s="24" t="str">
        <f t="shared" si="110"/>
        <v>-</v>
      </c>
      <c r="U1206" s="25" t="str">
        <f t="shared" si="113"/>
        <v>-</v>
      </c>
      <c r="V1206" s="26" t="str">
        <f t="shared" si="114"/>
        <v>-</v>
      </c>
      <c r="X1206" s="26" t="str">
        <f t="shared" si="111"/>
        <v>-</v>
      </c>
    </row>
    <row r="1207" spans="1:24" x14ac:dyDescent="0.3">
      <c r="A1207" s="37">
        <v>87614021188</v>
      </c>
      <c r="B1207" s="8" t="s">
        <v>1469</v>
      </c>
      <c r="C1207" s="10" t="s">
        <v>2240</v>
      </c>
      <c r="D1207" s="11" t="s">
        <v>893</v>
      </c>
      <c r="E1207" s="11" t="s">
        <v>987</v>
      </c>
      <c r="F1207" s="9">
        <v>30</v>
      </c>
      <c r="G1207" s="9">
        <v>90</v>
      </c>
      <c r="H1207" s="9" t="s">
        <v>868</v>
      </c>
      <c r="I1207" s="9">
        <v>24</v>
      </c>
      <c r="J1207" s="9">
        <v>60</v>
      </c>
      <c r="K1207" s="9" t="s">
        <v>873</v>
      </c>
      <c r="L1207" s="27">
        <v>7.4910000000000004E-2</v>
      </c>
      <c r="M1207" s="28" t="s">
        <v>3203</v>
      </c>
      <c r="N1207" s="17">
        <v>24.451392000000002</v>
      </c>
      <c r="O1207" s="1"/>
      <c r="P1207" s="38">
        <f t="shared" si="109"/>
        <v>0</v>
      </c>
      <c r="S1207" s="24" t="str">
        <f t="shared" si="112"/>
        <v>-</v>
      </c>
      <c r="T1207" s="24" t="str">
        <f t="shared" si="110"/>
        <v>-</v>
      </c>
      <c r="U1207" s="25" t="str">
        <f t="shared" si="113"/>
        <v>-</v>
      </c>
      <c r="V1207" s="26" t="str">
        <f t="shared" si="114"/>
        <v>-</v>
      </c>
      <c r="X1207" s="26" t="str">
        <f t="shared" si="111"/>
        <v>-</v>
      </c>
    </row>
    <row r="1208" spans="1:24" x14ac:dyDescent="0.3">
      <c r="A1208" s="37">
        <v>87614021485</v>
      </c>
      <c r="B1208" s="8" t="s">
        <v>672</v>
      </c>
      <c r="C1208" s="10" t="s">
        <v>673</v>
      </c>
      <c r="D1208" s="11" t="s">
        <v>881</v>
      </c>
      <c r="E1208" s="11" t="s">
        <v>936</v>
      </c>
      <c r="F1208" s="9">
        <v>30</v>
      </c>
      <c r="G1208" s="9">
        <v>90</v>
      </c>
      <c r="H1208" s="9" t="s">
        <v>868</v>
      </c>
      <c r="I1208" s="9">
        <v>36</v>
      </c>
      <c r="J1208" s="9">
        <v>90</v>
      </c>
      <c r="K1208" s="9" t="s">
        <v>873</v>
      </c>
      <c r="L1208" s="27">
        <v>6.4695000000000003E-2</v>
      </c>
      <c r="M1208" s="28" t="s">
        <v>3203</v>
      </c>
      <c r="N1208" s="17">
        <v>24.700557</v>
      </c>
      <c r="O1208" s="1"/>
      <c r="P1208" s="38">
        <f t="shared" si="109"/>
        <v>0</v>
      </c>
      <c r="S1208" s="24" t="str">
        <f t="shared" si="112"/>
        <v>-</v>
      </c>
      <c r="T1208" s="24" t="str">
        <f t="shared" si="110"/>
        <v>-</v>
      </c>
      <c r="U1208" s="25" t="str">
        <f t="shared" si="113"/>
        <v>-</v>
      </c>
      <c r="V1208" s="26" t="str">
        <f t="shared" si="114"/>
        <v>-</v>
      </c>
      <c r="X1208" s="26" t="str">
        <f t="shared" si="111"/>
        <v>-</v>
      </c>
    </row>
    <row r="1209" spans="1:24" x14ac:dyDescent="0.3">
      <c r="A1209" s="37">
        <v>87614021522</v>
      </c>
      <c r="B1209" s="8" t="s">
        <v>676</v>
      </c>
      <c r="C1209" s="10" t="s">
        <v>2784</v>
      </c>
      <c r="D1209" s="11" t="s">
        <v>866</v>
      </c>
      <c r="E1209" s="11" t="s">
        <v>1000</v>
      </c>
      <c r="F1209" s="9">
        <v>12</v>
      </c>
      <c r="G1209" s="9">
        <v>24</v>
      </c>
      <c r="H1209" s="9" t="s">
        <v>868</v>
      </c>
      <c r="I1209" s="9">
        <v>24</v>
      </c>
      <c r="J1209" s="9">
        <v>90</v>
      </c>
      <c r="K1209" s="9" t="s">
        <v>877</v>
      </c>
      <c r="L1209" s="27">
        <v>0.26785999999999999</v>
      </c>
      <c r="M1209" s="28" t="s">
        <v>3203</v>
      </c>
      <c r="N1209" s="17">
        <v>16.312002</v>
      </c>
      <c r="O1209" s="1"/>
      <c r="P1209" s="38">
        <f t="shared" si="109"/>
        <v>0</v>
      </c>
      <c r="S1209" s="24" t="str">
        <f t="shared" si="112"/>
        <v>-</v>
      </c>
      <c r="T1209" s="24" t="str">
        <f t="shared" si="110"/>
        <v>-</v>
      </c>
      <c r="U1209" s="25" t="str">
        <f t="shared" si="113"/>
        <v>-</v>
      </c>
      <c r="V1209" s="26" t="str">
        <f t="shared" si="114"/>
        <v>-</v>
      </c>
      <c r="X1209" s="26" t="str">
        <f t="shared" si="111"/>
        <v>-</v>
      </c>
    </row>
    <row r="1210" spans="1:24" x14ac:dyDescent="0.3">
      <c r="A1210" s="37">
        <v>87614021553</v>
      </c>
      <c r="B1210" s="8" t="s">
        <v>1792</v>
      </c>
      <c r="C1210" s="10" t="s">
        <v>2528</v>
      </c>
      <c r="D1210" s="11" t="s">
        <v>883</v>
      </c>
      <c r="E1210" s="11" t="s">
        <v>926</v>
      </c>
      <c r="F1210" s="9">
        <v>12</v>
      </c>
      <c r="G1210" s="9">
        <v>24</v>
      </c>
      <c r="H1210" s="9" t="s">
        <v>868</v>
      </c>
      <c r="I1210" s="9">
        <v>24</v>
      </c>
      <c r="J1210" s="9">
        <v>120</v>
      </c>
      <c r="K1210" s="9" t="s">
        <v>869</v>
      </c>
      <c r="L1210" s="27">
        <v>0.373415</v>
      </c>
      <c r="M1210" s="28" t="s">
        <v>3203</v>
      </c>
      <c r="N1210" s="17">
        <v>22.674015000000001</v>
      </c>
      <c r="O1210" s="1"/>
      <c r="P1210" s="38">
        <f t="shared" si="109"/>
        <v>0</v>
      </c>
      <c r="S1210" s="24" t="str">
        <f t="shared" si="112"/>
        <v>-</v>
      </c>
      <c r="T1210" s="24" t="str">
        <f t="shared" si="110"/>
        <v>-</v>
      </c>
      <c r="U1210" s="25" t="str">
        <f t="shared" si="113"/>
        <v>-</v>
      </c>
      <c r="V1210" s="26" t="str">
        <f t="shared" si="114"/>
        <v>-</v>
      </c>
      <c r="X1210" s="26" t="str">
        <f t="shared" si="111"/>
        <v>-</v>
      </c>
    </row>
    <row r="1211" spans="1:24" x14ac:dyDescent="0.3">
      <c r="A1211" s="37">
        <v>87614021669</v>
      </c>
      <c r="B1211" s="8" t="s">
        <v>1793</v>
      </c>
      <c r="C1211" s="10" t="s">
        <v>2529</v>
      </c>
      <c r="D1211" s="11" t="s">
        <v>874</v>
      </c>
      <c r="E1211" s="11" t="s">
        <v>1032</v>
      </c>
      <c r="F1211" s="9">
        <v>30</v>
      </c>
      <c r="G1211" s="9">
        <v>90</v>
      </c>
      <c r="H1211" s="9" t="s">
        <v>868</v>
      </c>
      <c r="I1211" s="9">
        <v>24</v>
      </c>
      <c r="J1211" s="9">
        <v>60</v>
      </c>
      <c r="K1211" s="9" t="s">
        <v>869</v>
      </c>
      <c r="L1211" s="27">
        <v>0.132795</v>
      </c>
      <c r="M1211" s="28" t="s">
        <v>3203</v>
      </c>
      <c r="N1211" s="17">
        <v>18.903318000000002</v>
      </c>
      <c r="O1211" s="1"/>
      <c r="P1211" s="38">
        <f t="shared" si="109"/>
        <v>0</v>
      </c>
      <c r="S1211" s="24" t="str">
        <f t="shared" si="112"/>
        <v>-</v>
      </c>
      <c r="T1211" s="24" t="str">
        <f t="shared" si="110"/>
        <v>-</v>
      </c>
      <c r="U1211" s="25" t="str">
        <f t="shared" si="113"/>
        <v>-</v>
      </c>
      <c r="V1211" s="26" t="str">
        <f t="shared" si="114"/>
        <v>-</v>
      </c>
      <c r="X1211" s="26" t="str">
        <f t="shared" si="111"/>
        <v>-</v>
      </c>
    </row>
    <row r="1212" spans="1:24" x14ac:dyDescent="0.3">
      <c r="A1212" s="37">
        <v>87614021980</v>
      </c>
      <c r="B1212" s="8" t="s">
        <v>1796</v>
      </c>
      <c r="C1212" s="10" t="s">
        <v>2532</v>
      </c>
      <c r="D1212" s="11" t="s">
        <v>884</v>
      </c>
      <c r="E1212" s="11" t="s">
        <v>946</v>
      </c>
      <c r="F1212" s="9">
        <v>20</v>
      </c>
      <c r="G1212" s="9">
        <v>60</v>
      </c>
      <c r="H1212" s="9" t="s">
        <v>868</v>
      </c>
      <c r="I1212" s="9">
        <v>24</v>
      </c>
      <c r="J1212" s="9">
        <v>90</v>
      </c>
      <c r="K1212" s="9" t="s">
        <v>869</v>
      </c>
      <c r="L1212" s="27">
        <v>0.164575</v>
      </c>
      <c r="M1212" s="28" t="s">
        <v>3203</v>
      </c>
      <c r="N1212" s="17">
        <v>25.730438999999997</v>
      </c>
      <c r="O1212" s="1"/>
      <c r="P1212" s="38">
        <f t="shared" si="109"/>
        <v>0</v>
      </c>
      <c r="S1212" s="24" t="str">
        <f t="shared" si="112"/>
        <v>-</v>
      </c>
      <c r="T1212" s="24" t="str">
        <f t="shared" si="110"/>
        <v>-</v>
      </c>
      <c r="U1212" s="25" t="str">
        <f t="shared" si="113"/>
        <v>-</v>
      </c>
      <c r="V1212" s="26" t="str">
        <f t="shared" si="114"/>
        <v>-</v>
      </c>
      <c r="X1212" s="26" t="str">
        <f t="shared" si="111"/>
        <v>-</v>
      </c>
    </row>
    <row r="1213" spans="1:24" x14ac:dyDescent="0.3">
      <c r="A1213" s="37">
        <v>87614022055</v>
      </c>
      <c r="B1213" s="8" t="s">
        <v>1472</v>
      </c>
      <c r="C1213" s="10" t="s">
        <v>2243</v>
      </c>
      <c r="D1213" s="11" t="s">
        <v>883</v>
      </c>
      <c r="E1213" s="11" t="s">
        <v>1050</v>
      </c>
      <c r="F1213" s="9">
        <v>20</v>
      </c>
      <c r="G1213" s="9">
        <v>60</v>
      </c>
      <c r="H1213" s="9" t="s">
        <v>892</v>
      </c>
      <c r="I1213" s="9">
        <v>24</v>
      </c>
      <c r="J1213" s="9">
        <v>120</v>
      </c>
      <c r="K1213" s="9" t="s">
        <v>873</v>
      </c>
      <c r="L1213" s="27">
        <v>0.116905</v>
      </c>
      <c r="M1213" s="28" t="s">
        <v>3203</v>
      </c>
      <c r="N1213" s="17">
        <v>29.717078999999998</v>
      </c>
      <c r="O1213" s="1"/>
      <c r="P1213" s="38">
        <f t="shared" si="109"/>
        <v>0</v>
      </c>
      <c r="S1213" s="24" t="str">
        <f t="shared" si="112"/>
        <v>-</v>
      </c>
      <c r="T1213" s="24" t="str">
        <f t="shared" si="110"/>
        <v>-</v>
      </c>
      <c r="U1213" s="25" t="str">
        <f t="shared" si="113"/>
        <v>-</v>
      </c>
      <c r="V1213" s="26" t="str">
        <f t="shared" si="114"/>
        <v>-</v>
      </c>
      <c r="X1213" s="26" t="str">
        <f t="shared" si="111"/>
        <v>-</v>
      </c>
    </row>
    <row r="1214" spans="1:24" x14ac:dyDescent="0.3">
      <c r="A1214" s="37">
        <v>87614022093</v>
      </c>
      <c r="B1214" s="8" t="s">
        <v>1798</v>
      </c>
      <c r="C1214" s="10" t="s">
        <v>2534</v>
      </c>
      <c r="D1214" s="11" t="s">
        <v>866</v>
      </c>
      <c r="E1214" s="11" t="s">
        <v>974</v>
      </c>
      <c r="F1214" s="9">
        <v>16</v>
      </c>
      <c r="G1214" s="9">
        <v>48</v>
      </c>
      <c r="H1214" s="9" t="s">
        <v>868</v>
      </c>
      <c r="I1214" s="9">
        <v>25</v>
      </c>
      <c r="J1214" s="9">
        <v>120</v>
      </c>
      <c r="K1214" s="9" t="s">
        <v>869</v>
      </c>
      <c r="L1214" s="27">
        <v>0.19181500000000001</v>
      </c>
      <c r="M1214" s="28" t="s">
        <v>3203</v>
      </c>
      <c r="N1214" s="17">
        <v>51.477489000000006</v>
      </c>
      <c r="O1214" s="1"/>
      <c r="P1214" s="38">
        <f t="shared" si="109"/>
        <v>0</v>
      </c>
      <c r="S1214" s="24" t="str">
        <f t="shared" si="112"/>
        <v>-</v>
      </c>
      <c r="T1214" s="24" t="str">
        <f t="shared" si="110"/>
        <v>-</v>
      </c>
      <c r="U1214" s="25" t="str">
        <f t="shared" si="113"/>
        <v>-</v>
      </c>
      <c r="V1214" s="26" t="str">
        <f t="shared" si="114"/>
        <v>-</v>
      </c>
      <c r="X1214" s="26" t="str">
        <f t="shared" si="111"/>
        <v>-</v>
      </c>
    </row>
    <row r="1215" spans="1:24" x14ac:dyDescent="0.3">
      <c r="A1215" s="37">
        <v>87614022123</v>
      </c>
      <c r="B1215" s="8" t="s">
        <v>683</v>
      </c>
      <c r="C1215" s="10" t="s">
        <v>2786</v>
      </c>
      <c r="D1215" s="11" t="s">
        <v>870</v>
      </c>
      <c r="E1215" s="11" t="s">
        <v>871</v>
      </c>
      <c r="F1215" s="9">
        <v>30</v>
      </c>
      <c r="G1215" s="9">
        <v>90</v>
      </c>
      <c r="H1215" s="9" t="s">
        <v>892</v>
      </c>
      <c r="I1215" s="9">
        <v>24</v>
      </c>
      <c r="J1215" s="9">
        <v>60</v>
      </c>
      <c r="K1215" s="9" t="s">
        <v>873</v>
      </c>
      <c r="L1215" s="27">
        <v>4.9939999999999998E-2</v>
      </c>
      <c r="M1215" s="28" t="s">
        <v>3203</v>
      </c>
      <c r="N1215" s="17">
        <v>8.1560009999999998</v>
      </c>
      <c r="O1215" s="1"/>
      <c r="P1215" s="38">
        <f t="shared" si="109"/>
        <v>0</v>
      </c>
      <c r="S1215" s="24" t="str">
        <f t="shared" si="112"/>
        <v>-</v>
      </c>
      <c r="T1215" s="24" t="str">
        <f t="shared" si="110"/>
        <v>-</v>
      </c>
      <c r="U1215" s="25" t="str">
        <f t="shared" si="113"/>
        <v>-</v>
      </c>
      <c r="V1215" s="26" t="str">
        <f t="shared" si="114"/>
        <v>-</v>
      </c>
      <c r="X1215" s="26" t="str">
        <f t="shared" si="111"/>
        <v>-</v>
      </c>
    </row>
    <row r="1216" spans="1:24" x14ac:dyDescent="0.3">
      <c r="A1216" s="37">
        <v>87614022413</v>
      </c>
      <c r="B1216" s="8" t="s">
        <v>1800</v>
      </c>
      <c r="C1216" s="10" t="s">
        <v>2536</v>
      </c>
      <c r="D1216" s="11" t="s">
        <v>883</v>
      </c>
      <c r="E1216" s="11" t="s">
        <v>928</v>
      </c>
      <c r="F1216" s="9">
        <v>15</v>
      </c>
      <c r="G1216" s="9">
        <v>30</v>
      </c>
      <c r="H1216" s="9" t="s">
        <v>868</v>
      </c>
      <c r="I1216" s="9">
        <v>36</v>
      </c>
      <c r="J1216" s="9">
        <v>120</v>
      </c>
      <c r="K1216" s="9" t="s">
        <v>877</v>
      </c>
      <c r="L1216" s="27">
        <v>0.25651000000000002</v>
      </c>
      <c r="M1216" s="28" t="s">
        <v>3203</v>
      </c>
      <c r="N1216" s="17">
        <v>22.657404</v>
      </c>
      <c r="O1216" s="1"/>
      <c r="P1216" s="38">
        <f t="shared" si="109"/>
        <v>0</v>
      </c>
      <c r="S1216" s="24" t="str">
        <f t="shared" si="112"/>
        <v>-</v>
      </c>
      <c r="T1216" s="24" t="str">
        <f t="shared" si="110"/>
        <v>-</v>
      </c>
      <c r="U1216" s="25" t="str">
        <f t="shared" si="113"/>
        <v>-</v>
      </c>
      <c r="V1216" s="26" t="str">
        <f t="shared" si="114"/>
        <v>-</v>
      </c>
      <c r="X1216" s="26" t="str">
        <f t="shared" si="111"/>
        <v>-</v>
      </c>
    </row>
    <row r="1217" spans="1:24" x14ac:dyDescent="0.3">
      <c r="A1217" s="37">
        <v>87614022444</v>
      </c>
      <c r="B1217" s="8" t="s">
        <v>691</v>
      </c>
      <c r="C1217" s="10" t="s">
        <v>692</v>
      </c>
      <c r="D1217" s="11" t="s">
        <v>866</v>
      </c>
      <c r="E1217" s="11" t="s">
        <v>963</v>
      </c>
      <c r="F1217" s="9">
        <v>30</v>
      </c>
      <c r="G1217" s="9">
        <v>90</v>
      </c>
      <c r="H1217" s="9" t="s">
        <v>868</v>
      </c>
      <c r="I1217" s="9">
        <v>36</v>
      </c>
      <c r="J1217" s="9">
        <v>60</v>
      </c>
      <c r="K1217" s="9" t="s">
        <v>889</v>
      </c>
      <c r="L1217" s="27">
        <v>8.058499999999999E-2</v>
      </c>
      <c r="M1217" s="28" t="s">
        <v>3203</v>
      </c>
      <c r="N1217" s="17">
        <v>14.135961</v>
      </c>
      <c r="O1217" s="1"/>
      <c r="P1217" s="38">
        <f t="shared" si="109"/>
        <v>0</v>
      </c>
      <c r="S1217" s="24" t="str">
        <f t="shared" si="112"/>
        <v>-</v>
      </c>
      <c r="T1217" s="24" t="str">
        <f t="shared" si="110"/>
        <v>-</v>
      </c>
      <c r="U1217" s="25" t="str">
        <f t="shared" si="113"/>
        <v>-</v>
      </c>
      <c r="V1217" s="26" t="str">
        <f t="shared" si="114"/>
        <v>-</v>
      </c>
      <c r="X1217" s="26" t="str">
        <f t="shared" si="111"/>
        <v>-</v>
      </c>
    </row>
    <row r="1218" spans="1:24" x14ac:dyDescent="0.3">
      <c r="A1218" s="37">
        <v>87614022468</v>
      </c>
      <c r="B1218" s="8" t="s">
        <v>693</v>
      </c>
      <c r="C1218" s="10" t="s">
        <v>694</v>
      </c>
      <c r="D1218" s="11" t="s">
        <v>876</v>
      </c>
      <c r="E1218" s="11" t="s">
        <v>916</v>
      </c>
      <c r="F1218" s="9">
        <v>30</v>
      </c>
      <c r="G1218" s="9">
        <v>90</v>
      </c>
      <c r="H1218" s="9" t="s">
        <v>868</v>
      </c>
      <c r="I1218" s="9">
        <v>24</v>
      </c>
      <c r="J1218" s="9">
        <v>60</v>
      </c>
      <c r="K1218" s="9" t="s">
        <v>889</v>
      </c>
      <c r="L1218" s="27">
        <v>8.5124999999999992E-2</v>
      </c>
      <c r="M1218" s="28" t="s">
        <v>3203</v>
      </c>
      <c r="N1218" s="17">
        <v>52.058874000000003</v>
      </c>
      <c r="O1218" s="1"/>
      <c r="P1218" s="38">
        <f t="shared" si="109"/>
        <v>0</v>
      </c>
      <c r="S1218" s="24" t="str">
        <f t="shared" si="112"/>
        <v>-</v>
      </c>
      <c r="T1218" s="24" t="str">
        <f t="shared" si="110"/>
        <v>-</v>
      </c>
      <c r="U1218" s="25" t="str">
        <f t="shared" si="113"/>
        <v>-</v>
      </c>
      <c r="V1218" s="26" t="str">
        <f t="shared" si="114"/>
        <v>-</v>
      </c>
      <c r="X1218" s="26" t="str">
        <f t="shared" si="111"/>
        <v>-</v>
      </c>
    </row>
    <row r="1219" spans="1:24" x14ac:dyDescent="0.3">
      <c r="A1219" s="37">
        <v>87614022475</v>
      </c>
      <c r="B1219" s="8" t="s">
        <v>1802</v>
      </c>
      <c r="C1219" s="10" t="s">
        <v>2538</v>
      </c>
      <c r="D1219" s="11" t="s">
        <v>884</v>
      </c>
      <c r="E1219" s="11" t="s">
        <v>940</v>
      </c>
      <c r="F1219" s="9">
        <v>30</v>
      </c>
      <c r="G1219" s="9">
        <v>90</v>
      </c>
      <c r="H1219" s="9" t="s">
        <v>892</v>
      </c>
      <c r="I1219" s="9">
        <v>24</v>
      </c>
      <c r="J1219" s="9">
        <v>30</v>
      </c>
      <c r="K1219" s="9" t="s">
        <v>873</v>
      </c>
      <c r="L1219" s="27">
        <v>5.4480000000000001E-2</v>
      </c>
      <c r="M1219" s="28" t="s">
        <v>3203</v>
      </c>
      <c r="N1219" s="17">
        <v>20.398308</v>
      </c>
      <c r="O1219" s="1"/>
      <c r="P1219" s="38">
        <f t="shared" ref="P1219:P1282" si="115">O1219*N1219</f>
        <v>0</v>
      </c>
      <c r="S1219" s="24" t="str">
        <f t="shared" si="112"/>
        <v>-</v>
      </c>
      <c r="T1219" s="24" t="str">
        <f t="shared" ref="T1219:T1282" si="116">IF(O1219&gt;0,N1219+L1219*O1219/$U$2*$V$2/O1219,"-")</f>
        <v>-</v>
      </c>
      <c r="U1219" s="25" t="str">
        <f t="shared" si="113"/>
        <v>-</v>
      </c>
      <c r="V1219" s="26" t="str">
        <f t="shared" si="114"/>
        <v>-</v>
      </c>
      <c r="X1219" s="26" t="str">
        <f t="shared" ref="X1219:X1282" si="117">IFERROR(IF(V1219+P1219=0, "-", IF(V1219&gt;0, V1219+P1219, "-")), "-")</f>
        <v>-</v>
      </c>
    </row>
    <row r="1220" spans="1:24" x14ac:dyDescent="0.3">
      <c r="A1220" s="37">
        <v>87614022499</v>
      </c>
      <c r="B1220" s="8" t="s">
        <v>1803</v>
      </c>
      <c r="C1220" s="10" t="s">
        <v>2539</v>
      </c>
      <c r="D1220" s="11" t="s">
        <v>872</v>
      </c>
      <c r="E1220" s="11" t="s">
        <v>961</v>
      </c>
      <c r="F1220" s="9">
        <v>30</v>
      </c>
      <c r="G1220" s="9">
        <v>90</v>
      </c>
      <c r="H1220" s="9" t="s">
        <v>868</v>
      </c>
      <c r="I1220" s="9">
        <v>24</v>
      </c>
      <c r="J1220" s="9">
        <v>60</v>
      </c>
      <c r="K1220" s="9" t="s">
        <v>873</v>
      </c>
      <c r="L1220" s="27">
        <v>9.4205000000000011E-2</v>
      </c>
      <c r="M1220" s="28" t="s">
        <v>3203</v>
      </c>
      <c r="N1220" s="17">
        <v>30.514406999999999</v>
      </c>
      <c r="O1220" s="1"/>
      <c r="P1220" s="38">
        <f t="shared" si="115"/>
        <v>0</v>
      </c>
      <c r="S1220" s="24" t="str">
        <f t="shared" ref="S1220:S1283" si="118">IFERROR(IF(S$2*L1220=0, "-", $S$2*L1220), "-")</f>
        <v>-</v>
      </c>
      <c r="T1220" s="24" t="str">
        <f t="shared" si="116"/>
        <v>-</v>
      </c>
      <c r="U1220" s="25" t="str">
        <f t="shared" ref="U1220:U1283" si="119">IF(O1220&gt;0,O1220*L1220, "-")</f>
        <v>-</v>
      </c>
      <c r="V1220" s="26" t="str">
        <f t="shared" ref="V1220:V1283" si="120">IFERROR(IF($S$2&gt;0, $S$2*U1220, "-"), "-")</f>
        <v>-</v>
      </c>
      <c r="X1220" s="26" t="str">
        <f t="shared" si="117"/>
        <v>-</v>
      </c>
    </row>
    <row r="1221" spans="1:24" x14ac:dyDescent="0.3">
      <c r="A1221" s="37">
        <v>87614022512</v>
      </c>
      <c r="B1221" s="8" t="s">
        <v>1473</v>
      </c>
      <c r="C1221" s="10" t="s">
        <v>2244</v>
      </c>
      <c r="D1221" s="11" t="s">
        <v>874</v>
      </c>
      <c r="E1221" s="11" t="s">
        <v>919</v>
      </c>
      <c r="F1221" s="9">
        <v>30</v>
      </c>
      <c r="G1221" s="9">
        <v>90</v>
      </c>
      <c r="H1221" s="9" t="s">
        <v>868</v>
      </c>
      <c r="I1221" s="9">
        <v>24</v>
      </c>
      <c r="J1221" s="9">
        <v>60</v>
      </c>
      <c r="K1221" s="9" t="s">
        <v>873</v>
      </c>
      <c r="L1221" s="27">
        <v>5.2209999999999999E-2</v>
      </c>
      <c r="M1221" s="28" t="s">
        <v>3203</v>
      </c>
      <c r="N1221" s="17">
        <v>10.730706</v>
      </c>
      <c r="O1221" s="1"/>
      <c r="P1221" s="38">
        <f t="shared" si="115"/>
        <v>0</v>
      </c>
      <c r="S1221" s="24" t="str">
        <f t="shared" si="118"/>
        <v>-</v>
      </c>
      <c r="T1221" s="24" t="str">
        <f t="shared" si="116"/>
        <v>-</v>
      </c>
      <c r="U1221" s="25" t="str">
        <f t="shared" si="119"/>
        <v>-</v>
      </c>
      <c r="V1221" s="26" t="str">
        <f t="shared" si="120"/>
        <v>-</v>
      </c>
      <c r="X1221" s="26" t="str">
        <f t="shared" si="117"/>
        <v>-</v>
      </c>
    </row>
    <row r="1222" spans="1:24" x14ac:dyDescent="0.3">
      <c r="A1222" s="37">
        <v>87614022758</v>
      </c>
      <c r="B1222" s="8" t="s">
        <v>1804</v>
      </c>
      <c r="C1222" s="10" t="s">
        <v>2540</v>
      </c>
      <c r="D1222" s="11" t="s">
        <v>883</v>
      </c>
      <c r="E1222" s="11" t="s">
        <v>928</v>
      </c>
      <c r="F1222" s="9">
        <v>30</v>
      </c>
      <c r="G1222" s="9">
        <v>90</v>
      </c>
      <c r="H1222" s="9" t="s">
        <v>868</v>
      </c>
      <c r="I1222" s="9">
        <v>36</v>
      </c>
      <c r="J1222" s="9">
        <v>90</v>
      </c>
      <c r="K1222" s="9" t="s">
        <v>869</v>
      </c>
      <c r="L1222" s="27">
        <v>0.12031</v>
      </c>
      <c r="M1222" s="28" t="s">
        <v>3203</v>
      </c>
      <c r="N1222" s="17">
        <v>17.773769999999999</v>
      </c>
      <c r="O1222" s="1"/>
      <c r="P1222" s="38">
        <f t="shared" si="115"/>
        <v>0</v>
      </c>
      <c r="S1222" s="24" t="str">
        <f t="shared" si="118"/>
        <v>-</v>
      </c>
      <c r="T1222" s="24" t="str">
        <f t="shared" si="116"/>
        <v>-</v>
      </c>
      <c r="U1222" s="25" t="str">
        <f t="shared" si="119"/>
        <v>-</v>
      </c>
      <c r="V1222" s="26" t="str">
        <f t="shared" si="120"/>
        <v>-</v>
      </c>
      <c r="X1222" s="26" t="str">
        <f t="shared" si="117"/>
        <v>-</v>
      </c>
    </row>
    <row r="1223" spans="1:24" x14ac:dyDescent="0.3">
      <c r="A1223" s="37">
        <v>87614022932</v>
      </c>
      <c r="B1223" s="8" t="s">
        <v>708</v>
      </c>
      <c r="C1223" s="10" t="s">
        <v>709</v>
      </c>
      <c r="D1223" s="11" t="s">
        <v>883</v>
      </c>
      <c r="E1223" s="11" t="s">
        <v>926</v>
      </c>
      <c r="F1223" s="9">
        <v>15</v>
      </c>
      <c r="G1223" s="9">
        <v>30</v>
      </c>
      <c r="H1223" s="9" t="s">
        <v>868</v>
      </c>
      <c r="I1223" s="9">
        <v>24</v>
      </c>
      <c r="J1223" s="9">
        <v>90</v>
      </c>
      <c r="K1223" s="9" t="s">
        <v>873</v>
      </c>
      <c r="L1223" s="27">
        <v>0.20316499999999998</v>
      </c>
      <c r="M1223" s="28" t="s">
        <v>3203</v>
      </c>
      <c r="N1223" s="17">
        <v>20.680695</v>
      </c>
      <c r="O1223" s="1"/>
      <c r="P1223" s="38">
        <f t="shared" si="115"/>
        <v>0</v>
      </c>
      <c r="S1223" s="24" t="str">
        <f t="shared" si="118"/>
        <v>-</v>
      </c>
      <c r="T1223" s="24" t="str">
        <f t="shared" si="116"/>
        <v>-</v>
      </c>
      <c r="U1223" s="25" t="str">
        <f t="shared" si="119"/>
        <v>-</v>
      </c>
      <c r="V1223" s="26" t="str">
        <f t="shared" si="120"/>
        <v>-</v>
      </c>
      <c r="X1223" s="26" t="str">
        <f t="shared" si="117"/>
        <v>-</v>
      </c>
    </row>
    <row r="1224" spans="1:24" x14ac:dyDescent="0.3">
      <c r="A1224" s="37">
        <v>87614022987</v>
      </c>
      <c r="B1224" s="8" t="s">
        <v>1894</v>
      </c>
      <c r="C1224" s="10" t="s">
        <v>2618</v>
      </c>
      <c r="D1224" s="11" t="s">
        <v>866</v>
      </c>
      <c r="E1224" s="11" t="s">
        <v>963</v>
      </c>
      <c r="F1224" s="9">
        <v>30</v>
      </c>
      <c r="G1224" s="9">
        <v>90</v>
      </c>
      <c r="H1224" s="9" t="s">
        <v>868</v>
      </c>
      <c r="I1224" s="9">
        <v>36</v>
      </c>
      <c r="J1224" s="9">
        <v>90</v>
      </c>
      <c r="K1224" s="9" t="s">
        <v>873</v>
      </c>
      <c r="L1224" s="27">
        <v>7.2639999999999996E-2</v>
      </c>
      <c r="M1224" s="28" t="s">
        <v>3203</v>
      </c>
      <c r="N1224" s="17">
        <v>7.4583389999999996</v>
      </c>
      <c r="O1224" s="1"/>
      <c r="P1224" s="38">
        <f t="shared" si="115"/>
        <v>0</v>
      </c>
      <c r="S1224" s="24" t="str">
        <f t="shared" si="118"/>
        <v>-</v>
      </c>
      <c r="T1224" s="24" t="str">
        <f t="shared" si="116"/>
        <v>-</v>
      </c>
      <c r="U1224" s="25" t="str">
        <f t="shared" si="119"/>
        <v>-</v>
      </c>
      <c r="V1224" s="26" t="str">
        <f t="shared" si="120"/>
        <v>-</v>
      </c>
      <c r="X1224" s="26" t="str">
        <f t="shared" si="117"/>
        <v>-</v>
      </c>
    </row>
    <row r="1225" spans="1:24" x14ac:dyDescent="0.3">
      <c r="A1225" s="37">
        <v>87614023021</v>
      </c>
      <c r="B1225" s="8" t="s">
        <v>1807</v>
      </c>
      <c r="C1225" s="10" t="s">
        <v>2543</v>
      </c>
      <c r="D1225" s="11" t="s">
        <v>878</v>
      </c>
      <c r="E1225" s="11" t="s">
        <v>2865</v>
      </c>
      <c r="F1225" s="9">
        <v>48</v>
      </c>
      <c r="G1225" s="9">
        <v>192</v>
      </c>
      <c r="H1225" s="9" t="s">
        <v>868</v>
      </c>
      <c r="I1225" s="9">
        <v>24</v>
      </c>
      <c r="J1225" s="9">
        <v>90</v>
      </c>
      <c r="K1225" s="9" t="s">
        <v>877</v>
      </c>
      <c r="L1225" s="27">
        <v>3.8590000000000006E-2</v>
      </c>
      <c r="M1225" s="28" t="s">
        <v>3203</v>
      </c>
      <c r="N1225" s="17">
        <v>25.630773000000001</v>
      </c>
      <c r="O1225" s="1"/>
      <c r="P1225" s="38">
        <f t="shared" si="115"/>
        <v>0</v>
      </c>
      <c r="S1225" s="24" t="str">
        <f t="shared" si="118"/>
        <v>-</v>
      </c>
      <c r="T1225" s="24" t="str">
        <f t="shared" si="116"/>
        <v>-</v>
      </c>
      <c r="U1225" s="25" t="str">
        <f t="shared" si="119"/>
        <v>-</v>
      </c>
      <c r="V1225" s="26" t="str">
        <f t="shared" si="120"/>
        <v>-</v>
      </c>
      <c r="X1225" s="26" t="str">
        <f t="shared" si="117"/>
        <v>-</v>
      </c>
    </row>
    <row r="1226" spans="1:24" x14ac:dyDescent="0.3">
      <c r="A1226" s="37">
        <v>87614023199</v>
      </c>
      <c r="B1226" s="8" t="s">
        <v>1808</v>
      </c>
      <c r="C1226" s="10" t="s">
        <v>2544</v>
      </c>
      <c r="D1226" s="11" t="s">
        <v>874</v>
      </c>
      <c r="E1226" s="11" t="s">
        <v>919</v>
      </c>
      <c r="F1226" s="9">
        <v>30</v>
      </c>
      <c r="G1226" s="9">
        <v>90</v>
      </c>
      <c r="H1226" s="9" t="s">
        <v>868</v>
      </c>
      <c r="I1226" s="9">
        <v>24</v>
      </c>
      <c r="J1226" s="9">
        <v>30</v>
      </c>
      <c r="K1226" s="9" t="s">
        <v>873</v>
      </c>
      <c r="L1226" s="27">
        <v>4.4264999999999999E-2</v>
      </c>
      <c r="M1226" s="28" t="s">
        <v>3203</v>
      </c>
      <c r="N1226" s="17">
        <v>21.262080000000001</v>
      </c>
      <c r="O1226" s="1"/>
      <c r="P1226" s="38">
        <f t="shared" si="115"/>
        <v>0</v>
      </c>
      <c r="S1226" s="24" t="str">
        <f t="shared" si="118"/>
        <v>-</v>
      </c>
      <c r="T1226" s="24" t="str">
        <f t="shared" si="116"/>
        <v>-</v>
      </c>
      <c r="U1226" s="25" t="str">
        <f t="shared" si="119"/>
        <v>-</v>
      </c>
      <c r="V1226" s="26" t="str">
        <f t="shared" si="120"/>
        <v>-</v>
      </c>
      <c r="X1226" s="26" t="str">
        <f t="shared" si="117"/>
        <v>-</v>
      </c>
    </row>
    <row r="1227" spans="1:24" x14ac:dyDescent="0.3">
      <c r="A1227" s="37">
        <v>87614023229</v>
      </c>
      <c r="B1227" s="8" t="s">
        <v>1923</v>
      </c>
      <c r="C1227" s="10" t="s">
        <v>2646</v>
      </c>
      <c r="D1227" s="11" t="s">
        <v>874</v>
      </c>
      <c r="E1227" s="11" t="s">
        <v>914</v>
      </c>
      <c r="F1227" s="9">
        <v>9</v>
      </c>
      <c r="G1227" s="9">
        <v>27</v>
      </c>
      <c r="H1227" s="9" t="s">
        <v>868</v>
      </c>
      <c r="I1227" s="9">
        <v>24</v>
      </c>
      <c r="J1227" s="9">
        <v>1</v>
      </c>
      <c r="K1227" s="9" t="s">
        <v>880</v>
      </c>
      <c r="L1227" s="27">
        <v>0.41087000000000001</v>
      </c>
      <c r="M1227" s="28" t="s">
        <v>3203</v>
      </c>
      <c r="N1227" s="17">
        <v>38.421242999999997</v>
      </c>
      <c r="O1227" s="1"/>
      <c r="P1227" s="38">
        <f t="shared" si="115"/>
        <v>0</v>
      </c>
      <c r="S1227" s="24" t="str">
        <f t="shared" si="118"/>
        <v>-</v>
      </c>
      <c r="T1227" s="24" t="str">
        <f t="shared" si="116"/>
        <v>-</v>
      </c>
      <c r="U1227" s="25" t="str">
        <f t="shared" si="119"/>
        <v>-</v>
      </c>
      <c r="V1227" s="26" t="str">
        <f t="shared" si="120"/>
        <v>-</v>
      </c>
      <c r="X1227" s="26" t="str">
        <f t="shared" si="117"/>
        <v>-</v>
      </c>
    </row>
    <row r="1228" spans="1:24" x14ac:dyDescent="0.3">
      <c r="A1228" s="37">
        <v>87614023328</v>
      </c>
      <c r="B1228" s="8" t="s">
        <v>1476</v>
      </c>
      <c r="C1228" s="10" t="s">
        <v>2246</v>
      </c>
      <c r="D1228" s="11" t="s">
        <v>898</v>
      </c>
      <c r="E1228" s="11" t="s">
        <v>979</v>
      </c>
      <c r="F1228" s="9">
        <v>30</v>
      </c>
      <c r="G1228" s="9">
        <v>90</v>
      </c>
      <c r="H1228" s="9" t="s">
        <v>868</v>
      </c>
      <c r="I1228" s="9">
        <v>24</v>
      </c>
      <c r="J1228" s="9">
        <v>60</v>
      </c>
      <c r="K1228" s="9" t="s">
        <v>873</v>
      </c>
      <c r="L1228" s="27">
        <v>7.6045000000000001E-2</v>
      </c>
      <c r="M1228" s="28" t="s">
        <v>3203</v>
      </c>
      <c r="N1228" s="17">
        <v>21.029526000000001</v>
      </c>
      <c r="O1228" s="1"/>
      <c r="P1228" s="38">
        <f t="shared" si="115"/>
        <v>0</v>
      </c>
      <c r="S1228" s="24" t="str">
        <f t="shared" si="118"/>
        <v>-</v>
      </c>
      <c r="T1228" s="24" t="str">
        <f t="shared" si="116"/>
        <v>-</v>
      </c>
      <c r="U1228" s="25" t="str">
        <f t="shared" si="119"/>
        <v>-</v>
      </c>
      <c r="V1228" s="26" t="str">
        <f t="shared" si="120"/>
        <v>-</v>
      </c>
      <c r="X1228" s="26" t="str">
        <f t="shared" si="117"/>
        <v>-</v>
      </c>
    </row>
    <row r="1229" spans="1:24" x14ac:dyDescent="0.3">
      <c r="A1229" s="37">
        <v>87614023458</v>
      </c>
      <c r="B1229" s="8" t="s">
        <v>1132</v>
      </c>
      <c r="C1229" s="10" t="s">
        <v>1962</v>
      </c>
      <c r="D1229" s="11" t="s">
        <v>874</v>
      </c>
      <c r="E1229" s="11" t="s">
        <v>1032</v>
      </c>
      <c r="F1229" s="9">
        <v>30</v>
      </c>
      <c r="G1229" s="9">
        <v>90</v>
      </c>
      <c r="H1229" s="9" t="s">
        <v>868</v>
      </c>
      <c r="I1229" s="9">
        <v>24</v>
      </c>
      <c r="J1229" s="9">
        <v>60</v>
      </c>
      <c r="K1229" s="9" t="s">
        <v>869</v>
      </c>
      <c r="L1229" s="27">
        <v>0.10214999999999999</v>
      </c>
      <c r="M1229" s="28" t="s">
        <v>3203</v>
      </c>
      <c r="N1229" s="17">
        <v>30.198797999999996</v>
      </c>
      <c r="O1229" s="1"/>
      <c r="P1229" s="38">
        <f t="shared" si="115"/>
        <v>0</v>
      </c>
      <c r="S1229" s="24" t="str">
        <f t="shared" si="118"/>
        <v>-</v>
      </c>
      <c r="T1229" s="24" t="str">
        <f t="shared" si="116"/>
        <v>-</v>
      </c>
      <c r="U1229" s="25" t="str">
        <f t="shared" si="119"/>
        <v>-</v>
      </c>
      <c r="V1229" s="26" t="str">
        <f t="shared" si="120"/>
        <v>-</v>
      </c>
      <c r="X1229" s="26" t="str">
        <f t="shared" si="117"/>
        <v>-</v>
      </c>
    </row>
    <row r="1230" spans="1:24" x14ac:dyDescent="0.3">
      <c r="A1230" s="37">
        <v>87614023687</v>
      </c>
      <c r="B1230" s="8" t="s">
        <v>718</v>
      </c>
      <c r="C1230" s="10" t="s">
        <v>719</v>
      </c>
      <c r="D1230" s="11" t="s">
        <v>882</v>
      </c>
      <c r="E1230" s="11" t="s">
        <v>1024</v>
      </c>
      <c r="F1230" s="9">
        <v>48</v>
      </c>
      <c r="G1230" s="9">
        <v>192</v>
      </c>
      <c r="H1230" s="9" t="s">
        <v>868</v>
      </c>
      <c r="I1230" s="9">
        <v>36</v>
      </c>
      <c r="J1230" s="9">
        <v>30</v>
      </c>
      <c r="K1230" s="9" t="s">
        <v>873</v>
      </c>
      <c r="L1230" s="27">
        <v>3.7455000000000002E-2</v>
      </c>
      <c r="M1230" s="28" t="s">
        <v>3203</v>
      </c>
      <c r="N1230" s="17">
        <v>11.959919999999999</v>
      </c>
      <c r="O1230" s="1"/>
      <c r="P1230" s="38">
        <f t="shared" si="115"/>
        <v>0</v>
      </c>
      <c r="S1230" s="24" t="str">
        <f t="shared" si="118"/>
        <v>-</v>
      </c>
      <c r="T1230" s="24" t="str">
        <f t="shared" si="116"/>
        <v>-</v>
      </c>
      <c r="U1230" s="25" t="str">
        <f t="shared" si="119"/>
        <v>-</v>
      </c>
      <c r="V1230" s="26" t="str">
        <f t="shared" si="120"/>
        <v>-</v>
      </c>
      <c r="X1230" s="26" t="str">
        <f t="shared" si="117"/>
        <v>-</v>
      </c>
    </row>
    <row r="1231" spans="1:24" x14ac:dyDescent="0.3">
      <c r="A1231" s="37">
        <v>87614023724</v>
      </c>
      <c r="B1231" s="8" t="s">
        <v>1477</v>
      </c>
      <c r="C1231" s="10" t="s">
        <v>2247</v>
      </c>
      <c r="D1231" s="11" t="s">
        <v>890</v>
      </c>
      <c r="E1231" s="11" t="s">
        <v>993</v>
      </c>
      <c r="F1231" s="9">
        <v>20</v>
      </c>
      <c r="G1231" s="9">
        <v>60</v>
      </c>
      <c r="H1231" s="9" t="s">
        <v>868</v>
      </c>
      <c r="I1231" s="9">
        <v>24</v>
      </c>
      <c r="J1231" s="9">
        <v>90</v>
      </c>
      <c r="K1231" s="9" t="s">
        <v>889</v>
      </c>
      <c r="L1231" s="27">
        <v>9.9879999999999997E-2</v>
      </c>
      <c r="M1231" s="28" t="s">
        <v>3203</v>
      </c>
      <c r="N1231" s="17">
        <v>24.866667</v>
      </c>
      <c r="O1231" s="1"/>
      <c r="P1231" s="38">
        <f t="shared" si="115"/>
        <v>0</v>
      </c>
      <c r="S1231" s="24" t="str">
        <f t="shared" si="118"/>
        <v>-</v>
      </c>
      <c r="T1231" s="24" t="str">
        <f t="shared" si="116"/>
        <v>-</v>
      </c>
      <c r="U1231" s="25" t="str">
        <f t="shared" si="119"/>
        <v>-</v>
      </c>
      <c r="V1231" s="26" t="str">
        <f t="shared" si="120"/>
        <v>-</v>
      </c>
      <c r="X1231" s="26" t="str">
        <f t="shared" si="117"/>
        <v>-</v>
      </c>
    </row>
    <row r="1232" spans="1:24" x14ac:dyDescent="0.3">
      <c r="A1232" s="37">
        <v>87614023748</v>
      </c>
      <c r="B1232" s="8" t="s">
        <v>722</v>
      </c>
      <c r="C1232" s="10" t="s">
        <v>723</v>
      </c>
      <c r="D1232" s="11" t="s">
        <v>876</v>
      </c>
      <c r="E1232" s="11" t="s">
        <v>1058</v>
      </c>
      <c r="F1232" s="9">
        <v>24</v>
      </c>
      <c r="G1232" s="9">
        <v>48</v>
      </c>
      <c r="H1232" s="9" t="s">
        <v>892</v>
      </c>
      <c r="I1232" s="9">
        <v>24</v>
      </c>
      <c r="J1232" s="9">
        <v>30</v>
      </c>
      <c r="K1232" s="9" t="s">
        <v>904</v>
      </c>
      <c r="L1232" s="27">
        <v>1.7024999999999998E-2</v>
      </c>
      <c r="M1232" s="28" t="s">
        <v>3203</v>
      </c>
      <c r="N1232" s="17">
        <v>17.574437999999997</v>
      </c>
      <c r="O1232" s="1"/>
      <c r="P1232" s="38">
        <f t="shared" si="115"/>
        <v>0</v>
      </c>
      <c r="S1232" s="24" t="str">
        <f t="shared" si="118"/>
        <v>-</v>
      </c>
      <c r="T1232" s="24" t="str">
        <f t="shared" si="116"/>
        <v>-</v>
      </c>
      <c r="U1232" s="25" t="str">
        <f t="shared" si="119"/>
        <v>-</v>
      </c>
      <c r="V1232" s="26" t="str">
        <f t="shared" si="120"/>
        <v>-</v>
      </c>
      <c r="X1232" s="26" t="str">
        <f t="shared" si="117"/>
        <v>-</v>
      </c>
    </row>
    <row r="1233" spans="1:24" x14ac:dyDescent="0.3">
      <c r="A1233" s="37">
        <v>87614023885</v>
      </c>
      <c r="B1233" s="8" t="s">
        <v>730</v>
      </c>
      <c r="C1233" s="10" t="s">
        <v>731</v>
      </c>
      <c r="D1233" s="11" t="s">
        <v>874</v>
      </c>
      <c r="E1233" s="11" t="s">
        <v>917</v>
      </c>
      <c r="F1233" s="9">
        <v>48</v>
      </c>
      <c r="G1233" s="9">
        <v>192</v>
      </c>
      <c r="H1233" s="9" t="s">
        <v>892</v>
      </c>
      <c r="I1233" s="9">
        <v>24</v>
      </c>
      <c r="J1233" s="9">
        <v>30</v>
      </c>
      <c r="K1233" s="9" t="s">
        <v>873</v>
      </c>
      <c r="L1233" s="27">
        <v>2.6105E-2</v>
      </c>
      <c r="M1233" s="28" t="s">
        <v>3203</v>
      </c>
      <c r="N1233" s="17">
        <v>5.7474059999999998</v>
      </c>
      <c r="O1233" s="1"/>
      <c r="P1233" s="38">
        <f t="shared" si="115"/>
        <v>0</v>
      </c>
      <c r="S1233" s="24" t="str">
        <f t="shared" si="118"/>
        <v>-</v>
      </c>
      <c r="T1233" s="24" t="str">
        <f t="shared" si="116"/>
        <v>-</v>
      </c>
      <c r="U1233" s="25" t="str">
        <f t="shared" si="119"/>
        <v>-</v>
      </c>
      <c r="V1233" s="26" t="str">
        <f t="shared" si="120"/>
        <v>-</v>
      </c>
      <c r="X1233" s="26" t="str">
        <f t="shared" si="117"/>
        <v>-</v>
      </c>
    </row>
    <row r="1234" spans="1:24" x14ac:dyDescent="0.3">
      <c r="A1234" s="37">
        <v>87614024073</v>
      </c>
      <c r="B1234" s="8" t="s">
        <v>1922</v>
      </c>
      <c r="C1234" s="10" t="s">
        <v>2645</v>
      </c>
      <c r="D1234" s="11" t="s">
        <v>882</v>
      </c>
      <c r="E1234" s="11" t="s">
        <v>920</v>
      </c>
      <c r="F1234" s="9">
        <v>20</v>
      </c>
      <c r="G1234" s="9">
        <v>60</v>
      </c>
      <c r="H1234" s="9" t="s">
        <v>868</v>
      </c>
      <c r="I1234" s="9">
        <v>24</v>
      </c>
      <c r="J1234" s="9">
        <v>90</v>
      </c>
      <c r="K1234" s="9" t="s">
        <v>873</v>
      </c>
      <c r="L1234" s="27">
        <v>0.144145</v>
      </c>
      <c r="M1234" s="28" t="s">
        <v>3203</v>
      </c>
      <c r="N1234" s="17">
        <v>10.930038</v>
      </c>
      <c r="O1234" s="1"/>
      <c r="P1234" s="38">
        <f t="shared" si="115"/>
        <v>0</v>
      </c>
      <c r="S1234" s="24" t="str">
        <f t="shared" si="118"/>
        <v>-</v>
      </c>
      <c r="T1234" s="24" t="str">
        <f t="shared" si="116"/>
        <v>-</v>
      </c>
      <c r="U1234" s="25" t="str">
        <f t="shared" si="119"/>
        <v>-</v>
      </c>
      <c r="V1234" s="26" t="str">
        <f t="shared" si="120"/>
        <v>-</v>
      </c>
      <c r="X1234" s="26" t="str">
        <f t="shared" si="117"/>
        <v>-</v>
      </c>
    </row>
    <row r="1235" spans="1:24" x14ac:dyDescent="0.3">
      <c r="A1235" s="37">
        <v>87614024547</v>
      </c>
      <c r="B1235" s="8" t="s">
        <v>1881</v>
      </c>
      <c r="C1235" s="10" t="s">
        <v>2607</v>
      </c>
      <c r="D1235" s="11" t="s">
        <v>874</v>
      </c>
      <c r="E1235" s="11" t="s">
        <v>925</v>
      </c>
      <c r="F1235" s="9">
        <v>30</v>
      </c>
      <c r="G1235" s="9">
        <v>90</v>
      </c>
      <c r="H1235" s="9" t="s">
        <v>868</v>
      </c>
      <c r="I1235" s="9">
        <v>36</v>
      </c>
      <c r="J1235" s="9">
        <v>60</v>
      </c>
      <c r="K1235" s="9" t="s">
        <v>889</v>
      </c>
      <c r="L1235" s="27">
        <v>6.583E-2</v>
      </c>
      <c r="M1235" s="28" t="s">
        <v>3203</v>
      </c>
      <c r="N1235" s="17">
        <v>4.5680249999999996</v>
      </c>
      <c r="O1235" s="1"/>
      <c r="P1235" s="38">
        <f t="shared" si="115"/>
        <v>0</v>
      </c>
      <c r="S1235" s="24" t="str">
        <f t="shared" si="118"/>
        <v>-</v>
      </c>
      <c r="T1235" s="24" t="str">
        <f t="shared" si="116"/>
        <v>-</v>
      </c>
      <c r="U1235" s="25" t="str">
        <f t="shared" si="119"/>
        <v>-</v>
      </c>
      <c r="V1235" s="26" t="str">
        <f t="shared" si="120"/>
        <v>-</v>
      </c>
      <c r="X1235" s="26" t="str">
        <f t="shared" si="117"/>
        <v>-</v>
      </c>
    </row>
    <row r="1236" spans="1:24" x14ac:dyDescent="0.3">
      <c r="A1236" s="37">
        <v>87614024554</v>
      </c>
      <c r="B1236" s="8" t="s">
        <v>1817</v>
      </c>
      <c r="C1236" s="10" t="s">
        <v>2552</v>
      </c>
      <c r="D1236" s="11" t="s">
        <v>897</v>
      </c>
      <c r="E1236" s="11" t="s">
        <v>999</v>
      </c>
      <c r="F1236" s="9">
        <v>30</v>
      </c>
      <c r="G1236" s="9">
        <v>90</v>
      </c>
      <c r="H1236" s="9" t="s">
        <v>868</v>
      </c>
      <c r="I1236" s="9">
        <v>26</v>
      </c>
      <c r="J1236" s="9">
        <v>60</v>
      </c>
      <c r="K1236" s="9" t="s">
        <v>889</v>
      </c>
      <c r="L1236" s="27">
        <v>6.8099999999999994E-2</v>
      </c>
      <c r="M1236" s="28" t="s">
        <v>3203</v>
      </c>
      <c r="N1236" s="17">
        <v>4.9666889999999997</v>
      </c>
      <c r="O1236" s="1"/>
      <c r="P1236" s="38">
        <f t="shared" si="115"/>
        <v>0</v>
      </c>
      <c r="S1236" s="24" t="str">
        <f t="shared" si="118"/>
        <v>-</v>
      </c>
      <c r="T1236" s="24" t="str">
        <f t="shared" si="116"/>
        <v>-</v>
      </c>
      <c r="U1236" s="25" t="str">
        <f t="shared" si="119"/>
        <v>-</v>
      </c>
      <c r="V1236" s="26" t="str">
        <f t="shared" si="120"/>
        <v>-</v>
      </c>
      <c r="X1236" s="26" t="str">
        <f t="shared" si="117"/>
        <v>-</v>
      </c>
    </row>
    <row r="1237" spans="1:24" x14ac:dyDescent="0.3">
      <c r="A1237" s="37">
        <v>87614024561</v>
      </c>
      <c r="B1237" s="8" t="s">
        <v>1479</v>
      </c>
      <c r="C1237" s="10" t="s">
        <v>2249</v>
      </c>
      <c r="D1237" s="11" t="s">
        <v>897</v>
      </c>
      <c r="E1237" s="11" t="s">
        <v>1034</v>
      </c>
      <c r="F1237" s="9">
        <v>30</v>
      </c>
      <c r="G1237" s="9">
        <v>90</v>
      </c>
      <c r="H1237" s="9" t="s">
        <v>868</v>
      </c>
      <c r="I1237" s="9">
        <v>36</v>
      </c>
      <c r="J1237" s="9">
        <v>60</v>
      </c>
      <c r="K1237" s="9" t="s">
        <v>889</v>
      </c>
      <c r="L1237" s="27">
        <v>7.7180000000000012E-2</v>
      </c>
      <c r="M1237" s="28" t="s">
        <v>3203</v>
      </c>
      <c r="N1237" s="17">
        <v>5.5979070000000002</v>
      </c>
      <c r="O1237" s="1"/>
      <c r="P1237" s="38">
        <f t="shared" si="115"/>
        <v>0</v>
      </c>
      <c r="S1237" s="24" t="str">
        <f t="shared" si="118"/>
        <v>-</v>
      </c>
      <c r="T1237" s="24" t="str">
        <f t="shared" si="116"/>
        <v>-</v>
      </c>
      <c r="U1237" s="25" t="str">
        <f t="shared" si="119"/>
        <v>-</v>
      </c>
      <c r="V1237" s="26" t="str">
        <f t="shared" si="120"/>
        <v>-</v>
      </c>
      <c r="X1237" s="26" t="str">
        <f t="shared" si="117"/>
        <v>-</v>
      </c>
    </row>
    <row r="1238" spans="1:24" x14ac:dyDescent="0.3">
      <c r="A1238" s="37">
        <v>87614024721</v>
      </c>
      <c r="B1238" s="8" t="s">
        <v>1350</v>
      </c>
      <c r="C1238" s="10" t="s">
        <v>2131</v>
      </c>
      <c r="D1238" s="11" t="s">
        <v>874</v>
      </c>
      <c r="E1238" s="11" t="s">
        <v>925</v>
      </c>
      <c r="F1238" s="9">
        <v>30</v>
      </c>
      <c r="G1238" s="9">
        <v>90</v>
      </c>
      <c r="H1238" s="9" t="s">
        <v>868</v>
      </c>
      <c r="I1238" s="9">
        <v>24</v>
      </c>
      <c r="J1238" s="9">
        <v>30</v>
      </c>
      <c r="K1238" s="9" t="s">
        <v>873</v>
      </c>
      <c r="L1238" s="27">
        <v>4.7670000000000004E-2</v>
      </c>
      <c r="M1238" s="28" t="s">
        <v>3203</v>
      </c>
      <c r="N1238" s="17">
        <v>15.647562000000001</v>
      </c>
      <c r="O1238" s="1"/>
      <c r="P1238" s="38">
        <f t="shared" si="115"/>
        <v>0</v>
      </c>
      <c r="S1238" s="24" t="str">
        <f t="shared" si="118"/>
        <v>-</v>
      </c>
      <c r="T1238" s="24" t="str">
        <f t="shared" si="116"/>
        <v>-</v>
      </c>
      <c r="U1238" s="25" t="str">
        <f t="shared" si="119"/>
        <v>-</v>
      </c>
      <c r="V1238" s="26" t="str">
        <f t="shared" si="120"/>
        <v>-</v>
      </c>
      <c r="X1238" s="26" t="str">
        <f t="shared" si="117"/>
        <v>-</v>
      </c>
    </row>
    <row r="1239" spans="1:24" x14ac:dyDescent="0.3">
      <c r="A1239" s="37">
        <v>87614024776</v>
      </c>
      <c r="B1239" s="8" t="s">
        <v>1819</v>
      </c>
      <c r="C1239" s="10" t="s">
        <v>2554</v>
      </c>
      <c r="D1239" s="11" t="s">
        <v>2822</v>
      </c>
      <c r="E1239" s="11" t="s">
        <v>2823</v>
      </c>
      <c r="F1239" s="9">
        <v>12</v>
      </c>
      <c r="G1239" s="9">
        <v>12</v>
      </c>
      <c r="H1239" s="9" t="s">
        <v>892</v>
      </c>
      <c r="I1239" s="9">
        <v>24</v>
      </c>
      <c r="J1239" s="9">
        <v>1</v>
      </c>
      <c r="K1239" s="9" t="s">
        <v>880</v>
      </c>
      <c r="L1239" s="27">
        <v>0.57657999999999998</v>
      </c>
      <c r="M1239" s="28" t="s">
        <v>3203</v>
      </c>
      <c r="N1239" s="17">
        <v>21.810243</v>
      </c>
      <c r="O1239" s="1"/>
      <c r="P1239" s="38">
        <f t="shared" si="115"/>
        <v>0</v>
      </c>
      <c r="S1239" s="24" t="str">
        <f t="shared" si="118"/>
        <v>-</v>
      </c>
      <c r="T1239" s="24" t="str">
        <f t="shared" si="116"/>
        <v>-</v>
      </c>
      <c r="U1239" s="25" t="str">
        <f t="shared" si="119"/>
        <v>-</v>
      </c>
      <c r="V1239" s="26" t="str">
        <f t="shared" si="120"/>
        <v>-</v>
      </c>
      <c r="X1239" s="26" t="str">
        <f t="shared" si="117"/>
        <v>-</v>
      </c>
    </row>
    <row r="1240" spans="1:24" x14ac:dyDescent="0.3">
      <c r="A1240" s="37">
        <v>87614024783</v>
      </c>
      <c r="B1240" s="8" t="s">
        <v>1078</v>
      </c>
      <c r="C1240" s="10" t="s">
        <v>1079</v>
      </c>
      <c r="D1240" s="11" t="s">
        <v>888</v>
      </c>
      <c r="E1240" s="11" t="s">
        <v>1082</v>
      </c>
      <c r="F1240" s="9">
        <v>6</v>
      </c>
      <c r="G1240" s="9">
        <v>12</v>
      </c>
      <c r="H1240" s="9" t="s">
        <v>868</v>
      </c>
      <c r="I1240" s="9">
        <v>36</v>
      </c>
      <c r="J1240" s="9">
        <v>1</v>
      </c>
      <c r="K1240" s="9" t="s">
        <v>880</v>
      </c>
      <c r="L1240" s="27">
        <v>0.59928000000000003</v>
      </c>
      <c r="M1240" s="28" t="s">
        <v>3203</v>
      </c>
      <c r="N1240" s="17">
        <v>13.521354000000001</v>
      </c>
      <c r="O1240" s="1"/>
      <c r="P1240" s="38">
        <f t="shared" si="115"/>
        <v>0</v>
      </c>
      <c r="S1240" s="24" t="str">
        <f t="shared" si="118"/>
        <v>-</v>
      </c>
      <c r="T1240" s="24" t="str">
        <f t="shared" si="116"/>
        <v>-</v>
      </c>
      <c r="U1240" s="25" t="str">
        <f t="shared" si="119"/>
        <v>-</v>
      </c>
      <c r="V1240" s="26" t="str">
        <f t="shared" si="120"/>
        <v>-</v>
      </c>
      <c r="X1240" s="26" t="str">
        <f t="shared" si="117"/>
        <v>-</v>
      </c>
    </row>
    <row r="1241" spans="1:24" x14ac:dyDescent="0.3">
      <c r="A1241" s="37">
        <v>87614024790</v>
      </c>
      <c r="B1241" s="8" t="s">
        <v>1480</v>
      </c>
      <c r="C1241" s="10" t="s">
        <v>3192</v>
      </c>
      <c r="D1241" s="11" t="s">
        <v>882</v>
      </c>
      <c r="E1241" s="11" t="s">
        <v>958</v>
      </c>
      <c r="F1241" s="9">
        <v>30</v>
      </c>
      <c r="G1241" s="9">
        <v>90</v>
      </c>
      <c r="H1241" s="9" t="s">
        <v>868</v>
      </c>
      <c r="I1241" s="9">
        <v>24</v>
      </c>
      <c r="J1241" s="9">
        <v>60</v>
      </c>
      <c r="K1241" s="9" t="s">
        <v>2903</v>
      </c>
      <c r="L1241" s="27">
        <v>7.1504999999999999E-2</v>
      </c>
      <c r="M1241" s="28" t="s">
        <v>3203</v>
      </c>
      <c r="N1241" s="17">
        <v>12.906746999999999</v>
      </c>
      <c r="O1241" s="1"/>
      <c r="P1241" s="38">
        <f t="shared" si="115"/>
        <v>0</v>
      </c>
      <c r="S1241" s="24" t="str">
        <f t="shared" si="118"/>
        <v>-</v>
      </c>
      <c r="T1241" s="24" t="str">
        <f t="shared" si="116"/>
        <v>-</v>
      </c>
      <c r="U1241" s="25" t="str">
        <f t="shared" si="119"/>
        <v>-</v>
      </c>
      <c r="V1241" s="26" t="str">
        <f t="shared" si="120"/>
        <v>-</v>
      </c>
      <c r="X1241" s="26" t="str">
        <f t="shared" si="117"/>
        <v>-</v>
      </c>
    </row>
    <row r="1242" spans="1:24" x14ac:dyDescent="0.3">
      <c r="A1242" s="37">
        <v>87614024967</v>
      </c>
      <c r="B1242" s="8" t="s">
        <v>1822</v>
      </c>
      <c r="C1242" s="10" t="s">
        <v>2557</v>
      </c>
      <c r="D1242" s="11" t="s">
        <v>881</v>
      </c>
      <c r="E1242" s="11" t="s">
        <v>939</v>
      </c>
      <c r="F1242" s="9">
        <v>6</v>
      </c>
      <c r="G1242" s="9">
        <v>6</v>
      </c>
      <c r="H1242" s="9" t="s">
        <v>892</v>
      </c>
      <c r="I1242" s="9">
        <v>36</v>
      </c>
      <c r="J1242" s="9">
        <v>1</v>
      </c>
      <c r="K1242" s="9" t="s">
        <v>887</v>
      </c>
      <c r="L1242" s="27">
        <v>2.8794949999999999</v>
      </c>
      <c r="M1242" s="28" t="s">
        <v>3203</v>
      </c>
      <c r="N1242" s="17">
        <v>41.195280000000004</v>
      </c>
      <c r="O1242" s="1"/>
      <c r="P1242" s="38">
        <f t="shared" si="115"/>
        <v>0</v>
      </c>
      <c r="S1242" s="24" t="str">
        <f t="shared" si="118"/>
        <v>-</v>
      </c>
      <c r="T1242" s="24" t="str">
        <f t="shared" si="116"/>
        <v>-</v>
      </c>
      <c r="U1242" s="25" t="str">
        <f t="shared" si="119"/>
        <v>-</v>
      </c>
      <c r="V1242" s="26" t="str">
        <f t="shared" si="120"/>
        <v>-</v>
      </c>
      <c r="X1242" s="26" t="str">
        <f t="shared" si="117"/>
        <v>-</v>
      </c>
    </row>
    <row r="1243" spans="1:24" x14ac:dyDescent="0.3">
      <c r="A1243" s="37">
        <v>87614025001</v>
      </c>
      <c r="B1243" s="8" t="s">
        <v>1910</v>
      </c>
      <c r="C1243" s="10" t="s">
        <v>2634</v>
      </c>
      <c r="D1243" s="11" t="s">
        <v>879</v>
      </c>
      <c r="E1243" s="11" t="s">
        <v>990</v>
      </c>
      <c r="F1243" s="9">
        <v>48</v>
      </c>
      <c r="G1243" s="9">
        <v>192</v>
      </c>
      <c r="H1243" s="9" t="s">
        <v>868</v>
      </c>
      <c r="I1243" s="9">
        <v>12</v>
      </c>
      <c r="J1243" s="9">
        <v>90</v>
      </c>
      <c r="K1243" s="9" t="s">
        <v>889</v>
      </c>
      <c r="L1243" s="27">
        <v>4.1994999999999998E-2</v>
      </c>
      <c r="M1243" s="28" t="s">
        <v>3203</v>
      </c>
      <c r="N1243" s="17">
        <v>13.720686000000001</v>
      </c>
      <c r="O1243" s="1"/>
      <c r="P1243" s="38">
        <f t="shared" si="115"/>
        <v>0</v>
      </c>
      <c r="S1243" s="24" t="str">
        <f t="shared" si="118"/>
        <v>-</v>
      </c>
      <c r="T1243" s="24" t="str">
        <f t="shared" si="116"/>
        <v>-</v>
      </c>
      <c r="U1243" s="25" t="str">
        <f t="shared" si="119"/>
        <v>-</v>
      </c>
      <c r="V1243" s="26" t="str">
        <f t="shared" si="120"/>
        <v>-</v>
      </c>
      <c r="X1243" s="26" t="str">
        <f t="shared" si="117"/>
        <v>-</v>
      </c>
    </row>
    <row r="1244" spans="1:24" x14ac:dyDescent="0.3">
      <c r="A1244" s="37">
        <v>87614025025</v>
      </c>
      <c r="B1244" s="8" t="s">
        <v>751</v>
      </c>
      <c r="C1244" s="10" t="s">
        <v>3193</v>
      </c>
      <c r="D1244" s="11" t="s">
        <v>879</v>
      </c>
      <c r="E1244" s="11" t="s">
        <v>990</v>
      </c>
      <c r="F1244" s="9">
        <v>30</v>
      </c>
      <c r="G1244" s="9">
        <v>90</v>
      </c>
      <c r="H1244" s="9" t="s">
        <v>868</v>
      </c>
      <c r="I1244" s="9">
        <v>24</v>
      </c>
      <c r="J1244" s="9">
        <v>90</v>
      </c>
      <c r="K1244" s="9" t="s">
        <v>873</v>
      </c>
      <c r="L1244" s="27">
        <v>6.3560000000000005E-2</v>
      </c>
      <c r="M1244" s="28" t="s">
        <v>3203</v>
      </c>
      <c r="N1244" s="17">
        <v>12.242306999999998</v>
      </c>
      <c r="O1244" s="1"/>
      <c r="P1244" s="38">
        <f t="shared" si="115"/>
        <v>0</v>
      </c>
      <c r="S1244" s="24" t="str">
        <f t="shared" si="118"/>
        <v>-</v>
      </c>
      <c r="T1244" s="24" t="str">
        <f t="shared" si="116"/>
        <v>-</v>
      </c>
      <c r="U1244" s="25" t="str">
        <f t="shared" si="119"/>
        <v>-</v>
      </c>
      <c r="V1244" s="26" t="str">
        <f t="shared" si="120"/>
        <v>-</v>
      </c>
      <c r="X1244" s="26" t="str">
        <f t="shared" si="117"/>
        <v>-</v>
      </c>
    </row>
    <row r="1245" spans="1:24" x14ac:dyDescent="0.3">
      <c r="A1245" s="37">
        <v>87614025124</v>
      </c>
      <c r="B1245" s="8" t="s">
        <v>1823</v>
      </c>
      <c r="C1245" s="10" t="s">
        <v>2558</v>
      </c>
      <c r="D1245" s="11" t="s">
        <v>874</v>
      </c>
      <c r="E1245" s="11" t="s">
        <v>1032</v>
      </c>
      <c r="F1245" s="9">
        <v>30</v>
      </c>
      <c r="G1245" s="9">
        <v>90</v>
      </c>
      <c r="H1245" s="9" t="s">
        <v>868</v>
      </c>
      <c r="I1245" s="9">
        <v>36</v>
      </c>
      <c r="J1245" s="9">
        <v>30</v>
      </c>
      <c r="K1245" s="9" t="s">
        <v>869</v>
      </c>
      <c r="L1245" s="27">
        <v>8.2854999999999998E-2</v>
      </c>
      <c r="M1245" s="28" t="s">
        <v>3203</v>
      </c>
      <c r="N1245" s="17">
        <v>17.408327999999997</v>
      </c>
      <c r="O1245" s="1"/>
      <c r="P1245" s="38">
        <f t="shared" si="115"/>
        <v>0</v>
      </c>
      <c r="S1245" s="24" t="str">
        <f t="shared" si="118"/>
        <v>-</v>
      </c>
      <c r="T1245" s="24" t="str">
        <f t="shared" si="116"/>
        <v>-</v>
      </c>
      <c r="U1245" s="25" t="str">
        <f t="shared" si="119"/>
        <v>-</v>
      </c>
      <c r="V1245" s="26" t="str">
        <f t="shared" si="120"/>
        <v>-</v>
      </c>
      <c r="X1245" s="26" t="str">
        <f t="shared" si="117"/>
        <v>-</v>
      </c>
    </row>
    <row r="1246" spans="1:24" x14ac:dyDescent="0.3">
      <c r="A1246" s="37">
        <v>87614025131</v>
      </c>
      <c r="B1246" s="8" t="s">
        <v>1352</v>
      </c>
      <c r="C1246" s="10" t="s">
        <v>2788</v>
      </c>
      <c r="D1246" s="11" t="s">
        <v>876</v>
      </c>
      <c r="E1246" s="11" t="s">
        <v>1036</v>
      </c>
      <c r="F1246" s="9">
        <v>30</v>
      </c>
      <c r="G1246" s="9">
        <v>90</v>
      </c>
      <c r="H1246" s="9" t="s">
        <v>868</v>
      </c>
      <c r="I1246" s="9">
        <v>24</v>
      </c>
      <c r="J1246" s="9">
        <v>60</v>
      </c>
      <c r="K1246" s="9" t="s">
        <v>2903</v>
      </c>
      <c r="L1246" s="27">
        <v>7.4910000000000004E-2</v>
      </c>
      <c r="M1246" s="28" t="s">
        <v>3203</v>
      </c>
      <c r="N1246" s="17">
        <v>12.906746999999999</v>
      </c>
      <c r="O1246" s="1"/>
      <c r="P1246" s="38">
        <f t="shared" si="115"/>
        <v>0</v>
      </c>
      <c r="S1246" s="24" t="str">
        <f t="shared" si="118"/>
        <v>-</v>
      </c>
      <c r="T1246" s="24" t="str">
        <f t="shared" si="116"/>
        <v>-</v>
      </c>
      <c r="U1246" s="25" t="str">
        <f t="shared" si="119"/>
        <v>-</v>
      </c>
      <c r="V1246" s="26" t="str">
        <f t="shared" si="120"/>
        <v>-</v>
      </c>
      <c r="X1246" s="26" t="str">
        <f t="shared" si="117"/>
        <v>-</v>
      </c>
    </row>
    <row r="1247" spans="1:24" x14ac:dyDescent="0.3">
      <c r="A1247" s="37">
        <v>87614025179</v>
      </c>
      <c r="B1247" s="8" t="s">
        <v>756</v>
      </c>
      <c r="C1247" s="10" t="s">
        <v>2789</v>
      </c>
      <c r="D1247" s="11" t="s">
        <v>897</v>
      </c>
      <c r="E1247" s="11" t="s">
        <v>1037</v>
      </c>
      <c r="F1247" s="9">
        <v>30</v>
      </c>
      <c r="G1247" s="9">
        <v>90</v>
      </c>
      <c r="H1247" s="9" t="s">
        <v>868</v>
      </c>
      <c r="I1247" s="9">
        <v>24</v>
      </c>
      <c r="J1247" s="9">
        <v>60</v>
      </c>
      <c r="K1247" s="9" t="s">
        <v>2903</v>
      </c>
      <c r="L1247" s="27">
        <v>8.5124999999999992E-2</v>
      </c>
      <c r="M1247" s="28" t="s">
        <v>3203</v>
      </c>
      <c r="N1247" s="17">
        <v>7.6742819999999998</v>
      </c>
      <c r="O1247" s="1"/>
      <c r="P1247" s="38">
        <f t="shared" si="115"/>
        <v>0</v>
      </c>
      <c r="S1247" s="24" t="str">
        <f t="shared" si="118"/>
        <v>-</v>
      </c>
      <c r="T1247" s="24" t="str">
        <f t="shared" si="116"/>
        <v>-</v>
      </c>
      <c r="U1247" s="25" t="str">
        <f t="shared" si="119"/>
        <v>-</v>
      </c>
      <c r="V1247" s="26" t="str">
        <f t="shared" si="120"/>
        <v>-</v>
      </c>
      <c r="X1247" s="26" t="str">
        <f t="shared" si="117"/>
        <v>-</v>
      </c>
    </row>
    <row r="1248" spans="1:24" x14ac:dyDescent="0.3">
      <c r="A1248" s="37">
        <v>87614025421</v>
      </c>
      <c r="B1248" s="8" t="s">
        <v>767</v>
      </c>
      <c r="C1248" s="10" t="s">
        <v>768</v>
      </c>
      <c r="D1248" s="11" t="s">
        <v>882</v>
      </c>
      <c r="E1248" s="11" t="s">
        <v>1035</v>
      </c>
      <c r="F1248" s="9">
        <v>30</v>
      </c>
      <c r="G1248" s="9">
        <v>90</v>
      </c>
      <c r="H1248" s="9" t="s">
        <v>892</v>
      </c>
      <c r="I1248" s="9">
        <v>24</v>
      </c>
      <c r="J1248" s="9">
        <v>60</v>
      </c>
      <c r="K1248" s="9" t="s">
        <v>873</v>
      </c>
      <c r="L1248" s="27">
        <v>8.8529999999999998E-2</v>
      </c>
      <c r="M1248" s="28" t="s">
        <v>3203</v>
      </c>
      <c r="N1248" s="17">
        <v>17.574437999999997</v>
      </c>
      <c r="O1248" s="1"/>
      <c r="P1248" s="38">
        <f t="shared" si="115"/>
        <v>0</v>
      </c>
      <c r="S1248" s="24" t="str">
        <f t="shared" si="118"/>
        <v>-</v>
      </c>
      <c r="T1248" s="24" t="str">
        <f t="shared" si="116"/>
        <v>-</v>
      </c>
      <c r="U1248" s="25" t="str">
        <f t="shared" si="119"/>
        <v>-</v>
      </c>
      <c r="V1248" s="26" t="str">
        <f t="shared" si="120"/>
        <v>-</v>
      </c>
      <c r="X1248" s="26" t="str">
        <f t="shared" si="117"/>
        <v>-</v>
      </c>
    </row>
    <row r="1249" spans="1:24" x14ac:dyDescent="0.3">
      <c r="A1249" s="37">
        <v>87614025438</v>
      </c>
      <c r="B1249" s="8" t="s">
        <v>1824</v>
      </c>
      <c r="C1249" s="10" t="s">
        <v>2559</v>
      </c>
      <c r="D1249" s="11" t="s">
        <v>874</v>
      </c>
      <c r="E1249" s="11" t="s">
        <v>1059</v>
      </c>
      <c r="F1249" s="9">
        <v>48</v>
      </c>
      <c r="G1249" s="9">
        <v>192</v>
      </c>
      <c r="H1249" s="9" t="s">
        <v>868</v>
      </c>
      <c r="I1249" s="9">
        <v>24</v>
      </c>
      <c r="J1249" s="9">
        <v>30</v>
      </c>
      <c r="K1249" s="9" t="s">
        <v>869</v>
      </c>
      <c r="L1249" s="27">
        <v>3.6319999999999998E-2</v>
      </c>
      <c r="M1249" s="28" t="s">
        <v>3203</v>
      </c>
      <c r="N1249" s="17">
        <v>17.424938999999998</v>
      </c>
      <c r="O1249" s="1"/>
      <c r="P1249" s="38">
        <f t="shared" si="115"/>
        <v>0</v>
      </c>
      <c r="S1249" s="24" t="str">
        <f t="shared" si="118"/>
        <v>-</v>
      </c>
      <c r="T1249" s="24" t="str">
        <f t="shared" si="116"/>
        <v>-</v>
      </c>
      <c r="U1249" s="25" t="str">
        <f t="shared" si="119"/>
        <v>-</v>
      </c>
      <c r="V1249" s="26" t="str">
        <f t="shared" si="120"/>
        <v>-</v>
      </c>
      <c r="X1249" s="26" t="str">
        <f t="shared" si="117"/>
        <v>-</v>
      </c>
    </row>
    <row r="1250" spans="1:24" x14ac:dyDescent="0.3">
      <c r="A1250" s="37">
        <v>87614026114</v>
      </c>
      <c r="B1250" s="8" t="s">
        <v>1141</v>
      </c>
      <c r="C1250" s="10" t="s">
        <v>1969</v>
      </c>
      <c r="D1250" s="11" t="s">
        <v>874</v>
      </c>
      <c r="E1250" s="11" t="s">
        <v>1032</v>
      </c>
      <c r="F1250" s="9">
        <v>30</v>
      </c>
      <c r="G1250" s="9">
        <v>90</v>
      </c>
      <c r="H1250" s="9" t="s">
        <v>868</v>
      </c>
      <c r="I1250" s="9">
        <v>36</v>
      </c>
      <c r="J1250" s="9">
        <v>120</v>
      </c>
      <c r="K1250" s="9" t="s">
        <v>869</v>
      </c>
      <c r="L1250" s="27">
        <v>8.2854999999999998E-2</v>
      </c>
      <c r="M1250" s="28" t="s">
        <v>3203</v>
      </c>
      <c r="N1250" s="17">
        <v>16.096059</v>
      </c>
      <c r="O1250" s="1"/>
      <c r="P1250" s="38">
        <f t="shared" si="115"/>
        <v>0</v>
      </c>
      <c r="S1250" s="24" t="str">
        <f t="shared" si="118"/>
        <v>-</v>
      </c>
      <c r="T1250" s="24" t="str">
        <f t="shared" si="116"/>
        <v>-</v>
      </c>
      <c r="U1250" s="25" t="str">
        <f t="shared" si="119"/>
        <v>-</v>
      </c>
      <c r="V1250" s="26" t="str">
        <f t="shared" si="120"/>
        <v>-</v>
      </c>
      <c r="X1250" s="26" t="str">
        <f t="shared" si="117"/>
        <v>-</v>
      </c>
    </row>
    <row r="1251" spans="1:24" x14ac:dyDescent="0.3">
      <c r="A1251" s="37">
        <v>87614026558</v>
      </c>
      <c r="B1251" s="8" t="s">
        <v>1481</v>
      </c>
      <c r="C1251" s="10" t="s">
        <v>2250</v>
      </c>
      <c r="D1251" s="11" t="s">
        <v>883</v>
      </c>
      <c r="E1251" s="11" t="s">
        <v>926</v>
      </c>
      <c r="F1251" s="9">
        <v>16</v>
      </c>
      <c r="G1251" s="9">
        <v>48</v>
      </c>
      <c r="H1251" s="9" t="s">
        <v>868</v>
      </c>
      <c r="I1251" s="9">
        <v>24</v>
      </c>
      <c r="J1251" s="9">
        <v>120</v>
      </c>
      <c r="K1251" s="9" t="s">
        <v>873</v>
      </c>
      <c r="L1251" s="27">
        <v>0.19975999999999999</v>
      </c>
      <c r="M1251" s="28" t="s">
        <v>3203</v>
      </c>
      <c r="N1251" s="17">
        <v>7.7905589999999991</v>
      </c>
      <c r="O1251" s="1"/>
      <c r="P1251" s="38">
        <f t="shared" si="115"/>
        <v>0</v>
      </c>
      <c r="S1251" s="24" t="str">
        <f t="shared" si="118"/>
        <v>-</v>
      </c>
      <c r="T1251" s="24" t="str">
        <f t="shared" si="116"/>
        <v>-</v>
      </c>
      <c r="U1251" s="25" t="str">
        <f t="shared" si="119"/>
        <v>-</v>
      </c>
      <c r="V1251" s="26" t="str">
        <f t="shared" si="120"/>
        <v>-</v>
      </c>
      <c r="X1251" s="26" t="str">
        <f t="shared" si="117"/>
        <v>-</v>
      </c>
    </row>
    <row r="1252" spans="1:24" x14ac:dyDescent="0.3">
      <c r="A1252" s="37">
        <v>87614026626</v>
      </c>
      <c r="B1252" s="8" t="s">
        <v>1202</v>
      </c>
      <c r="C1252" s="10" t="s">
        <v>2017</v>
      </c>
      <c r="D1252" s="11" t="s">
        <v>870</v>
      </c>
      <c r="E1252" s="11" t="s">
        <v>924</v>
      </c>
      <c r="F1252" s="9">
        <v>30</v>
      </c>
      <c r="G1252" s="9">
        <v>90</v>
      </c>
      <c r="H1252" s="9" t="s">
        <v>868</v>
      </c>
      <c r="I1252" s="9">
        <v>36</v>
      </c>
      <c r="J1252" s="9">
        <v>60</v>
      </c>
      <c r="K1252" s="9" t="s">
        <v>873</v>
      </c>
      <c r="L1252" s="27">
        <v>0.10101499999999999</v>
      </c>
      <c r="M1252" s="28" t="s">
        <v>3203</v>
      </c>
      <c r="N1252" s="17">
        <v>12.541304999999999</v>
      </c>
      <c r="O1252" s="1"/>
      <c r="P1252" s="38">
        <f t="shared" si="115"/>
        <v>0</v>
      </c>
      <c r="S1252" s="24" t="str">
        <f t="shared" si="118"/>
        <v>-</v>
      </c>
      <c r="T1252" s="24" t="str">
        <f t="shared" si="116"/>
        <v>-</v>
      </c>
      <c r="U1252" s="25" t="str">
        <f t="shared" si="119"/>
        <v>-</v>
      </c>
      <c r="V1252" s="26" t="str">
        <f t="shared" si="120"/>
        <v>-</v>
      </c>
      <c r="X1252" s="26" t="str">
        <f t="shared" si="117"/>
        <v>-</v>
      </c>
    </row>
    <row r="1253" spans="1:24" x14ac:dyDescent="0.3">
      <c r="A1253" s="37">
        <v>87614026633</v>
      </c>
      <c r="B1253" s="8" t="s">
        <v>1826</v>
      </c>
      <c r="C1253" s="10" t="s">
        <v>2561</v>
      </c>
      <c r="D1253" s="11" t="s">
        <v>883</v>
      </c>
      <c r="E1253" s="11" t="s">
        <v>926</v>
      </c>
      <c r="F1253" s="9">
        <v>30</v>
      </c>
      <c r="G1253" s="9">
        <v>90</v>
      </c>
      <c r="H1253" s="9" t="s">
        <v>868</v>
      </c>
      <c r="I1253" s="9">
        <v>24</v>
      </c>
      <c r="J1253" s="9">
        <v>60</v>
      </c>
      <c r="K1253" s="9" t="s">
        <v>873</v>
      </c>
      <c r="L1253" s="27">
        <v>0.105555</v>
      </c>
      <c r="M1253" s="28" t="s">
        <v>3203</v>
      </c>
      <c r="N1253" s="17">
        <v>13.322021999999999</v>
      </c>
      <c r="O1253" s="1"/>
      <c r="P1253" s="38">
        <f t="shared" si="115"/>
        <v>0</v>
      </c>
      <c r="S1253" s="24" t="str">
        <f t="shared" si="118"/>
        <v>-</v>
      </c>
      <c r="T1253" s="24" t="str">
        <f t="shared" si="116"/>
        <v>-</v>
      </c>
      <c r="U1253" s="25" t="str">
        <f t="shared" si="119"/>
        <v>-</v>
      </c>
      <c r="V1253" s="26" t="str">
        <f t="shared" si="120"/>
        <v>-</v>
      </c>
      <c r="X1253" s="26" t="str">
        <f t="shared" si="117"/>
        <v>-</v>
      </c>
    </row>
    <row r="1254" spans="1:24" x14ac:dyDescent="0.3">
      <c r="A1254" s="37">
        <v>87614026664</v>
      </c>
      <c r="B1254" s="8" t="s">
        <v>775</v>
      </c>
      <c r="C1254" s="10" t="s">
        <v>776</v>
      </c>
      <c r="D1254" s="11" t="s">
        <v>878</v>
      </c>
      <c r="E1254" s="11" t="s">
        <v>1001</v>
      </c>
      <c r="F1254" s="9">
        <v>30</v>
      </c>
      <c r="G1254" s="9">
        <v>90</v>
      </c>
      <c r="H1254" s="9" t="s">
        <v>868</v>
      </c>
      <c r="I1254" s="9">
        <v>18</v>
      </c>
      <c r="J1254" s="9">
        <v>60</v>
      </c>
      <c r="K1254" s="9" t="s">
        <v>889</v>
      </c>
      <c r="L1254" s="27">
        <v>5.1074999999999995E-2</v>
      </c>
      <c r="M1254" s="28" t="s">
        <v>3203</v>
      </c>
      <c r="N1254" s="17">
        <v>10.747316999999999</v>
      </c>
      <c r="O1254" s="1"/>
      <c r="P1254" s="38">
        <f t="shared" si="115"/>
        <v>0</v>
      </c>
      <c r="S1254" s="24" t="str">
        <f t="shared" si="118"/>
        <v>-</v>
      </c>
      <c r="T1254" s="24" t="str">
        <f t="shared" si="116"/>
        <v>-</v>
      </c>
      <c r="U1254" s="25" t="str">
        <f t="shared" si="119"/>
        <v>-</v>
      </c>
      <c r="V1254" s="26" t="str">
        <f t="shared" si="120"/>
        <v>-</v>
      </c>
      <c r="X1254" s="26" t="str">
        <f t="shared" si="117"/>
        <v>-</v>
      </c>
    </row>
    <row r="1255" spans="1:24" x14ac:dyDescent="0.3">
      <c r="A1255" s="37">
        <v>87614026824</v>
      </c>
      <c r="B1255" s="8" t="s">
        <v>1829</v>
      </c>
      <c r="C1255" s="10" t="s">
        <v>2564</v>
      </c>
      <c r="D1255" s="11" t="s">
        <v>870</v>
      </c>
      <c r="E1255" s="11" t="s">
        <v>2818</v>
      </c>
      <c r="F1255" s="9">
        <v>30</v>
      </c>
      <c r="G1255" s="9">
        <v>90</v>
      </c>
      <c r="H1255" s="9" t="s">
        <v>868</v>
      </c>
      <c r="I1255" s="9">
        <v>24</v>
      </c>
      <c r="J1255" s="9">
        <v>60</v>
      </c>
      <c r="K1255" s="9" t="s">
        <v>889</v>
      </c>
      <c r="L1255" s="27">
        <v>0.105555</v>
      </c>
      <c r="M1255" s="28" t="s">
        <v>3203</v>
      </c>
      <c r="N1255" s="17">
        <v>5.9135160000000004</v>
      </c>
      <c r="O1255" s="1"/>
      <c r="P1255" s="38">
        <f t="shared" si="115"/>
        <v>0</v>
      </c>
      <c r="S1255" s="24" t="str">
        <f t="shared" si="118"/>
        <v>-</v>
      </c>
      <c r="T1255" s="24" t="str">
        <f t="shared" si="116"/>
        <v>-</v>
      </c>
      <c r="U1255" s="25" t="str">
        <f t="shared" si="119"/>
        <v>-</v>
      </c>
      <c r="V1255" s="26" t="str">
        <f t="shared" si="120"/>
        <v>-</v>
      </c>
      <c r="X1255" s="26" t="str">
        <f t="shared" si="117"/>
        <v>-</v>
      </c>
    </row>
    <row r="1256" spans="1:24" x14ac:dyDescent="0.3">
      <c r="A1256" s="37">
        <v>87614026961</v>
      </c>
      <c r="B1256" s="8" t="s">
        <v>1831</v>
      </c>
      <c r="C1256" s="10" t="s">
        <v>2566</v>
      </c>
      <c r="D1256" s="11" t="s">
        <v>882</v>
      </c>
      <c r="E1256" s="11" t="s">
        <v>1005</v>
      </c>
      <c r="F1256" s="9">
        <v>12</v>
      </c>
      <c r="G1256" s="9">
        <v>36</v>
      </c>
      <c r="H1256" s="9" t="s">
        <v>868</v>
      </c>
      <c r="I1256" s="9">
        <v>36</v>
      </c>
      <c r="J1256" s="9">
        <v>1</v>
      </c>
      <c r="K1256" s="9" t="s">
        <v>887</v>
      </c>
      <c r="L1256" s="27">
        <v>0.33595999999999998</v>
      </c>
      <c r="M1256" s="28" t="s">
        <v>3203</v>
      </c>
      <c r="N1256" s="17">
        <v>11.062926000000001</v>
      </c>
      <c r="O1256" s="1"/>
      <c r="P1256" s="38">
        <f t="shared" si="115"/>
        <v>0</v>
      </c>
      <c r="S1256" s="24" t="str">
        <f t="shared" si="118"/>
        <v>-</v>
      </c>
      <c r="T1256" s="24" t="str">
        <f t="shared" si="116"/>
        <v>-</v>
      </c>
      <c r="U1256" s="25" t="str">
        <f t="shared" si="119"/>
        <v>-</v>
      </c>
      <c r="V1256" s="26" t="str">
        <f t="shared" si="120"/>
        <v>-</v>
      </c>
      <c r="X1256" s="26" t="str">
        <f t="shared" si="117"/>
        <v>-</v>
      </c>
    </row>
    <row r="1257" spans="1:24" x14ac:dyDescent="0.3">
      <c r="A1257" s="37">
        <v>87614027258</v>
      </c>
      <c r="B1257" s="8" t="s">
        <v>1834</v>
      </c>
      <c r="C1257" s="10" t="s">
        <v>2569</v>
      </c>
      <c r="D1257" s="11" t="s">
        <v>883</v>
      </c>
      <c r="E1257" s="11" t="s">
        <v>2839</v>
      </c>
      <c r="F1257" s="9">
        <v>30</v>
      </c>
      <c r="G1257" s="9">
        <v>90</v>
      </c>
      <c r="H1257" s="9" t="s">
        <v>868</v>
      </c>
      <c r="I1257" s="9">
        <v>24</v>
      </c>
      <c r="J1257" s="9">
        <v>60</v>
      </c>
      <c r="K1257" s="9" t="s">
        <v>873</v>
      </c>
      <c r="L1257" s="27">
        <v>7.0370000000000002E-2</v>
      </c>
      <c r="M1257" s="28" t="s">
        <v>3203</v>
      </c>
      <c r="N1257" s="17">
        <v>16.577777999999999</v>
      </c>
      <c r="O1257" s="1"/>
      <c r="P1257" s="38">
        <f t="shared" si="115"/>
        <v>0</v>
      </c>
      <c r="S1257" s="24" t="str">
        <f t="shared" si="118"/>
        <v>-</v>
      </c>
      <c r="T1257" s="24" t="str">
        <f t="shared" si="116"/>
        <v>-</v>
      </c>
      <c r="U1257" s="25" t="str">
        <f t="shared" si="119"/>
        <v>-</v>
      </c>
      <c r="V1257" s="26" t="str">
        <f t="shared" si="120"/>
        <v>-</v>
      </c>
      <c r="X1257" s="26" t="str">
        <f t="shared" si="117"/>
        <v>-</v>
      </c>
    </row>
    <row r="1258" spans="1:24" x14ac:dyDescent="0.3">
      <c r="A1258" s="37">
        <v>87614027326</v>
      </c>
      <c r="B1258" s="8" t="s">
        <v>1945</v>
      </c>
      <c r="C1258" s="10" t="s">
        <v>2667</v>
      </c>
      <c r="D1258" s="11" t="s">
        <v>876</v>
      </c>
      <c r="E1258" s="11" t="s">
        <v>1053</v>
      </c>
      <c r="F1258" s="9">
        <v>30</v>
      </c>
      <c r="G1258" s="9">
        <v>90</v>
      </c>
      <c r="H1258" s="9" t="s">
        <v>868</v>
      </c>
      <c r="I1258" s="9">
        <v>24</v>
      </c>
      <c r="J1258" s="9">
        <v>90</v>
      </c>
      <c r="K1258" s="9" t="s">
        <v>869</v>
      </c>
      <c r="L1258" s="27">
        <v>0.130525</v>
      </c>
      <c r="M1258" s="28" t="s">
        <v>3203</v>
      </c>
      <c r="N1258" s="17">
        <v>47.291517000000006</v>
      </c>
      <c r="O1258" s="1"/>
      <c r="P1258" s="38">
        <f t="shared" si="115"/>
        <v>0</v>
      </c>
      <c r="S1258" s="24" t="str">
        <f t="shared" si="118"/>
        <v>-</v>
      </c>
      <c r="T1258" s="24" t="str">
        <f t="shared" si="116"/>
        <v>-</v>
      </c>
      <c r="U1258" s="25" t="str">
        <f t="shared" si="119"/>
        <v>-</v>
      </c>
      <c r="V1258" s="26" t="str">
        <f t="shared" si="120"/>
        <v>-</v>
      </c>
      <c r="X1258" s="26" t="str">
        <f t="shared" si="117"/>
        <v>-</v>
      </c>
    </row>
    <row r="1259" spans="1:24" x14ac:dyDescent="0.3">
      <c r="A1259" s="37">
        <v>87614027364</v>
      </c>
      <c r="B1259" s="8" t="s">
        <v>1486</v>
      </c>
      <c r="C1259" s="10" t="s">
        <v>2253</v>
      </c>
      <c r="D1259" s="11" t="s">
        <v>897</v>
      </c>
      <c r="E1259" s="11" t="s">
        <v>1034</v>
      </c>
      <c r="F1259" s="9">
        <v>30</v>
      </c>
      <c r="G1259" s="9">
        <v>90</v>
      </c>
      <c r="H1259" s="9" t="s">
        <v>868</v>
      </c>
      <c r="I1259" s="9">
        <v>24</v>
      </c>
      <c r="J1259" s="9">
        <v>60</v>
      </c>
      <c r="K1259" s="9" t="s">
        <v>889</v>
      </c>
      <c r="L1259" s="27">
        <v>0.11236500000000001</v>
      </c>
      <c r="M1259" s="28" t="s">
        <v>3203</v>
      </c>
      <c r="N1259" s="17">
        <v>8.9201069999999998</v>
      </c>
      <c r="O1259" s="1"/>
      <c r="P1259" s="38">
        <f t="shared" si="115"/>
        <v>0</v>
      </c>
      <c r="S1259" s="24" t="str">
        <f t="shared" si="118"/>
        <v>-</v>
      </c>
      <c r="T1259" s="24" t="str">
        <f t="shared" si="116"/>
        <v>-</v>
      </c>
      <c r="U1259" s="25" t="str">
        <f t="shared" si="119"/>
        <v>-</v>
      </c>
      <c r="V1259" s="26" t="str">
        <f t="shared" si="120"/>
        <v>-</v>
      </c>
      <c r="X1259" s="26" t="str">
        <f t="shared" si="117"/>
        <v>-</v>
      </c>
    </row>
    <row r="1260" spans="1:24" x14ac:dyDescent="0.3">
      <c r="A1260" s="37">
        <v>87614027418</v>
      </c>
      <c r="B1260" s="8" t="s">
        <v>794</v>
      </c>
      <c r="C1260" s="10" t="s">
        <v>795</v>
      </c>
      <c r="D1260" s="11" t="s">
        <v>874</v>
      </c>
      <c r="E1260" s="11" t="s">
        <v>914</v>
      </c>
      <c r="F1260" s="9">
        <v>30</v>
      </c>
      <c r="G1260" s="9">
        <v>90</v>
      </c>
      <c r="H1260" s="9" t="s">
        <v>868</v>
      </c>
      <c r="I1260" s="9">
        <v>24</v>
      </c>
      <c r="J1260" s="9">
        <v>30</v>
      </c>
      <c r="K1260" s="9" t="s">
        <v>889</v>
      </c>
      <c r="L1260" s="27">
        <v>4.9939999999999998E-2</v>
      </c>
      <c r="M1260" s="28" t="s">
        <v>3203</v>
      </c>
      <c r="N1260" s="17">
        <v>5.381964</v>
      </c>
      <c r="O1260" s="1"/>
      <c r="P1260" s="38">
        <f t="shared" si="115"/>
        <v>0</v>
      </c>
      <c r="S1260" s="24" t="str">
        <f t="shared" si="118"/>
        <v>-</v>
      </c>
      <c r="T1260" s="24" t="str">
        <f t="shared" si="116"/>
        <v>-</v>
      </c>
      <c r="U1260" s="25" t="str">
        <f t="shared" si="119"/>
        <v>-</v>
      </c>
      <c r="V1260" s="26" t="str">
        <f t="shared" si="120"/>
        <v>-</v>
      </c>
      <c r="X1260" s="26" t="str">
        <f t="shared" si="117"/>
        <v>-</v>
      </c>
    </row>
    <row r="1261" spans="1:24" x14ac:dyDescent="0.3">
      <c r="A1261" s="37">
        <v>87614027487</v>
      </c>
      <c r="B1261" s="8" t="s">
        <v>1838</v>
      </c>
      <c r="C1261" s="10" t="s">
        <v>2573</v>
      </c>
      <c r="D1261" s="11" t="s">
        <v>894</v>
      </c>
      <c r="E1261" s="11" t="s">
        <v>2896</v>
      </c>
      <c r="F1261" s="9">
        <v>24</v>
      </c>
      <c r="G1261" s="9">
        <v>888</v>
      </c>
      <c r="H1261" s="9" t="s">
        <v>892</v>
      </c>
      <c r="I1261" s="9">
        <v>60</v>
      </c>
      <c r="J1261" s="9">
        <v>1</v>
      </c>
      <c r="K1261" s="9" t="s">
        <v>887</v>
      </c>
      <c r="L1261" s="27">
        <v>0.59360500000000005</v>
      </c>
      <c r="M1261" s="28" t="s">
        <v>3203</v>
      </c>
      <c r="N1261" s="17">
        <v>12.640970999999999</v>
      </c>
      <c r="O1261" s="1"/>
      <c r="P1261" s="38">
        <f t="shared" si="115"/>
        <v>0</v>
      </c>
      <c r="S1261" s="24" t="str">
        <f t="shared" si="118"/>
        <v>-</v>
      </c>
      <c r="T1261" s="24" t="str">
        <f t="shared" si="116"/>
        <v>-</v>
      </c>
      <c r="U1261" s="25" t="str">
        <f t="shared" si="119"/>
        <v>-</v>
      </c>
      <c r="V1261" s="26" t="str">
        <f t="shared" si="120"/>
        <v>-</v>
      </c>
      <c r="X1261" s="26" t="str">
        <f t="shared" si="117"/>
        <v>-</v>
      </c>
    </row>
    <row r="1262" spans="1:24" x14ac:dyDescent="0.3">
      <c r="A1262" s="37">
        <v>87614027500</v>
      </c>
      <c r="B1262" s="8" t="s">
        <v>1840</v>
      </c>
      <c r="C1262" s="10" t="s">
        <v>2575</v>
      </c>
      <c r="D1262" s="11" t="s">
        <v>891</v>
      </c>
      <c r="E1262" s="11" t="s">
        <v>2897</v>
      </c>
      <c r="F1262" s="9">
        <v>30</v>
      </c>
      <c r="G1262" s="9">
        <v>90</v>
      </c>
      <c r="H1262" s="9" t="s">
        <v>868</v>
      </c>
      <c r="I1262" s="9">
        <v>36</v>
      </c>
      <c r="J1262" s="9">
        <v>90</v>
      </c>
      <c r="K1262" s="9" t="s">
        <v>869</v>
      </c>
      <c r="L1262" s="27">
        <v>8.8529999999999998E-2</v>
      </c>
      <c r="M1262" s="28" t="s">
        <v>3203</v>
      </c>
      <c r="N1262" s="17">
        <v>31.511067000000001</v>
      </c>
      <c r="O1262" s="1"/>
      <c r="P1262" s="38">
        <f t="shared" si="115"/>
        <v>0</v>
      </c>
      <c r="S1262" s="24" t="str">
        <f t="shared" si="118"/>
        <v>-</v>
      </c>
      <c r="T1262" s="24" t="str">
        <f t="shared" si="116"/>
        <v>-</v>
      </c>
      <c r="U1262" s="25" t="str">
        <f t="shared" si="119"/>
        <v>-</v>
      </c>
      <c r="V1262" s="26" t="str">
        <f t="shared" si="120"/>
        <v>-</v>
      </c>
      <c r="X1262" s="26" t="str">
        <f t="shared" si="117"/>
        <v>-</v>
      </c>
    </row>
    <row r="1263" spans="1:24" x14ac:dyDescent="0.3">
      <c r="A1263" s="37">
        <v>87614027753</v>
      </c>
      <c r="B1263" s="8" t="s">
        <v>1843</v>
      </c>
      <c r="C1263" s="10" t="s">
        <v>2578</v>
      </c>
      <c r="D1263" s="11" t="s">
        <v>866</v>
      </c>
      <c r="E1263" s="11" t="s">
        <v>956</v>
      </c>
      <c r="F1263" s="9">
        <v>30</v>
      </c>
      <c r="G1263" s="9">
        <v>90</v>
      </c>
      <c r="H1263" s="9" t="s">
        <v>868</v>
      </c>
      <c r="I1263" s="9">
        <v>36</v>
      </c>
      <c r="J1263" s="9">
        <v>90</v>
      </c>
      <c r="K1263" s="9" t="s">
        <v>906</v>
      </c>
      <c r="L1263" s="27">
        <v>8.8529999999999998E-2</v>
      </c>
      <c r="M1263" s="28" t="s">
        <v>3203</v>
      </c>
      <c r="N1263" s="17">
        <v>24.650724</v>
      </c>
      <c r="O1263" s="1"/>
      <c r="P1263" s="38">
        <f t="shared" si="115"/>
        <v>0</v>
      </c>
      <c r="S1263" s="24" t="str">
        <f t="shared" si="118"/>
        <v>-</v>
      </c>
      <c r="T1263" s="24" t="str">
        <f t="shared" si="116"/>
        <v>-</v>
      </c>
      <c r="U1263" s="25" t="str">
        <f t="shared" si="119"/>
        <v>-</v>
      </c>
      <c r="V1263" s="26" t="str">
        <f t="shared" si="120"/>
        <v>-</v>
      </c>
      <c r="X1263" s="26" t="str">
        <f t="shared" si="117"/>
        <v>-</v>
      </c>
    </row>
    <row r="1264" spans="1:24" x14ac:dyDescent="0.3">
      <c r="A1264" s="37">
        <v>87614027791</v>
      </c>
      <c r="B1264" s="8" t="s">
        <v>802</v>
      </c>
      <c r="C1264" s="10" t="s">
        <v>803</v>
      </c>
      <c r="D1264" s="11" t="s">
        <v>879</v>
      </c>
      <c r="E1264" s="11" t="s">
        <v>990</v>
      </c>
      <c r="F1264" s="9">
        <v>48</v>
      </c>
      <c r="G1264" s="9">
        <v>192</v>
      </c>
      <c r="H1264" s="9" t="s">
        <v>868</v>
      </c>
      <c r="I1264" s="9">
        <v>24</v>
      </c>
      <c r="J1264" s="9">
        <v>60</v>
      </c>
      <c r="K1264" s="9" t="s">
        <v>889</v>
      </c>
      <c r="L1264" s="27">
        <v>3.1780000000000003E-2</v>
      </c>
      <c r="M1264" s="28" t="s">
        <v>3203</v>
      </c>
      <c r="N1264" s="17">
        <v>6.6942329999999997</v>
      </c>
      <c r="O1264" s="1"/>
      <c r="P1264" s="38">
        <f t="shared" si="115"/>
        <v>0</v>
      </c>
      <c r="S1264" s="24" t="str">
        <f t="shared" si="118"/>
        <v>-</v>
      </c>
      <c r="T1264" s="24" t="str">
        <f t="shared" si="116"/>
        <v>-</v>
      </c>
      <c r="U1264" s="25" t="str">
        <f t="shared" si="119"/>
        <v>-</v>
      </c>
      <c r="V1264" s="26" t="str">
        <f t="shared" si="120"/>
        <v>-</v>
      </c>
      <c r="X1264" s="26" t="str">
        <f t="shared" si="117"/>
        <v>-</v>
      </c>
    </row>
    <row r="1265" spans="1:24" x14ac:dyDescent="0.3">
      <c r="A1265" s="37">
        <v>87614027814</v>
      </c>
      <c r="B1265" s="8" t="s">
        <v>804</v>
      </c>
      <c r="C1265" s="10" t="s">
        <v>805</v>
      </c>
      <c r="D1265" s="11" t="s">
        <v>882</v>
      </c>
      <c r="E1265" s="11" t="s">
        <v>920</v>
      </c>
      <c r="F1265" s="9">
        <v>30</v>
      </c>
      <c r="G1265" s="9">
        <v>30</v>
      </c>
      <c r="H1265" s="9" t="s">
        <v>868</v>
      </c>
      <c r="I1265" s="9">
        <v>24</v>
      </c>
      <c r="J1265" s="9">
        <v>30</v>
      </c>
      <c r="K1265" s="9" t="s">
        <v>900</v>
      </c>
      <c r="L1265" s="27">
        <v>0.20202999999999999</v>
      </c>
      <c r="M1265" s="28" t="s">
        <v>3203</v>
      </c>
      <c r="N1265" s="17">
        <v>13.903407</v>
      </c>
      <c r="O1265" s="1"/>
      <c r="P1265" s="38">
        <f t="shared" si="115"/>
        <v>0</v>
      </c>
      <c r="S1265" s="24" t="str">
        <f t="shared" si="118"/>
        <v>-</v>
      </c>
      <c r="T1265" s="24" t="str">
        <f t="shared" si="116"/>
        <v>-</v>
      </c>
      <c r="U1265" s="25" t="str">
        <f t="shared" si="119"/>
        <v>-</v>
      </c>
      <c r="V1265" s="26" t="str">
        <f t="shared" si="120"/>
        <v>-</v>
      </c>
      <c r="X1265" s="26" t="str">
        <f t="shared" si="117"/>
        <v>-</v>
      </c>
    </row>
    <row r="1266" spans="1:24" x14ac:dyDescent="0.3">
      <c r="A1266" s="37">
        <v>87614027975</v>
      </c>
      <c r="B1266" s="8" t="s">
        <v>1353</v>
      </c>
      <c r="C1266" s="10" t="s">
        <v>2133</v>
      </c>
      <c r="D1266" s="11" t="s">
        <v>876</v>
      </c>
      <c r="E1266" s="11" t="s">
        <v>1020</v>
      </c>
      <c r="F1266" s="9">
        <v>30</v>
      </c>
      <c r="G1266" s="9">
        <v>90</v>
      </c>
      <c r="H1266" s="9" t="s">
        <v>868</v>
      </c>
      <c r="I1266" s="9">
        <v>24</v>
      </c>
      <c r="J1266" s="9">
        <v>60</v>
      </c>
      <c r="K1266" s="9" t="s">
        <v>889</v>
      </c>
      <c r="L1266" s="27">
        <v>7.2639999999999996E-2</v>
      </c>
      <c r="M1266" s="28" t="s">
        <v>3203</v>
      </c>
      <c r="N1266" s="17">
        <v>9.235716</v>
      </c>
      <c r="O1266" s="1"/>
      <c r="P1266" s="38">
        <f t="shared" si="115"/>
        <v>0</v>
      </c>
      <c r="S1266" s="24" t="str">
        <f t="shared" si="118"/>
        <v>-</v>
      </c>
      <c r="T1266" s="24" t="str">
        <f t="shared" si="116"/>
        <v>-</v>
      </c>
      <c r="U1266" s="25" t="str">
        <f t="shared" si="119"/>
        <v>-</v>
      </c>
      <c r="V1266" s="26" t="str">
        <f t="shared" si="120"/>
        <v>-</v>
      </c>
      <c r="X1266" s="26" t="str">
        <f t="shared" si="117"/>
        <v>-</v>
      </c>
    </row>
    <row r="1267" spans="1:24" x14ac:dyDescent="0.3">
      <c r="A1267" s="37">
        <v>87614027982</v>
      </c>
      <c r="B1267" s="8" t="s">
        <v>1488</v>
      </c>
      <c r="C1267" s="10" t="s">
        <v>3038</v>
      </c>
      <c r="D1267" s="11" t="s">
        <v>883</v>
      </c>
      <c r="E1267" s="11" t="s">
        <v>926</v>
      </c>
      <c r="F1267" s="9">
        <v>30</v>
      </c>
      <c r="G1267" s="9">
        <v>90</v>
      </c>
      <c r="H1267" s="9" t="s">
        <v>868</v>
      </c>
      <c r="I1267" s="9">
        <v>24</v>
      </c>
      <c r="J1267" s="9">
        <v>60</v>
      </c>
      <c r="K1267" s="9" t="s">
        <v>2903</v>
      </c>
      <c r="L1267" s="27">
        <v>0.107825</v>
      </c>
      <c r="M1267" s="28" t="s">
        <v>3203</v>
      </c>
      <c r="N1267" s="17">
        <v>7.0596750000000004</v>
      </c>
      <c r="O1267" s="1"/>
      <c r="P1267" s="38">
        <f t="shared" si="115"/>
        <v>0</v>
      </c>
      <c r="S1267" s="24" t="str">
        <f t="shared" si="118"/>
        <v>-</v>
      </c>
      <c r="T1267" s="24" t="str">
        <f t="shared" si="116"/>
        <v>-</v>
      </c>
      <c r="U1267" s="25" t="str">
        <f t="shared" si="119"/>
        <v>-</v>
      </c>
      <c r="V1267" s="26" t="str">
        <f t="shared" si="120"/>
        <v>-</v>
      </c>
      <c r="X1267" s="26" t="str">
        <f t="shared" si="117"/>
        <v>-</v>
      </c>
    </row>
    <row r="1268" spans="1:24" x14ac:dyDescent="0.3">
      <c r="A1268" s="37">
        <v>87614027999</v>
      </c>
      <c r="B1268" s="8" t="s">
        <v>1845</v>
      </c>
      <c r="C1268" s="10" t="s">
        <v>3039</v>
      </c>
      <c r="D1268" s="11" t="s">
        <v>883</v>
      </c>
      <c r="E1268" s="11" t="s">
        <v>926</v>
      </c>
      <c r="F1268" s="9">
        <v>30</v>
      </c>
      <c r="G1268" s="9">
        <v>90</v>
      </c>
      <c r="H1268" s="9" t="s">
        <v>868</v>
      </c>
      <c r="I1268" s="9">
        <v>36</v>
      </c>
      <c r="J1268" s="9">
        <v>90</v>
      </c>
      <c r="K1268" s="9" t="s">
        <v>2903</v>
      </c>
      <c r="L1268" s="27">
        <v>0.10442</v>
      </c>
      <c r="M1268" s="28" t="s">
        <v>3203</v>
      </c>
      <c r="N1268" s="17">
        <v>8.5712759999999992</v>
      </c>
      <c r="O1268" s="1"/>
      <c r="P1268" s="38">
        <f t="shared" si="115"/>
        <v>0</v>
      </c>
      <c r="S1268" s="24" t="str">
        <f t="shared" si="118"/>
        <v>-</v>
      </c>
      <c r="T1268" s="24" t="str">
        <f t="shared" si="116"/>
        <v>-</v>
      </c>
      <c r="U1268" s="25" t="str">
        <f t="shared" si="119"/>
        <v>-</v>
      </c>
      <c r="V1268" s="26" t="str">
        <f t="shared" si="120"/>
        <v>-</v>
      </c>
      <c r="X1268" s="26" t="str">
        <f t="shared" si="117"/>
        <v>-</v>
      </c>
    </row>
    <row r="1269" spans="1:24" x14ac:dyDescent="0.3">
      <c r="A1269" s="37">
        <v>87614028095</v>
      </c>
      <c r="B1269" s="8" t="s">
        <v>1489</v>
      </c>
      <c r="C1269" s="10" t="s">
        <v>2254</v>
      </c>
      <c r="D1269" s="11" t="s">
        <v>899</v>
      </c>
      <c r="E1269" s="11" t="s">
        <v>1013</v>
      </c>
      <c r="F1269" s="9">
        <v>30</v>
      </c>
      <c r="G1269" s="9">
        <v>90</v>
      </c>
      <c r="H1269" s="9" t="s">
        <v>868</v>
      </c>
      <c r="I1269" s="9">
        <v>24</v>
      </c>
      <c r="J1269" s="9">
        <v>60</v>
      </c>
      <c r="K1269" s="9" t="s">
        <v>889</v>
      </c>
      <c r="L1269" s="27">
        <v>5.5615000000000005E-2</v>
      </c>
      <c r="M1269" s="28" t="s">
        <v>3203</v>
      </c>
      <c r="N1269" s="17">
        <v>13.820352</v>
      </c>
      <c r="O1269" s="1"/>
      <c r="P1269" s="38">
        <f t="shared" si="115"/>
        <v>0</v>
      </c>
      <c r="S1269" s="24" t="str">
        <f t="shared" si="118"/>
        <v>-</v>
      </c>
      <c r="T1269" s="24" t="str">
        <f t="shared" si="116"/>
        <v>-</v>
      </c>
      <c r="U1269" s="25" t="str">
        <f t="shared" si="119"/>
        <v>-</v>
      </c>
      <c r="V1269" s="26" t="str">
        <f t="shared" si="120"/>
        <v>-</v>
      </c>
      <c r="X1269" s="26" t="str">
        <f t="shared" si="117"/>
        <v>-</v>
      </c>
    </row>
    <row r="1270" spans="1:24" x14ac:dyDescent="0.3">
      <c r="A1270" s="37">
        <v>87614028149</v>
      </c>
      <c r="B1270" s="8" t="s">
        <v>1847</v>
      </c>
      <c r="C1270" s="10" t="s">
        <v>2581</v>
      </c>
      <c r="D1270" s="11" t="s">
        <v>872</v>
      </c>
      <c r="E1270" s="11" t="s">
        <v>2877</v>
      </c>
      <c r="F1270" s="9">
        <v>30</v>
      </c>
      <c r="G1270" s="9">
        <v>90</v>
      </c>
      <c r="H1270" s="9" t="s">
        <v>868</v>
      </c>
      <c r="I1270" s="9">
        <v>36</v>
      </c>
      <c r="J1270" s="9">
        <v>60</v>
      </c>
      <c r="K1270" s="9" t="s">
        <v>889</v>
      </c>
      <c r="L1270" s="27">
        <v>8.6260000000000003E-2</v>
      </c>
      <c r="M1270" s="28" t="s">
        <v>3203</v>
      </c>
      <c r="N1270" s="17">
        <v>9.5679359999999996</v>
      </c>
      <c r="O1270" s="1"/>
      <c r="P1270" s="38">
        <f t="shared" si="115"/>
        <v>0</v>
      </c>
      <c r="S1270" s="24" t="str">
        <f t="shared" si="118"/>
        <v>-</v>
      </c>
      <c r="T1270" s="24" t="str">
        <f t="shared" si="116"/>
        <v>-</v>
      </c>
      <c r="U1270" s="25" t="str">
        <f t="shared" si="119"/>
        <v>-</v>
      </c>
      <c r="V1270" s="26" t="str">
        <f t="shared" si="120"/>
        <v>-</v>
      </c>
      <c r="X1270" s="26" t="str">
        <f t="shared" si="117"/>
        <v>-</v>
      </c>
    </row>
    <row r="1271" spans="1:24" x14ac:dyDescent="0.3">
      <c r="A1271" s="37">
        <v>87614028163</v>
      </c>
      <c r="B1271" s="8" t="s">
        <v>1217</v>
      </c>
      <c r="C1271" s="10" t="s">
        <v>2798</v>
      </c>
      <c r="D1271" s="11" t="s">
        <v>881</v>
      </c>
      <c r="E1271" s="11" t="s">
        <v>1052</v>
      </c>
      <c r="F1271" s="9">
        <v>30</v>
      </c>
      <c r="G1271" s="9">
        <v>90</v>
      </c>
      <c r="H1271" s="9" t="s">
        <v>868</v>
      </c>
      <c r="I1271" s="9">
        <v>24</v>
      </c>
      <c r="J1271" s="9">
        <v>60</v>
      </c>
      <c r="K1271" s="9" t="s">
        <v>2903</v>
      </c>
      <c r="L1271" s="27">
        <v>5.1074999999999995E-2</v>
      </c>
      <c r="M1271" s="28" t="s">
        <v>3203</v>
      </c>
      <c r="N1271" s="17">
        <v>19.700645999999999</v>
      </c>
      <c r="O1271" s="1"/>
      <c r="P1271" s="38">
        <f t="shared" si="115"/>
        <v>0</v>
      </c>
      <c r="S1271" s="24" t="str">
        <f t="shared" si="118"/>
        <v>-</v>
      </c>
      <c r="T1271" s="24" t="str">
        <f t="shared" si="116"/>
        <v>-</v>
      </c>
      <c r="U1271" s="25" t="str">
        <f t="shared" si="119"/>
        <v>-</v>
      </c>
      <c r="V1271" s="26" t="str">
        <f t="shared" si="120"/>
        <v>-</v>
      </c>
      <c r="X1271" s="26" t="str">
        <f t="shared" si="117"/>
        <v>-</v>
      </c>
    </row>
    <row r="1272" spans="1:24" x14ac:dyDescent="0.3">
      <c r="A1272" s="37">
        <v>87614028231</v>
      </c>
      <c r="B1272" s="8" t="s">
        <v>1906</v>
      </c>
      <c r="C1272" s="10" t="s">
        <v>2630</v>
      </c>
      <c r="D1272" s="11" t="s">
        <v>874</v>
      </c>
      <c r="E1272" s="11" t="s">
        <v>914</v>
      </c>
      <c r="F1272" s="9">
        <v>30</v>
      </c>
      <c r="G1272" s="9">
        <v>90</v>
      </c>
      <c r="H1272" s="9" t="s">
        <v>868</v>
      </c>
      <c r="I1272" s="9">
        <v>24</v>
      </c>
      <c r="J1272" s="9">
        <v>60</v>
      </c>
      <c r="K1272" s="9" t="s">
        <v>889</v>
      </c>
      <c r="L1272" s="27">
        <v>9.5340000000000008E-2</v>
      </c>
      <c r="M1272" s="28" t="s">
        <v>3203</v>
      </c>
      <c r="N1272" s="17">
        <v>10.979870999999999</v>
      </c>
      <c r="O1272" s="1"/>
      <c r="P1272" s="38">
        <f t="shared" si="115"/>
        <v>0</v>
      </c>
      <c r="S1272" s="24" t="str">
        <f t="shared" si="118"/>
        <v>-</v>
      </c>
      <c r="T1272" s="24" t="str">
        <f t="shared" si="116"/>
        <v>-</v>
      </c>
      <c r="U1272" s="25" t="str">
        <f t="shared" si="119"/>
        <v>-</v>
      </c>
      <c r="V1272" s="26" t="str">
        <f t="shared" si="120"/>
        <v>-</v>
      </c>
      <c r="X1272" s="26" t="str">
        <f t="shared" si="117"/>
        <v>-</v>
      </c>
    </row>
    <row r="1273" spans="1:24" x14ac:dyDescent="0.3">
      <c r="A1273" s="37">
        <v>87614028316</v>
      </c>
      <c r="B1273" s="8" t="s">
        <v>1850</v>
      </c>
      <c r="C1273" s="10" t="s">
        <v>2584</v>
      </c>
      <c r="D1273" s="11" t="s">
        <v>872</v>
      </c>
      <c r="E1273" s="11" t="s">
        <v>2877</v>
      </c>
      <c r="F1273" s="9">
        <v>30</v>
      </c>
      <c r="G1273" s="9">
        <v>90</v>
      </c>
      <c r="H1273" s="9" t="s">
        <v>868</v>
      </c>
      <c r="I1273" s="9">
        <v>24</v>
      </c>
      <c r="J1273" s="9">
        <v>60</v>
      </c>
      <c r="K1273" s="9" t="s">
        <v>889</v>
      </c>
      <c r="L1273" s="27">
        <v>9.4205000000000011E-2</v>
      </c>
      <c r="M1273" s="28" t="s">
        <v>3203</v>
      </c>
      <c r="N1273" s="17">
        <v>12.325362</v>
      </c>
      <c r="O1273" s="1"/>
      <c r="P1273" s="38">
        <f t="shared" si="115"/>
        <v>0</v>
      </c>
      <c r="S1273" s="24" t="str">
        <f t="shared" si="118"/>
        <v>-</v>
      </c>
      <c r="T1273" s="24" t="str">
        <f t="shared" si="116"/>
        <v>-</v>
      </c>
      <c r="U1273" s="25" t="str">
        <f t="shared" si="119"/>
        <v>-</v>
      </c>
      <c r="V1273" s="26" t="str">
        <f t="shared" si="120"/>
        <v>-</v>
      </c>
      <c r="X1273" s="26" t="str">
        <f t="shared" si="117"/>
        <v>-</v>
      </c>
    </row>
    <row r="1274" spans="1:24" x14ac:dyDescent="0.3">
      <c r="A1274" s="37">
        <v>87614028330</v>
      </c>
      <c r="B1274" s="8" t="s">
        <v>813</v>
      </c>
      <c r="C1274" s="10" t="s">
        <v>814</v>
      </c>
      <c r="D1274" s="11" t="s">
        <v>882</v>
      </c>
      <c r="E1274" s="11" t="s">
        <v>920</v>
      </c>
      <c r="F1274" s="9">
        <v>30</v>
      </c>
      <c r="G1274" s="9">
        <v>90</v>
      </c>
      <c r="H1274" s="9" t="s">
        <v>892</v>
      </c>
      <c r="I1274" s="9">
        <v>24</v>
      </c>
      <c r="J1274" s="9">
        <v>60</v>
      </c>
      <c r="K1274" s="9" t="s">
        <v>889</v>
      </c>
      <c r="L1274" s="27">
        <v>0.110095</v>
      </c>
      <c r="M1274" s="28" t="s">
        <v>3203</v>
      </c>
      <c r="N1274" s="17">
        <v>4.6012469999999999</v>
      </c>
      <c r="O1274" s="1"/>
      <c r="P1274" s="38">
        <f t="shared" si="115"/>
        <v>0</v>
      </c>
      <c r="S1274" s="24" t="str">
        <f t="shared" si="118"/>
        <v>-</v>
      </c>
      <c r="T1274" s="24" t="str">
        <f t="shared" si="116"/>
        <v>-</v>
      </c>
      <c r="U1274" s="25" t="str">
        <f t="shared" si="119"/>
        <v>-</v>
      </c>
      <c r="V1274" s="26" t="str">
        <f t="shared" si="120"/>
        <v>-</v>
      </c>
      <c r="X1274" s="26" t="str">
        <f t="shared" si="117"/>
        <v>-</v>
      </c>
    </row>
    <row r="1275" spans="1:24" x14ac:dyDescent="0.3">
      <c r="A1275" s="37">
        <v>87614028415</v>
      </c>
      <c r="B1275" s="8" t="s">
        <v>1852</v>
      </c>
      <c r="C1275" s="10" t="s">
        <v>3194</v>
      </c>
      <c r="D1275" s="11" t="s">
        <v>881</v>
      </c>
      <c r="E1275" s="11" t="s">
        <v>996</v>
      </c>
      <c r="F1275" s="9">
        <v>30</v>
      </c>
      <c r="G1275" s="9">
        <v>90</v>
      </c>
      <c r="H1275" s="9" t="s">
        <v>892</v>
      </c>
      <c r="I1275" s="9">
        <v>24</v>
      </c>
      <c r="J1275" s="9">
        <v>60</v>
      </c>
      <c r="K1275" s="9" t="s">
        <v>3050</v>
      </c>
      <c r="L1275" s="27">
        <v>9.5340000000000008E-2</v>
      </c>
      <c r="M1275" s="28" t="s">
        <v>3203</v>
      </c>
      <c r="N1275" s="17">
        <v>20.365085999999998</v>
      </c>
      <c r="O1275" s="1"/>
      <c r="P1275" s="38">
        <f t="shared" si="115"/>
        <v>0</v>
      </c>
      <c r="S1275" s="24" t="str">
        <f t="shared" si="118"/>
        <v>-</v>
      </c>
      <c r="T1275" s="24" t="str">
        <f t="shared" si="116"/>
        <v>-</v>
      </c>
      <c r="U1275" s="25" t="str">
        <f t="shared" si="119"/>
        <v>-</v>
      </c>
      <c r="V1275" s="26" t="str">
        <f t="shared" si="120"/>
        <v>-</v>
      </c>
      <c r="X1275" s="26" t="str">
        <f t="shared" si="117"/>
        <v>-</v>
      </c>
    </row>
    <row r="1276" spans="1:24" x14ac:dyDescent="0.3">
      <c r="A1276" s="37">
        <v>87614028422</v>
      </c>
      <c r="B1276" s="8" t="s">
        <v>1168</v>
      </c>
      <c r="C1276" s="10" t="s">
        <v>1990</v>
      </c>
      <c r="D1276" s="11" t="s">
        <v>872</v>
      </c>
      <c r="E1276" s="11" t="s">
        <v>915</v>
      </c>
      <c r="F1276" s="9">
        <v>48</v>
      </c>
      <c r="G1276" s="9">
        <v>192</v>
      </c>
      <c r="H1276" s="9" t="s">
        <v>868</v>
      </c>
      <c r="I1276" s="9">
        <v>36</v>
      </c>
      <c r="J1276" s="9">
        <v>60</v>
      </c>
      <c r="K1276" s="9" t="s">
        <v>904</v>
      </c>
      <c r="L1276" s="27">
        <v>3.9725000000000003E-2</v>
      </c>
      <c r="M1276" s="28" t="s">
        <v>3203</v>
      </c>
      <c r="N1276" s="17">
        <v>16.278780000000001</v>
      </c>
      <c r="O1276" s="1"/>
      <c r="P1276" s="38">
        <f t="shared" si="115"/>
        <v>0</v>
      </c>
      <c r="S1276" s="24" t="str">
        <f t="shared" si="118"/>
        <v>-</v>
      </c>
      <c r="T1276" s="24" t="str">
        <f t="shared" si="116"/>
        <v>-</v>
      </c>
      <c r="U1276" s="25" t="str">
        <f t="shared" si="119"/>
        <v>-</v>
      </c>
      <c r="V1276" s="26" t="str">
        <f t="shared" si="120"/>
        <v>-</v>
      </c>
      <c r="X1276" s="26" t="str">
        <f t="shared" si="117"/>
        <v>-</v>
      </c>
    </row>
    <row r="1277" spans="1:24" x14ac:dyDescent="0.3">
      <c r="A1277" s="37">
        <v>87614028439</v>
      </c>
      <c r="B1277" s="8" t="s">
        <v>819</v>
      </c>
      <c r="C1277" s="10" t="s">
        <v>820</v>
      </c>
      <c r="D1277" s="11" t="s">
        <v>891</v>
      </c>
      <c r="E1277" s="11" t="s">
        <v>1061</v>
      </c>
      <c r="F1277" s="9">
        <v>30</v>
      </c>
      <c r="G1277" s="9">
        <v>90</v>
      </c>
      <c r="H1277" s="9" t="s">
        <v>868</v>
      </c>
      <c r="I1277" s="9">
        <v>24</v>
      </c>
      <c r="J1277" s="9">
        <v>60</v>
      </c>
      <c r="K1277" s="9" t="s">
        <v>889</v>
      </c>
      <c r="L1277" s="27">
        <v>7.831500000000001E-2</v>
      </c>
      <c r="M1277" s="28" t="s">
        <v>3203</v>
      </c>
      <c r="N1277" s="17">
        <v>24.451392000000002</v>
      </c>
      <c r="O1277" s="1"/>
      <c r="P1277" s="38">
        <f t="shared" si="115"/>
        <v>0</v>
      </c>
      <c r="S1277" s="24" t="str">
        <f t="shared" si="118"/>
        <v>-</v>
      </c>
      <c r="T1277" s="24" t="str">
        <f t="shared" si="116"/>
        <v>-</v>
      </c>
      <c r="U1277" s="25" t="str">
        <f t="shared" si="119"/>
        <v>-</v>
      </c>
      <c r="V1277" s="26" t="str">
        <f t="shared" si="120"/>
        <v>-</v>
      </c>
      <c r="X1277" s="26" t="str">
        <f t="shared" si="117"/>
        <v>-</v>
      </c>
    </row>
    <row r="1278" spans="1:24" x14ac:dyDescent="0.3">
      <c r="A1278" s="37">
        <v>87614028477</v>
      </c>
      <c r="B1278" s="8" t="s">
        <v>1854</v>
      </c>
      <c r="C1278" s="10" t="s">
        <v>3195</v>
      </c>
      <c r="D1278" s="11" t="s">
        <v>874</v>
      </c>
      <c r="E1278" s="11" t="s">
        <v>998</v>
      </c>
      <c r="F1278" s="9">
        <v>6</v>
      </c>
      <c r="G1278" s="9">
        <v>6</v>
      </c>
      <c r="H1278" s="9" t="s">
        <v>868</v>
      </c>
      <c r="I1278" s="9">
        <v>36</v>
      </c>
      <c r="J1278" s="9">
        <v>1</v>
      </c>
      <c r="K1278" s="9" t="s">
        <v>887</v>
      </c>
      <c r="L1278" s="27">
        <v>0.58225499999999997</v>
      </c>
      <c r="M1278" s="28" t="s">
        <v>3203</v>
      </c>
      <c r="N1278" s="17">
        <v>21.378357000000001</v>
      </c>
      <c r="O1278" s="1"/>
      <c r="P1278" s="38">
        <f t="shared" si="115"/>
        <v>0</v>
      </c>
      <c r="S1278" s="24" t="str">
        <f t="shared" si="118"/>
        <v>-</v>
      </c>
      <c r="T1278" s="24" t="str">
        <f t="shared" si="116"/>
        <v>-</v>
      </c>
      <c r="U1278" s="25" t="str">
        <f t="shared" si="119"/>
        <v>-</v>
      </c>
      <c r="V1278" s="26" t="str">
        <f t="shared" si="120"/>
        <v>-</v>
      </c>
      <c r="X1278" s="26" t="str">
        <f t="shared" si="117"/>
        <v>-</v>
      </c>
    </row>
    <row r="1279" spans="1:24" x14ac:dyDescent="0.3">
      <c r="A1279" s="37">
        <v>87614028552</v>
      </c>
      <c r="B1279" s="8" t="s">
        <v>1490</v>
      </c>
      <c r="C1279" s="10" t="s">
        <v>2255</v>
      </c>
      <c r="D1279" s="11" t="s">
        <v>874</v>
      </c>
      <c r="E1279" s="11" t="s">
        <v>919</v>
      </c>
      <c r="F1279" s="9">
        <v>30</v>
      </c>
      <c r="G1279" s="9">
        <v>90</v>
      </c>
      <c r="H1279" s="9" t="s">
        <v>868</v>
      </c>
      <c r="I1279" s="9">
        <v>24</v>
      </c>
      <c r="J1279" s="9">
        <v>60</v>
      </c>
      <c r="K1279" s="9" t="s">
        <v>2903</v>
      </c>
      <c r="L1279" s="27">
        <v>5.7884999999999999E-2</v>
      </c>
      <c r="M1279" s="28" t="s">
        <v>3203</v>
      </c>
      <c r="N1279" s="17">
        <v>22.308572999999999</v>
      </c>
      <c r="O1279" s="1"/>
      <c r="P1279" s="38">
        <f t="shared" si="115"/>
        <v>0</v>
      </c>
      <c r="S1279" s="24" t="str">
        <f t="shared" si="118"/>
        <v>-</v>
      </c>
      <c r="T1279" s="24" t="str">
        <f t="shared" si="116"/>
        <v>-</v>
      </c>
      <c r="U1279" s="25" t="str">
        <f t="shared" si="119"/>
        <v>-</v>
      </c>
      <c r="V1279" s="26" t="str">
        <f t="shared" si="120"/>
        <v>-</v>
      </c>
      <c r="X1279" s="26" t="str">
        <f t="shared" si="117"/>
        <v>-</v>
      </c>
    </row>
    <row r="1280" spans="1:24" x14ac:dyDescent="0.3">
      <c r="A1280" s="37">
        <v>87614028606</v>
      </c>
      <c r="B1280" s="8" t="s">
        <v>1491</v>
      </c>
      <c r="C1280" s="10" t="s">
        <v>2256</v>
      </c>
      <c r="D1280" s="11" t="s">
        <v>881</v>
      </c>
      <c r="E1280" s="11" t="s">
        <v>939</v>
      </c>
      <c r="F1280" s="9">
        <v>6</v>
      </c>
      <c r="G1280" s="9">
        <v>12</v>
      </c>
      <c r="H1280" s="9" t="s">
        <v>868</v>
      </c>
      <c r="I1280" s="9">
        <v>36</v>
      </c>
      <c r="J1280" s="9">
        <v>1</v>
      </c>
      <c r="K1280" s="9" t="s">
        <v>880</v>
      </c>
      <c r="L1280" s="27">
        <v>0.27694000000000002</v>
      </c>
      <c r="M1280" s="28" t="s">
        <v>3203</v>
      </c>
      <c r="N1280" s="17">
        <v>17.823602999999999</v>
      </c>
      <c r="O1280" s="1"/>
      <c r="P1280" s="38">
        <f t="shared" si="115"/>
        <v>0</v>
      </c>
      <c r="S1280" s="24" t="str">
        <f t="shared" si="118"/>
        <v>-</v>
      </c>
      <c r="T1280" s="24" t="str">
        <f t="shared" si="116"/>
        <v>-</v>
      </c>
      <c r="U1280" s="25" t="str">
        <f t="shared" si="119"/>
        <v>-</v>
      </c>
      <c r="V1280" s="26" t="str">
        <f t="shared" si="120"/>
        <v>-</v>
      </c>
      <c r="X1280" s="26" t="str">
        <f t="shared" si="117"/>
        <v>-</v>
      </c>
    </row>
    <row r="1281" spans="1:24" x14ac:dyDescent="0.3">
      <c r="A1281" s="37">
        <v>87614028644</v>
      </c>
      <c r="B1281" s="8" t="s">
        <v>1856</v>
      </c>
      <c r="C1281" s="10" t="s">
        <v>2587</v>
      </c>
      <c r="D1281" s="11" t="s">
        <v>883</v>
      </c>
      <c r="E1281" s="11" t="s">
        <v>1062</v>
      </c>
      <c r="F1281" s="9">
        <v>48</v>
      </c>
      <c r="G1281" s="9">
        <v>192</v>
      </c>
      <c r="H1281" s="9" t="s">
        <v>868</v>
      </c>
      <c r="I1281" s="9">
        <v>36</v>
      </c>
      <c r="J1281" s="9">
        <v>60</v>
      </c>
      <c r="K1281" s="9" t="s">
        <v>873</v>
      </c>
      <c r="L1281" s="27">
        <v>3.6319999999999998E-2</v>
      </c>
      <c r="M1281" s="28" t="s">
        <v>3203</v>
      </c>
      <c r="N1281" s="17">
        <v>38.803295999999996</v>
      </c>
      <c r="O1281" s="1"/>
      <c r="P1281" s="38">
        <f t="shared" si="115"/>
        <v>0</v>
      </c>
      <c r="S1281" s="24" t="str">
        <f t="shared" si="118"/>
        <v>-</v>
      </c>
      <c r="T1281" s="24" t="str">
        <f t="shared" si="116"/>
        <v>-</v>
      </c>
      <c r="U1281" s="25" t="str">
        <f t="shared" si="119"/>
        <v>-</v>
      </c>
      <c r="V1281" s="26" t="str">
        <f t="shared" si="120"/>
        <v>-</v>
      </c>
      <c r="X1281" s="26" t="str">
        <f t="shared" si="117"/>
        <v>-</v>
      </c>
    </row>
    <row r="1282" spans="1:24" x14ac:dyDescent="0.3">
      <c r="A1282" s="37">
        <v>87614028699</v>
      </c>
      <c r="B1282" s="8" t="s">
        <v>1143</v>
      </c>
      <c r="C1282" s="10" t="s">
        <v>1971</v>
      </c>
      <c r="D1282" s="11" t="s">
        <v>872</v>
      </c>
      <c r="E1282" s="11" t="s">
        <v>915</v>
      </c>
      <c r="F1282" s="9">
        <v>48</v>
      </c>
      <c r="G1282" s="9">
        <v>192</v>
      </c>
      <c r="H1282" s="9" t="s">
        <v>868</v>
      </c>
      <c r="I1282" s="9">
        <v>24</v>
      </c>
      <c r="J1282" s="9">
        <v>60</v>
      </c>
      <c r="K1282" s="9" t="s">
        <v>896</v>
      </c>
      <c r="L1282" s="27">
        <v>3.5185000000000001E-2</v>
      </c>
      <c r="M1282" s="28" t="s">
        <v>3203</v>
      </c>
      <c r="N1282" s="17">
        <v>8.7706079999999993</v>
      </c>
      <c r="O1282" s="1"/>
      <c r="P1282" s="38">
        <f t="shared" si="115"/>
        <v>0</v>
      </c>
      <c r="S1282" s="24" t="str">
        <f t="shared" si="118"/>
        <v>-</v>
      </c>
      <c r="T1282" s="24" t="str">
        <f t="shared" si="116"/>
        <v>-</v>
      </c>
      <c r="U1282" s="25" t="str">
        <f t="shared" si="119"/>
        <v>-</v>
      </c>
      <c r="V1282" s="26" t="str">
        <f t="shared" si="120"/>
        <v>-</v>
      </c>
      <c r="X1282" s="26" t="str">
        <f t="shared" si="117"/>
        <v>-</v>
      </c>
    </row>
    <row r="1283" spans="1:24" x14ac:dyDescent="0.3">
      <c r="A1283" s="37">
        <v>87614028705</v>
      </c>
      <c r="B1283" s="8" t="s">
        <v>1492</v>
      </c>
      <c r="C1283" s="10" t="s">
        <v>2257</v>
      </c>
      <c r="D1283" s="11" t="s">
        <v>872</v>
      </c>
      <c r="E1283" s="11" t="s">
        <v>2898</v>
      </c>
      <c r="F1283" s="9">
        <v>48</v>
      </c>
      <c r="G1283" s="9">
        <v>192</v>
      </c>
      <c r="H1283" s="9" t="s">
        <v>868</v>
      </c>
      <c r="I1283" s="9">
        <v>24</v>
      </c>
      <c r="J1283" s="9">
        <v>30</v>
      </c>
      <c r="K1283" s="9" t="s">
        <v>2903</v>
      </c>
      <c r="L1283" s="27">
        <v>2.3835000000000002E-2</v>
      </c>
      <c r="M1283" s="28" t="s">
        <v>3203</v>
      </c>
      <c r="N1283" s="17">
        <v>5.099577</v>
      </c>
      <c r="O1283" s="1"/>
      <c r="P1283" s="38">
        <f t="shared" ref="P1283:P1346" si="121">O1283*N1283</f>
        <v>0</v>
      </c>
      <c r="S1283" s="24" t="str">
        <f t="shared" si="118"/>
        <v>-</v>
      </c>
      <c r="T1283" s="24" t="str">
        <f t="shared" ref="T1283:T1346" si="122">IF(O1283&gt;0,N1283+L1283*O1283/$U$2*$V$2/O1283,"-")</f>
        <v>-</v>
      </c>
      <c r="U1283" s="25" t="str">
        <f t="shared" si="119"/>
        <v>-</v>
      </c>
      <c r="V1283" s="26" t="str">
        <f t="shared" si="120"/>
        <v>-</v>
      </c>
      <c r="X1283" s="26" t="str">
        <f t="shared" ref="X1283:X1346" si="123">IFERROR(IF(V1283+P1283=0, "-", IF(V1283&gt;0, V1283+P1283, "-")), "-")</f>
        <v>-</v>
      </c>
    </row>
    <row r="1284" spans="1:24" x14ac:dyDescent="0.3">
      <c r="A1284" s="37">
        <v>87614028767</v>
      </c>
      <c r="B1284" s="8" t="s">
        <v>1933</v>
      </c>
      <c r="C1284" s="10" t="s">
        <v>2655</v>
      </c>
      <c r="D1284" s="11" t="s">
        <v>870</v>
      </c>
      <c r="E1284" s="11" t="s">
        <v>2846</v>
      </c>
      <c r="F1284" s="9">
        <v>30</v>
      </c>
      <c r="G1284" s="9">
        <v>90</v>
      </c>
      <c r="H1284" s="9" t="s">
        <v>868</v>
      </c>
      <c r="I1284" s="9">
        <v>24</v>
      </c>
      <c r="J1284" s="9">
        <v>60</v>
      </c>
      <c r="K1284" s="9" t="s">
        <v>869</v>
      </c>
      <c r="L1284" s="27">
        <v>0.103285</v>
      </c>
      <c r="M1284" s="28" t="s">
        <v>3203</v>
      </c>
      <c r="N1284" s="17">
        <v>15.481451999999999</v>
      </c>
      <c r="O1284" s="1"/>
      <c r="P1284" s="38">
        <f t="shared" si="121"/>
        <v>0</v>
      </c>
      <c r="S1284" s="24" t="str">
        <f t="shared" ref="S1284:S1347" si="124">IFERROR(IF(S$2*L1284=0, "-", $S$2*L1284), "-")</f>
        <v>-</v>
      </c>
      <c r="T1284" s="24" t="str">
        <f t="shared" si="122"/>
        <v>-</v>
      </c>
      <c r="U1284" s="25" t="str">
        <f t="shared" ref="U1284:U1347" si="125">IF(O1284&gt;0,O1284*L1284, "-")</f>
        <v>-</v>
      </c>
      <c r="V1284" s="26" t="str">
        <f t="shared" ref="V1284:V1347" si="126">IFERROR(IF($S$2&gt;0, $S$2*U1284, "-"), "-")</f>
        <v>-</v>
      </c>
      <c r="X1284" s="26" t="str">
        <f t="shared" si="123"/>
        <v>-</v>
      </c>
    </row>
    <row r="1285" spans="1:24" x14ac:dyDescent="0.3">
      <c r="A1285" s="37">
        <v>87614028859</v>
      </c>
      <c r="B1285" s="8" t="s">
        <v>1860</v>
      </c>
      <c r="C1285" s="10" t="s">
        <v>2591</v>
      </c>
      <c r="D1285" s="11" t="s">
        <v>874</v>
      </c>
      <c r="E1285" s="11" t="s">
        <v>925</v>
      </c>
      <c r="F1285" s="9">
        <v>16</v>
      </c>
      <c r="G1285" s="9">
        <v>48</v>
      </c>
      <c r="H1285" s="9" t="s">
        <v>868</v>
      </c>
      <c r="I1285" s="9">
        <v>36</v>
      </c>
      <c r="J1285" s="9">
        <v>90</v>
      </c>
      <c r="K1285" s="9" t="s">
        <v>877</v>
      </c>
      <c r="L1285" s="27">
        <v>0.21451500000000001</v>
      </c>
      <c r="M1285" s="28" t="s">
        <v>3203</v>
      </c>
      <c r="N1285" s="17">
        <v>18.936540000000001</v>
      </c>
      <c r="O1285" s="1"/>
      <c r="P1285" s="38">
        <f t="shared" si="121"/>
        <v>0</v>
      </c>
      <c r="S1285" s="24" t="str">
        <f t="shared" si="124"/>
        <v>-</v>
      </c>
      <c r="T1285" s="24" t="str">
        <f t="shared" si="122"/>
        <v>-</v>
      </c>
      <c r="U1285" s="25" t="str">
        <f t="shared" si="125"/>
        <v>-</v>
      </c>
      <c r="V1285" s="26" t="str">
        <f t="shared" si="126"/>
        <v>-</v>
      </c>
      <c r="X1285" s="26" t="str">
        <f t="shared" si="123"/>
        <v>-</v>
      </c>
    </row>
    <row r="1286" spans="1:24" x14ac:dyDescent="0.3">
      <c r="A1286" s="37">
        <v>87614028866</v>
      </c>
      <c r="B1286" s="8" t="s">
        <v>1494</v>
      </c>
      <c r="C1286" s="10" t="s">
        <v>3196</v>
      </c>
      <c r="D1286" s="11" t="s">
        <v>874</v>
      </c>
      <c r="E1286" s="11" t="s">
        <v>925</v>
      </c>
      <c r="F1286" s="9">
        <v>30</v>
      </c>
      <c r="G1286" s="9">
        <v>90</v>
      </c>
      <c r="H1286" s="9" t="s">
        <v>868</v>
      </c>
      <c r="I1286" s="9">
        <v>24</v>
      </c>
      <c r="J1286" s="9">
        <v>60</v>
      </c>
      <c r="K1286" s="9" t="s">
        <v>2903</v>
      </c>
      <c r="L1286" s="27">
        <v>9.1935000000000003E-2</v>
      </c>
      <c r="M1286" s="28" t="s">
        <v>3203</v>
      </c>
      <c r="N1286" s="17">
        <v>8.1560009999999998</v>
      </c>
      <c r="O1286" s="1"/>
      <c r="P1286" s="38">
        <f t="shared" si="121"/>
        <v>0</v>
      </c>
      <c r="S1286" s="24" t="str">
        <f t="shared" si="124"/>
        <v>-</v>
      </c>
      <c r="T1286" s="24" t="str">
        <f t="shared" si="122"/>
        <v>-</v>
      </c>
      <c r="U1286" s="25" t="str">
        <f t="shared" si="125"/>
        <v>-</v>
      </c>
      <c r="V1286" s="26" t="str">
        <f t="shared" si="126"/>
        <v>-</v>
      </c>
      <c r="X1286" s="26" t="str">
        <f t="shared" si="123"/>
        <v>-</v>
      </c>
    </row>
    <row r="1287" spans="1:24" x14ac:dyDescent="0.3">
      <c r="A1287" s="37">
        <v>87614028897</v>
      </c>
      <c r="B1287" s="8" t="s">
        <v>1495</v>
      </c>
      <c r="C1287" s="10" t="s">
        <v>2258</v>
      </c>
      <c r="D1287" s="11" t="s">
        <v>885</v>
      </c>
      <c r="E1287" s="11" t="s">
        <v>1004</v>
      </c>
      <c r="F1287" s="9">
        <v>30</v>
      </c>
      <c r="G1287" s="9">
        <v>90</v>
      </c>
      <c r="H1287" s="9" t="s">
        <v>868</v>
      </c>
      <c r="I1287" s="9">
        <v>24</v>
      </c>
      <c r="J1287" s="9">
        <v>30</v>
      </c>
      <c r="K1287" s="9" t="s">
        <v>889</v>
      </c>
      <c r="L1287" s="27">
        <v>5.7884999999999999E-2</v>
      </c>
      <c r="M1287" s="28" t="s">
        <v>3203</v>
      </c>
      <c r="N1287" s="17">
        <v>14.518014000000001</v>
      </c>
      <c r="O1287" s="1"/>
      <c r="P1287" s="38">
        <f t="shared" si="121"/>
        <v>0</v>
      </c>
      <c r="S1287" s="24" t="str">
        <f t="shared" si="124"/>
        <v>-</v>
      </c>
      <c r="T1287" s="24" t="str">
        <f t="shared" si="122"/>
        <v>-</v>
      </c>
      <c r="U1287" s="25" t="str">
        <f t="shared" si="125"/>
        <v>-</v>
      </c>
      <c r="V1287" s="26" t="str">
        <f t="shared" si="126"/>
        <v>-</v>
      </c>
      <c r="X1287" s="26" t="str">
        <f t="shared" si="123"/>
        <v>-</v>
      </c>
    </row>
    <row r="1288" spans="1:24" x14ac:dyDescent="0.3">
      <c r="A1288" s="37">
        <v>87614028910</v>
      </c>
      <c r="B1288" s="8" t="s">
        <v>1930</v>
      </c>
      <c r="C1288" s="10" t="s">
        <v>2653</v>
      </c>
      <c r="D1288" s="11" t="s">
        <v>2822</v>
      </c>
      <c r="E1288" s="11" t="s">
        <v>2887</v>
      </c>
      <c r="F1288" s="9">
        <v>6</v>
      </c>
      <c r="G1288" s="9">
        <v>6</v>
      </c>
      <c r="H1288" s="9" t="s">
        <v>868</v>
      </c>
      <c r="I1288" s="9">
        <v>24</v>
      </c>
      <c r="J1288" s="9">
        <v>1</v>
      </c>
      <c r="K1288" s="9" t="s">
        <v>880</v>
      </c>
      <c r="L1288" s="27">
        <v>0.58225499999999997</v>
      </c>
      <c r="M1288" s="28" t="s">
        <v>3203</v>
      </c>
      <c r="N1288" s="17">
        <v>32.889779999999995</v>
      </c>
      <c r="O1288" s="1"/>
      <c r="P1288" s="38">
        <f t="shared" si="121"/>
        <v>0</v>
      </c>
      <c r="S1288" s="24" t="str">
        <f t="shared" si="124"/>
        <v>-</v>
      </c>
      <c r="T1288" s="24" t="str">
        <f t="shared" si="122"/>
        <v>-</v>
      </c>
      <c r="U1288" s="25" t="str">
        <f t="shared" si="125"/>
        <v>-</v>
      </c>
      <c r="V1288" s="26" t="str">
        <f t="shared" si="126"/>
        <v>-</v>
      </c>
      <c r="X1288" s="26" t="str">
        <f t="shared" si="123"/>
        <v>-</v>
      </c>
    </row>
    <row r="1289" spans="1:24" x14ac:dyDescent="0.3">
      <c r="A1289" s="37">
        <v>87614028927</v>
      </c>
      <c r="B1289" s="8" t="s">
        <v>1861</v>
      </c>
      <c r="C1289" s="10" t="s">
        <v>2592</v>
      </c>
      <c r="D1289" s="11" t="s">
        <v>898</v>
      </c>
      <c r="E1289" s="11" t="s">
        <v>966</v>
      </c>
      <c r="F1289" s="9">
        <v>30</v>
      </c>
      <c r="G1289" s="9">
        <v>90</v>
      </c>
      <c r="H1289" s="9" t="s">
        <v>868</v>
      </c>
      <c r="I1289" s="9">
        <v>24</v>
      </c>
      <c r="J1289" s="9">
        <v>30</v>
      </c>
      <c r="K1289" s="9" t="s">
        <v>869</v>
      </c>
      <c r="L1289" s="27">
        <v>6.8099999999999994E-2</v>
      </c>
      <c r="M1289" s="28" t="s">
        <v>3203</v>
      </c>
      <c r="N1289" s="17">
        <v>11.461589999999999</v>
      </c>
      <c r="O1289" s="1"/>
      <c r="P1289" s="38">
        <f t="shared" si="121"/>
        <v>0</v>
      </c>
      <c r="S1289" s="24" t="str">
        <f t="shared" si="124"/>
        <v>-</v>
      </c>
      <c r="T1289" s="24" t="str">
        <f t="shared" si="122"/>
        <v>-</v>
      </c>
      <c r="U1289" s="25" t="str">
        <f t="shared" si="125"/>
        <v>-</v>
      </c>
      <c r="V1289" s="26" t="str">
        <f t="shared" si="126"/>
        <v>-</v>
      </c>
      <c r="X1289" s="26" t="str">
        <f t="shared" si="123"/>
        <v>-</v>
      </c>
    </row>
    <row r="1290" spans="1:24" x14ac:dyDescent="0.3">
      <c r="A1290" s="37">
        <v>87614028941</v>
      </c>
      <c r="B1290" s="8" t="s">
        <v>1496</v>
      </c>
      <c r="C1290" s="10" t="s">
        <v>3042</v>
      </c>
      <c r="D1290" s="11" t="s">
        <v>876</v>
      </c>
      <c r="E1290" s="11" t="s">
        <v>916</v>
      </c>
      <c r="F1290" s="9">
        <v>30</v>
      </c>
      <c r="G1290" s="9">
        <v>90</v>
      </c>
      <c r="H1290" s="9" t="s">
        <v>868</v>
      </c>
      <c r="I1290" s="9">
        <v>24</v>
      </c>
      <c r="J1290" s="9">
        <v>60</v>
      </c>
      <c r="K1290" s="9" t="s">
        <v>2903</v>
      </c>
      <c r="L1290" s="27">
        <v>9.1935000000000003E-2</v>
      </c>
      <c r="M1290" s="28" t="s">
        <v>3203</v>
      </c>
      <c r="N1290" s="17">
        <v>10.464929999999999</v>
      </c>
      <c r="O1290" s="1"/>
      <c r="P1290" s="38">
        <f t="shared" si="121"/>
        <v>0</v>
      </c>
      <c r="S1290" s="24" t="str">
        <f t="shared" si="124"/>
        <v>-</v>
      </c>
      <c r="T1290" s="24" t="str">
        <f t="shared" si="122"/>
        <v>-</v>
      </c>
      <c r="U1290" s="25" t="str">
        <f t="shared" si="125"/>
        <v>-</v>
      </c>
      <c r="V1290" s="26" t="str">
        <f t="shared" si="126"/>
        <v>-</v>
      </c>
      <c r="X1290" s="26" t="str">
        <f t="shared" si="123"/>
        <v>-</v>
      </c>
    </row>
    <row r="1291" spans="1:24" x14ac:dyDescent="0.3">
      <c r="A1291" s="37">
        <v>87614028996</v>
      </c>
      <c r="B1291" s="8" t="s">
        <v>1863</v>
      </c>
      <c r="C1291" s="10" t="s">
        <v>2594</v>
      </c>
      <c r="D1291" s="11" t="s">
        <v>876</v>
      </c>
      <c r="E1291" s="11" t="s">
        <v>1053</v>
      </c>
      <c r="F1291" s="9">
        <v>48</v>
      </c>
      <c r="G1291" s="9">
        <v>192</v>
      </c>
      <c r="H1291" s="9" t="s">
        <v>868</v>
      </c>
      <c r="I1291" s="9">
        <v>24</v>
      </c>
      <c r="J1291" s="9">
        <v>30</v>
      </c>
      <c r="K1291" s="9" t="s">
        <v>889</v>
      </c>
      <c r="L1291" s="27">
        <v>3.2915E-2</v>
      </c>
      <c r="M1291" s="28" t="s">
        <v>3203</v>
      </c>
      <c r="N1291" s="17">
        <v>18.670763999999998</v>
      </c>
      <c r="O1291" s="1"/>
      <c r="P1291" s="38">
        <f t="shared" si="121"/>
        <v>0</v>
      </c>
      <c r="S1291" s="24" t="str">
        <f t="shared" si="124"/>
        <v>-</v>
      </c>
      <c r="T1291" s="24" t="str">
        <f t="shared" si="122"/>
        <v>-</v>
      </c>
      <c r="U1291" s="25" t="str">
        <f t="shared" si="125"/>
        <v>-</v>
      </c>
      <c r="V1291" s="26" t="str">
        <f t="shared" si="126"/>
        <v>-</v>
      </c>
      <c r="X1291" s="26" t="str">
        <f t="shared" si="123"/>
        <v>-</v>
      </c>
    </row>
    <row r="1292" spans="1:24" x14ac:dyDescent="0.3">
      <c r="A1292" s="37">
        <v>87614029047</v>
      </c>
      <c r="B1292" s="8" t="s">
        <v>1497</v>
      </c>
      <c r="C1292" s="10" t="s">
        <v>2259</v>
      </c>
      <c r="D1292" s="11" t="s">
        <v>882</v>
      </c>
      <c r="E1292" s="11" t="s">
        <v>920</v>
      </c>
      <c r="F1292" s="9">
        <v>48</v>
      </c>
      <c r="G1292" s="9">
        <v>48</v>
      </c>
      <c r="H1292" s="9" t="s">
        <v>868</v>
      </c>
      <c r="I1292" s="9">
        <v>30</v>
      </c>
      <c r="J1292" s="9">
        <v>1</v>
      </c>
      <c r="K1292" s="9" t="s">
        <v>887</v>
      </c>
      <c r="L1292" s="27">
        <v>0.228135</v>
      </c>
      <c r="M1292" s="28" t="s">
        <v>3203</v>
      </c>
      <c r="N1292" s="17">
        <v>40.132175999999994</v>
      </c>
      <c r="O1292" s="1"/>
      <c r="P1292" s="38">
        <f t="shared" si="121"/>
        <v>0</v>
      </c>
      <c r="S1292" s="24" t="str">
        <f t="shared" si="124"/>
        <v>-</v>
      </c>
      <c r="T1292" s="24" t="str">
        <f t="shared" si="122"/>
        <v>-</v>
      </c>
      <c r="U1292" s="25" t="str">
        <f t="shared" si="125"/>
        <v>-</v>
      </c>
      <c r="V1292" s="26" t="str">
        <f t="shared" si="126"/>
        <v>-</v>
      </c>
      <c r="X1292" s="26" t="str">
        <f t="shared" si="123"/>
        <v>-</v>
      </c>
    </row>
    <row r="1293" spans="1:24" x14ac:dyDescent="0.3">
      <c r="A1293" s="37">
        <v>87614029054</v>
      </c>
      <c r="B1293" s="8" t="s">
        <v>1865</v>
      </c>
      <c r="C1293" s="10" t="s">
        <v>2596</v>
      </c>
      <c r="D1293" s="11" t="s">
        <v>870</v>
      </c>
      <c r="E1293" s="11" t="s">
        <v>2818</v>
      </c>
      <c r="F1293" s="9">
        <v>48</v>
      </c>
      <c r="G1293" s="9">
        <v>192</v>
      </c>
      <c r="H1293" s="9" t="s">
        <v>892</v>
      </c>
      <c r="I1293" s="9">
        <v>24</v>
      </c>
      <c r="J1293" s="9">
        <v>30</v>
      </c>
      <c r="K1293" s="9" t="s">
        <v>889</v>
      </c>
      <c r="L1293" s="27">
        <v>3.0644999999999999E-2</v>
      </c>
      <c r="M1293" s="28" t="s">
        <v>3203</v>
      </c>
      <c r="N1293" s="17">
        <v>9.5014919999999989</v>
      </c>
      <c r="O1293" s="1"/>
      <c r="P1293" s="38">
        <f t="shared" si="121"/>
        <v>0</v>
      </c>
      <c r="S1293" s="24" t="str">
        <f t="shared" si="124"/>
        <v>-</v>
      </c>
      <c r="T1293" s="24" t="str">
        <f t="shared" si="122"/>
        <v>-</v>
      </c>
      <c r="U1293" s="25" t="str">
        <f t="shared" si="125"/>
        <v>-</v>
      </c>
      <c r="V1293" s="26" t="str">
        <f t="shared" si="126"/>
        <v>-</v>
      </c>
      <c r="X1293" s="26" t="str">
        <f t="shared" si="123"/>
        <v>-</v>
      </c>
    </row>
    <row r="1294" spans="1:24" x14ac:dyDescent="0.3">
      <c r="A1294" s="37">
        <v>87614029078</v>
      </c>
      <c r="B1294" s="8" t="s">
        <v>833</v>
      </c>
      <c r="C1294" s="10" t="s">
        <v>834</v>
      </c>
      <c r="D1294" s="11" t="s">
        <v>872</v>
      </c>
      <c r="E1294" s="11" t="s">
        <v>915</v>
      </c>
      <c r="F1294" s="9">
        <v>48</v>
      </c>
      <c r="G1294" s="9">
        <v>192</v>
      </c>
      <c r="H1294" s="9" t="s">
        <v>892</v>
      </c>
      <c r="I1294" s="9">
        <v>24</v>
      </c>
      <c r="J1294" s="9">
        <v>60</v>
      </c>
      <c r="K1294" s="9" t="s">
        <v>904</v>
      </c>
      <c r="L1294" s="27">
        <v>3.6319999999999998E-2</v>
      </c>
      <c r="M1294" s="28" t="s">
        <v>3203</v>
      </c>
      <c r="N1294" s="17">
        <v>16.195724999999999</v>
      </c>
      <c r="O1294" s="1"/>
      <c r="P1294" s="38">
        <f t="shared" si="121"/>
        <v>0</v>
      </c>
      <c r="S1294" s="24" t="str">
        <f t="shared" si="124"/>
        <v>-</v>
      </c>
      <c r="T1294" s="24" t="str">
        <f t="shared" si="122"/>
        <v>-</v>
      </c>
      <c r="U1294" s="25" t="str">
        <f t="shared" si="125"/>
        <v>-</v>
      </c>
      <c r="V1294" s="26" t="str">
        <f t="shared" si="126"/>
        <v>-</v>
      </c>
      <c r="X1294" s="26" t="str">
        <f t="shared" si="123"/>
        <v>-</v>
      </c>
    </row>
    <row r="1295" spans="1:24" x14ac:dyDescent="0.3">
      <c r="A1295" s="37">
        <v>87614029153</v>
      </c>
      <c r="B1295" s="8" t="s">
        <v>1866</v>
      </c>
      <c r="C1295" s="10" t="s">
        <v>2597</v>
      </c>
      <c r="D1295" s="11" t="s">
        <v>902</v>
      </c>
      <c r="E1295" s="11" t="s">
        <v>1023</v>
      </c>
      <c r="F1295" s="9">
        <v>20</v>
      </c>
      <c r="G1295" s="9">
        <v>60</v>
      </c>
      <c r="H1295" s="9" t="s">
        <v>868</v>
      </c>
      <c r="I1295" s="9">
        <v>24</v>
      </c>
      <c r="J1295" s="9">
        <v>120</v>
      </c>
      <c r="K1295" s="9" t="s">
        <v>873</v>
      </c>
      <c r="L1295" s="27">
        <v>0.107825</v>
      </c>
      <c r="M1295" s="28" t="s">
        <v>3203</v>
      </c>
      <c r="N1295" s="17">
        <v>69.334314000000006</v>
      </c>
      <c r="O1295" s="1"/>
      <c r="P1295" s="38">
        <f t="shared" si="121"/>
        <v>0</v>
      </c>
      <c r="S1295" s="24" t="str">
        <f t="shared" si="124"/>
        <v>-</v>
      </c>
      <c r="T1295" s="24" t="str">
        <f t="shared" si="122"/>
        <v>-</v>
      </c>
      <c r="U1295" s="25" t="str">
        <f t="shared" si="125"/>
        <v>-</v>
      </c>
      <c r="V1295" s="26" t="str">
        <f t="shared" si="126"/>
        <v>-</v>
      </c>
      <c r="X1295" s="26" t="str">
        <f t="shared" si="123"/>
        <v>-</v>
      </c>
    </row>
    <row r="1296" spans="1:24" x14ac:dyDescent="0.3">
      <c r="A1296" s="37">
        <v>87614029269</v>
      </c>
      <c r="B1296" s="8" t="s">
        <v>1498</v>
      </c>
      <c r="C1296" s="10" t="s">
        <v>3043</v>
      </c>
      <c r="D1296" s="11" t="s">
        <v>874</v>
      </c>
      <c r="E1296" s="11" t="s">
        <v>914</v>
      </c>
      <c r="F1296" s="9">
        <v>30</v>
      </c>
      <c r="G1296" s="9">
        <v>90</v>
      </c>
      <c r="H1296" s="9" t="s">
        <v>868</v>
      </c>
      <c r="I1296" s="9">
        <v>24</v>
      </c>
      <c r="J1296" s="9">
        <v>30</v>
      </c>
      <c r="K1296" s="9" t="s">
        <v>2903</v>
      </c>
      <c r="L1296" s="27">
        <v>4.9939999999999998E-2</v>
      </c>
      <c r="M1296" s="28" t="s">
        <v>3203</v>
      </c>
      <c r="N1296" s="17">
        <v>9.2024939999999997</v>
      </c>
      <c r="O1296" s="1"/>
      <c r="P1296" s="38">
        <f t="shared" si="121"/>
        <v>0</v>
      </c>
      <c r="S1296" s="24" t="str">
        <f t="shared" si="124"/>
        <v>-</v>
      </c>
      <c r="T1296" s="24" t="str">
        <f t="shared" si="122"/>
        <v>-</v>
      </c>
      <c r="U1296" s="25" t="str">
        <f t="shared" si="125"/>
        <v>-</v>
      </c>
      <c r="V1296" s="26" t="str">
        <f t="shared" si="126"/>
        <v>-</v>
      </c>
      <c r="X1296" s="26" t="str">
        <f t="shared" si="123"/>
        <v>-</v>
      </c>
    </row>
    <row r="1297" spans="1:24" x14ac:dyDescent="0.3">
      <c r="A1297" s="37">
        <v>87614029313</v>
      </c>
      <c r="B1297" s="8" t="s">
        <v>838</v>
      </c>
      <c r="C1297" s="10" t="s">
        <v>839</v>
      </c>
      <c r="D1297" s="11" t="s">
        <v>883</v>
      </c>
      <c r="E1297" s="11" t="s">
        <v>926</v>
      </c>
      <c r="F1297" s="9">
        <v>30</v>
      </c>
      <c r="G1297" s="9">
        <v>90</v>
      </c>
      <c r="H1297" s="9" t="s">
        <v>868</v>
      </c>
      <c r="I1297" s="9">
        <v>33</v>
      </c>
      <c r="J1297" s="9">
        <v>60</v>
      </c>
      <c r="K1297" s="9" t="s">
        <v>889</v>
      </c>
      <c r="L1297" s="27">
        <v>9.1935000000000003E-2</v>
      </c>
      <c r="M1297" s="28" t="s">
        <v>3203</v>
      </c>
      <c r="N1297" s="17">
        <v>9.9333779999999994</v>
      </c>
      <c r="O1297" s="1"/>
      <c r="P1297" s="38">
        <f t="shared" si="121"/>
        <v>0</v>
      </c>
      <c r="S1297" s="24" t="str">
        <f t="shared" si="124"/>
        <v>-</v>
      </c>
      <c r="T1297" s="24" t="str">
        <f t="shared" si="122"/>
        <v>-</v>
      </c>
      <c r="U1297" s="25" t="str">
        <f t="shared" si="125"/>
        <v>-</v>
      </c>
      <c r="V1297" s="26" t="str">
        <f t="shared" si="126"/>
        <v>-</v>
      </c>
      <c r="X1297" s="26" t="str">
        <f t="shared" si="123"/>
        <v>-</v>
      </c>
    </row>
    <row r="1298" spans="1:24" x14ac:dyDescent="0.3">
      <c r="A1298" s="37">
        <v>87614029382</v>
      </c>
      <c r="B1298" s="8" t="s">
        <v>841</v>
      </c>
      <c r="C1298" s="10" t="s">
        <v>2806</v>
      </c>
      <c r="D1298" s="11" t="s">
        <v>881</v>
      </c>
      <c r="E1298" s="11" t="s">
        <v>996</v>
      </c>
      <c r="F1298" s="9">
        <v>30</v>
      </c>
      <c r="G1298" s="9">
        <v>90</v>
      </c>
      <c r="H1298" s="9" t="s">
        <v>868</v>
      </c>
      <c r="I1298" s="9">
        <v>24</v>
      </c>
      <c r="J1298" s="9">
        <v>60</v>
      </c>
      <c r="K1298" s="9" t="s">
        <v>2903</v>
      </c>
      <c r="L1298" s="27">
        <v>9.4205000000000011E-2</v>
      </c>
      <c r="M1298" s="28" t="s">
        <v>3203</v>
      </c>
      <c r="N1298" s="17">
        <v>8.8204410000000006</v>
      </c>
      <c r="O1298" s="1"/>
      <c r="P1298" s="38">
        <f t="shared" si="121"/>
        <v>0</v>
      </c>
      <c r="S1298" s="24" t="str">
        <f t="shared" si="124"/>
        <v>-</v>
      </c>
      <c r="T1298" s="24" t="str">
        <f t="shared" si="122"/>
        <v>-</v>
      </c>
      <c r="U1298" s="25" t="str">
        <f t="shared" si="125"/>
        <v>-</v>
      </c>
      <c r="V1298" s="26" t="str">
        <f t="shared" si="126"/>
        <v>-</v>
      </c>
      <c r="X1298" s="26" t="str">
        <f t="shared" si="123"/>
        <v>-</v>
      </c>
    </row>
    <row r="1299" spans="1:24" x14ac:dyDescent="0.3">
      <c r="A1299" s="37">
        <v>87614029450</v>
      </c>
      <c r="B1299" s="8" t="s">
        <v>1870</v>
      </c>
      <c r="C1299" s="10" t="s">
        <v>2601</v>
      </c>
      <c r="D1299" s="11" t="s">
        <v>874</v>
      </c>
      <c r="E1299" s="11" t="s">
        <v>1059</v>
      </c>
      <c r="F1299" s="9">
        <v>48</v>
      </c>
      <c r="G1299" s="9">
        <v>192</v>
      </c>
      <c r="H1299" s="9" t="s">
        <v>868</v>
      </c>
      <c r="I1299" s="9">
        <v>36</v>
      </c>
      <c r="J1299" s="9">
        <v>30</v>
      </c>
      <c r="K1299" s="9" t="s">
        <v>869</v>
      </c>
      <c r="L1299" s="27">
        <v>3.0644999999999999E-2</v>
      </c>
      <c r="M1299" s="28" t="s">
        <v>3203</v>
      </c>
      <c r="N1299" s="17">
        <v>29.40147</v>
      </c>
      <c r="O1299" s="1"/>
      <c r="P1299" s="38">
        <f t="shared" si="121"/>
        <v>0</v>
      </c>
      <c r="S1299" s="24" t="str">
        <f t="shared" si="124"/>
        <v>-</v>
      </c>
      <c r="T1299" s="24" t="str">
        <f t="shared" si="122"/>
        <v>-</v>
      </c>
      <c r="U1299" s="25" t="str">
        <f t="shared" si="125"/>
        <v>-</v>
      </c>
      <c r="V1299" s="26" t="str">
        <f t="shared" si="126"/>
        <v>-</v>
      </c>
      <c r="X1299" s="26" t="str">
        <f t="shared" si="123"/>
        <v>-</v>
      </c>
    </row>
    <row r="1300" spans="1:24" x14ac:dyDescent="0.3">
      <c r="A1300" s="37">
        <v>87614029467</v>
      </c>
      <c r="B1300" s="8" t="s">
        <v>842</v>
      </c>
      <c r="C1300" s="10" t="s">
        <v>843</v>
      </c>
      <c r="D1300" s="11" t="s">
        <v>872</v>
      </c>
      <c r="E1300" s="11" t="s">
        <v>953</v>
      </c>
      <c r="F1300" s="9">
        <v>30</v>
      </c>
      <c r="G1300" s="9">
        <v>90</v>
      </c>
      <c r="H1300" s="9" t="s">
        <v>868</v>
      </c>
      <c r="I1300" s="9">
        <v>24</v>
      </c>
      <c r="J1300" s="9">
        <v>30</v>
      </c>
      <c r="K1300" s="9" t="s">
        <v>889</v>
      </c>
      <c r="L1300" s="27">
        <v>4.6535E-2</v>
      </c>
      <c r="M1300" s="28" t="s">
        <v>3203</v>
      </c>
      <c r="N1300" s="17">
        <v>17.27544</v>
      </c>
      <c r="O1300" s="1"/>
      <c r="P1300" s="38">
        <f t="shared" si="121"/>
        <v>0</v>
      </c>
      <c r="S1300" s="24" t="str">
        <f t="shared" si="124"/>
        <v>-</v>
      </c>
      <c r="T1300" s="24" t="str">
        <f t="shared" si="122"/>
        <v>-</v>
      </c>
      <c r="U1300" s="25" t="str">
        <f t="shared" si="125"/>
        <v>-</v>
      </c>
      <c r="V1300" s="26" t="str">
        <f t="shared" si="126"/>
        <v>-</v>
      </c>
      <c r="X1300" s="26" t="str">
        <f t="shared" si="123"/>
        <v>-</v>
      </c>
    </row>
    <row r="1301" spans="1:24" x14ac:dyDescent="0.3">
      <c r="A1301" s="37">
        <v>87614029474</v>
      </c>
      <c r="B1301" s="8" t="s">
        <v>1871</v>
      </c>
      <c r="C1301" s="10" t="s">
        <v>2602</v>
      </c>
      <c r="D1301" s="11" t="s">
        <v>883</v>
      </c>
      <c r="E1301" s="11" t="s">
        <v>2839</v>
      </c>
      <c r="F1301" s="9">
        <v>48</v>
      </c>
      <c r="G1301" s="9">
        <v>192</v>
      </c>
      <c r="H1301" s="9" t="s">
        <v>868</v>
      </c>
      <c r="I1301" s="9">
        <v>24</v>
      </c>
      <c r="J1301" s="9">
        <v>60</v>
      </c>
      <c r="K1301" s="9" t="s">
        <v>873</v>
      </c>
      <c r="L1301" s="27">
        <v>3.0644999999999999E-2</v>
      </c>
      <c r="M1301" s="28" t="s">
        <v>3203</v>
      </c>
      <c r="N1301" s="17">
        <v>26.378268000000002</v>
      </c>
      <c r="O1301" s="1"/>
      <c r="P1301" s="38">
        <f t="shared" si="121"/>
        <v>0</v>
      </c>
      <c r="S1301" s="24" t="str">
        <f t="shared" si="124"/>
        <v>-</v>
      </c>
      <c r="T1301" s="24" t="str">
        <f t="shared" si="122"/>
        <v>-</v>
      </c>
      <c r="U1301" s="25" t="str">
        <f t="shared" si="125"/>
        <v>-</v>
      </c>
      <c r="V1301" s="26" t="str">
        <f t="shared" si="126"/>
        <v>-</v>
      </c>
      <c r="X1301" s="26" t="str">
        <f t="shared" si="123"/>
        <v>-</v>
      </c>
    </row>
    <row r="1302" spans="1:24" x14ac:dyDescent="0.3">
      <c r="A1302" s="37">
        <v>87614029481</v>
      </c>
      <c r="B1302" s="8" t="s">
        <v>844</v>
      </c>
      <c r="C1302" s="10" t="s">
        <v>3197</v>
      </c>
      <c r="D1302" s="11" t="s">
        <v>866</v>
      </c>
      <c r="E1302" s="11" t="s">
        <v>956</v>
      </c>
      <c r="F1302" s="9">
        <v>20</v>
      </c>
      <c r="G1302" s="9">
        <v>60</v>
      </c>
      <c r="H1302" s="9" t="s">
        <v>868</v>
      </c>
      <c r="I1302" s="9">
        <v>24</v>
      </c>
      <c r="J1302" s="9">
        <v>90</v>
      </c>
      <c r="K1302" s="9" t="s">
        <v>2903</v>
      </c>
      <c r="L1302" s="27">
        <v>0.10442</v>
      </c>
      <c r="M1302" s="28" t="s">
        <v>3203</v>
      </c>
      <c r="N1302" s="17">
        <v>7.9068360000000002</v>
      </c>
      <c r="O1302" s="1"/>
      <c r="P1302" s="38">
        <f t="shared" si="121"/>
        <v>0</v>
      </c>
      <c r="S1302" s="24" t="str">
        <f t="shared" si="124"/>
        <v>-</v>
      </c>
      <c r="T1302" s="24" t="str">
        <f t="shared" si="122"/>
        <v>-</v>
      </c>
      <c r="U1302" s="25" t="str">
        <f t="shared" si="125"/>
        <v>-</v>
      </c>
      <c r="V1302" s="26" t="str">
        <f t="shared" si="126"/>
        <v>-</v>
      </c>
      <c r="X1302" s="26" t="str">
        <f t="shared" si="123"/>
        <v>-</v>
      </c>
    </row>
    <row r="1303" spans="1:24" x14ac:dyDescent="0.3">
      <c r="A1303" s="37">
        <v>87614029597</v>
      </c>
      <c r="B1303" s="8" t="s">
        <v>1499</v>
      </c>
      <c r="C1303" s="10" t="s">
        <v>2260</v>
      </c>
      <c r="D1303" s="11" t="s">
        <v>876</v>
      </c>
      <c r="E1303" s="11" t="s">
        <v>1020</v>
      </c>
      <c r="F1303" s="9">
        <v>30</v>
      </c>
      <c r="G1303" s="9">
        <v>90</v>
      </c>
      <c r="H1303" s="9" t="s">
        <v>868</v>
      </c>
      <c r="I1303" s="9">
        <v>24</v>
      </c>
      <c r="J1303" s="9">
        <v>60</v>
      </c>
      <c r="K1303" s="9" t="s">
        <v>873</v>
      </c>
      <c r="L1303" s="27">
        <v>4.7670000000000004E-2</v>
      </c>
      <c r="M1303" s="28" t="s">
        <v>3203</v>
      </c>
      <c r="N1303" s="17">
        <v>19.850145000000001</v>
      </c>
      <c r="O1303" s="1"/>
      <c r="P1303" s="38">
        <f t="shared" si="121"/>
        <v>0</v>
      </c>
      <c r="S1303" s="24" t="str">
        <f t="shared" si="124"/>
        <v>-</v>
      </c>
      <c r="T1303" s="24" t="str">
        <f t="shared" si="122"/>
        <v>-</v>
      </c>
      <c r="U1303" s="25" t="str">
        <f t="shared" si="125"/>
        <v>-</v>
      </c>
      <c r="V1303" s="26" t="str">
        <f t="shared" si="126"/>
        <v>-</v>
      </c>
      <c r="X1303" s="26" t="str">
        <f t="shared" si="123"/>
        <v>-</v>
      </c>
    </row>
    <row r="1304" spans="1:24" x14ac:dyDescent="0.3">
      <c r="A1304" s="37">
        <v>87614029627</v>
      </c>
      <c r="B1304" s="8" t="s">
        <v>845</v>
      </c>
      <c r="C1304" s="10" t="s">
        <v>3044</v>
      </c>
      <c r="D1304" s="11" t="s">
        <v>879</v>
      </c>
      <c r="E1304" s="11" t="s">
        <v>990</v>
      </c>
      <c r="F1304" s="9">
        <v>48</v>
      </c>
      <c r="G1304" s="9">
        <v>192</v>
      </c>
      <c r="H1304" s="9" t="s">
        <v>868</v>
      </c>
      <c r="I1304" s="9">
        <v>24</v>
      </c>
      <c r="J1304" s="9">
        <v>90</v>
      </c>
      <c r="K1304" s="9" t="s">
        <v>2903</v>
      </c>
      <c r="L1304" s="27">
        <v>3.8590000000000006E-2</v>
      </c>
      <c r="M1304" s="28" t="s">
        <v>3203</v>
      </c>
      <c r="N1304" s="17">
        <v>23.355066000000001</v>
      </c>
      <c r="O1304" s="1"/>
      <c r="P1304" s="38">
        <f t="shared" si="121"/>
        <v>0</v>
      </c>
      <c r="S1304" s="24" t="str">
        <f t="shared" si="124"/>
        <v>-</v>
      </c>
      <c r="T1304" s="24" t="str">
        <f t="shared" si="122"/>
        <v>-</v>
      </c>
      <c r="U1304" s="25" t="str">
        <f t="shared" si="125"/>
        <v>-</v>
      </c>
      <c r="V1304" s="26" t="str">
        <f t="shared" si="126"/>
        <v>-</v>
      </c>
      <c r="X1304" s="26" t="str">
        <f t="shared" si="123"/>
        <v>-</v>
      </c>
    </row>
    <row r="1305" spans="1:24" x14ac:dyDescent="0.3">
      <c r="A1305" s="37">
        <v>87614029696</v>
      </c>
      <c r="B1305" s="8" t="s">
        <v>1090</v>
      </c>
      <c r="C1305" s="10" t="s">
        <v>1091</v>
      </c>
      <c r="D1305" s="11" t="s">
        <v>872</v>
      </c>
      <c r="E1305" s="11" t="s">
        <v>1115</v>
      </c>
      <c r="F1305" s="9">
        <v>30</v>
      </c>
      <c r="G1305" s="9">
        <v>90</v>
      </c>
      <c r="H1305" s="9" t="s">
        <v>868</v>
      </c>
      <c r="I1305" s="9">
        <v>36</v>
      </c>
      <c r="J1305" s="9">
        <v>60</v>
      </c>
      <c r="K1305" s="9" t="s">
        <v>873</v>
      </c>
      <c r="L1305" s="27">
        <v>8.8529999999999998E-2</v>
      </c>
      <c r="M1305" s="28" t="s">
        <v>3203</v>
      </c>
      <c r="N1305" s="17">
        <v>12.624359999999999</v>
      </c>
      <c r="O1305" s="1"/>
      <c r="P1305" s="38">
        <f t="shared" si="121"/>
        <v>0</v>
      </c>
      <c r="S1305" s="24" t="str">
        <f t="shared" si="124"/>
        <v>-</v>
      </c>
      <c r="T1305" s="24" t="str">
        <f t="shared" si="122"/>
        <v>-</v>
      </c>
      <c r="U1305" s="25" t="str">
        <f t="shared" si="125"/>
        <v>-</v>
      </c>
      <c r="V1305" s="26" t="str">
        <f t="shared" si="126"/>
        <v>-</v>
      </c>
      <c r="X1305" s="26" t="str">
        <f t="shared" si="123"/>
        <v>-</v>
      </c>
    </row>
    <row r="1306" spans="1:24" x14ac:dyDescent="0.3">
      <c r="A1306" s="37">
        <v>87614029733</v>
      </c>
      <c r="B1306" s="8" t="s">
        <v>1873</v>
      </c>
      <c r="C1306" s="10" t="s">
        <v>3198</v>
      </c>
      <c r="D1306" s="11" t="s">
        <v>882</v>
      </c>
      <c r="E1306" s="11" t="s">
        <v>1035</v>
      </c>
      <c r="F1306" s="9">
        <v>30</v>
      </c>
      <c r="G1306" s="9">
        <v>90</v>
      </c>
      <c r="H1306" s="9" t="s">
        <v>868</v>
      </c>
      <c r="I1306" s="9">
        <v>24</v>
      </c>
      <c r="J1306" s="9">
        <v>60</v>
      </c>
      <c r="K1306" s="9" t="s">
        <v>3050</v>
      </c>
      <c r="L1306" s="27">
        <v>9.0800000000000006E-2</v>
      </c>
      <c r="M1306" s="28" t="s">
        <v>3203</v>
      </c>
      <c r="N1306" s="17">
        <v>8.4882209999999993</v>
      </c>
      <c r="O1306" s="1"/>
      <c r="P1306" s="38">
        <f t="shared" si="121"/>
        <v>0</v>
      </c>
      <c r="S1306" s="24" t="str">
        <f t="shared" si="124"/>
        <v>-</v>
      </c>
      <c r="T1306" s="24" t="str">
        <f t="shared" si="122"/>
        <v>-</v>
      </c>
      <c r="U1306" s="25" t="str">
        <f t="shared" si="125"/>
        <v>-</v>
      </c>
      <c r="V1306" s="26" t="str">
        <f t="shared" si="126"/>
        <v>-</v>
      </c>
      <c r="X1306" s="26" t="str">
        <f t="shared" si="123"/>
        <v>-</v>
      </c>
    </row>
    <row r="1307" spans="1:24" x14ac:dyDescent="0.3">
      <c r="A1307" s="37">
        <v>87614029757</v>
      </c>
      <c r="B1307" s="8" t="s">
        <v>846</v>
      </c>
      <c r="C1307" s="10" t="s">
        <v>847</v>
      </c>
      <c r="D1307" s="11" t="s">
        <v>874</v>
      </c>
      <c r="E1307" s="11" t="s">
        <v>919</v>
      </c>
      <c r="F1307" s="9">
        <v>30</v>
      </c>
      <c r="G1307" s="9">
        <v>90</v>
      </c>
      <c r="H1307" s="9" t="s">
        <v>868</v>
      </c>
      <c r="I1307" s="9">
        <v>24</v>
      </c>
      <c r="J1307" s="9">
        <v>120</v>
      </c>
      <c r="K1307" s="9" t="s">
        <v>873</v>
      </c>
      <c r="L1307" s="27">
        <v>9.4205000000000011E-2</v>
      </c>
      <c r="M1307" s="28" t="s">
        <v>3203</v>
      </c>
      <c r="N1307" s="17">
        <v>8.4051660000000012</v>
      </c>
      <c r="O1307" s="1"/>
      <c r="P1307" s="38">
        <f t="shared" si="121"/>
        <v>0</v>
      </c>
      <c r="S1307" s="24" t="str">
        <f t="shared" si="124"/>
        <v>-</v>
      </c>
      <c r="T1307" s="24" t="str">
        <f t="shared" si="122"/>
        <v>-</v>
      </c>
      <c r="U1307" s="25" t="str">
        <f t="shared" si="125"/>
        <v>-</v>
      </c>
      <c r="V1307" s="26" t="str">
        <f t="shared" si="126"/>
        <v>-</v>
      </c>
      <c r="X1307" s="26" t="str">
        <f t="shared" si="123"/>
        <v>-</v>
      </c>
    </row>
    <row r="1308" spans="1:24" x14ac:dyDescent="0.3">
      <c r="A1308" s="37">
        <v>87614029825</v>
      </c>
      <c r="B1308" s="8" t="s">
        <v>1874</v>
      </c>
      <c r="C1308" s="10" t="s">
        <v>2808</v>
      </c>
      <c r="D1308" s="11" t="s">
        <v>874</v>
      </c>
      <c r="E1308" s="11" t="s">
        <v>917</v>
      </c>
      <c r="F1308" s="9">
        <v>30</v>
      </c>
      <c r="G1308" s="9">
        <v>90</v>
      </c>
      <c r="H1308" s="9" t="s">
        <v>868</v>
      </c>
      <c r="I1308" s="9">
        <v>24</v>
      </c>
      <c r="J1308" s="9">
        <v>60</v>
      </c>
      <c r="K1308" s="9" t="s">
        <v>2903</v>
      </c>
      <c r="L1308" s="27">
        <v>9.307E-2</v>
      </c>
      <c r="M1308" s="28" t="s">
        <v>3203</v>
      </c>
      <c r="N1308" s="17">
        <v>10.082877</v>
      </c>
      <c r="O1308" s="1"/>
      <c r="P1308" s="38">
        <f t="shared" si="121"/>
        <v>0</v>
      </c>
      <c r="S1308" s="24" t="str">
        <f t="shared" si="124"/>
        <v>-</v>
      </c>
      <c r="T1308" s="24" t="str">
        <f t="shared" si="122"/>
        <v>-</v>
      </c>
      <c r="U1308" s="25" t="str">
        <f t="shared" si="125"/>
        <v>-</v>
      </c>
      <c r="V1308" s="26" t="str">
        <f t="shared" si="126"/>
        <v>-</v>
      </c>
      <c r="X1308" s="26" t="str">
        <f t="shared" si="123"/>
        <v>-</v>
      </c>
    </row>
    <row r="1309" spans="1:24" x14ac:dyDescent="0.3">
      <c r="A1309" s="37">
        <v>87614280141</v>
      </c>
      <c r="B1309" s="8" t="s">
        <v>1877</v>
      </c>
      <c r="C1309" s="10" t="s">
        <v>2605</v>
      </c>
      <c r="D1309" s="11" t="s">
        <v>1121</v>
      </c>
      <c r="E1309" s="11" t="s">
        <v>2900</v>
      </c>
      <c r="F1309" s="9">
        <v>6</v>
      </c>
      <c r="G1309" s="9">
        <v>24</v>
      </c>
      <c r="H1309" s="9" t="s">
        <v>892</v>
      </c>
      <c r="I1309" s="9">
        <v>18</v>
      </c>
      <c r="J1309" s="9">
        <v>1</v>
      </c>
      <c r="K1309" s="9" t="s">
        <v>2912</v>
      </c>
      <c r="L1309" s="27">
        <v>0.207705</v>
      </c>
      <c r="M1309" s="28" t="s">
        <v>3203</v>
      </c>
      <c r="N1309" s="17">
        <v>11.494812</v>
      </c>
      <c r="O1309" s="1"/>
      <c r="P1309" s="38">
        <f t="shared" si="121"/>
        <v>0</v>
      </c>
      <c r="S1309" s="24" t="str">
        <f t="shared" si="124"/>
        <v>-</v>
      </c>
      <c r="T1309" s="24" t="str">
        <f t="shared" si="122"/>
        <v>-</v>
      </c>
      <c r="U1309" s="25" t="str">
        <f t="shared" si="125"/>
        <v>-</v>
      </c>
      <c r="V1309" s="26" t="str">
        <f t="shared" si="126"/>
        <v>-</v>
      </c>
      <c r="X1309" s="26" t="str">
        <f t="shared" si="123"/>
        <v>-</v>
      </c>
    </row>
    <row r="1310" spans="1:24" x14ac:dyDescent="0.3">
      <c r="A1310" s="37">
        <v>87614280189</v>
      </c>
      <c r="B1310" s="8" t="s">
        <v>1920</v>
      </c>
      <c r="C1310" s="10" t="s">
        <v>2643</v>
      </c>
      <c r="D1310" s="11" t="s">
        <v>1121</v>
      </c>
      <c r="E1310" s="11" t="s">
        <v>2900</v>
      </c>
      <c r="F1310" s="9">
        <v>6</v>
      </c>
      <c r="G1310" s="9">
        <v>24</v>
      </c>
      <c r="H1310" s="9" t="s">
        <v>892</v>
      </c>
      <c r="I1310" s="9">
        <v>18</v>
      </c>
      <c r="J1310" s="9">
        <v>1</v>
      </c>
      <c r="K1310" s="9" t="s">
        <v>2912</v>
      </c>
      <c r="L1310" s="27">
        <v>0.31439500000000004</v>
      </c>
      <c r="M1310" s="28" t="s">
        <v>3203</v>
      </c>
      <c r="N1310" s="17">
        <v>26.245379999999997</v>
      </c>
      <c r="O1310" s="1"/>
      <c r="P1310" s="38">
        <f t="shared" si="121"/>
        <v>0</v>
      </c>
      <c r="S1310" s="24" t="str">
        <f t="shared" si="124"/>
        <v>-</v>
      </c>
      <c r="T1310" s="24" t="str">
        <f t="shared" si="122"/>
        <v>-</v>
      </c>
      <c r="U1310" s="25" t="str">
        <f t="shared" si="125"/>
        <v>-</v>
      </c>
      <c r="V1310" s="26" t="str">
        <f t="shared" si="126"/>
        <v>-</v>
      </c>
      <c r="X1310" s="26" t="str">
        <f t="shared" si="123"/>
        <v>-</v>
      </c>
    </row>
    <row r="1311" spans="1:24" x14ac:dyDescent="0.3">
      <c r="A1311" s="37">
        <v>87614110448</v>
      </c>
      <c r="B1311" s="8" t="s">
        <v>1504</v>
      </c>
      <c r="C1311" s="10" t="s">
        <v>2265</v>
      </c>
      <c r="D1311" s="11" t="s">
        <v>882</v>
      </c>
      <c r="E1311" s="11" t="s">
        <v>932</v>
      </c>
      <c r="F1311" s="9">
        <v>20</v>
      </c>
      <c r="G1311" s="9">
        <v>60</v>
      </c>
      <c r="H1311" s="9" t="s">
        <v>868</v>
      </c>
      <c r="I1311" s="9">
        <v>36</v>
      </c>
      <c r="J1311" s="9">
        <v>120</v>
      </c>
      <c r="K1311" s="9" t="s">
        <v>873</v>
      </c>
      <c r="L1311" s="27">
        <v>0.12031</v>
      </c>
      <c r="M1311" s="28" t="s">
        <v>3203</v>
      </c>
      <c r="N1311" s="17">
        <v>11.328702</v>
      </c>
      <c r="O1311" s="1"/>
      <c r="P1311" s="38">
        <f t="shared" si="121"/>
        <v>0</v>
      </c>
      <c r="S1311" s="24" t="str">
        <f t="shared" si="124"/>
        <v>-</v>
      </c>
      <c r="T1311" s="24" t="str">
        <f t="shared" si="122"/>
        <v>-</v>
      </c>
      <c r="U1311" s="25" t="str">
        <f t="shared" si="125"/>
        <v>-</v>
      </c>
      <c r="V1311" s="26" t="str">
        <f t="shared" si="126"/>
        <v>-</v>
      </c>
      <c r="X1311" s="26" t="str">
        <f t="shared" si="123"/>
        <v>-</v>
      </c>
    </row>
    <row r="1312" spans="1:24" x14ac:dyDescent="0.3">
      <c r="A1312" s="37">
        <v>87614111070</v>
      </c>
      <c r="B1312" s="8" t="s">
        <v>1196</v>
      </c>
      <c r="C1312" s="10" t="s">
        <v>2012</v>
      </c>
      <c r="D1312" s="11" t="s">
        <v>884</v>
      </c>
      <c r="E1312" s="11" t="s">
        <v>946</v>
      </c>
      <c r="F1312" s="9">
        <v>12</v>
      </c>
      <c r="G1312" s="9">
        <v>24</v>
      </c>
      <c r="H1312" s="9" t="s">
        <v>868</v>
      </c>
      <c r="I1312" s="9">
        <v>36</v>
      </c>
      <c r="J1312" s="9">
        <v>180</v>
      </c>
      <c r="K1312" s="9" t="s">
        <v>873</v>
      </c>
      <c r="L1312" s="27">
        <v>0.22927000000000003</v>
      </c>
      <c r="M1312" s="28" t="s">
        <v>3203</v>
      </c>
      <c r="N1312" s="17">
        <v>18.720596999999998</v>
      </c>
      <c r="O1312" s="1"/>
      <c r="P1312" s="38">
        <f t="shared" si="121"/>
        <v>0</v>
      </c>
      <c r="S1312" s="24" t="str">
        <f t="shared" si="124"/>
        <v>-</v>
      </c>
      <c r="T1312" s="24" t="str">
        <f t="shared" si="122"/>
        <v>-</v>
      </c>
      <c r="U1312" s="25" t="str">
        <f t="shared" si="125"/>
        <v>-</v>
      </c>
      <c r="V1312" s="26" t="str">
        <f t="shared" si="126"/>
        <v>-</v>
      </c>
      <c r="X1312" s="26" t="str">
        <f t="shared" si="123"/>
        <v>-</v>
      </c>
    </row>
    <row r="1313" spans="1:24" x14ac:dyDescent="0.3">
      <c r="A1313" s="37">
        <v>87614111469</v>
      </c>
      <c r="B1313" s="8" t="s">
        <v>1510</v>
      </c>
      <c r="C1313" s="10" t="s">
        <v>2271</v>
      </c>
      <c r="D1313" s="11" t="s">
        <v>879</v>
      </c>
      <c r="E1313" s="11" t="s">
        <v>930</v>
      </c>
      <c r="F1313" s="9">
        <v>30</v>
      </c>
      <c r="G1313" s="9">
        <v>90</v>
      </c>
      <c r="H1313" s="9" t="s">
        <v>868</v>
      </c>
      <c r="I1313" s="9">
        <v>36</v>
      </c>
      <c r="J1313" s="9">
        <v>90</v>
      </c>
      <c r="K1313" s="9" t="s">
        <v>873</v>
      </c>
      <c r="L1313" s="27">
        <v>8.6260000000000003E-2</v>
      </c>
      <c r="M1313" s="28" t="s">
        <v>3203</v>
      </c>
      <c r="N1313" s="17">
        <v>6.1792919999999993</v>
      </c>
      <c r="O1313" s="1"/>
      <c r="P1313" s="38">
        <f t="shared" si="121"/>
        <v>0</v>
      </c>
      <c r="S1313" s="24" t="str">
        <f t="shared" si="124"/>
        <v>-</v>
      </c>
      <c r="T1313" s="24" t="str">
        <f t="shared" si="122"/>
        <v>-</v>
      </c>
      <c r="U1313" s="25" t="str">
        <f t="shared" si="125"/>
        <v>-</v>
      </c>
      <c r="V1313" s="26" t="str">
        <f t="shared" si="126"/>
        <v>-</v>
      </c>
      <c r="X1313" s="26" t="str">
        <f t="shared" si="123"/>
        <v>-</v>
      </c>
    </row>
    <row r="1314" spans="1:24" x14ac:dyDescent="0.3">
      <c r="A1314" s="37">
        <v>87614111667</v>
      </c>
      <c r="B1314" s="8" t="s">
        <v>1514</v>
      </c>
      <c r="C1314" s="10" t="s">
        <v>2275</v>
      </c>
      <c r="D1314" s="11" t="s">
        <v>881</v>
      </c>
      <c r="E1314" s="11" t="s">
        <v>2820</v>
      </c>
      <c r="F1314" s="9">
        <v>20</v>
      </c>
      <c r="G1314" s="9">
        <v>60</v>
      </c>
      <c r="H1314" s="9" t="s">
        <v>868</v>
      </c>
      <c r="I1314" s="9">
        <v>36</v>
      </c>
      <c r="J1314" s="9">
        <v>60</v>
      </c>
      <c r="K1314" s="9" t="s">
        <v>873</v>
      </c>
      <c r="L1314" s="27">
        <v>0.103285</v>
      </c>
      <c r="M1314" s="28" t="s">
        <v>3203</v>
      </c>
      <c r="N1314" s="17">
        <v>6.6942329999999997</v>
      </c>
      <c r="O1314" s="1"/>
      <c r="P1314" s="38">
        <f t="shared" si="121"/>
        <v>0</v>
      </c>
      <c r="S1314" s="24" t="str">
        <f t="shared" si="124"/>
        <v>-</v>
      </c>
      <c r="T1314" s="24" t="str">
        <f t="shared" si="122"/>
        <v>-</v>
      </c>
      <c r="U1314" s="25" t="str">
        <f t="shared" si="125"/>
        <v>-</v>
      </c>
      <c r="V1314" s="26" t="str">
        <f t="shared" si="126"/>
        <v>-</v>
      </c>
      <c r="X1314" s="26" t="str">
        <f t="shared" si="123"/>
        <v>-</v>
      </c>
    </row>
    <row r="1315" spans="1:24" x14ac:dyDescent="0.3">
      <c r="A1315" s="37">
        <v>87614112268</v>
      </c>
      <c r="B1315" s="8" t="s">
        <v>1517</v>
      </c>
      <c r="C1315" s="10" t="s">
        <v>2278</v>
      </c>
      <c r="D1315" s="11" t="s">
        <v>874</v>
      </c>
      <c r="E1315" s="11" t="s">
        <v>914</v>
      </c>
      <c r="F1315" s="9">
        <v>30</v>
      </c>
      <c r="G1315" s="9">
        <v>90</v>
      </c>
      <c r="H1315" s="9" t="s">
        <v>868</v>
      </c>
      <c r="I1315" s="9">
        <v>36</v>
      </c>
      <c r="J1315" s="9">
        <v>60</v>
      </c>
      <c r="K1315" s="9" t="s">
        <v>873</v>
      </c>
      <c r="L1315" s="27">
        <v>4.9939999999999998E-2</v>
      </c>
      <c r="M1315" s="28" t="s">
        <v>3203</v>
      </c>
      <c r="N1315" s="17">
        <v>5.1826319999999999</v>
      </c>
      <c r="O1315" s="1"/>
      <c r="P1315" s="38">
        <f t="shared" si="121"/>
        <v>0</v>
      </c>
      <c r="S1315" s="24" t="str">
        <f t="shared" si="124"/>
        <v>-</v>
      </c>
      <c r="T1315" s="24" t="str">
        <f t="shared" si="122"/>
        <v>-</v>
      </c>
      <c r="U1315" s="25" t="str">
        <f t="shared" si="125"/>
        <v>-</v>
      </c>
      <c r="V1315" s="26" t="str">
        <f t="shared" si="126"/>
        <v>-</v>
      </c>
      <c r="X1315" s="26" t="str">
        <f t="shared" si="123"/>
        <v>-</v>
      </c>
    </row>
    <row r="1316" spans="1:24" x14ac:dyDescent="0.3">
      <c r="A1316" s="37">
        <v>87614112558</v>
      </c>
      <c r="B1316" s="8" t="s">
        <v>127</v>
      </c>
      <c r="C1316" s="10" t="s">
        <v>128</v>
      </c>
      <c r="D1316" s="11" t="s">
        <v>881</v>
      </c>
      <c r="E1316" s="11" t="s">
        <v>969</v>
      </c>
      <c r="F1316" s="9">
        <v>12</v>
      </c>
      <c r="G1316" s="9">
        <v>120</v>
      </c>
      <c r="H1316" s="9" t="s">
        <v>868</v>
      </c>
      <c r="I1316" s="9">
        <v>36</v>
      </c>
      <c r="J1316" s="9">
        <v>1</v>
      </c>
      <c r="K1316" s="9" t="s">
        <v>887</v>
      </c>
      <c r="L1316" s="27">
        <v>0.103285</v>
      </c>
      <c r="M1316" s="28" t="s">
        <v>3203</v>
      </c>
      <c r="N1316" s="17">
        <v>10.979870999999999</v>
      </c>
      <c r="O1316" s="1"/>
      <c r="P1316" s="38">
        <f t="shared" si="121"/>
        <v>0</v>
      </c>
      <c r="S1316" s="24" t="str">
        <f t="shared" si="124"/>
        <v>-</v>
      </c>
      <c r="T1316" s="24" t="str">
        <f t="shared" si="122"/>
        <v>-</v>
      </c>
      <c r="U1316" s="25" t="str">
        <f t="shared" si="125"/>
        <v>-</v>
      </c>
      <c r="V1316" s="26" t="str">
        <f t="shared" si="126"/>
        <v>-</v>
      </c>
      <c r="X1316" s="26" t="str">
        <f t="shared" si="123"/>
        <v>-</v>
      </c>
    </row>
    <row r="1317" spans="1:24" x14ac:dyDescent="0.3">
      <c r="A1317" s="37">
        <v>87614112978</v>
      </c>
      <c r="B1317" s="8" t="s">
        <v>1528</v>
      </c>
      <c r="C1317" s="10" t="s">
        <v>2289</v>
      </c>
      <c r="D1317" s="11" t="s">
        <v>885</v>
      </c>
      <c r="E1317" s="11" t="s">
        <v>934</v>
      </c>
      <c r="F1317" s="9">
        <v>30</v>
      </c>
      <c r="G1317" s="9">
        <v>90</v>
      </c>
      <c r="H1317" s="9" t="s">
        <v>868</v>
      </c>
      <c r="I1317" s="9">
        <v>36</v>
      </c>
      <c r="J1317" s="9">
        <v>60</v>
      </c>
      <c r="K1317" s="9" t="s">
        <v>873</v>
      </c>
      <c r="L1317" s="27">
        <v>5.7884999999999999E-2</v>
      </c>
      <c r="M1317" s="28" t="s">
        <v>3203</v>
      </c>
      <c r="N1317" s="17">
        <v>3.9534180000000001</v>
      </c>
      <c r="O1317" s="1"/>
      <c r="P1317" s="38">
        <f t="shared" si="121"/>
        <v>0</v>
      </c>
      <c r="S1317" s="24" t="str">
        <f t="shared" si="124"/>
        <v>-</v>
      </c>
      <c r="T1317" s="24" t="str">
        <f t="shared" si="122"/>
        <v>-</v>
      </c>
      <c r="U1317" s="25" t="str">
        <f t="shared" si="125"/>
        <v>-</v>
      </c>
      <c r="V1317" s="26" t="str">
        <f t="shared" si="126"/>
        <v>-</v>
      </c>
      <c r="X1317" s="26" t="str">
        <f t="shared" si="123"/>
        <v>-</v>
      </c>
    </row>
    <row r="1318" spans="1:24" x14ac:dyDescent="0.3">
      <c r="A1318" s="37">
        <v>87614011318</v>
      </c>
      <c r="B1318" s="8" t="s">
        <v>1948</v>
      </c>
      <c r="C1318" s="10" t="s">
        <v>2669</v>
      </c>
      <c r="D1318" s="11" t="s">
        <v>866</v>
      </c>
      <c r="E1318" s="11" t="s">
        <v>974</v>
      </c>
      <c r="F1318" s="9">
        <v>20</v>
      </c>
      <c r="G1318" s="9">
        <v>60</v>
      </c>
      <c r="H1318" s="9" t="s">
        <v>868</v>
      </c>
      <c r="I1318" s="9">
        <v>24</v>
      </c>
      <c r="J1318" s="9">
        <v>100</v>
      </c>
      <c r="K1318" s="9" t="s">
        <v>873</v>
      </c>
      <c r="L1318" s="27">
        <v>9.6475000000000005E-2</v>
      </c>
      <c r="M1318" s="28" t="s">
        <v>3203</v>
      </c>
      <c r="N1318" s="17">
        <v>14.767179</v>
      </c>
      <c r="O1318" s="1"/>
      <c r="P1318" s="38">
        <f t="shared" si="121"/>
        <v>0</v>
      </c>
      <c r="S1318" s="24" t="str">
        <f t="shared" si="124"/>
        <v>-</v>
      </c>
      <c r="T1318" s="24" t="str">
        <f t="shared" si="122"/>
        <v>-</v>
      </c>
      <c r="U1318" s="25" t="str">
        <f t="shared" si="125"/>
        <v>-</v>
      </c>
      <c r="V1318" s="26" t="str">
        <f t="shared" si="126"/>
        <v>-</v>
      </c>
      <c r="X1318" s="26" t="str">
        <f t="shared" si="123"/>
        <v>-</v>
      </c>
    </row>
    <row r="1319" spans="1:24" x14ac:dyDescent="0.3">
      <c r="A1319" s="37">
        <v>87614011325</v>
      </c>
      <c r="B1319" s="8" t="s">
        <v>1957</v>
      </c>
      <c r="C1319" s="10" t="s">
        <v>2678</v>
      </c>
      <c r="D1319" s="11" t="s">
        <v>866</v>
      </c>
      <c r="E1319" s="11" t="s">
        <v>974</v>
      </c>
      <c r="F1319" s="9">
        <v>12</v>
      </c>
      <c r="G1319" s="9">
        <v>24</v>
      </c>
      <c r="H1319" s="9" t="s">
        <v>868</v>
      </c>
      <c r="I1319" s="9">
        <v>24</v>
      </c>
      <c r="J1319" s="9">
        <v>250</v>
      </c>
      <c r="K1319" s="9" t="s">
        <v>873</v>
      </c>
      <c r="L1319" s="27">
        <v>0.219055</v>
      </c>
      <c r="M1319" s="28" t="s">
        <v>3203</v>
      </c>
      <c r="N1319" s="17">
        <v>33.055889999999998</v>
      </c>
      <c r="O1319" s="1"/>
      <c r="P1319" s="38">
        <f t="shared" si="121"/>
        <v>0</v>
      </c>
      <c r="S1319" s="24" t="str">
        <f t="shared" si="124"/>
        <v>-</v>
      </c>
      <c r="T1319" s="24" t="str">
        <f t="shared" si="122"/>
        <v>-</v>
      </c>
      <c r="U1319" s="25" t="str">
        <f t="shared" si="125"/>
        <v>-</v>
      </c>
      <c r="V1319" s="26" t="str">
        <f t="shared" si="126"/>
        <v>-</v>
      </c>
      <c r="X1319" s="26" t="str">
        <f t="shared" si="123"/>
        <v>-</v>
      </c>
    </row>
    <row r="1320" spans="1:24" x14ac:dyDescent="0.3">
      <c r="A1320" s="37">
        <v>87614114453</v>
      </c>
      <c r="B1320" s="8" t="s">
        <v>1545</v>
      </c>
      <c r="C1320" s="10" t="s">
        <v>2306</v>
      </c>
      <c r="D1320" s="11" t="s">
        <v>1116</v>
      </c>
      <c r="E1320" s="11" t="s">
        <v>2828</v>
      </c>
      <c r="F1320" s="9">
        <v>24</v>
      </c>
      <c r="G1320" s="9">
        <v>48</v>
      </c>
      <c r="H1320" s="9" t="s">
        <v>892</v>
      </c>
      <c r="I1320" s="9">
        <v>60</v>
      </c>
      <c r="J1320" s="9">
        <v>1</v>
      </c>
      <c r="K1320" s="9" t="s">
        <v>887</v>
      </c>
      <c r="L1320" s="27">
        <v>0.31212500000000004</v>
      </c>
      <c r="M1320" s="28" t="s">
        <v>3203</v>
      </c>
      <c r="N1320" s="17">
        <v>13.089468</v>
      </c>
      <c r="O1320" s="1"/>
      <c r="P1320" s="38">
        <f t="shared" si="121"/>
        <v>0</v>
      </c>
      <c r="S1320" s="24" t="str">
        <f t="shared" si="124"/>
        <v>-</v>
      </c>
      <c r="T1320" s="24" t="str">
        <f t="shared" si="122"/>
        <v>-</v>
      </c>
      <c r="U1320" s="25" t="str">
        <f t="shared" si="125"/>
        <v>-</v>
      </c>
      <c r="V1320" s="26" t="str">
        <f t="shared" si="126"/>
        <v>-</v>
      </c>
      <c r="X1320" s="26" t="str">
        <f t="shared" si="123"/>
        <v>-</v>
      </c>
    </row>
    <row r="1321" spans="1:24" x14ac:dyDescent="0.3">
      <c r="A1321" s="37">
        <v>87614114507</v>
      </c>
      <c r="B1321" s="8" t="s">
        <v>1101</v>
      </c>
      <c r="C1321" s="10" t="s">
        <v>1102</v>
      </c>
      <c r="D1321" s="11" t="s">
        <v>894</v>
      </c>
      <c r="E1321" s="11" t="s">
        <v>992</v>
      </c>
      <c r="F1321" s="9">
        <v>36</v>
      </c>
      <c r="G1321" s="9">
        <v>36</v>
      </c>
      <c r="H1321" s="9" t="s">
        <v>892</v>
      </c>
      <c r="I1321" s="9">
        <v>60</v>
      </c>
      <c r="J1321" s="9">
        <v>1</v>
      </c>
      <c r="K1321" s="9" t="s">
        <v>895</v>
      </c>
      <c r="L1321" s="27">
        <v>0.18273500000000001</v>
      </c>
      <c r="M1321" s="28" t="s">
        <v>3203</v>
      </c>
      <c r="N1321" s="17">
        <v>10.381874999999999</v>
      </c>
      <c r="O1321" s="1"/>
      <c r="P1321" s="38">
        <f t="shared" si="121"/>
        <v>0</v>
      </c>
      <c r="S1321" s="24" t="str">
        <f t="shared" si="124"/>
        <v>-</v>
      </c>
      <c r="T1321" s="24" t="str">
        <f t="shared" si="122"/>
        <v>-</v>
      </c>
      <c r="U1321" s="25" t="str">
        <f t="shared" si="125"/>
        <v>-</v>
      </c>
      <c r="V1321" s="26" t="str">
        <f t="shared" si="126"/>
        <v>-</v>
      </c>
      <c r="X1321" s="26" t="str">
        <f t="shared" si="123"/>
        <v>-</v>
      </c>
    </row>
    <row r="1322" spans="1:24" x14ac:dyDescent="0.3">
      <c r="A1322" s="37">
        <v>87614114514</v>
      </c>
      <c r="B1322" s="8" t="s">
        <v>1547</v>
      </c>
      <c r="C1322" s="10" t="s">
        <v>2308</v>
      </c>
      <c r="D1322" s="11" t="s">
        <v>883</v>
      </c>
      <c r="E1322" s="11" t="s">
        <v>926</v>
      </c>
      <c r="F1322" s="9">
        <v>36</v>
      </c>
      <c r="G1322" s="9">
        <v>36</v>
      </c>
      <c r="H1322" s="9" t="s">
        <v>892</v>
      </c>
      <c r="I1322" s="9">
        <v>60</v>
      </c>
      <c r="J1322" s="9">
        <v>1</v>
      </c>
      <c r="K1322" s="9" t="s">
        <v>895</v>
      </c>
      <c r="L1322" s="27">
        <v>0.19068000000000002</v>
      </c>
      <c r="M1322" s="28" t="s">
        <v>3203</v>
      </c>
      <c r="N1322" s="17">
        <v>9.9665999999999997</v>
      </c>
      <c r="O1322" s="1"/>
      <c r="P1322" s="38">
        <f t="shared" si="121"/>
        <v>0</v>
      </c>
      <c r="S1322" s="24" t="str">
        <f t="shared" si="124"/>
        <v>-</v>
      </c>
      <c r="T1322" s="24" t="str">
        <f t="shared" si="122"/>
        <v>-</v>
      </c>
      <c r="U1322" s="25" t="str">
        <f t="shared" si="125"/>
        <v>-</v>
      </c>
      <c r="V1322" s="26" t="str">
        <f t="shared" si="126"/>
        <v>-</v>
      </c>
      <c r="X1322" s="26" t="str">
        <f t="shared" si="123"/>
        <v>-</v>
      </c>
    </row>
    <row r="1323" spans="1:24" x14ac:dyDescent="0.3">
      <c r="A1323" s="37">
        <v>87614114873</v>
      </c>
      <c r="B1323" s="8" t="s">
        <v>1390</v>
      </c>
      <c r="C1323" s="10" t="s">
        <v>2170</v>
      </c>
      <c r="D1323" s="11" t="s">
        <v>2829</v>
      </c>
      <c r="E1323" s="11" t="s">
        <v>2830</v>
      </c>
      <c r="F1323" s="9">
        <v>24</v>
      </c>
      <c r="G1323" s="9">
        <v>24</v>
      </c>
      <c r="H1323" s="9" t="s">
        <v>892</v>
      </c>
      <c r="I1323" s="9">
        <v>60</v>
      </c>
      <c r="J1323" s="9">
        <v>1</v>
      </c>
      <c r="K1323" s="9" t="s">
        <v>887</v>
      </c>
      <c r="L1323" s="27">
        <v>0.30872000000000005</v>
      </c>
      <c r="M1323" s="28" t="s">
        <v>3203</v>
      </c>
      <c r="N1323" s="17">
        <v>11.212425</v>
      </c>
      <c r="O1323" s="1"/>
      <c r="P1323" s="38">
        <f t="shared" si="121"/>
        <v>0</v>
      </c>
      <c r="S1323" s="24" t="str">
        <f t="shared" si="124"/>
        <v>-</v>
      </c>
      <c r="T1323" s="24" t="str">
        <f t="shared" si="122"/>
        <v>-</v>
      </c>
      <c r="U1323" s="25" t="str">
        <f t="shared" si="125"/>
        <v>-</v>
      </c>
      <c r="V1323" s="26" t="str">
        <f t="shared" si="126"/>
        <v>-</v>
      </c>
      <c r="X1323" s="26" t="str">
        <f t="shared" si="123"/>
        <v>-</v>
      </c>
    </row>
    <row r="1324" spans="1:24" x14ac:dyDescent="0.3">
      <c r="A1324" s="37">
        <v>87614115405</v>
      </c>
      <c r="B1324" s="8" t="s">
        <v>1564</v>
      </c>
      <c r="C1324" s="10" t="s">
        <v>2325</v>
      </c>
      <c r="D1324" s="11" t="s">
        <v>872</v>
      </c>
      <c r="E1324" s="11" t="s">
        <v>945</v>
      </c>
      <c r="F1324" s="9">
        <v>30</v>
      </c>
      <c r="G1324" s="9">
        <v>90</v>
      </c>
      <c r="H1324" s="9" t="s">
        <v>868</v>
      </c>
      <c r="I1324" s="9">
        <v>36</v>
      </c>
      <c r="J1324" s="9">
        <v>60</v>
      </c>
      <c r="K1324" s="9" t="s">
        <v>873</v>
      </c>
      <c r="L1324" s="27">
        <v>6.3560000000000005E-2</v>
      </c>
      <c r="M1324" s="28" t="s">
        <v>3203</v>
      </c>
      <c r="N1324" s="17">
        <v>3.9534180000000001</v>
      </c>
      <c r="O1324" s="1"/>
      <c r="P1324" s="38">
        <f t="shared" si="121"/>
        <v>0</v>
      </c>
      <c r="S1324" s="24" t="str">
        <f t="shared" si="124"/>
        <v>-</v>
      </c>
      <c r="T1324" s="24" t="str">
        <f t="shared" si="122"/>
        <v>-</v>
      </c>
      <c r="U1324" s="25" t="str">
        <f t="shared" si="125"/>
        <v>-</v>
      </c>
      <c r="V1324" s="26" t="str">
        <f t="shared" si="126"/>
        <v>-</v>
      </c>
      <c r="X1324" s="26" t="str">
        <f t="shared" si="123"/>
        <v>-</v>
      </c>
    </row>
    <row r="1325" spans="1:24" x14ac:dyDescent="0.3">
      <c r="A1325" s="37">
        <v>87614116167</v>
      </c>
      <c r="B1325" s="8" t="s">
        <v>1575</v>
      </c>
      <c r="C1325" s="10" t="s">
        <v>2336</v>
      </c>
      <c r="D1325" s="11" t="s">
        <v>883</v>
      </c>
      <c r="E1325" s="11" t="s">
        <v>928</v>
      </c>
      <c r="F1325" s="9">
        <v>30</v>
      </c>
      <c r="G1325" s="9">
        <v>90</v>
      </c>
      <c r="H1325" s="9" t="s">
        <v>868</v>
      </c>
      <c r="I1325" s="9">
        <v>36</v>
      </c>
      <c r="J1325" s="9">
        <v>60</v>
      </c>
      <c r="K1325" s="9" t="s">
        <v>889</v>
      </c>
      <c r="L1325" s="27">
        <v>6.4695000000000003E-2</v>
      </c>
      <c r="M1325" s="28" t="s">
        <v>3203</v>
      </c>
      <c r="N1325" s="17">
        <v>5.2656869999999998</v>
      </c>
      <c r="O1325" s="1"/>
      <c r="P1325" s="38">
        <f t="shared" si="121"/>
        <v>0</v>
      </c>
      <c r="S1325" s="24" t="str">
        <f t="shared" si="124"/>
        <v>-</v>
      </c>
      <c r="T1325" s="24" t="str">
        <f t="shared" si="122"/>
        <v>-</v>
      </c>
      <c r="U1325" s="25" t="str">
        <f t="shared" si="125"/>
        <v>-</v>
      </c>
      <c r="V1325" s="26" t="str">
        <f t="shared" si="126"/>
        <v>-</v>
      </c>
      <c r="X1325" s="26" t="str">
        <f t="shared" si="123"/>
        <v>-</v>
      </c>
    </row>
    <row r="1326" spans="1:24" x14ac:dyDescent="0.3">
      <c r="A1326" s="37">
        <v>87614116747</v>
      </c>
      <c r="B1326" s="8" t="s">
        <v>1585</v>
      </c>
      <c r="C1326" s="10" t="s">
        <v>2346</v>
      </c>
      <c r="D1326" s="11" t="s">
        <v>1116</v>
      </c>
      <c r="E1326" s="11" t="s">
        <v>2840</v>
      </c>
      <c r="F1326" s="9">
        <v>24</v>
      </c>
      <c r="G1326" s="9">
        <v>24</v>
      </c>
      <c r="H1326" s="9" t="s">
        <v>892</v>
      </c>
      <c r="I1326" s="9">
        <v>60</v>
      </c>
      <c r="J1326" s="9">
        <v>1</v>
      </c>
      <c r="K1326" s="9" t="s">
        <v>895</v>
      </c>
      <c r="L1326" s="27">
        <v>9.4205000000000011E-2</v>
      </c>
      <c r="M1326" s="28" t="s">
        <v>3203</v>
      </c>
      <c r="N1326" s="17">
        <v>12.823691999999999</v>
      </c>
      <c r="O1326" s="1"/>
      <c r="P1326" s="38">
        <f t="shared" si="121"/>
        <v>0</v>
      </c>
      <c r="S1326" s="24" t="str">
        <f t="shared" si="124"/>
        <v>-</v>
      </c>
      <c r="T1326" s="24" t="str">
        <f t="shared" si="122"/>
        <v>-</v>
      </c>
      <c r="U1326" s="25" t="str">
        <f t="shared" si="125"/>
        <v>-</v>
      </c>
      <c r="V1326" s="26" t="str">
        <f t="shared" si="126"/>
        <v>-</v>
      </c>
      <c r="X1326" s="26" t="str">
        <f t="shared" si="123"/>
        <v>-</v>
      </c>
    </row>
    <row r="1327" spans="1:24" x14ac:dyDescent="0.3">
      <c r="A1327" s="37">
        <v>87614116891</v>
      </c>
      <c r="B1327" s="8" t="s">
        <v>1589</v>
      </c>
      <c r="C1327" s="10" t="s">
        <v>2350</v>
      </c>
      <c r="D1327" s="11" t="s">
        <v>866</v>
      </c>
      <c r="E1327" s="11" t="s">
        <v>918</v>
      </c>
      <c r="F1327" s="9">
        <v>12</v>
      </c>
      <c r="G1327" s="9">
        <v>24</v>
      </c>
      <c r="H1327" s="9" t="s">
        <v>868</v>
      </c>
      <c r="I1327" s="9">
        <v>24</v>
      </c>
      <c r="J1327" s="9">
        <v>250</v>
      </c>
      <c r="K1327" s="9" t="s">
        <v>877</v>
      </c>
      <c r="L1327" s="27">
        <v>0.50053499999999995</v>
      </c>
      <c r="M1327" s="28" t="s">
        <v>3203</v>
      </c>
      <c r="N1327" s="17">
        <v>39.617235000000001</v>
      </c>
      <c r="O1327" s="1"/>
      <c r="P1327" s="38">
        <f t="shared" si="121"/>
        <v>0</v>
      </c>
      <c r="S1327" s="24" t="str">
        <f t="shared" si="124"/>
        <v>-</v>
      </c>
      <c r="T1327" s="24" t="str">
        <f t="shared" si="122"/>
        <v>-</v>
      </c>
      <c r="U1327" s="25" t="str">
        <f t="shared" si="125"/>
        <v>-</v>
      </c>
      <c r="V1327" s="26" t="str">
        <f t="shared" si="126"/>
        <v>-</v>
      </c>
      <c r="X1327" s="26" t="str">
        <f t="shared" si="123"/>
        <v>-</v>
      </c>
    </row>
    <row r="1328" spans="1:24" x14ac:dyDescent="0.3">
      <c r="A1328" s="37">
        <v>87614117300</v>
      </c>
      <c r="B1328" s="8" t="s">
        <v>1949</v>
      </c>
      <c r="C1328" s="10" t="s">
        <v>2670</v>
      </c>
      <c r="D1328" s="11" t="s">
        <v>888</v>
      </c>
      <c r="E1328" s="11" t="s">
        <v>2844</v>
      </c>
      <c r="F1328" s="9">
        <v>6</v>
      </c>
      <c r="G1328" s="9">
        <v>6</v>
      </c>
      <c r="H1328" s="9" t="s">
        <v>868</v>
      </c>
      <c r="I1328" s="9">
        <v>24</v>
      </c>
      <c r="J1328" s="9">
        <v>1</v>
      </c>
      <c r="K1328" s="9" t="s">
        <v>2901</v>
      </c>
      <c r="L1328" s="27">
        <v>1.6854750000000001</v>
      </c>
      <c r="M1328" s="28" t="s">
        <v>3203</v>
      </c>
      <c r="N1328" s="17">
        <v>28.371587999999999</v>
      </c>
      <c r="O1328" s="1"/>
      <c r="P1328" s="38">
        <f t="shared" si="121"/>
        <v>0</v>
      </c>
      <c r="S1328" s="24" t="str">
        <f t="shared" si="124"/>
        <v>-</v>
      </c>
      <c r="T1328" s="24" t="str">
        <f t="shared" si="122"/>
        <v>-</v>
      </c>
      <c r="U1328" s="25" t="str">
        <f t="shared" si="125"/>
        <v>-</v>
      </c>
      <c r="V1328" s="26" t="str">
        <f t="shared" si="126"/>
        <v>-</v>
      </c>
      <c r="X1328" s="26" t="str">
        <f t="shared" si="123"/>
        <v>-</v>
      </c>
    </row>
    <row r="1329" spans="1:24" x14ac:dyDescent="0.3">
      <c r="A1329" s="37">
        <v>87614117829</v>
      </c>
      <c r="B1329" s="8" t="s">
        <v>1408</v>
      </c>
      <c r="C1329" s="10" t="s">
        <v>2970</v>
      </c>
      <c r="D1329" s="11" t="s">
        <v>882</v>
      </c>
      <c r="E1329" s="11" t="s">
        <v>1005</v>
      </c>
      <c r="F1329" s="9">
        <v>16</v>
      </c>
      <c r="G1329" s="9">
        <v>48</v>
      </c>
      <c r="H1329" s="9" t="s">
        <v>868</v>
      </c>
      <c r="I1329" s="9">
        <v>24</v>
      </c>
      <c r="J1329" s="9">
        <v>120</v>
      </c>
      <c r="K1329" s="9" t="s">
        <v>2903</v>
      </c>
      <c r="L1329" s="27">
        <v>0.144145</v>
      </c>
      <c r="M1329" s="28" t="s">
        <v>3203</v>
      </c>
      <c r="N1329" s="17">
        <v>11.893476</v>
      </c>
      <c r="O1329" s="1"/>
      <c r="P1329" s="38">
        <f t="shared" si="121"/>
        <v>0</v>
      </c>
      <c r="S1329" s="24" t="str">
        <f t="shared" si="124"/>
        <v>-</v>
      </c>
      <c r="T1329" s="24" t="str">
        <f t="shared" si="122"/>
        <v>-</v>
      </c>
      <c r="U1329" s="25" t="str">
        <f t="shared" si="125"/>
        <v>-</v>
      </c>
      <c r="V1329" s="26" t="str">
        <f t="shared" si="126"/>
        <v>-</v>
      </c>
      <c r="X1329" s="26" t="str">
        <f t="shared" si="123"/>
        <v>-</v>
      </c>
    </row>
    <row r="1330" spans="1:24" x14ac:dyDescent="0.3">
      <c r="A1330" s="37">
        <v>87614118529</v>
      </c>
      <c r="B1330" s="8" t="s">
        <v>306</v>
      </c>
      <c r="C1330" s="10" t="s">
        <v>2698</v>
      </c>
      <c r="D1330" s="11" t="s">
        <v>885</v>
      </c>
      <c r="E1330" s="11" t="s">
        <v>973</v>
      </c>
      <c r="F1330" s="9">
        <v>30</v>
      </c>
      <c r="G1330" s="9">
        <v>90</v>
      </c>
      <c r="H1330" s="9" t="s">
        <v>892</v>
      </c>
      <c r="I1330" s="9">
        <v>24</v>
      </c>
      <c r="J1330" s="9">
        <v>60</v>
      </c>
      <c r="K1330" s="9" t="s">
        <v>2903</v>
      </c>
      <c r="L1330" s="27">
        <v>0.10669000000000001</v>
      </c>
      <c r="M1330" s="28" t="s">
        <v>3203</v>
      </c>
      <c r="N1330" s="17">
        <v>14.28546</v>
      </c>
      <c r="O1330" s="1"/>
      <c r="P1330" s="38">
        <f t="shared" si="121"/>
        <v>0</v>
      </c>
      <c r="S1330" s="24" t="str">
        <f t="shared" si="124"/>
        <v>-</v>
      </c>
      <c r="T1330" s="24" t="str">
        <f t="shared" si="122"/>
        <v>-</v>
      </c>
      <c r="U1330" s="25" t="str">
        <f t="shared" si="125"/>
        <v>-</v>
      </c>
      <c r="V1330" s="26" t="str">
        <f t="shared" si="126"/>
        <v>-</v>
      </c>
      <c r="X1330" s="26" t="str">
        <f t="shared" si="123"/>
        <v>-</v>
      </c>
    </row>
    <row r="1331" spans="1:24" x14ac:dyDescent="0.3">
      <c r="A1331" s="37">
        <v>87614118574</v>
      </c>
      <c r="B1331" s="8" t="s">
        <v>1607</v>
      </c>
      <c r="C1331" s="10" t="s">
        <v>2369</v>
      </c>
      <c r="D1331" s="11" t="s">
        <v>902</v>
      </c>
      <c r="E1331" s="11" t="s">
        <v>1023</v>
      </c>
      <c r="F1331" s="9">
        <v>30</v>
      </c>
      <c r="G1331" s="9">
        <v>90</v>
      </c>
      <c r="H1331" s="9" t="s">
        <v>868</v>
      </c>
      <c r="I1331" s="9">
        <v>36</v>
      </c>
      <c r="J1331" s="9">
        <v>60</v>
      </c>
      <c r="K1331" s="9" t="s">
        <v>869</v>
      </c>
      <c r="L1331" s="27">
        <v>0.105555</v>
      </c>
      <c r="M1331" s="28" t="s">
        <v>3203</v>
      </c>
      <c r="N1331" s="17">
        <v>8.8038299999999996</v>
      </c>
      <c r="O1331" s="1"/>
      <c r="P1331" s="38">
        <f t="shared" si="121"/>
        <v>0</v>
      </c>
      <c r="S1331" s="24" t="str">
        <f t="shared" si="124"/>
        <v>-</v>
      </c>
      <c r="T1331" s="24" t="str">
        <f t="shared" si="122"/>
        <v>-</v>
      </c>
      <c r="U1331" s="25" t="str">
        <f t="shared" si="125"/>
        <v>-</v>
      </c>
      <c r="V1331" s="26" t="str">
        <f t="shared" si="126"/>
        <v>-</v>
      </c>
      <c r="X1331" s="26" t="str">
        <f t="shared" si="123"/>
        <v>-</v>
      </c>
    </row>
    <row r="1332" spans="1:24" x14ac:dyDescent="0.3">
      <c r="A1332" s="37">
        <v>87614118802</v>
      </c>
      <c r="B1332" s="8" t="s">
        <v>1610</v>
      </c>
      <c r="C1332" s="10" t="s">
        <v>2372</v>
      </c>
      <c r="D1332" s="11" t="s">
        <v>876</v>
      </c>
      <c r="E1332" s="11" t="s">
        <v>1020</v>
      </c>
      <c r="F1332" s="9">
        <v>30</v>
      </c>
      <c r="G1332" s="9">
        <v>90</v>
      </c>
      <c r="H1332" s="9" t="s">
        <v>868</v>
      </c>
      <c r="I1332" s="9">
        <v>24</v>
      </c>
      <c r="J1332" s="9">
        <v>60</v>
      </c>
      <c r="K1332" s="9" t="s">
        <v>889</v>
      </c>
      <c r="L1332" s="27">
        <v>7.3775000000000007E-2</v>
      </c>
      <c r="M1332" s="28" t="s">
        <v>3203</v>
      </c>
      <c r="N1332" s="17">
        <v>20.614250999999999</v>
      </c>
      <c r="O1332" s="1"/>
      <c r="P1332" s="38">
        <f t="shared" si="121"/>
        <v>0</v>
      </c>
      <c r="S1332" s="24" t="str">
        <f t="shared" si="124"/>
        <v>-</v>
      </c>
      <c r="T1332" s="24" t="str">
        <f t="shared" si="122"/>
        <v>-</v>
      </c>
      <c r="U1332" s="25" t="str">
        <f t="shared" si="125"/>
        <v>-</v>
      </c>
      <c r="V1332" s="26" t="str">
        <f t="shared" si="126"/>
        <v>-</v>
      </c>
      <c r="X1332" s="26" t="str">
        <f t="shared" si="123"/>
        <v>-</v>
      </c>
    </row>
    <row r="1333" spans="1:24" x14ac:dyDescent="0.3">
      <c r="A1333" s="37">
        <v>87614013862</v>
      </c>
      <c r="B1333" s="8" t="s">
        <v>1618</v>
      </c>
      <c r="C1333" s="10" t="s">
        <v>2380</v>
      </c>
      <c r="D1333" s="11" t="s">
        <v>874</v>
      </c>
      <c r="E1333" s="11" t="s">
        <v>914</v>
      </c>
      <c r="F1333" s="9">
        <v>30</v>
      </c>
      <c r="G1333" s="9">
        <v>90</v>
      </c>
      <c r="H1333" s="9" t="s">
        <v>868</v>
      </c>
      <c r="I1333" s="9">
        <v>36</v>
      </c>
      <c r="J1333" s="9">
        <v>250</v>
      </c>
      <c r="K1333" s="9" t="s">
        <v>869</v>
      </c>
      <c r="L1333" s="27">
        <v>0.12257999999999999</v>
      </c>
      <c r="M1333" s="28" t="s">
        <v>3203</v>
      </c>
      <c r="N1333" s="17">
        <v>7.8403919999999996</v>
      </c>
      <c r="O1333" s="1"/>
      <c r="P1333" s="38">
        <f t="shared" si="121"/>
        <v>0</v>
      </c>
      <c r="S1333" s="24" t="str">
        <f t="shared" si="124"/>
        <v>-</v>
      </c>
      <c r="T1333" s="24" t="str">
        <f t="shared" si="122"/>
        <v>-</v>
      </c>
      <c r="U1333" s="25" t="str">
        <f t="shared" si="125"/>
        <v>-</v>
      </c>
      <c r="V1333" s="26" t="str">
        <f t="shared" si="126"/>
        <v>-</v>
      </c>
      <c r="X1333" s="26" t="str">
        <f t="shared" si="123"/>
        <v>-</v>
      </c>
    </row>
    <row r="1334" spans="1:24" x14ac:dyDescent="0.3">
      <c r="A1334" s="37">
        <v>87614017310</v>
      </c>
      <c r="B1334" s="8" t="s">
        <v>1620</v>
      </c>
      <c r="C1334" s="10" t="s">
        <v>2382</v>
      </c>
      <c r="D1334" s="11" t="s">
        <v>870</v>
      </c>
      <c r="E1334" s="11" t="s">
        <v>2834</v>
      </c>
      <c r="F1334" s="9">
        <v>16</v>
      </c>
      <c r="G1334" s="9">
        <v>48</v>
      </c>
      <c r="H1334" s="9" t="s">
        <v>868</v>
      </c>
      <c r="I1334" s="9">
        <v>24</v>
      </c>
      <c r="J1334" s="9">
        <v>120</v>
      </c>
      <c r="K1334" s="9" t="s">
        <v>877</v>
      </c>
      <c r="L1334" s="27">
        <v>0.241755</v>
      </c>
      <c r="M1334" s="28" t="s">
        <v>3203</v>
      </c>
      <c r="N1334" s="17">
        <v>16.893387000000001</v>
      </c>
      <c r="O1334" s="1"/>
      <c r="P1334" s="38">
        <f t="shared" si="121"/>
        <v>0</v>
      </c>
      <c r="S1334" s="24" t="str">
        <f t="shared" si="124"/>
        <v>-</v>
      </c>
      <c r="T1334" s="24" t="str">
        <f t="shared" si="122"/>
        <v>-</v>
      </c>
      <c r="U1334" s="25" t="str">
        <f t="shared" si="125"/>
        <v>-</v>
      </c>
      <c r="V1334" s="26" t="str">
        <f t="shared" si="126"/>
        <v>-</v>
      </c>
      <c r="X1334" s="26" t="str">
        <f t="shared" si="123"/>
        <v>-</v>
      </c>
    </row>
    <row r="1335" spans="1:24" x14ac:dyDescent="0.3">
      <c r="A1335" s="37">
        <v>87614017952</v>
      </c>
      <c r="B1335" s="8" t="s">
        <v>1622</v>
      </c>
      <c r="C1335" s="10" t="s">
        <v>2384</v>
      </c>
      <c r="D1335" s="11" t="s">
        <v>870</v>
      </c>
      <c r="E1335" s="11" t="s">
        <v>2814</v>
      </c>
      <c r="F1335" s="9">
        <v>12</v>
      </c>
      <c r="G1335" s="9">
        <v>24</v>
      </c>
      <c r="H1335" s="9" t="s">
        <v>868</v>
      </c>
      <c r="I1335" s="9">
        <v>24</v>
      </c>
      <c r="J1335" s="9">
        <v>120</v>
      </c>
      <c r="K1335" s="9" t="s">
        <v>869</v>
      </c>
      <c r="L1335" s="27">
        <v>0.42108499999999999</v>
      </c>
      <c r="M1335" s="28" t="s">
        <v>3203</v>
      </c>
      <c r="N1335" s="17">
        <v>8.5048319999999986</v>
      </c>
      <c r="O1335" s="1"/>
      <c r="P1335" s="38">
        <f t="shared" si="121"/>
        <v>0</v>
      </c>
      <c r="S1335" s="24" t="str">
        <f t="shared" si="124"/>
        <v>-</v>
      </c>
      <c r="T1335" s="24" t="str">
        <f t="shared" si="122"/>
        <v>-</v>
      </c>
      <c r="U1335" s="25" t="str">
        <f t="shared" si="125"/>
        <v>-</v>
      </c>
      <c r="V1335" s="26" t="str">
        <f t="shared" si="126"/>
        <v>-</v>
      </c>
      <c r="X1335" s="26" t="str">
        <f t="shared" si="123"/>
        <v>-</v>
      </c>
    </row>
    <row r="1336" spans="1:24" x14ac:dyDescent="0.3">
      <c r="A1336" s="37">
        <v>87614018348</v>
      </c>
      <c r="B1336" s="8" t="s">
        <v>1197</v>
      </c>
      <c r="C1336" s="10" t="s">
        <v>2013</v>
      </c>
      <c r="D1336" s="11" t="s">
        <v>866</v>
      </c>
      <c r="E1336" s="11" t="s">
        <v>1000</v>
      </c>
      <c r="F1336" s="9">
        <v>20</v>
      </c>
      <c r="G1336" s="9">
        <v>60</v>
      </c>
      <c r="H1336" s="9" t="s">
        <v>892</v>
      </c>
      <c r="I1336" s="9">
        <v>24</v>
      </c>
      <c r="J1336" s="9">
        <v>90</v>
      </c>
      <c r="K1336" s="9" t="s">
        <v>873</v>
      </c>
      <c r="L1336" s="27">
        <v>0.144145</v>
      </c>
      <c r="M1336" s="28" t="s">
        <v>3203</v>
      </c>
      <c r="N1336" s="17">
        <v>12.375195</v>
      </c>
      <c r="O1336" s="1"/>
      <c r="P1336" s="38">
        <f t="shared" si="121"/>
        <v>0</v>
      </c>
      <c r="S1336" s="24" t="str">
        <f t="shared" si="124"/>
        <v>-</v>
      </c>
      <c r="T1336" s="24" t="str">
        <f t="shared" si="122"/>
        <v>-</v>
      </c>
      <c r="U1336" s="25" t="str">
        <f t="shared" si="125"/>
        <v>-</v>
      </c>
      <c r="V1336" s="26" t="str">
        <f t="shared" si="126"/>
        <v>-</v>
      </c>
      <c r="X1336" s="26" t="str">
        <f t="shared" si="123"/>
        <v>-</v>
      </c>
    </row>
    <row r="1337" spans="1:24" x14ac:dyDescent="0.3">
      <c r="A1337" s="37">
        <v>87614018713</v>
      </c>
      <c r="B1337" s="8" t="s">
        <v>1892</v>
      </c>
      <c r="C1337" s="10" t="s">
        <v>2616</v>
      </c>
      <c r="D1337" s="11" t="s">
        <v>876</v>
      </c>
      <c r="E1337" s="11" t="s">
        <v>2855</v>
      </c>
      <c r="F1337" s="9">
        <v>20</v>
      </c>
      <c r="G1337" s="9">
        <v>60</v>
      </c>
      <c r="H1337" s="9" t="s">
        <v>868</v>
      </c>
      <c r="I1337" s="9">
        <v>24</v>
      </c>
      <c r="J1337" s="9">
        <v>100</v>
      </c>
      <c r="K1337" s="9" t="s">
        <v>873</v>
      </c>
      <c r="L1337" s="27">
        <v>0.11463500000000001</v>
      </c>
      <c r="M1337" s="28" t="s">
        <v>3203</v>
      </c>
      <c r="N1337" s="17">
        <v>11.577866999999999</v>
      </c>
      <c r="O1337" s="1"/>
      <c r="P1337" s="38">
        <f t="shared" si="121"/>
        <v>0</v>
      </c>
      <c r="S1337" s="24" t="str">
        <f t="shared" si="124"/>
        <v>-</v>
      </c>
      <c r="T1337" s="24" t="str">
        <f t="shared" si="122"/>
        <v>-</v>
      </c>
      <c r="U1337" s="25" t="str">
        <f t="shared" si="125"/>
        <v>-</v>
      </c>
      <c r="V1337" s="26" t="str">
        <f t="shared" si="126"/>
        <v>-</v>
      </c>
      <c r="X1337" s="26" t="str">
        <f t="shared" si="123"/>
        <v>-</v>
      </c>
    </row>
    <row r="1338" spans="1:24" x14ac:dyDescent="0.3">
      <c r="A1338" s="37">
        <v>87614190310</v>
      </c>
      <c r="B1338" s="8" t="s">
        <v>1635</v>
      </c>
      <c r="C1338" s="10" t="s">
        <v>2738</v>
      </c>
      <c r="D1338" s="11" t="s">
        <v>879</v>
      </c>
      <c r="E1338" s="11" t="s">
        <v>1018</v>
      </c>
      <c r="F1338" s="9">
        <v>30</v>
      </c>
      <c r="G1338" s="9">
        <v>90</v>
      </c>
      <c r="H1338" s="9" t="s">
        <v>868</v>
      </c>
      <c r="I1338" s="9">
        <v>24</v>
      </c>
      <c r="J1338" s="9">
        <v>60</v>
      </c>
      <c r="K1338" s="9" t="s">
        <v>2903</v>
      </c>
      <c r="L1338" s="27">
        <v>5.9019999999999996E-2</v>
      </c>
      <c r="M1338" s="28" t="s">
        <v>3203</v>
      </c>
      <c r="N1338" s="17">
        <v>8.6543309999999991</v>
      </c>
      <c r="O1338" s="1"/>
      <c r="P1338" s="38">
        <f t="shared" si="121"/>
        <v>0</v>
      </c>
      <c r="S1338" s="24" t="str">
        <f t="shared" si="124"/>
        <v>-</v>
      </c>
      <c r="T1338" s="24" t="str">
        <f t="shared" si="122"/>
        <v>-</v>
      </c>
      <c r="U1338" s="25" t="str">
        <f t="shared" si="125"/>
        <v>-</v>
      </c>
      <c r="V1338" s="26" t="str">
        <f t="shared" si="126"/>
        <v>-</v>
      </c>
      <c r="X1338" s="26" t="str">
        <f t="shared" si="123"/>
        <v>-</v>
      </c>
    </row>
    <row r="1339" spans="1:24" x14ac:dyDescent="0.3">
      <c r="A1339" s="37">
        <v>87614190358</v>
      </c>
      <c r="B1339" s="8" t="s">
        <v>1637</v>
      </c>
      <c r="C1339" s="10" t="s">
        <v>2398</v>
      </c>
      <c r="D1339" s="11" t="s">
        <v>879</v>
      </c>
      <c r="E1339" s="11" t="s">
        <v>2859</v>
      </c>
      <c r="F1339" s="9">
        <v>30</v>
      </c>
      <c r="G1339" s="9">
        <v>90</v>
      </c>
      <c r="H1339" s="9" t="s">
        <v>868</v>
      </c>
      <c r="I1339" s="9">
        <v>24</v>
      </c>
      <c r="J1339" s="9">
        <v>60</v>
      </c>
      <c r="K1339" s="9" t="s">
        <v>896</v>
      </c>
      <c r="L1339" s="27">
        <v>7.7180000000000012E-2</v>
      </c>
      <c r="M1339" s="28" t="s">
        <v>3203</v>
      </c>
      <c r="N1339" s="17">
        <v>9.4682700000000004</v>
      </c>
      <c r="O1339" s="1"/>
      <c r="P1339" s="38">
        <f t="shared" si="121"/>
        <v>0</v>
      </c>
      <c r="S1339" s="24" t="str">
        <f t="shared" si="124"/>
        <v>-</v>
      </c>
      <c r="T1339" s="24" t="str">
        <f t="shared" si="122"/>
        <v>-</v>
      </c>
      <c r="U1339" s="25" t="str">
        <f t="shared" si="125"/>
        <v>-</v>
      </c>
      <c r="V1339" s="26" t="str">
        <f t="shared" si="126"/>
        <v>-</v>
      </c>
      <c r="X1339" s="26" t="str">
        <f t="shared" si="123"/>
        <v>-</v>
      </c>
    </row>
    <row r="1340" spans="1:24" x14ac:dyDescent="0.3">
      <c r="A1340" s="37">
        <v>87614190488</v>
      </c>
      <c r="B1340" s="8" t="s">
        <v>1224</v>
      </c>
      <c r="C1340" s="10" t="s">
        <v>2740</v>
      </c>
      <c r="D1340" s="11" t="s">
        <v>879</v>
      </c>
      <c r="E1340" s="11" t="s">
        <v>1018</v>
      </c>
      <c r="F1340" s="9">
        <v>30</v>
      </c>
      <c r="G1340" s="9">
        <v>90</v>
      </c>
      <c r="H1340" s="9" t="s">
        <v>868</v>
      </c>
      <c r="I1340" s="9">
        <v>24</v>
      </c>
      <c r="J1340" s="9">
        <v>60</v>
      </c>
      <c r="K1340" s="9" t="s">
        <v>2903</v>
      </c>
      <c r="L1340" s="27">
        <v>7.831500000000001E-2</v>
      </c>
      <c r="M1340" s="28" t="s">
        <v>3203</v>
      </c>
      <c r="N1340" s="17">
        <v>19.584368999999999</v>
      </c>
      <c r="O1340" s="1"/>
      <c r="P1340" s="38">
        <f t="shared" si="121"/>
        <v>0</v>
      </c>
      <c r="S1340" s="24" t="str">
        <f t="shared" si="124"/>
        <v>-</v>
      </c>
      <c r="T1340" s="24" t="str">
        <f t="shared" si="122"/>
        <v>-</v>
      </c>
      <c r="U1340" s="25" t="str">
        <f t="shared" si="125"/>
        <v>-</v>
      </c>
      <c r="V1340" s="26" t="str">
        <f t="shared" si="126"/>
        <v>-</v>
      </c>
      <c r="X1340" s="26" t="str">
        <f t="shared" si="123"/>
        <v>-</v>
      </c>
    </row>
    <row r="1341" spans="1:24" x14ac:dyDescent="0.3">
      <c r="A1341" s="37">
        <v>87614370033</v>
      </c>
      <c r="B1341" s="8" t="s">
        <v>1936</v>
      </c>
      <c r="C1341" s="10" t="s">
        <v>2658</v>
      </c>
      <c r="D1341" s="11" t="s">
        <v>2831</v>
      </c>
      <c r="E1341" s="11" t="s">
        <v>2832</v>
      </c>
      <c r="F1341" s="9">
        <v>24</v>
      </c>
      <c r="G1341" s="9">
        <v>24</v>
      </c>
      <c r="H1341" s="9" t="s">
        <v>892</v>
      </c>
      <c r="I1341" s="9">
        <v>60</v>
      </c>
      <c r="J1341" s="9">
        <v>1</v>
      </c>
      <c r="K1341" s="9" t="s">
        <v>887</v>
      </c>
      <c r="L1341" s="27">
        <v>5.9019999999999996E-2</v>
      </c>
      <c r="M1341" s="28" t="s">
        <v>3203</v>
      </c>
      <c r="N1341" s="17">
        <v>9.9499890000000004</v>
      </c>
      <c r="O1341" s="1"/>
      <c r="P1341" s="38">
        <f t="shared" si="121"/>
        <v>0</v>
      </c>
      <c r="S1341" s="24" t="str">
        <f t="shared" si="124"/>
        <v>-</v>
      </c>
      <c r="T1341" s="24" t="str">
        <f t="shared" si="122"/>
        <v>-</v>
      </c>
      <c r="U1341" s="25" t="str">
        <f t="shared" si="125"/>
        <v>-</v>
      </c>
      <c r="V1341" s="26" t="str">
        <f t="shared" si="126"/>
        <v>-</v>
      </c>
      <c r="X1341" s="26" t="str">
        <f t="shared" si="123"/>
        <v>-</v>
      </c>
    </row>
    <row r="1342" spans="1:24" x14ac:dyDescent="0.3">
      <c r="A1342" s="37">
        <v>87614370064</v>
      </c>
      <c r="B1342" s="8" t="s">
        <v>1953</v>
      </c>
      <c r="C1342" s="10" t="s">
        <v>2674</v>
      </c>
      <c r="D1342" s="11" t="s">
        <v>2831</v>
      </c>
      <c r="E1342" s="11" t="s">
        <v>2832</v>
      </c>
      <c r="F1342" s="9">
        <v>24</v>
      </c>
      <c r="G1342" s="9">
        <v>120</v>
      </c>
      <c r="H1342" s="9" t="s">
        <v>892</v>
      </c>
      <c r="I1342" s="9">
        <v>60</v>
      </c>
      <c r="J1342" s="9">
        <v>1</v>
      </c>
      <c r="K1342" s="9" t="s">
        <v>887</v>
      </c>
      <c r="L1342" s="27">
        <v>5.9019999999999996E-2</v>
      </c>
      <c r="M1342" s="28" t="s">
        <v>3203</v>
      </c>
      <c r="N1342" s="17">
        <v>13.604408999999999</v>
      </c>
      <c r="O1342" s="1"/>
      <c r="P1342" s="38">
        <f t="shared" si="121"/>
        <v>0</v>
      </c>
      <c r="S1342" s="24" t="str">
        <f t="shared" si="124"/>
        <v>-</v>
      </c>
      <c r="T1342" s="24" t="str">
        <f t="shared" si="122"/>
        <v>-</v>
      </c>
      <c r="U1342" s="25" t="str">
        <f t="shared" si="125"/>
        <v>-</v>
      </c>
      <c r="V1342" s="26" t="str">
        <f t="shared" si="126"/>
        <v>-</v>
      </c>
      <c r="X1342" s="26" t="str">
        <f t="shared" si="123"/>
        <v>-</v>
      </c>
    </row>
    <row r="1343" spans="1:24" x14ac:dyDescent="0.3">
      <c r="A1343" s="37">
        <v>87614070414</v>
      </c>
      <c r="B1343" s="8" t="s">
        <v>1643</v>
      </c>
      <c r="C1343" s="10" t="s">
        <v>2402</v>
      </c>
      <c r="D1343" s="11" t="s">
        <v>884</v>
      </c>
      <c r="E1343" s="11" t="s">
        <v>1006</v>
      </c>
      <c r="F1343" s="9">
        <v>20</v>
      </c>
      <c r="G1343" s="9">
        <v>60</v>
      </c>
      <c r="H1343" s="9" t="s">
        <v>892</v>
      </c>
      <c r="I1343" s="9">
        <v>24</v>
      </c>
      <c r="J1343" s="9">
        <v>90</v>
      </c>
      <c r="K1343" s="9" t="s">
        <v>873</v>
      </c>
      <c r="L1343" s="27">
        <v>0.14301</v>
      </c>
      <c r="M1343" s="28" t="s">
        <v>3203</v>
      </c>
      <c r="N1343" s="17">
        <v>12.624359999999999</v>
      </c>
      <c r="O1343" s="1"/>
      <c r="P1343" s="38">
        <f t="shared" si="121"/>
        <v>0</v>
      </c>
      <c r="S1343" s="24" t="str">
        <f t="shared" si="124"/>
        <v>-</v>
      </c>
      <c r="T1343" s="24" t="str">
        <f t="shared" si="122"/>
        <v>-</v>
      </c>
      <c r="U1343" s="25" t="str">
        <f t="shared" si="125"/>
        <v>-</v>
      </c>
      <c r="V1343" s="26" t="str">
        <f t="shared" si="126"/>
        <v>-</v>
      </c>
      <c r="X1343" s="26" t="str">
        <f t="shared" si="123"/>
        <v>-</v>
      </c>
    </row>
    <row r="1344" spans="1:24" x14ac:dyDescent="0.3">
      <c r="A1344" s="37">
        <v>87614070704</v>
      </c>
      <c r="B1344" s="8" t="s">
        <v>470</v>
      </c>
      <c r="C1344" s="10" t="s">
        <v>471</v>
      </c>
      <c r="D1344" s="11" t="s">
        <v>894</v>
      </c>
      <c r="E1344" s="11" t="s">
        <v>992</v>
      </c>
      <c r="F1344" s="9">
        <v>36</v>
      </c>
      <c r="G1344" s="9">
        <v>36</v>
      </c>
      <c r="H1344" s="9" t="s">
        <v>892</v>
      </c>
      <c r="I1344" s="9">
        <v>60</v>
      </c>
      <c r="J1344" s="9">
        <v>1</v>
      </c>
      <c r="K1344" s="9" t="s">
        <v>895</v>
      </c>
      <c r="L1344" s="27">
        <v>0.18841000000000002</v>
      </c>
      <c r="M1344" s="28" t="s">
        <v>3203</v>
      </c>
      <c r="N1344" s="17">
        <v>11.710754999999999</v>
      </c>
      <c r="O1344" s="1"/>
      <c r="P1344" s="38">
        <f t="shared" si="121"/>
        <v>0</v>
      </c>
      <c r="S1344" s="24" t="str">
        <f t="shared" si="124"/>
        <v>-</v>
      </c>
      <c r="T1344" s="24" t="str">
        <f t="shared" si="122"/>
        <v>-</v>
      </c>
      <c r="U1344" s="25" t="str">
        <f t="shared" si="125"/>
        <v>-</v>
      </c>
      <c r="V1344" s="26" t="str">
        <f t="shared" si="126"/>
        <v>-</v>
      </c>
      <c r="X1344" s="26" t="str">
        <f t="shared" si="123"/>
        <v>-</v>
      </c>
    </row>
    <row r="1345" spans="1:24" x14ac:dyDescent="0.3">
      <c r="A1345" s="37">
        <v>87614070711</v>
      </c>
      <c r="B1345" s="8" t="s">
        <v>1645</v>
      </c>
      <c r="C1345" s="10" t="s">
        <v>2404</v>
      </c>
      <c r="D1345" s="11" t="s">
        <v>890</v>
      </c>
      <c r="E1345" s="11" t="s">
        <v>1119</v>
      </c>
      <c r="F1345" s="9">
        <v>30</v>
      </c>
      <c r="G1345" s="9">
        <v>90</v>
      </c>
      <c r="H1345" s="9" t="s">
        <v>892</v>
      </c>
      <c r="I1345" s="9">
        <v>24</v>
      </c>
      <c r="J1345" s="9">
        <v>60</v>
      </c>
      <c r="K1345" s="9" t="s">
        <v>2903</v>
      </c>
      <c r="L1345" s="27">
        <v>8.8529999999999998E-2</v>
      </c>
      <c r="M1345" s="28" t="s">
        <v>3203</v>
      </c>
      <c r="N1345" s="17">
        <v>6.827121</v>
      </c>
      <c r="O1345" s="1"/>
      <c r="P1345" s="38">
        <f t="shared" si="121"/>
        <v>0</v>
      </c>
      <c r="S1345" s="24" t="str">
        <f t="shared" si="124"/>
        <v>-</v>
      </c>
      <c r="T1345" s="24" t="str">
        <f t="shared" si="122"/>
        <v>-</v>
      </c>
      <c r="U1345" s="25" t="str">
        <f t="shared" si="125"/>
        <v>-</v>
      </c>
      <c r="V1345" s="26" t="str">
        <f t="shared" si="126"/>
        <v>-</v>
      </c>
      <c r="X1345" s="26" t="str">
        <f t="shared" si="123"/>
        <v>-</v>
      </c>
    </row>
    <row r="1346" spans="1:24" x14ac:dyDescent="0.3">
      <c r="A1346" s="37">
        <v>87614071077</v>
      </c>
      <c r="B1346" s="8" t="s">
        <v>1648</v>
      </c>
      <c r="C1346" s="10" t="s">
        <v>3002</v>
      </c>
      <c r="D1346" s="11" t="s">
        <v>870</v>
      </c>
      <c r="E1346" s="11" t="s">
        <v>924</v>
      </c>
      <c r="F1346" s="9">
        <v>16</v>
      </c>
      <c r="G1346" s="9">
        <v>48</v>
      </c>
      <c r="H1346" s="9" t="s">
        <v>892</v>
      </c>
      <c r="I1346" s="9">
        <v>24</v>
      </c>
      <c r="J1346" s="9">
        <v>120</v>
      </c>
      <c r="K1346" s="9" t="s">
        <v>873</v>
      </c>
      <c r="L1346" s="27">
        <v>0.175925</v>
      </c>
      <c r="M1346" s="28" t="s">
        <v>3203</v>
      </c>
      <c r="N1346" s="17">
        <v>8.6543309999999991</v>
      </c>
      <c r="O1346" s="1"/>
      <c r="P1346" s="38">
        <f t="shared" si="121"/>
        <v>0</v>
      </c>
      <c r="S1346" s="24" t="str">
        <f t="shared" si="124"/>
        <v>-</v>
      </c>
      <c r="T1346" s="24" t="str">
        <f t="shared" si="122"/>
        <v>-</v>
      </c>
      <c r="U1346" s="25" t="str">
        <f t="shared" si="125"/>
        <v>-</v>
      </c>
      <c r="V1346" s="26" t="str">
        <f t="shared" si="126"/>
        <v>-</v>
      </c>
      <c r="X1346" s="26" t="str">
        <f t="shared" si="123"/>
        <v>-</v>
      </c>
    </row>
    <row r="1347" spans="1:24" x14ac:dyDescent="0.3">
      <c r="A1347" s="37">
        <v>87614040578</v>
      </c>
      <c r="B1347" s="8" t="s">
        <v>1653</v>
      </c>
      <c r="C1347" s="10" t="s">
        <v>2410</v>
      </c>
      <c r="D1347" s="11" t="s">
        <v>878</v>
      </c>
      <c r="E1347" s="11" t="s">
        <v>1001</v>
      </c>
      <c r="F1347" s="9">
        <v>20</v>
      </c>
      <c r="G1347" s="9">
        <v>60</v>
      </c>
      <c r="H1347" s="9" t="s">
        <v>892</v>
      </c>
      <c r="I1347" s="9">
        <v>24</v>
      </c>
      <c r="J1347" s="9">
        <v>120</v>
      </c>
      <c r="K1347" s="9" t="s">
        <v>873</v>
      </c>
      <c r="L1347" s="27">
        <v>0.10896</v>
      </c>
      <c r="M1347" s="28" t="s">
        <v>3203</v>
      </c>
      <c r="N1347" s="17">
        <v>11.494812</v>
      </c>
      <c r="O1347" s="1"/>
      <c r="P1347" s="38">
        <f t="shared" ref="P1347:P1410" si="127">O1347*N1347</f>
        <v>0</v>
      </c>
      <c r="S1347" s="24" t="str">
        <f t="shared" si="124"/>
        <v>-</v>
      </c>
      <c r="T1347" s="24" t="str">
        <f t="shared" ref="T1347:T1410" si="128">IF(O1347&gt;0,N1347+L1347*O1347/$U$2*$V$2/O1347,"-")</f>
        <v>-</v>
      </c>
      <c r="U1347" s="25" t="str">
        <f t="shared" si="125"/>
        <v>-</v>
      </c>
      <c r="V1347" s="26" t="str">
        <f t="shared" si="126"/>
        <v>-</v>
      </c>
      <c r="X1347" s="26" t="str">
        <f t="shared" ref="X1347:X1410" si="129">IFERROR(IF(V1347+P1347=0, "-", IF(V1347&gt;0, V1347+P1347, "-")), "-")</f>
        <v>-</v>
      </c>
    </row>
    <row r="1348" spans="1:24" x14ac:dyDescent="0.3">
      <c r="A1348" s="37">
        <v>87614170152</v>
      </c>
      <c r="B1348" s="8" t="s">
        <v>1942</v>
      </c>
      <c r="C1348" s="10" t="s">
        <v>2664</v>
      </c>
      <c r="D1348" s="11" t="s">
        <v>874</v>
      </c>
      <c r="E1348" s="11" t="s">
        <v>1118</v>
      </c>
      <c r="F1348" s="9">
        <v>15</v>
      </c>
      <c r="G1348" s="9">
        <v>30</v>
      </c>
      <c r="H1348" s="9" t="s">
        <v>868</v>
      </c>
      <c r="I1348" s="9">
        <v>24</v>
      </c>
      <c r="J1348" s="9">
        <v>120</v>
      </c>
      <c r="K1348" s="9" t="s">
        <v>869</v>
      </c>
      <c r="L1348" s="27">
        <v>0.28602</v>
      </c>
      <c r="M1348" s="28" t="s">
        <v>3203</v>
      </c>
      <c r="N1348" s="17">
        <v>12.242306999999998</v>
      </c>
      <c r="O1348" s="1"/>
      <c r="P1348" s="38">
        <f t="shared" si="127"/>
        <v>0</v>
      </c>
      <c r="S1348" s="24" t="str">
        <f t="shared" ref="S1348:S1411" si="130">IFERROR(IF(S$2*L1348=0, "-", $S$2*L1348), "-")</f>
        <v>-</v>
      </c>
      <c r="T1348" s="24" t="str">
        <f t="shared" si="128"/>
        <v>-</v>
      </c>
      <c r="U1348" s="25" t="str">
        <f t="shared" ref="U1348:U1411" si="131">IF(O1348&gt;0,O1348*L1348, "-")</f>
        <v>-</v>
      </c>
      <c r="V1348" s="26" t="str">
        <f t="shared" ref="V1348:V1411" si="132">IFERROR(IF($S$2&gt;0, $S$2*U1348, "-"), "-")</f>
        <v>-</v>
      </c>
      <c r="X1348" s="26" t="str">
        <f t="shared" si="129"/>
        <v>-</v>
      </c>
    </row>
    <row r="1349" spans="1:24" x14ac:dyDescent="0.3">
      <c r="A1349" s="37">
        <v>87614170701</v>
      </c>
      <c r="B1349" s="8" t="s">
        <v>1660</v>
      </c>
      <c r="C1349" s="10" t="s">
        <v>2417</v>
      </c>
      <c r="D1349" s="11" t="s">
        <v>874</v>
      </c>
      <c r="E1349" s="11" t="s">
        <v>1118</v>
      </c>
      <c r="F1349" s="9">
        <v>48</v>
      </c>
      <c r="G1349" s="9">
        <v>192</v>
      </c>
      <c r="H1349" s="9" t="s">
        <v>868</v>
      </c>
      <c r="I1349" s="9">
        <v>24</v>
      </c>
      <c r="J1349" s="9">
        <v>30</v>
      </c>
      <c r="K1349" s="9" t="s">
        <v>869</v>
      </c>
      <c r="L1349" s="27">
        <v>3.7455000000000002E-2</v>
      </c>
      <c r="M1349" s="28" t="s">
        <v>3203</v>
      </c>
      <c r="N1349" s="17">
        <v>14.999733000000001</v>
      </c>
      <c r="O1349" s="1"/>
      <c r="P1349" s="38">
        <f t="shared" si="127"/>
        <v>0</v>
      </c>
      <c r="S1349" s="24" t="str">
        <f t="shared" si="130"/>
        <v>-</v>
      </c>
      <c r="T1349" s="24" t="str">
        <f t="shared" si="128"/>
        <v>-</v>
      </c>
      <c r="U1349" s="25" t="str">
        <f t="shared" si="131"/>
        <v>-</v>
      </c>
      <c r="V1349" s="26" t="str">
        <f t="shared" si="132"/>
        <v>-</v>
      </c>
      <c r="X1349" s="26" t="str">
        <f t="shared" si="129"/>
        <v>-</v>
      </c>
    </row>
    <row r="1350" spans="1:24" x14ac:dyDescent="0.3">
      <c r="A1350" s="37">
        <v>87614170961</v>
      </c>
      <c r="B1350" s="8" t="s">
        <v>1665</v>
      </c>
      <c r="C1350" s="10" t="s">
        <v>2422</v>
      </c>
      <c r="D1350" s="11" t="s">
        <v>874</v>
      </c>
      <c r="E1350" s="11" t="s">
        <v>2819</v>
      </c>
      <c r="F1350" s="9">
        <v>48</v>
      </c>
      <c r="G1350" s="9">
        <v>192</v>
      </c>
      <c r="H1350" s="9" t="s">
        <v>868</v>
      </c>
      <c r="I1350" s="9">
        <v>24</v>
      </c>
      <c r="J1350" s="9">
        <v>30</v>
      </c>
      <c r="K1350" s="9" t="s">
        <v>2911</v>
      </c>
      <c r="L1350" s="27">
        <v>3.6319999999999998E-2</v>
      </c>
      <c r="M1350" s="28" t="s">
        <v>3203</v>
      </c>
      <c r="N1350" s="17">
        <v>6.7772880000000004</v>
      </c>
      <c r="O1350" s="1"/>
      <c r="P1350" s="38">
        <f t="shared" si="127"/>
        <v>0</v>
      </c>
      <c r="S1350" s="24" t="str">
        <f t="shared" si="130"/>
        <v>-</v>
      </c>
      <c r="T1350" s="24" t="str">
        <f t="shared" si="128"/>
        <v>-</v>
      </c>
      <c r="U1350" s="25" t="str">
        <f t="shared" si="131"/>
        <v>-</v>
      </c>
      <c r="V1350" s="26" t="str">
        <f t="shared" si="132"/>
        <v>-</v>
      </c>
      <c r="X1350" s="26" t="str">
        <f t="shared" si="129"/>
        <v>-</v>
      </c>
    </row>
    <row r="1351" spans="1:24" x14ac:dyDescent="0.3">
      <c r="A1351" s="37">
        <v>87614241241</v>
      </c>
      <c r="B1351" s="8" t="s">
        <v>1690</v>
      </c>
      <c r="C1351" s="10" t="s">
        <v>2441</v>
      </c>
      <c r="D1351" s="11" t="s">
        <v>872</v>
      </c>
      <c r="E1351" s="11" t="s">
        <v>2877</v>
      </c>
      <c r="F1351" s="9">
        <v>12</v>
      </c>
      <c r="G1351" s="9">
        <v>12</v>
      </c>
      <c r="H1351" s="9" t="s">
        <v>892</v>
      </c>
      <c r="I1351" s="9">
        <v>24</v>
      </c>
      <c r="J1351" s="9">
        <v>1</v>
      </c>
      <c r="K1351" s="9" t="s">
        <v>880</v>
      </c>
      <c r="L1351" s="27">
        <v>0.22359500000000002</v>
      </c>
      <c r="M1351" s="28" t="s">
        <v>3203</v>
      </c>
      <c r="N1351" s="17">
        <v>18.255488999999997</v>
      </c>
      <c r="O1351" s="1"/>
      <c r="P1351" s="38">
        <f t="shared" si="127"/>
        <v>0</v>
      </c>
      <c r="S1351" s="24" t="str">
        <f t="shared" si="130"/>
        <v>-</v>
      </c>
      <c r="T1351" s="24" t="str">
        <f t="shared" si="128"/>
        <v>-</v>
      </c>
      <c r="U1351" s="25" t="str">
        <f t="shared" si="131"/>
        <v>-</v>
      </c>
      <c r="V1351" s="26" t="str">
        <f t="shared" si="132"/>
        <v>-</v>
      </c>
      <c r="X1351" s="26" t="str">
        <f t="shared" si="129"/>
        <v>-</v>
      </c>
    </row>
    <row r="1352" spans="1:24" x14ac:dyDescent="0.3">
      <c r="A1352" s="37">
        <v>87614090078</v>
      </c>
      <c r="B1352" s="8" t="s">
        <v>1698</v>
      </c>
      <c r="C1352" s="10" t="s">
        <v>2754</v>
      </c>
      <c r="D1352" s="11" t="s">
        <v>874</v>
      </c>
      <c r="E1352" s="11" t="s">
        <v>914</v>
      </c>
      <c r="F1352" s="9">
        <v>20</v>
      </c>
      <c r="G1352" s="9">
        <v>60</v>
      </c>
      <c r="H1352" s="9" t="s">
        <v>868</v>
      </c>
      <c r="I1352" s="9">
        <v>36</v>
      </c>
      <c r="J1352" s="9">
        <v>100</v>
      </c>
      <c r="K1352" s="9" t="s">
        <v>873</v>
      </c>
      <c r="L1352" s="27">
        <v>0.11123000000000001</v>
      </c>
      <c r="M1352" s="28" t="s">
        <v>3203</v>
      </c>
      <c r="N1352" s="17">
        <v>9.235716</v>
      </c>
      <c r="O1352" s="1"/>
      <c r="P1352" s="38">
        <f t="shared" si="127"/>
        <v>0</v>
      </c>
      <c r="S1352" s="24" t="str">
        <f t="shared" si="130"/>
        <v>-</v>
      </c>
      <c r="T1352" s="24" t="str">
        <f t="shared" si="128"/>
        <v>-</v>
      </c>
      <c r="U1352" s="25" t="str">
        <f t="shared" si="131"/>
        <v>-</v>
      </c>
      <c r="V1352" s="26" t="str">
        <f t="shared" si="132"/>
        <v>-</v>
      </c>
      <c r="X1352" s="26" t="str">
        <f t="shared" si="129"/>
        <v>-</v>
      </c>
    </row>
    <row r="1353" spans="1:24" x14ac:dyDescent="0.3">
      <c r="A1353" s="37">
        <v>87614090238</v>
      </c>
      <c r="B1353" s="8" t="s">
        <v>1905</v>
      </c>
      <c r="C1353" s="10" t="s">
        <v>2629</v>
      </c>
      <c r="D1353" s="11" t="s">
        <v>874</v>
      </c>
      <c r="E1353" s="11" t="s">
        <v>914</v>
      </c>
      <c r="F1353" s="9">
        <v>16</v>
      </c>
      <c r="G1353" s="9">
        <v>48</v>
      </c>
      <c r="H1353" s="9" t="s">
        <v>892</v>
      </c>
      <c r="I1353" s="9">
        <v>24</v>
      </c>
      <c r="J1353" s="9">
        <v>120</v>
      </c>
      <c r="K1353" s="9" t="s">
        <v>873</v>
      </c>
      <c r="L1353" s="27">
        <v>0.14641500000000002</v>
      </c>
      <c r="M1353" s="28" t="s">
        <v>3203</v>
      </c>
      <c r="N1353" s="17">
        <v>21.195635999999997</v>
      </c>
      <c r="O1353" s="1"/>
      <c r="P1353" s="38">
        <f t="shared" si="127"/>
        <v>0</v>
      </c>
      <c r="S1353" s="24" t="str">
        <f t="shared" si="130"/>
        <v>-</v>
      </c>
      <c r="T1353" s="24" t="str">
        <f t="shared" si="128"/>
        <v>-</v>
      </c>
      <c r="U1353" s="25" t="str">
        <f t="shared" si="131"/>
        <v>-</v>
      </c>
      <c r="V1353" s="26" t="str">
        <f t="shared" si="132"/>
        <v>-</v>
      </c>
      <c r="X1353" s="26" t="str">
        <f t="shared" si="129"/>
        <v>-</v>
      </c>
    </row>
    <row r="1354" spans="1:24" x14ac:dyDescent="0.3">
      <c r="A1354" s="37">
        <v>87614090245</v>
      </c>
      <c r="B1354" s="8" t="s">
        <v>1701</v>
      </c>
      <c r="C1354" s="10" t="s">
        <v>2449</v>
      </c>
      <c r="D1354" s="11" t="s">
        <v>874</v>
      </c>
      <c r="E1354" s="11" t="s">
        <v>914</v>
      </c>
      <c r="F1354" s="9">
        <v>30</v>
      </c>
      <c r="G1354" s="9">
        <v>90</v>
      </c>
      <c r="H1354" s="9" t="s">
        <v>868</v>
      </c>
      <c r="I1354" s="9">
        <v>36</v>
      </c>
      <c r="J1354" s="9">
        <v>60</v>
      </c>
      <c r="K1354" s="9" t="s">
        <v>889</v>
      </c>
      <c r="L1354" s="27">
        <v>9.307E-2</v>
      </c>
      <c r="M1354" s="28" t="s">
        <v>3203</v>
      </c>
      <c r="N1354" s="17">
        <v>5.3321309999999995</v>
      </c>
      <c r="O1354" s="1"/>
      <c r="P1354" s="38">
        <f t="shared" si="127"/>
        <v>0</v>
      </c>
      <c r="S1354" s="24" t="str">
        <f t="shared" si="130"/>
        <v>-</v>
      </c>
      <c r="T1354" s="24" t="str">
        <f t="shared" si="128"/>
        <v>-</v>
      </c>
      <c r="U1354" s="25" t="str">
        <f t="shared" si="131"/>
        <v>-</v>
      </c>
      <c r="V1354" s="26" t="str">
        <f t="shared" si="132"/>
        <v>-</v>
      </c>
      <c r="X1354" s="26" t="str">
        <f t="shared" si="129"/>
        <v>-</v>
      </c>
    </row>
    <row r="1355" spans="1:24" x14ac:dyDescent="0.3">
      <c r="A1355" s="37">
        <v>87614090269</v>
      </c>
      <c r="B1355" s="8" t="s">
        <v>1702</v>
      </c>
      <c r="C1355" s="10" t="s">
        <v>2450</v>
      </c>
      <c r="D1355" s="11" t="s">
        <v>874</v>
      </c>
      <c r="E1355" s="11" t="s">
        <v>914</v>
      </c>
      <c r="F1355" s="9">
        <v>20</v>
      </c>
      <c r="G1355" s="9">
        <v>60</v>
      </c>
      <c r="H1355" s="9" t="s">
        <v>868</v>
      </c>
      <c r="I1355" s="9">
        <v>36</v>
      </c>
      <c r="J1355" s="9">
        <v>60</v>
      </c>
      <c r="K1355" s="9" t="s">
        <v>869</v>
      </c>
      <c r="L1355" s="27">
        <v>0.15890000000000001</v>
      </c>
      <c r="M1355" s="28" t="s">
        <v>3203</v>
      </c>
      <c r="N1355" s="17">
        <v>9.1194389999999999</v>
      </c>
      <c r="O1355" s="1"/>
      <c r="P1355" s="38">
        <f t="shared" si="127"/>
        <v>0</v>
      </c>
      <c r="S1355" s="24" t="str">
        <f t="shared" si="130"/>
        <v>-</v>
      </c>
      <c r="T1355" s="24" t="str">
        <f t="shared" si="128"/>
        <v>-</v>
      </c>
      <c r="U1355" s="25" t="str">
        <f t="shared" si="131"/>
        <v>-</v>
      </c>
      <c r="V1355" s="26" t="str">
        <f t="shared" si="132"/>
        <v>-</v>
      </c>
      <c r="X1355" s="26" t="str">
        <f t="shared" si="129"/>
        <v>-</v>
      </c>
    </row>
    <row r="1356" spans="1:24" x14ac:dyDescent="0.3">
      <c r="A1356" s="37">
        <v>87614140032</v>
      </c>
      <c r="B1356" s="8" t="s">
        <v>1703</v>
      </c>
      <c r="C1356" s="10" t="s">
        <v>2451</v>
      </c>
      <c r="D1356" s="11" t="s">
        <v>872</v>
      </c>
      <c r="E1356" s="11" t="s">
        <v>942</v>
      </c>
      <c r="F1356" s="9">
        <v>16</v>
      </c>
      <c r="G1356" s="9">
        <v>48</v>
      </c>
      <c r="H1356" s="9" t="s">
        <v>868</v>
      </c>
      <c r="I1356" s="9">
        <v>24</v>
      </c>
      <c r="J1356" s="9">
        <v>120</v>
      </c>
      <c r="K1356" s="9" t="s">
        <v>873</v>
      </c>
      <c r="L1356" s="27">
        <v>0.13506499999999999</v>
      </c>
      <c r="M1356" s="28" t="s">
        <v>3203</v>
      </c>
      <c r="N1356" s="17">
        <v>31.079180999999998</v>
      </c>
      <c r="O1356" s="1"/>
      <c r="P1356" s="38">
        <f t="shared" si="127"/>
        <v>0</v>
      </c>
      <c r="S1356" s="24" t="str">
        <f t="shared" si="130"/>
        <v>-</v>
      </c>
      <c r="T1356" s="24" t="str">
        <f t="shared" si="128"/>
        <v>-</v>
      </c>
      <c r="U1356" s="25" t="str">
        <f t="shared" si="131"/>
        <v>-</v>
      </c>
      <c r="V1356" s="26" t="str">
        <f t="shared" si="132"/>
        <v>-</v>
      </c>
      <c r="X1356" s="26" t="str">
        <f t="shared" si="129"/>
        <v>-</v>
      </c>
    </row>
    <row r="1357" spans="1:24" x14ac:dyDescent="0.3">
      <c r="A1357" s="37">
        <v>87614140124</v>
      </c>
      <c r="B1357" s="8" t="s">
        <v>1705</v>
      </c>
      <c r="C1357" s="10" t="s">
        <v>2453</v>
      </c>
      <c r="D1357" s="11" t="s">
        <v>874</v>
      </c>
      <c r="E1357" s="11" t="s">
        <v>925</v>
      </c>
      <c r="F1357" s="9">
        <v>16</v>
      </c>
      <c r="G1357" s="9">
        <v>48</v>
      </c>
      <c r="H1357" s="9" t="s">
        <v>868</v>
      </c>
      <c r="I1357" s="9">
        <v>24</v>
      </c>
      <c r="J1357" s="9">
        <v>120</v>
      </c>
      <c r="K1357" s="9" t="s">
        <v>873</v>
      </c>
      <c r="L1357" s="27">
        <v>0.13392999999999999</v>
      </c>
      <c r="M1357" s="28" t="s">
        <v>3203</v>
      </c>
      <c r="N1357" s="17">
        <v>11.511422999999999</v>
      </c>
      <c r="O1357" s="1"/>
      <c r="P1357" s="38">
        <f t="shared" si="127"/>
        <v>0</v>
      </c>
      <c r="S1357" s="24" t="str">
        <f t="shared" si="130"/>
        <v>-</v>
      </c>
      <c r="T1357" s="24" t="str">
        <f t="shared" si="128"/>
        <v>-</v>
      </c>
      <c r="U1357" s="25" t="str">
        <f t="shared" si="131"/>
        <v>-</v>
      </c>
      <c r="V1357" s="26" t="str">
        <f t="shared" si="132"/>
        <v>-</v>
      </c>
      <c r="X1357" s="26" t="str">
        <f t="shared" si="129"/>
        <v>-</v>
      </c>
    </row>
    <row r="1358" spans="1:24" x14ac:dyDescent="0.3">
      <c r="A1358" s="37">
        <v>87614140735</v>
      </c>
      <c r="B1358" s="8" t="s">
        <v>525</v>
      </c>
      <c r="C1358" s="10" t="s">
        <v>526</v>
      </c>
      <c r="D1358" s="11" t="s">
        <v>875</v>
      </c>
      <c r="E1358" s="11" t="s">
        <v>935</v>
      </c>
      <c r="F1358" s="9">
        <v>16</v>
      </c>
      <c r="G1358" s="9">
        <v>48</v>
      </c>
      <c r="H1358" s="9" t="s">
        <v>892</v>
      </c>
      <c r="I1358" s="9">
        <v>24</v>
      </c>
      <c r="J1358" s="9">
        <v>120</v>
      </c>
      <c r="K1358" s="9" t="s">
        <v>873</v>
      </c>
      <c r="L1358" s="27">
        <v>0.14755000000000001</v>
      </c>
      <c r="M1358" s="28" t="s">
        <v>3203</v>
      </c>
      <c r="N1358" s="17">
        <v>15.082788000000001</v>
      </c>
      <c r="O1358" s="1"/>
      <c r="P1358" s="38">
        <f t="shared" si="127"/>
        <v>0</v>
      </c>
      <c r="S1358" s="24" t="str">
        <f t="shared" si="130"/>
        <v>-</v>
      </c>
      <c r="T1358" s="24" t="str">
        <f t="shared" si="128"/>
        <v>-</v>
      </c>
      <c r="U1358" s="25" t="str">
        <f t="shared" si="131"/>
        <v>-</v>
      </c>
      <c r="V1358" s="26" t="str">
        <f t="shared" si="132"/>
        <v>-</v>
      </c>
      <c r="X1358" s="26" t="str">
        <f t="shared" si="129"/>
        <v>-</v>
      </c>
    </row>
    <row r="1359" spans="1:24" x14ac:dyDescent="0.3">
      <c r="A1359" s="37">
        <v>87614142388</v>
      </c>
      <c r="B1359" s="8" t="s">
        <v>1729</v>
      </c>
      <c r="C1359" s="10" t="s">
        <v>2471</v>
      </c>
      <c r="D1359" s="11" t="s">
        <v>874</v>
      </c>
      <c r="E1359" s="11" t="s">
        <v>925</v>
      </c>
      <c r="F1359" s="9">
        <v>30</v>
      </c>
      <c r="G1359" s="9">
        <v>90</v>
      </c>
      <c r="H1359" s="9" t="s">
        <v>868</v>
      </c>
      <c r="I1359" s="9">
        <v>24</v>
      </c>
      <c r="J1359" s="9">
        <v>60</v>
      </c>
      <c r="K1359" s="9" t="s">
        <v>889</v>
      </c>
      <c r="L1359" s="27">
        <v>5.3345000000000004E-2</v>
      </c>
      <c r="M1359" s="28" t="s">
        <v>3203</v>
      </c>
      <c r="N1359" s="17">
        <v>22.142462999999999</v>
      </c>
      <c r="O1359" s="1"/>
      <c r="P1359" s="38">
        <f t="shared" si="127"/>
        <v>0</v>
      </c>
      <c r="S1359" s="24" t="str">
        <f t="shared" si="130"/>
        <v>-</v>
      </c>
      <c r="T1359" s="24" t="str">
        <f t="shared" si="128"/>
        <v>-</v>
      </c>
      <c r="U1359" s="25" t="str">
        <f t="shared" si="131"/>
        <v>-</v>
      </c>
      <c r="V1359" s="26" t="str">
        <f t="shared" si="132"/>
        <v>-</v>
      </c>
      <c r="X1359" s="26" t="str">
        <f t="shared" si="129"/>
        <v>-</v>
      </c>
    </row>
    <row r="1360" spans="1:24" x14ac:dyDescent="0.3">
      <c r="A1360" s="37">
        <v>87614142531</v>
      </c>
      <c r="B1360" s="8" t="s">
        <v>1731</v>
      </c>
      <c r="C1360" s="10" t="s">
        <v>2764</v>
      </c>
      <c r="D1360" s="11" t="s">
        <v>883</v>
      </c>
      <c r="E1360" s="11" t="s">
        <v>944</v>
      </c>
      <c r="F1360" s="9">
        <v>30</v>
      </c>
      <c r="G1360" s="9">
        <v>90</v>
      </c>
      <c r="H1360" s="9" t="s">
        <v>868</v>
      </c>
      <c r="I1360" s="9">
        <v>24</v>
      </c>
      <c r="J1360" s="9">
        <v>60</v>
      </c>
      <c r="K1360" s="9" t="s">
        <v>2903</v>
      </c>
      <c r="L1360" s="27">
        <v>8.5124999999999992E-2</v>
      </c>
      <c r="M1360" s="28" t="s">
        <v>3203</v>
      </c>
      <c r="N1360" s="17">
        <v>6.8603430000000003</v>
      </c>
      <c r="O1360" s="1"/>
      <c r="P1360" s="38">
        <f t="shared" si="127"/>
        <v>0</v>
      </c>
      <c r="S1360" s="24" t="str">
        <f t="shared" si="130"/>
        <v>-</v>
      </c>
      <c r="T1360" s="24" t="str">
        <f t="shared" si="128"/>
        <v>-</v>
      </c>
      <c r="U1360" s="25" t="str">
        <f t="shared" si="131"/>
        <v>-</v>
      </c>
      <c r="V1360" s="26" t="str">
        <f t="shared" si="132"/>
        <v>-</v>
      </c>
      <c r="X1360" s="26" t="str">
        <f t="shared" si="129"/>
        <v>-</v>
      </c>
    </row>
    <row r="1361" spans="1:24" x14ac:dyDescent="0.3">
      <c r="A1361" s="37">
        <v>87614142562</v>
      </c>
      <c r="B1361" s="8" t="s">
        <v>1732</v>
      </c>
      <c r="C1361" s="10" t="s">
        <v>2473</v>
      </c>
      <c r="D1361" s="11" t="s">
        <v>891</v>
      </c>
      <c r="E1361" s="11" t="s">
        <v>970</v>
      </c>
      <c r="F1361" s="9">
        <v>30</v>
      </c>
      <c r="G1361" s="9">
        <v>90</v>
      </c>
      <c r="H1361" s="9" t="s">
        <v>892</v>
      </c>
      <c r="I1361" s="9">
        <v>24</v>
      </c>
      <c r="J1361" s="9">
        <v>30</v>
      </c>
      <c r="K1361" s="9" t="s">
        <v>889</v>
      </c>
      <c r="L1361" s="27">
        <v>4.6535E-2</v>
      </c>
      <c r="M1361" s="28" t="s">
        <v>3203</v>
      </c>
      <c r="N1361" s="17">
        <v>17.208995999999999</v>
      </c>
      <c r="O1361" s="1"/>
      <c r="P1361" s="38">
        <f t="shared" si="127"/>
        <v>0</v>
      </c>
      <c r="S1361" s="24" t="str">
        <f t="shared" si="130"/>
        <v>-</v>
      </c>
      <c r="T1361" s="24" t="str">
        <f t="shared" si="128"/>
        <v>-</v>
      </c>
      <c r="U1361" s="25" t="str">
        <f t="shared" si="131"/>
        <v>-</v>
      </c>
      <c r="V1361" s="26" t="str">
        <f t="shared" si="132"/>
        <v>-</v>
      </c>
      <c r="X1361" s="26" t="str">
        <f t="shared" si="129"/>
        <v>-</v>
      </c>
    </row>
    <row r="1362" spans="1:24" x14ac:dyDescent="0.3">
      <c r="A1362" s="37">
        <v>87614142760</v>
      </c>
      <c r="B1362" s="8" t="s">
        <v>1737</v>
      </c>
      <c r="C1362" s="10" t="s">
        <v>2477</v>
      </c>
      <c r="D1362" s="11" t="s">
        <v>898</v>
      </c>
      <c r="E1362" s="11" t="s">
        <v>979</v>
      </c>
      <c r="F1362" s="9">
        <v>20</v>
      </c>
      <c r="G1362" s="9">
        <v>60</v>
      </c>
      <c r="H1362" s="9" t="s">
        <v>868</v>
      </c>
      <c r="I1362" s="9">
        <v>18</v>
      </c>
      <c r="J1362" s="9">
        <v>120</v>
      </c>
      <c r="K1362" s="9" t="s">
        <v>873</v>
      </c>
      <c r="L1362" s="27">
        <v>0.11577</v>
      </c>
      <c r="M1362" s="28" t="s">
        <v>3203</v>
      </c>
      <c r="N1362" s="17">
        <v>9.6011579999999999</v>
      </c>
      <c r="O1362" s="1"/>
      <c r="P1362" s="38">
        <f t="shared" si="127"/>
        <v>0</v>
      </c>
      <c r="S1362" s="24" t="str">
        <f t="shared" si="130"/>
        <v>-</v>
      </c>
      <c r="T1362" s="24" t="str">
        <f t="shared" si="128"/>
        <v>-</v>
      </c>
      <c r="U1362" s="25" t="str">
        <f t="shared" si="131"/>
        <v>-</v>
      </c>
      <c r="V1362" s="26" t="str">
        <f t="shared" si="132"/>
        <v>-</v>
      </c>
      <c r="X1362" s="26" t="str">
        <f t="shared" si="129"/>
        <v>-</v>
      </c>
    </row>
    <row r="1363" spans="1:24" x14ac:dyDescent="0.3">
      <c r="A1363" s="37">
        <v>87614180069</v>
      </c>
      <c r="B1363" s="8" t="s">
        <v>1741</v>
      </c>
      <c r="C1363" s="10" t="s">
        <v>2481</v>
      </c>
      <c r="D1363" s="11" t="s">
        <v>866</v>
      </c>
      <c r="E1363" s="11" t="s">
        <v>956</v>
      </c>
      <c r="F1363" s="9">
        <v>30</v>
      </c>
      <c r="G1363" s="9">
        <v>90</v>
      </c>
      <c r="H1363" s="9" t="s">
        <v>868</v>
      </c>
      <c r="I1363" s="9">
        <v>24</v>
      </c>
      <c r="J1363" s="9">
        <v>120</v>
      </c>
      <c r="K1363" s="9" t="s">
        <v>877</v>
      </c>
      <c r="L1363" s="27">
        <v>9.5340000000000008E-2</v>
      </c>
      <c r="M1363" s="28" t="s">
        <v>3203</v>
      </c>
      <c r="N1363" s="17">
        <v>18.006323999999999</v>
      </c>
      <c r="O1363" s="1"/>
      <c r="P1363" s="38">
        <f t="shared" si="127"/>
        <v>0</v>
      </c>
      <c r="S1363" s="24" t="str">
        <f t="shared" si="130"/>
        <v>-</v>
      </c>
      <c r="T1363" s="24" t="str">
        <f t="shared" si="128"/>
        <v>-</v>
      </c>
      <c r="U1363" s="25" t="str">
        <f t="shared" si="131"/>
        <v>-</v>
      </c>
      <c r="V1363" s="26" t="str">
        <f t="shared" si="132"/>
        <v>-</v>
      </c>
      <c r="X1363" s="26" t="str">
        <f t="shared" si="129"/>
        <v>-</v>
      </c>
    </row>
    <row r="1364" spans="1:24" x14ac:dyDescent="0.3">
      <c r="A1364" s="37">
        <v>87614180199</v>
      </c>
      <c r="B1364" s="8" t="s">
        <v>1742</v>
      </c>
      <c r="C1364" s="10" t="s">
        <v>2482</v>
      </c>
      <c r="D1364" s="11" t="s">
        <v>883</v>
      </c>
      <c r="E1364" s="11" t="s">
        <v>938</v>
      </c>
      <c r="F1364" s="9">
        <v>30</v>
      </c>
      <c r="G1364" s="9">
        <v>90</v>
      </c>
      <c r="H1364" s="9" t="s">
        <v>868</v>
      </c>
      <c r="I1364" s="9">
        <v>36</v>
      </c>
      <c r="J1364" s="9">
        <v>30</v>
      </c>
      <c r="K1364" s="9" t="s">
        <v>873</v>
      </c>
      <c r="L1364" s="27">
        <v>5.2209999999999999E-2</v>
      </c>
      <c r="M1364" s="28" t="s">
        <v>3203</v>
      </c>
      <c r="N1364" s="17">
        <v>12.076196999999999</v>
      </c>
      <c r="O1364" s="1"/>
      <c r="P1364" s="38">
        <f t="shared" si="127"/>
        <v>0</v>
      </c>
      <c r="S1364" s="24" t="str">
        <f t="shared" si="130"/>
        <v>-</v>
      </c>
      <c r="T1364" s="24" t="str">
        <f t="shared" si="128"/>
        <v>-</v>
      </c>
      <c r="U1364" s="25" t="str">
        <f t="shared" si="131"/>
        <v>-</v>
      </c>
      <c r="V1364" s="26" t="str">
        <f t="shared" si="132"/>
        <v>-</v>
      </c>
      <c r="X1364" s="26" t="str">
        <f t="shared" si="129"/>
        <v>-</v>
      </c>
    </row>
    <row r="1365" spans="1:24" x14ac:dyDescent="0.3">
      <c r="A1365" s="37">
        <v>87614200194</v>
      </c>
      <c r="B1365" s="8" t="s">
        <v>1747</v>
      </c>
      <c r="C1365" s="10" t="s">
        <v>3199</v>
      </c>
      <c r="D1365" s="11" t="s">
        <v>874</v>
      </c>
      <c r="E1365" s="11" t="s">
        <v>925</v>
      </c>
      <c r="F1365" s="9">
        <v>20</v>
      </c>
      <c r="G1365" s="9">
        <v>60</v>
      </c>
      <c r="H1365" s="9" t="s">
        <v>868</v>
      </c>
      <c r="I1365" s="9">
        <v>24</v>
      </c>
      <c r="J1365" s="9">
        <v>90</v>
      </c>
      <c r="K1365" s="9" t="s">
        <v>873</v>
      </c>
      <c r="L1365" s="27">
        <v>0.12371500000000001</v>
      </c>
      <c r="M1365" s="28" t="s">
        <v>3203</v>
      </c>
      <c r="N1365" s="17">
        <v>37.873080000000002</v>
      </c>
      <c r="O1365" s="1"/>
      <c r="P1365" s="38">
        <f t="shared" si="127"/>
        <v>0</v>
      </c>
      <c r="S1365" s="24" t="str">
        <f t="shared" si="130"/>
        <v>-</v>
      </c>
      <c r="T1365" s="24" t="str">
        <f t="shared" si="128"/>
        <v>-</v>
      </c>
      <c r="U1365" s="25" t="str">
        <f t="shared" si="131"/>
        <v>-</v>
      </c>
      <c r="V1365" s="26" t="str">
        <f t="shared" si="132"/>
        <v>-</v>
      </c>
      <c r="X1365" s="26" t="str">
        <f t="shared" si="129"/>
        <v>-</v>
      </c>
    </row>
    <row r="1366" spans="1:24" x14ac:dyDescent="0.3">
      <c r="A1366" s="37">
        <v>87614060187</v>
      </c>
      <c r="B1366" s="8" t="s">
        <v>1750</v>
      </c>
      <c r="C1366" s="10" t="s">
        <v>2488</v>
      </c>
      <c r="D1366" s="11" t="s">
        <v>866</v>
      </c>
      <c r="E1366" s="11" t="s">
        <v>956</v>
      </c>
      <c r="F1366" s="9">
        <v>16</v>
      </c>
      <c r="G1366" s="9">
        <v>48</v>
      </c>
      <c r="H1366" s="9" t="s">
        <v>868</v>
      </c>
      <c r="I1366" s="9">
        <v>36</v>
      </c>
      <c r="J1366" s="9">
        <v>300</v>
      </c>
      <c r="K1366" s="9" t="s">
        <v>877</v>
      </c>
      <c r="L1366" s="27">
        <v>0.24970000000000001</v>
      </c>
      <c r="M1366" s="28" t="s">
        <v>3203</v>
      </c>
      <c r="N1366" s="17">
        <v>20.581029000000001</v>
      </c>
      <c r="O1366" s="1"/>
      <c r="P1366" s="38">
        <f t="shared" si="127"/>
        <v>0</v>
      </c>
      <c r="S1366" s="24" t="str">
        <f t="shared" si="130"/>
        <v>-</v>
      </c>
      <c r="T1366" s="24" t="str">
        <f t="shared" si="128"/>
        <v>-</v>
      </c>
      <c r="U1366" s="25" t="str">
        <f t="shared" si="131"/>
        <v>-</v>
      </c>
      <c r="V1366" s="26" t="str">
        <f t="shared" si="132"/>
        <v>-</v>
      </c>
      <c r="X1366" s="26" t="str">
        <f t="shared" si="129"/>
        <v>-</v>
      </c>
    </row>
    <row r="1367" spans="1:24" x14ac:dyDescent="0.3">
      <c r="A1367" s="37">
        <v>87614250014</v>
      </c>
      <c r="B1367" s="8" t="s">
        <v>1765</v>
      </c>
      <c r="C1367" s="10" t="s">
        <v>2502</v>
      </c>
      <c r="D1367" s="11" t="s">
        <v>2861</v>
      </c>
      <c r="E1367" s="11" t="s">
        <v>2885</v>
      </c>
      <c r="F1367" s="9">
        <v>24</v>
      </c>
      <c r="G1367" s="9">
        <v>96</v>
      </c>
      <c r="H1367" s="9" t="s">
        <v>868</v>
      </c>
      <c r="I1367" s="9">
        <v>24</v>
      </c>
      <c r="J1367" s="9">
        <v>360</v>
      </c>
      <c r="K1367" s="9" t="s">
        <v>877</v>
      </c>
      <c r="L1367" s="27">
        <v>0.1135</v>
      </c>
      <c r="M1367" s="28" t="s">
        <v>3203</v>
      </c>
      <c r="N1367" s="17">
        <v>7.6576709999999997</v>
      </c>
      <c r="O1367" s="1"/>
      <c r="P1367" s="38">
        <f t="shared" si="127"/>
        <v>0</v>
      </c>
      <c r="S1367" s="24" t="str">
        <f t="shared" si="130"/>
        <v>-</v>
      </c>
      <c r="T1367" s="24" t="str">
        <f t="shared" si="128"/>
        <v>-</v>
      </c>
      <c r="U1367" s="25" t="str">
        <f t="shared" si="131"/>
        <v>-</v>
      </c>
      <c r="V1367" s="26" t="str">
        <f t="shared" si="132"/>
        <v>-</v>
      </c>
      <c r="X1367" s="26" t="str">
        <f t="shared" si="129"/>
        <v>-</v>
      </c>
    </row>
    <row r="1368" spans="1:24" x14ac:dyDescent="0.3">
      <c r="A1368" s="37">
        <v>87614020907</v>
      </c>
      <c r="B1368" s="8" t="s">
        <v>1768</v>
      </c>
      <c r="C1368" s="10" t="s">
        <v>2505</v>
      </c>
      <c r="D1368" s="11" t="s">
        <v>870</v>
      </c>
      <c r="E1368" s="11" t="s">
        <v>2834</v>
      </c>
      <c r="F1368" s="9">
        <v>30</v>
      </c>
      <c r="G1368" s="9">
        <v>90</v>
      </c>
      <c r="H1368" s="9" t="s">
        <v>868</v>
      </c>
      <c r="I1368" s="9">
        <v>20</v>
      </c>
      <c r="J1368" s="9">
        <v>60</v>
      </c>
      <c r="K1368" s="9" t="s">
        <v>873</v>
      </c>
      <c r="L1368" s="27">
        <v>6.8099999999999994E-2</v>
      </c>
      <c r="M1368" s="28" t="s">
        <v>3203</v>
      </c>
      <c r="N1368" s="17">
        <v>22.624181999999998</v>
      </c>
      <c r="O1368" s="1"/>
      <c r="P1368" s="38">
        <f t="shared" si="127"/>
        <v>0</v>
      </c>
      <c r="S1368" s="24" t="str">
        <f t="shared" si="130"/>
        <v>-</v>
      </c>
      <c r="T1368" s="24" t="str">
        <f t="shared" si="128"/>
        <v>-</v>
      </c>
      <c r="U1368" s="25" t="str">
        <f t="shared" si="131"/>
        <v>-</v>
      </c>
      <c r="V1368" s="26" t="str">
        <f t="shared" si="132"/>
        <v>-</v>
      </c>
      <c r="X1368" s="26" t="str">
        <f t="shared" si="129"/>
        <v>-</v>
      </c>
    </row>
    <row r="1369" spans="1:24" x14ac:dyDescent="0.3">
      <c r="A1369" s="37">
        <v>87614210124</v>
      </c>
      <c r="B1369" s="8" t="s">
        <v>1770</v>
      </c>
      <c r="C1369" s="10" t="s">
        <v>2507</v>
      </c>
      <c r="D1369" s="11" t="s">
        <v>883</v>
      </c>
      <c r="E1369" s="11" t="s">
        <v>926</v>
      </c>
      <c r="F1369" s="9">
        <v>20</v>
      </c>
      <c r="G1369" s="9">
        <v>60</v>
      </c>
      <c r="H1369" s="9" t="s">
        <v>892</v>
      </c>
      <c r="I1369" s="9">
        <v>24</v>
      </c>
      <c r="J1369" s="9">
        <v>60</v>
      </c>
      <c r="K1369" s="9" t="s">
        <v>869</v>
      </c>
      <c r="L1369" s="27">
        <v>0.18387000000000001</v>
      </c>
      <c r="M1369" s="28" t="s">
        <v>3203</v>
      </c>
      <c r="N1369" s="17">
        <v>29.766912000000001</v>
      </c>
      <c r="O1369" s="1"/>
      <c r="P1369" s="38">
        <f t="shared" si="127"/>
        <v>0</v>
      </c>
      <c r="S1369" s="24" t="str">
        <f t="shared" si="130"/>
        <v>-</v>
      </c>
      <c r="T1369" s="24" t="str">
        <f t="shared" si="128"/>
        <v>-</v>
      </c>
      <c r="U1369" s="25" t="str">
        <f t="shared" si="131"/>
        <v>-</v>
      </c>
      <c r="V1369" s="26" t="str">
        <f t="shared" si="132"/>
        <v>-</v>
      </c>
      <c r="X1369" s="26" t="str">
        <f t="shared" si="129"/>
        <v>-</v>
      </c>
    </row>
    <row r="1370" spans="1:24" x14ac:dyDescent="0.3">
      <c r="A1370" s="37">
        <v>87614210155</v>
      </c>
      <c r="B1370" s="8" t="s">
        <v>1771</v>
      </c>
      <c r="C1370" s="10" t="s">
        <v>2508</v>
      </c>
      <c r="D1370" s="11" t="s">
        <v>2822</v>
      </c>
      <c r="E1370" s="11" t="s">
        <v>2887</v>
      </c>
      <c r="F1370" s="9">
        <v>12</v>
      </c>
      <c r="G1370" s="9">
        <v>12</v>
      </c>
      <c r="H1370" s="9" t="s">
        <v>892</v>
      </c>
      <c r="I1370" s="9">
        <v>24</v>
      </c>
      <c r="J1370" s="9">
        <v>1</v>
      </c>
      <c r="K1370" s="9" t="s">
        <v>880</v>
      </c>
      <c r="L1370" s="27">
        <v>0.64808499999999991</v>
      </c>
      <c r="M1370" s="28" t="s">
        <v>3203</v>
      </c>
      <c r="N1370" s="17">
        <v>33.803384999999999</v>
      </c>
      <c r="O1370" s="1"/>
      <c r="P1370" s="38">
        <f t="shared" si="127"/>
        <v>0</v>
      </c>
      <c r="S1370" s="24" t="str">
        <f t="shared" si="130"/>
        <v>-</v>
      </c>
      <c r="T1370" s="24" t="str">
        <f t="shared" si="128"/>
        <v>-</v>
      </c>
      <c r="U1370" s="25" t="str">
        <f t="shared" si="131"/>
        <v>-</v>
      </c>
      <c r="V1370" s="26" t="str">
        <f t="shared" si="132"/>
        <v>-</v>
      </c>
      <c r="X1370" s="26" t="str">
        <f t="shared" si="129"/>
        <v>-</v>
      </c>
    </row>
    <row r="1371" spans="1:24" x14ac:dyDescent="0.3">
      <c r="A1371" s="37">
        <v>87614210162</v>
      </c>
      <c r="B1371" s="8" t="s">
        <v>1772</v>
      </c>
      <c r="C1371" s="10" t="s">
        <v>2509</v>
      </c>
      <c r="D1371" s="11" t="s">
        <v>2822</v>
      </c>
      <c r="E1371" s="11" t="s">
        <v>2887</v>
      </c>
      <c r="F1371" s="9">
        <v>12</v>
      </c>
      <c r="G1371" s="9">
        <v>12</v>
      </c>
      <c r="H1371" s="9" t="s">
        <v>892</v>
      </c>
      <c r="I1371" s="9">
        <v>24</v>
      </c>
      <c r="J1371" s="9">
        <v>1</v>
      </c>
      <c r="K1371" s="9" t="s">
        <v>880</v>
      </c>
      <c r="L1371" s="27">
        <v>0.65035499999999991</v>
      </c>
      <c r="M1371" s="28" t="s">
        <v>3203</v>
      </c>
      <c r="N1371" s="17">
        <v>32.624003999999999</v>
      </c>
      <c r="O1371" s="1"/>
      <c r="P1371" s="38">
        <f t="shared" si="127"/>
        <v>0</v>
      </c>
      <c r="S1371" s="24" t="str">
        <f t="shared" si="130"/>
        <v>-</v>
      </c>
      <c r="T1371" s="24" t="str">
        <f t="shared" si="128"/>
        <v>-</v>
      </c>
      <c r="U1371" s="25" t="str">
        <f t="shared" si="131"/>
        <v>-</v>
      </c>
      <c r="V1371" s="26" t="str">
        <f t="shared" si="132"/>
        <v>-</v>
      </c>
      <c r="X1371" s="26" t="str">
        <f t="shared" si="129"/>
        <v>-</v>
      </c>
    </row>
    <row r="1372" spans="1:24" x14ac:dyDescent="0.3">
      <c r="A1372" s="37">
        <v>87614210193</v>
      </c>
      <c r="B1372" s="8" t="s">
        <v>1774</v>
      </c>
      <c r="C1372" s="10" t="s">
        <v>2511</v>
      </c>
      <c r="D1372" s="11" t="s">
        <v>890</v>
      </c>
      <c r="E1372" s="11" t="s">
        <v>1119</v>
      </c>
      <c r="F1372" s="9">
        <v>30</v>
      </c>
      <c r="G1372" s="9">
        <v>90</v>
      </c>
      <c r="H1372" s="9" t="s">
        <v>868</v>
      </c>
      <c r="I1372" s="9">
        <v>36</v>
      </c>
      <c r="J1372" s="9">
        <v>60</v>
      </c>
      <c r="K1372" s="9" t="s">
        <v>873</v>
      </c>
      <c r="L1372" s="27">
        <v>8.8529999999999998E-2</v>
      </c>
      <c r="M1372" s="28" t="s">
        <v>3203</v>
      </c>
      <c r="N1372" s="17">
        <v>18.338543999999999</v>
      </c>
      <c r="O1372" s="1"/>
      <c r="P1372" s="38">
        <f t="shared" si="127"/>
        <v>0</v>
      </c>
      <c r="S1372" s="24" t="str">
        <f t="shared" si="130"/>
        <v>-</v>
      </c>
      <c r="T1372" s="24" t="str">
        <f t="shared" si="128"/>
        <v>-</v>
      </c>
      <c r="U1372" s="25" t="str">
        <f t="shared" si="131"/>
        <v>-</v>
      </c>
      <c r="V1372" s="26" t="str">
        <f t="shared" si="132"/>
        <v>-</v>
      </c>
      <c r="X1372" s="26" t="str">
        <f t="shared" si="129"/>
        <v>-</v>
      </c>
    </row>
    <row r="1373" spans="1:24" x14ac:dyDescent="0.3">
      <c r="A1373" s="37">
        <v>87614210360</v>
      </c>
      <c r="B1373" s="8" t="s">
        <v>1153</v>
      </c>
      <c r="C1373" s="10" t="s">
        <v>2776</v>
      </c>
      <c r="D1373" s="11" t="s">
        <v>866</v>
      </c>
      <c r="E1373" s="11" t="s">
        <v>1000</v>
      </c>
      <c r="F1373" s="9">
        <v>20</v>
      </c>
      <c r="G1373" s="9">
        <v>60</v>
      </c>
      <c r="H1373" s="9" t="s">
        <v>868</v>
      </c>
      <c r="I1373" s="9">
        <v>24</v>
      </c>
      <c r="J1373" s="9">
        <v>90</v>
      </c>
      <c r="K1373" s="9" t="s">
        <v>2903</v>
      </c>
      <c r="L1373" s="27">
        <v>0.116905</v>
      </c>
      <c r="M1373" s="28" t="s">
        <v>3203</v>
      </c>
      <c r="N1373" s="17">
        <v>25.315163999999999</v>
      </c>
      <c r="O1373" s="1"/>
      <c r="P1373" s="38">
        <f t="shared" si="127"/>
        <v>0</v>
      </c>
      <c r="S1373" s="24" t="str">
        <f t="shared" si="130"/>
        <v>-</v>
      </c>
      <c r="T1373" s="24" t="str">
        <f t="shared" si="128"/>
        <v>-</v>
      </c>
      <c r="U1373" s="25" t="str">
        <f t="shared" si="131"/>
        <v>-</v>
      </c>
      <c r="V1373" s="26" t="str">
        <f t="shared" si="132"/>
        <v>-</v>
      </c>
      <c r="X1373" s="26" t="str">
        <f t="shared" si="129"/>
        <v>-</v>
      </c>
    </row>
    <row r="1374" spans="1:24" x14ac:dyDescent="0.3">
      <c r="A1374" s="37">
        <v>87614210377</v>
      </c>
      <c r="B1374" s="8" t="s">
        <v>1466</v>
      </c>
      <c r="C1374" s="10" t="s">
        <v>2777</v>
      </c>
      <c r="D1374" s="11" t="s">
        <v>866</v>
      </c>
      <c r="E1374" s="11" t="s">
        <v>1000</v>
      </c>
      <c r="F1374" s="9">
        <v>20</v>
      </c>
      <c r="G1374" s="9">
        <v>60</v>
      </c>
      <c r="H1374" s="9" t="s">
        <v>868</v>
      </c>
      <c r="I1374" s="9">
        <v>24</v>
      </c>
      <c r="J1374" s="9">
        <v>90</v>
      </c>
      <c r="K1374" s="9" t="s">
        <v>2903</v>
      </c>
      <c r="L1374" s="27">
        <v>0.12031</v>
      </c>
      <c r="M1374" s="28" t="s">
        <v>3203</v>
      </c>
      <c r="N1374" s="17">
        <v>29.733689999999999</v>
      </c>
      <c r="O1374" s="1"/>
      <c r="P1374" s="38">
        <f t="shared" si="127"/>
        <v>0</v>
      </c>
      <c r="S1374" s="24" t="str">
        <f t="shared" si="130"/>
        <v>-</v>
      </c>
      <c r="T1374" s="24" t="str">
        <f t="shared" si="128"/>
        <v>-</v>
      </c>
      <c r="U1374" s="25" t="str">
        <f t="shared" si="131"/>
        <v>-</v>
      </c>
      <c r="V1374" s="26" t="str">
        <f t="shared" si="132"/>
        <v>-</v>
      </c>
      <c r="X1374" s="26" t="str">
        <f t="shared" si="129"/>
        <v>-</v>
      </c>
    </row>
    <row r="1375" spans="1:24" x14ac:dyDescent="0.3">
      <c r="A1375" s="37">
        <v>87614210490</v>
      </c>
      <c r="B1375" s="8" t="s">
        <v>1783</v>
      </c>
      <c r="C1375" s="10" t="s">
        <v>2519</v>
      </c>
      <c r="D1375" s="11" t="s">
        <v>874</v>
      </c>
      <c r="E1375" s="11" t="s">
        <v>914</v>
      </c>
      <c r="F1375" s="9">
        <v>30</v>
      </c>
      <c r="G1375" s="9">
        <v>90</v>
      </c>
      <c r="H1375" s="9" t="s">
        <v>868</v>
      </c>
      <c r="I1375" s="9">
        <v>24</v>
      </c>
      <c r="J1375" s="9">
        <v>60</v>
      </c>
      <c r="K1375" s="9" t="s">
        <v>2903</v>
      </c>
      <c r="L1375" s="27">
        <v>5.7884999999999999E-2</v>
      </c>
      <c r="M1375" s="28" t="s">
        <v>3203</v>
      </c>
      <c r="N1375" s="17">
        <v>17.175774000000001</v>
      </c>
      <c r="O1375" s="1"/>
      <c r="P1375" s="38">
        <f t="shared" si="127"/>
        <v>0</v>
      </c>
      <c r="S1375" s="24" t="str">
        <f t="shared" si="130"/>
        <v>-</v>
      </c>
      <c r="T1375" s="24" t="str">
        <f t="shared" si="128"/>
        <v>-</v>
      </c>
      <c r="U1375" s="25" t="str">
        <f t="shared" si="131"/>
        <v>-</v>
      </c>
      <c r="V1375" s="26" t="str">
        <f t="shared" si="132"/>
        <v>-</v>
      </c>
      <c r="X1375" s="26" t="str">
        <f t="shared" si="129"/>
        <v>-</v>
      </c>
    </row>
    <row r="1376" spans="1:24" x14ac:dyDescent="0.3">
      <c r="A1376" s="37">
        <v>87614210728</v>
      </c>
      <c r="B1376" s="8" t="s">
        <v>1788</v>
      </c>
      <c r="C1376" s="10" t="s">
        <v>2524</v>
      </c>
      <c r="D1376" s="11" t="s">
        <v>872</v>
      </c>
      <c r="E1376" s="11" t="s">
        <v>2890</v>
      </c>
      <c r="F1376" s="9">
        <v>48</v>
      </c>
      <c r="G1376" s="9">
        <v>192</v>
      </c>
      <c r="H1376" s="9" t="s">
        <v>868</v>
      </c>
      <c r="I1376" s="9">
        <v>24</v>
      </c>
      <c r="J1376" s="9">
        <v>14</v>
      </c>
      <c r="K1376" s="9" t="s">
        <v>889</v>
      </c>
      <c r="L1376" s="27">
        <v>3.0644999999999999E-2</v>
      </c>
      <c r="M1376" s="28" t="s">
        <v>3203</v>
      </c>
      <c r="N1376" s="17">
        <v>4.0198619999999998</v>
      </c>
      <c r="O1376" s="1"/>
      <c r="P1376" s="38">
        <f t="shared" si="127"/>
        <v>0</v>
      </c>
      <c r="S1376" s="24" t="str">
        <f t="shared" si="130"/>
        <v>-</v>
      </c>
      <c r="T1376" s="24" t="str">
        <f t="shared" si="128"/>
        <v>-</v>
      </c>
      <c r="U1376" s="25" t="str">
        <f t="shared" si="131"/>
        <v>-</v>
      </c>
      <c r="V1376" s="26" t="str">
        <f t="shared" si="132"/>
        <v>-</v>
      </c>
      <c r="X1376" s="26" t="str">
        <f t="shared" si="129"/>
        <v>-</v>
      </c>
    </row>
    <row r="1377" spans="1:24" x14ac:dyDescent="0.3">
      <c r="A1377" s="37">
        <v>87614022024</v>
      </c>
      <c r="B1377" s="8" t="s">
        <v>1797</v>
      </c>
      <c r="C1377" s="10" t="s">
        <v>2533</v>
      </c>
      <c r="D1377" s="11" t="s">
        <v>883</v>
      </c>
      <c r="E1377" s="11" t="s">
        <v>928</v>
      </c>
      <c r="F1377" s="9">
        <v>16</v>
      </c>
      <c r="G1377" s="9">
        <v>48</v>
      </c>
      <c r="H1377" s="9" t="s">
        <v>868</v>
      </c>
      <c r="I1377" s="9">
        <v>24</v>
      </c>
      <c r="J1377" s="9">
        <v>120</v>
      </c>
      <c r="K1377" s="9" t="s">
        <v>873</v>
      </c>
      <c r="L1377" s="27">
        <v>0.13506499999999999</v>
      </c>
      <c r="M1377" s="28" t="s">
        <v>3203</v>
      </c>
      <c r="N1377" s="17">
        <v>14.268848999999999</v>
      </c>
      <c r="O1377" s="1"/>
      <c r="P1377" s="38">
        <f t="shared" si="127"/>
        <v>0</v>
      </c>
      <c r="S1377" s="24" t="str">
        <f t="shared" si="130"/>
        <v>-</v>
      </c>
      <c r="T1377" s="24" t="str">
        <f t="shared" si="128"/>
        <v>-</v>
      </c>
      <c r="U1377" s="25" t="str">
        <f t="shared" si="131"/>
        <v>-</v>
      </c>
      <c r="V1377" s="26" t="str">
        <f t="shared" si="132"/>
        <v>-</v>
      </c>
      <c r="X1377" s="26" t="str">
        <f t="shared" si="129"/>
        <v>-</v>
      </c>
    </row>
    <row r="1378" spans="1:24" x14ac:dyDescent="0.3">
      <c r="A1378" s="37">
        <v>87614022116</v>
      </c>
      <c r="B1378" s="8" t="s">
        <v>1799</v>
      </c>
      <c r="C1378" s="10" t="s">
        <v>2535</v>
      </c>
      <c r="D1378" s="11" t="s">
        <v>874</v>
      </c>
      <c r="E1378" s="11" t="s">
        <v>919</v>
      </c>
      <c r="F1378" s="9">
        <v>30</v>
      </c>
      <c r="G1378" s="9">
        <v>90</v>
      </c>
      <c r="H1378" s="9" t="s">
        <v>868</v>
      </c>
      <c r="I1378" s="9">
        <v>36</v>
      </c>
      <c r="J1378" s="9">
        <v>120</v>
      </c>
      <c r="K1378" s="9" t="s">
        <v>873</v>
      </c>
      <c r="L1378" s="27">
        <v>7.6045000000000001E-2</v>
      </c>
      <c r="M1378" s="28" t="s">
        <v>3203</v>
      </c>
      <c r="N1378" s="17">
        <v>5.3321309999999995</v>
      </c>
      <c r="O1378" s="1"/>
      <c r="P1378" s="38">
        <f t="shared" si="127"/>
        <v>0</v>
      </c>
      <c r="S1378" s="24" t="str">
        <f t="shared" si="130"/>
        <v>-</v>
      </c>
      <c r="T1378" s="24" t="str">
        <f t="shared" si="128"/>
        <v>-</v>
      </c>
      <c r="U1378" s="25" t="str">
        <f t="shared" si="131"/>
        <v>-</v>
      </c>
      <c r="V1378" s="26" t="str">
        <f t="shared" si="132"/>
        <v>-</v>
      </c>
      <c r="X1378" s="26" t="str">
        <f t="shared" si="129"/>
        <v>-</v>
      </c>
    </row>
    <row r="1379" spans="1:24" x14ac:dyDescent="0.3">
      <c r="A1379" s="37">
        <v>87614022970</v>
      </c>
      <c r="B1379" s="8" t="s">
        <v>1805</v>
      </c>
      <c r="C1379" s="10" t="s">
        <v>2541</v>
      </c>
      <c r="D1379" s="11" t="s">
        <v>872</v>
      </c>
      <c r="E1379" s="11" t="s">
        <v>953</v>
      </c>
      <c r="F1379" s="9">
        <v>12</v>
      </c>
      <c r="G1379" s="9">
        <v>24</v>
      </c>
      <c r="H1379" s="9" t="s">
        <v>892</v>
      </c>
      <c r="I1379" s="9">
        <v>24</v>
      </c>
      <c r="J1379" s="9">
        <v>270</v>
      </c>
      <c r="K1379" s="9" t="s">
        <v>873</v>
      </c>
      <c r="L1379" s="27">
        <v>0.29055999999999998</v>
      </c>
      <c r="M1379" s="28" t="s">
        <v>3203</v>
      </c>
      <c r="N1379" s="17">
        <v>27.192207</v>
      </c>
      <c r="O1379" s="1"/>
      <c r="P1379" s="38">
        <f t="shared" si="127"/>
        <v>0</v>
      </c>
      <c r="S1379" s="24" t="str">
        <f t="shared" si="130"/>
        <v>-</v>
      </c>
      <c r="T1379" s="24" t="str">
        <f t="shared" si="128"/>
        <v>-</v>
      </c>
      <c r="U1379" s="25" t="str">
        <f t="shared" si="131"/>
        <v>-</v>
      </c>
      <c r="V1379" s="26" t="str">
        <f t="shared" si="132"/>
        <v>-</v>
      </c>
      <c r="X1379" s="26" t="str">
        <f t="shared" si="129"/>
        <v>-</v>
      </c>
    </row>
    <row r="1380" spans="1:24" x14ac:dyDescent="0.3">
      <c r="A1380" s="37">
        <v>87614024011</v>
      </c>
      <c r="B1380" s="8" t="s">
        <v>1812</v>
      </c>
      <c r="C1380" s="10" t="s">
        <v>2548</v>
      </c>
      <c r="D1380" s="11" t="s">
        <v>872</v>
      </c>
      <c r="E1380" s="11" t="s">
        <v>2858</v>
      </c>
      <c r="F1380" s="9">
        <v>12</v>
      </c>
      <c r="G1380" s="9">
        <v>12</v>
      </c>
      <c r="H1380" s="9" t="s">
        <v>892</v>
      </c>
      <c r="I1380" s="9">
        <v>24</v>
      </c>
      <c r="J1380" s="9">
        <v>1</v>
      </c>
      <c r="K1380" s="9" t="s">
        <v>880</v>
      </c>
      <c r="L1380" s="27">
        <v>0.45854000000000006</v>
      </c>
      <c r="M1380" s="28" t="s">
        <v>3203</v>
      </c>
      <c r="N1380" s="17">
        <v>47.889513000000001</v>
      </c>
      <c r="O1380" s="1"/>
      <c r="P1380" s="38">
        <f t="shared" si="127"/>
        <v>0</v>
      </c>
      <c r="S1380" s="24" t="str">
        <f t="shared" si="130"/>
        <v>-</v>
      </c>
      <c r="T1380" s="24" t="str">
        <f t="shared" si="128"/>
        <v>-</v>
      </c>
      <c r="U1380" s="25" t="str">
        <f t="shared" si="131"/>
        <v>-</v>
      </c>
      <c r="V1380" s="26" t="str">
        <f t="shared" si="132"/>
        <v>-</v>
      </c>
      <c r="X1380" s="26" t="str">
        <f t="shared" si="129"/>
        <v>-</v>
      </c>
    </row>
    <row r="1381" spans="1:24" x14ac:dyDescent="0.3">
      <c r="A1381" s="37">
        <v>87614024158</v>
      </c>
      <c r="B1381" s="8" t="s">
        <v>1815</v>
      </c>
      <c r="C1381" s="10" t="s">
        <v>2551</v>
      </c>
      <c r="D1381" s="11" t="s">
        <v>874</v>
      </c>
      <c r="E1381" s="11" t="s">
        <v>925</v>
      </c>
      <c r="F1381" s="9">
        <v>48</v>
      </c>
      <c r="G1381" s="9">
        <v>192</v>
      </c>
      <c r="H1381" s="9" t="s">
        <v>868</v>
      </c>
      <c r="I1381" s="9">
        <v>24</v>
      </c>
      <c r="J1381" s="9">
        <v>30</v>
      </c>
      <c r="K1381" s="9" t="s">
        <v>873</v>
      </c>
      <c r="L1381" s="27">
        <v>3.2915E-2</v>
      </c>
      <c r="M1381" s="28" t="s">
        <v>3203</v>
      </c>
      <c r="N1381" s="17">
        <v>10.813761</v>
      </c>
      <c r="O1381" s="1"/>
      <c r="P1381" s="38">
        <f t="shared" si="127"/>
        <v>0</v>
      </c>
      <c r="S1381" s="24" t="str">
        <f t="shared" si="130"/>
        <v>-</v>
      </c>
      <c r="T1381" s="24" t="str">
        <f t="shared" si="128"/>
        <v>-</v>
      </c>
      <c r="U1381" s="25" t="str">
        <f t="shared" si="131"/>
        <v>-</v>
      </c>
      <c r="V1381" s="26" t="str">
        <f t="shared" si="132"/>
        <v>-</v>
      </c>
      <c r="X1381" s="26" t="str">
        <f t="shared" si="129"/>
        <v>-</v>
      </c>
    </row>
    <row r="1382" spans="1:24" x14ac:dyDescent="0.3">
      <c r="A1382" s="37">
        <v>87614024455</v>
      </c>
      <c r="B1382" s="8" t="s">
        <v>741</v>
      </c>
      <c r="C1382" s="10" t="s">
        <v>742</v>
      </c>
      <c r="D1382" s="11" t="s">
        <v>879</v>
      </c>
      <c r="E1382" s="11" t="s">
        <v>990</v>
      </c>
      <c r="F1382" s="9">
        <v>30</v>
      </c>
      <c r="G1382" s="9">
        <v>90</v>
      </c>
      <c r="H1382" s="9" t="s">
        <v>868</v>
      </c>
      <c r="I1382" s="9">
        <v>24</v>
      </c>
      <c r="J1382" s="9">
        <v>90</v>
      </c>
      <c r="K1382" s="9" t="s">
        <v>889</v>
      </c>
      <c r="L1382" s="27">
        <v>6.4695000000000003E-2</v>
      </c>
      <c r="M1382" s="28" t="s">
        <v>3203</v>
      </c>
      <c r="N1382" s="17">
        <v>17.823602999999999</v>
      </c>
      <c r="O1382" s="1"/>
      <c r="P1382" s="38">
        <f t="shared" si="127"/>
        <v>0</v>
      </c>
      <c r="S1382" s="24" t="str">
        <f t="shared" si="130"/>
        <v>-</v>
      </c>
      <c r="T1382" s="24" t="str">
        <f t="shared" si="128"/>
        <v>-</v>
      </c>
      <c r="U1382" s="25" t="str">
        <f t="shared" si="131"/>
        <v>-</v>
      </c>
      <c r="V1382" s="26" t="str">
        <f t="shared" si="132"/>
        <v>-</v>
      </c>
      <c r="X1382" s="26" t="str">
        <f t="shared" si="129"/>
        <v>-</v>
      </c>
    </row>
    <row r="1383" spans="1:24" x14ac:dyDescent="0.3">
      <c r="A1383" s="37">
        <v>87614024530</v>
      </c>
      <c r="B1383" s="8" t="s">
        <v>1816</v>
      </c>
      <c r="C1383" s="10" t="s">
        <v>3034</v>
      </c>
      <c r="D1383" s="11" t="s">
        <v>897</v>
      </c>
      <c r="E1383" s="11" t="s">
        <v>1037</v>
      </c>
      <c r="F1383" s="9">
        <v>20</v>
      </c>
      <c r="G1383" s="9">
        <v>60</v>
      </c>
      <c r="H1383" s="9" t="s">
        <v>868</v>
      </c>
      <c r="I1383" s="9">
        <v>24</v>
      </c>
      <c r="J1383" s="9">
        <v>90</v>
      </c>
      <c r="K1383" s="9" t="s">
        <v>2903</v>
      </c>
      <c r="L1383" s="27">
        <v>0.12031</v>
      </c>
      <c r="M1383" s="28" t="s">
        <v>3203</v>
      </c>
      <c r="N1383" s="17">
        <v>12.973191</v>
      </c>
      <c r="O1383" s="1"/>
      <c r="P1383" s="38">
        <f t="shared" si="127"/>
        <v>0</v>
      </c>
      <c r="S1383" s="24" t="str">
        <f t="shared" si="130"/>
        <v>-</v>
      </c>
      <c r="T1383" s="24" t="str">
        <f t="shared" si="128"/>
        <v>-</v>
      </c>
      <c r="U1383" s="25" t="str">
        <f t="shared" si="131"/>
        <v>-</v>
      </c>
      <c r="V1383" s="26" t="str">
        <f t="shared" si="132"/>
        <v>-</v>
      </c>
      <c r="X1383" s="26" t="str">
        <f t="shared" si="129"/>
        <v>-</v>
      </c>
    </row>
    <row r="1384" spans="1:24" x14ac:dyDescent="0.3">
      <c r="A1384" s="37">
        <v>87614024752</v>
      </c>
      <c r="B1384" s="8" t="s">
        <v>1818</v>
      </c>
      <c r="C1384" s="10" t="s">
        <v>2553</v>
      </c>
      <c r="D1384" s="11" t="s">
        <v>2822</v>
      </c>
      <c r="E1384" s="11" t="s">
        <v>2823</v>
      </c>
      <c r="F1384" s="9">
        <v>12</v>
      </c>
      <c r="G1384" s="9">
        <v>12</v>
      </c>
      <c r="H1384" s="9" t="s">
        <v>892</v>
      </c>
      <c r="I1384" s="9">
        <v>24</v>
      </c>
      <c r="J1384" s="9">
        <v>1</v>
      </c>
      <c r="K1384" s="9" t="s">
        <v>880</v>
      </c>
      <c r="L1384" s="27">
        <v>0.58338999999999996</v>
      </c>
      <c r="M1384" s="28" t="s">
        <v>3203</v>
      </c>
      <c r="N1384" s="17">
        <v>30.780183000000001</v>
      </c>
      <c r="O1384" s="1"/>
      <c r="P1384" s="38">
        <f t="shared" si="127"/>
        <v>0</v>
      </c>
      <c r="S1384" s="24" t="str">
        <f t="shared" si="130"/>
        <v>-</v>
      </c>
      <c r="T1384" s="24" t="str">
        <f t="shared" si="128"/>
        <v>-</v>
      </c>
      <c r="U1384" s="25" t="str">
        <f t="shared" si="131"/>
        <v>-</v>
      </c>
      <c r="V1384" s="26" t="str">
        <f t="shared" si="132"/>
        <v>-</v>
      </c>
      <c r="X1384" s="26" t="str">
        <f t="shared" si="129"/>
        <v>-</v>
      </c>
    </row>
    <row r="1385" spans="1:24" x14ac:dyDescent="0.3">
      <c r="A1385" s="37">
        <v>87614024875</v>
      </c>
      <c r="B1385" s="8" t="s">
        <v>1821</v>
      </c>
      <c r="C1385" s="10" t="s">
        <v>2556</v>
      </c>
      <c r="D1385" s="11" t="s">
        <v>883</v>
      </c>
      <c r="E1385" s="11" t="s">
        <v>928</v>
      </c>
      <c r="F1385" s="9">
        <v>48</v>
      </c>
      <c r="G1385" s="9">
        <v>192</v>
      </c>
      <c r="H1385" s="9" t="s">
        <v>868</v>
      </c>
      <c r="I1385" s="9">
        <v>36</v>
      </c>
      <c r="J1385" s="9">
        <v>30</v>
      </c>
      <c r="K1385" s="9" t="s">
        <v>889</v>
      </c>
      <c r="L1385" s="27">
        <v>3.8590000000000006E-2</v>
      </c>
      <c r="M1385" s="28" t="s">
        <v>3203</v>
      </c>
      <c r="N1385" s="17">
        <v>16.909997999999998</v>
      </c>
      <c r="O1385" s="1"/>
      <c r="P1385" s="38">
        <f t="shared" si="127"/>
        <v>0</v>
      </c>
      <c r="S1385" s="24" t="str">
        <f t="shared" si="130"/>
        <v>-</v>
      </c>
      <c r="T1385" s="24" t="str">
        <f t="shared" si="128"/>
        <v>-</v>
      </c>
      <c r="U1385" s="25" t="str">
        <f t="shared" si="131"/>
        <v>-</v>
      </c>
      <c r="V1385" s="26" t="str">
        <f t="shared" si="132"/>
        <v>-</v>
      </c>
      <c r="X1385" s="26" t="str">
        <f t="shared" si="129"/>
        <v>-</v>
      </c>
    </row>
    <row r="1386" spans="1:24" x14ac:dyDescent="0.3">
      <c r="A1386" s="37">
        <v>87614025223</v>
      </c>
      <c r="B1386" s="8" t="s">
        <v>1188</v>
      </c>
      <c r="C1386" s="10" t="s">
        <v>2006</v>
      </c>
      <c r="D1386" s="11" t="s">
        <v>884</v>
      </c>
      <c r="E1386" s="11" t="s">
        <v>2847</v>
      </c>
      <c r="F1386" s="9">
        <v>16</v>
      </c>
      <c r="G1386" s="9">
        <v>48</v>
      </c>
      <c r="H1386" s="9" t="s">
        <v>868</v>
      </c>
      <c r="I1386" s="9">
        <v>36</v>
      </c>
      <c r="J1386" s="9">
        <v>120</v>
      </c>
      <c r="K1386" s="9" t="s">
        <v>889</v>
      </c>
      <c r="L1386" s="27">
        <v>0.13506499999999999</v>
      </c>
      <c r="M1386" s="28" t="s">
        <v>3203</v>
      </c>
      <c r="N1386" s="17">
        <v>23.703896999999998</v>
      </c>
      <c r="O1386" s="1"/>
      <c r="P1386" s="38">
        <f t="shared" si="127"/>
        <v>0</v>
      </c>
      <c r="S1386" s="24" t="str">
        <f t="shared" si="130"/>
        <v>-</v>
      </c>
      <c r="T1386" s="24" t="str">
        <f t="shared" si="128"/>
        <v>-</v>
      </c>
      <c r="U1386" s="25" t="str">
        <f t="shared" si="131"/>
        <v>-</v>
      </c>
      <c r="V1386" s="26" t="str">
        <f t="shared" si="132"/>
        <v>-</v>
      </c>
      <c r="X1386" s="26" t="str">
        <f t="shared" si="129"/>
        <v>-</v>
      </c>
    </row>
    <row r="1387" spans="1:24" x14ac:dyDescent="0.3">
      <c r="A1387" s="37">
        <v>87614026732</v>
      </c>
      <c r="B1387" s="8" t="s">
        <v>1827</v>
      </c>
      <c r="C1387" s="10" t="s">
        <v>2562</v>
      </c>
      <c r="D1387" s="11" t="s">
        <v>2831</v>
      </c>
      <c r="E1387" s="11" t="s">
        <v>2832</v>
      </c>
      <c r="F1387" s="9">
        <v>12</v>
      </c>
      <c r="G1387" s="9">
        <v>120</v>
      </c>
      <c r="H1387" s="9" t="s">
        <v>892</v>
      </c>
      <c r="I1387" s="9">
        <v>60</v>
      </c>
      <c r="J1387" s="9">
        <v>1</v>
      </c>
      <c r="K1387" s="9" t="s">
        <v>887</v>
      </c>
      <c r="L1387" s="27">
        <v>0.14527999999999999</v>
      </c>
      <c r="M1387" s="28" t="s">
        <v>3203</v>
      </c>
      <c r="N1387" s="17">
        <v>13.687463999999999</v>
      </c>
      <c r="O1387" s="1"/>
      <c r="P1387" s="38">
        <f t="shared" si="127"/>
        <v>0</v>
      </c>
      <c r="S1387" s="24" t="str">
        <f t="shared" si="130"/>
        <v>-</v>
      </c>
      <c r="T1387" s="24" t="str">
        <f t="shared" si="128"/>
        <v>-</v>
      </c>
      <c r="U1387" s="25" t="str">
        <f t="shared" si="131"/>
        <v>-</v>
      </c>
      <c r="V1387" s="26" t="str">
        <f t="shared" si="132"/>
        <v>-</v>
      </c>
      <c r="X1387" s="26" t="str">
        <f t="shared" si="129"/>
        <v>-</v>
      </c>
    </row>
    <row r="1388" spans="1:24" x14ac:dyDescent="0.3">
      <c r="A1388" s="37">
        <v>87614026947</v>
      </c>
      <c r="B1388" s="8" t="s">
        <v>1830</v>
      </c>
      <c r="C1388" s="10" t="s">
        <v>2565</v>
      </c>
      <c r="D1388" s="11" t="s">
        <v>898</v>
      </c>
      <c r="E1388" s="11" t="s">
        <v>979</v>
      </c>
      <c r="F1388" s="9">
        <v>48</v>
      </c>
      <c r="G1388" s="9">
        <v>192</v>
      </c>
      <c r="H1388" s="9" t="s">
        <v>868</v>
      </c>
      <c r="I1388" s="9">
        <v>36</v>
      </c>
      <c r="J1388" s="9">
        <v>60</v>
      </c>
      <c r="K1388" s="9" t="s">
        <v>869</v>
      </c>
      <c r="L1388" s="27">
        <v>4.8804999999999994E-2</v>
      </c>
      <c r="M1388" s="28" t="s">
        <v>3203</v>
      </c>
      <c r="N1388" s="17">
        <v>15.315341999999999</v>
      </c>
      <c r="O1388" s="1"/>
      <c r="P1388" s="38">
        <f t="shared" si="127"/>
        <v>0</v>
      </c>
      <c r="S1388" s="24" t="str">
        <f t="shared" si="130"/>
        <v>-</v>
      </c>
      <c r="T1388" s="24" t="str">
        <f t="shared" si="128"/>
        <v>-</v>
      </c>
      <c r="U1388" s="25" t="str">
        <f t="shared" si="131"/>
        <v>-</v>
      </c>
      <c r="V1388" s="26" t="str">
        <f t="shared" si="132"/>
        <v>-</v>
      </c>
      <c r="X1388" s="26" t="str">
        <f t="shared" si="129"/>
        <v>-</v>
      </c>
    </row>
    <row r="1389" spans="1:24" x14ac:dyDescent="0.3">
      <c r="A1389" s="37">
        <v>87614027371</v>
      </c>
      <c r="B1389" s="8" t="s">
        <v>1835</v>
      </c>
      <c r="C1389" s="10" t="s">
        <v>2570</v>
      </c>
      <c r="D1389" s="11" t="s">
        <v>893</v>
      </c>
      <c r="E1389" s="11" t="s">
        <v>2857</v>
      </c>
      <c r="F1389" s="9">
        <v>9</v>
      </c>
      <c r="G1389" s="9">
        <v>6</v>
      </c>
      <c r="H1389" s="9" t="s">
        <v>868</v>
      </c>
      <c r="I1389" s="9">
        <v>36</v>
      </c>
      <c r="J1389" s="9">
        <v>1</v>
      </c>
      <c r="K1389" s="9" t="s">
        <v>880</v>
      </c>
      <c r="L1389" s="27">
        <v>0.42676000000000003</v>
      </c>
      <c r="M1389" s="28" t="s">
        <v>3203</v>
      </c>
      <c r="N1389" s="17">
        <v>42.939434999999996</v>
      </c>
      <c r="O1389" s="1"/>
      <c r="P1389" s="38">
        <f t="shared" si="127"/>
        <v>0</v>
      </c>
      <c r="S1389" s="24" t="str">
        <f t="shared" si="130"/>
        <v>-</v>
      </c>
      <c r="T1389" s="24" t="str">
        <f t="shared" si="128"/>
        <v>-</v>
      </c>
      <c r="U1389" s="25" t="str">
        <f t="shared" si="131"/>
        <v>-</v>
      </c>
      <c r="V1389" s="26" t="str">
        <f t="shared" si="132"/>
        <v>-</v>
      </c>
      <c r="X1389" s="26" t="str">
        <f t="shared" si="129"/>
        <v>-</v>
      </c>
    </row>
    <row r="1390" spans="1:24" x14ac:dyDescent="0.3">
      <c r="A1390" s="37">
        <v>87614027425</v>
      </c>
      <c r="B1390" s="8" t="s">
        <v>1940</v>
      </c>
      <c r="C1390" s="10" t="s">
        <v>2662</v>
      </c>
      <c r="D1390" s="11" t="s">
        <v>883</v>
      </c>
      <c r="E1390" s="11" t="s">
        <v>928</v>
      </c>
      <c r="F1390" s="9">
        <v>36</v>
      </c>
      <c r="G1390" s="9">
        <v>36</v>
      </c>
      <c r="H1390" s="9" t="s">
        <v>868</v>
      </c>
      <c r="I1390" s="9">
        <v>60</v>
      </c>
      <c r="J1390" s="9">
        <v>1</v>
      </c>
      <c r="K1390" s="9" t="s">
        <v>895</v>
      </c>
      <c r="L1390" s="27">
        <v>0.18841000000000002</v>
      </c>
      <c r="M1390" s="28" t="s">
        <v>3203</v>
      </c>
      <c r="N1390" s="17">
        <v>19.567758000000001</v>
      </c>
      <c r="O1390" s="1"/>
      <c r="P1390" s="38">
        <f t="shared" si="127"/>
        <v>0</v>
      </c>
      <c r="S1390" s="24" t="str">
        <f t="shared" si="130"/>
        <v>-</v>
      </c>
      <c r="T1390" s="24" t="str">
        <f t="shared" si="128"/>
        <v>-</v>
      </c>
      <c r="U1390" s="25" t="str">
        <f t="shared" si="131"/>
        <v>-</v>
      </c>
      <c r="V1390" s="26" t="str">
        <f t="shared" si="132"/>
        <v>-</v>
      </c>
      <c r="X1390" s="26" t="str">
        <f t="shared" si="129"/>
        <v>-</v>
      </c>
    </row>
    <row r="1391" spans="1:24" x14ac:dyDescent="0.3">
      <c r="A1391" s="37">
        <v>87614027449</v>
      </c>
      <c r="B1391" s="8" t="s">
        <v>1836</v>
      </c>
      <c r="C1391" s="10" t="s">
        <v>2571</v>
      </c>
      <c r="D1391" s="11" t="s">
        <v>2829</v>
      </c>
      <c r="E1391" s="11" t="s">
        <v>2830</v>
      </c>
      <c r="F1391" s="9">
        <v>24</v>
      </c>
      <c r="G1391" s="9">
        <v>24</v>
      </c>
      <c r="H1391" s="9" t="s">
        <v>892</v>
      </c>
      <c r="I1391" s="9">
        <v>60</v>
      </c>
      <c r="J1391" s="9">
        <v>1</v>
      </c>
      <c r="K1391" s="9" t="s">
        <v>887</v>
      </c>
      <c r="L1391" s="27">
        <v>0.61063000000000001</v>
      </c>
      <c r="M1391" s="28" t="s">
        <v>3203</v>
      </c>
      <c r="N1391" s="17">
        <v>11.29548</v>
      </c>
      <c r="O1391" s="1"/>
      <c r="P1391" s="38">
        <f t="shared" si="127"/>
        <v>0</v>
      </c>
      <c r="S1391" s="24" t="str">
        <f t="shared" si="130"/>
        <v>-</v>
      </c>
      <c r="T1391" s="24" t="str">
        <f t="shared" si="128"/>
        <v>-</v>
      </c>
      <c r="U1391" s="25" t="str">
        <f t="shared" si="131"/>
        <v>-</v>
      </c>
      <c r="V1391" s="26" t="str">
        <f t="shared" si="132"/>
        <v>-</v>
      </c>
      <c r="X1391" s="26" t="str">
        <f t="shared" si="129"/>
        <v>-</v>
      </c>
    </row>
    <row r="1392" spans="1:24" x14ac:dyDescent="0.3">
      <c r="A1392" s="37">
        <v>87614027531</v>
      </c>
      <c r="B1392" s="8" t="s">
        <v>1842</v>
      </c>
      <c r="C1392" s="10" t="s">
        <v>2577</v>
      </c>
      <c r="D1392" s="11" t="s">
        <v>2829</v>
      </c>
      <c r="E1392" s="11" t="s">
        <v>2830</v>
      </c>
      <c r="F1392" s="9">
        <v>24</v>
      </c>
      <c r="G1392" s="9">
        <v>24</v>
      </c>
      <c r="H1392" s="9" t="s">
        <v>892</v>
      </c>
      <c r="I1392" s="9">
        <v>60</v>
      </c>
      <c r="J1392" s="9">
        <v>1</v>
      </c>
      <c r="K1392" s="9" t="s">
        <v>887</v>
      </c>
      <c r="L1392" s="27">
        <v>0.59928000000000003</v>
      </c>
      <c r="M1392" s="28" t="s">
        <v>3203</v>
      </c>
      <c r="N1392" s="17">
        <v>14.617680000000002</v>
      </c>
      <c r="O1392" s="1"/>
      <c r="P1392" s="38">
        <f t="shared" si="127"/>
        <v>0</v>
      </c>
      <c r="S1392" s="24" t="str">
        <f t="shared" si="130"/>
        <v>-</v>
      </c>
      <c r="T1392" s="24" t="str">
        <f t="shared" si="128"/>
        <v>-</v>
      </c>
      <c r="U1392" s="25" t="str">
        <f t="shared" si="131"/>
        <v>-</v>
      </c>
      <c r="V1392" s="26" t="str">
        <f t="shared" si="132"/>
        <v>-</v>
      </c>
      <c r="X1392" s="26" t="str">
        <f t="shared" si="129"/>
        <v>-</v>
      </c>
    </row>
    <row r="1393" spans="1:24" x14ac:dyDescent="0.3">
      <c r="A1393" s="37">
        <v>87614027685</v>
      </c>
      <c r="B1393" s="8" t="s">
        <v>1487</v>
      </c>
      <c r="C1393" s="10" t="s">
        <v>3200</v>
      </c>
      <c r="D1393" s="11" t="s">
        <v>879</v>
      </c>
      <c r="E1393" s="11" t="s">
        <v>1018</v>
      </c>
      <c r="F1393" s="9">
        <v>30</v>
      </c>
      <c r="G1393" s="9">
        <v>90</v>
      </c>
      <c r="H1393" s="9" t="s">
        <v>868</v>
      </c>
      <c r="I1393" s="9">
        <v>24</v>
      </c>
      <c r="J1393" s="9">
        <v>60</v>
      </c>
      <c r="K1393" s="9" t="s">
        <v>3049</v>
      </c>
      <c r="L1393" s="27">
        <v>0.105555</v>
      </c>
      <c r="M1393" s="28" t="s">
        <v>3203</v>
      </c>
      <c r="N1393" s="17">
        <v>9.1194389999999999</v>
      </c>
      <c r="O1393" s="1"/>
      <c r="P1393" s="38">
        <f t="shared" si="127"/>
        <v>0</v>
      </c>
      <c r="S1393" s="24" t="str">
        <f t="shared" si="130"/>
        <v>-</v>
      </c>
      <c r="T1393" s="24" t="str">
        <f t="shared" si="128"/>
        <v>-</v>
      </c>
      <c r="U1393" s="25" t="str">
        <f t="shared" si="131"/>
        <v>-</v>
      </c>
      <c r="V1393" s="26" t="str">
        <f t="shared" si="132"/>
        <v>-</v>
      </c>
      <c r="X1393" s="26" t="str">
        <f t="shared" si="129"/>
        <v>-</v>
      </c>
    </row>
    <row r="1394" spans="1:24" x14ac:dyDescent="0.3">
      <c r="A1394" s="37">
        <v>87614027913</v>
      </c>
      <c r="B1394" s="8" t="s">
        <v>807</v>
      </c>
      <c r="C1394" s="10" t="s">
        <v>2797</v>
      </c>
      <c r="D1394" s="11" t="s">
        <v>883</v>
      </c>
      <c r="E1394" s="11" t="s">
        <v>977</v>
      </c>
      <c r="F1394" s="9">
        <v>30</v>
      </c>
      <c r="G1394" s="9">
        <v>90</v>
      </c>
      <c r="H1394" s="9" t="s">
        <v>868</v>
      </c>
      <c r="I1394" s="9">
        <v>24</v>
      </c>
      <c r="J1394" s="9">
        <v>60</v>
      </c>
      <c r="K1394" s="9" t="s">
        <v>889</v>
      </c>
      <c r="L1394" s="27">
        <v>6.1289999999999997E-2</v>
      </c>
      <c r="M1394" s="28" t="s">
        <v>3203</v>
      </c>
      <c r="N1394" s="17">
        <v>18.969761999999999</v>
      </c>
      <c r="O1394" s="1"/>
      <c r="P1394" s="38">
        <f t="shared" si="127"/>
        <v>0</v>
      </c>
      <c r="S1394" s="24" t="str">
        <f t="shared" si="130"/>
        <v>-</v>
      </c>
      <c r="T1394" s="24" t="str">
        <f t="shared" si="128"/>
        <v>-</v>
      </c>
      <c r="U1394" s="25" t="str">
        <f t="shared" si="131"/>
        <v>-</v>
      </c>
      <c r="V1394" s="26" t="str">
        <f t="shared" si="132"/>
        <v>-</v>
      </c>
      <c r="X1394" s="26" t="str">
        <f t="shared" si="129"/>
        <v>-</v>
      </c>
    </row>
    <row r="1395" spans="1:24" x14ac:dyDescent="0.3">
      <c r="A1395" s="37">
        <v>87614028620</v>
      </c>
      <c r="B1395" s="8" t="s">
        <v>1855</v>
      </c>
      <c r="C1395" s="10" t="s">
        <v>2586</v>
      </c>
      <c r="D1395" s="11" t="s">
        <v>883</v>
      </c>
      <c r="E1395" s="11" t="s">
        <v>1062</v>
      </c>
      <c r="F1395" s="9">
        <v>48</v>
      </c>
      <c r="G1395" s="9">
        <v>192</v>
      </c>
      <c r="H1395" s="9" t="s">
        <v>868</v>
      </c>
      <c r="I1395" s="9">
        <v>36</v>
      </c>
      <c r="J1395" s="9">
        <v>60</v>
      </c>
      <c r="K1395" s="9" t="s">
        <v>873</v>
      </c>
      <c r="L1395" s="27">
        <v>3.8590000000000006E-2</v>
      </c>
      <c r="M1395" s="28" t="s">
        <v>3203</v>
      </c>
      <c r="N1395" s="17">
        <v>21.660744000000001</v>
      </c>
      <c r="O1395" s="1"/>
      <c r="P1395" s="38">
        <f t="shared" si="127"/>
        <v>0</v>
      </c>
      <c r="S1395" s="24" t="str">
        <f t="shared" si="130"/>
        <v>-</v>
      </c>
      <c r="T1395" s="24" t="str">
        <f t="shared" si="128"/>
        <v>-</v>
      </c>
      <c r="U1395" s="25" t="str">
        <f t="shared" si="131"/>
        <v>-</v>
      </c>
      <c r="V1395" s="26" t="str">
        <f t="shared" si="132"/>
        <v>-</v>
      </c>
      <c r="X1395" s="26" t="str">
        <f t="shared" si="129"/>
        <v>-</v>
      </c>
    </row>
    <row r="1396" spans="1:24" x14ac:dyDescent="0.3">
      <c r="A1396" s="37">
        <v>87614029030</v>
      </c>
      <c r="B1396" s="8" t="s">
        <v>1864</v>
      </c>
      <c r="C1396" s="10" t="s">
        <v>2595</v>
      </c>
      <c r="D1396" s="11" t="s">
        <v>874</v>
      </c>
      <c r="E1396" s="11" t="s">
        <v>925</v>
      </c>
      <c r="F1396" s="9">
        <v>30</v>
      </c>
      <c r="G1396" s="9">
        <v>90</v>
      </c>
      <c r="H1396" s="9" t="s">
        <v>868</v>
      </c>
      <c r="I1396" s="9">
        <v>24</v>
      </c>
      <c r="J1396" s="9">
        <v>60</v>
      </c>
      <c r="K1396" s="9" t="s">
        <v>877</v>
      </c>
      <c r="L1396" s="27">
        <v>0.11236500000000001</v>
      </c>
      <c r="M1396" s="28" t="s">
        <v>3203</v>
      </c>
      <c r="N1396" s="17">
        <v>20.830193999999999</v>
      </c>
      <c r="O1396" s="1"/>
      <c r="P1396" s="38">
        <f t="shared" si="127"/>
        <v>0</v>
      </c>
      <c r="S1396" s="24" t="str">
        <f t="shared" si="130"/>
        <v>-</v>
      </c>
      <c r="T1396" s="24" t="str">
        <f t="shared" si="128"/>
        <v>-</v>
      </c>
      <c r="U1396" s="25" t="str">
        <f t="shared" si="131"/>
        <v>-</v>
      </c>
      <c r="V1396" s="26" t="str">
        <f t="shared" si="132"/>
        <v>-</v>
      </c>
      <c r="X1396" s="26" t="str">
        <f t="shared" si="129"/>
        <v>-</v>
      </c>
    </row>
    <row r="1397" spans="1:24" x14ac:dyDescent="0.3">
      <c r="A1397" s="37">
        <v>87614029160</v>
      </c>
      <c r="B1397" s="8" t="s">
        <v>1867</v>
      </c>
      <c r="C1397" s="10" t="s">
        <v>2598</v>
      </c>
      <c r="D1397" s="11" t="s">
        <v>883</v>
      </c>
      <c r="E1397" s="11" t="s">
        <v>1015</v>
      </c>
      <c r="F1397" s="9">
        <v>30</v>
      </c>
      <c r="G1397" s="9">
        <v>90</v>
      </c>
      <c r="H1397" s="9" t="s">
        <v>892</v>
      </c>
      <c r="I1397" s="9">
        <v>24</v>
      </c>
      <c r="J1397" s="9">
        <v>60</v>
      </c>
      <c r="K1397" s="9" t="s">
        <v>889</v>
      </c>
      <c r="L1397" s="27">
        <v>6.1289999999999997E-2</v>
      </c>
      <c r="M1397" s="28" t="s">
        <v>3203</v>
      </c>
      <c r="N1397" s="17">
        <v>11.062926000000001</v>
      </c>
      <c r="O1397" s="1"/>
      <c r="P1397" s="38">
        <f t="shared" si="127"/>
        <v>0</v>
      </c>
      <c r="S1397" s="24" t="str">
        <f t="shared" si="130"/>
        <v>-</v>
      </c>
      <c r="T1397" s="24" t="str">
        <f t="shared" si="128"/>
        <v>-</v>
      </c>
      <c r="U1397" s="25" t="str">
        <f t="shared" si="131"/>
        <v>-</v>
      </c>
      <c r="V1397" s="26" t="str">
        <f t="shared" si="132"/>
        <v>-</v>
      </c>
      <c r="X1397" s="26" t="str">
        <f t="shared" si="129"/>
        <v>-</v>
      </c>
    </row>
    <row r="1398" spans="1:24" x14ac:dyDescent="0.3">
      <c r="A1398" s="37">
        <v>87614029412</v>
      </c>
      <c r="B1398" s="8" t="s">
        <v>1869</v>
      </c>
      <c r="C1398" s="10" t="s">
        <v>2600</v>
      </c>
      <c r="D1398" s="11" t="s">
        <v>881</v>
      </c>
      <c r="E1398" s="11" t="s">
        <v>939</v>
      </c>
      <c r="F1398" s="9">
        <v>30</v>
      </c>
      <c r="G1398" s="9">
        <v>90</v>
      </c>
      <c r="H1398" s="9" t="s">
        <v>868</v>
      </c>
      <c r="I1398" s="9">
        <v>36</v>
      </c>
      <c r="J1398" s="9">
        <v>60</v>
      </c>
      <c r="K1398" s="9" t="s">
        <v>889</v>
      </c>
      <c r="L1398" s="27">
        <v>6.9235000000000005E-2</v>
      </c>
      <c r="M1398" s="28" t="s">
        <v>3203</v>
      </c>
      <c r="N1398" s="17">
        <v>6.8105099999999998</v>
      </c>
      <c r="O1398" s="1"/>
      <c r="P1398" s="38">
        <f t="shared" si="127"/>
        <v>0</v>
      </c>
      <c r="S1398" s="24" t="str">
        <f t="shared" si="130"/>
        <v>-</v>
      </c>
      <c r="T1398" s="24" t="str">
        <f t="shared" si="128"/>
        <v>-</v>
      </c>
      <c r="U1398" s="25" t="str">
        <f t="shared" si="131"/>
        <v>-</v>
      </c>
      <c r="V1398" s="26" t="str">
        <f t="shared" si="132"/>
        <v>-</v>
      </c>
      <c r="X1398" s="26" t="str">
        <f t="shared" si="129"/>
        <v>-</v>
      </c>
    </row>
    <row r="1399" spans="1:24" x14ac:dyDescent="0.3">
      <c r="A1399" s="37">
        <v>87614029801</v>
      </c>
      <c r="B1399" s="8" t="s">
        <v>1918</v>
      </c>
      <c r="C1399" s="10" t="s">
        <v>2807</v>
      </c>
      <c r="D1399" s="11" t="s">
        <v>883</v>
      </c>
      <c r="E1399" s="11" t="s">
        <v>944</v>
      </c>
      <c r="F1399" s="9">
        <v>30</v>
      </c>
      <c r="G1399" s="9">
        <v>90</v>
      </c>
      <c r="H1399" s="9" t="s">
        <v>892</v>
      </c>
      <c r="I1399" s="9">
        <v>24</v>
      </c>
      <c r="J1399" s="9">
        <v>30</v>
      </c>
      <c r="K1399" s="9" t="s">
        <v>877</v>
      </c>
      <c r="L1399" s="27">
        <v>6.0155E-2</v>
      </c>
      <c r="M1399" s="28" t="s">
        <v>3203</v>
      </c>
      <c r="N1399" s="17">
        <v>6.0962369999999995</v>
      </c>
      <c r="O1399" s="1"/>
      <c r="P1399" s="38">
        <f t="shared" si="127"/>
        <v>0</v>
      </c>
      <c r="S1399" s="24" t="str">
        <f t="shared" si="130"/>
        <v>-</v>
      </c>
      <c r="T1399" s="24" t="str">
        <f t="shared" si="128"/>
        <v>-</v>
      </c>
      <c r="U1399" s="25" t="str">
        <f t="shared" si="131"/>
        <v>-</v>
      </c>
      <c r="V1399" s="26" t="str">
        <f t="shared" si="132"/>
        <v>-</v>
      </c>
      <c r="X1399" s="26" t="str">
        <f t="shared" si="129"/>
        <v>-</v>
      </c>
    </row>
    <row r="1400" spans="1:24" x14ac:dyDescent="0.3">
      <c r="A1400" s="37">
        <v>87614029849</v>
      </c>
      <c r="B1400" s="8" t="s">
        <v>1875</v>
      </c>
      <c r="C1400" s="10" t="s">
        <v>3201</v>
      </c>
      <c r="D1400" s="11" t="s">
        <v>902</v>
      </c>
      <c r="E1400" s="11" t="s">
        <v>971</v>
      </c>
      <c r="F1400" s="9">
        <v>48</v>
      </c>
      <c r="G1400" s="9">
        <v>192</v>
      </c>
      <c r="H1400" s="9" t="s">
        <v>868</v>
      </c>
      <c r="I1400" s="9">
        <v>24</v>
      </c>
      <c r="J1400" s="9">
        <v>30</v>
      </c>
      <c r="K1400" s="9" t="s">
        <v>2903</v>
      </c>
      <c r="L1400" s="27">
        <v>2.8375000000000001E-2</v>
      </c>
      <c r="M1400" s="28" t="s">
        <v>3203</v>
      </c>
      <c r="N1400" s="17">
        <v>12.973191</v>
      </c>
      <c r="O1400" s="1"/>
      <c r="P1400" s="38">
        <f t="shared" si="127"/>
        <v>0</v>
      </c>
      <c r="S1400" s="24" t="str">
        <f t="shared" si="130"/>
        <v>-</v>
      </c>
      <c r="T1400" s="24" t="str">
        <f t="shared" si="128"/>
        <v>-</v>
      </c>
      <c r="U1400" s="25" t="str">
        <f t="shared" si="131"/>
        <v>-</v>
      </c>
      <c r="V1400" s="26" t="str">
        <f t="shared" si="132"/>
        <v>-</v>
      </c>
      <c r="X1400" s="26" t="str">
        <f t="shared" si="129"/>
        <v>-</v>
      </c>
    </row>
    <row r="1401" spans="1:24" x14ac:dyDescent="0.3">
      <c r="A1401" s="37">
        <v>87614110028</v>
      </c>
      <c r="B1401" s="8" t="s">
        <v>37</v>
      </c>
      <c r="C1401" s="10" t="s">
        <v>38</v>
      </c>
      <c r="D1401" s="11" t="s">
        <v>879</v>
      </c>
      <c r="E1401" s="11" t="s">
        <v>922</v>
      </c>
      <c r="F1401" s="9">
        <v>12</v>
      </c>
      <c r="G1401" s="9">
        <v>24</v>
      </c>
      <c r="H1401" s="9" t="s">
        <v>868</v>
      </c>
      <c r="I1401" s="9">
        <v>36</v>
      </c>
      <c r="J1401" s="9">
        <v>1</v>
      </c>
      <c r="K1401" s="9" t="s">
        <v>880</v>
      </c>
      <c r="L1401" s="27">
        <v>0.46194499999999999</v>
      </c>
      <c r="M1401" s="28" t="s">
        <v>3203</v>
      </c>
      <c r="N1401" s="17">
        <v>19.43487</v>
      </c>
      <c r="O1401" s="1"/>
      <c r="P1401" s="38">
        <f t="shared" si="127"/>
        <v>0</v>
      </c>
      <c r="S1401" s="24" t="str">
        <f t="shared" si="130"/>
        <v>-</v>
      </c>
      <c r="T1401" s="24" t="str">
        <f t="shared" si="128"/>
        <v>-</v>
      </c>
      <c r="U1401" s="25" t="str">
        <f t="shared" si="131"/>
        <v>-</v>
      </c>
      <c r="V1401" s="26" t="str">
        <f t="shared" si="132"/>
        <v>-</v>
      </c>
      <c r="X1401" s="26" t="str">
        <f t="shared" si="129"/>
        <v>-</v>
      </c>
    </row>
    <row r="1402" spans="1:24" x14ac:dyDescent="0.3">
      <c r="A1402" s="37">
        <v>87614114156</v>
      </c>
      <c r="B1402" s="8" t="s">
        <v>1544</v>
      </c>
      <c r="C1402" s="10" t="s">
        <v>2305</v>
      </c>
      <c r="D1402" s="11" t="s">
        <v>888</v>
      </c>
      <c r="E1402" s="11" t="s">
        <v>1082</v>
      </c>
      <c r="F1402" s="9">
        <v>30</v>
      </c>
      <c r="G1402" s="9">
        <v>90</v>
      </c>
      <c r="H1402" s="9" t="s">
        <v>868</v>
      </c>
      <c r="I1402" s="9">
        <v>36</v>
      </c>
      <c r="J1402" s="9">
        <v>1</v>
      </c>
      <c r="K1402" s="9" t="s">
        <v>880</v>
      </c>
      <c r="L1402" s="27">
        <v>0.27807500000000002</v>
      </c>
      <c r="M1402" s="28" t="s">
        <v>3203</v>
      </c>
      <c r="N1402" s="17">
        <v>22.607571</v>
      </c>
      <c r="O1402" s="1"/>
      <c r="P1402" s="38">
        <f t="shared" si="127"/>
        <v>0</v>
      </c>
      <c r="S1402" s="24" t="str">
        <f t="shared" si="130"/>
        <v>-</v>
      </c>
      <c r="T1402" s="24" t="str">
        <f t="shared" si="128"/>
        <v>-</v>
      </c>
      <c r="U1402" s="25" t="str">
        <f t="shared" si="131"/>
        <v>-</v>
      </c>
      <c r="V1402" s="26" t="str">
        <f t="shared" si="132"/>
        <v>-</v>
      </c>
      <c r="X1402" s="26" t="str">
        <f t="shared" si="129"/>
        <v>-</v>
      </c>
    </row>
    <row r="1403" spans="1:24" x14ac:dyDescent="0.3">
      <c r="A1403" s="37">
        <v>87614114781</v>
      </c>
      <c r="B1403" s="8" t="s">
        <v>1555</v>
      </c>
      <c r="C1403" s="10" t="s">
        <v>2316</v>
      </c>
      <c r="D1403" s="11" t="s">
        <v>894</v>
      </c>
      <c r="E1403" s="11" t="s">
        <v>992</v>
      </c>
      <c r="F1403" s="9">
        <v>12</v>
      </c>
      <c r="G1403" s="9">
        <v>12</v>
      </c>
      <c r="H1403" s="9" t="s">
        <v>892</v>
      </c>
      <c r="I1403" s="9">
        <v>60</v>
      </c>
      <c r="J1403" s="9">
        <v>1</v>
      </c>
      <c r="K1403" s="9" t="s">
        <v>887</v>
      </c>
      <c r="L1403" s="27">
        <v>0.141875</v>
      </c>
      <c r="M1403" s="28" t="s">
        <v>3203</v>
      </c>
      <c r="N1403" s="17">
        <v>20.996304000000002</v>
      </c>
      <c r="O1403" s="1"/>
      <c r="P1403" s="38">
        <f t="shared" si="127"/>
        <v>0</v>
      </c>
      <c r="S1403" s="24" t="str">
        <f t="shared" si="130"/>
        <v>-</v>
      </c>
      <c r="T1403" s="24" t="str">
        <f t="shared" si="128"/>
        <v>-</v>
      </c>
      <c r="U1403" s="25" t="str">
        <f t="shared" si="131"/>
        <v>-</v>
      </c>
      <c r="V1403" s="26" t="str">
        <f t="shared" si="132"/>
        <v>-</v>
      </c>
      <c r="X1403" s="26" t="str">
        <f t="shared" si="129"/>
        <v>-</v>
      </c>
    </row>
    <row r="1404" spans="1:24" x14ac:dyDescent="0.3">
      <c r="A1404" s="37">
        <v>87614115092</v>
      </c>
      <c r="B1404" s="8" t="s">
        <v>1560</v>
      </c>
      <c r="C1404" s="10" t="s">
        <v>2321</v>
      </c>
      <c r="D1404" s="11" t="s">
        <v>1116</v>
      </c>
      <c r="E1404" s="11" t="s">
        <v>2828</v>
      </c>
      <c r="F1404" s="9">
        <v>24</v>
      </c>
      <c r="G1404" s="9">
        <v>48</v>
      </c>
      <c r="H1404" s="9" t="s">
        <v>892</v>
      </c>
      <c r="I1404" s="9">
        <v>60</v>
      </c>
      <c r="J1404" s="9">
        <v>1</v>
      </c>
      <c r="K1404" s="9" t="s">
        <v>887</v>
      </c>
      <c r="L1404" s="27">
        <v>0.30645</v>
      </c>
      <c r="M1404" s="28" t="s">
        <v>3203</v>
      </c>
      <c r="N1404" s="17">
        <v>10.846983</v>
      </c>
      <c r="O1404" s="1"/>
      <c r="P1404" s="38">
        <f t="shared" si="127"/>
        <v>0</v>
      </c>
      <c r="S1404" s="24" t="str">
        <f t="shared" si="130"/>
        <v>-</v>
      </c>
      <c r="T1404" s="24" t="str">
        <f t="shared" si="128"/>
        <v>-</v>
      </c>
      <c r="U1404" s="25" t="str">
        <f t="shared" si="131"/>
        <v>-</v>
      </c>
      <c r="V1404" s="26" t="str">
        <f t="shared" si="132"/>
        <v>-</v>
      </c>
      <c r="X1404" s="26" t="str">
        <f t="shared" si="129"/>
        <v>-</v>
      </c>
    </row>
    <row r="1405" spans="1:24" x14ac:dyDescent="0.3">
      <c r="A1405" s="37">
        <v>87614115306</v>
      </c>
      <c r="B1405" s="8" t="s">
        <v>1921</v>
      </c>
      <c r="C1405" s="10" t="s">
        <v>2644</v>
      </c>
      <c r="D1405" s="11" t="s">
        <v>874</v>
      </c>
      <c r="E1405" s="11" t="s">
        <v>925</v>
      </c>
      <c r="F1405" s="9">
        <v>12</v>
      </c>
      <c r="G1405" s="9">
        <v>120</v>
      </c>
      <c r="H1405" s="9" t="s">
        <v>868</v>
      </c>
      <c r="I1405" s="9">
        <v>24</v>
      </c>
      <c r="J1405" s="9">
        <v>1</v>
      </c>
      <c r="K1405" s="9" t="s">
        <v>887</v>
      </c>
      <c r="L1405" s="27">
        <v>0.103285</v>
      </c>
      <c r="M1405" s="28" t="s">
        <v>3203</v>
      </c>
      <c r="N1405" s="17">
        <v>10.049655</v>
      </c>
      <c r="O1405" s="1"/>
      <c r="P1405" s="38">
        <f t="shared" si="127"/>
        <v>0</v>
      </c>
      <c r="S1405" s="24" t="str">
        <f t="shared" si="130"/>
        <v>-</v>
      </c>
      <c r="T1405" s="24" t="str">
        <f t="shared" si="128"/>
        <v>-</v>
      </c>
      <c r="U1405" s="25" t="str">
        <f t="shared" si="131"/>
        <v>-</v>
      </c>
      <c r="V1405" s="26" t="str">
        <f t="shared" si="132"/>
        <v>-</v>
      </c>
      <c r="X1405" s="26" t="str">
        <f t="shared" si="129"/>
        <v>-</v>
      </c>
    </row>
    <row r="1406" spans="1:24" x14ac:dyDescent="0.3">
      <c r="A1406" s="37">
        <v>87614116242</v>
      </c>
      <c r="B1406" s="8" t="s">
        <v>1577</v>
      </c>
      <c r="C1406" s="10" t="s">
        <v>2338</v>
      </c>
      <c r="D1406" s="11" t="s">
        <v>1116</v>
      </c>
      <c r="E1406" s="11" t="s">
        <v>1120</v>
      </c>
      <c r="F1406" s="9">
        <v>50</v>
      </c>
      <c r="G1406" s="9">
        <v>250</v>
      </c>
      <c r="H1406" s="9" t="s">
        <v>892</v>
      </c>
      <c r="I1406" s="9">
        <v>60</v>
      </c>
      <c r="J1406" s="9">
        <v>1</v>
      </c>
      <c r="K1406" s="9" t="s">
        <v>2905</v>
      </c>
      <c r="L1406" s="27">
        <v>1.1350000000000001E-2</v>
      </c>
      <c r="M1406" s="28" t="s">
        <v>3203</v>
      </c>
      <c r="N1406" s="17">
        <v>3.3720329999999996</v>
      </c>
      <c r="O1406" s="1"/>
      <c r="P1406" s="38">
        <f t="shared" si="127"/>
        <v>0</v>
      </c>
      <c r="S1406" s="24" t="str">
        <f t="shared" si="130"/>
        <v>-</v>
      </c>
      <c r="T1406" s="24" t="str">
        <f t="shared" si="128"/>
        <v>-</v>
      </c>
      <c r="U1406" s="25" t="str">
        <f t="shared" si="131"/>
        <v>-</v>
      </c>
      <c r="V1406" s="26" t="str">
        <f t="shared" si="132"/>
        <v>-</v>
      </c>
      <c r="X1406" s="26" t="str">
        <f t="shared" si="129"/>
        <v>-</v>
      </c>
    </row>
    <row r="1407" spans="1:24" x14ac:dyDescent="0.3">
      <c r="A1407" s="37">
        <v>87614116303</v>
      </c>
      <c r="B1407" s="8" t="s">
        <v>1579</v>
      </c>
      <c r="C1407" s="10" t="s">
        <v>2340</v>
      </c>
      <c r="D1407" s="11" t="s">
        <v>878</v>
      </c>
      <c r="E1407" s="11" t="s">
        <v>1001</v>
      </c>
      <c r="F1407" s="9">
        <v>30</v>
      </c>
      <c r="G1407" s="9">
        <v>90</v>
      </c>
      <c r="H1407" s="9" t="s">
        <v>868</v>
      </c>
      <c r="I1407" s="9">
        <v>36</v>
      </c>
      <c r="J1407" s="9">
        <v>60</v>
      </c>
      <c r="K1407" s="9" t="s">
        <v>873</v>
      </c>
      <c r="L1407" s="27">
        <v>7.2639999999999996E-2</v>
      </c>
      <c r="M1407" s="28" t="s">
        <v>3203</v>
      </c>
      <c r="N1407" s="17">
        <v>6.827121</v>
      </c>
      <c r="O1407" s="1"/>
      <c r="P1407" s="38">
        <f t="shared" si="127"/>
        <v>0</v>
      </c>
      <c r="S1407" s="24" t="str">
        <f t="shared" si="130"/>
        <v>-</v>
      </c>
      <c r="T1407" s="24" t="str">
        <f t="shared" si="128"/>
        <v>-</v>
      </c>
      <c r="U1407" s="25" t="str">
        <f t="shared" si="131"/>
        <v>-</v>
      </c>
      <c r="V1407" s="26" t="str">
        <f t="shared" si="132"/>
        <v>-</v>
      </c>
      <c r="X1407" s="26" t="str">
        <f t="shared" si="129"/>
        <v>-</v>
      </c>
    </row>
    <row r="1408" spans="1:24" x14ac:dyDescent="0.3">
      <c r="A1408" s="37">
        <v>87614116792</v>
      </c>
      <c r="B1408" s="8" t="s">
        <v>1586</v>
      </c>
      <c r="C1408" s="10" t="s">
        <v>2347</v>
      </c>
      <c r="D1408" s="11" t="s">
        <v>2841</v>
      </c>
      <c r="E1408" s="11" t="s">
        <v>2842</v>
      </c>
      <c r="F1408" s="9">
        <v>12</v>
      </c>
      <c r="G1408" s="9">
        <v>48</v>
      </c>
      <c r="H1408" s="9" t="s">
        <v>892</v>
      </c>
      <c r="I1408" s="9">
        <v>60</v>
      </c>
      <c r="J1408" s="9">
        <v>1</v>
      </c>
      <c r="K1408" s="9" t="s">
        <v>880</v>
      </c>
      <c r="L1408" s="27">
        <v>0.11236500000000001</v>
      </c>
      <c r="M1408" s="28" t="s">
        <v>3203</v>
      </c>
      <c r="N1408" s="17">
        <v>11.910087000000001</v>
      </c>
      <c r="O1408" s="1"/>
      <c r="P1408" s="38">
        <f t="shared" si="127"/>
        <v>0</v>
      </c>
      <c r="S1408" s="24" t="str">
        <f t="shared" si="130"/>
        <v>-</v>
      </c>
      <c r="T1408" s="24" t="str">
        <f t="shared" si="128"/>
        <v>-</v>
      </c>
      <c r="U1408" s="25" t="str">
        <f t="shared" si="131"/>
        <v>-</v>
      </c>
      <c r="V1408" s="26" t="str">
        <f t="shared" si="132"/>
        <v>-</v>
      </c>
      <c r="X1408" s="26" t="str">
        <f t="shared" si="129"/>
        <v>-</v>
      </c>
    </row>
    <row r="1409" spans="1:24" x14ac:dyDescent="0.3">
      <c r="A1409" s="37">
        <v>87614118468</v>
      </c>
      <c r="B1409" s="8" t="s">
        <v>304</v>
      </c>
      <c r="C1409" s="10" t="s">
        <v>2696</v>
      </c>
      <c r="D1409" s="11" t="s">
        <v>882</v>
      </c>
      <c r="E1409" s="11" t="s">
        <v>948</v>
      </c>
      <c r="F1409" s="9">
        <v>36</v>
      </c>
      <c r="G1409" s="9">
        <v>72</v>
      </c>
      <c r="H1409" s="9" t="s">
        <v>868</v>
      </c>
      <c r="I1409" s="9">
        <v>36</v>
      </c>
      <c r="J1409" s="9">
        <v>60</v>
      </c>
      <c r="K1409" s="9" t="s">
        <v>901</v>
      </c>
      <c r="L1409" s="27">
        <v>0.28828999999999999</v>
      </c>
      <c r="M1409" s="28" t="s">
        <v>3203</v>
      </c>
      <c r="N1409" s="17">
        <v>12.109419000000001</v>
      </c>
      <c r="O1409" s="1"/>
      <c r="P1409" s="38">
        <f t="shared" si="127"/>
        <v>0</v>
      </c>
      <c r="S1409" s="24" t="str">
        <f t="shared" si="130"/>
        <v>-</v>
      </c>
      <c r="T1409" s="24" t="str">
        <f t="shared" si="128"/>
        <v>-</v>
      </c>
      <c r="U1409" s="25" t="str">
        <f t="shared" si="131"/>
        <v>-</v>
      </c>
      <c r="V1409" s="26" t="str">
        <f t="shared" si="132"/>
        <v>-</v>
      </c>
      <c r="X1409" s="26" t="str">
        <f t="shared" si="129"/>
        <v>-</v>
      </c>
    </row>
    <row r="1410" spans="1:24" x14ac:dyDescent="0.3">
      <c r="A1410" s="37">
        <v>87614118475</v>
      </c>
      <c r="B1410" s="8" t="s">
        <v>305</v>
      </c>
      <c r="C1410" s="10" t="s">
        <v>2697</v>
      </c>
      <c r="D1410" s="11" t="s">
        <v>882</v>
      </c>
      <c r="E1410" s="11" t="s">
        <v>932</v>
      </c>
      <c r="F1410" s="9">
        <v>36</v>
      </c>
      <c r="G1410" s="9">
        <v>36</v>
      </c>
      <c r="H1410" s="9" t="s">
        <v>868</v>
      </c>
      <c r="I1410" s="9">
        <v>24</v>
      </c>
      <c r="J1410" s="9">
        <v>60</v>
      </c>
      <c r="K1410" s="9" t="s">
        <v>901</v>
      </c>
      <c r="L1410" s="27">
        <v>0.34504000000000001</v>
      </c>
      <c r="M1410" s="28" t="s">
        <v>3203</v>
      </c>
      <c r="N1410" s="17">
        <v>15.564507000000001</v>
      </c>
      <c r="O1410" s="1"/>
      <c r="P1410" s="38">
        <f t="shared" si="127"/>
        <v>0</v>
      </c>
      <c r="S1410" s="24" t="str">
        <f t="shared" si="130"/>
        <v>-</v>
      </c>
      <c r="T1410" s="24" t="str">
        <f t="shared" si="128"/>
        <v>-</v>
      </c>
      <c r="U1410" s="25" t="str">
        <f t="shared" si="131"/>
        <v>-</v>
      </c>
      <c r="V1410" s="26" t="str">
        <f t="shared" si="132"/>
        <v>-</v>
      </c>
      <c r="X1410" s="26" t="str">
        <f t="shared" si="129"/>
        <v>-</v>
      </c>
    </row>
    <row r="1411" spans="1:24" x14ac:dyDescent="0.3">
      <c r="A1411" s="37">
        <v>87614012650</v>
      </c>
      <c r="B1411" s="8" t="s">
        <v>1615</v>
      </c>
      <c r="C1411" s="10" t="s">
        <v>2377</v>
      </c>
      <c r="D1411" s="11" t="s">
        <v>894</v>
      </c>
      <c r="E1411" s="11" t="s">
        <v>2833</v>
      </c>
      <c r="F1411" s="9">
        <v>24</v>
      </c>
      <c r="G1411" s="9">
        <v>96</v>
      </c>
      <c r="H1411" s="9" t="s">
        <v>892</v>
      </c>
      <c r="I1411" s="9">
        <v>60</v>
      </c>
      <c r="J1411" s="9">
        <v>1</v>
      </c>
      <c r="K1411" s="9" t="s">
        <v>903</v>
      </c>
      <c r="L1411" s="27">
        <v>0.31099000000000004</v>
      </c>
      <c r="M1411" s="28" t="s">
        <v>3203</v>
      </c>
      <c r="N1411" s="17">
        <v>10.431708</v>
      </c>
      <c r="O1411" s="1"/>
      <c r="P1411" s="38">
        <f t="shared" ref="P1411:P1433" si="133">O1411*N1411</f>
        <v>0</v>
      </c>
      <c r="S1411" s="24" t="str">
        <f t="shared" si="130"/>
        <v>-</v>
      </c>
      <c r="T1411" s="24" t="str">
        <f t="shared" ref="T1411:T1433" si="134">IF(O1411&gt;0,N1411+L1411*O1411/$U$2*$V$2/O1411,"-")</f>
        <v>-</v>
      </c>
      <c r="U1411" s="25" t="str">
        <f t="shared" si="131"/>
        <v>-</v>
      </c>
      <c r="V1411" s="26" t="str">
        <f t="shared" si="132"/>
        <v>-</v>
      </c>
      <c r="X1411" s="26" t="str">
        <f t="shared" ref="X1411:X1433" si="135">IFERROR(IF(V1411+P1411=0, "-", IF(V1411&gt;0, V1411+P1411, "-")), "-")</f>
        <v>-</v>
      </c>
    </row>
    <row r="1412" spans="1:24" x14ac:dyDescent="0.3">
      <c r="A1412" s="37">
        <v>87614370088</v>
      </c>
      <c r="B1412" s="8" t="s">
        <v>1929</v>
      </c>
      <c r="C1412" s="10" t="s">
        <v>2652</v>
      </c>
      <c r="D1412" s="11" t="s">
        <v>2831</v>
      </c>
      <c r="E1412" s="11" t="s">
        <v>2832</v>
      </c>
      <c r="F1412" s="9">
        <v>24</v>
      </c>
      <c r="G1412" s="9">
        <v>24</v>
      </c>
      <c r="H1412" s="9" t="s">
        <v>892</v>
      </c>
      <c r="I1412" s="9">
        <v>60</v>
      </c>
      <c r="J1412" s="9">
        <v>1</v>
      </c>
      <c r="K1412" s="9" t="s">
        <v>887</v>
      </c>
      <c r="L1412" s="27">
        <v>5.7884999999999999E-2</v>
      </c>
      <c r="M1412" s="28" t="s">
        <v>3203</v>
      </c>
      <c r="N1412" s="17">
        <v>9.5347139999999992</v>
      </c>
      <c r="O1412" s="1"/>
      <c r="P1412" s="38">
        <f t="shared" si="133"/>
        <v>0</v>
      </c>
      <c r="S1412" s="24" t="str">
        <f t="shared" ref="S1412:S1433" si="136">IFERROR(IF(S$2*L1412=0, "-", $S$2*L1412), "-")</f>
        <v>-</v>
      </c>
      <c r="T1412" s="24" t="str">
        <f t="shared" si="134"/>
        <v>-</v>
      </c>
      <c r="U1412" s="25" t="str">
        <f t="shared" ref="U1412:U1433" si="137">IF(O1412&gt;0,O1412*L1412, "-")</f>
        <v>-</v>
      </c>
      <c r="V1412" s="26" t="str">
        <f t="shared" ref="V1412:V1433" si="138">IFERROR(IF($S$2&gt;0, $S$2*U1412, "-"), "-")</f>
        <v>-</v>
      </c>
      <c r="X1412" s="26" t="str">
        <f t="shared" si="135"/>
        <v>-</v>
      </c>
    </row>
    <row r="1413" spans="1:24" x14ac:dyDescent="0.3">
      <c r="A1413" s="37">
        <v>87614241876</v>
      </c>
      <c r="B1413" s="8" t="s">
        <v>1695</v>
      </c>
      <c r="C1413" s="10" t="s">
        <v>2445</v>
      </c>
      <c r="D1413" s="11" t="s">
        <v>2866</v>
      </c>
      <c r="E1413" s="11" t="s">
        <v>2879</v>
      </c>
      <c r="F1413" s="9">
        <v>12</v>
      </c>
      <c r="G1413" s="9">
        <v>12</v>
      </c>
      <c r="H1413" s="9" t="s">
        <v>892</v>
      </c>
      <c r="I1413" s="9">
        <v>24</v>
      </c>
      <c r="J1413" s="9">
        <v>1</v>
      </c>
      <c r="K1413" s="9" t="s">
        <v>2912</v>
      </c>
      <c r="L1413" s="27">
        <v>0.7854199999999999</v>
      </c>
      <c r="M1413" s="28" t="s">
        <v>3203</v>
      </c>
      <c r="N1413" s="17">
        <v>7.8736139999999999</v>
      </c>
      <c r="O1413" s="1"/>
      <c r="P1413" s="38">
        <f t="shared" si="133"/>
        <v>0</v>
      </c>
      <c r="S1413" s="24" t="str">
        <f t="shared" si="136"/>
        <v>-</v>
      </c>
      <c r="T1413" s="24" t="str">
        <f t="shared" si="134"/>
        <v>-</v>
      </c>
      <c r="U1413" s="25" t="str">
        <f t="shared" si="137"/>
        <v>-</v>
      </c>
      <c r="V1413" s="26" t="str">
        <f t="shared" si="138"/>
        <v>-</v>
      </c>
      <c r="X1413" s="26" t="str">
        <f t="shared" si="135"/>
        <v>-</v>
      </c>
    </row>
    <row r="1414" spans="1:24" x14ac:dyDescent="0.3">
      <c r="A1414" s="37">
        <v>87614142371</v>
      </c>
      <c r="B1414" s="8" t="s">
        <v>1728</v>
      </c>
      <c r="C1414" s="10" t="s">
        <v>2470</v>
      </c>
      <c r="D1414" s="11" t="s">
        <v>882</v>
      </c>
      <c r="E1414" s="11" t="s">
        <v>960</v>
      </c>
      <c r="F1414" s="9">
        <v>30</v>
      </c>
      <c r="G1414" s="9">
        <v>90</v>
      </c>
      <c r="H1414" s="9" t="s">
        <v>892</v>
      </c>
      <c r="I1414" s="9">
        <v>24</v>
      </c>
      <c r="J1414" s="9">
        <v>60</v>
      </c>
      <c r="K1414" s="9" t="s">
        <v>889</v>
      </c>
      <c r="L1414" s="27">
        <v>8.1720000000000001E-2</v>
      </c>
      <c r="M1414" s="28" t="s">
        <v>3203</v>
      </c>
      <c r="N1414" s="17">
        <v>16.810332000000002</v>
      </c>
      <c r="O1414" s="1"/>
      <c r="P1414" s="38">
        <f t="shared" si="133"/>
        <v>0</v>
      </c>
      <c r="S1414" s="24" t="str">
        <f t="shared" si="136"/>
        <v>-</v>
      </c>
      <c r="T1414" s="24" t="str">
        <f t="shared" si="134"/>
        <v>-</v>
      </c>
      <c r="U1414" s="25" t="str">
        <f t="shared" si="137"/>
        <v>-</v>
      </c>
      <c r="V1414" s="26" t="str">
        <f t="shared" si="138"/>
        <v>-</v>
      </c>
      <c r="X1414" s="26" t="str">
        <f t="shared" si="135"/>
        <v>-</v>
      </c>
    </row>
    <row r="1415" spans="1:24" x14ac:dyDescent="0.3">
      <c r="A1415" s="37">
        <v>87614142494</v>
      </c>
      <c r="B1415" s="8" t="s">
        <v>2762</v>
      </c>
      <c r="C1415" s="10" t="s">
        <v>2763</v>
      </c>
      <c r="D1415" s="11" t="s">
        <v>886</v>
      </c>
      <c r="E1415" s="11" t="s">
        <v>1048</v>
      </c>
      <c r="F1415" s="9">
        <v>48</v>
      </c>
      <c r="G1415" s="9">
        <v>192</v>
      </c>
      <c r="H1415" s="9" t="s">
        <v>868</v>
      </c>
      <c r="I1415" s="9">
        <v>24</v>
      </c>
      <c r="J1415" s="9">
        <v>30</v>
      </c>
      <c r="K1415" s="9" t="s">
        <v>889</v>
      </c>
      <c r="L1415" s="27">
        <v>3.5185000000000001E-2</v>
      </c>
      <c r="M1415" s="28" t="s">
        <v>3203</v>
      </c>
      <c r="N1415" s="17">
        <v>49.002450000000003</v>
      </c>
      <c r="O1415" s="1"/>
      <c r="P1415" s="38">
        <f t="shared" si="133"/>
        <v>0</v>
      </c>
      <c r="S1415" s="24" t="str">
        <f t="shared" si="136"/>
        <v>-</v>
      </c>
      <c r="T1415" s="24" t="str">
        <f t="shared" si="134"/>
        <v>-</v>
      </c>
      <c r="U1415" s="25" t="str">
        <f t="shared" si="137"/>
        <v>-</v>
      </c>
      <c r="V1415" s="26" t="str">
        <f t="shared" si="138"/>
        <v>-</v>
      </c>
      <c r="X1415" s="26" t="str">
        <f t="shared" si="135"/>
        <v>-</v>
      </c>
    </row>
    <row r="1416" spans="1:24" x14ac:dyDescent="0.3">
      <c r="A1416" s="37">
        <v>87614180267</v>
      </c>
      <c r="B1416" s="8" t="s">
        <v>1743</v>
      </c>
      <c r="C1416" s="10" t="s">
        <v>2483</v>
      </c>
      <c r="D1416" s="11" t="s">
        <v>866</v>
      </c>
      <c r="E1416" s="11" t="s">
        <v>956</v>
      </c>
      <c r="F1416" s="9">
        <v>30</v>
      </c>
      <c r="G1416" s="9">
        <v>90</v>
      </c>
      <c r="H1416" s="9" t="s">
        <v>868</v>
      </c>
      <c r="I1416" s="9">
        <v>24</v>
      </c>
      <c r="J1416" s="9">
        <v>120</v>
      </c>
      <c r="K1416" s="9" t="s">
        <v>877</v>
      </c>
      <c r="L1416" s="27">
        <v>0.103285</v>
      </c>
      <c r="M1416" s="28" t="s">
        <v>3203</v>
      </c>
      <c r="N1416" s="17">
        <v>24.750389999999999</v>
      </c>
      <c r="O1416" s="1"/>
      <c r="P1416" s="38">
        <f t="shared" si="133"/>
        <v>0</v>
      </c>
      <c r="S1416" s="24" t="str">
        <f t="shared" si="136"/>
        <v>-</v>
      </c>
      <c r="T1416" s="24" t="str">
        <f t="shared" si="134"/>
        <v>-</v>
      </c>
      <c r="U1416" s="25" t="str">
        <f t="shared" si="137"/>
        <v>-</v>
      </c>
      <c r="V1416" s="26" t="str">
        <f t="shared" si="138"/>
        <v>-</v>
      </c>
      <c r="X1416" s="26" t="str">
        <f t="shared" si="135"/>
        <v>-</v>
      </c>
    </row>
    <row r="1417" spans="1:24" x14ac:dyDescent="0.3">
      <c r="A1417" s="37">
        <v>87614430027</v>
      </c>
      <c r="B1417" s="8" t="s">
        <v>1155</v>
      </c>
      <c r="C1417" s="10" t="s">
        <v>1979</v>
      </c>
      <c r="D1417" s="11" t="s">
        <v>897</v>
      </c>
      <c r="E1417" s="11" t="s">
        <v>2884</v>
      </c>
      <c r="F1417" s="9">
        <v>30</v>
      </c>
      <c r="G1417" s="9">
        <v>90</v>
      </c>
      <c r="H1417" s="9" t="s">
        <v>868</v>
      </c>
      <c r="I1417" s="9">
        <v>24</v>
      </c>
      <c r="J1417" s="9">
        <v>60</v>
      </c>
      <c r="K1417" s="9" t="s">
        <v>889</v>
      </c>
      <c r="L1417" s="27">
        <v>8.2854999999999998E-2</v>
      </c>
      <c r="M1417" s="28" t="s">
        <v>3203</v>
      </c>
      <c r="N1417" s="17">
        <v>14.767179</v>
      </c>
      <c r="O1417" s="1"/>
      <c r="P1417" s="38">
        <f t="shared" si="133"/>
        <v>0</v>
      </c>
      <c r="S1417" s="24" t="str">
        <f t="shared" si="136"/>
        <v>-</v>
      </c>
      <c r="T1417" s="24" t="str">
        <f t="shared" si="134"/>
        <v>-</v>
      </c>
      <c r="U1417" s="25" t="str">
        <f t="shared" si="137"/>
        <v>-</v>
      </c>
      <c r="V1417" s="26" t="str">
        <f t="shared" si="138"/>
        <v>-</v>
      </c>
      <c r="X1417" s="26" t="str">
        <f t="shared" si="135"/>
        <v>-</v>
      </c>
    </row>
    <row r="1418" spans="1:24" x14ac:dyDescent="0.3">
      <c r="A1418" s="37">
        <v>87614210254</v>
      </c>
      <c r="B1418" s="8" t="s">
        <v>1954</v>
      </c>
      <c r="C1418" s="10" t="s">
        <v>2675</v>
      </c>
      <c r="D1418" s="11" t="s">
        <v>883</v>
      </c>
      <c r="E1418" s="11" t="s">
        <v>2839</v>
      </c>
      <c r="F1418" s="9">
        <v>16</v>
      </c>
      <c r="G1418" s="9">
        <v>16</v>
      </c>
      <c r="H1418" s="9" t="s">
        <v>892</v>
      </c>
      <c r="I1418" s="9">
        <v>24</v>
      </c>
      <c r="J1418" s="9">
        <v>1</v>
      </c>
      <c r="K1418" s="9" t="s">
        <v>880</v>
      </c>
      <c r="L1418" s="27">
        <v>0.57998499999999997</v>
      </c>
      <c r="M1418" s="28" t="s">
        <v>3203</v>
      </c>
      <c r="N1418" s="17">
        <v>58.719885000000005</v>
      </c>
      <c r="O1418" s="1"/>
      <c r="P1418" s="38">
        <f t="shared" si="133"/>
        <v>0</v>
      </c>
      <c r="S1418" s="24" t="str">
        <f t="shared" si="136"/>
        <v>-</v>
      </c>
      <c r="T1418" s="24" t="str">
        <f t="shared" si="134"/>
        <v>-</v>
      </c>
      <c r="U1418" s="25" t="str">
        <f t="shared" si="137"/>
        <v>-</v>
      </c>
      <c r="V1418" s="26" t="str">
        <f t="shared" si="138"/>
        <v>-</v>
      </c>
      <c r="X1418" s="26" t="str">
        <f t="shared" si="135"/>
        <v>-</v>
      </c>
    </row>
    <row r="1419" spans="1:24" x14ac:dyDescent="0.3">
      <c r="A1419" s="37">
        <v>87614210391</v>
      </c>
      <c r="B1419" s="8" t="s">
        <v>1778</v>
      </c>
      <c r="C1419" s="10" t="s">
        <v>2515</v>
      </c>
      <c r="D1419" s="11" t="s">
        <v>891</v>
      </c>
      <c r="E1419" s="11" t="s">
        <v>968</v>
      </c>
      <c r="F1419" s="9">
        <v>30</v>
      </c>
      <c r="G1419" s="9">
        <v>90</v>
      </c>
      <c r="H1419" s="9" t="s">
        <v>868</v>
      </c>
      <c r="I1419" s="9">
        <v>24</v>
      </c>
      <c r="J1419" s="9">
        <v>90</v>
      </c>
      <c r="K1419" s="9" t="s">
        <v>889</v>
      </c>
      <c r="L1419" s="27">
        <v>9.6475000000000005E-2</v>
      </c>
      <c r="M1419" s="28" t="s">
        <v>3203</v>
      </c>
      <c r="N1419" s="17">
        <v>27.624092999999998</v>
      </c>
      <c r="O1419" s="1"/>
      <c r="P1419" s="38">
        <f t="shared" si="133"/>
        <v>0</v>
      </c>
      <c r="S1419" s="24" t="str">
        <f t="shared" si="136"/>
        <v>-</v>
      </c>
      <c r="T1419" s="24" t="str">
        <f t="shared" si="134"/>
        <v>-</v>
      </c>
      <c r="U1419" s="25" t="str">
        <f t="shared" si="137"/>
        <v>-</v>
      </c>
      <c r="V1419" s="26" t="str">
        <f t="shared" si="138"/>
        <v>-</v>
      </c>
      <c r="X1419" s="26" t="str">
        <f t="shared" si="135"/>
        <v>-</v>
      </c>
    </row>
    <row r="1420" spans="1:24" x14ac:dyDescent="0.3">
      <c r="A1420" s="37">
        <v>87614210636</v>
      </c>
      <c r="B1420" s="8" t="s">
        <v>1191</v>
      </c>
      <c r="C1420" s="10" t="s">
        <v>2009</v>
      </c>
      <c r="D1420" s="11" t="s">
        <v>883</v>
      </c>
      <c r="E1420" s="11" t="s">
        <v>2839</v>
      </c>
      <c r="F1420" s="9">
        <v>6</v>
      </c>
      <c r="G1420" s="9">
        <v>6</v>
      </c>
      <c r="H1420" s="9" t="s">
        <v>868</v>
      </c>
      <c r="I1420" s="9">
        <v>24</v>
      </c>
      <c r="J1420" s="9">
        <v>1</v>
      </c>
      <c r="K1420" s="9" t="s">
        <v>880</v>
      </c>
      <c r="L1420" s="27">
        <v>0.69462000000000002</v>
      </c>
      <c r="M1420" s="28" t="s">
        <v>3203</v>
      </c>
      <c r="N1420" s="17">
        <v>26.461323</v>
      </c>
      <c r="O1420" s="1"/>
      <c r="P1420" s="38">
        <f t="shared" si="133"/>
        <v>0</v>
      </c>
      <c r="S1420" s="24" t="str">
        <f t="shared" si="136"/>
        <v>-</v>
      </c>
      <c r="T1420" s="24" t="str">
        <f t="shared" si="134"/>
        <v>-</v>
      </c>
      <c r="U1420" s="25" t="str">
        <f t="shared" si="137"/>
        <v>-</v>
      </c>
      <c r="V1420" s="26" t="str">
        <f t="shared" si="138"/>
        <v>-</v>
      </c>
      <c r="X1420" s="26" t="str">
        <f t="shared" si="135"/>
        <v>-</v>
      </c>
    </row>
    <row r="1421" spans="1:24" x14ac:dyDescent="0.3">
      <c r="A1421" s="37">
        <v>87614210681</v>
      </c>
      <c r="B1421" s="8" t="s">
        <v>1154</v>
      </c>
      <c r="C1421" s="10" t="s">
        <v>1978</v>
      </c>
      <c r="D1421" s="11" t="s">
        <v>883</v>
      </c>
      <c r="E1421" s="11" t="s">
        <v>2839</v>
      </c>
      <c r="F1421" s="9">
        <v>6</v>
      </c>
      <c r="G1421" s="9">
        <v>6</v>
      </c>
      <c r="H1421" s="9" t="s">
        <v>868</v>
      </c>
      <c r="I1421" s="9">
        <v>12</v>
      </c>
      <c r="J1421" s="9">
        <v>1</v>
      </c>
      <c r="K1421" s="9" t="s">
        <v>880</v>
      </c>
      <c r="L1421" s="27">
        <v>0.7820149999999999</v>
      </c>
      <c r="M1421" s="28" t="s">
        <v>3203</v>
      </c>
      <c r="N1421" s="17">
        <v>42.025829999999999</v>
      </c>
      <c r="O1421" s="1"/>
      <c r="P1421" s="38">
        <f t="shared" si="133"/>
        <v>0</v>
      </c>
      <c r="S1421" s="24" t="str">
        <f t="shared" si="136"/>
        <v>-</v>
      </c>
      <c r="T1421" s="24" t="str">
        <f t="shared" si="134"/>
        <v>-</v>
      </c>
      <c r="U1421" s="25" t="str">
        <f t="shared" si="137"/>
        <v>-</v>
      </c>
      <c r="V1421" s="26" t="str">
        <f t="shared" si="138"/>
        <v>-</v>
      </c>
      <c r="X1421" s="26" t="str">
        <f t="shared" si="135"/>
        <v>-</v>
      </c>
    </row>
    <row r="1422" spans="1:24" x14ac:dyDescent="0.3">
      <c r="A1422" s="37">
        <v>87614211039</v>
      </c>
      <c r="B1422" s="8" t="s">
        <v>1243</v>
      </c>
      <c r="C1422" s="10" t="s">
        <v>2048</v>
      </c>
      <c r="D1422" s="11" t="s">
        <v>881</v>
      </c>
      <c r="E1422" s="11" t="s">
        <v>939</v>
      </c>
      <c r="F1422" s="9">
        <v>15</v>
      </c>
      <c r="G1422" s="9">
        <v>15</v>
      </c>
      <c r="H1422" s="9" t="s">
        <v>892</v>
      </c>
      <c r="I1422" s="9">
        <v>60</v>
      </c>
      <c r="J1422" s="9">
        <v>1</v>
      </c>
      <c r="K1422" s="9" t="s">
        <v>2915</v>
      </c>
      <c r="L1422" s="27">
        <v>0.94999499999999992</v>
      </c>
      <c r="M1422" s="28" t="s">
        <v>3203</v>
      </c>
      <c r="N1422" s="17">
        <v>20.896637999999999</v>
      </c>
      <c r="O1422" s="1"/>
      <c r="P1422" s="38">
        <f t="shared" si="133"/>
        <v>0</v>
      </c>
      <c r="S1422" s="24" t="str">
        <f t="shared" si="136"/>
        <v>-</v>
      </c>
      <c r="T1422" s="24" t="str">
        <f t="shared" si="134"/>
        <v>-</v>
      </c>
      <c r="U1422" s="25" t="str">
        <f t="shared" si="137"/>
        <v>-</v>
      </c>
      <c r="V1422" s="26" t="str">
        <f t="shared" si="138"/>
        <v>-</v>
      </c>
      <c r="X1422" s="26" t="str">
        <f t="shared" si="135"/>
        <v>-</v>
      </c>
    </row>
    <row r="1423" spans="1:24" x14ac:dyDescent="0.3">
      <c r="A1423" s="37">
        <v>87614211046</v>
      </c>
      <c r="B1423" s="8" t="s">
        <v>2780</v>
      </c>
      <c r="C1423" s="10" t="s">
        <v>2781</v>
      </c>
      <c r="D1423" s="11" t="s">
        <v>878</v>
      </c>
      <c r="E1423" s="11" t="s">
        <v>921</v>
      </c>
      <c r="F1423" s="9">
        <v>30</v>
      </c>
      <c r="G1423" s="9">
        <v>57</v>
      </c>
      <c r="H1423" s="9" t="s">
        <v>868</v>
      </c>
      <c r="I1423" s="9">
        <v>24</v>
      </c>
      <c r="J1423" s="9">
        <v>60</v>
      </c>
      <c r="K1423" s="9" t="s">
        <v>873</v>
      </c>
      <c r="L1423" s="27">
        <v>9.4205000000000011E-2</v>
      </c>
      <c r="M1423" s="28" t="s">
        <v>3203</v>
      </c>
      <c r="N1423" s="17">
        <v>21.511244999999999</v>
      </c>
      <c r="O1423" s="1"/>
      <c r="P1423" s="38">
        <f t="shared" si="133"/>
        <v>0</v>
      </c>
      <c r="S1423" s="24" t="str">
        <f t="shared" si="136"/>
        <v>-</v>
      </c>
      <c r="T1423" s="24" t="str">
        <f t="shared" si="134"/>
        <v>-</v>
      </c>
      <c r="U1423" s="25" t="str">
        <f t="shared" si="137"/>
        <v>-</v>
      </c>
      <c r="V1423" s="26" t="str">
        <f t="shared" si="138"/>
        <v>-</v>
      </c>
      <c r="X1423" s="26" t="str">
        <f t="shared" si="135"/>
        <v>-</v>
      </c>
    </row>
    <row r="1424" spans="1:24" x14ac:dyDescent="0.3">
      <c r="A1424" s="37">
        <v>87614021201</v>
      </c>
      <c r="B1424" s="8" t="s">
        <v>1791</v>
      </c>
      <c r="C1424" s="10" t="s">
        <v>2527</v>
      </c>
      <c r="D1424" s="11" t="s">
        <v>872</v>
      </c>
      <c r="E1424" s="11" t="s">
        <v>915</v>
      </c>
      <c r="F1424" s="9">
        <v>30</v>
      </c>
      <c r="G1424" s="9">
        <v>90</v>
      </c>
      <c r="H1424" s="9" t="s">
        <v>868</v>
      </c>
      <c r="I1424" s="9">
        <v>24</v>
      </c>
      <c r="J1424" s="9">
        <v>90</v>
      </c>
      <c r="K1424" s="9" t="s">
        <v>877</v>
      </c>
      <c r="L1424" s="27">
        <v>9.6475000000000005E-2</v>
      </c>
      <c r="M1424" s="28" t="s">
        <v>3203</v>
      </c>
      <c r="N1424" s="17">
        <v>8.9699400000000011</v>
      </c>
      <c r="O1424" s="1"/>
      <c r="P1424" s="38">
        <f t="shared" si="133"/>
        <v>0</v>
      </c>
      <c r="S1424" s="24" t="str">
        <f t="shared" si="136"/>
        <v>-</v>
      </c>
      <c r="T1424" s="24" t="str">
        <f t="shared" si="134"/>
        <v>-</v>
      </c>
      <c r="U1424" s="25" t="str">
        <f t="shared" si="137"/>
        <v>-</v>
      </c>
      <c r="V1424" s="26" t="str">
        <f t="shared" si="138"/>
        <v>-</v>
      </c>
      <c r="X1424" s="26" t="str">
        <f t="shared" si="135"/>
        <v>-</v>
      </c>
    </row>
    <row r="1425" spans="1:24" x14ac:dyDescent="0.3">
      <c r="A1425" s="37">
        <v>87614024844</v>
      </c>
      <c r="B1425" s="8" t="s">
        <v>1820</v>
      </c>
      <c r="C1425" s="10" t="s">
        <v>2555</v>
      </c>
      <c r="D1425" s="11" t="s">
        <v>2829</v>
      </c>
      <c r="E1425" s="11" t="s">
        <v>2830</v>
      </c>
      <c r="F1425" s="9">
        <v>24</v>
      </c>
      <c r="G1425" s="9">
        <v>24</v>
      </c>
      <c r="H1425" s="9" t="s">
        <v>868</v>
      </c>
      <c r="I1425" s="9">
        <v>60</v>
      </c>
      <c r="J1425" s="9">
        <v>1</v>
      </c>
      <c r="K1425" s="9" t="s">
        <v>887</v>
      </c>
      <c r="L1425" s="27">
        <v>0.31212500000000004</v>
      </c>
      <c r="M1425" s="28" t="s">
        <v>3203</v>
      </c>
      <c r="N1425" s="17">
        <v>8.3055000000000003</v>
      </c>
      <c r="O1425" s="1"/>
      <c r="P1425" s="38">
        <f t="shared" si="133"/>
        <v>0</v>
      </c>
      <c r="S1425" s="24" t="str">
        <f t="shared" si="136"/>
        <v>-</v>
      </c>
      <c r="T1425" s="24" t="str">
        <f t="shared" si="134"/>
        <v>-</v>
      </c>
      <c r="U1425" s="25" t="str">
        <f t="shared" si="137"/>
        <v>-</v>
      </c>
      <c r="V1425" s="26" t="str">
        <f t="shared" si="138"/>
        <v>-</v>
      </c>
      <c r="X1425" s="26" t="str">
        <f t="shared" si="135"/>
        <v>-</v>
      </c>
    </row>
    <row r="1426" spans="1:24" x14ac:dyDescent="0.3">
      <c r="A1426" s="37">
        <v>87614027470</v>
      </c>
      <c r="B1426" s="8" t="s">
        <v>1837</v>
      </c>
      <c r="C1426" s="10" t="s">
        <v>2572</v>
      </c>
      <c r="D1426" s="11" t="s">
        <v>1116</v>
      </c>
      <c r="E1426" s="11" t="s">
        <v>2895</v>
      </c>
      <c r="F1426" s="9">
        <v>24</v>
      </c>
      <c r="G1426" s="9">
        <v>24</v>
      </c>
      <c r="H1426" s="9" t="s">
        <v>892</v>
      </c>
      <c r="I1426" s="9">
        <v>60</v>
      </c>
      <c r="J1426" s="9">
        <v>1</v>
      </c>
      <c r="K1426" s="9" t="s">
        <v>887</v>
      </c>
      <c r="L1426" s="27">
        <v>0.31439500000000004</v>
      </c>
      <c r="M1426" s="28" t="s">
        <v>3203</v>
      </c>
      <c r="N1426" s="17">
        <v>9.8503229999999995</v>
      </c>
      <c r="O1426" s="1"/>
      <c r="P1426" s="38">
        <f t="shared" si="133"/>
        <v>0</v>
      </c>
      <c r="S1426" s="24" t="str">
        <f t="shared" si="136"/>
        <v>-</v>
      </c>
      <c r="T1426" s="24" t="str">
        <f t="shared" si="134"/>
        <v>-</v>
      </c>
      <c r="U1426" s="25" t="str">
        <f t="shared" si="137"/>
        <v>-</v>
      </c>
      <c r="V1426" s="26" t="str">
        <f t="shared" si="138"/>
        <v>-</v>
      </c>
      <c r="X1426" s="26" t="str">
        <f t="shared" si="135"/>
        <v>-</v>
      </c>
    </row>
    <row r="1427" spans="1:24" x14ac:dyDescent="0.3">
      <c r="A1427" s="37">
        <v>87614027494</v>
      </c>
      <c r="B1427" s="8" t="s">
        <v>1839</v>
      </c>
      <c r="C1427" s="10" t="s">
        <v>2574</v>
      </c>
      <c r="D1427" s="11" t="s">
        <v>1116</v>
      </c>
      <c r="E1427" s="11" t="s">
        <v>2828</v>
      </c>
      <c r="F1427" s="9">
        <v>24</v>
      </c>
      <c r="G1427" s="9">
        <v>24</v>
      </c>
      <c r="H1427" s="9" t="s">
        <v>892</v>
      </c>
      <c r="I1427" s="9">
        <v>60</v>
      </c>
      <c r="J1427" s="9">
        <v>1</v>
      </c>
      <c r="K1427" s="9" t="s">
        <v>887</v>
      </c>
      <c r="L1427" s="27">
        <v>0.31326000000000004</v>
      </c>
      <c r="M1427" s="28" t="s">
        <v>3203</v>
      </c>
      <c r="N1427" s="17">
        <v>10.547985000000001</v>
      </c>
      <c r="O1427" s="1"/>
      <c r="P1427" s="38">
        <f t="shared" si="133"/>
        <v>0</v>
      </c>
      <c r="S1427" s="24" t="str">
        <f t="shared" si="136"/>
        <v>-</v>
      </c>
      <c r="T1427" s="24" t="str">
        <f t="shared" si="134"/>
        <v>-</v>
      </c>
      <c r="U1427" s="25" t="str">
        <f t="shared" si="137"/>
        <v>-</v>
      </c>
      <c r="V1427" s="26" t="str">
        <f t="shared" si="138"/>
        <v>-</v>
      </c>
      <c r="X1427" s="26" t="str">
        <f t="shared" si="135"/>
        <v>-</v>
      </c>
    </row>
    <row r="1428" spans="1:24" x14ac:dyDescent="0.3">
      <c r="A1428" s="37">
        <v>87614027524</v>
      </c>
      <c r="B1428" s="8" t="s">
        <v>1841</v>
      </c>
      <c r="C1428" s="10" t="s">
        <v>2576</v>
      </c>
      <c r="D1428" s="11" t="s">
        <v>1116</v>
      </c>
      <c r="E1428" s="11" t="s">
        <v>2828</v>
      </c>
      <c r="F1428" s="9">
        <v>24</v>
      </c>
      <c r="G1428" s="9">
        <v>24</v>
      </c>
      <c r="H1428" s="9" t="s">
        <v>892</v>
      </c>
      <c r="I1428" s="9">
        <v>60</v>
      </c>
      <c r="J1428" s="9">
        <v>1</v>
      </c>
      <c r="K1428" s="9" t="s">
        <v>2917</v>
      </c>
      <c r="L1428" s="27">
        <v>0.32233999999999996</v>
      </c>
      <c r="M1428" s="28" t="s">
        <v>3203</v>
      </c>
      <c r="N1428" s="17">
        <v>11.594478000000001</v>
      </c>
      <c r="O1428" s="1"/>
      <c r="P1428" s="38">
        <f t="shared" si="133"/>
        <v>0</v>
      </c>
      <c r="S1428" s="24" t="str">
        <f t="shared" si="136"/>
        <v>-</v>
      </c>
      <c r="T1428" s="24" t="str">
        <f t="shared" si="134"/>
        <v>-</v>
      </c>
      <c r="U1428" s="25" t="str">
        <f t="shared" si="137"/>
        <v>-</v>
      </c>
      <c r="V1428" s="26" t="str">
        <f t="shared" si="138"/>
        <v>-</v>
      </c>
      <c r="X1428" s="26" t="str">
        <f t="shared" si="135"/>
        <v>-</v>
      </c>
    </row>
    <row r="1429" spans="1:24" x14ac:dyDescent="0.3">
      <c r="A1429" s="37">
        <v>87614028286</v>
      </c>
      <c r="B1429" s="8" t="s">
        <v>1849</v>
      </c>
      <c r="C1429" s="10" t="s">
        <v>2583</v>
      </c>
      <c r="D1429" s="11" t="s">
        <v>883</v>
      </c>
      <c r="E1429" s="11" t="s">
        <v>926</v>
      </c>
      <c r="F1429" s="9">
        <v>30</v>
      </c>
      <c r="G1429" s="9">
        <v>90</v>
      </c>
      <c r="H1429" s="9" t="s">
        <v>868</v>
      </c>
      <c r="I1429" s="9">
        <v>24</v>
      </c>
      <c r="J1429" s="9">
        <v>90</v>
      </c>
      <c r="K1429" s="9" t="s">
        <v>873</v>
      </c>
      <c r="L1429" s="27">
        <v>0.110095</v>
      </c>
      <c r="M1429" s="28" t="s">
        <v>3203</v>
      </c>
      <c r="N1429" s="17">
        <v>8.3387220000000006</v>
      </c>
      <c r="O1429" s="1"/>
      <c r="P1429" s="38">
        <f t="shared" si="133"/>
        <v>0</v>
      </c>
      <c r="S1429" s="24" t="str">
        <f t="shared" si="136"/>
        <v>-</v>
      </c>
      <c r="T1429" s="24" t="str">
        <f t="shared" si="134"/>
        <v>-</v>
      </c>
      <c r="U1429" s="25" t="str">
        <f t="shared" si="137"/>
        <v>-</v>
      </c>
      <c r="V1429" s="26" t="str">
        <f t="shared" si="138"/>
        <v>-</v>
      </c>
      <c r="X1429" s="26" t="str">
        <f t="shared" si="135"/>
        <v>-</v>
      </c>
    </row>
    <row r="1430" spans="1:24" x14ac:dyDescent="0.3">
      <c r="A1430" s="37">
        <v>87614028828</v>
      </c>
      <c r="B1430" s="8" t="s">
        <v>1858</v>
      </c>
      <c r="C1430" s="10" t="s">
        <v>2589</v>
      </c>
      <c r="D1430" s="11" t="s">
        <v>2829</v>
      </c>
      <c r="E1430" s="11" t="s">
        <v>2830</v>
      </c>
      <c r="F1430" s="9">
        <v>24</v>
      </c>
      <c r="G1430" s="9">
        <v>48</v>
      </c>
      <c r="H1430" s="9" t="s">
        <v>892</v>
      </c>
      <c r="I1430" s="9">
        <v>60</v>
      </c>
      <c r="J1430" s="9">
        <v>1</v>
      </c>
      <c r="K1430" s="9" t="s">
        <v>887</v>
      </c>
      <c r="L1430" s="27">
        <v>0.32688</v>
      </c>
      <c r="M1430" s="28" t="s">
        <v>3203</v>
      </c>
      <c r="N1430" s="17">
        <v>13.405076999999999</v>
      </c>
      <c r="O1430" s="1"/>
      <c r="P1430" s="38">
        <f t="shared" si="133"/>
        <v>0</v>
      </c>
      <c r="S1430" s="24" t="str">
        <f t="shared" si="136"/>
        <v>-</v>
      </c>
      <c r="T1430" s="24" t="str">
        <f t="shared" si="134"/>
        <v>-</v>
      </c>
      <c r="U1430" s="25" t="str">
        <f t="shared" si="137"/>
        <v>-</v>
      </c>
      <c r="V1430" s="26" t="str">
        <f t="shared" si="138"/>
        <v>-</v>
      </c>
      <c r="X1430" s="26" t="str">
        <f t="shared" si="135"/>
        <v>-</v>
      </c>
    </row>
    <row r="1431" spans="1:24" x14ac:dyDescent="0.3">
      <c r="A1431" s="37">
        <v>87614028835</v>
      </c>
      <c r="B1431" s="8" t="s">
        <v>1859</v>
      </c>
      <c r="C1431" s="10" t="s">
        <v>2590</v>
      </c>
      <c r="D1431" s="11" t="s">
        <v>2829</v>
      </c>
      <c r="E1431" s="11" t="s">
        <v>2830</v>
      </c>
      <c r="F1431" s="9">
        <v>24</v>
      </c>
      <c r="G1431" s="9">
        <v>48</v>
      </c>
      <c r="H1431" s="9" t="s">
        <v>892</v>
      </c>
      <c r="I1431" s="9">
        <v>60</v>
      </c>
      <c r="J1431" s="9">
        <v>1</v>
      </c>
      <c r="K1431" s="9" t="s">
        <v>887</v>
      </c>
      <c r="L1431" s="27">
        <v>0.31893500000000002</v>
      </c>
      <c r="M1431" s="28" t="s">
        <v>3203</v>
      </c>
      <c r="N1431" s="17">
        <v>12.12603</v>
      </c>
      <c r="O1431" s="1"/>
      <c r="P1431" s="38">
        <f t="shared" si="133"/>
        <v>0</v>
      </c>
      <c r="S1431" s="24" t="str">
        <f t="shared" si="136"/>
        <v>-</v>
      </c>
      <c r="T1431" s="24" t="str">
        <f t="shared" si="134"/>
        <v>-</v>
      </c>
      <c r="U1431" s="25" t="str">
        <f t="shared" si="137"/>
        <v>-</v>
      </c>
      <c r="V1431" s="26" t="str">
        <f t="shared" si="138"/>
        <v>-</v>
      </c>
      <c r="X1431" s="26" t="str">
        <f t="shared" si="135"/>
        <v>-</v>
      </c>
    </row>
    <row r="1432" spans="1:24" x14ac:dyDescent="0.3">
      <c r="A1432" s="37">
        <v>87614028972</v>
      </c>
      <c r="B1432" s="8" t="s">
        <v>1862</v>
      </c>
      <c r="C1432" s="10" t="s">
        <v>2593</v>
      </c>
      <c r="D1432" s="11" t="s">
        <v>897</v>
      </c>
      <c r="E1432" s="11" t="s">
        <v>2837</v>
      </c>
      <c r="F1432" s="9">
        <v>30</v>
      </c>
      <c r="G1432" s="9">
        <v>90</v>
      </c>
      <c r="H1432" s="9" t="s">
        <v>868</v>
      </c>
      <c r="I1432" s="9">
        <v>24</v>
      </c>
      <c r="J1432" s="9">
        <v>60</v>
      </c>
      <c r="K1432" s="9" t="s">
        <v>889</v>
      </c>
      <c r="L1432" s="27">
        <v>0.10442</v>
      </c>
      <c r="M1432" s="28" t="s">
        <v>3203</v>
      </c>
      <c r="N1432" s="17">
        <v>9.999822</v>
      </c>
      <c r="O1432" s="1"/>
      <c r="P1432" s="38">
        <f t="shared" si="133"/>
        <v>0</v>
      </c>
      <c r="S1432" s="24" t="str">
        <f t="shared" si="136"/>
        <v>-</v>
      </c>
      <c r="T1432" s="24" t="str">
        <f t="shared" si="134"/>
        <v>-</v>
      </c>
      <c r="U1432" s="25" t="str">
        <f t="shared" si="137"/>
        <v>-</v>
      </c>
      <c r="V1432" s="26" t="str">
        <f t="shared" si="138"/>
        <v>-</v>
      </c>
      <c r="X1432" s="26" t="str">
        <f t="shared" si="135"/>
        <v>-</v>
      </c>
    </row>
    <row r="1433" spans="1:24" ht="16.2" thickBot="1" x14ac:dyDescent="0.35">
      <c r="A1433" s="39">
        <v>87614029283</v>
      </c>
      <c r="B1433" s="40" t="s">
        <v>1211</v>
      </c>
      <c r="C1433" s="41" t="s">
        <v>2026</v>
      </c>
      <c r="D1433" s="42" t="s">
        <v>876</v>
      </c>
      <c r="E1433" s="42" t="s">
        <v>1003</v>
      </c>
      <c r="F1433" s="43">
        <v>20</v>
      </c>
      <c r="G1433" s="43">
        <v>60</v>
      </c>
      <c r="H1433" s="43" t="s">
        <v>868</v>
      </c>
      <c r="I1433" s="43">
        <v>24</v>
      </c>
      <c r="J1433" s="43">
        <v>120</v>
      </c>
      <c r="K1433" s="43" t="s">
        <v>889</v>
      </c>
      <c r="L1433" s="44">
        <v>0.132795</v>
      </c>
      <c r="M1433" s="45" t="s">
        <v>3203</v>
      </c>
      <c r="N1433" s="46">
        <v>34.002716999999997</v>
      </c>
      <c r="O1433" s="47"/>
      <c r="P1433" s="48">
        <f t="shared" si="133"/>
        <v>0</v>
      </c>
      <c r="S1433" s="24" t="str">
        <f t="shared" si="136"/>
        <v>-</v>
      </c>
      <c r="T1433" s="24" t="str">
        <f t="shared" si="134"/>
        <v>-</v>
      </c>
      <c r="U1433" s="25" t="str">
        <f t="shared" si="137"/>
        <v>-</v>
      </c>
      <c r="V1433" s="26" t="str">
        <f t="shared" si="138"/>
        <v>-</v>
      </c>
      <c r="X1433" s="26" t="str">
        <f t="shared" si="135"/>
        <v>-</v>
      </c>
    </row>
    <row r="1434" spans="1:24" x14ac:dyDescent="0.3">
      <c r="D1434" s="12"/>
      <c r="E1434" s="12"/>
      <c r="F1434" s="13"/>
      <c r="G1434" s="13"/>
      <c r="H1434" s="13"/>
      <c r="I1434" s="13"/>
      <c r="J1434" s="13"/>
      <c r="K1434" s="13"/>
      <c r="L1434" s="13"/>
      <c r="M1434" s="13"/>
      <c r="N1434" s="13"/>
      <c r="O1434" s="19"/>
    </row>
    <row r="1435" spans="1:24" ht="16.2" thickBot="1" x14ac:dyDescent="0.35">
      <c r="D1435" s="12"/>
      <c r="E1435" s="12"/>
      <c r="F1435" s="13"/>
      <c r="G1435" s="13"/>
      <c r="H1435" s="13"/>
      <c r="I1435" s="13"/>
      <c r="J1435" s="13"/>
      <c r="K1435" s="13"/>
      <c r="L1435" s="13"/>
      <c r="M1435" s="13"/>
      <c r="N1435" s="13"/>
    </row>
    <row r="1436" spans="1:24" ht="37.200000000000003" customHeight="1" thickBot="1" x14ac:dyDescent="0.35">
      <c r="C1436" s="5"/>
      <c r="D1436" s="12"/>
      <c r="E1436" s="12"/>
      <c r="F1436" s="13"/>
      <c r="G1436" s="13"/>
      <c r="H1436" s="13"/>
      <c r="I1436" s="13"/>
      <c r="J1436" s="13"/>
      <c r="K1436" s="13"/>
      <c r="L1436" s="13"/>
      <c r="M1436" s="13"/>
      <c r="N1436" s="13"/>
    </row>
    <row r="1437" spans="1:24" ht="18" x14ac:dyDescent="0.35">
      <c r="C1437" s="2" t="s">
        <v>1083</v>
      </c>
      <c r="D1437" s="12"/>
      <c r="E1437" s="12"/>
      <c r="F1437" s="13"/>
      <c r="G1437" s="13"/>
      <c r="H1437" s="13"/>
      <c r="I1437" s="13"/>
      <c r="J1437" s="13"/>
      <c r="K1437" s="13"/>
      <c r="L1437" s="13"/>
      <c r="M1437" s="13"/>
      <c r="N1437" s="13"/>
    </row>
    <row r="1438" spans="1:24" ht="18" x14ac:dyDescent="0.35">
      <c r="C1438" s="3" t="s">
        <v>1084</v>
      </c>
      <c r="D1438" s="12"/>
      <c r="E1438" s="12"/>
      <c r="F1438" s="13"/>
      <c r="G1438" s="13"/>
      <c r="H1438" s="13"/>
      <c r="I1438" s="13"/>
      <c r="J1438" s="13"/>
      <c r="K1438" s="13"/>
      <c r="L1438" s="13"/>
      <c r="M1438" s="13"/>
      <c r="N1438" s="13"/>
    </row>
    <row r="1439" spans="1:24" ht="18.600000000000001" thickBot="1" x14ac:dyDescent="0.4">
      <c r="C1439" s="4" t="s">
        <v>1063</v>
      </c>
      <c r="D1439" s="12"/>
      <c r="E1439" s="12"/>
      <c r="F1439" s="13"/>
      <c r="G1439" s="13"/>
      <c r="H1439" s="13"/>
      <c r="I1439" s="13"/>
      <c r="J1439" s="13"/>
      <c r="K1439" s="13"/>
      <c r="L1439" s="13"/>
      <c r="M1439" s="13"/>
      <c r="N1439" s="13"/>
    </row>
    <row r="1440" spans="1:24" ht="18.600000000000001" thickBot="1" x14ac:dyDescent="0.4">
      <c r="C1440" s="4" t="s">
        <v>1064</v>
      </c>
      <c r="D1440" s="12"/>
      <c r="E1440" s="12"/>
      <c r="F1440" s="13"/>
      <c r="G1440" s="13"/>
      <c r="H1440" s="13"/>
      <c r="I1440" s="13"/>
      <c r="J1440" s="13"/>
      <c r="K1440" s="13"/>
      <c r="L1440" s="13"/>
      <c r="M1440" s="13"/>
      <c r="N1440" s="13"/>
    </row>
    <row r="1441" spans="3:14" ht="18.600000000000001" thickBot="1" x14ac:dyDescent="0.4">
      <c r="C1441" s="4" t="s">
        <v>1065</v>
      </c>
      <c r="D1441" s="12"/>
      <c r="E1441" s="12"/>
      <c r="F1441" s="13"/>
      <c r="G1441" s="13"/>
      <c r="H1441" s="13"/>
      <c r="I1441" s="13"/>
      <c r="J1441" s="13"/>
      <c r="K1441" s="13"/>
      <c r="L1441" s="13"/>
      <c r="M1441" s="13"/>
      <c r="N1441" s="13"/>
    </row>
    <row r="1442" spans="3:14" x14ac:dyDescent="0.3">
      <c r="D1442" s="12"/>
      <c r="E1442" s="12"/>
      <c r="F1442" s="13"/>
      <c r="G1442" s="13"/>
      <c r="H1442" s="13"/>
      <c r="I1442" s="13"/>
      <c r="J1442" s="13"/>
      <c r="K1442" s="13"/>
      <c r="L1442" s="13"/>
      <c r="M1442" s="13"/>
      <c r="N1442" s="13"/>
    </row>
    <row r="1443" spans="3:14" x14ac:dyDescent="0.3">
      <c r="D1443" s="12"/>
      <c r="E1443" s="12"/>
      <c r="F1443" s="13"/>
      <c r="G1443" s="13"/>
      <c r="H1443" s="13"/>
      <c r="I1443" s="13"/>
      <c r="J1443" s="13"/>
      <c r="K1443" s="13"/>
      <c r="L1443" s="13"/>
      <c r="M1443" s="13"/>
      <c r="N1443" s="13"/>
    </row>
    <row r="1444" spans="3:14" x14ac:dyDescent="0.3">
      <c r="D1444" s="12"/>
      <c r="E1444" s="12"/>
      <c r="F1444" s="13"/>
      <c r="G1444" s="13"/>
      <c r="H1444" s="13"/>
      <c r="I1444" s="13"/>
      <c r="J1444" s="13"/>
      <c r="K1444" s="13"/>
      <c r="L1444" s="13"/>
      <c r="M1444" s="13"/>
      <c r="N1444" s="13"/>
    </row>
    <row r="1445" spans="3:14" x14ac:dyDescent="0.3">
      <c r="D1445" s="12"/>
      <c r="E1445" s="12"/>
      <c r="F1445" s="13"/>
      <c r="G1445" s="13"/>
      <c r="H1445" s="13"/>
      <c r="I1445" s="13"/>
      <c r="J1445" s="13"/>
      <c r="K1445" s="13"/>
      <c r="L1445" s="13"/>
      <c r="M1445" s="13"/>
      <c r="N1445" s="13"/>
    </row>
    <row r="1446" spans="3:14" x14ac:dyDescent="0.3">
      <c r="D1446" s="12"/>
      <c r="E1446" s="12"/>
      <c r="F1446" s="13"/>
      <c r="G1446" s="13"/>
      <c r="H1446" s="13"/>
      <c r="I1446" s="13"/>
      <c r="J1446" s="13"/>
      <c r="K1446" s="13"/>
      <c r="L1446" s="13"/>
      <c r="M1446" s="13"/>
      <c r="N1446" s="13"/>
    </row>
    <row r="1447" spans="3:14" x14ac:dyDescent="0.3">
      <c r="D1447" s="12"/>
      <c r="E1447" s="12"/>
      <c r="F1447" s="13"/>
      <c r="G1447" s="13"/>
      <c r="H1447" s="13"/>
      <c r="I1447" s="13"/>
      <c r="J1447" s="13"/>
      <c r="K1447" s="13"/>
      <c r="L1447" s="13"/>
      <c r="M1447" s="13"/>
      <c r="N1447" s="13"/>
    </row>
    <row r="1448" spans="3:14" x14ac:dyDescent="0.3">
      <c r="D1448" s="12"/>
      <c r="E1448" s="12"/>
      <c r="F1448" s="13"/>
      <c r="G1448" s="13"/>
      <c r="H1448" s="13"/>
      <c r="I1448" s="13"/>
      <c r="J1448" s="13"/>
      <c r="K1448" s="13"/>
      <c r="L1448" s="13"/>
      <c r="M1448" s="13"/>
      <c r="N1448" s="13"/>
    </row>
    <row r="1449" spans="3:14" x14ac:dyDescent="0.3">
      <c r="D1449" s="12"/>
      <c r="E1449" s="12"/>
      <c r="F1449" s="13"/>
      <c r="G1449" s="13"/>
      <c r="H1449" s="13"/>
      <c r="I1449" s="13"/>
      <c r="J1449" s="13"/>
      <c r="K1449" s="13"/>
      <c r="L1449" s="13"/>
      <c r="M1449" s="13"/>
      <c r="N1449" s="13"/>
    </row>
    <row r="1450" spans="3:14" x14ac:dyDescent="0.3">
      <c r="D1450" s="12"/>
      <c r="E1450" s="12"/>
      <c r="F1450" s="13"/>
      <c r="G1450" s="13"/>
      <c r="H1450" s="13"/>
      <c r="I1450" s="13"/>
      <c r="J1450" s="13"/>
      <c r="K1450" s="13"/>
      <c r="L1450" s="13"/>
      <c r="M1450" s="13"/>
      <c r="N1450" s="13"/>
    </row>
    <row r="1451" spans="3:14" x14ac:dyDescent="0.3">
      <c r="D1451" s="12"/>
      <c r="E1451" s="12"/>
      <c r="F1451" s="13"/>
      <c r="G1451" s="13"/>
      <c r="H1451" s="13"/>
      <c r="I1451" s="13"/>
      <c r="J1451" s="13"/>
      <c r="K1451" s="13"/>
      <c r="L1451" s="13"/>
      <c r="M1451" s="13"/>
      <c r="N1451" s="13"/>
    </row>
    <row r="1452" spans="3:14" x14ac:dyDescent="0.3">
      <c r="D1452" s="12"/>
      <c r="E1452" s="12"/>
      <c r="F1452" s="13"/>
      <c r="G1452" s="13"/>
      <c r="H1452" s="13"/>
      <c r="I1452" s="13"/>
      <c r="J1452" s="13"/>
      <c r="K1452" s="13"/>
      <c r="L1452" s="13"/>
      <c r="M1452" s="13"/>
      <c r="N1452" s="13"/>
    </row>
    <row r="1457" spans="3:3" x14ac:dyDescent="0.3">
      <c r="C1457" s="15"/>
    </row>
    <row r="1458" spans="3:3" ht="18" x14ac:dyDescent="0.35">
      <c r="C1458" s="16"/>
    </row>
    <row r="1459" spans="3:3" ht="18" x14ac:dyDescent="0.35">
      <c r="C1459" s="16"/>
    </row>
    <row r="1460" spans="3:3" ht="18" x14ac:dyDescent="0.35">
      <c r="C1460" s="16"/>
    </row>
    <row r="1461" spans="3:3" ht="18" x14ac:dyDescent="0.35">
      <c r="C1461" s="16"/>
    </row>
    <row r="1462" spans="3:3" ht="18" x14ac:dyDescent="0.35">
      <c r="C1462" s="16"/>
    </row>
  </sheetData>
  <sheetProtection algorithmName="SHA-512" hashValue="3lpIgsA1/DzxjhKBwuMprt7ELwwFq9wbIhElPQKFloQTrQz9UC6Q/xfyI5hWMcbop7oClCV6mqHnZ4ATa6T+8g==" saltValue="s0u0paG+DGV2DJFkXH6ILg==" spinCount="100000" sheet="1" formatCells="0" formatColumns="0" formatRows="0" insertColumns="0" insertRows="0" insertHyperlinks="0" deleteColumns="0" deleteRows="0" sort="0" autoFilter="0" pivotTables="0"/>
  <autoFilter ref="A2:Q1433" xr:uid="{48EDBC86-76A5-4E76-B568-2528E534B3A6}"/>
  <mergeCells count="2">
    <mergeCell ref="A1:P1"/>
    <mergeCell ref="T1:T2"/>
  </mergeCells>
  <conditionalFormatting sqref="A3:A1433">
    <cfRule type="duplicateValues" dxfId="10" priority="84"/>
  </conditionalFormatting>
  <conditionalFormatting sqref="B3:B1435">
    <cfRule type="duplicateValues" dxfId="9" priority="85"/>
  </conditionalFormatting>
  <conditionalFormatting sqref="B1436:B1452">
    <cfRule type="duplicateValues" dxfId="8" priority="13"/>
  </conditionalFormatting>
  <conditionalFormatting sqref="M3:M1433">
    <cfRule type="containsText" dxfId="7" priority="1" operator="containsText" text="В">
      <formula>NOT(ISERROR(SEARCH("В",M3)))</formula>
    </cfRule>
    <cfRule type="containsText" dxfId="6" priority="2" operator="containsText" text="А">
      <formula>NOT(ISERROR(SEARCH("А",M3)))</formula>
    </cfRule>
    <cfRule type="containsText" dxfId="5" priority="3" operator="containsText" text="С">
      <formula>NOT(ISERROR(SEARCH("С",M3)))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48576">
    <cfRule type="containsText" dxfId="4" priority="11" operator="containsText" text="Please">
      <formula>NOT(ISERROR(SEARCH("Please",P2)))</formula>
    </cfRule>
  </conditionalFormatting>
  <conditionalFormatting sqref="Q2">
    <cfRule type="expression" dxfId="3" priority="9">
      <formula>$Q$2&gt;0</formula>
    </cfRule>
    <cfRule type="expression" dxfId="2" priority="10">
      <formula>$Q$2&gt;0</formula>
    </cfRule>
    <cfRule type="expression" dxfId="1" priority="12">
      <formula>$Q$2&gt;0</formula>
    </cfRule>
  </conditionalFormatting>
  <conditionalFormatting sqref="X1">
    <cfRule type="expression" dxfId="0" priority="5">
      <formula>"&gt;0"</formula>
    </cfRule>
  </conditionalFormatting>
  <dataValidations disablePrompts="1" count="1">
    <dataValidation type="custom" allowBlank="1" showInputMessage="1" showErrorMessage="1" errorTitle="ERROR" error="Order quantity must be a multiple of Sales per Unit Case (See Column G)" prompt="Order quantity must be a multiple of Sales per Unit Case (See Column F)" sqref="O3:O1433" xr:uid="{674F1DA0-E558-4C6E-903D-04246D9CE188}">
      <formula1>MOD(O3,F3)=0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(Swanson) 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Хомик</dc:creator>
  <cp:lastModifiedBy>Денис Хомик</cp:lastModifiedBy>
  <dcterms:created xsi:type="dcterms:W3CDTF">2022-12-29T19:31:43Z</dcterms:created>
  <dcterms:modified xsi:type="dcterms:W3CDTF">2026-05-04T13:51:24Z</dcterms:modified>
</cp:coreProperties>
</file>