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713A7A63-4A62-43A2-88AF-81AC4592E4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Natural Factors)" sheetId="1" r:id="rId1"/>
  </sheets>
  <definedNames>
    <definedName name="_xlnm._FilterDatabase" localSheetId="0" hidden="1">'DSN GROUP (Natural Factors)'!$A$2:$S$588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9" i="1" l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20" i="1"/>
  <c r="O20" i="1"/>
  <c r="P20" i="1"/>
  <c r="Q2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34" i="1"/>
  <c r="O34" i="1"/>
  <c r="P34" i="1"/>
  <c r="Q3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3" i="1"/>
  <c r="O3" i="1"/>
  <c r="P3" i="1"/>
  <c r="Q3" i="1"/>
  <c r="N91" i="1"/>
  <c r="O91" i="1"/>
  <c r="P91" i="1"/>
  <c r="Q91" i="1"/>
  <c r="N35" i="1"/>
  <c r="O35" i="1"/>
  <c r="P35" i="1"/>
  <c r="Q35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21" i="1"/>
  <c r="O21" i="1"/>
  <c r="P21" i="1"/>
  <c r="Q21" i="1"/>
  <c r="N22" i="1"/>
  <c r="O22" i="1"/>
  <c r="P22" i="1"/>
  <c r="Q22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36" i="1"/>
  <c r="O36" i="1"/>
  <c r="P36" i="1"/>
  <c r="Q36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23" i="1"/>
  <c r="O23" i="1"/>
  <c r="P23" i="1"/>
  <c r="Q23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4" i="1"/>
  <c r="O4" i="1"/>
  <c r="P4" i="1"/>
  <c r="Q4" i="1"/>
  <c r="N5" i="1"/>
  <c r="O5" i="1"/>
  <c r="P5" i="1"/>
  <c r="Q5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24" i="1"/>
  <c r="O24" i="1"/>
  <c r="P24" i="1"/>
  <c r="Q24" i="1"/>
  <c r="N171" i="1"/>
  <c r="O171" i="1"/>
  <c r="P171" i="1"/>
  <c r="Q171" i="1"/>
  <c r="N172" i="1"/>
  <c r="O172" i="1"/>
  <c r="P172" i="1"/>
  <c r="Q172" i="1"/>
  <c r="N37" i="1"/>
  <c r="O37" i="1"/>
  <c r="P37" i="1"/>
  <c r="Q37" i="1"/>
  <c r="N173" i="1"/>
  <c r="O173" i="1"/>
  <c r="P173" i="1"/>
  <c r="Q173" i="1"/>
  <c r="N38" i="1"/>
  <c r="O38" i="1"/>
  <c r="P38" i="1"/>
  <c r="Q38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25" i="1"/>
  <c r="O25" i="1"/>
  <c r="P25" i="1"/>
  <c r="Q2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39" i="1"/>
  <c r="O39" i="1"/>
  <c r="P39" i="1"/>
  <c r="Q39" i="1"/>
  <c r="N193" i="1"/>
  <c r="O193" i="1"/>
  <c r="P193" i="1"/>
  <c r="Q193" i="1"/>
  <c r="N194" i="1"/>
  <c r="O194" i="1"/>
  <c r="P194" i="1"/>
  <c r="Q194" i="1"/>
  <c r="N6" i="1"/>
  <c r="O6" i="1"/>
  <c r="P6" i="1"/>
  <c r="Q6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40" i="1"/>
  <c r="O40" i="1"/>
  <c r="P40" i="1"/>
  <c r="Q40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7" i="1"/>
  <c r="O7" i="1"/>
  <c r="P7" i="1"/>
  <c r="Q7" i="1"/>
  <c r="N26" i="1"/>
  <c r="O26" i="1"/>
  <c r="P26" i="1"/>
  <c r="Q26" i="1"/>
  <c r="N205" i="1"/>
  <c r="O205" i="1"/>
  <c r="P205" i="1"/>
  <c r="Q205" i="1"/>
  <c r="N206" i="1"/>
  <c r="O206" i="1"/>
  <c r="P206" i="1"/>
  <c r="Q206" i="1"/>
  <c r="N41" i="1"/>
  <c r="O41" i="1"/>
  <c r="P41" i="1"/>
  <c r="Q41" i="1"/>
  <c r="N42" i="1"/>
  <c r="O42" i="1"/>
  <c r="P42" i="1"/>
  <c r="Q42" i="1"/>
  <c r="N27" i="1"/>
  <c r="O27" i="1"/>
  <c r="P27" i="1"/>
  <c r="Q27" i="1"/>
  <c r="N207" i="1"/>
  <c r="O207" i="1"/>
  <c r="P207" i="1"/>
  <c r="Q207" i="1"/>
  <c r="N8" i="1"/>
  <c r="O8" i="1"/>
  <c r="P8" i="1"/>
  <c r="Q8" i="1"/>
  <c r="N9" i="1"/>
  <c r="O9" i="1"/>
  <c r="P9" i="1"/>
  <c r="Q9" i="1"/>
  <c r="N208" i="1"/>
  <c r="O208" i="1"/>
  <c r="P208" i="1"/>
  <c r="Q208" i="1"/>
  <c r="N43" i="1"/>
  <c r="O43" i="1"/>
  <c r="P43" i="1"/>
  <c r="Q43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44" i="1"/>
  <c r="O44" i="1"/>
  <c r="P44" i="1"/>
  <c r="Q44" i="1"/>
  <c r="N45" i="1"/>
  <c r="O45" i="1"/>
  <c r="P45" i="1"/>
  <c r="Q45" i="1"/>
  <c r="N218" i="1"/>
  <c r="O218" i="1"/>
  <c r="P218" i="1"/>
  <c r="Q218" i="1"/>
  <c r="N219" i="1"/>
  <c r="O219" i="1"/>
  <c r="P219" i="1"/>
  <c r="Q219" i="1"/>
  <c r="N10" i="1"/>
  <c r="O10" i="1"/>
  <c r="P10" i="1"/>
  <c r="Q10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8" i="1"/>
  <c r="O28" i="1"/>
  <c r="P28" i="1"/>
  <c r="Q28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11" i="1"/>
  <c r="O11" i="1"/>
  <c r="P11" i="1"/>
  <c r="Q11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9" i="1"/>
  <c r="O29" i="1"/>
  <c r="P29" i="1"/>
  <c r="Q29" i="1"/>
  <c r="N30" i="1"/>
  <c r="O30" i="1"/>
  <c r="P30" i="1"/>
  <c r="Q30" i="1"/>
  <c r="N288" i="1"/>
  <c r="O288" i="1"/>
  <c r="P288" i="1"/>
  <c r="Q288" i="1"/>
  <c r="N12" i="1"/>
  <c r="O12" i="1"/>
  <c r="P12" i="1"/>
  <c r="Q12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13" i="1"/>
  <c r="O13" i="1"/>
  <c r="P13" i="1"/>
  <c r="Q13" i="1"/>
  <c r="N318" i="1"/>
  <c r="O318" i="1"/>
  <c r="P318" i="1"/>
  <c r="Q318" i="1"/>
  <c r="N31" i="1"/>
  <c r="O31" i="1"/>
  <c r="P31" i="1"/>
  <c r="Q31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46" i="1"/>
  <c r="O46" i="1"/>
  <c r="P46" i="1"/>
  <c r="Q4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47" i="1"/>
  <c r="O47" i="1"/>
  <c r="P47" i="1"/>
  <c r="Q47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48" i="1"/>
  <c r="O48" i="1"/>
  <c r="P48" i="1"/>
  <c r="Q48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9" i="1"/>
  <c r="O49" i="1"/>
  <c r="P49" i="1"/>
  <c r="Q49" i="1"/>
  <c r="N50" i="1"/>
  <c r="O50" i="1"/>
  <c r="P50" i="1"/>
  <c r="Q50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14" i="1"/>
  <c r="O14" i="1"/>
  <c r="P14" i="1"/>
  <c r="Q14" i="1"/>
  <c r="N15" i="1"/>
  <c r="O15" i="1"/>
  <c r="P15" i="1"/>
  <c r="Q15" i="1"/>
  <c r="N430" i="1"/>
  <c r="O430" i="1"/>
  <c r="P430" i="1"/>
  <c r="Q430" i="1"/>
  <c r="N51" i="1"/>
  <c r="O51" i="1"/>
  <c r="P51" i="1"/>
  <c r="Q51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32" i="1"/>
  <c r="O32" i="1"/>
  <c r="P32" i="1"/>
  <c r="Q32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16" i="1"/>
  <c r="O16" i="1"/>
  <c r="P16" i="1"/>
  <c r="Q16" i="1"/>
  <c r="N17" i="1"/>
  <c r="O17" i="1"/>
  <c r="P17" i="1"/>
  <c r="Q17" i="1"/>
  <c r="N52" i="1"/>
  <c r="O52" i="1"/>
  <c r="P52" i="1"/>
  <c r="Q52" i="1"/>
  <c r="N462" i="1"/>
  <c r="O462" i="1"/>
  <c r="P462" i="1"/>
  <c r="Q462" i="1"/>
  <c r="N463" i="1"/>
  <c r="O463" i="1"/>
  <c r="P463" i="1"/>
  <c r="Q463" i="1"/>
  <c r="N18" i="1"/>
  <c r="O18" i="1"/>
  <c r="P18" i="1"/>
  <c r="Q18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19" i="1"/>
  <c r="O19" i="1"/>
  <c r="P19" i="1"/>
  <c r="Q19" i="1"/>
  <c r="N53" i="1"/>
  <c r="O53" i="1"/>
  <c r="P53" i="1"/>
  <c r="Q53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54" i="1"/>
  <c r="O54" i="1"/>
  <c r="P54" i="1"/>
  <c r="Q54" i="1"/>
  <c r="N492" i="1"/>
  <c r="O492" i="1"/>
  <c r="P492" i="1"/>
  <c r="Q492" i="1"/>
  <c r="N33" i="1"/>
  <c r="O33" i="1"/>
  <c r="P33" i="1"/>
  <c r="Q33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5" i="1"/>
  <c r="O55" i="1"/>
  <c r="P55" i="1"/>
  <c r="Q55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6" i="1"/>
  <c r="O56" i="1"/>
  <c r="P56" i="1"/>
  <c r="Q56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" i="1"/>
  <c r="O57" i="1"/>
  <c r="P57" i="1"/>
  <c r="Q57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" i="1"/>
  <c r="O58" i="1" s="1"/>
  <c r="K362" i="1"/>
  <c r="K491" i="1"/>
  <c r="K507" i="1"/>
  <c r="K509" i="1"/>
  <c r="K514" i="1"/>
  <c r="K515" i="1"/>
  <c r="K521" i="1"/>
  <c r="K522" i="1"/>
  <c r="K56" i="1"/>
  <c r="K529" i="1"/>
  <c r="K535" i="1"/>
  <c r="K536" i="1"/>
  <c r="K542" i="1"/>
  <c r="K543" i="1"/>
  <c r="K550" i="1"/>
  <c r="K551" i="1"/>
  <c r="K558" i="1"/>
  <c r="K559" i="1"/>
  <c r="K566" i="1"/>
  <c r="K567" i="1"/>
  <c r="K573" i="1"/>
  <c r="K574" i="1"/>
  <c r="K581" i="1"/>
  <c r="K582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20" i="1"/>
  <c r="K81" i="1"/>
  <c r="K82" i="1"/>
  <c r="K83" i="1"/>
  <c r="K84" i="1"/>
  <c r="K34" i="1"/>
  <c r="K85" i="1"/>
  <c r="K86" i="1"/>
  <c r="K87" i="1"/>
  <c r="K88" i="1"/>
  <c r="K89" i="1"/>
  <c r="K90" i="1"/>
  <c r="K3" i="1"/>
  <c r="K91" i="1"/>
  <c r="K35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21" i="1"/>
  <c r="K22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36" i="1"/>
  <c r="K126" i="1"/>
  <c r="K127" i="1"/>
  <c r="K128" i="1"/>
  <c r="K129" i="1"/>
  <c r="K130" i="1"/>
  <c r="K131" i="1"/>
  <c r="K132" i="1"/>
  <c r="K23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4" i="1"/>
  <c r="K5" i="1"/>
  <c r="K165" i="1"/>
  <c r="K166" i="1"/>
  <c r="K167" i="1"/>
  <c r="K168" i="1"/>
  <c r="K169" i="1"/>
  <c r="K170" i="1"/>
  <c r="K24" i="1"/>
  <c r="K171" i="1"/>
  <c r="K172" i="1"/>
  <c r="K37" i="1"/>
  <c r="K173" i="1"/>
  <c r="K38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25" i="1"/>
  <c r="K186" i="1"/>
  <c r="K187" i="1"/>
  <c r="K188" i="1"/>
  <c r="K189" i="1"/>
  <c r="K190" i="1"/>
  <c r="K191" i="1"/>
  <c r="K192" i="1"/>
  <c r="K39" i="1"/>
  <c r="K193" i="1"/>
  <c r="K194" i="1"/>
  <c r="K6" i="1"/>
  <c r="K195" i="1"/>
  <c r="K196" i="1"/>
  <c r="K197" i="1"/>
  <c r="K198" i="1"/>
  <c r="K199" i="1"/>
  <c r="K200" i="1"/>
  <c r="K201" i="1"/>
  <c r="K40" i="1"/>
  <c r="K202" i="1"/>
  <c r="K203" i="1"/>
  <c r="K204" i="1"/>
  <c r="K7" i="1"/>
  <c r="K26" i="1"/>
  <c r="K205" i="1"/>
  <c r="K206" i="1"/>
  <c r="K41" i="1"/>
  <c r="K42" i="1"/>
  <c r="K27" i="1"/>
  <c r="K207" i="1"/>
  <c r="K8" i="1"/>
  <c r="K9" i="1"/>
  <c r="K208" i="1"/>
  <c r="K43" i="1"/>
  <c r="K209" i="1"/>
  <c r="K210" i="1"/>
  <c r="K211" i="1"/>
  <c r="K212" i="1"/>
  <c r="K213" i="1"/>
  <c r="K214" i="1"/>
  <c r="K215" i="1"/>
  <c r="K216" i="1"/>
  <c r="K217" i="1"/>
  <c r="K44" i="1"/>
  <c r="K45" i="1"/>
  <c r="K218" i="1"/>
  <c r="K219" i="1"/>
  <c r="K10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8" i="1"/>
  <c r="K235" i="1"/>
  <c r="K236" i="1"/>
  <c r="K237" i="1"/>
  <c r="K238" i="1"/>
  <c r="K11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9" i="1"/>
  <c r="K30" i="1"/>
  <c r="K288" i="1"/>
  <c r="K12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13" i="1"/>
  <c r="K318" i="1"/>
  <c r="K31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4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3" i="1"/>
  <c r="K47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48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9" i="1"/>
  <c r="K50" i="1"/>
  <c r="K426" i="1"/>
  <c r="K427" i="1"/>
  <c r="K428" i="1"/>
  <c r="K429" i="1"/>
  <c r="K14" i="1"/>
  <c r="K15" i="1"/>
  <c r="K430" i="1"/>
  <c r="K51" i="1"/>
  <c r="K431" i="1"/>
  <c r="K432" i="1"/>
  <c r="K433" i="1"/>
  <c r="K434" i="1"/>
  <c r="K435" i="1"/>
  <c r="K436" i="1"/>
  <c r="K437" i="1"/>
  <c r="K438" i="1"/>
  <c r="K32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16" i="1"/>
  <c r="K17" i="1"/>
  <c r="K52" i="1"/>
  <c r="K462" i="1"/>
  <c r="K463" i="1"/>
  <c r="K18" i="1"/>
  <c r="K464" i="1"/>
  <c r="K465" i="1"/>
  <c r="K466" i="1"/>
  <c r="K467" i="1"/>
  <c r="K468" i="1"/>
  <c r="K469" i="1"/>
  <c r="K470" i="1"/>
  <c r="K471" i="1"/>
  <c r="K472" i="1"/>
  <c r="K473" i="1"/>
  <c r="K474" i="1"/>
  <c r="K19" i="1"/>
  <c r="K53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54" i="1"/>
  <c r="K492" i="1"/>
  <c r="K33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8" i="1"/>
  <c r="K510" i="1"/>
  <c r="K511" i="1"/>
  <c r="K512" i="1"/>
  <c r="K513" i="1"/>
  <c r="K516" i="1"/>
  <c r="K517" i="1"/>
  <c r="K518" i="1"/>
  <c r="K55" i="1"/>
  <c r="K519" i="1"/>
  <c r="K520" i="1"/>
  <c r="K523" i="1"/>
  <c r="K524" i="1"/>
  <c r="K525" i="1"/>
  <c r="K526" i="1"/>
  <c r="K527" i="1"/>
  <c r="K528" i="1"/>
  <c r="K530" i="1"/>
  <c r="K531" i="1"/>
  <c r="K532" i="1"/>
  <c r="K533" i="1"/>
  <c r="K534" i="1"/>
  <c r="K537" i="1"/>
  <c r="K538" i="1"/>
  <c r="K539" i="1"/>
  <c r="K540" i="1"/>
  <c r="K541" i="1"/>
  <c r="K544" i="1"/>
  <c r="K545" i="1"/>
  <c r="K546" i="1"/>
  <c r="K547" i="1"/>
  <c r="K548" i="1"/>
  <c r="K549" i="1"/>
  <c r="K552" i="1"/>
  <c r="K553" i="1"/>
  <c r="K554" i="1"/>
  <c r="K555" i="1"/>
  <c r="K556" i="1"/>
  <c r="K557" i="1"/>
  <c r="K560" i="1"/>
  <c r="K561" i="1"/>
  <c r="K562" i="1"/>
  <c r="K563" i="1"/>
  <c r="K564" i="1"/>
  <c r="K565" i="1"/>
  <c r="K568" i="1"/>
  <c r="K569" i="1"/>
  <c r="K570" i="1"/>
  <c r="K571" i="1"/>
  <c r="K57" i="1"/>
  <c r="K572" i="1"/>
  <c r="K575" i="1"/>
  <c r="K576" i="1"/>
  <c r="K577" i="1"/>
  <c r="K578" i="1"/>
  <c r="K579" i="1"/>
  <c r="K580" i="1"/>
  <c r="K583" i="1"/>
  <c r="K584" i="1"/>
  <c r="K585" i="1"/>
  <c r="K586" i="1"/>
  <c r="K587" i="1"/>
  <c r="K588" i="1"/>
  <c r="K59" i="1"/>
  <c r="S309" i="1" l="1"/>
  <c r="S293" i="1"/>
  <c r="S234" i="1"/>
  <c r="S466" i="1"/>
  <c r="S381" i="1"/>
  <c r="S32" i="1"/>
  <c r="S496" i="1"/>
  <c r="S350" i="1"/>
  <c r="S110" i="1"/>
  <c r="S66" i="1"/>
  <c r="K58" i="1"/>
  <c r="L2" i="1" s="1"/>
  <c r="P58" i="1"/>
  <c r="S31" i="1"/>
  <c r="S206" i="1"/>
  <c r="S153" i="1"/>
  <c r="S390" i="1"/>
  <c r="S315" i="1"/>
  <c r="S270" i="1"/>
  <c r="S241" i="1"/>
  <c r="S227" i="1"/>
  <c r="S26" i="1"/>
  <c r="S165" i="1"/>
  <c r="S151" i="1"/>
  <c r="S121" i="1"/>
  <c r="S543" i="1"/>
  <c r="S202" i="1"/>
  <c r="S482" i="1"/>
  <c r="S383" i="1"/>
  <c r="S331" i="1"/>
  <c r="S272" i="1"/>
  <c r="S226" i="1"/>
  <c r="S213" i="1"/>
  <c r="S327" i="1"/>
  <c r="S237" i="1"/>
  <c r="S545" i="1"/>
  <c r="S404" i="1"/>
  <c r="S43" i="1"/>
  <c r="S187" i="1"/>
  <c r="S130" i="1"/>
  <c r="S73" i="1"/>
  <c r="S265" i="1"/>
  <c r="S28" i="1"/>
  <c r="S9" i="1"/>
  <c r="S25" i="1"/>
  <c r="S128" i="1"/>
  <c r="S577" i="1"/>
  <c r="S527" i="1"/>
  <c r="S575" i="1"/>
  <c r="S464" i="1"/>
  <c r="S444" i="1"/>
  <c r="S437" i="1"/>
  <c r="S430" i="1"/>
  <c r="S402" i="1"/>
  <c r="S522" i="1"/>
  <c r="S564" i="1"/>
  <c r="S235" i="1"/>
  <c r="S228" i="1"/>
  <c r="S215" i="1"/>
  <c r="S208" i="1"/>
  <c r="S205" i="1"/>
  <c r="S193" i="1"/>
  <c r="S179" i="1"/>
  <c r="S160" i="1"/>
  <c r="S64" i="1"/>
  <c r="S79" i="1"/>
  <c r="S362" i="1"/>
  <c r="S320" i="1"/>
  <c r="S568" i="1"/>
  <c r="S244" i="1"/>
  <c r="S552" i="1"/>
  <c r="S473" i="1"/>
  <c r="S465" i="1"/>
  <c r="S461" i="1"/>
  <c r="S438" i="1"/>
  <c r="S51" i="1"/>
  <c r="S411" i="1"/>
  <c r="S374" i="1"/>
  <c r="S582" i="1"/>
  <c r="S587" i="1"/>
  <c r="S554" i="1"/>
  <c r="S534" i="1"/>
  <c r="S516" i="1"/>
  <c r="S163" i="1"/>
  <c r="S90" i="1"/>
  <c r="S343" i="1"/>
  <c r="S19" i="1"/>
  <c r="S20" i="1"/>
  <c r="S341" i="1"/>
  <c r="S296" i="1"/>
  <c r="S233" i="1"/>
  <c r="S225" i="1"/>
  <c r="S8" i="1"/>
  <c r="S7" i="1"/>
  <c r="S192" i="1"/>
  <c r="S177" i="1"/>
  <c r="S158" i="1"/>
  <c r="S134" i="1"/>
  <c r="S35" i="1"/>
  <c r="S584" i="1"/>
  <c r="S559" i="1"/>
  <c r="S520" i="1"/>
  <c r="S407" i="1"/>
  <c r="S399" i="1"/>
  <c r="S393" i="1"/>
  <c r="S147" i="1"/>
  <c r="S359" i="1"/>
  <c r="S18" i="1"/>
  <c r="S459" i="1"/>
  <c r="S436" i="1"/>
  <c r="S15" i="1"/>
  <c r="S417" i="1"/>
  <c r="S409" i="1"/>
  <c r="S372" i="1"/>
  <c r="S529" i="1"/>
  <c r="S502" i="1"/>
  <c r="S16" i="1"/>
  <c r="S431" i="1"/>
  <c r="S352" i="1"/>
  <c r="S46" i="1"/>
  <c r="S313" i="1"/>
  <c r="S448" i="1"/>
  <c r="S433" i="1"/>
  <c r="S414" i="1"/>
  <c r="S392" i="1"/>
  <c r="S323" i="1"/>
  <c r="S515" i="1"/>
  <c r="S480" i="1"/>
  <c r="S574" i="1"/>
  <c r="S567" i="1"/>
  <c r="S562" i="1"/>
  <c r="S531" i="1"/>
  <c r="S504" i="1"/>
  <c r="S492" i="1"/>
  <c r="S485" i="1"/>
  <c r="S471" i="1"/>
  <c r="S403" i="1"/>
  <c r="S385" i="1"/>
  <c r="S369" i="1"/>
  <c r="S289" i="1"/>
  <c r="S284" i="1"/>
  <c r="S268" i="1"/>
  <c r="S261" i="1"/>
  <c r="S216" i="1"/>
  <c r="S152" i="1"/>
  <c r="S136" i="1"/>
  <c r="S129" i="1"/>
  <c r="S101" i="1"/>
  <c r="S93" i="1"/>
  <c r="S494" i="1"/>
  <c r="S474" i="1"/>
  <c r="S380" i="1"/>
  <c r="S186" i="1"/>
  <c r="S104" i="1"/>
  <c r="S83" i="1"/>
  <c r="S576" i="1"/>
  <c r="S57" i="1"/>
  <c r="S544" i="1"/>
  <c r="S56" i="1"/>
  <c r="S524" i="1"/>
  <c r="S517" i="1"/>
  <c r="S509" i="1"/>
  <c r="S53" i="1"/>
  <c r="S468" i="1"/>
  <c r="S454" i="1"/>
  <c r="S441" i="1"/>
  <c r="S427" i="1"/>
  <c r="S382" i="1"/>
  <c r="S357" i="1"/>
  <c r="S342" i="1"/>
  <c r="S219" i="1"/>
  <c r="S188" i="1"/>
  <c r="S38" i="1"/>
  <c r="S106" i="1"/>
  <c r="S34" i="1"/>
  <c r="S419" i="1"/>
  <c r="S139" i="1"/>
  <c r="S22" i="1"/>
  <c r="S440" i="1"/>
  <c r="S583" i="1"/>
  <c r="S556" i="1"/>
  <c r="S546" i="1"/>
  <c r="S532" i="1"/>
  <c r="S493" i="1"/>
  <c r="S487" i="1"/>
  <c r="S446" i="1"/>
  <c r="S405" i="1"/>
  <c r="S354" i="1"/>
  <c r="S344" i="1"/>
  <c r="S312" i="1"/>
  <c r="S291" i="1"/>
  <c r="S286" i="1"/>
  <c r="S263" i="1"/>
  <c r="S255" i="1"/>
  <c r="S178" i="1"/>
  <c r="S154" i="1"/>
  <c r="S131" i="1"/>
  <c r="S488" i="1"/>
  <c r="S166" i="1"/>
  <c r="S533" i="1"/>
  <c r="S585" i="1"/>
  <c r="S566" i="1"/>
  <c r="S551" i="1"/>
  <c r="S541" i="1"/>
  <c r="S537" i="1"/>
  <c r="S503" i="1"/>
  <c r="S456" i="1"/>
  <c r="S423" i="1"/>
  <c r="S410" i="1"/>
  <c r="S384" i="1"/>
  <c r="S349" i="1"/>
  <c r="S314" i="1"/>
  <c r="S301" i="1"/>
  <c r="S12" i="1"/>
  <c r="S283" i="1"/>
  <c r="S260" i="1"/>
  <c r="S159" i="1"/>
  <c r="S135" i="1"/>
  <c r="S108" i="1"/>
  <c r="S100" i="1"/>
  <c r="S92" i="1"/>
  <c r="S558" i="1"/>
  <c r="S553" i="1"/>
  <c r="S548" i="1"/>
  <c r="S523" i="1"/>
  <c r="S495" i="1"/>
  <c r="S389" i="1"/>
  <c r="S373" i="1"/>
  <c r="S351" i="1"/>
  <c r="S346" i="1"/>
  <c r="S329" i="1"/>
  <c r="S319" i="1"/>
  <c r="S306" i="1"/>
  <c r="S298" i="1"/>
  <c r="S252" i="1"/>
  <c r="S239" i="1"/>
  <c r="S194" i="1"/>
  <c r="S180" i="1"/>
  <c r="S167" i="1"/>
  <c r="S72" i="1"/>
  <c r="S500" i="1"/>
  <c r="S33" i="1"/>
  <c r="S486" i="1"/>
  <c r="S478" i="1"/>
  <c r="S412" i="1"/>
  <c r="S378" i="1"/>
  <c r="S370" i="1"/>
  <c r="S321" i="1"/>
  <c r="S311" i="1"/>
  <c r="S290" i="1"/>
  <c r="S285" i="1"/>
  <c r="S262" i="1"/>
  <c r="S230" i="1"/>
  <c r="S217" i="1"/>
  <c r="S210" i="1"/>
  <c r="S198" i="1"/>
  <c r="S185" i="1"/>
  <c r="S161" i="1"/>
  <c r="S145" i="1"/>
  <c r="S123" i="1"/>
  <c r="S102" i="1"/>
  <c r="S563" i="1"/>
  <c r="S460" i="1"/>
  <c r="S71" i="1"/>
  <c r="S572" i="1"/>
  <c r="S560" i="1"/>
  <c r="S550" i="1"/>
  <c r="S536" i="1"/>
  <c r="S525" i="1"/>
  <c r="S518" i="1"/>
  <c r="S483" i="1"/>
  <c r="S428" i="1"/>
  <c r="S422" i="1"/>
  <c r="S401" i="1"/>
  <c r="S395" i="1"/>
  <c r="S375" i="1"/>
  <c r="S348" i="1"/>
  <c r="S195" i="1"/>
  <c r="S189" i="1"/>
  <c r="S169" i="1"/>
  <c r="S150" i="1"/>
  <c r="S127" i="1"/>
  <c r="S99" i="1"/>
  <c r="S74" i="1"/>
  <c r="S258" i="1"/>
  <c r="S238" i="1"/>
  <c r="S118" i="1"/>
  <c r="S97" i="1"/>
  <c r="S67" i="1"/>
  <c r="S586" i="1"/>
  <c r="S571" i="1"/>
  <c r="S561" i="1"/>
  <c r="S547" i="1"/>
  <c r="S539" i="1"/>
  <c r="S530" i="1"/>
  <c r="S514" i="1"/>
  <c r="S506" i="1"/>
  <c r="S499" i="1"/>
  <c r="S54" i="1"/>
  <c r="S475" i="1"/>
  <c r="S470" i="1"/>
  <c r="S462" i="1"/>
  <c r="S453" i="1"/>
  <c r="S429" i="1"/>
  <c r="S49" i="1"/>
  <c r="S421" i="1"/>
  <c r="S398" i="1"/>
  <c r="S386" i="1"/>
  <c r="S377" i="1"/>
  <c r="S368" i="1"/>
  <c r="S345" i="1"/>
  <c r="S334" i="1"/>
  <c r="S322" i="1"/>
  <c r="S303" i="1"/>
  <c r="S288" i="1"/>
  <c r="S278" i="1"/>
  <c r="S254" i="1"/>
  <c r="S249" i="1"/>
  <c r="S223" i="1"/>
  <c r="S44" i="1"/>
  <c r="S27" i="1"/>
  <c r="S190" i="1"/>
  <c r="S182" i="1"/>
  <c r="S172" i="1"/>
  <c r="S168" i="1"/>
  <c r="S142" i="1"/>
  <c r="S137" i="1"/>
  <c r="S125" i="1"/>
  <c r="S116" i="1"/>
  <c r="S94" i="1"/>
  <c r="S89" i="1"/>
  <c r="S76" i="1"/>
  <c r="S62" i="1"/>
  <c r="S526" i="1"/>
  <c r="S501" i="1"/>
  <c r="S489" i="1"/>
  <c r="S472" i="1"/>
  <c r="S458" i="1"/>
  <c r="S450" i="1"/>
  <c r="S443" i="1"/>
  <c r="S435" i="1"/>
  <c r="S416" i="1"/>
  <c r="S397" i="1"/>
  <c r="S365" i="1"/>
  <c r="S361" i="1"/>
  <c r="S338" i="1"/>
  <c r="S324" i="1"/>
  <c r="S317" i="1"/>
  <c r="S308" i="1"/>
  <c r="S287" i="1"/>
  <c r="S275" i="1"/>
  <c r="S264" i="1"/>
  <c r="S246" i="1"/>
  <c r="S232" i="1"/>
  <c r="S220" i="1"/>
  <c r="S204" i="1"/>
  <c r="S200" i="1"/>
  <c r="S175" i="1"/>
  <c r="S170" i="1"/>
  <c r="S4" i="1"/>
  <c r="S156" i="1"/>
  <c r="S23" i="1"/>
  <c r="S120" i="1"/>
  <c r="S113" i="1"/>
  <c r="S103" i="1"/>
  <c r="S3" i="1"/>
  <c r="S86" i="1"/>
  <c r="S82" i="1"/>
  <c r="S69" i="1"/>
  <c r="S273" i="1"/>
  <c r="S111" i="1"/>
  <c r="S588" i="1"/>
  <c r="S565" i="1"/>
  <c r="S519" i="1"/>
  <c r="S477" i="1"/>
  <c r="S467" i="1"/>
  <c r="S455" i="1"/>
  <c r="S445" i="1"/>
  <c r="S432" i="1"/>
  <c r="S426" i="1"/>
  <c r="S418" i="1"/>
  <c r="S400" i="1"/>
  <c r="S394" i="1"/>
  <c r="S388" i="1"/>
  <c r="S379" i="1"/>
  <c r="S363" i="1"/>
  <c r="S356" i="1"/>
  <c r="S347" i="1"/>
  <c r="S336" i="1"/>
  <c r="S310" i="1"/>
  <c r="S305" i="1"/>
  <c r="S300" i="1"/>
  <c r="S280" i="1"/>
  <c r="S266" i="1"/>
  <c r="S257" i="1"/>
  <c r="S251" i="1"/>
  <c r="S229" i="1"/>
  <c r="S218" i="1"/>
  <c r="S209" i="1"/>
  <c r="S197" i="1"/>
  <c r="S184" i="1"/>
  <c r="S173" i="1"/>
  <c r="S149" i="1"/>
  <c r="S144" i="1"/>
  <c r="S126" i="1"/>
  <c r="S122" i="1"/>
  <c r="S117" i="1"/>
  <c r="S105" i="1"/>
  <c r="S96" i="1"/>
  <c r="S84" i="1"/>
  <c r="S78" i="1"/>
  <c r="S47" i="1"/>
  <c r="S579" i="1"/>
  <c r="S511" i="1"/>
  <c r="S549" i="1"/>
  <c r="S528" i="1"/>
  <c r="S508" i="1"/>
  <c r="S581" i="1"/>
  <c r="S570" i="1"/>
  <c r="S542" i="1"/>
  <c r="S538" i="1"/>
  <c r="S513" i="1"/>
  <c r="S505" i="1"/>
  <c r="S498" i="1"/>
  <c r="S491" i="1"/>
  <c r="S469" i="1"/>
  <c r="S52" i="1"/>
  <c r="S452" i="1"/>
  <c r="S447" i="1"/>
  <c r="S425" i="1"/>
  <c r="S420" i="1"/>
  <c r="S413" i="1"/>
  <c r="S48" i="1"/>
  <c r="S376" i="1"/>
  <c r="S367" i="1"/>
  <c r="S358" i="1"/>
  <c r="S340" i="1"/>
  <c r="S333" i="1"/>
  <c r="S326" i="1"/>
  <c r="S318" i="1"/>
  <c r="S302" i="1"/>
  <c r="S295" i="1"/>
  <c r="S30" i="1"/>
  <c r="S277" i="1"/>
  <c r="S253" i="1"/>
  <c r="S248" i="1"/>
  <c r="S243" i="1"/>
  <c r="S222" i="1"/>
  <c r="S211" i="1"/>
  <c r="S42" i="1"/>
  <c r="S40" i="1"/>
  <c r="S181" i="1"/>
  <c r="S171" i="1"/>
  <c r="S162" i="1"/>
  <c r="S141" i="1"/>
  <c r="S124" i="1"/>
  <c r="S115" i="1"/>
  <c r="S88" i="1"/>
  <c r="S80" i="1"/>
  <c r="S75" i="1"/>
  <c r="S61" i="1"/>
  <c r="S281" i="1"/>
  <c r="S578" i="1"/>
  <c r="S555" i="1"/>
  <c r="S535" i="1"/>
  <c r="S521" i="1"/>
  <c r="S510" i="1"/>
  <c r="S484" i="1"/>
  <c r="S479" i="1"/>
  <c r="S457" i="1"/>
  <c r="S449" i="1"/>
  <c r="S442" i="1"/>
  <c r="S434" i="1"/>
  <c r="S415" i="1"/>
  <c r="S406" i="1"/>
  <c r="S396" i="1"/>
  <c r="S391" i="1"/>
  <c r="S364" i="1"/>
  <c r="S360" i="1"/>
  <c r="S353" i="1"/>
  <c r="S337" i="1"/>
  <c r="S328" i="1"/>
  <c r="S316" i="1"/>
  <c r="S307" i="1"/>
  <c r="S297" i="1"/>
  <c r="S282" i="1"/>
  <c r="S274" i="1"/>
  <c r="S267" i="1"/>
  <c r="S259" i="1"/>
  <c r="S245" i="1"/>
  <c r="S11" i="1"/>
  <c r="S231" i="1"/>
  <c r="S10" i="1"/>
  <c r="S203" i="1"/>
  <c r="S199" i="1"/>
  <c r="S6" i="1"/>
  <c r="S174" i="1"/>
  <c r="S164" i="1"/>
  <c r="S155" i="1"/>
  <c r="S146" i="1"/>
  <c r="S132" i="1"/>
  <c r="S119" i="1"/>
  <c r="S112" i="1"/>
  <c r="S107" i="1"/>
  <c r="S98" i="1"/>
  <c r="S85" i="1"/>
  <c r="S81" i="1"/>
  <c r="S68" i="1"/>
  <c r="S59" i="1"/>
  <c r="S573" i="1"/>
  <c r="S557" i="1"/>
  <c r="S540" i="1"/>
  <c r="S55" i="1"/>
  <c r="S507" i="1"/>
  <c r="S476" i="1"/>
  <c r="S463" i="1"/>
  <c r="S14" i="1"/>
  <c r="S50" i="1"/>
  <c r="S387" i="1"/>
  <c r="S355" i="1"/>
  <c r="S335" i="1"/>
  <c r="S330" i="1"/>
  <c r="S304" i="1"/>
  <c r="S299" i="1"/>
  <c r="S292" i="1"/>
  <c r="S279" i="1"/>
  <c r="S269" i="1"/>
  <c r="S256" i="1"/>
  <c r="S250" i="1"/>
  <c r="S240" i="1"/>
  <c r="S224" i="1"/>
  <c r="S45" i="1"/>
  <c r="S212" i="1"/>
  <c r="S207" i="1"/>
  <c r="S196" i="1"/>
  <c r="S191" i="1"/>
  <c r="S183" i="1"/>
  <c r="S37" i="1"/>
  <c r="S148" i="1"/>
  <c r="S143" i="1"/>
  <c r="S138" i="1"/>
  <c r="S36" i="1"/>
  <c r="S109" i="1"/>
  <c r="S95" i="1"/>
  <c r="S77" i="1"/>
  <c r="S63" i="1"/>
  <c r="S580" i="1"/>
  <c r="S569" i="1"/>
  <c r="S512" i="1"/>
  <c r="S497" i="1"/>
  <c r="S490" i="1"/>
  <c r="S481" i="1"/>
  <c r="S17" i="1"/>
  <c r="S451" i="1"/>
  <c r="S439" i="1"/>
  <c r="S424" i="1"/>
  <c r="S408" i="1"/>
  <c r="S371" i="1"/>
  <c r="S366" i="1"/>
  <c r="S339" i="1"/>
  <c r="S332" i="1"/>
  <c r="S325" i="1"/>
  <c r="S13" i="1"/>
  <c r="S294" i="1"/>
  <c r="S29" i="1"/>
  <c r="S276" i="1"/>
  <c r="S271" i="1"/>
  <c r="S247" i="1"/>
  <c r="S242" i="1"/>
  <c r="S236" i="1"/>
  <c r="S221" i="1"/>
  <c r="S214" i="1"/>
  <c r="S41" i="1"/>
  <c r="S201" i="1"/>
  <c r="S39" i="1"/>
  <c r="S176" i="1"/>
  <c r="S24" i="1"/>
  <c r="S5" i="1"/>
  <c r="S157" i="1"/>
  <c r="S140" i="1"/>
  <c r="S133" i="1"/>
  <c r="S114" i="1"/>
  <c r="S21" i="1"/>
  <c r="S91" i="1"/>
  <c r="S87" i="1"/>
  <c r="S70" i="1"/>
  <c r="S65" i="1"/>
  <c r="S60" i="1"/>
  <c r="P2" i="1" l="1"/>
  <c r="Q58" i="1"/>
  <c r="Q2" i="1" s="1"/>
  <c r="S58" i="1" l="1"/>
  <c r="S1" i="1" s="1"/>
</calcChain>
</file>

<file path=xl/sharedStrings.xml><?xml version="1.0" encoding="utf-8"?>
<sst xmlns="http://schemas.openxmlformats.org/spreadsheetml/2006/main" count="1818" uniqueCount="638">
  <si>
    <t>UPC</t>
  </si>
  <si>
    <t>ITEM 
CODE</t>
  </si>
  <si>
    <t>Description</t>
  </si>
  <si>
    <t>WHSL</t>
  </si>
  <si>
    <t>Order</t>
  </si>
  <si>
    <t>Total</t>
  </si>
  <si>
    <r>
      <rPr>
        <b/>
        <sz val="10"/>
        <color rgb="FFFF0000"/>
        <rFont val="Arial"/>
        <family val="2"/>
        <charset val="204"/>
      </rPr>
      <t>Importantly!</t>
    </r>
    <r>
      <rPr>
        <sz val="10"/>
        <color indexed="8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</si>
  <si>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</si>
  <si>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</si>
  <si>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</si>
  <si>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</si>
  <si>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</si>
  <si>
    <t>4559S</t>
  </si>
  <si>
    <t>Mega Halibut Liver Oil SG 90</t>
  </si>
  <si>
    <t>SGC</t>
  </si>
  <si>
    <t>Mega Halibut Liver Oil SG 180</t>
  </si>
  <si>
    <t>BetaCareAll 25000IU SG 90</t>
  </si>
  <si>
    <t>BetaCareAll 25000IU SG 180</t>
  </si>
  <si>
    <t>Lycopene 10mg SG 60</t>
  </si>
  <si>
    <t>Astaxanthin 6 mg SG 60</t>
  </si>
  <si>
    <t>Astaxanthin 12mg SG 60</t>
  </si>
  <si>
    <t>Super Cod Liver Oil SG 90</t>
  </si>
  <si>
    <t>Super Cod Liver Oil SG 180</t>
  </si>
  <si>
    <t>Lutein 20mg SG 60</t>
  </si>
  <si>
    <t>Lutein 20mg SG 120</t>
  </si>
  <si>
    <t>Lutein 40mg SG 30</t>
  </si>
  <si>
    <t>Lutein 40mg SG 60</t>
  </si>
  <si>
    <t>Vit A 10000IU SG 90</t>
  </si>
  <si>
    <t>Vit A 10000IU SG 180</t>
  </si>
  <si>
    <t>BF VITD 600IU GUMMY 60</t>
  </si>
  <si>
    <t>Gummies</t>
  </si>
  <si>
    <t>Vit D3 1000IU SG 90</t>
  </si>
  <si>
    <t>TABS</t>
  </si>
  <si>
    <t>Vit D3 1000IU TAB 90</t>
  </si>
  <si>
    <t>Vit D3 1000IU TAB 180</t>
  </si>
  <si>
    <t>Vit D3 1000IU SG 180</t>
  </si>
  <si>
    <t>Vit D3 1000IU 15mL</t>
  </si>
  <si>
    <t>15 ml</t>
  </si>
  <si>
    <t>LIQUID</t>
  </si>
  <si>
    <t>Vit K2&amp;D3 120mcg/1000IU SG 360</t>
  </si>
  <si>
    <t>Vit D3 1000IU SG 360</t>
  </si>
  <si>
    <t>Vit D3 400IU 15mL</t>
  </si>
  <si>
    <t>Vit D3 1000IU SG 500</t>
  </si>
  <si>
    <t>Super Immune Form SG 90   </t>
  </si>
  <si>
    <t>Vgn Vit D3 1000IU VCAP 180</t>
  </si>
  <si>
    <t>vcaps</t>
  </si>
  <si>
    <t>Vit D3 2500IU SG 90</t>
  </si>
  <si>
    <t>Vit D3 2500IU SG 180</t>
  </si>
  <si>
    <t>Vit D3 2500IU SG 360</t>
  </si>
  <si>
    <t>Vit D3 2500IU SG 500</t>
  </si>
  <si>
    <t>Vit D3 2500IU TAB 100</t>
  </si>
  <si>
    <t>Vit D3 2500IU TAB 250</t>
  </si>
  <si>
    <t>Vit D3 2500IU w/ MCT 15mL</t>
  </si>
  <si>
    <t>Hi Pot B Cmplx 50mg CAP 60</t>
  </si>
  <si>
    <t>CAPS</t>
  </si>
  <si>
    <t>Hi Pot B Cmplx 50mg CAP 90</t>
  </si>
  <si>
    <t>Hi Pot B Cmplx 50mg CAP 180</t>
  </si>
  <si>
    <t>BioCoenz Act B Cmplx VCAP 60</t>
  </si>
  <si>
    <t>BioCoenz Act B Cmplx VCAP 120</t>
  </si>
  <si>
    <t>Comp B 100mg TR TAB 60</t>
  </si>
  <si>
    <t>Comp B 100mg TR TAB 90</t>
  </si>
  <si>
    <t>Comp B 100mg TR TAB 180</t>
  </si>
  <si>
    <t>B1 Thiamine 100mg TAB 90</t>
  </si>
  <si>
    <t>B2 Riboflav 100mg TAB 90</t>
  </si>
  <si>
    <t>B3 Nicotinic Acid 100mg TAB 90</t>
  </si>
  <si>
    <t>Niacin 500mg Flush Free CAP 90</t>
  </si>
  <si>
    <t>B3 Nicotinic Acid 500mg TAB 90</t>
  </si>
  <si>
    <t>B6 Pyrid 50mg TAB 90</t>
  </si>
  <si>
    <t>B6 Pyrid 100mg TAB 90</t>
  </si>
  <si>
    <t>B6 Pyrid 100mg CAP 90</t>
  </si>
  <si>
    <t>B12 Cyano 250mcg TAB 90</t>
  </si>
  <si>
    <t>BioCoenzMethylfolate SubTAB 60</t>
  </si>
  <si>
    <t>B12 Methyl 1000mcg SubTAB 90</t>
  </si>
  <si>
    <t>B12 Methyl 1000mcg SubTAB 180</t>
  </si>
  <si>
    <t>B12 Methyl 10000mcg SubTAB 30</t>
  </si>
  <si>
    <t>B12 Cyano 1000mcg TAB 60</t>
  </si>
  <si>
    <t>B12 Cyano 1000mcg TAB 90</t>
  </si>
  <si>
    <t>B12 Methyl 5000mcg SubTAB 60</t>
  </si>
  <si>
    <t>BioCoenz Benfotiamine VCAP 30</t>
  </si>
  <si>
    <t>BioCoenz R5P 50mg VCAP 30</t>
  </si>
  <si>
    <t>BioCoenz Pantethine SG 60</t>
  </si>
  <si>
    <t>Pantothenic Acid 250mg CAP 90</t>
  </si>
  <si>
    <t>BioCoenz P5P 50mg VCAP 30</t>
  </si>
  <si>
    <t>BioCoenzMethylDibenc SubTAB 30</t>
  </si>
  <si>
    <t>BioCoenz Ultra Act B VCAP 60</t>
  </si>
  <si>
    <t>BioCoenz Benfotiamine VCAP 60</t>
  </si>
  <si>
    <t>Biotin 300mcg TAB 90</t>
  </si>
  <si>
    <t>Biotin 1000mcg VCAP 90</t>
  </si>
  <si>
    <t>Biotin 5000mcg VCAP 60</t>
  </si>
  <si>
    <t>Biotin 10000mcg VCAP 60</t>
  </si>
  <si>
    <t>Folic Acid 1mg TAB 90</t>
  </si>
  <si>
    <t>Folic Acid 1mg TAB 180</t>
  </si>
  <si>
    <t>Vit K2&amp;D3 120mcg/1000IU SG 60</t>
  </si>
  <si>
    <t>Vit K2&amp;D3 120mcg/1000IU SG 120</t>
  </si>
  <si>
    <t>Vit K2 100mcg VCAP 60</t>
  </si>
  <si>
    <t>Vit K2 100mcg VCAP 120</t>
  </si>
  <si>
    <t>Vit K2 120mcg VCAP 60</t>
  </si>
  <si>
    <t>Vit K2 120mcg VCAP 120</t>
  </si>
  <si>
    <t>Vit K2 D3 &amp; A 30mL</t>
  </si>
  <si>
    <t>Vit C 500mg w/Rose TAB 90</t>
  </si>
  <si>
    <t>Vit C Xtr 500mg TAB 90</t>
  </si>
  <si>
    <t>Vit C Xtr 500mg TAB 180</t>
  </si>
  <si>
    <t>Liposomal Vit C 1000mg SG 90</t>
  </si>
  <si>
    <t>Liposomal Vit C 1000mg SG 180</t>
  </si>
  <si>
    <t>Vit C Xtr 500mg CAP 90</t>
  </si>
  <si>
    <t>Vit C Xtr 500mg CAP 180</t>
  </si>
  <si>
    <t>Vit C 500mg Peach ChwTAB 90</t>
  </si>
  <si>
    <t>CHEW</t>
  </si>
  <si>
    <t>Vit C 500mg Peach ChwTAB 180</t>
  </si>
  <si>
    <t>Vit C 500mg BluRBoy ChwTAB 90</t>
  </si>
  <si>
    <t>Vit C 500mg BluRBoy ChwTAB 180</t>
  </si>
  <si>
    <t>Vit C 500mg Jungle ChwTAB 90</t>
  </si>
  <si>
    <t>Vit C 500mg Jungle ChwTAB 180</t>
  </si>
  <si>
    <t>Vit C 500mg Oran ChwTAB 90</t>
  </si>
  <si>
    <t>Vit C 500mg Oran ChwTAB 180</t>
  </si>
  <si>
    <t>Vit C 500mg MxFruit ChwTAB 90</t>
  </si>
  <si>
    <t>CXtrQuerc 500/500mg TAB 60</t>
  </si>
  <si>
    <t>CXtrQuerc 500/500mg TAB 90</t>
  </si>
  <si>
    <t>Vit C 500mg MxFruit ChwTAB 180</t>
  </si>
  <si>
    <t>Vit C 1000mg TR TAB 90</t>
  </si>
  <si>
    <t>Vit C 1000mg TR TAB 180</t>
  </si>
  <si>
    <t>Vit C 1000mg w/Rose TAB 90</t>
  </si>
  <si>
    <t>Vit C 1000mg w/Rose TAB 180</t>
  </si>
  <si>
    <t>Vit C 1000mg w/Rose TAB 360</t>
  </si>
  <si>
    <t>Cal Ascorb 1000mg CAP 90</t>
  </si>
  <si>
    <t>BioCgel 500mg SG 90</t>
  </si>
  <si>
    <t>BioCgel 500mg SG 180</t>
  </si>
  <si>
    <t>RegenLife Bioenerg VitC SG 120</t>
  </si>
  <si>
    <t>Vit C 1000mg Crystals 125g</t>
  </si>
  <si>
    <t>125 g</t>
  </si>
  <si>
    <t>PWD</t>
  </si>
  <si>
    <t>Vit C 1000mg Crystals 250g</t>
  </si>
  <si>
    <t>250 g</t>
  </si>
  <si>
    <t>Vit C 1000mg Crystals 500g</t>
  </si>
  <si>
    <t>500 g</t>
  </si>
  <si>
    <t>Vit C 1000mg Crystals 1kg</t>
  </si>
  <si>
    <t>1 kg</t>
  </si>
  <si>
    <t>Vit C 1000mg TR TAB 60</t>
  </si>
  <si>
    <t>Cal Ascorb 1000mg 125g</t>
  </si>
  <si>
    <t>Cal Ascorb 1000mg 250g</t>
  </si>
  <si>
    <t>Cal Ascorb 1000mg 500g</t>
  </si>
  <si>
    <t>Querc LipoMicel 250mg SG 60</t>
  </si>
  <si>
    <t>Querc LipoMicel 250mg SG 30</t>
  </si>
  <si>
    <t>Citrus Bioflv 650mg CAP 90</t>
  </si>
  <si>
    <t>Querc EMIQ 50mg VCAP 60</t>
  </si>
  <si>
    <t>Querc Cmplx VCAP 90</t>
  </si>
  <si>
    <t>Querc 500mg w/Zinc+Cu VCAP 60</t>
  </si>
  <si>
    <t>Rutin 250mg CAP 90</t>
  </si>
  <si>
    <t>Querc LipoMicel250mg SG 120  </t>
  </si>
  <si>
    <t>BFriends Vit C Oran ChwTAB 90</t>
  </si>
  <si>
    <t>CXtrQuerc 500/250mg VCAP 60</t>
  </si>
  <si>
    <t>CXtrQuerc 500/250mg VCAP 90</t>
  </si>
  <si>
    <t>Vit E 200IU Mix Toco SG 90</t>
  </si>
  <si>
    <t>Vit E 200IU SG 90</t>
  </si>
  <si>
    <t>Vit E 400IU Mix Toco SG 90</t>
  </si>
  <si>
    <t>Vit E 400IU Mix Toco SG 180</t>
  </si>
  <si>
    <t>Vit E 400IU SG 90</t>
  </si>
  <si>
    <t>Vit E 400IU SG 180</t>
  </si>
  <si>
    <t>Vit E 400IU Clear Base SG 90</t>
  </si>
  <si>
    <t>Vit E 400IU Clear Base SG 180</t>
  </si>
  <si>
    <t>Super Multi Iron Free TAB 90</t>
  </si>
  <si>
    <t>Super Multi Iron Free TAB 180</t>
  </si>
  <si>
    <t>Super Multi w/Iron TAB 90</t>
  </si>
  <si>
    <t>Super Multi w/Iron TAB 180</t>
  </si>
  <si>
    <t>Hi Pot Multi TAB 90</t>
  </si>
  <si>
    <t>Hi Pot Multi TAB 180</t>
  </si>
  <si>
    <t>BFriends Vit D3 15mL</t>
  </si>
  <si>
    <t>BFriends Vit D3 ChwTAB 250</t>
  </si>
  <si>
    <t>BFriends Vit D3 ChwTAB 60</t>
  </si>
  <si>
    <t>BFriends Multi Brry ChwTAB 60</t>
  </si>
  <si>
    <t>BF Prenatal Multi TAB 60</t>
  </si>
  <si>
    <t>MultiFactors Wmns VCAP 90</t>
  </si>
  <si>
    <t>MultiFactors Wmns50 VCAP 90</t>
  </si>
  <si>
    <t>MultiFactors Mens VCAP 90</t>
  </si>
  <si>
    <t>MultiFactors Mens50 VCAP 90</t>
  </si>
  <si>
    <t>Zinc Cit 15mg TAB 30</t>
  </si>
  <si>
    <t>Cal/Mag Cit w/D3 TAB 90</t>
  </si>
  <si>
    <t>Cal/Mag Cit w/D3 TAB 180</t>
  </si>
  <si>
    <t>Cal Factor 350mg TAB 90</t>
  </si>
  <si>
    <t>Zinc Cit 50mg TAB 30</t>
  </si>
  <si>
    <t>Cal/Mag 2to1 w/D3 CAP 90</t>
  </si>
  <si>
    <t>Cal/Mag 2to1 w/D3 CAP 180</t>
  </si>
  <si>
    <t>Cal/Mag Cit w/D3 CAP 90</t>
  </si>
  <si>
    <t>Cal/Mag Cit w/D3 CAP 180</t>
  </si>
  <si>
    <t>Chrom Chel 500mcg TAB 90</t>
  </si>
  <si>
    <t>Chrom &amp; Vanadium 125mcg CAP 90</t>
  </si>
  <si>
    <t>Chrom Picolinate 250mcg TAB 90</t>
  </si>
  <si>
    <t>Chrom Picolinate 500mcg TAB 90</t>
  </si>
  <si>
    <t>BF Iron 10mg Peach ChwTAB 60</t>
  </si>
  <si>
    <t>Iron Chel 25mg TAB 90</t>
  </si>
  <si>
    <t>Mag Bisgly 200mg Pure VCAP 120</t>
  </si>
  <si>
    <t>Mag Bisgly 200mg Pure 145g</t>
  </si>
  <si>
    <t>Mag Bisgly 200mg Pure VCAP 250</t>
  </si>
  <si>
    <t>Iron Factors 35mg TAB 90</t>
  </si>
  <si>
    <t>HemoFactors 20mg ChwTAB 60</t>
  </si>
  <si>
    <t>BFriends Mag Cit Bbg ChwTAB 60</t>
  </si>
  <si>
    <t>Mag Cit 150mg KeyLm ChwTAB 60</t>
  </si>
  <si>
    <t>Mag Chel 125mg CAP 90</t>
  </si>
  <si>
    <t>Mag Cit 150mg CAP 90</t>
  </si>
  <si>
    <t>Mag Cit 150mg CAP 180</t>
  </si>
  <si>
    <t>Mag Oxide 250mg Cplt 90</t>
  </si>
  <si>
    <t>Mag Cit 150mg CAP 360</t>
  </si>
  <si>
    <t>Mn Chel 25mg TAB 90</t>
  </si>
  <si>
    <t>Potassium Cit 99mg TAB 90</t>
  </si>
  <si>
    <t>Potassium Cit 99mg TAB 180</t>
  </si>
  <si>
    <t>Mag Bisgly Pure PWD 290g</t>
  </si>
  <si>
    <t>Selenium Chel 50mcg TAB 90</t>
  </si>
  <si>
    <t>Selenium (Yeast) 200mcg TAB 60</t>
  </si>
  <si>
    <t>Selenium (Yeast) 200mcg TAB 90</t>
  </si>
  <si>
    <t>Selenium Yeast 200mcg TAB 180</t>
  </si>
  <si>
    <t>Selenium (Yeast) 100mcg TAB 90</t>
  </si>
  <si>
    <t>SelenoExcell 200mcg CAP 90</t>
  </si>
  <si>
    <t>Zinc Cit 15mg TAB 90</t>
  </si>
  <si>
    <t>Zinc Cit 50mg TAB 90</t>
  </si>
  <si>
    <t>Zinc Cit 50mg TAB 180</t>
  </si>
  <si>
    <t>Zinc Chel 25mg TAB 90</t>
  </si>
  <si>
    <t>Zinc HBloss Loz 60</t>
  </si>
  <si>
    <t>Zinc Cherry Loz 60</t>
  </si>
  <si>
    <t>Zinc Bisgly 25mg VCAP 120</t>
  </si>
  <si>
    <t>Zinc Bisgly 50mg VCAP 120</t>
  </si>
  <si>
    <t>Comp Megazymes TAB 90</t>
  </si>
  <si>
    <t>Comp Megazymes TAB 180</t>
  </si>
  <si>
    <t>Activated Charcoal 250mg SG 90</t>
  </si>
  <si>
    <t>Betaine HCl 500mg VCAP 90</t>
  </si>
  <si>
    <t>Betaine HCl 500mg VCAP 180</t>
  </si>
  <si>
    <t>Gluten Relief VCAP 90</t>
  </si>
  <si>
    <t>Nattokinase 100 mg VCAP 60</t>
  </si>
  <si>
    <t>ClenZyme VCAP 90</t>
  </si>
  <si>
    <t>Bromelain 500mg CAP 90</t>
  </si>
  <si>
    <t>Bromelain 500mg CAP 180</t>
  </si>
  <si>
    <t>Turm &amp; Bromelain CAP 90</t>
  </si>
  <si>
    <t>Lactase Enzyme CAP 60</t>
  </si>
  <si>
    <t>Multi Enzyme Hi Pot VCAP 60</t>
  </si>
  <si>
    <t>Multi Enzyme Hi Pot VCAP 120</t>
  </si>
  <si>
    <t>Soothe Digest CAP 90</t>
  </si>
  <si>
    <t>Papaya Enzyme ChwTAB 60</t>
  </si>
  <si>
    <t>Papaya Enzyme ChwTAB 120</t>
  </si>
  <si>
    <t>GastroAssist VCAP 60</t>
  </si>
  <si>
    <t>Prem MilkThistle 160mg VCAP 60</t>
  </si>
  <si>
    <t>MacroGest KetoPaleo DR VCAP 60</t>
  </si>
  <si>
    <t>MacroGest Vegetarian VCAP 60</t>
  </si>
  <si>
    <t>Zymactive Dbl Str EC TAB 90</t>
  </si>
  <si>
    <t>Acidoph &amp; Bif 5B CAP 90</t>
  </si>
  <si>
    <t>Acidoph &amp; Bif 5B CAP 180</t>
  </si>
  <si>
    <t>Acidoph &amp; Bif 10B CAP 90</t>
  </si>
  <si>
    <t>Acidoph &amp; Bif 10B CAP 180</t>
  </si>
  <si>
    <t>Mega Probiot 12B 75g</t>
  </si>
  <si>
    <t>75 g</t>
  </si>
  <si>
    <t>TravelBiotic BB536 10B VCAP 60</t>
  </si>
  <si>
    <t>Seniors Probiot 35B VCAP 30</t>
  </si>
  <si>
    <t>CritCare Probiot 55B VCAP 30</t>
  </si>
  <si>
    <t>CritCare Probiot 55 VCAP 80</t>
  </si>
  <si>
    <t>CritCare Probiot 100B VCAP 30</t>
  </si>
  <si>
    <t>WmnsEveryday Probiot25B VCAP30</t>
  </si>
  <si>
    <t>Wmns Ultra Probiot 55B VCAP 30</t>
  </si>
  <si>
    <t>Ult Probiot 12B VCAP 60</t>
  </si>
  <si>
    <t>Ult Probiot 12B VCAP 120</t>
  </si>
  <si>
    <t>Wmns Probiot 12B VCAP 60</t>
  </si>
  <si>
    <t>Wmns Probiot 12B VCAP 120</t>
  </si>
  <si>
    <t>BFriends Probiot 3B 60g</t>
  </si>
  <si>
    <t>Ult Probiot 24B VCAP 60</t>
  </si>
  <si>
    <t>CalmBiotic 3B VCAP 30</t>
  </si>
  <si>
    <t>IBS ReliefBiotic 7B VCAP 30</t>
  </si>
  <si>
    <t>RegenLife MitoEnergy 81g</t>
  </si>
  <si>
    <t>RegenLife MitoEnergy VCAP 120</t>
  </si>
  <si>
    <t>RegenLife LongevityKit 30pack</t>
  </si>
  <si>
    <t>SleepBetter Trilayer TR TAB 60</t>
  </si>
  <si>
    <t>NMNSurge 150mg VCAP 60</t>
  </si>
  <si>
    <t>RegenLife DailyBrainKit 30pack</t>
  </si>
  <si>
    <t>RegenLife Resveratrol VCAP 60</t>
  </si>
  <si>
    <t>Mag LThreonate 667mg VCAP 90</t>
  </si>
  <si>
    <t>NMNSurge VCAP 120</t>
  </si>
  <si>
    <t>RegenLife Whey MR Van 885g</t>
  </si>
  <si>
    <t>RegenLife Whey MR Choc 940g</t>
  </si>
  <si>
    <t>L-Taurine 1000mg VCAP 120</t>
  </si>
  <si>
    <t>RegenLife Berber SG 90</t>
  </si>
  <si>
    <t>regenlife MitoEnergy PWD 162g</t>
  </si>
  <si>
    <t>AcetlyL-Carnitine500mg VCAP 90</t>
  </si>
  <si>
    <t>AcetlyL-Carnitine500mg VCAP120</t>
  </si>
  <si>
    <t>Regenerlife BeePowerful CAP 90</t>
  </si>
  <si>
    <t>Regenlife TestoVitalityVCAP 60</t>
  </si>
  <si>
    <t>regenlife CreatinePWDUnflv300g</t>
  </si>
  <si>
    <t>RL Rhodiola 500mg VCAP 60</t>
  </si>
  <si>
    <t>Regenlife CogniSaveKit 30pack</t>
  </si>
  <si>
    <t>pack</t>
  </si>
  <si>
    <t>RL Ashwagn 600mg VCAP 90</t>
  </si>
  <si>
    <t>RL NMN 500 mg VCAP 30</t>
  </si>
  <si>
    <t>Tonalin CLA 1000mg SG 180</t>
  </si>
  <si>
    <t>ACV 500mg CAP 90</t>
  </si>
  <si>
    <t>ACV&amp;Chrom 500mg/250mcg VCAP 90</t>
  </si>
  <si>
    <t>CoQ10 100mg SG 30</t>
  </si>
  <si>
    <t>CoQ10 100mg SG 60</t>
  </si>
  <si>
    <t>CoQ10 100mg SG 120</t>
  </si>
  <si>
    <t>CoQ10 60mg CAP 120</t>
  </si>
  <si>
    <t>Pycnogenol 25mg VCAP 60</t>
  </si>
  <si>
    <t>Pycnogenol 100mg VCAP 30</t>
  </si>
  <si>
    <t>RALA 100mg VCAP 60</t>
  </si>
  <si>
    <t>ALA 200mg CAP 60</t>
  </si>
  <si>
    <t>ALA 400mg CAP 60</t>
  </si>
  <si>
    <t>ALA 600mg +B VCAP 60</t>
  </si>
  <si>
    <t>Fenugreek Seed 500mg CAP 90</t>
  </si>
  <si>
    <t>Flax Oil 1000mg MWO SG 90</t>
  </si>
  <si>
    <t>Flax Oil 1000mg MWO SG 180</t>
  </si>
  <si>
    <t>WldPacificSalmon 1000mg SG 90</t>
  </si>
  <si>
    <t>WldPacificSalmon 1000mg SG 180</t>
  </si>
  <si>
    <t>Ult 369 1200mg SG 90</t>
  </si>
  <si>
    <t>Ult 369 1200mg SG 180</t>
  </si>
  <si>
    <t>WldAlaskaSalmon 1300mg ESG 90</t>
  </si>
  <si>
    <t>WldAlaskaSalmon 1300mg ESG 180</t>
  </si>
  <si>
    <t>GarlicRich 500mg ESG 90</t>
  </si>
  <si>
    <t>GarlicRich 500mg ESG 180</t>
  </si>
  <si>
    <t>GarlicReishi 300mg DR VCAP 120</t>
  </si>
  <si>
    <t>UltraPrim EPO 1000mg SG 90</t>
  </si>
  <si>
    <t>UltraPrim EPO 1000mg SG 180</t>
  </si>
  <si>
    <t>UltraPrim EPO 500mg SG 90</t>
  </si>
  <si>
    <t>UltraPrim EPO 500mg SG 180</t>
  </si>
  <si>
    <t>ReVitalX 454g</t>
  </si>
  <si>
    <t>454 g</t>
  </si>
  <si>
    <t>Detoxitech 592g</t>
  </si>
  <si>
    <t>592 g</t>
  </si>
  <si>
    <t>Kelp 750mcg TAB180</t>
  </si>
  <si>
    <t>Unblch Lecithin 1200mg SG 90</t>
  </si>
  <si>
    <t>Unblch Lecithin 1200mg SG 180</t>
  </si>
  <si>
    <t>PhosphatidylCholin 420mg SG 90</t>
  </si>
  <si>
    <t>BioPQQ 20mg VCAP 30</t>
  </si>
  <si>
    <t>PhosphatidylSerin 100mg SG 30</t>
  </si>
  <si>
    <t>PhosphatidylSerin 100mg SG 60</t>
  </si>
  <si>
    <t>PSIQ Memory Soy Free SG 60</t>
  </si>
  <si>
    <t>PQQ &amp; CoQ10 20/200mg SG 30</t>
  </si>
  <si>
    <t>PQQ &amp; CoQ10 20/200mg SG 60</t>
  </si>
  <si>
    <t>PhosphatidylSerin 100mg SG 120</t>
  </si>
  <si>
    <t>TB Marine Collagen Unflv 99g</t>
  </si>
  <si>
    <t>TB Marine Collagen Unflv 135g</t>
  </si>
  <si>
    <t>TB Collagen Pomegr 500g</t>
  </si>
  <si>
    <t>TB Collagen Oran 500g</t>
  </si>
  <si>
    <t>TB Collagen Unflv 500g</t>
  </si>
  <si>
    <t>TB Collagen TAB 180</t>
  </si>
  <si>
    <t>TBC MR w/PGX Van 855g</t>
  </si>
  <si>
    <t>TB MultiCollagen Uflv 267g</t>
  </si>
  <si>
    <t>MSM 1000mg CAP 90</t>
  </si>
  <si>
    <t>MSM 1000mg CAP 180</t>
  </si>
  <si>
    <t>FlexAble GLS 500mg CAP 180</t>
  </si>
  <si>
    <t>Hyabest 120mg VCAP 60</t>
  </si>
  <si>
    <t>Celadrin 350mg SG 120</t>
  </si>
  <si>
    <t>OsteoMove Joint Care TAB 120</t>
  </si>
  <si>
    <t>GLS &amp; Chon 900mg CAP 60</t>
  </si>
  <si>
    <t>GLS &amp; Chon 900mg CAP 120</t>
  </si>
  <si>
    <t>NEM 500mg VCAP 30</t>
  </si>
  <si>
    <t>NEM 500mg VCAP 60</t>
  </si>
  <si>
    <t>MSM Joint Form CAP 180</t>
  </si>
  <si>
    <t>MSM &amp; GLS CAP 180</t>
  </si>
  <si>
    <t>PEA400 400mg VCAP 90</t>
  </si>
  <si>
    <t>SAMe 200mg EC TAB 30</t>
  </si>
  <si>
    <t>SAMe 200mg EC TAB 60</t>
  </si>
  <si>
    <t>Soy Isoflav 50mg CAP 60</t>
  </si>
  <si>
    <t>Melatonin 1mg SubTAB 90</t>
  </si>
  <si>
    <t>Melatonin 1mg SubTAB 180</t>
  </si>
  <si>
    <t>Melatonin 3mg SubTAB 90</t>
  </si>
  <si>
    <t>Melatonin 3mg SubTAB 180</t>
  </si>
  <si>
    <t>Melatonin 5mg SubTAB 90</t>
  </si>
  <si>
    <t>Melatonin 5mg SubTAB 180</t>
  </si>
  <si>
    <t>Melatonin 10mg SubTAB 90</t>
  </si>
  <si>
    <t>Melatonin 10mg SubTAB 180</t>
  </si>
  <si>
    <t>Melatonin 10mg Bilayer TRTAB90</t>
  </si>
  <si>
    <t>L-Tyrosine 500mg VCAP 120</t>
  </si>
  <si>
    <t>Glutamine 5g micro unflv 450g</t>
  </si>
  <si>
    <t>AcetylCarnitine 500mg VCAP 60</t>
  </si>
  <si>
    <t>Carnitine 500mg VCAP 60</t>
  </si>
  <si>
    <t>Arginine 1000mg TAB 90</t>
  </si>
  <si>
    <t>Tyrosine 500mg VCAP 60</t>
  </si>
  <si>
    <t>Glutamine 5g Micro Unflv 300g</t>
  </si>
  <si>
    <t>NAC 500mg VCAP 90</t>
  </si>
  <si>
    <t>NAC 600mg VCAP 60</t>
  </si>
  <si>
    <t>Glutathione 300mg SG 60</t>
  </si>
  <si>
    <t>Glutamine 500mg VCAP 60</t>
  </si>
  <si>
    <t>Arginine 500mg VCAP 90</t>
  </si>
  <si>
    <t>Lysine 500mg VCAP 90</t>
  </si>
  <si>
    <t>5HTP 100mg TR Cplt 60</t>
  </si>
  <si>
    <t>SR TranqSlp EC SG 90</t>
  </si>
  <si>
    <t>SR TranqSlp Trop ChwTAB 60</t>
  </si>
  <si>
    <t>SR Mental Calm ChwTAB 60</t>
  </si>
  <si>
    <t>SR Serenity Form VCAP 60</t>
  </si>
  <si>
    <t>SR GABA 100mg Trop ChwTAB 60</t>
  </si>
  <si>
    <t>SR GABA 100mg VCAP 90</t>
  </si>
  <si>
    <t>SR Mental Calm ChwTAB 120</t>
  </si>
  <si>
    <t>SR Serenity Form VCAP 120</t>
  </si>
  <si>
    <t>SR TranqSlp 12x ChwTAB 10</t>
  </si>
  <si>
    <t>10 X 12 bottles</t>
  </si>
  <si>
    <t>SR Mind Retreat VCAP 60</t>
  </si>
  <si>
    <t>SR GABA 100mg Trop ChwTAB 120</t>
  </si>
  <si>
    <t>SR TranqSlp Trop ChwTAB 120</t>
  </si>
  <si>
    <t>5HTP 100mg TR Cplt 120</t>
  </si>
  <si>
    <t>SR GABA 250mg VCAP 60</t>
  </si>
  <si>
    <t>SR TranqSlp XtrStr ChwTAB 60</t>
  </si>
  <si>
    <t>SR Kava Kava 250mg VCAP 60</t>
  </si>
  <si>
    <t>SR Saffron Ext 28mg VCAP30</t>
  </si>
  <si>
    <t>Arginine 1000mg TAB 180</t>
  </si>
  <si>
    <t>Glutamine 1000mg VCAP 60</t>
  </si>
  <si>
    <t>Lysine 500mg VCAP 180</t>
  </si>
  <si>
    <t>Lysine 1000mg TAB 60</t>
  </si>
  <si>
    <t>Lysine 1000mg TAB 120</t>
  </si>
  <si>
    <t>Glutathione 300mg SG 90</t>
  </si>
  <si>
    <t>SR Ashwagan 600mg MWO VCAP 30</t>
  </si>
  <si>
    <t>L-Tryptophan 220mg VCAP 90</t>
  </si>
  <si>
    <t>NAC 1000mg TAB 90</t>
  </si>
  <si>
    <t>L-Theanine 250 mg VCAP 90</t>
  </si>
  <si>
    <t>MagBis100mgTheanine125mgVCAP90</t>
  </si>
  <si>
    <t>MagBis40mgTheanine250mg VCAP90</t>
  </si>
  <si>
    <t>Peaceful Zzz 250mg VCAP 60</t>
  </si>
  <si>
    <t>SR Ashwagn 600mg MWO VCAP 60</t>
  </si>
  <si>
    <t>Saffron Ext 28mg VCAP 60</t>
  </si>
  <si>
    <t>L-Taurine 3000 mg PWD 450g</t>
  </si>
  <si>
    <t>L-Tyrosine 5000mg PWD 250g</t>
  </si>
  <si>
    <t>5HTP 200mg TR TAB 60</t>
  </si>
  <si>
    <t>5HTP 200mg TR TAB 120</t>
  </si>
  <si>
    <t>Fresh Kelp Ext 50mL</t>
  </si>
  <si>
    <t>ChiaFactors Org 360g</t>
  </si>
  <si>
    <t>360g</t>
  </si>
  <si>
    <t>Vgn Prot Van 1kg</t>
  </si>
  <si>
    <t>Vgn Prot Choc 1kg</t>
  </si>
  <si>
    <t>Whey Factors FrVan 1kg</t>
  </si>
  <si>
    <t>Whey Factors Choc 1kg</t>
  </si>
  <si>
    <t>Whey Factors Unflv 1kg</t>
  </si>
  <si>
    <t>Kids VegDay AIO Org Choc 460g</t>
  </si>
  <si>
    <t>12/box</t>
  </si>
  <si>
    <t>Bee Propolis 500mg CAP 90</t>
  </si>
  <si>
    <t>Bee Propolis 65% Ext Tinc 30mL</t>
  </si>
  <si>
    <t>Bee Propolis Throat Spry 30mL</t>
  </si>
  <si>
    <t>LipoMicel VitD 2000IU 90 SG</t>
  </si>
  <si>
    <t>LipoMicel VitD 2000IU 180 SG</t>
  </si>
  <si>
    <t>LipoMicel VitD 2000IU 360 SG</t>
  </si>
  <si>
    <t>Lung Bronchial &amp; Sinus TAB 45</t>
  </si>
  <si>
    <t>Lung Bronchial &amp; Sinus TAB 90</t>
  </si>
  <si>
    <t>Ult Prostate Support SG 60</t>
  </si>
  <si>
    <t>Peppermint w/Oregano EC SG 60</t>
  </si>
  <si>
    <t>UltStrength Omega3 KESG 90</t>
  </si>
  <si>
    <t>UltStrength Omega3 KESG 150</t>
  </si>
  <si>
    <t>UltStrength Omega3+D3 KESG 90</t>
  </si>
  <si>
    <t>UltStrength Omega3+D3 KESG 150</t>
  </si>
  <si>
    <t>SR Mag Nighttime 120g</t>
  </si>
  <si>
    <t>SR Mag Nighttime VCAP 90</t>
  </si>
  <si>
    <t>Vision Factors CAP 60</t>
  </si>
  <si>
    <t>SR Mag Cit 300mg Brry 250g</t>
  </si>
  <si>
    <t>SR Mag Cit 300mg Trop 250g</t>
  </si>
  <si>
    <t>WellBet Berber 500mg VCAP 120</t>
  </si>
  <si>
    <t>WellBet Berber 500mg VCAP 60</t>
  </si>
  <si>
    <t>RxOmega3 600mg ESG 60</t>
  </si>
  <si>
    <t>RxOmega3 600mg ESG 120</t>
  </si>
  <si>
    <t>RxOmega3 900mg w/D3 ESG 150</t>
  </si>
  <si>
    <t>RxOmega3 900mg ESG 150</t>
  </si>
  <si>
    <t>RxOmega3 500mg Mini ESG 60</t>
  </si>
  <si>
    <t>WellBet Multi TAB 120</t>
  </si>
  <si>
    <t>PGX Daily 750mg SG 120</t>
  </si>
  <si>
    <t>PGX Daily Singles 30x2.5g</t>
  </si>
  <si>
    <t>sticks</t>
  </si>
  <si>
    <t>PGX Daily 750mg SG 240</t>
  </si>
  <si>
    <t>Wmns RxOmega3 300mg ESG 60</t>
  </si>
  <si>
    <t>Wmns RxOmega3 300mg ESG 120</t>
  </si>
  <si>
    <t>WellBet Mulbrry100mg CAP 90</t>
  </si>
  <si>
    <t>SlimStyles PGX Gran 300g</t>
  </si>
  <si>
    <t>300 g</t>
  </si>
  <si>
    <t>WellBet Cinn Ext 150mg CAP 60</t>
  </si>
  <si>
    <t>RealEasy PGXWheyMR Choc 940g</t>
  </si>
  <si>
    <t>RealEasy PGXWheyMR FrVan 870g</t>
  </si>
  <si>
    <t>RealEasyTM PGX MRVgn Choc 855g</t>
  </si>
  <si>
    <t>RealEasyTM PGX MR Vgn Van 830g</t>
  </si>
  <si>
    <t>RealEasyTM PGXWheyMR Strw 885g</t>
  </si>
  <si>
    <t>Garcinia Cambogia 750mg TAB 90</t>
  </si>
  <si>
    <t>BilbrryExt 40mg CAP 90</t>
  </si>
  <si>
    <t>Panax Ginseng 100mg SG 60</t>
  </si>
  <si>
    <t>MilkThistle 250mg CAP 90</t>
  </si>
  <si>
    <t>ProstCare SG 90</t>
  </si>
  <si>
    <t>Cascara Sagrada 250mg VCAP 90</t>
  </si>
  <si>
    <t>Cayenne 470mg CAP 90</t>
  </si>
  <si>
    <t>Saw Palmetto 500mg CAP 90</t>
  </si>
  <si>
    <t>Valerian 250mg Tinc 50mL</t>
  </si>
  <si>
    <t>50 mL</t>
  </si>
  <si>
    <t>Tea Tree Oil 100mL</t>
  </si>
  <si>
    <t>100 mL</t>
  </si>
  <si>
    <t>Tea Tree Oil 50mL</t>
  </si>
  <si>
    <t>Tea Tree Spry 30mL</t>
  </si>
  <si>
    <t>30 mL</t>
  </si>
  <si>
    <t>Dandelion Root 800mg VCAP 90</t>
  </si>
  <si>
    <t>Ginger 500mg ChwTAB 90</t>
  </si>
  <si>
    <t>DGL 400mg ChwTAB 180</t>
  </si>
  <si>
    <t>DGL 400mg ChwTAB 90</t>
  </si>
  <si>
    <t>CranRich 500mg CAP 90</t>
  </si>
  <si>
    <t>CranRich 500mg CAP 180</t>
  </si>
  <si>
    <t>CranRich MWO 500mg SG 90</t>
  </si>
  <si>
    <t>Celery Seed Std Ext VCAP 60</t>
  </si>
  <si>
    <t>BlueRich 500mg SG 90</t>
  </si>
  <si>
    <t>BlueRich 500mg SG 180</t>
  </si>
  <si>
    <t>Echina Fresh Herb Ext SG 90</t>
  </si>
  <si>
    <t>CherryRich 500mg SG 90</t>
  </si>
  <si>
    <t>ApplePectinRich 500mg VCAP 90</t>
  </si>
  <si>
    <t>ResveratrolRich 500mg VCAP 60</t>
  </si>
  <si>
    <t>Ginger Root 1200mg VCAP 90</t>
  </si>
  <si>
    <t>AcaiRich 500mg CAP 90</t>
  </si>
  <si>
    <t>Siberian Ginseng 250mg CAP 90</t>
  </si>
  <si>
    <t>GinkgoBiloba 60mg CAP 120</t>
  </si>
  <si>
    <t>GrapeSeedRich 100mg VCAP 90</t>
  </si>
  <si>
    <t>MacaRich 500mg VCAP 90</t>
  </si>
  <si>
    <t>CurcuminRich 30mg VCAP 60</t>
  </si>
  <si>
    <t>CurcuminRich 30mg VCAP 120</t>
  </si>
  <si>
    <t>CurcuminRich 60mg VCAP 30</t>
  </si>
  <si>
    <t>CurcuminRich 60mg VCAP 60</t>
  </si>
  <si>
    <t>CherryRich 500mg SG 180</t>
  </si>
  <si>
    <t>Coco Oil 1000mg MWO SG 120</t>
  </si>
  <si>
    <t>CurcuminRich 60mg VCAP 120</t>
  </si>
  <si>
    <t>Muscle Recov &amp; Growth 156g</t>
  </si>
  <si>
    <t>Saw Palmetto w/Lycopene SG 90</t>
  </si>
  <si>
    <t>Memory Optimizer VCAP 60</t>
  </si>
  <si>
    <t>Joint Optimizer VCAP 60</t>
  </si>
  <si>
    <t>GrapeSeedExtract400mg VCAP 60</t>
  </si>
  <si>
    <t>Heartburn Chew 90 ChwTAB</t>
  </si>
  <si>
    <t>Heartburn Chew 30 ChwTAB</t>
  </si>
  <si>
    <t>Valerian Root 300mg CAP 90</t>
  </si>
  <si>
    <t>Olive Leaf 500mg CAP 90</t>
  </si>
  <si>
    <t>Oregano Oil Org 30mL</t>
  </si>
  <si>
    <t>30mL</t>
  </si>
  <si>
    <t>Oregano Oil Org 60mL</t>
  </si>
  <si>
    <t>60mL</t>
  </si>
  <si>
    <t>Oregano Oil 180mg SG 30</t>
  </si>
  <si>
    <t>Oregano Oil 180mg SG 60</t>
  </si>
  <si>
    <t>Oregano Oil Org 15mL</t>
  </si>
  <si>
    <t>Berber LipoMicel SG 60</t>
  </si>
  <si>
    <t>Berber LipoMicel SG 120</t>
  </si>
  <si>
    <t>HorseChest &amp; Grape Seed CAP 60</t>
  </si>
  <si>
    <t>Diuretic Form CAP 90</t>
  </si>
  <si>
    <t>Eye Factors Form CAP 90</t>
  </si>
  <si>
    <t>LG Cleanse Form CAP 90</t>
  </si>
  <si>
    <t>Sleep Relax Form CAP 90</t>
  </si>
  <si>
    <t>AntiViral Herbal Ext SG 60</t>
  </si>
  <si>
    <t>AntiViral Herbal Ext SG 120</t>
  </si>
  <si>
    <t>Echinamide QkBlast 6xChwSG 30</t>
  </si>
  <si>
    <t>Black Elderbrry100mg SG 60</t>
  </si>
  <si>
    <t>Black Elderbrry100mg SG 120</t>
  </si>
  <si>
    <t>Echina Fresh Herb Tinc 50mL</t>
  </si>
  <si>
    <t>Echina Fresh Herb Tinc 100mL</t>
  </si>
  <si>
    <t>Echina NoAlc Brry Tinc 50mL</t>
  </si>
  <si>
    <t>BFriends EchinaNoAlc Brry 50mL</t>
  </si>
  <si>
    <t>Echina &amp; Goldenseal Tinc 50mL</t>
  </si>
  <si>
    <t>Echina &amp; Goldenseal Tinc 100mL</t>
  </si>
  <si>
    <t>AntiViral Herbal MWO Tinc 50mL</t>
  </si>
  <si>
    <t>AntiViral Herbal MWO Tinc 100mL</t>
  </si>
  <si>
    <t>Echinamide Cold &amp; Cough 150mL</t>
  </si>
  <si>
    <t>150 mL</t>
  </si>
  <si>
    <t>Flu&amp;Cold Soothing Tea 150mL</t>
  </si>
  <si>
    <t>BF Multi Vit Min VCAP 60</t>
  </si>
  <si>
    <t>MilkThistle Phyto 150mg CAP 90</t>
  </si>
  <si>
    <t>GinkgoBiloba Phyto 60mg CAP 60</t>
  </si>
  <si>
    <t>Hawthorn Ext 300mg VCAP 60</t>
  </si>
  <si>
    <t>St Johns Wort 300mg CAP 90</t>
  </si>
  <si>
    <t>SR Mental Calm VCAP 60</t>
  </si>
  <si>
    <t>Rhodiola 150mg CAP 60</t>
  </si>
  <si>
    <t>Black Cohosh 40mg VCAP 90</t>
  </si>
  <si>
    <t>Vitex 80mg Std Ext VCAP 90</t>
  </si>
  <si>
    <t>Reliefibre Org Unflv 200g</t>
  </si>
  <si>
    <t>Reliefiber Org Trop 268g</t>
  </si>
  <si>
    <t>RevitalX&amp;DetoxiTech Kit</t>
  </si>
  <si>
    <t>KIT</t>
  </si>
  <si>
    <t>Cal Ascorb 1000mg CAP 180</t>
  </si>
  <si>
    <t>CoQ10 200mg SG 60</t>
  </si>
  <si>
    <t>CoQ10 200mg SG 120</t>
  </si>
  <si>
    <t>CoQ10 400mg SG 60</t>
  </si>
  <si>
    <t>Ubiquinol CoQ10 100mg SG 60</t>
  </si>
  <si>
    <t>Ubiquinol CoQ10 100mg SG 120</t>
  </si>
  <si>
    <t>Ubiquinol CoQ10 200mg SG 30</t>
  </si>
  <si>
    <t>Ubiquinol CoQ10 200mg SG 60</t>
  </si>
  <si>
    <t>FlexAble GLS 500mg CAP 500</t>
  </si>
  <si>
    <t>OsteoMove Joint Care TAB 240</t>
  </si>
  <si>
    <t>OsteoMove Joint Care TAB 60</t>
  </si>
  <si>
    <t>GLS &amp; Chon 900mg CAP 240</t>
  </si>
  <si>
    <t>RxOmega3 500mg Mini ESG 120</t>
  </si>
  <si>
    <t>WES Herring Gold 1000mg SG 60</t>
  </si>
  <si>
    <t>WES Wmns Multi Vgn TAB 60</t>
  </si>
  <si>
    <t>WES Mens50 Multi Vgn TAB 60</t>
  </si>
  <si>
    <t>WES Mens Multi Vgn TAB 60</t>
  </si>
  <si>
    <t>WES BoneStructure Multi TAB 60</t>
  </si>
  <si>
    <t>WES Org Greens Vgn BAR 6x75g</t>
  </si>
  <si>
    <t>bars</t>
  </si>
  <si>
    <t>WES Org Greens Vgn BAR 12x75g</t>
  </si>
  <si>
    <t>WES Super Mushroom Vgn VCAP 60</t>
  </si>
  <si>
    <t>WES Vgn Vit D3 1000IU VCAP 90</t>
  </si>
  <si>
    <t>WES Sunflwr Vit E 400IU SG 90</t>
  </si>
  <si>
    <t>WES Ocean Minerals 100mL</t>
  </si>
  <si>
    <t>WES Prenatal Multi Vgn TAB 60</t>
  </si>
  <si>
    <t>WES Wmns50 Multi Vgn TAB 120</t>
  </si>
  <si>
    <t>WES Wmns Multi Vgn TAB 120</t>
  </si>
  <si>
    <t>WES Mens50 Multi Vgn TAB 120</t>
  </si>
  <si>
    <t>WES Mens Multi Vgn TAB 120</t>
  </si>
  <si>
    <t>WES Prot&amp;Greens Org Trop 660g</t>
  </si>
  <si>
    <t>WES Greens Org Choc 438g</t>
  </si>
  <si>
    <t>WES Greens Org Trop 405g</t>
  </si>
  <si>
    <t>WES Greens Org Unflv 390g</t>
  </si>
  <si>
    <t>WES Prot&amp;Greens Org Choc 710g</t>
  </si>
  <si>
    <t>WES Prot&amp;Greens Org Chai 656g</t>
  </si>
  <si>
    <t>WES Prot&amp;Greens Org Unflv 640g</t>
  </si>
  <si>
    <t>WES Marine Omega3 295mg VSG30</t>
  </si>
  <si>
    <t>WES BeetsMe PupMix Org 188g</t>
  </si>
  <si>
    <t>WES SootheMe PupMix Org 125g</t>
  </si>
  <si>
    <t>WES BoostMe PupMix Org 175g</t>
  </si>
  <si>
    <t>WES Probiot 10B Vgn VCAP 60</t>
  </si>
  <si>
    <t>WES Vegan D&amp;K LIQ 15ml</t>
  </si>
  <si>
    <t>Vit K2&amp;D3 120mcg/1000IU SG 180</t>
  </si>
  <si>
    <t>Vit K2 100mcg VCAP 180</t>
  </si>
  <si>
    <t>Vit K2 100mcg VCAP 360</t>
  </si>
  <si>
    <t>NAC 600mg VCAP 180</t>
  </si>
  <si>
    <t>Lutein 20mg SG 150</t>
  </si>
  <si>
    <t>BioCgel 500mg SG 210</t>
  </si>
  <si>
    <t>Hi Pot B Cmplx 50mg CAP 210</t>
  </si>
  <si>
    <t>Vit C 1000mg TR TAB 210</t>
  </si>
  <si>
    <t>Vit C 1000mg w/Rose TAB 210</t>
  </si>
  <si>
    <t>Vit E 400IU Mix Toco SG 240</t>
  </si>
  <si>
    <t>Cal/Mag Cit w/D3 TAB 210</t>
  </si>
  <si>
    <t>Mag Cit 150mg CAP 210</t>
  </si>
  <si>
    <t>MilkThistle 250mg CAP 120</t>
  </si>
  <si>
    <t>Tonalin CLA 1000mg SG 120</t>
  </si>
  <si>
    <t>WldPacificSalmon 1000mg SG 210</t>
  </si>
  <si>
    <t>WldAlaskaSalmon 1300mg ESG 220</t>
  </si>
  <si>
    <t>MSM Joint Form CAP 240</t>
  </si>
  <si>
    <t>RxOmega3 600mg ESG 150</t>
  </si>
  <si>
    <t>MSM 1000mg CAP 240</t>
  </si>
  <si>
    <t>B12 Methyl 1000mcg SubTAB 210</t>
  </si>
  <si>
    <t>Melatonin 3mg SubTAB 210</t>
  </si>
  <si>
    <t>Size</t>
  </si>
  <si>
    <t>Format</t>
  </si>
  <si>
    <t>Weight, 
Kg</t>
  </si>
  <si>
    <t>Unіt Freight Cost</t>
  </si>
  <si>
    <t>unit, key</t>
  </si>
  <si>
    <t>Weight, kg</t>
  </si>
  <si>
    <t>Logistic Price</t>
  </si>
  <si>
    <t>Landed Cost</t>
  </si>
  <si>
    <t>Case qty</t>
  </si>
  <si>
    <t>Rating</t>
  </si>
  <si>
    <t>В</t>
  </si>
  <si>
    <t>С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</si>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</sst>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00000000000\ 0"/>
    <numFmt numFmtId="166" formatCode="_-[$$-C09]* #,##0.00_-;\-[$$-C09]* #,##0.00_-;_-[$$-C09]* &quot;-&quot;??_-;_-@_-"/>
    <numFmt numFmtId="167" formatCode="[$-409]d\-mmm\-yy;@"/>
    <numFmt numFmtId="168" formatCode="_-[$$-409]* #,##0.00_ ;_-[$$-409]* \-#,##0.00\ ;_-[$$-409]* &quot;-&quot;??_ ;_-@_ "/>
    <numFmt numFmtId="169" formatCode="[$$-409]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0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7" fontId="2" fillId="0" borderId="0"/>
    <xf numFmtId="167" fontId="4" fillId="0" borderId="0"/>
  </cellStyleXfs>
  <cellXfs count="59">
    <xf numFmtId="0" fontId="0" fillId="0" borderId="0" xfId="0"/>
    <xf numFmtId="0" fontId="8" fillId="0" borderId="4" xfId="0" applyFont="1" applyBorder="1" applyAlignment="1" applyProtection="1">
      <alignment horizontal="center"/>
      <protection hidden="1"/>
    </xf>
    <xf numFmtId="0" fontId="10" fillId="0" borderId="8" xfId="4" applyFont="1" applyBorder="1" applyAlignment="1" applyProtection="1">
      <alignment horizontal="center"/>
      <protection hidden="1"/>
    </xf>
    <xf numFmtId="0" fontId="10" fillId="0" borderId="9" xfId="4" applyFont="1" applyBorder="1" applyAlignment="1" applyProtection="1">
      <alignment horizontal="center"/>
      <protection hidden="1"/>
    </xf>
    <xf numFmtId="0" fontId="10" fillId="0" borderId="10" xfId="4" applyFont="1" applyBorder="1" applyAlignment="1" applyProtection="1">
      <alignment horizontal="center"/>
      <protection hidden="1"/>
    </xf>
    <xf numFmtId="0" fontId="10" fillId="0" borderId="11" xfId="4" applyFont="1" applyBorder="1" applyAlignment="1" applyProtection="1">
      <alignment horizontal="center"/>
      <protection hidden="1"/>
    </xf>
    <xf numFmtId="0" fontId="10" fillId="0" borderId="12" xfId="4" applyFont="1" applyBorder="1" applyAlignment="1" applyProtection="1">
      <alignment horizontal="center"/>
      <protection hidden="1"/>
    </xf>
    <xf numFmtId="0" fontId="3" fillId="2" borderId="3" xfId="1" applyFont="1" applyFill="1" applyBorder="1" applyAlignment="1" applyProtection="1">
      <alignment horizontal="center" vertical="center" wrapText="1"/>
      <protection hidden="1"/>
    </xf>
    <xf numFmtId="166" fontId="3" fillId="2" borderId="3" xfId="1" applyNumberFormat="1" applyFont="1" applyFill="1" applyBorder="1" applyAlignment="1" applyProtection="1">
      <alignment horizontal="center" vertical="center" wrapText="1"/>
      <protection hidden="1"/>
    </xf>
    <xf numFmtId="166" fontId="3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2" fillId="0" borderId="2" xfId="1" applyBorder="1" applyAlignment="1" applyProtection="1">
      <alignment horizontal="left" vertical="center"/>
      <protection hidden="1"/>
    </xf>
    <xf numFmtId="0" fontId="2" fillId="0" borderId="1" xfId="1" applyBorder="1" applyAlignment="1" applyProtection="1">
      <alignment horizontal="left" vertical="center"/>
      <protection hidden="1"/>
    </xf>
    <xf numFmtId="165" fontId="2" fillId="0" borderId="0" xfId="1" applyNumberFormat="1" applyAlignment="1" applyProtection="1">
      <alignment horizontal="center"/>
      <protection hidden="1"/>
    </xf>
    <xf numFmtId="0" fontId="2" fillId="0" borderId="0" xfId="1" applyAlignment="1" applyProtection="1">
      <alignment horizontal="left" vertical="center"/>
      <protection hidden="1"/>
    </xf>
    <xf numFmtId="166" fontId="4" fillId="0" borderId="0" xfId="1" applyNumberFormat="1" applyFont="1" applyAlignment="1" applyProtection="1">
      <alignment horizontal="center"/>
      <protection hidden="1"/>
    </xf>
    <xf numFmtId="1" fontId="4" fillId="0" borderId="2" xfId="1" applyNumberFormat="1" applyFont="1" applyBorder="1" applyAlignment="1" applyProtection="1">
      <alignment horizontal="center" wrapText="1"/>
      <protection locked="0"/>
    </xf>
    <xf numFmtId="1" fontId="4" fillId="0" borderId="1" xfId="1" applyNumberFormat="1" applyFont="1" applyBorder="1" applyAlignment="1" applyProtection="1">
      <alignment horizontal="center" wrapText="1"/>
      <protection locked="0"/>
    </xf>
    <xf numFmtId="0" fontId="2" fillId="0" borderId="2" xfId="1" applyBorder="1" applyAlignment="1" applyProtection="1">
      <alignment horizontal="center" vertical="center"/>
      <protection hidden="1"/>
    </xf>
    <xf numFmtId="166" fontId="0" fillId="0" borderId="2" xfId="0" applyNumberFormat="1" applyBorder="1" applyAlignment="1" applyProtection="1">
      <alignment horizontal="center"/>
      <protection hidden="1"/>
    </xf>
    <xf numFmtId="14" fontId="11" fillId="0" borderId="0" xfId="0" quotePrefix="1" applyNumberFormat="1" applyFont="1" applyAlignment="1">
      <alignment horizontal="center" vertical="center"/>
    </xf>
    <xf numFmtId="0" fontId="2" fillId="0" borderId="0" xfId="1" applyAlignment="1" applyProtection="1">
      <alignment horizontal="center"/>
      <protection locked="0"/>
    </xf>
    <xf numFmtId="1" fontId="3" fillId="2" borderId="5" xfId="1" applyNumberFormat="1" applyFont="1" applyFill="1" applyBorder="1" applyAlignment="1" applyProtection="1">
      <alignment horizontal="center" vertical="center" wrapText="1"/>
      <protection hidden="1"/>
    </xf>
    <xf numFmtId="1" fontId="2" fillId="0" borderId="2" xfId="1" applyNumberFormat="1" applyBorder="1" applyAlignment="1" applyProtection="1">
      <alignment horizontal="center"/>
      <protection hidden="1"/>
    </xf>
    <xf numFmtId="1" fontId="2" fillId="0" borderId="1" xfId="1" applyNumberFormat="1" applyBorder="1" applyAlignment="1" applyProtection="1">
      <alignment horizontal="center"/>
      <protection hidden="1"/>
    </xf>
    <xf numFmtId="1" fontId="2" fillId="0" borderId="0" xfId="1" applyNumberFormat="1" applyAlignment="1" applyProtection="1">
      <alignment horizontal="center"/>
      <protection hidden="1"/>
    </xf>
    <xf numFmtId="14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8" fontId="12" fillId="3" borderId="4" xfId="0" applyNumberFormat="1" applyFont="1" applyFill="1" applyBorder="1" applyAlignment="1" applyProtection="1">
      <alignment horizontal="center" vertical="center" wrapText="1" readingOrder="1"/>
      <protection hidden="1"/>
    </xf>
    <xf numFmtId="169" fontId="5" fillId="3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 applyProtection="1">
      <alignment horizontal="center" vertical="center" wrapText="1" readingOrder="1"/>
      <protection locked="0"/>
    </xf>
    <xf numFmtId="4" fontId="5" fillId="4" borderId="14" xfId="0" applyNumberFormat="1" applyFont="1" applyFill="1" applyBorder="1" applyAlignment="1">
      <alignment horizontal="center" vertical="center"/>
    </xf>
    <xf numFmtId="168" fontId="12" fillId="0" borderId="0" xfId="0" applyNumberFormat="1" applyFont="1" applyAlignment="1" applyProtection="1">
      <alignment vertical="center" wrapText="1" readingOrder="1"/>
      <protection hidden="1"/>
    </xf>
    <xf numFmtId="0" fontId="5" fillId="5" borderId="4" xfId="0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2" xfId="1" applyNumberFormat="1" applyBorder="1" applyAlignment="1" applyProtection="1">
      <alignment horizontal="center" vertical="center"/>
      <protection hidden="1"/>
    </xf>
    <xf numFmtId="165" fontId="7" fillId="0" borderId="7" xfId="1" applyNumberFormat="1" applyFont="1" applyBorder="1" applyAlignment="1" applyProtection="1">
      <alignment horizontal="left" wrapText="1"/>
      <protection hidden="1"/>
    </xf>
    <xf numFmtId="165" fontId="2" fillId="0" borderId="7" xfId="1" applyNumberFormat="1" applyBorder="1" applyAlignment="1" applyProtection="1">
      <alignment horizontal="left"/>
      <protection hidden="1"/>
    </xf>
    <xf numFmtId="14" fontId="5" fillId="3" borderId="13" xfId="0" applyNumberFormat="1" applyFont="1" applyFill="1" applyBorder="1" applyAlignment="1">
      <alignment horizontal="center" vertical="center" wrapText="1"/>
    </xf>
    <xf numFmtId="14" fontId="5" fillId="3" borderId="14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5" fillId="0" borderId="15" xfId="0" applyFont="1" applyBorder="1" applyAlignment="1">
      <alignment horizontal="center"/>
    </xf>
    <xf numFmtId="166" fontId="5" fillId="0" borderId="16" xfId="0" applyNumberFormat="1" applyFont="1" applyBorder="1" applyAlignment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  <protection hidden="1"/>
    </xf>
    <xf numFmtId="1" fontId="4" fillId="0" borderId="17" xfId="1" applyNumberFormat="1" applyFont="1" applyBorder="1" applyAlignment="1" applyProtection="1">
      <alignment horizontal="center" wrapText="1"/>
      <protection hidden="1"/>
    </xf>
    <xf numFmtId="166" fontId="0" fillId="0" borderId="18" xfId="0" applyNumberFormat="1" applyBorder="1" applyProtection="1">
      <protection hidden="1"/>
    </xf>
    <xf numFmtId="1" fontId="4" fillId="0" borderId="19" xfId="1" applyNumberFormat="1" applyFont="1" applyBorder="1" applyAlignment="1" applyProtection="1">
      <alignment horizontal="center" wrapText="1"/>
      <protection hidden="1"/>
    </xf>
    <xf numFmtId="166" fontId="0" fillId="0" borderId="20" xfId="0" applyNumberFormat="1" applyBorder="1" applyProtection="1">
      <protection hidden="1"/>
    </xf>
    <xf numFmtId="1" fontId="4" fillId="0" borderId="21" xfId="1" applyNumberFormat="1" applyFont="1" applyBorder="1" applyAlignment="1" applyProtection="1">
      <alignment horizontal="center" wrapText="1"/>
      <protection hidden="1"/>
    </xf>
    <xf numFmtId="1" fontId="2" fillId="0" borderId="22" xfId="1" applyNumberFormat="1" applyBorder="1" applyAlignment="1" applyProtection="1">
      <alignment horizontal="center"/>
      <protection hidden="1"/>
    </xf>
    <xf numFmtId="0" fontId="2" fillId="0" borderId="23" xfId="1" applyBorder="1" applyAlignment="1" applyProtection="1">
      <alignment horizontal="left" vertical="center"/>
      <protection hidden="1"/>
    </xf>
    <xf numFmtId="0" fontId="2" fillId="0" borderId="22" xfId="1" applyBorder="1" applyAlignment="1" applyProtection="1">
      <alignment horizontal="center" vertical="center"/>
      <protection hidden="1"/>
    </xf>
    <xf numFmtId="2" fontId="2" fillId="0" borderId="22" xfId="1" applyNumberFormat="1" applyBorder="1" applyAlignment="1" applyProtection="1">
      <alignment horizontal="center" vertical="center"/>
      <protection hidden="1"/>
    </xf>
    <xf numFmtId="0" fontId="5" fillId="0" borderId="24" xfId="0" applyFont="1" applyBorder="1" applyAlignment="1">
      <alignment horizontal="center"/>
    </xf>
    <xf numFmtId="166" fontId="0" fillId="0" borderId="22" xfId="0" applyNumberFormat="1" applyBorder="1" applyAlignment="1" applyProtection="1">
      <alignment horizontal="center"/>
      <protection hidden="1"/>
    </xf>
    <xf numFmtId="1" fontId="4" fillId="0" borderId="23" xfId="1" applyNumberFormat="1" applyFont="1" applyBorder="1" applyAlignment="1" applyProtection="1">
      <alignment horizontal="center" wrapText="1"/>
      <protection locked="0"/>
    </xf>
    <xf numFmtId="166" fontId="0" fillId="0" borderId="25" xfId="0" applyNumberFormat="1" applyBorder="1" applyProtection="1">
      <protection hidden="1"/>
    </xf>
  </cellXfs>
  <cellStyles count="7">
    <cellStyle name="Currency 2" xfId="3" xr:uid="{00000000-0005-0000-0000-000000000000}"/>
    <cellStyle name="Currency 3" xfId="2" xr:uid="{00000000-0005-0000-0000-000001000000}"/>
    <cellStyle name="Excel Built-in Normal" xfId="4" xr:uid="{6E83F021-E56B-4B36-AC03-375CEFB7D1B2}"/>
    <cellStyle name="Normal 2" xfId="1" xr:uid="{00000000-0005-0000-0000-000003000000}"/>
    <cellStyle name="Normal 37" xfId="6" xr:uid="{80DCAAB0-D7D9-4541-9933-33E33C37CC0B}"/>
    <cellStyle name="Normal_Sheet1" xfId="5" xr:uid="{F8B5C48B-4BCC-4EC0-A176-1518150FF5C8}"/>
    <cellStyle name="Звичайни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279529</xdr:colOff>
      <xdr:row>0</xdr:row>
      <xdr:rowOff>76200</xdr:rowOff>
    </xdr:from>
    <xdr:to>
      <xdr:col>6</xdr:col>
      <xdr:colOff>114301</xdr:colOff>
      <xdr:row>0</xdr:row>
      <xdr:rowOff>941111</xdr:rowOff>
    </xdr:to>
    <xdr:pic>
      <xdr:nvPicPr>
        <xdr:cNvPr id="4" name="Рисунок 3" descr="Natural Factors | Logopedia | Fandom">
          <a:extLst>
            <a:ext uri="{FF2B5EF4-FFF2-40B4-BE49-F238E27FC236}">
              <a16:creationId xmlns:a16="http://schemas.microsoft.com/office/drawing/2014/main" id="{C822BC26-0576-6BBA-B8DE-FFF1114F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069" y="76200"/>
          <a:ext cx="1419732" cy="864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1687831</xdr:colOff>
      <xdr:row>590</xdr:row>
      <xdr:rowOff>32379</xdr:rowOff>
    </xdr:from>
    <xdr:to>
      <xdr:col>2</xdr:col>
      <xdr:colOff>3288031</xdr:colOff>
      <xdr:row>590</xdr:row>
      <xdr:rowOff>345252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20EB3A4-F94E-49AA-B3AE-AB4393EF00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0411" y="111170079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16"/>
  <sheetViews>
    <sheetView tabSelected="1" zoomScale="70" zoomScaleNormal="70" workbookViewId="0">
      <pane ySplit="2" topLeftCell="A3" activePane="bottomLeft" state="frozen"/>
      <selection pane="bottomLeft" activeCell="L3" sqref="L3"/>
    </sheetView>
  </sheetViews>
  <sheetFormatPr defaultRowHeight="14.4" x14ac:dyDescent="0.3"/>
  <cols>
    <col min="1" max="1" width="10.77734375" style="12" bestFit="1" customWidth="1"/>
    <col min="2" max="2" width="14.5546875" style="24" bestFit="1" customWidth="1"/>
    <col min="3" max="3" width="72.6640625" style="13" customWidth="1"/>
    <col min="4" max="6" width="11.5546875" style="13" customWidth="1"/>
    <col min="7" max="7" width="10.88671875" style="13" bestFit="1" customWidth="1"/>
    <col min="8" max="8" width="10.88671875" style="13" customWidth="1"/>
    <col min="9" max="9" width="9.109375" style="14" customWidth="1"/>
    <col min="10" max="10" width="9.109375" style="20" customWidth="1"/>
    <col min="11" max="11" width="10.21875" style="14" bestFit="1" customWidth="1"/>
    <col min="12" max="12" width="13.21875" customWidth="1"/>
    <col min="14" max="17" width="13.88671875" customWidth="1"/>
    <col min="18" max="18" width="5.5546875" customWidth="1"/>
    <col min="19" max="19" width="13.88671875" customWidth="1"/>
  </cols>
  <sheetData>
    <row r="1" spans="1:19" ht="83.4" customHeight="1" thickBot="1" x14ac:dyDescent="0.35">
      <c r="A1" s="38" t="s">
        <v>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19">
        <v>46104</v>
      </c>
      <c r="N1" s="25" t="s">
        <v>628</v>
      </c>
      <c r="O1" s="40" t="s">
        <v>629</v>
      </c>
      <c r="P1" s="26" t="s">
        <v>630</v>
      </c>
      <c r="Q1" s="27" t="s">
        <v>631</v>
      </c>
      <c r="S1" s="28" t="str">
        <f>IFERROR(IF(SUM(S3:S588)=0, "-", L2+Q2), "-")</f>
        <v>-</v>
      </c>
    </row>
    <row r="2" spans="1:19" ht="27" thickBot="1" x14ac:dyDescent="0.35">
      <c r="A2" s="45" t="s">
        <v>1</v>
      </c>
      <c r="B2" s="21" t="s">
        <v>0</v>
      </c>
      <c r="C2" s="7" t="s">
        <v>2</v>
      </c>
      <c r="D2" s="7" t="s">
        <v>625</v>
      </c>
      <c r="E2" s="7" t="s">
        <v>626</v>
      </c>
      <c r="F2" s="7" t="s">
        <v>627</v>
      </c>
      <c r="G2" s="7" t="s">
        <v>633</v>
      </c>
      <c r="H2" s="7" t="s">
        <v>634</v>
      </c>
      <c r="I2" s="8" t="s">
        <v>3</v>
      </c>
      <c r="J2" s="7" t="s">
        <v>4</v>
      </c>
      <c r="K2" s="9" t="s">
        <v>5</v>
      </c>
      <c r="L2" s="44">
        <f>SUM(K3:K588)</f>
        <v>0</v>
      </c>
      <c r="N2" s="29"/>
      <c r="O2" s="41"/>
      <c r="P2" s="30" t="str">
        <f>IF(SUM(P3:P588)=0, "-", SUM(P3:P588))</f>
        <v>-</v>
      </c>
      <c r="Q2" s="30" t="str">
        <f>IF(SUM(Q3:Q588)=0, "-", SUM(Q3:Q588))</f>
        <v>-</v>
      </c>
      <c r="R2" s="31"/>
      <c r="S2" s="32" t="s">
        <v>632</v>
      </c>
    </row>
    <row r="3" spans="1:19" x14ac:dyDescent="0.3">
      <c r="A3" s="46">
        <v>1121</v>
      </c>
      <c r="B3" s="22">
        <v>68958011219</v>
      </c>
      <c r="C3" s="10" t="s">
        <v>55</v>
      </c>
      <c r="D3" s="17">
        <v>90</v>
      </c>
      <c r="E3" s="17" t="s">
        <v>54</v>
      </c>
      <c r="F3" s="37">
        <v>9.0800000000000006E-2</v>
      </c>
      <c r="G3" s="17">
        <v>24</v>
      </c>
      <c r="H3" s="43" t="s">
        <v>637</v>
      </c>
      <c r="I3" s="18">
        <v>6.4806230769230764</v>
      </c>
      <c r="J3" s="15"/>
      <c r="K3" s="47">
        <f>I3*J3</f>
        <v>0</v>
      </c>
      <c r="L3" s="36"/>
      <c r="N3" s="33" t="str">
        <f>IFERROR(IF($N$2*F3=0, "-", $N$2*F3), "-")</f>
        <v>-</v>
      </c>
      <c r="O3" s="33" t="str">
        <f>IF(J3&gt;0,I3+N3,"-")</f>
        <v>-</v>
      </c>
      <c r="P3" s="34" t="str">
        <f>IF(J3&gt;0,J3*F3, "-")</f>
        <v>-</v>
      </c>
      <c r="Q3" s="35" t="str">
        <f>IFERROR(IF($N$2&gt;0, $N$2*P3, "-"), "-")</f>
        <v>-</v>
      </c>
      <c r="S3" s="35" t="str">
        <f>IFERROR(IF(Q3+K3=0, "-", IF(Q3&gt;0, Q3+K3, "-")), "-")</f>
        <v>-</v>
      </c>
    </row>
    <row r="4" spans="1:19" x14ac:dyDescent="0.3">
      <c r="A4" s="48">
        <v>1378</v>
      </c>
      <c r="B4" s="22">
        <v>68958013787</v>
      </c>
      <c r="C4" s="11" t="s">
        <v>141</v>
      </c>
      <c r="D4" s="17">
        <v>60</v>
      </c>
      <c r="E4" s="17" t="s">
        <v>14</v>
      </c>
      <c r="F4" s="37">
        <v>0.12257999999999999</v>
      </c>
      <c r="G4" s="17">
        <v>24</v>
      </c>
      <c r="H4" s="43" t="s">
        <v>637</v>
      </c>
      <c r="I4" s="18">
        <v>13.319764615384617</v>
      </c>
      <c r="J4" s="16"/>
      <c r="K4" s="49">
        <f>I4*J4</f>
        <v>0</v>
      </c>
      <c r="L4" s="36"/>
      <c r="N4" s="33" t="str">
        <f>IFERROR(IF($N$2*F4=0, "-", $N$2*F4), "-")</f>
        <v>-</v>
      </c>
      <c r="O4" s="33" t="str">
        <f>IF(J4&gt;0,I4+N4,"-")</f>
        <v>-</v>
      </c>
      <c r="P4" s="34" t="str">
        <f>IF(J4&gt;0,J4*F4, "-")</f>
        <v>-</v>
      </c>
      <c r="Q4" s="35" t="str">
        <f>IFERROR(IF($N$2&gt;0, $N$2*P4, "-"), "-")</f>
        <v>-</v>
      </c>
      <c r="S4" s="35" t="str">
        <f>IFERROR(IF(Q4+K4=0, "-", IF(Q4&gt;0, Q4+K4, "-")), "-")</f>
        <v>-</v>
      </c>
    </row>
    <row r="5" spans="1:19" x14ac:dyDescent="0.3">
      <c r="A5" s="48">
        <v>1379</v>
      </c>
      <c r="B5" s="23">
        <v>68958013794</v>
      </c>
      <c r="C5" s="11" t="s">
        <v>142</v>
      </c>
      <c r="D5" s="17">
        <v>30</v>
      </c>
      <c r="E5" s="17" t="s">
        <v>14</v>
      </c>
      <c r="F5" s="37">
        <v>6.6964999999999997E-2</v>
      </c>
      <c r="G5" s="17">
        <v>24</v>
      </c>
      <c r="H5" s="43" t="s">
        <v>637</v>
      </c>
      <c r="I5" s="18">
        <v>9.1175884615384604</v>
      </c>
      <c r="J5" s="16"/>
      <c r="K5" s="49">
        <f>I5*J5</f>
        <v>0</v>
      </c>
      <c r="L5" s="36"/>
      <c r="N5" s="33" t="str">
        <f>IFERROR(IF($N$2*F5=0, "-", $N$2*F5), "-")</f>
        <v>-</v>
      </c>
      <c r="O5" s="33" t="str">
        <f>IF(J5&gt;0,I5+N5,"-")</f>
        <v>-</v>
      </c>
      <c r="P5" s="34" t="str">
        <f>IF(J5&gt;0,J5*F5, "-")</f>
        <v>-</v>
      </c>
      <c r="Q5" s="35" t="str">
        <f>IFERROR(IF($N$2&gt;0, $N$2*P5, "-"), "-")</f>
        <v>-</v>
      </c>
      <c r="S5" s="35" t="str">
        <f>IFERROR(IF(Q5+K5=0, "-", IF(Q5&gt;0, Q5+K5, "-")), "-")</f>
        <v>-</v>
      </c>
    </row>
    <row r="6" spans="1:19" x14ac:dyDescent="0.3">
      <c r="A6" s="48">
        <v>1611</v>
      </c>
      <c r="B6" s="22">
        <v>68958016115</v>
      </c>
      <c r="C6" s="11" t="s">
        <v>178</v>
      </c>
      <c r="D6" s="17">
        <v>90</v>
      </c>
      <c r="E6" s="17" t="s">
        <v>32</v>
      </c>
      <c r="F6" s="37">
        <v>0.20429999999999998</v>
      </c>
      <c r="G6" s="17">
        <v>24</v>
      </c>
      <c r="H6" s="43" t="s">
        <v>637</v>
      </c>
      <c r="I6" s="18">
        <v>5.8429453846153852</v>
      </c>
      <c r="J6" s="16"/>
      <c r="K6" s="49">
        <f>I6*J6</f>
        <v>0</v>
      </c>
      <c r="L6" s="36"/>
      <c r="N6" s="33" t="str">
        <f>IFERROR(IF($N$2*F6=0, "-", $N$2*F6), "-")</f>
        <v>-</v>
      </c>
      <c r="O6" s="33" t="str">
        <f>IF(J6&gt;0,I6+N6,"-")</f>
        <v>-</v>
      </c>
      <c r="P6" s="34" t="str">
        <f>IF(J6&gt;0,J6*F6, "-")</f>
        <v>-</v>
      </c>
      <c r="Q6" s="35" t="str">
        <f>IFERROR(IF($N$2&gt;0, $N$2*P6, "-"), "-")</f>
        <v>-</v>
      </c>
      <c r="S6" s="35" t="str">
        <f>IFERROR(IF(Q6+K6=0, "-", IF(Q6&gt;0, Q6+K6, "-")), "-")</f>
        <v>-</v>
      </c>
    </row>
    <row r="7" spans="1:19" x14ac:dyDescent="0.3">
      <c r="A7" s="48">
        <v>1641</v>
      </c>
      <c r="B7" s="23">
        <v>627765016413</v>
      </c>
      <c r="C7" s="11" t="s">
        <v>190</v>
      </c>
      <c r="D7" s="17">
        <v>120</v>
      </c>
      <c r="E7" s="17" t="s">
        <v>45</v>
      </c>
      <c r="F7" s="37">
        <v>0.17252000000000001</v>
      </c>
      <c r="G7" s="17">
        <v>24</v>
      </c>
      <c r="H7" s="43" t="s">
        <v>637</v>
      </c>
      <c r="I7" s="18">
        <v>7.6545000000000005</v>
      </c>
      <c r="J7" s="16"/>
      <c r="K7" s="49">
        <f>I7*J7</f>
        <v>0</v>
      </c>
      <c r="L7" s="36"/>
      <c r="N7" s="33" t="str">
        <f>IFERROR(IF($N$2*F7=0, "-", $N$2*F7), "-")</f>
        <v>-</v>
      </c>
      <c r="O7" s="33" t="str">
        <f>IF(J7&gt;0,I7+N7,"-")</f>
        <v>-</v>
      </c>
      <c r="P7" s="34" t="str">
        <f>IF(J7&gt;0,J7*F7, "-")</f>
        <v>-</v>
      </c>
      <c r="Q7" s="35" t="str">
        <f>IFERROR(IF($N$2&gt;0, $N$2*P7, "-"), "-")</f>
        <v>-</v>
      </c>
      <c r="S7" s="35" t="str">
        <f>IFERROR(IF(Q7+K7=0, "-", IF(Q7&gt;0, Q7+K7, "-")), "-")</f>
        <v>-</v>
      </c>
    </row>
    <row r="8" spans="1:19" x14ac:dyDescent="0.3">
      <c r="A8" s="48">
        <v>1652</v>
      </c>
      <c r="B8" s="22">
        <v>68958016528</v>
      </c>
      <c r="C8" s="11" t="s">
        <v>198</v>
      </c>
      <c r="D8" s="17">
        <v>90</v>
      </c>
      <c r="E8" s="17" t="s">
        <v>54</v>
      </c>
      <c r="F8" s="37">
        <v>0.15890000000000001</v>
      </c>
      <c r="G8" s="17">
        <v>24</v>
      </c>
      <c r="H8" s="43" t="s">
        <v>637</v>
      </c>
      <c r="I8" s="18">
        <v>5.8055815384615386</v>
      </c>
      <c r="J8" s="16"/>
      <c r="K8" s="49">
        <f>I8*J8</f>
        <v>0</v>
      </c>
      <c r="L8" s="36"/>
      <c r="N8" s="33" t="str">
        <f>IFERROR(IF($N$2*F8=0, "-", $N$2*F8), "-")</f>
        <v>-</v>
      </c>
      <c r="O8" s="33" t="str">
        <f>IF(J8&gt;0,I8+N8,"-")</f>
        <v>-</v>
      </c>
      <c r="P8" s="34" t="str">
        <f>IF(J8&gt;0,J8*F8, "-")</f>
        <v>-</v>
      </c>
      <c r="Q8" s="35" t="str">
        <f>IFERROR(IF($N$2&gt;0, $N$2*P8, "-"), "-")</f>
        <v>-</v>
      </c>
      <c r="S8" s="35" t="str">
        <f>IFERROR(IF(Q8+K8=0, "-", IF(Q8&gt;0, Q8+K8, "-")), "-")</f>
        <v>-</v>
      </c>
    </row>
    <row r="9" spans="1:19" x14ac:dyDescent="0.3">
      <c r="A9" s="48">
        <v>1653</v>
      </c>
      <c r="B9" s="22">
        <v>68958016535</v>
      </c>
      <c r="C9" s="11" t="s">
        <v>199</v>
      </c>
      <c r="D9" s="17">
        <v>180</v>
      </c>
      <c r="E9" s="17" t="s">
        <v>54</v>
      </c>
      <c r="F9" s="37">
        <v>0.24970000000000001</v>
      </c>
      <c r="G9" s="17">
        <v>12</v>
      </c>
      <c r="H9" s="43" t="s">
        <v>637</v>
      </c>
      <c r="I9" s="18">
        <v>10.272606923076923</v>
      </c>
      <c r="J9" s="16"/>
      <c r="K9" s="49">
        <f>I9*J9</f>
        <v>0</v>
      </c>
      <c r="L9" s="36"/>
      <c r="N9" s="33" t="str">
        <f>IFERROR(IF($N$2*F9=0, "-", $N$2*F9), "-")</f>
        <v>-</v>
      </c>
      <c r="O9" s="33" t="str">
        <f>IF(J9&gt;0,I9+N9,"-")</f>
        <v>-</v>
      </c>
      <c r="P9" s="34" t="str">
        <f>IF(J9&gt;0,J9*F9, "-")</f>
        <v>-</v>
      </c>
      <c r="Q9" s="35" t="str">
        <f>IFERROR(IF($N$2&gt;0, $N$2*P9, "-"), "-")</f>
        <v>-</v>
      </c>
      <c r="S9" s="35" t="str">
        <f>IFERROR(IF(Q9+K9=0, "-", IF(Q9&gt;0, Q9+K9, "-")), "-")</f>
        <v>-</v>
      </c>
    </row>
    <row r="10" spans="1:19" x14ac:dyDescent="0.3">
      <c r="A10" s="48">
        <v>1683</v>
      </c>
      <c r="B10" s="23">
        <v>68958016832</v>
      </c>
      <c r="C10" s="11" t="s">
        <v>215</v>
      </c>
      <c r="D10" s="17">
        <v>90</v>
      </c>
      <c r="E10" s="17" t="s">
        <v>32</v>
      </c>
      <c r="F10" s="37">
        <v>6.8099999999999994E-2</v>
      </c>
      <c r="G10" s="17">
        <v>24</v>
      </c>
      <c r="H10" s="43" t="s">
        <v>637</v>
      </c>
      <c r="I10" s="18">
        <v>3.9445875000000004</v>
      </c>
      <c r="J10" s="16"/>
      <c r="K10" s="49">
        <f>I10*J10</f>
        <v>0</v>
      </c>
      <c r="L10" s="36"/>
      <c r="N10" s="33" t="str">
        <f>IFERROR(IF($N$2*F10=0, "-", $N$2*F10), "-")</f>
        <v>-</v>
      </c>
      <c r="O10" s="33" t="str">
        <f>IF(J10&gt;0,I10+N10,"-")</f>
        <v>-</v>
      </c>
      <c r="P10" s="34" t="str">
        <f>IF(J10&gt;0,J10*F10, "-")</f>
        <v>-</v>
      </c>
      <c r="Q10" s="35" t="str">
        <f>IFERROR(IF($N$2&gt;0, $N$2*P10, "-"), "-")</f>
        <v>-</v>
      </c>
      <c r="S10" s="35" t="str">
        <f>IFERROR(IF(Q10+K10=0, "-", IF(Q10&gt;0, Q10+K10, "-")), "-")</f>
        <v>-</v>
      </c>
    </row>
    <row r="11" spans="1:19" x14ac:dyDescent="0.3">
      <c r="A11" s="48">
        <v>1749</v>
      </c>
      <c r="B11" s="22">
        <v>68958017495</v>
      </c>
      <c r="C11" s="11" t="s">
        <v>236</v>
      </c>
      <c r="D11" s="17">
        <v>120</v>
      </c>
      <c r="E11" s="17" t="s">
        <v>107</v>
      </c>
      <c r="F11" s="37">
        <v>8.6260000000000003E-2</v>
      </c>
      <c r="G11" s="17">
        <v>24</v>
      </c>
      <c r="H11" s="43" t="s">
        <v>637</v>
      </c>
      <c r="I11" s="18">
        <v>5.7270738461538473</v>
      </c>
      <c r="J11" s="16"/>
      <c r="K11" s="49">
        <f>I11*J11</f>
        <v>0</v>
      </c>
      <c r="L11" s="36"/>
      <c r="N11" s="33" t="str">
        <f>IFERROR(IF($N$2*F11=0, "-", $N$2*F11), "-")</f>
        <v>-</v>
      </c>
      <c r="O11" s="33" t="str">
        <f>IF(J11&gt;0,I11+N11,"-")</f>
        <v>-</v>
      </c>
      <c r="P11" s="34" t="str">
        <f>IF(J11&gt;0,J11*F11, "-")</f>
        <v>-</v>
      </c>
      <c r="Q11" s="35" t="str">
        <f>IFERROR(IF($N$2&gt;0, $N$2*P11, "-"), "-")</f>
        <v>-</v>
      </c>
      <c r="S11" s="35" t="str">
        <f>IFERROR(IF(Q11+K11=0, "-", IF(Q11&gt;0, Q11+K11, "-")), "-")</f>
        <v>-</v>
      </c>
    </row>
    <row r="12" spans="1:19" x14ac:dyDescent="0.3">
      <c r="A12" s="48">
        <v>2071</v>
      </c>
      <c r="B12" s="23">
        <v>68958020716</v>
      </c>
      <c r="C12" s="11" t="s">
        <v>291</v>
      </c>
      <c r="D12" s="17">
        <v>60</v>
      </c>
      <c r="E12" s="17" t="s">
        <v>14</v>
      </c>
      <c r="F12" s="37">
        <v>6.8099999999999994E-2</v>
      </c>
      <c r="G12" s="17">
        <v>24</v>
      </c>
      <c r="H12" s="43" t="s">
        <v>637</v>
      </c>
      <c r="I12" s="18">
        <v>6.7046815384615392</v>
      </c>
      <c r="J12" s="16"/>
      <c r="K12" s="49">
        <f>I12*J12</f>
        <v>0</v>
      </c>
      <c r="L12" s="36"/>
      <c r="N12" s="33" t="str">
        <f>IFERROR(IF($N$2*F12=0, "-", $N$2*F12), "-")</f>
        <v>-</v>
      </c>
      <c r="O12" s="33" t="str">
        <f>IF(J12&gt;0,I12+N12,"-")</f>
        <v>-</v>
      </c>
      <c r="P12" s="34" t="str">
        <f>IF(J12&gt;0,J12*F12, "-")</f>
        <v>-</v>
      </c>
      <c r="Q12" s="35" t="str">
        <f>IFERROR(IF($N$2&gt;0, $N$2*P12, "-"), "-")</f>
        <v>-</v>
      </c>
      <c r="S12" s="35" t="str">
        <f>IFERROR(IF(Q12+K12=0, "-", IF(Q12&gt;0, Q12+K12, "-")), "-")</f>
        <v>-</v>
      </c>
    </row>
    <row r="13" spans="1:19" x14ac:dyDescent="0.3">
      <c r="A13" s="48">
        <v>2605</v>
      </c>
      <c r="B13" s="23">
        <v>68958026053</v>
      </c>
      <c r="C13" s="11" t="s">
        <v>323</v>
      </c>
      <c r="D13" s="17">
        <v>90</v>
      </c>
      <c r="E13" s="17" t="s">
        <v>14</v>
      </c>
      <c r="F13" s="37">
        <v>0.20429999999999998</v>
      </c>
      <c r="G13" s="17">
        <v>24</v>
      </c>
      <c r="H13" s="43" t="s">
        <v>637</v>
      </c>
      <c r="I13" s="18">
        <v>11.602398461538462</v>
      </c>
      <c r="J13" s="16"/>
      <c r="K13" s="49">
        <f>I13*J13</f>
        <v>0</v>
      </c>
      <c r="L13" s="36"/>
      <c r="N13" s="33" t="str">
        <f>IFERROR(IF($N$2*F13=0, "-", $N$2*F13), "-")</f>
        <v>-</v>
      </c>
      <c r="O13" s="33" t="str">
        <f>IF(J13&gt;0,I13+N13,"-")</f>
        <v>-</v>
      </c>
      <c r="P13" s="34" t="str">
        <f>IF(J13&gt;0,J13*F13, "-")</f>
        <v>-</v>
      </c>
      <c r="Q13" s="35" t="str">
        <f>IFERROR(IF($N$2&gt;0, $N$2*P13, "-"), "-")</f>
        <v>-</v>
      </c>
      <c r="S13" s="35" t="str">
        <f>IFERROR(IF(Q13+K13=0, "-", IF(Q13&gt;0, Q13+K13, "-")), "-")</f>
        <v>-</v>
      </c>
    </row>
    <row r="14" spans="1:19" x14ac:dyDescent="0.3">
      <c r="A14" s="48">
        <v>3543</v>
      </c>
      <c r="B14" s="23">
        <v>68958035437</v>
      </c>
      <c r="C14" s="11" t="s">
        <v>444</v>
      </c>
      <c r="D14" s="17">
        <v>120</v>
      </c>
      <c r="E14" s="17" t="s">
        <v>45</v>
      </c>
      <c r="F14" s="37">
        <v>0.17024999999999998</v>
      </c>
      <c r="G14" s="17">
        <v>12</v>
      </c>
      <c r="H14" s="43" t="s">
        <v>637</v>
      </c>
      <c r="I14" s="18">
        <v>21.951000000000004</v>
      </c>
      <c r="J14" s="16"/>
      <c r="K14" s="49">
        <f>I14*J14</f>
        <v>0</v>
      </c>
      <c r="L14" s="36"/>
      <c r="N14" s="33" t="str">
        <f>IFERROR(IF($N$2*F14=0, "-", $N$2*F14), "-")</f>
        <v>-</v>
      </c>
      <c r="O14" s="33" t="str">
        <f>IF(J14&gt;0,I14+N14,"-")</f>
        <v>-</v>
      </c>
      <c r="P14" s="34" t="str">
        <f>IF(J14&gt;0,J14*F14, "-")</f>
        <v>-</v>
      </c>
      <c r="Q14" s="35" t="str">
        <f>IFERROR(IF($N$2&gt;0, $N$2*P14, "-"), "-")</f>
        <v>-</v>
      </c>
      <c r="S14" s="35" t="str">
        <f>IFERROR(IF(Q14+K14=0, "-", IF(Q14&gt;0, Q14+K14, "-")), "-")</f>
        <v>-</v>
      </c>
    </row>
    <row r="15" spans="1:19" x14ac:dyDescent="0.3">
      <c r="A15" s="48">
        <v>3544</v>
      </c>
      <c r="B15" s="23">
        <v>68958035444</v>
      </c>
      <c r="C15" s="11" t="s">
        <v>445</v>
      </c>
      <c r="D15" s="17">
        <v>60</v>
      </c>
      <c r="E15" s="17" t="s">
        <v>45</v>
      </c>
      <c r="F15" s="37">
        <v>9.307E-2</v>
      </c>
      <c r="G15" s="17">
        <v>24</v>
      </c>
      <c r="H15" s="43" t="s">
        <v>637</v>
      </c>
      <c r="I15" s="18">
        <v>12.136500000000002</v>
      </c>
      <c r="J15" s="16"/>
      <c r="K15" s="49">
        <f>I15*J15</f>
        <v>0</v>
      </c>
      <c r="L15" s="36"/>
      <c r="N15" s="33" t="str">
        <f>IFERROR(IF($N$2*F15=0, "-", $N$2*F15), "-")</f>
        <v>-</v>
      </c>
      <c r="O15" s="33" t="str">
        <f>IF(J15&gt;0,I15+N15,"-")</f>
        <v>-</v>
      </c>
      <c r="P15" s="34" t="str">
        <f>IF(J15&gt;0,J15*F15, "-")</f>
        <v>-</v>
      </c>
      <c r="Q15" s="35" t="str">
        <f>IFERROR(IF($N$2&gt;0, $N$2*P15, "-"), "-")</f>
        <v>-</v>
      </c>
      <c r="S15" s="35" t="str">
        <f>IFERROR(IF(Q15+K15=0, "-", IF(Q15&gt;0, Q15+K15, "-")), "-")</f>
        <v>-</v>
      </c>
    </row>
    <row r="16" spans="1:19" x14ac:dyDescent="0.3">
      <c r="A16" s="48">
        <v>4508</v>
      </c>
      <c r="B16" s="22">
        <v>68958045085</v>
      </c>
      <c r="C16" s="11" t="s">
        <v>485</v>
      </c>
      <c r="D16" s="17">
        <v>90</v>
      </c>
      <c r="E16" s="17" t="s">
        <v>32</v>
      </c>
      <c r="F16" s="37">
        <v>0.20202999999999999</v>
      </c>
      <c r="G16" s="17">
        <v>24</v>
      </c>
      <c r="H16" s="43" t="s">
        <v>637</v>
      </c>
      <c r="I16" s="18">
        <v>9.0753646153846166</v>
      </c>
      <c r="J16" s="16"/>
      <c r="K16" s="49">
        <f>I16*J16</f>
        <v>0</v>
      </c>
      <c r="L16" s="36"/>
      <c r="N16" s="33" t="str">
        <f>IFERROR(IF($N$2*F16=0, "-", $N$2*F16), "-")</f>
        <v>-</v>
      </c>
      <c r="O16" s="33" t="str">
        <f>IF(J16&gt;0,I16+N16,"-")</f>
        <v>-</v>
      </c>
      <c r="P16" s="34" t="str">
        <f>IF(J16&gt;0,J16*F16, "-")</f>
        <v>-</v>
      </c>
      <c r="Q16" s="35" t="str">
        <f>IFERROR(IF($N$2&gt;0, $N$2*P16, "-"), "-")</f>
        <v>-</v>
      </c>
      <c r="S16" s="35" t="str">
        <f>IFERROR(IF(Q16+K16=0, "-", IF(Q16&gt;0, Q16+K16, "-")), "-")</f>
        <v>-</v>
      </c>
    </row>
    <row r="17" spans="1:19" x14ac:dyDescent="0.3">
      <c r="A17" s="48">
        <v>4512</v>
      </c>
      <c r="B17" s="23">
        <v>68958045122</v>
      </c>
      <c r="C17" s="11" t="s">
        <v>486</v>
      </c>
      <c r="D17" s="17">
        <v>90</v>
      </c>
      <c r="E17" s="17" t="s">
        <v>54</v>
      </c>
      <c r="F17" s="37">
        <v>0.103285</v>
      </c>
      <c r="G17" s="17">
        <v>24</v>
      </c>
      <c r="H17" s="43" t="s">
        <v>637</v>
      </c>
      <c r="I17" s="18">
        <v>5.316881538461538</v>
      </c>
      <c r="J17" s="16"/>
      <c r="K17" s="49">
        <f>I17*J17</f>
        <v>0</v>
      </c>
      <c r="L17" s="36"/>
      <c r="N17" s="33" t="str">
        <f>IFERROR(IF($N$2*F17=0, "-", $N$2*F17), "-")</f>
        <v>-</v>
      </c>
      <c r="O17" s="33" t="str">
        <f>IF(J17&gt;0,I17+N17,"-")</f>
        <v>-</v>
      </c>
      <c r="P17" s="34" t="str">
        <f>IF(J17&gt;0,J17*F17, "-")</f>
        <v>-</v>
      </c>
      <c r="Q17" s="35" t="str">
        <f>IFERROR(IF($N$2&gt;0, $N$2*P17, "-"), "-")</f>
        <v>-</v>
      </c>
      <c r="S17" s="35" t="str">
        <f>IFERROR(IF(Q17+K17=0, "-", IF(Q17&gt;0, Q17+K17, "-")), "-")</f>
        <v>-</v>
      </c>
    </row>
    <row r="18" spans="1:19" x14ac:dyDescent="0.3">
      <c r="A18" s="48">
        <v>4516</v>
      </c>
      <c r="B18" s="22">
        <v>68958045160</v>
      </c>
      <c r="C18" s="11" t="s">
        <v>490</v>
      </c>
      <c r="D18" s="17">
        <v>90</v>
      </c>
      <c r="E18" s="17" t="s">
        <v>14</v>
      </c>
      <c r="F18" s="37">
        <v>0.21451500000000001</v>
      </c>
      <c r="G18" s="17">
        <v>24</v>
      </c>
      <c r="H18" s="43" t="s">
        <v>637</v>
      </c>
      <c r="I18" s="18">
        <v>10.544206153846153</v>
      </c>
      <c r="J18" s="16"/>
      <c r="K18" s="49">
        <f>I18*J18</f>
        <v>0</v>
      </c>
      <c r="L18" s="36"/>
      <c r="N18" s="33" t="str">
        <f>IFERROR(IF($N$2*F18=0, "-", $N$2*F18), "-")</f>
        <v>-</v>
      </c>
      <c r="O18" s="33" t="str">
        <f>IF(J18&gt;0,I18+N18,"-")</f>
        <v>-</v>
      </c>
      <c r="P18" s="34" t="str">
        <f>IF(J18&gt;0,J18*F18, "-")</f>
        <v>-</v>
      </c>
      <c r="Q18" s="35" t="str">
        <f>IFERROR(IF($N$2&gt;0, $N$2*P18, "-"), "-")</f>
        <v>-</v>
      </c>
      <c r="S18" s="35" t="str">
        <f>IFERROR(IF(Q18+K18=0, "-", IF(Q18&gt;0, Q18+K18, "-")), "-")</f>
        <v>-</v>
      </c>
    </row>
    <row r="19" spans="1:19" x14ac:dyDescent="0.3">
      <c r="A19" s="48">
        <v>4538</v>
      </c>
      <c r="B19" s="22">
        <v>68958045382</v>
      </c>
      <c r="C19" s="11" t="s">
        <v>502</v>
      </c>
      <c r="D19" s="17">
        <v>60</v>
      </c>
      <c r="E19" s="17" t="s">
        <v>45</v>
      </c>
      <c r="F19" s="37">
        <v>7.4910000000000004E-2</v>
      </c>
      <c r="G19" s="17">
        <v>24</v>
      </c>
      <c r="H19" s="43" t="s">
        <v>637</v>
      </c>
      <c r="I19" s="18">
        <v>13.62532153846154</v>
      </c>
      <c r="J19" s="16"/>
      <c r="K19" s="49">
        <f>I19*J19</f>
        <v>0</v>
      </c>
      <c r="L19" s="36"/>
      <c r="N19" s="33" t="str">
        <f>IFERROR(IF($N$2*F19=0, "-", $N$2*F19), "-")</f>
        <v>-</v>
      </c>
      <c r="O19" s="33" t="str">
        <f>IF(J19&gt;0,I19+N19,"-")</f>
        <v>-</v>
      </c>
      <c r="P19" s="34" t="str">
        <f>IF(J19&gt;0,J19*F19, "-")</f>
        <v>-</v>
      </c>
      <c r="Q19" s="35" t="str">
        <f>IFERROR(IF($N$2&gt;0, $N$2*P19, "-"), "-")</f>
        <v>-</v>
      </c>
      <c r="S19" s="35" t="str">
        <f>IFERROR(IF(Q19+K19=0, "-", IF(Q19&gt;0, Q19+K19, "-")), "-")</f>
        <v>-</v>
      </c>
    </row>
    <row r="20" spans="1:19" x14ac:dyDescent="0.3">
      <c r="A20" s="48">
        <v>1058</v>
      </c>
      <c r="B20" s="23">
        <v>68958010588</v>
      </c>
      <c r="C20" s="11" t="s">
        <v>41</v>
      </c>
      <c r="D20" s="17" t="s">
        <v>37</v>
      </c>
      <c r="E20" s="17" t="s">
        <v>38</v>
      </c>
      <c r="F20" s="37">
        <v>6.2425000000000001E-2</v>
      </c>
      <c r="G20" s="17">
        <v>24</v>
      </c>
      <c r="H20" s="43" t="s">
        <v>635</v>
      </c>
      <c r="I20" s="18">
        <v>6.1904938775510212</v>
      </c>
      <c r="J20" s="16"/>
      <c r="K20" s="49">
        <f>I20*J20</f>
        <v>0</v>
      </c>
      <c r="L20" s="36"/>
      <c r="N20" s="33" t="str">
        <f>IFERROR(IF($N$2*F20=0, "-", $N$2*F20), "-")</f>
        <v>-</v>
      </c>
      <c r="O20" s="33" t="str">
        <f>IF(J20&gt;0,I20+N20,"-")</f>
        <v>-</v>
      </c>
      <c r="P20" s="34" t="str">
        <f>IF(J20&gt;0,J20*F20, "-")</f>
        <v>-</v>
      </c>
      <c r="Q20" s="35" t="str">
        <f>IFERROR(IF($N$2&gt;0, $N$2*P20, "-"), "-")</f>
        <v>-</v>
      </c>
      <c r="S20" s="35" t="str">
        <f>IFERROR(IF(Q20+K20=0, "-", IF(Q20&gt;0, Q20+K20, "-")), "-")</f>
        <v>-</v>
      </c>
    </row>
    <row r="21" spans="1:19" x14ac:dyDescent="0.3">
      <c r="A21" s="48">
        <v>1247</v>
      </c>
      <c r="B21" s="23">
        <v>68958012476</v>
      </c>
      <c r="C21" s="11" t="s">
        <v>77</v>
      </c>
      <c r="D21" s="17">
        <v>60</v>
      </c>
      <c r="E21" s="17" t="s">
        <v>32</v>
      </c>
      <c r="F21" s="37">
        <v>3.0644999999999999E-2</v>
      </c>
      <c r="G21" s="17">
        <v>24</v>
      </c>
      <c r="H21" s="43" t="s">
        <v>635</v>
      </c>
      <c r="I21" s="18">
        <v>5.656387500000001</v>
      </c>
      <c r="J21" s="16"/>
      <c r="K21" s="49">
        <f>I21*J21</f>
        <v>0</v>
      </c>
      <c r="L21" s="36"/>
      <c r="N21" s="33" t="str">
        <f>IFERROR(IF($N$2*F21=0, "-", $N$2*F21), "-")</f>
        <v>-</v>
      </c>
      <c r="O21" s="33" t="str">
        <f>IF(J21&gt;0,I21+N21,"-")</f>
        <v>-</v>
      </c>
      <c r="P21" s="34" t="str">
        <f>IF(J21&gt;0,J21*F21, "-")</f>
        <v>-</v>
      </c>
      <c r="Q21" s="35" t="str">
        <f>IFERROR(IF($N$2&gt;0, $N$2*P21, "-"), "-")</f>
        <v>-</v>
      </c>
      <c r="S21" s="35" t="str">
        <f>IFERROR(IF(Q21+K21=0, "-", IF(Q21&gt;0, Q21+K21, "-")), "-")</f>
        <v>-</v>
      </c>
    </row>
    <row r="22" spans="1:19" x14ac:dyDescent="0.3">
      <c r="A22" s="48">
        <v>1248</v>
      </c>
      <c r="B22" s="23">
        <v>68958012483</v>
      </c>
      <c r="C22" s="11" t="s">
        <v>78</v>
      </c>
      <c r="D22" s="17">
        <v>30</v>
      </c>
      <c r="E22" s="17" t="s">
        <v>45</v>
      </c>
      <c r="F22" s="37">
        <v>5.2209999999999999E-2</v>
      </c>
      <c r="G22" s="17">
        <v>24</v>
      </c>
      <c r="H22" s="43" t="s">
        <v>635</v>
      </c>
      <c r="I22" s="18">
        <v>5.7492635294117651</v>
      </c>
      <c r="J22" s="16"/>
      <c r="K22" s="49">
        <f>I22*J22</f>
        <v>0</v>
      </c>
      <c r="L22" s="36"/>
      <c r="N22" s="33" t="str">
        <f>IFERROR(IF($N$2*F22=0, "-", $N$2*F22), "-")</f>
        <v>-</v>
      </c>
      <c r="O22" s="33" t="str">
        <f>IF(J22&gt;0,I22+N22,"-")</f>
        <v>-</v>
      </c>
      <c r="P22" s="34" t="str">
        <f>IF(J22&gt;0,J22*F22, "-")</f>
        <v>-</v>
      </c>
      <c r="Q22" s="35" t="str">
        <f>IFERROR(IF($N$2&gt;0, $N$2*P22, "-"), "-")</f>
        <v>-</v>
      </c>
      <c r="S22" s="35" t="str">
        <f>IFERROR(IF(Q22+K22=0, "-", IF(Q22&gt;0, Q22+K22, "-")), "-")</f>
        <v>-</v>
      </c>
    </row>
    <row r="23" spans="1:19" x14ac:dyDescent="0.3">
      <c r="A23" s="48">
        <v>1319</v>
      </c>
      <c r="B23" s="23">
        <v>627765013191</v>
      </c>
      <c r="C23" s="11" t="s">
        <v>102</v>
      </c>
      <c r="D23" s="17">
        <v>90</v>
      </c>
      <c r="E23" s="17" t="s">
        <v>32</v>
      </c>
      <c r="F23" s="37">
        <v>0.17252000000000001</v>
      </c>
      <c r="G23" s="17">
        <v>24</v>
      </c>
      <c r="H23" s="43" t="s">
        <v>635</v>
      </c>
      <c r="I23" s="18">
        <v>7.4146569230769241</v>
      </c>
      <c r="J23" s="16"/>
      <c r="K23" s="49">
        <f>I23*J23</f>
        <v>0</v>
      </c>
      <c r="L23" s="36"/>
      <c r="N23" s="33" t="str">
        <f>IFERROR(IF($N$2*F23=0, "-", $N$2*F23), "-")</f>
        <v>-</v>
      </c>
      <c r="O23" s="33" t="str">
        <f>IF(J23&gt;0,I23+N23,"-")</f>
        <v>-</v>
      </c>
      <c r="P23" s="34" t="str">
        <f>IF(J23&gt;0,J23*F23, "-")</f>
        <v>-</v>
      </c>
      <c r="Q23" s="35" t="str">
        <f>IFERROR(IF($N$2&gt;0, $N$2*P23, "-"), "-")</f>
        <v>-</v>
      </c>
      <c r="S23" s="35" t="str">
        <f>IFERROR(IF(Q23+K23=0, "-", IF(Q23&gt;0, Q23+K23, "-")), "-")</f>
        <v>-</v>
      </c>
    </row>
    <row r="24" spans="1:19" x14ac:dyDescent="0.3">
      <c r="A24" s="48">
        <v>1395</v>
      </c>
      <c r="B24" s="23">
        <v>68958013954</v>
      </c>
      <c r="C24" s="11" t="s">
        <v>149</v>
      </c>
      <c r="D24" s="17">
        <v>90</v>
      </c>
      <c r="E24" s="17" t="s">
        <v>107</v>
      </c>
      <c r="F24" s="37">
        <v>0.18160000000000001</v>
      </c>
      <c r="G24" s="17">
        <v>24</v>
      </c>
      <c r="H24" s="43" t="s">
        <v>635</v>
      </c>
      <c r="I24" s="18">
        <v>6.9768207692307698</v>
      </c>
      <c r="J24" s="16"/>
      <c r="K24" s="49">
        <f>I24*J24</f>
        <v>0</v>
      </c>
      <c r="L24" s="36"/>
      <c r="N24" s="33" t="str">
        <f>IFERROR(IF($N$2*F24=0, "-", $N$2*F24), "-")</f>
        <v>-</v>
      </c>
      <c r="O24" s="33" t="str">
        <f>IF(J24&gt;0,I24+N24,"-")</f>
        <v>-</v>
      </c>
      <c r="P24" s="34" t="str">
        <f>IF(J24&gt;0,J24*F24, "-")</f>
        <v>-</v>
      </c>
      <c r="Q24" s="35" t="str">
        <f>IFERROR(IF($N$2&gt;0, $N$2*P24, "-"), "-")</f>
        <v>-</v>
      </c>
      <c r="S24" s="35" t="str">
        <f>IFERROR(IF(Q24+K24=0, "-", IF(Q24&gt;0, Q24+K24, "-")), "-")</f>
        <v>-</v>
      </c>
    </row>
    <row r="25" spans="1:19" x14ac:dyDescent="0.3">
      <c r="A25" s="48">
        <v>1546</v>
      </c>
      <c r="B25" s="22">
        <v>68958015460</v>
      </c>
      <c r="C25" s="11" t="s">
        <v>167</v>
      </c>
      <c r="D25" s="17">
        <v>250</v>
      </c>
      <c r="E25" s="17" t="s">
        <v>107</v>
      </c>
      <c r="F25" s="37">
        <v>9.4205000000000011E-2</v>
      </c>
      <c r="G25" s="17">
        <v>24</v>
      </c>
      <c r="H25" s="43" t="s">
        <v>635</v>
      </c>
      <c r="I25" s="18">
        <v>5.319</v>
      </c>
      <c r="J25" s="16"/>
      <c r="K25" s="49">
        <f>I25*J25</f>
        <v>0</v>
      </c>
      <c r="L25" s="36"/>
      <c r="N25" s="33" t="str">
        <f>IFERROR(IF($N$2*F25=0, "-", $N$2*F25), "-")</f>
        <v>-</v>
      </c>
      <c r="O25" s="33" t="str">
        <f>IF(J25&gt;0,I25+N25,"-")</f>
        <v>-</v>
      </c>
      <c r="P25" s="34" t="str">
        <f>IF(J25&gt;0,J25*F25, "-")</f>
        <v>-</v>
      </c>
      <c r="Q25" s="35" t="str">
        <f>IFERROR(IF($N$2&gt;0, $N$2*P25, "-"), "-")</f>
        <v>-</v>
      </c>
      <c r="S25" s="35" t="str">
        <f>IFERROR(IF(Q25+K25=0, "-", IF(Q25&gt;0, Q25+K25, "-")), "-")</f>
        <v>-</v>
      </c>
    </row>
    <row r="26" spans="1:19" x14ac:dyDescent="0.3">
      <c r="A26" s="48">
        <v>1642</v>
      </c>
      <c r="B26" s="23">
        <v>68958016429</v>
      </c>
      <c r="C26" s="11" t="s">
        <v>191</v>
      </c>
      <c r="D26" s="17">
        <v>120</v>
      </c>
      <c r="E26" s="17" t="s">
        <v>130</v>
      </c>
      <c r="F26" s="37">
        <v>0.18954500000000002</v>
      </c>
      <c r="G26" s="17">
        <v>18</v>
      </c>
      <c r="H26" s="43" t="s">
        <v>635</v>
      </c>
      <c r="I26" s="18">
        <v>10.557</v>
      </c>
      <c r="J26" s="16"/>
      <c r="K26" s="49">
        <f>I26*J26</f>
        <v>0</v>
      </c>
      <c r="L26" s="36"/>
      <c r="N26" s="33" t="str">
        <f>IFERROR(IF($N$2*F26=0, "-", $N$2*F26), "-")</f>
        <v>-</v>
      </c>
      <c r="O26" s="33" t="str">
        <f>IF(J26&gt;0,I26+N26,"-")</f>
        <v>-</v>
      </c>
      <c r="P26" s="34" t="str">
        <f>IF(J26&gt;0,J26*F26, "-")</f>
        <v>-</v>
      </c>
      <c r="Q26" s="35" t="str">
        <f>IFERROR(IF($N$2&gt;0, $N$2*P26, "-"), "-")</f>
        <v>-</v>
      </c>
      <c r="S26" s="35" t="str">
        <f>IFERROR(IF(Q26+K26=0, "-", IF(Q26&gt;0, Q26+K26, "-")), "-")</f>
        <v>-</v>
      </c>
    </row>
    <row r="27" spans="1:19" x14ac:dyDescent="0.3">
      <c r="A27" s="48">
        <v>1650</v>
      </c>
      <c r="B27" s="22">
        <v>68958016504</v>
      </c>
      <c r="C27" s="11" t="s">
        <v>196</v>
      </c>
      <c r="D27" s="17">
        <v>60</v>
      </c>
      <c r="E27" s="17" t="s">
        <v>32</v>
      </c>
      <c r="F27" s="37">
        <v>0.19749</v>
      </c>
      <c r="G27" s="17">
        <v>24</v>
      </c>
      <c r="H27" s="43" t="s">
        <v>635</v>
      </c>
      <c r="I27" s="18">
        <v>6.5720076923076922</v>
      </c>
      <c r="J27" s="16"/>
      <c r="K27" s="49">
        <f>I27*J27</f>
        <v>0</v>
      </c>
      <c r="L27" s="36"/>
      <c r="N27" s="33" t="str">
        <f>IFERROR(IF($N$2*F27=0, "-", $N$2*F27), "-")</f>
        <v>-</v>
      </c>
      <c r="O27" s="33" t="str">
        <f>IF(J27&gt;0,I27+N27,"-")</f>
        <v>-</v>
      </c>
      <c r="P27" s="34" t="str">
        <f>IF(J27&gt;0,J27*F27, "-")</f>
        <v>-</v>
      </c>
      <c r="Q27" s="35" t="str">
        <f>IFERROR(IF($N$2&gt;0, $N$2*P27, "-"), "-")</f>
        <v>-</v>
      </c>
      <c r="S27" s="35" t="str">
        <f>IFERROR(IF(Q27+K27=0, "-", IF(Q27&gt;0, Q27+K27, "-")), "-")</f>
        <v>-</v>
      </c>
    </row>
    <row r="28" spans="1:19" x14ac:dyDescent="0.3">
      <c r="A28" s="48">
        <v>1740</v>
      </c>
      <c r="B28" s="22">
        <v>68958017402</v>
      </c>
      <c r="C28" s="11" t="s">
        <v>231</v>
      </c>
      <c r="D28" s="17">
        <v>60</v>
      </c>
      <c r="E28" s="17" t="s">
        <v>54</v>
      </c>
      <c r="F28" s="37">
        <v>6.0155E-2</v>
      </c>
      <c r="G28" s="17">
        <v>24</v>
      </c>
      <c r="H28" s="43" t="s">
        <v>635</v>
      </c>
      <c r="I28" s="18">
        <v>5.8030061538461544</v>
      </c>
      <c r="J28" s="16"/>
      <c r="K28" s="49">
        <f>I28*J28</f>
        <v>0</v>
      </c>
      <c r="L28" s="36"/>
      <c r="N28" s="33" t="str">
        <f>IFERROR(IF($N$2*F28=0, "-", $N$2*F28), "-")</f>
        <v>-</v>
      </c>
      <c r="O28" s="33" t="str">
        <f>IF(J28&gt;0,I28+N28,"-")</f>
        <v>-</v>
      </c>
      <c r="P28" s="34" t="str">
        <f>IF(J28&gt;0,J28*F28, "-")</f>
        <v>-</v>
      </c>
      <c r="Q28" s="35" t="str">
        <f>IFERROR(IF($N$2&gt;0, $N$2*P28, "-"), "-")</f>
        <v>-</v>
      </c>
      <c r="S28" s="35" t="str">
        <f>IFERROR(IF(Q28+K28=0, "-", IF(Q28&gt;0, Q28+K28, "-")), "-")</f>
        <v>-</v>
      </c>
    </row>
    <row r="29" spans="1:19" x14ac:dyDescent="0.3">
      <c r="A29" s="48">
        <v>2055</v>
      </c>
      <c r="B29" s="22">
        <v>627765020557</v>
      </c>
      <c r="C29" s="11" t="s">
        <v>288</v>
      </c>
      <c r="D29" s="17">
        <v>90</v>
      </c>
      <c r="E29" s="17" t="s">
        <v>54</v>
      </c>
      <c r="F29" s="37">
        <v>8.3989999999999995E-2</v>
      </c>
      <c r="G29" s="17">
        <v>24</v>
      </c>
      <c r="H29" s="43" t="s">
        <v>635</v>
      </c>
      <c r="I29" s="18">
        <v>5.3533270588235302</v>
      </c>
      <c r="J29" s="16"/>
      <c r="K29" s="49">
        <f>I29*J29</f>
        <v>0</v>
      </c>
      <c r="L29" s="36"/>
      <c r="N29" s="33" t="str">
        <f>IFERROR(IF($N$2*F29=0, "-", $N$2*F29), "-")</f>
        <v>-</v>
      </c>
      <c r="O29" s="33" t="str">
        <f>IF(J29&gt;0,I29+N29,"-")</f>
        <v>-</v>
      </c>
      <c r="P29" s="34" t="str">
        <f>IF(J29&gt;0,J29*F29, "-")</f>
        <v>-</v>
      </c>
      <c r="Q29" s="35" t="str">
        <f>IFERROR(IF($N$2&gt;0, $N$2*P29, "-"), "-")</f>
        <v>-</v>
      </c>
      <c r="S29" s="35" t="str">
        <f>IFERROR(IF(Q29+K29=0, "-", IF(Q29&gt;0, Q29+K29, "-")), "-")</f>
        <v>-</v>
      </c>
    </row>
    <row r="30" spans="1:19" x14ac:dyDescent="0.3">
      <c r="A30" s="48">
        <v>2057</v>
      </c>
      <c r="B30" s="22">
        <v>68958020570</v>
      </c>
      <c r="C30" s="11" t="s">
        <v>289</v>
      </c>
      <c r="D30" s="17">
        <v>90</v>
      </c>
      <c r="E30" s="17" t="s">
        <v>45</v>
      </c>
      <c r="F30" s="37">
        <v>0.1135</v>
      </c>
      <c r="G30" s="17">
        <v>24</v>
      </c>
      <c r="H30" s="43" t="s">
        <v>635</v>
      </c>
      <c r="I30" s="18">
        <v>9.7582569230769227</v>
      </c>
      <c r="J30" s="16"/>
      <c r="K30" s="49">
        <f>I30*J30</f>
        <v>0</v>
      </c>
      <c r="L30" s="36"/>
      <c r="N30" s="33" t="str">
        <f>IFERROR(IF($N$2*F30=0, "-", $N$2*F30), "-")</f>
        <v>-</v>
      </c>
      <c r="O30" s="33" t="str">
        <f>IF(J30&gt;0,I30+N30,"-")</f>
        <v>-</v>
      </c>
      <c r="P30" s="34" t="str">
        <f>IF(J30&gt;0,J30*F30, "-")</f>
        <v>-</v>
      </c>
      <c r="Q30" s="35" t="str">
        <f>IFERROR(IF($N$2&gt;0, $N$2*P30, "-"), "-")</f>
        <v>-</v>
      </c>
      <c r="S30" s="35" t="str">
        <f>IFERROR(IF(Q30+K30=0, "-", IF(Q30&gt;0, Q30+K30, "-")), "-")</f>
        <v>-</v>
      </c>
    </row>
    <row r="31" spans="1:19" x14ac:dyDescent="0.3">
      <c r="A31" s="48">
        <v>2612</v>
      </c>
      <c r="B31" s="22">
        <v>68958026121</v>
      </c>
      <c r="C31" s="11" t="s">
        <v>325</v>
      </c>
      <c r="D31" s="17">
        <v>30</v>
      </c>
      <c r="E31" s="17" t="s">
        <v>14</v>
      </c>
      <c r="F31" s="37">
        <v>4.9939999999999998E-2</v>
      </c>
      <c r="G31" s="17">
        <v>24</v>
      </c>
      <c r="H31" s="43" t="s">
        <v>635</v>
      </c>
      <c r="I31" s="18">
        <v>11.1915</v>
      </c>
      <c r="J31" s="16"/>
      <c r="K31" s="49">
        <f>I31*J31</f>
        <v>0</v>
      </c>
      <c r="L31" s="36"/>
      <c r="N31" s="33" t="str">
        <f>IFERROR(IF($N$2*F31=0, "-", $N$2*F31), "-")</f>
        <v>-</v>
      </c>
      <c r="O31" s="33" t="str">
        <f>IF(J31&gt;0,I31+N31,"-")</f>
        <v>-</v>
      </c>
      <c r="P31" s="34" t="str">
        <f>IF(J31&gt;0,J31*F31, "-")</f>
        <v>-</v>
      </c>
      <c r="Q31" s="35" t="str">
        <f>IFERROR(IF($N$2&gt;0, $N$2*P31, "-"), "-")</f>
        <v>-</v>
      </c>
      <c r="S31" s="35" t="str">
        <f>IFERROR(IF(Q31+K31=0, "-", IF(Q31&gt;0, Q31+K31, "-")), "-")</f>
        <v>-</v>
      </c>
    </row>
    <row r="32" spans="1:19" x14ac:dyDescent="0.3">
      <c r="A32" s="48">
        <v>3577</v>
      </c>
      <c r="B32" s="22">
        <v>68958035772</v>
      </c>
      <c r="C32" s="11" t="s">
        <v>457</v>
      </c>
      <c r="D32" s="17">
        <v>120</v>
      </c>
      <c r="E32" s="17" t="s">
        <v>14</v>
      </c>
      <c r="F32" s="37">
        <v>0.24515999999999999</v>
      </c>
      <c r="G32" s="17">
        <v>12</v>
      </c>
      <c r="H32" s="43" t="s">
        <v>635</v>
      </c>
      <c r="I32" s="18">
        <v>18.055896923076926</v>
      </c>
      <c r="J32" s="16"/>
      <c r="K32" s="49">
        <f>I32*J32</f>
        <v>0</v>
      </c>
      <c r="L32" s="36"/>
      <c r="N32" s="33" t="str">
        <f>IFERROR(IF($N$2*F32=0, "-", $N$2*F32), "-")</f>
        <v>-</v>
      </c>
      <c r="O32" s="33" t="str">
        <f>IF(J32&gt;0,I32+N32,"-")</f>
        <v>-</v>
      </c>
      <c r="P32" s="34" t="str">
        <f>IF(J32&gt;0,J32*F32, "-")</f>
        <v>-</v>
      </c>
      <c r="Q32" s="35" t="str">
        <f>IFERROR(IF($N$2&gt;0, $N$2*P32, "-"), "-")</f>
        <v>-</v>
      </c>
      <c r="S32" s="35" t="str">
        <f>IFERROR(IF(Q32+K32=0, "-", IF(Q32&gt;0, Q32+K32, "-")), "-")</f>
        <v>-</v>
      </c>
    </row>
    <row r="33" spans="1:19" x14ac:dyDescent="0.3">
      <c r="A33" s="48">
        <v>4584</v>
      </c>
      <c r="B33" s="22">
        <v>627765045840</v>
      </c>
      <c r="C33" s="11" t="s">
        <v>525</v>
      </c>
      <c r="D33" s="17">
        <v>60</v>
      </c>
      <c r="E33" s="17" t="s">
        <v>14</v>
      </c>
      <c r="F33" s="37">
        <v>0.19295000000000001</v>
      </c>
      <c r="G33" s="17">
        <v>24</v>
      </c>
      <c r="H33" s="43" t="s">
        <v>635</v>
      </c>
      <c r="I33" s="18">
        <v>19.804977692307691</v>
      </c>
      <c r="J33" s="16"/>
      <c r="K33" s="49">
        <f>I33*J33</f>
        <v>0</v>
      </c>
      <c r="L33" s="36"/>
      <c r="N33" s="33" t="str">
        <f>IFERROR(IF($N$2*F33=0, "-", $N$2*F33), "-")</f>
        <v>-</v>
      </c>
      <c r="O33" s="33" t="str">
        <f>IF(J33&gt;0,I33+N33,"-")</f>
        <v>-</v>
      </c>
      <c r="P33" s="34" t="str">
        <f>IF(J33&gt;0,J33*F33, "-")</f>
        <v>-</v>
      </c>
      <c r="Q33" s="35" t="str">
        <f>IFERROR(IF($N$2&gt;0, $N$2*P33, "-"), "-")</f>
        <v>-</v>
      </c>
      <c r="S33" s="35" t="str">
        <f>IFERROR(IF(Q33+K33=0, "-", IF(Q33&gt;0, Q33+K33, "-")), "-")</f>
        <v>-</v>
      </c>
    </row>
    <row r="34" spans="1:19" x14ac:dyDescent="0.3">
      <c r="A34" s="48">
        <v>1072</v>
      </c>
      <c r="B34" s="22">
        <v>627765010725</v>
      </c>
      <c r="C34" s="11" t="s">
        <v>47</v>
      </c>
      <c r="D34" s="17">
        <v>180</v>
      </c>
      <c r="E34" s="17" t="s">
        <v>14</v>
      </c>
      <c r="F34" s="37">
        <v>9.307E-2</v>
      </c>
      <c r="G34" s="17">
        <v>24</v>
      </c>
      <c r="H34" s="43" t="s">
        <v>636</v>
      </c>
      <c r="I34" s="18">
        <v>4.728636734693878</v>
      </c>
      <c r="J34" s="16"/>
      <c r="K34" s="49">
        <f>I34*J34</f>
        <v>0</v>
      </c>
      <c r="L34" s="36"/>
      <c r="N34" s="33" t="str">
        <f>IFERROR(IF($N$2*F34=0, "-", $N$2*F34), "-")</f>
        <v>-</v>
      </c>
      <c r="O34" s="33" t="str">
        <f>IF(J34&gt;0,I34+N34,"-")</f>
        <v>-</v>
      </c>
      <c r="P34" s="34" t="str">
        <f>IF(J34&gt;0,J34*F34, "-")</f>
        <v>-</v>
      </c>
      <c r="Q34" s="35" t="str">
        <f>IFERROR(IF($N$2&gt;0, $N$2*P34, "-"), "-")</f>
        <v>-</v>
      </c>
      <c r="S34" s="35" t="str">
        <f>IFERROR(IF(Q34+K34=0, "-", IF(Q34&gt;0, Q34+K34, "-")), "-")</f>
        <v>-</v>
      </c>
    </row>
    <row r="35" spans="1:19" x14ac:dyDescent="0.3">
      <c r="A35" s="48">
        <v>1132</v>
      </c>
      <c r="B35" s="22">
        <v>68958011325</v>
      </c>
      <c r="C35" s="11" t="s">
        <v>57</v>
      </c>
      <c r="D35" s="17">
        <v>60</v>
      </c>
      <c r="E35" s="17" t="s">
        <v>54</v>
      </c>
      <c r="F35" s="37">
        <v>8.1720000000000001E-2</v>
      </c>
      <c r="G35" s="17">
        <v>24</v>
      </c>
      <c r="H35" s="43" t="s">
        <v>636</v>
      </c>
      <c r="I35" s="18">
        <v>11.278128461538461</v>
      </c>
      <c r="J35" s="16"/>
      <c r="K35" s="49">
        <f>I35*J35</f>
        <v>0</v>
      </c>
      <c r="L35" s="36"/>
      <c r="N35" s="33" t="str">
        <f>IFERROR(IF($N$2*F35=0, "-", $N$2*F35), "-")</f>
        <v>-</v>
      </c>
      <c r="O35" s="33" t="str">
        <f>IF(J35&gt;0,I35+N35,"-")</f>
        <v>-</v>
      </c>
      <c r="P35" s="34" t="str">
        <f>IF(J35&gt;0,J35*F35, "-")</f>
        <v>-</v>
      </c>
      <c r="Q35" s="35" t="str">
        <f>IFERROR(IF($N$2&gt;0, $N$2*P35, "-"), "-")</f>
        <v>-</v>
      </c>
      <c r="S35" s="35" t="str">
        <f>IFERROR(IF(Q35+K35=0, "-", IF(Q35&gt;0, Q35+K35, "-")), "-")</f>
        <v>-</v>
      </c>
    </row>
    <row r="36" spans="1:19" x14ac:dyDescent="0.3">
      <c r="A36" s="48">
        <v>1294</v>
      </c>
      <c r="B36" s="22">
        <v>68958012940</v>
      </c>
      <c r="C36" s="11" t="s">
        <v>94</v>
      </c>
      <c r="D36" s="17">
        <v>60</v>
      </c>
      <c r="E36" s="17" t="s">
        <v>45</v>
      </c>
      <c r="F36" s="37">
        <v>5.4480000000000001E-2</v>
      </c>
      <c r="G36" s="17">
        <v>24</v>
      </c>
      <c r="H36" s="43" t="s">
        <v>636</v>
      </c>
      <c r="I36" s="18">
        <v>6.0480000000000009</v>
      </c>
      <c r="J36" s="16"/>
      <c r="K36" s="49">
        <f>I36*J36</f>
        <v>0</v>
      </c>
      <c r="L36" s="36"/>
      <c r="N36" s="33" t="str">
        <f>IFERROR(IF($N$2*F36=0, "-", $N$2*F36), "-")</f>
        <v>-</v>
      </c>
      <c r="O36" s="33" t="str">
        <f>IF(J36&gt;0,I36+N36,"-")</f>
        <v>-</v>
      </c>
      <c r="P36" s="34" t="str">
        <f>IF(J36&gt;0,J36*F36, "-")</f>
        <v>-</v>
      </c>
      <c r="Q36" s="35" t="str">
        <f>IFERROR(IF($N$2&gt;0, $N$2*P36, "-"), "-")</f>
        <v>-</v>
      </c>
      <c r="S36" s="35" t="str">
        <f>IFERROR(IF(Q36+K36=0, "-", IF(Q36&gt;0, Q36+K36, "-")), "-")</f>
        <v>-</v>
      </c>
    </row>
    <row r="37" spans="1:19" x14ac:dyDescent="0.3">
      <c r="A37" s="48">
        <v>1400</v>
      </c>
      <c r="B37" s="22">
        <v>68958014005</v>
      </c>
      <c r="C37" s="11" t="s">
        <v>152</v>
      </c>
      <c r="D37" s="17">
        <v>90</v>
      </c>
      <c r="E37" s="17" t="s">
        <v>14</v>
      </c>
      <c r="F37" s="37">
        <v>7.6045000000000001E-2</v>
      </c>
      <c r="G37" s="17">
        <v>24</v>
      </c>
      <c r="H37" s="43" t="s">
        <v>636</v>
      </c>
      <c r="I37" s="18">
        <v>7.0034469230769245</v>
      </c>
      <c r="J37" s="16"/>
      <c r="K37" s="49">
        <f>I37*J37</f>
        <v>0</v>
      </c>
      <c r="L37" s="36"/>
      <c r="N37" s="33" t="str">
        <f>IFERROR(IF($N$2*F37=0, "-", $N$2*F37), "-")</f>
        <v>-</v>
      </c>
      <c r="O37" s="33" t="str">
        <f>IF(J37&gt;0,I37+N37,"-")</f>
        <v>-</v>
      </c>
      <c r="P37" s="34" t="str">
        <f>IF(J37&gt;0,J37*F37, "-")</f>
        <v>-</v>
      </c>
      <c r="Q37" s="35" t="str">
        <f>IFERROR(IF($N$2&gt;0, $N$2*P37, "-"), "-")</f>
        <v>-</v>
      </c>
      <c r="S37" s="35" t="str">
        <f>IFERROR(IF(Q37+K37=0, "-", IF(Q37&gt;0, Q37+K37, "-")), "-")</f>
        <v>-</v>
      </c>
    </row>
    <row r="38" spans="1:19" x14ac:dyDescent="0.3">
      <c r="A38" s="48">
        <v>1421</v>
      </c>
      <c r="B38" s="23">
        <v>68958014210</v>
      </c>
      <c r="C38" s="11" t="s">
        <v>154</v>
      </c>
      <c r="D38" s="17">
        <v>90</v>
      </c>
      <c r="E38" s="17" t="s">
        <v>14</v>
      </c>
      <c r="F38" s="37">
        <v>9.0800000000000006E-2</v>
      </c>
      <c r="G38" s="17">
        <v>24</v>
      </c>
      <c r="H38" s="43" t="s">
        <v>636</v>
      </c>
      <c r="I38" s="18">
        <v>8.976295384615387</v>
      </c>
      <c r="J38" s="16"/>
      <c r="K38" s="49">
        <f>I38*J38</f>
        <v>0</v>
      </c>
      <c r="L38" s="36"/>
      <c r="N38" s="33" t="str">
        <f>IFERROR(IF($N$2*F38=0, "-", $N$2*F38), "-")</f>
        <v>-</v>
      </c>
      <c r="O38" s="33" t="str">
        <f>IF(J38&gt;0,I38+N38,"-")</f>
        <v>-</v>
      </c>
      <c r="P38" s="34" t="str">
        <f>IF(J38&gt;0,J38*F38, "-")</f>
        <v>-</v>
      </c>
      <c r="Q38" s="35" t="str">
        <f>IFERROR(IF($N$2&gt;0, $N$2*P38, "-"), "-")</f>
        <v>-</v>
      </c>
      <c r="S38" s="35" t="str">
        <f>IFERROR(IF(Q38+K38=0, "-", IF(Q38&gt;0, Q38+K38, "-")), "-")</f>
        <v>-</v>
      </c>
    </row>
    <row r="39" spans="1:19" hidden="1" x14ac:dyDescent="0.3">
      <c r="A39" s="48">
        <v>1600</v>
      </c>
      <c r="B39" s="22"/>
      <c r="C39" s="11" t="s">
        <v>175</v>
      </c>
      <c r="D39" s="17">
        <v>30</v>
      </c>
      <c r="E39" s="17" t="s">
        <v>32</v>
      </c>
      <c r="F39" s="37"/>
      <c r="G39" s="17">
        <v>12</v>
      </c>
      <c r="H39" s="43" t="s">
        <v>636</v>
      </c>
      <c r="I39" s="18">
        <v>2.433465</v>
      </c>
      <c r="J39" s="16"/>
      <c r="K39" s="49">
        <f>I39*J39</f>
        <v>0</v>
      </c>
      <c r="L39" s="36"/>
      <c r="N39" s="33" t="str">
        <f>IFERROR(IF($N$2*F39=0, "-", $N$2*F39), "-")</f>
        <v>-</v>
      </c>
      <c r="O39" s="33" t="str">
        <f>IF(J39&gt;0,I39+N39,"-")</f>
        <v>-</v>
      </c>
      <c r="P39" s="34" t="str">
        <f>IF(J39&gt;0,J39*F39, "-")</f>
        <v>-</v>
      </c>
      <c r="Q39" s="35" t="str">
        <f>IFERROR(IF($N$2&gt;0, $N$2*P39, "-"), "-")</f>
        <v>-</v>
      </c>
      <c r="S39" s="35" t="str">
        <f>IFERROR(IF(Q39+K39=0, "-", IF(Q39&gt;0, Q39+K39, "-")), "-")</f>
        <v>-</v>
      </c>
    </row>
    <row r="40" spans="1:19" x14ac:dyDescent="0.3">
      <c r="A40" s="48">
        <v>1636</v>
      </c>
      <c r="B40" s="23">
        <v>68958016368</v>
      </c>
      <c r="C40" s="11" t="s">
        <v>186</v>
      </c>
      <c r="D40" s="17">
        <v>90</v>
      </c>
      <c r="E40" s="17" t="s">
        <v>32</v>
      </c>
      <c r="F40" s="37">
        <v>4.086E-2</v>
      </c>
      <c r="G40" s="17">
        <v>24</v>
      </c>
      <c r="H40" s="43" t="s">
        <v>636</v>
      </c>
      <c r="I40" s="18">
        <v>3.2790046153846157</v>
      </c>
      <c r="J40" s="16"/>
      <c r="K40" s="49">
        <f>I40*J40</f>
        <v>0</v>
      </c>
      <c r="L40" s="36"/>
      <c r="N40" s="33" t="str">
        <f>IFERROR(IF($N$2*F40=0, "-", $N$2*F40), "-")</f>
        <v>-</v>
      </c>
      <c r="O40" s="33" t="str">
        <f>IF(J40&gt;0,I40+N40,"-")</f>
        <v>-</v>
      </c>
      <c r="P40" s="34" t="str">
        <f>IF(J40&gt;0,J40*F40, "-")</f>
        <v>-</v>
      </c>
      <c r="Q40" s="35" t="str">
        <f>IFERROR(IF($N$2&gt;0, $N$2*P40, "-"), "-")</f>
        <v>-</v>
      </c>
      <c r="S40" s="35" t="str">
        <f>IFERROR(IF(Q40+K40=0, "-", IF(Q40&gt;0, Q40+K40, "-")), "-")</f>
        <v>-</v>
      </c>
    </row>
    <row r="41" spans="1:19" x14ac:dyDescent="0.3">
      <c r="A41" s="48">
        <v>1647</v>
      </c>
      <c r="B41" s="22">
        <v>68958016474</v>
      </c>
      <c r="C41" s="11" t="s">
        <v>194</v>
      </c>
      <c r="D41" s="17">
        <v>60</v>
      </c>
      <c r="E41" s="17" t="s">
        <v>32</v>
      </c>
      <c r="F41" s="37">
        <v>0.19295000000000001</v>
      </c>
      <c r="G41" s="17">
        <v>24</v>
      </c>
      <c r="H41" s="43" t="s">
        <v>636</v>
      </c>
      <c r="I41" s="18">
        <v>9.2369700000000012</v>
      </c>
      <c r="J41" s="16"/>
      <c r="K41" s="49">
        <f>I41*J41</f>
        <v>0</v>
      </c>
      <c r="L41" s="36"/>
      <c r="N41" s="33" t="str">
        <f>IFERROR(IF($N$2*F41=0, "-", $N$2*F41), "-")</f>
        <v>-</v>
      </c>
      <c r="O41" s="33" t="str">
        <f>IF(J41&gt;0,I41+N41,"-")</f>
        <v>-</v>
      </c>
      <c r="P41" s="34" t="str">
        <f>IF(J41&gt;0,J41*F41, "-")</f>
        <v>-</v>
      </c>
      <c r="Q41" s="35" t="str">
        <f>IFERROR(IF($N$2&gt;0, $N$2*P41, "-"), "-")</f>
        <v>-</v>
      </c>
      <c r="S41" s="35" t="str">
        <f>IFERROR(IF(Q41+K41=0, "-", IF(Q41&gt;0, Q41+K41, "-")), "-")</f>
        <v>-</v>
      </c>
    </row>
    <row r="42" spans="1:19" x14ac:dyDescent="0.3">
      <c r="A42" s="48">
        <v>1648</v>
      </c>
      <c r="B42" s="22">
        <v>68958016481</v>
      </c>
      <c r="C42" s="11" t="s">
        <v>195</v>
      </c>
      <c r="D42" s="17">
        <v>60</v>
      </c>
      <c r="E42" s="17" t="s">
        <v>107</v>
      </c>
      <c r="F42" s="37">
        <v>0.10442</v>
      </c>
      <c r="G42" s="17">
        <v>24</v>
      </c>
      <c r="H42" s="43" t="s">
        <v>636</v>
      </c>
      <c r="I42" s="18">
        <v>4.5378692307692301</v>
      </c>
      <c r="J42" s="16"/>
      <c r="K42" s="49">
        <f>I42*J42</f>
        <v>0</v>
      </c>
      <c r="L42" s="36"/>
      <c r="N42" s="33" t="str">
        <f>IFERROR(IF($N$2*F42=0, "-", $N$2*F42), "-")</f>
        <v>-</v>
      </c>
      <c r="O42" s="33" t="str">
        <f>IF(J42&gt;0,I42+N42,"-")</f>
        <v>-</v>
      </c>
      <c r="P42" s="34" t="str">
        <f>IF(J42&gt;0,J42*F42, "-")</f>
        <v>-</v>
      </c>
      <c r="Q42" s="35" t="str">
        <f>IFERROR(IF($N$2&gt;0, $N$2*P42, "-"), "-")</f>
        <v>-</v>
      </c>
      <c r="S42" s="35" t="str">
        <f>IFERROR(IF(Q42+K42=0, "-", IF(Q42&gt;0, Q42+K42, "-")), "-")</f>
        <v>-</v>
      </c>
    </row>
    <row r="43" spans="1:19" x14ac:dyDescent="0.3">
      <c r="A43" s="48">
        <v>1655</v>
      </c>
      <c r="B43" s="23">
        <v>68958016559</v>
      </c>
      <c r="C43" s="11" t="s">
        <v>201</v>
      </c>
      <c r="D43" s="17">
        <v>360</v>
      </c>
      <c r="E43" s="17" t="s">
        <v>32</v>
      </c>
      <c r="F43" s="37">
        <v>0.49713000000000002</v>
      </c>
      <c r="G43" s="17">
        <v>12</v>
      </c>
      <c r="H43" s="43" t="s">
        <v>636</v>
      </c>
      <c r="I43" s="18">
        <v>17.326440000000002</v>
      </c>
      <c r="J43" s="16"/>
      <c r="K43" s="49">
        <f>I43*J43</f>
        <v>0</v>
      </c>
      <c r="L43" s="36"/>
      <c r="N43" s="33" t="str">
        <f>IFERROR(IF($N$2*F43=0, "-", $N$2*F43), "-")</f>
        <v>-</v>
      </c>
      <c r="O43" s="33" t="str">
        <f>IF(J43&gt;0,I43+N43,"-")</f>
        <v>-</v>
      </c>
      <c r="P43" s="34" t="str">
        <f>IF(J43&gt;0,J43*F43, "-")</f>
        <v>-</v>
      </c>
      <c r="Q43" s="35" t="str">
        <f>IFERROR(IF($N$2&gt;0, $N$2*P43, "-"), "-")</f>
        <v>-</v>
      </c>
      <c r="S43" s="35" t="str">
        <f>IFERROR(IF(Q43+K43=0, "-", IF(Q43&gt;0, Q43+K43, "-")), "-")</f>
        <v>-</v>
      </c>
    </row>
    <row r="44" spans="1:19" x14ac:dyDescent="0.3">
      <c r="A44" s="48">
        <v>1675</v>
      </c>
      <c r="B44" s="22">
        <v>68958016757</v>
      </c>
      <c r="C44" s="11" t="s">
        <v>211</v>
      </c>
      <c r="D44" s="17">
        <v>90</v>
      </c>
      <c r="E44" s="17" t="s">
        <v>54</v>
      </c>
      <c r="F44" s="37">
        <v>6.8099999999999994E-2</v>
      </c>
      <c r="G44" s="17">
        <v>24</v>
      </c>
      <c r="H44" s="43" t="s">
        <v>636</v>
      </c>
      <c r="I44" s="18">
        <v>6.5199820408163278</v>
      </c>
      <c r="J44" s="16"/>
      <c r="K44" s="49">
        <f>I44*J44</f>
        <v>0</v>
      </c>
      <c r="L44" s="36"/>
      <c r="N44" s="33" t="str">
        <f>IFERROR(IF($N$2*F44=0, "-", $N$2*F44), "-")</f>
        <v>-</v>
      </c>
      <c r="O44" s="33" t="str">
        <f>IF(J44&gt;0,I44+N44,"-")</f>
        <v>-</v>
      </c>
      <c r="P44" s="34" t="str">
        <f>IF(J44&gt;0,J44*F44, "-")</f>
        <v>-</v>
      </c>
      <c r="Q44" s="35" t="str">
        <f>IFERROR(IF($N$2&gt;0, $N$2*P44, "-"), "-")</f>
        <v>-</v>
      </c>
      <c r="S44" s="35" t="str">
        <f>IFERROR(IF(Q44+K44=0, "-", IF(Q44&gt;0, Q44+K44, "-")), "-")</f>
        <v>-</v>
      </c>
    </row>
    <row r="45" spans="1:19" x14ac:dyDescent="0.3">
      <c r="A45" s="48">
        <v>1678</v>
      </c>
      <c r="B45" s="22">
        <v>68958016788</v>
      </c>
      <c r="C45" s="11" t="s">
        <v>212</v>
      </c>
      <c r="D45" s="17">
        <v>90</v>
      </c>
      <c r="E45" s="17" t="s">
        <v>32</v>
      </c>
      <c r="F45" s="37">
        <v>6.8099999999999994E-2</v>
      </c>
      <c r="G45" s="17">
        <v>24</v>
      </c>
      <c r="H45" s="43" t="s">
        <v>636</v>
      </c>
      <c r="I45" s="18">
        <v>3.5075475000000003</v>
      </c>
      <c r="J45" s="16"/>
      <c r="K45" s="49">
        <f>I45*J45</f>
        <v>0</v>
      </c>
      <c r="L45" s="36"/>
      <c r="N45" s="33" t="str">
        <f>IFERROR(IF($N$2*F45=0, "-", $N$2*F45), "-")</f>
        <v>-</v>
      </c>
      <c r="O45" s="33" t="str">
        <f>IF(J45&gt;0,I45+N45,"-")</f>
        <v>-</v>
      </c>
      <c r="P45" s="34" t="str">
        <f>IF(J45&gt;0,J45*F45, "-")</f>
        <v>-</v>
      </c>
      <c r="Q45" s="35" t="str">
        <f>IFERROR(IF($N$2&gt;0, $N$2*P45, "-"), "-")</f>
        <v>-</v>
      </c>
      <c r="S45" s="35" t="str">
        <f>IFERROR(IF(Q45+K45=0, "-", IF(Q45&gt;0, Q45+K45, "-")), "-")</f>
        <v>-</v>
      </c>
    </row>
    <row r="46" spans="1:19" x14ac:dyDescent="0.3">
      <c r="A46" s="48">
        <v>2684</v>
      </c>
      <c r="B46" s="23">
        <v>68958026848</v>
      </c>
      <c r="C46" s="11" t="s">
        <v>344</v>
      </c>
      <c r="D46" s="17">
        <v>120</v>
      </c>
      <c r="E46" s="17" t="s">
        <v>32</v>
      </c>
      <c r="F46" s="37">
        <v>0.33141999999999999</v>
      </c>
      <c r="G46" s="17">
        <v>12</v>
      </c>
      <c r="H46" s="43" t="s">
        <v>636</v>
      </c>
      <c r="I46" s="18">
        <v>16.867377692307695</v>
      </c>
      <c r="J46" s="16"/>
      <c r="K46" s="49">
        <f>I46*J46</f>
        <v>0</v>
      </c>
      <c r="L46" s="36"/>
      <c r="N46" s="33" t="str">
        <f>IFERROR(IF($N$2*F46=0, "-", $N$2*F46), "-")</f>
        <v>-</v>
      </c>
      <c r="O46" s="33" t="str">
        <f>IF(J46&gt;0,I46+N46,"-")</f>
        <v>-</v>
      </c>
      <c r="P46" s="34" t="str">
        <f>IF(J46&gt;0,J46*F46, "-")</f>
        <v>-</v>
      </c>
      <c r="Q46" s="35" t="str">
        <f>IFERROR(IF($N$2&gt;0, $N$2*P46, "-"), "-")</f>
        <v>-</v>
      </c>
      <c r="S46" s="35" t="str">
        <f>IFERROR(IF(Q46+K46=0, "-", IF(Q46&gt;0, Q46+K46, "-")), "-")</f>
        <v>-</v>
      </c>
    </row>
    <row r="47" spans="1:19" x14ac:dyDescent="0.3">
      <c r="A47" s="48">
        <v>2818</v>
      </c>
      <c r="B47" s="23">
        <v>68958028187</v>
      </c>
      <c r="C47" s="11" t="s">
        <v>372</v>
      </c>
      <c r="D47" s="17">
        <v>60</v>
      </c>
      <c r="E47" s="17" t="s">
        <v>45</v>
      </c>
      <c r="F47" s="37">
        <v>4.5400000000000003E-2</v>
      </c>
      <c r="G47" s="17">
        <v>24</v>
      </c>
      <c r="H47" s="43" t="s">
        <v>636</v>
      </c>
      <c r="I47" s="18">
        <v>7.7446384615384609</v>
      </c>
      <c r="J47" s="16"/>
      <c r="K47" s="49">
        <f>I47*J47</f>
        <v>0</v>
      </c>
      <c r="L47" s="36"/>
      <c r="N47" s="33" t="str">
        <f>IFERROR(IF($N$2*F47=0, "-", $N$2*F47), "-")</f>
        <v>-</v>
      </c>
      <c r="O47" s="33" t="str">
        <f>IF(J47&gt;0,I47+N47,"-")</f>
        <v>-</v>
      </c>
      <c r="P47" s="34" t="str">
        <f>IF(J47&gt;0,J47*F47, "-")</f>
        <v>-</v>
      </c>
      <c r="Q47" s="35" t="str">
        <f>IFERROR(IF($N$2&gt;0, $N$2*P47, "-"), "-")</f>
        <v>-</v>
      </c>
      <c r="S47" s="35" t="str">
        <f>IFERROR(IF(Q47+K47=0, "-", IF(Q47&gt;0, Q47+K47, "-")), "-")</f>
        <v>-</v>
      </c>
    </row>
    <row r="48" spans="1:19" x14ac:dyDescent="0.3">
      <c r="A48" s="48">
        <v>2860</v>
      </c>
      <c r="B48" s="23">
        <v>627765028607</v>
      </c>
      <c r="C48" s="11" t="s">
        <v>400</v>
      </c>
      <c r="D48" s="17">
        <v>120</v>
      </c>
      <c r="E48" s="17" t="s">
        <v>32</v>
      </c>
      <c r="F48" s="37">
        <v>0.25651000000000002</v>
      </c>
      <c r="G48" s="17">
        <v>24</v>
      </c>
      <c r="H48" s="43" t="s">
        <v>636</v>
      </c>
      <c r="I48" s="18">
        <v>8.2208561538461549</v>
      </c>
      <c r="J48" s="16"/>
      <c r="K48" s="49">
        <f>I48*J48</f>
        <v>0</v>
      </c>
      <c r="L48" s="36"/>
      <c r="N48" s="33" t="str">
        <f>IFERROR(IF($N$2*F48=0, "-", $N$2*F48), "-")</f>
        <v>-</v>
      </c>
      <c r="O48" s="33" t="str">
        <f>IF(J48&gt;0,I48+N48,"-")</f>
        <v>-</v>
      </c>
      <c r="P48" s="34" t="str">
        <f>IF(J48&gt;0,J48*F48, "-")</f>
        <v>-</v>
      </c>
      <c r="Q48" s="35" t="str">
        <f>IFERROR(IF($N$2&gt;0, $N$2*P48, "-"), "-")</f>
        <v>-</v>
      </c>
      <c r="S48" s="35" t="str">
        <f>IFERROR(IF(Q48+K48=0, "-", IF(Q48&gt;0, Q48+K48, "-")), "-")</f>
        <v>-</v>
      </c>
    </row>
    <row r="49" spans="1:19" x14ac:dyDescent="0.3">
      <c r="A49" s="48">
        <v>3524</v>
      </c>
      <c r="B49" s="22">
        <v>627765035247</v>
      </c>
      <c r="C49" s="11" t="s">
        <v>438</v>
      </c>
      <c r="D49" s="17">
        <v>150</v>
      </c>
      <c r="E49" s="17" t="s">
        <v>14</v>
      </c>
      <c r="F49" s="37">
        <v>0.41087000000000001</v>
      </c>
      <c r="G49" s="17">
        <v>12</v>
      </c>
      <c r="H49" s="43" t="s">
        <v>636</v>
      </c>
      <c r="I49" s="18">
        <v>30.246853846153847</v>
      </c>
      <c r="J49" s="16"/>
      <c r="K49" s="49">
        <f>I49*J49</f>
        <v>0</v>
      </c>
      <c r="L49" s="36"/>
      <c r="N49" s="33" t="str">
        <f>IFERROR(IF($N$2*F49=0, "-", $N$2*F49), "-")</f>
        <v>-</v>
      </c>
      <c r="O49" s="33" t="str">
        <f>IF(J49&gt;0,I49+N49,"-")</f>
        <v>-</v>
      </c>
      <c r="P49" s="34" t="str">
        <f>IF(J49&gt;0,J49*F49, "-")</f>
        <v>-</v>
      </c>
      <c r="Q49" s="35" t="str">
        <f>IFERROR(IF($N$2&gt;0, $N$2*P49, "-"), "-")</f>
        <v>-</v>
      </c>
      <c r="S49" s="35" t="str">
        <f>IFERROR(IF(Q49+K49=0, "-", IF(Q49&gt;0, Q49+K49, "-")), "-")</f>
        <v>-</v>
      </c>
    </row>
    <row r="50" spans="1:19" x14ac:dyDescent="0.3">
      <c r="A50" s="48">
        <v>3528</v>
      </c>
      <c r="B50" s="22">
        <v>627765035285</v>
      </c>
      <c r="C50" s="11" t="s">
        <v>439</v>
      </c>
      <c r="D50" s="17">
        <v>120</v>
      </c>
      <c r="E50" s="17" t="s">
        <v>130</v>
      </c>
      <c r="F50" s="37">
        <v>0.19749</v>
      </c>
      <c r="G50" s="17">
        <v>18</v>
      </c>
      <c r="H50" s="43" t="s">
        <v>636</v>
      </c>
      <c r="I50" s="18">
        <v>15.347298461538463</v>
      </c>
      <c r="J50" s="16"/>
      <c r="K50" s="49">
        <f>I50*J50</f>
        <v>0</v>
      </c>
      <c r="L50" s="36"/>
      <c r="N50" s="33" t="str">
        <f>IFERROR(IF($N$2*F50=0, "-", $N$2*F50), "-")</f>
        <v>-</v>
      </c>
      <c r="O50" s="33" t="str">
        <f>IF(J50&gt;0,I50+N50,"-")</f>
        <v>-</v>
      </c>
      <c r="P50" s="34" t="str">
        <f>IF(J50&gt;0,J50*F50, "-")</f>
        <v>-</v>
      </c>
      <c r="Q50" s="35" t="str">
        <f>IFERROR(IF($N$2&gt;0, $N$2*P50, "-"), "-")</f>
        <v>-</v>
      </c>
      <c r="S50" s="35" t="str">
        <f>IFERROR(IF(Q50+K50=0, "-", IF(Q50&gt;0, Q50+K50, "-")), "-")</f>
        <v>-</v>
      </c>
    </row>
    <row r="51" spans="1:19" x14ac:dyDescent="0.3">
      <c r="A51" s="48">
        <v>3549</v>
      </c>
      <c r="B51" s="23">
        <v>68958035499</v>
      </c>
      <c r="C51" s="11" t="s">
        <v>447</v>
      </c>
      <c r="D51" s="17">
        <v>120</v>
      </c>
      <c r="E51" s="17" t="s">
        <v>14</v>
      </c>
      <c r="F51" s="37">
        <v>0.26105</v>
      </c>
      <c r="G51" s="17">
        <v>12</v>
      </c>
      <c r="H51" s="43" t="s">
        <v>636</v>
      </c>
      <c r="I51" s="18">
        <v>16.881438461538462</v>
      </c>
      <c r="J51" s="16"/>
      <c r="K51" s="49">
        <f>I51*J51</f>
        <v>0</v>
      </c>
      <c r="L51" s="36"/>
      <c r="N51" s="33" t="str">
        <f>IFERROR(IF($N$2*F51=0, "-", $N$2*F51), "-")</f>
        <v>-</v>
      </c>
      <c r="O51" s="33" t="str">
        <f>IF(J51&gt;0,I51+N51,"-")</f>
        <v>-</v>
      </c>
      <c r="P51" s="34" t="str">
        <f>IF(J51&gt;0,J51*F51, "-")</f>
        <v>-</v>
      </c>
      <c r="Q51" s="35" t="str">
        <f>IFERROR(IF($N$2&gt;0, $N$2*P51, "-"), "-")</f>
        <v>-</v>
      </c>
      <c r="S51" s="35" t="str">
        <f>IFERROR(IF(Q51+K51=0, "-", IF(Q51&gt;0, Q51+K51, "-")), "-")</f>
        <v>-</v>
      </c>
    </row>
    <row r="52" spans="1:19" x14ac:dyDescent="0.3">
      <c r="A52" s="48">
        <v>4513</v>
      </c>
      <c r="B52" s="22">
        <v>68958045139</v>
      </c>
      <c r="C52" s="11" t="s">
        <v>487</v>
      </c>
      <c r="D52" s="17">
        <v>180</v>
      </c>
      <c r="E52" s="17" t="s">
        <v>54</v>
      </c>
      <c r="F52" s="37">
        <v>0.18273500000000001</v>
      </c>
      <c r="G52" s="17">
        <v>24</v>
      </c>
      <c r="H52" s="43" t="s">
        <v>636</v>
      </c>
      <c r="I52" s="18">
        <v>8.7107400000000013</v>
      </c>
      <c r="J52" s="16"/>
      <c r="K52" s="49">
        <f>I52*J52</f>
        <v>0</v>
      </c>
      <c r="L52" s="36"/>
      <c r="N52" s="33" t="str">
        <f>IFERROR(IF($N$2*F52=0, "-", $N$2*F52), "-")</f>
        <v>-</v>
      </c>
      <c r="O52" s="33" t="str">
        <f>IF(J52&gt;0,I52+N52,"-")</f>
        <v>-</v>
      </c>
      <c r="P52" s="34" t="str">
        <f>IF(J52&gt;0,J52*F52, "-")</f>
        <v>-</v>
      </c>
      <c r="Q52" s="35" t="str">
        <f>IFERROR(IF($N$2&gt;0, $N$2*P52, "-"), "-")</f>
        <v>-</v>
      </c>
      <c r="S52" s="35" t="str">
        <f>IFERROR(IF(Q52+K52=0, "-", IF(Q52&gt;0, Q52+K52, "-")), "-")</f>
        <v>-</v>
      </c>
    </row>
    <row r="53" spans="1:19" x14ac:dyDescent="0.3">
      <c r="A53" s="48">
        <v>4539</v>
      </c>
      <c r="B53" s="22">
        <v>68958045399</v>
      </c>
      <c r="C53" s="11" t="s">
        <v>503</v>
      </c>
      <c r="D53" s="17">
        <v>120</v>
      </c>
      <c r="E53" s="17" t="s">
        <v>45</v>
      </c>
      <c r="F53" s="37">
        <v>0.1135</v>
      </c>
      <c r="G53" s="17">
        <v>24</v>
      </c>
      <c r="H53" s="43" t="s">
        <v>636</v>
      </c>
      <c r="I53" s="18">
        <v>21.760836923076926</v>
      </c>
      <c r="J53" s="16"/>
      <c r="K53" s="49">
        <f>I53*J53</f>
        <v>0</v>
      </c>
      <c r="L53" s="36"/>
      <c r="N53" s="33" t="str">
        <f>IFERROR(IF($N$2*F53=0, "-", $N$2*F53), "-")</f>
        <v>-</v>
      </c>
      <c r="O53" s="33" t="str">
        <f>IF(J53&gt;0,I53+N53,"-")</f>
        <v>-</v>
      </c>
      <c r="P53" s="34" t="str">
        <f>IF(J53&gt;0,J53*F53, "-")</f>
        <v>-</v>
      </c>
      <c r="Q53" s="35" t="str">
        <f>IFERROR(IF($N$2&gt;0, $N$2*P53, "-"), "-")</f>
        <v>-</v>
      </c>
      <c r="S53" s="35" t="str">
        <f>IFERROR(IF(Q53+K53=0, "-", IF(Q53&gt;0, Q53+K53, "-")), "-")</f>
        <v>-</v>
      </c>
    </row>
    <row r="54" spans="1:19" x14ac:dyDescent="0.3">
      <c r="A54" s="48">
        <v>4574</v>
      </c>
      <c r="B54" s="23">
        <v>68958045740</v>
      </c>
      <c r="C54" s="11" t="s">
        <v>523</v>
      </c>
      <c r="D54" s="17">
        <v>60</v>
      </c>
      <c r="E54" s="17" t="s">
        <v>14</v>
      </c>
      <c r="F54" s="37">
        <v>6.6964999999999997E-2</v>
      </c>
      <c r="G54" s="17">
        <v>24</v>
      </c>
      <c r="H54" s="43" t="s">
        <v>636</v>
      </c>
      <c r="I54" s="18">
        <v>6.6611076923076924</v>
      </c>
      <c r="J54" s="16"/>
      <c r="K54" s="49">
        <f>I54*J54</f>
        <v>0</v>
      </c>
      <c r="L54" s="36"/>
      <c r="N54" s="33" t="str">
        <f>IFERROR(IF($N$2*F54=0, "-", $N$2*F54), "-")</f>
        <v>-</v>
      </c>
      <c r="O54" s="33" t="str">
        <f>IF(J54&gt;0,I54+N54,"-")</f>
        <v>-</v>
      </c>
      <c r="P54" s="34" t="str">
        <f>IF(J54&gt;0,J54*F54, "-")</f>
        <v>-</v>
      </c>
      <c r="Q54" s="35" t="str">
        <f>IFERROR(IF($N$2&gt;0, $N$2*P54, "-"), "-")</f>
        <v>-</v>
      </c>
      <c r="S54" s="35" t="str">
        <f>IFERROR(IF(Q54+K54=0, "-", IF(Q54&gt;0, Q54+K54, "-")), "-")</f>
        <v>-</v>
      </c>
    </row>
    <row r="55" spans="1:19" x14ac:dyDescent="0.3">
      <c r="A55" s="48">
        <v>4830</v>
      </c>
      <c r="B55" s="23">
        <v>68958048307</v>
      </c>
      <c r="C55" s="11" t="s">
        <v>553</v>
      </c>
      <c r="D55" s="17">
        <v>60</v>
      </c>
      <c r="E55" s="17" t="s">
        <v>45</v>
      </c>
      <c r="F55" s="37">
        <v>5.5615000000000005E-2</v>
      </c>
      <c r="G55" s="17">
        <v>24</v>
      </c>
      <c r="H55" s="43" t="s">
        <v>636</v>
      </c>
      <c r="I55" s="18">
        <v>13.040190000000001</v>
      </c>
      <c r="J55" s="16"/>
      <c r="K55" s="49">
        <f>I55*J55</f>
        <v>0</v>
      </c>
      <c r="L55" s="36"/>
      <c r="N55" s="33" t="str">
        <f>IFERROR(IF($N$2*F55=0, "-", $N$2*F55), "-")</f>
        <v>-</v>
      </c>
      <c r="O55" s="33" t="str">
        <f>IF(J55&gt;0,I55+N55,"-")</f>
        <v>-</v>
      </c>
      <c r="P55" s="34" t="str">
        <f>IF(J55&gt;0,J55*F55, "-")</f>
        <v>-</v>
      </c>
      <c r="Q55" s="35" t="str">
        <f>IFERROR(IF($N$2&gt;0, $N$2*P55, "-"), "-")</f>
        <v>-</v>
      </c>
      <c r="S55" s="35" t="str">
        <f>IFERROR(IF(Q55+K55=0, "-", IF(Q55&gt;0, Q55+K55, "-")), "-")</f>
        <v>-</v>
      </c>
    </row>
    <row r="56" spans="1:19" x14ac:dyDescent="0.3">
      <c r="A56" s="48">
        <v>20726</v>
      </c>
      <c r="B56" s="23">
        <v>68958207261</v>
      </c>
      <c r="C56" s="11" t="s">
        <v>565</v>
      </c>
      <c r="D56" s="17">
        <v>60</v>
      </c>
      <c r="E56" s="17" t="s">
        <v>14</v>
      </c>
      <c r="F56" s="37">
        <v>7.9450000000000007E-2</v>
      </c>
      <c r="G56" s="17">
        <v>24</v>
      </c>
      <c r="H56" s="43" t="s">
        <v>636</v>
      </c>
      <c r="I56" s="18">
        <v>26.129374615384616</v>
      </c>
      <c r="J56" s="16"/>
      <c r="K56" s="49">
        <f>I56*J56</f>
        <v>0</v>
      </c>
      <c r="L56" s="36"/>
      <c r="N56" s="33" t="str">
        <f>IFERROR(IF($N$2*F56=0, "-", $N$2*F56), "-")</f>
        <v>-</v>
      </c>
      <c r="O56" s="33" t="str">
        <f>IF(J56&gt;0,I56+N56,"-")</f>
        <v>-</v>
      </c>
      <c r="P56" s="34" t="str">
        <f>IF(J56&gt;0,J56*F56, "-")</f>
        <v>-</v>
      </c>
      <c r="Q56" s="35" t="str">
        <f>IFERROR(IF($N$2&gt;0, $N$2*P56, "-"), "-")</f>
        <v>-</v>
      </c>
      <c r="S56" s="35" t="str">
        <f>IFERROR(IF(Q56+K56=0, "-", IF(Q56&gt;0, Q56+K56, "-")), "-")</f>
        <v>-</v>
      </c>
    </row>
    <row r="57" spans="1:19" x14ac:dyDescent="0.3">
      <c r="A57" s="48">
        <v>8003</v>
      </c>
      <c r="B57" s="23">
        <v>627765080032</v>
      </c>
      <c r="C57" s="11" t="s">
        <v>607</v>
      </c>
      <c r="D57" s="17">
        <v>180</v>
      </c>
      <c r="E57" s="17" t="s">
        <v>45</v>
      </c>
      <c r="F57" s="37">
        <v>0.22700000000000001</v>
      </c>
      <c r="G57" s="17">
        <v>12</v>
      </c>
      <c r="H57" s="43" t="s">
        <v>636</v>
      </c>
      <c r="I57" s="18">
        <v>18.400853076923077</v>
      </c>
      <c r="J57" s="16"/>
      <c r="K57" s="49">
        <f>I57*J57</f>
        <v>0</v>
      </c>
      <c r="L57" s="36"/>
      <c r="N57" s="33" t="str">
        <f>IFERROR(IF($N$2*F57=0, "-", $N$2*F57), "-")</f>
        <v>-</v>
      </c>
      <c r="O57" s="33" t="str">
        <f>IF(J57&gt;0,I57+N57,"-")</f>
        <v>-</v>
      </c>
      <c r="P57" s="34" t="str">
        <f>IF(J57&gt;0,J57*F57, "-")</f>
        <v>-</v>
      </c>
      <c r="Q57" s="35" t="str">
        <f>IFERROR(IF($N$2&gt;0, $N$2*P57, "-"), "-")</f>
        <v>-</v>
      </c>
      <c r="S57" s="35" t="str">
        <f>IFERROR(IF(Q57+K57=0, "-", IF(Q57&gt;0, Q57+K57, "-")), "-")</f>
        <v>-</v>
      </c>
    </row>
    <row r="58" spans="1:19" x14ac:dyDescent="0.3">
      <c r="A58" s="48">
        <v>1010</v>
      </c>
      <c r="B58" s="23">
        <v>68958010106</v>
      </c>
      <c r="C58" s="11" t="s">
        <v>13</v>
      </c>
      <c r="D58" s="17">
        <v>90</v>
      </c>
      <c r="E58" s="17" t="s">
        <v>14</v>
      </c>
      <c r="F58" s="37">
        <v>4.7670000000000004E-2</v>
      </c>
      <c r="G58" s="17">
        <v>24</v>
      </c>
      <c r="H58" s="43" t="s">
        <v>636</v>
      </c>
      <c r="I58" s="18">
        <v>4.0678615384615391</v>
      </c>
      <c r="J58" s="16"/>
      <c r="K58" s="49">
        <f>I58*J58</f>
        <v>0</v>
      </c>
      <c r="L58" s="36"/>
      <c r="M58" s="42"/>
      <c r="N58" s="33" t="str">
        <f>IFERROR(IF($N$2*F58=0, "-", $N$2*F58), "-")</f>
        <v>-</v>
      </c>
      <c r="O58" s="33" t="str">
        <f>IF(J58&gt;0,I58+N58,"-")</f>
        <v>-</v>
      </c>
      <c r="P58" s="34" t="str">
        <f>IF(J58&gt;0,J58*F58, "-")</f>
        <v>-</v>
      </c>
      <c r="Q58" s="35" t="str">
        <f>IFERROR(IF($N$2&gt;0, $N$2*P58, "-"), "-")</f>
        <v>-</v>
      </c>
      <c r="S58" s="35" t="str">
        <f>IFERROR(IF(Q58+K58=0, "-", IF(Q58&gt;0, Q58+K58, "-")), "-")</f>
        <v>-</v>
      </c>
    </row>
    <row r="59" spans="1:19" x14ac:dyDescent="0.3">
      <c r="A59" s="48">
        <v>1011</v>
      </c>
      <c r="B59" s="22">
        <v>68958010113</v>
      </c>
      <c r="C59" s="11" t="s">
        <v>15</v>
      </c>
      <c r="D59" s="17">
        <v>180</v>
      </c>
      <c r="E59" s="17" t="s">
        <v>14</v>
      </c>
      <c r="F59" s="37">
        <v>7.4910000000000004E-2</v>
      </c>
      <c r="G59" s="17">
        <v>24</v>
      </c>
      <c r="H59" s="43" t="s">
        <v>636</v>
      </c>
      <c r="I59" s="18">
        <v>6.0954576923076926</v>
      </c>
      <c r="J59" s="16"/>
      <c r="K59" s="49">
        <f>I59*J59</f>
        <v>0</v>
      </c>
      <c r="L59" s="36"/>
      <c r="N59" s="33" t="str">
        <f>IFERROR(IF($N$2*F59=0, "-", $N$2*F59), "-")</f>
        <v>-</v>
      </c>
      <c r="O59" s="33" t="str">
        <f>IF(J59&gt;0,I59+N59,"-")</f>
        <v>-</v>
      </c>
      <c r="P59" s="34" t="str">
        <f>IF(J59&gt;0,J59*F59, "-")</f>
        <v>-</v>
      </c>
      <c r="Q59" s="35" t="str">
        <f>IFERROR(IF($N$2&gt;0, $N$2*P59, "-"), "-")</f>
        <v>-</v>
      </c>
      <c r="S59" s="35" t="str">
        <f>IFERROR(IF(Q59+K59=0, "-", IF(Q59&gt;0, Q59+K59, "-")), "-")</f>
        <v>-</v>
      </c>
    </row>
    <row r="60" spans="1:19" x14ac:dyDescent="0.3">
      <c r="A60" s="48">
        <v>1014</v>
      </c>
      <c r="B60" s="23">
        <v>68958010144</v>
      </c>
      <c r="C60" s="11" t="s">
        <v>16</v>
      </c>
      <c r="D60" s="17">
        <v>90</v>
      </c>
      <c r="E60" s="17" t="s">
        <v>14</v>
      </c>
      <c r="F60" s="37">
        <v>6.8099999999999994E-2</v>
      </c>
      <c r="G60" s="17">
        <v>24</v>
      </c>
      <c r="H60" s="43" t="s">
        <v>636</v>
      </c>
      <c r="I60" s="18">
        <v>14.470380000000004</v>
      </c>
      <c r="J60" s="16"/>
      <c r="K60" s="49">
        <f>I60*J60</f>
        <v>0</v>
      </c>
      <c r="L60" s="36"/>
      <c r="N60" s="33" t="str">
        <f>IFERROR(IF($N$2*F60=0, "-", $N$2*F60), "-")</f>
        <v>-</v>
      </c>
      <c r="O60" s="33" t="str">
        <f>IF(J60&gt;0,I60+N60,"-")</f>
        <v>-</v>
      </c>
      <c r="P60" s="34" t="str">
        <f>IF(J60&gt;0,J60*F60, "-")</f>
        <v>-</v>
      </c>
      <c r="Q60" s="35" t="str">
        <f>IFERROR(IF($N$2&gt;0, $N$2*P60, "-"), "-")</f>
        <v>-</v>
      </c>
      <c r="S60" s="35" t="str">
        <f>IFERROR(IF(Q60+K60=0, "-", IF(Q60&gt;0, Q60+K60, "-")), "-")</f>
        <v>-</v>
      </c>
    </row>
    <row r="61" spans="1:19" x14ac:dyDescent="0.3">
      <c r="A61" s="48">
        <v>1015</v>
      </c>
      <c r="B61" s="23">
        <v>627765010152</v>
      </c>
      <c r="C61" s="11" t="s">
        <v>17</v>
      </c>
      <c r="D61" s="17">
        <v>180</v>
      </c>
      <c r="E61" s="17" t="s">
        <v>14</v>
      </c>
      <c r="F61" s="37">
        <v>0.13619999999999999</v>
      </c>
      <c r="G61" s="17">
        <v>24</v>
      </c>
      <c r="H61" s="43" t="s">
        <v>636</v>
      </c>
      <c r="I61" s="18">
        <v>26.213801538461539</v>
      </c>
      <c r="J61" s="16"/>
      <c r="K61" s="49">
        <f>I61*J61</f>
        <v>0</v>
      </c>
      <c r="L61" s="36"/>
      <c r="N61" s="33" t="str">
        <f>IFERROR(IF($N$2*F61=0, "-", $N$2*F61), "-")</f>
        <v>-</v>
      </c>
      <c r="O61" s="33" t="str">
        <f>IF(J61&gt;0,I61+N61,"-")</f>
        <v>-</v>
      </c>
      <c r="P61" s="34" t="str">
        <f>IF(J61&gt;0,J61*F61, "-")</f>
        <v>-</v>
      </c>
      <c r="Q61" s="35" t="str">
        <f>IFERROR(IF($N$2&gt;0, $N$2*P61, "-"), "-")</f>
        <v>-</v>
      </c>
      <c r="S61" s="35" t="str">
        <f>IFERROR(IF(Q61+K61=0, "-", IF(Q61&gt;0, Q61+K61, "-")), "-")</f>
        <v>-</v>
      </c>
    </row>
    <row r="62" spans="1:19" x14ac:dyDescent="0.3">
      <c r="A62" s="48">
        <v>1016</v>
      </c>
      <c r="B62" s="23">
        <v>68958010168</v>
      </c>
      <c r="C62" s="11" t="s">
        <v>18</v>
      </c>
      <c r="D62" s="17">
        <v>60</v>
      </c>
      <c r="E62" s="17" t="s">
        <v>14</v>
      </c>
      <c r="F62" s="37">
        <v>4.5400000000000003E-2</v>
      </c>
      <c r="G62" s="17">
        <v>24</v>
      </c>
      <c r="H62" s="43" t="s">
        <v>636</v>
      </c>
      <c r="I62" s="18">
        <v>9.1578392307692322</v>
      </c>
      <c r="J62" s="16"/>
      <c r="K62" s="49">
        <f>I62*J62</f>
        <v>0</v>
      </c>
      <c r="L62" s="36"/>
      <c r="N62" s="33" t="str">
        <f>IFERROR(IF($N$2*F62=0, "-", $N$2*F62), "-")</f>
        <v>-</v>
      </c>
      <c r="O62" s="33" t="str">
        <f>IF(J62&gt;0,I62+N62,"-")</f>
        <v>-</v>
      </c>
      <c r="P62" s="34" t="str">
        <f>IF(J62&gt;0,J62*F62, "-")</f>
        <v>-</v>
      </c>
      <c r="Q62" s="35" t="str">
        <f>IFERROR(IF($N$2&gt;0, $N$2*P62, "-"), "-")</f>
        <v>-</v>
      </c>
      <c r="S62" s="35" t="str">
        <f>IFERROR(IF(Q62+K62=0, "-", IF(Q62&gt;0, Q62+K62, "-")), "-")</f>
        <v>-</v>
      </c>
    </row>
    <row r="63" spans="1:19" hidden="1" x14ac:dyDescent="0.3">
      <c r="A63" s="48">
        <v>1017</v>
      </c>
      <c r="B63" s="23">
        <v>627765010176</v>
      </c>
      <c r="C63" s="11" t="s">
        <v>19</v>
      </c>
      <c r="D63" s="17">
        <v>60</v>
      </c>
      <c r="E63" s="17" t="s">
        <v>14</v>
      </c>
      <c r="F63" s="37"/>
      <c r="G63" s="17">
        <v>24</v>
      </c>
      <c r="H63" s="43" t="s">
        <v>636</v>
      </c>
      <c r="I63" s="18">
        <v>11.143606153846154</v>
      </c>
      <c r="J63" s="16"/>
      <c r="K63" s="49">
        <f>I63*J63</f>
        <v>0</v>
      </c>
      <c r="L63" s="36"/>
      <c r="N63" s="33" t="str">
        <f>IFERROR(IF($N$2*F63=0, "-", $N$2*F63), "-")</f>
        <v>-</v>
      </c>
      <c r="O63" s="33" t="str">
        <f>IF(J63&gt;0,I63+N63,"-")</f>
        <v>-</v>
      </c>
      <c r="P63" s="34" t="str">
        <f>IF(J63&gt;0,J63*F63, "-")</f>
        <v>-</v>
      </c>
      <c r="Q63" s="35" t="str">
        <f>IFERROR(IF($N$2&gt;0, $N$2*P63, "-"), "-")</f>
        <v>-</v>
      </c>
      <c r="S63" s="35" t="str">
        <f>IFERROR(IF(Q63+K63=0, "-", IF(Q63&gt;0, Q63+K63, "-")), "-")</f>
        <v>-</v>
      </c>
    </row>
    <row r="64" spans="1:19" x14ac:dyDescent="0.3">
      <c r="A64" s="48">
        <v>1018</v>
      </c>
      <c r="B64" s="22"/>
      <c r="C64" s="11" t="s">
        <v>20</v>
      </c>
      <c r="D64" s="17">
        <v>60</v>
      </c>
      <c r="E64" s="17" t="s">
        <v>14</v>
      </c>
      <c r="F64" s="37">
        <v>6.1289999999999997E-2</v>
      </c>
      <c r="G64" s="17">
        <v>24</v>
      </c>
      <c r="H64" s="43" t="s">
        <v>636</v>
      </c>
      <c r="I64" s="18">
        <v>18.116252307692307</v>
      </c>
      <c r="J64" s="16"/>
      <c r="K64" s="49">
        <f>I64*J64</f>
        <v>0</v>
      </c>
      <c r="L64" s="36"/>
      <c r="N64" s="33" t="str">
        <f>IFERROR(IF($N$2*F64=0, "-", $N$2*F64), "-")</f>
        <v>-</v>
      </c>
      <c r="O64" s="33" t="str">
        <f>IF(J64&gt;0,I64+N64,"-")</f>
        <v>-</v>
      </c>
      <c r="P64" s="34" t="str">
        <f>IF(J64&gt;0,J64*F64, "-")</f>
        <v>-</v>
      </c>
      <c r="Q64" s="35" t="str">
        <f>IFERROR(IF($N$2&gt;0, $N$2*P64, "-"), "-")</f>
        <v>-</v>
      </c>
      <c r="S64" s="35" t="str">
        <f>IFERROR(IF(Q64+K64=0, "-", IF(Q64&gt;0, Q64+K64, "-")), "-")</f>
        <v>-</v>
      </c>
    </row>
    <row r="65" spans="1:19" x14ac:dyDescent="0.3">
      <c r="A65" s="48">
        <v>1020</v>
      </c>
      <c r="B65" s="23">
        <v>68958010205</v>
      </c>
      <c r="C65" s="11" t="s">
        <v>21</v>
      </c>
      <c r="D65" s="17">
        <v>90</v>
      </c>
      <c r="E65" s="17" t="s">
        <v>14</v>
      </c>
      <c r="F65" s="37">
        <v>0.18160000000000001</v>
      </c>
      <c r="G65" s="17">
        <v>24</v>
      </c>
      <c r="H65" s="43" t="s">
        <v>636</v>
      </c>
      <c r="I65" s="18">
        <v>8.5733930769230788</v>
      </c>
      <c r="J65" s="16"/>
      <c r="K65" s="49">
        <f>I65*J65</f>
        <v>0</v>
      </c>
      <c r="L65" s="36"/>
      <c r="N65" s="33" t="str">
        <f>IFERROR(IF($N$2*F65=0, "-", $N$2*F65), "-")</f>
        <v>-</v>
      </c>
      <c r="O65" s="33" t="str">
        <f>IF(J65&gt;0,I65+N65,"-")</f>
        <v>-</v>
      </c>
      <c r="P65" s="34" t="str">
        <f>IF(J65&gt;0,J65*F65, "-")</f>
        <v>-</v>
      </c>
      <c r="Q65" s="35" t="str">
        <f>IFERROR(IF($N$2&gt;0, $N$2*P65, "-"), "-")</f>
        <v>-</v>
      </c>
      <c r="S65" s="35" t="str">
        <f>IFERROR(IF(Q65+K65=0, "-", IF(Q65&gt;0, Q65+K65, "-")), "-")</f>
        <v>-</v>
      </c>
    </row>
    <row r="66" spans="1:19" x14ac:dyDescent="0.3">
      <c r="A66" s="48">
        <v>1021</v>
      </c>
      <c r="B66" s="23">
        <v>68958010212</v>
      </c>
      <c r="C66" s="11" t="s">
        <v>22</v>
      </c>
      <c r="D66" s="17">
        <v>180</v>
      </c>
      <c r="E66" s="17" t="s">
        <v>14</v>
      </c>
      <c r="F66" s="37">
        <v>0.34049999999999997</v>
      </c>
      <c r="G66" s="17">
        <v>12</v>
      </c>
      <c r="H66" s="43" t="s">
        <v>636</v>
      </c>
      <c r="I66" s="18">
        <v>15.313320000000001</v>
      </c>
      <c r="J66" s="16"/>
      <c r="K66" s="49">
        <f>I66*J66</f>
        <v>0</v>
      </c>
      <c r="L66" s="36"/>
      <c r="N66" s="33" t="str">
        <f>IFERROR(IF($N$2*F66=0, "-", $N$2*F66), "-")</f>
        <v>-</v>
      </c>
      <c r="O66" s="33" t="str">
        <f>IF(J66&gt;0,I66+N66,"-")</f>
        <v>-</v>
      </c>
      <c r="P66" s="34" t="str">
        <f>IF(J66&gt;0,J66*F66, "-")</f>
        <v>-</v>
      </c>
      <c r="Q66" s="35" t="str">
        <f>IFERROR(IF($N$2&gt;0, $N$2*P66, "-"), "-")</f>
        <v>-</v>
      </c>
      <c r="S66" s="35" t="str">
        <f>IFERROR(IF(Q66+K66=0, "-", IF(Q66&gt;0, Q66+K66, "-")), "-")</f>
        <v>-</v>
      </c>
    </row>
    <row r="67" spans="1:19" x14ac:dyDescent="0.3">
      <c r="A67" s="48">
        <v>1032</v>
      </c>
      <c r="B67" s="22">
        <v>68958010328</v>
      </c>
      <c r="C67" s="11" t="s">
        <v>23</v>
      </c>
      <c r="D67" s="17">
        <v>60</v>
      </c>
      <c r="E67" s="17" t="s">
        <v>14</v>
      </c>
      <c r="F67" s="37">
        <v>4.5400000000000003E-2</v>
      </c>
      <c r="G67" s="17">
        <v>24</v>
      </c>
      <c r="H67" s="43" t="s">
        <v>636</v>
      </c>
      <c r="I67" s="18">
        <v>5.6252423076923082</v>
      </c>
      <c r="J67" s="16"/>
      <c r="K67" s="49">
        <f>I67*J67</f>
        <v>0</v>
      </c>
      <c r="L67" s="36"/>
      <c r="N67" s="33" t="str">
        <f>IFERROR(IF($N$2*F67=0, "-", $N$2*F67), "-")</f>
        <v>-</v>
      </c>
      <c r="O67" s="33" t="str">
        <f>IF(J67&gt;0,I67+N67,"-")</f>
        <v>-</v>
      </c>
      <c r="P67" s="34" t="str">
        <f>IF(J67&gt;0,J67*F67, "-")</f>
        <v>-</v>
      </c>
      <c r="Q67" s="35" t="str">
        <f>IFERROR(IF($N$2&gt;0, $N$2*P67, "-"), "-")</f>
        <v>-</v>
      </c>
      <c r="S67" s="35" t="str">
        <f>IFERROR(IF(Q67+K67=0, "-", IF(Q67&gt;0, Q67+K67, "-")), "-")</f>
        <v>-</v>
      </c>
    </row>
    <row r="68" spans="1:19" x14ac:dyDescent="0.3">
      <c r="A68" s="48">
        <v>1033</v>
      </c>
      <c r="B68" s="22">
        <v>68958010335</v>
      </c>
      <c r="C68" s="11" t="s">
        <v>24</v>
      </c>
      <c r="D68" s="17">
        <v>120</v>
      </c>
      <c r="E68" s="17" t="s">
        <v>14</v>
      </c>
      <c r="F68" s="37">
        <v>8.1720000000000001E-2</v>
      </c>
      <c r="G68" s="17">
        <v>24</v>
      </c>
      <c r="H68" s="43" t="s">
        <v>636</v>
      </c>
      <c r="I68" s="18">
        <v>8.5931238461538459</v>
      </c>
      <c r="J68" s="16"/>
      <c r="K68" s="49">
        <f>I68*J68</f>
        <v>0</v>
      </c>
      <c r="L68" s="36"/>
      <c r="N68" s="33" t="str">
        <f>IFERROR(IF($N$2*F68=0, "-", $N$2*F68), "-")</f>
        <v>-</v>
      </c>
      <c r="O68" s="33" t="str">
        <f>IF(J68&gt;0,I68+N68,"-")</f>
        <v>-</v>
      </c>
      <c r="P68" s="34" t="str">
        <f>IF(J68&gt;0,J68*F68, "-")</f>
        <v>-</v>
      </c>
      <c r="Q68" s="35" t="str">
        <f>IFERROR(IF($N$2&gt;0, $N$2*P68, "-"), "-")</f>
        <v>-</v>
      </c>
      <c r="S68" s="35" t="str">
        <f>IFERROR(IF(Q68+K68=0, "-", IF(Q68&gt;0, Q68+K68, "-")), "-")</f>
        <v>-</v>
      </c>
    </row>
    <row r="69" spans="1:19" x14ac:dyDescent="0.3">
      <c r="A69" s="48">
        <v>1034</v>
      </c>
      <c r="B69" s="22">
        <v>68958010342</v>
      </c>
      <c r="C69" s="11" t="s">
        <v>25</v>
      </c>
      <c r="D69" s="17">
        <v>30</v>
      </c>
      <c r="E69" s="17" t="s">
        <v>14</v>
      </c>
      <c r="F69" s="37">
        <v>5.6750000000000002E-2</v>
      </c>
      <c r="G69" s="17">
        <v>24</v>
      </c>
      <c r="H69" s="43" t="s">
        <v>636</v>
      </c>
      <c r="I69" s="18">
        <v>4.3550792307692312</v>
      </c>
      <c r="J69" s="16"/>
      <c r="K69" s="49">
        <f>I69*J69</f>
        <v>0</v>
      </c>
      <c r="L69" s="36"/>
      <c r="N69" s="33" t="str">
        <f>IFERROR(IF($N$2*F69=0, "-", $N$2*F69), "-")</f>
        <v>-</v>
      </c>
      <c r="O69" s="33" t="str">
        <f>IF(J69&gt;0,I69+N69,"-")</f>
        <v>-</v>
      </c>
      <c r="P69" s="34" t="str">
        <f>IF(J69&gt;0,J69*F69, "-")</f>
        <v>-</v>
      </c>
      <c r="Q69" s="35" t="str">
        <f>IFERROR(IF($N$2&gt;0, $N$2*P69, "-"), "-")</f>
        <v>-</v>
      </c>
      <c r="S69" s="35" t="str">
        <f>IFERROR(IF(Q69+K69=0, "-", IF(Q69&gt;0, Q69+K69, "-")), "-")</f>
        <v>-</v>
      </c>
    </row>
    <row r="70" spans="1:19" x14ac:dyDescent="0.3">
      <c r="A70" s="48">
        <v>1035</v>
      </c>
      <c r="B70" s="23">
        <v>68958010359</v>
      </c>
      <c r="C70" s="11" t="s">
        <v>26</v>
      </c>
      <c r="D70" s="17">
        <v>60</v>
      </c>
      <c r="E70" s="17" t="s">
        <v>14</v>
      </c>
      <c r="F70" s="37">
        <v>9.7609999999999988E-2</v>
      </c>
      <c r="G70" s="17">
        <v>24</v>
      </c>
      <c r="H70" s="43" t="s">
        <v>636</v>
      </c>
      <c r="I70" s="18">
        <v>6.7331976923076926</v>
      </c>
      <c r="J70" s="16"/>
      <c r="K70" s="49">
        <f>I70*J70</f>
        <v>0</v>
      </c>
      <c r="L70" s="36"/>
      <c r="N70" s="33" t="str">
        <f>IFERROR(IF($N$2*F70=0, "-", $N$2*F70), "-")</f>
        <v>-</v>
      </c>
      <c r="O70" s="33" t="str">
        <f>IF(J70&gt;0,I70+N70,"-")</f>
        <v>-</v>
      </c>
      <c r="P70" s="34" t="str">
        <f>IF(J70&gt;0,J70*F70, "-")</f>
        <v>-</v>
      </c>
      <c r="Q70" s="35" t="str">
        <f>IFERROR(IF($N$2&gt;0, $N$2*P70, "-"), "-")</f>
        <v>-</v>
      </c>
      <c r="S70" s="35" t="str">
        <f>IFERROR(IF(Q70+K70=0, "-", IF(Q70&gt;0, Q70+K70, "-")), "-")</f>
        <v>-</v>
      </c>
    </row>
    <row r="71" spans="1:19" x14ac:dyDescent="0.3">
      <c r="A71" s="48">
        <v>1040</v>
      </c>
      <c r="B71" s="23">
        <v>68958010403</v>
      </c>
      <c r="C71" s="11" t="s">
        <v>27</v>
      </c>
      <c r="D71" s="17">
        <v>90</v>
      </c>
      <c r="E71" s="17" t="s">
        <v>14</v>
      </c>
      <c r="F71" s="37">
        <v>4.1994999999999998E-2</v>
      </c>
      <c r="G71" s="17">
        <v>24</v>
      </c>
      <c r="H71" s="43" t="s">
        <v>636</v>
      </c>
      <c r="I71" s="18">
        <v>3.4441640816326538</v>
      </c>
      <c r="J71" s="16"/>
      <c r="K71" s="49">
        <f>I71*J71</f>
        <v>0</v>
      </c>
      <c r="L71" s="36"/>
      <c r="N71" s="33" t="str">
        <f>IFERROR(IF($N$2*F71=0, "-", $N$2*F71), "-")</f>
        <v>-</v>
      </c>
      <c r="O71" s="33" t="str">
        <f>IF(J71&gt;0,I71+N71,"-")</f>
        <v>-</v>
      </c>
      <c r="P71" s="34" t="str">
        <f>IF(J71&gt;0,J71*F71, "-")</f>
        <v>-</v>
      </c>
      <c r="Q71" s="35" t="str">
        <f>IFERROR(IF($N$2&gt;0, $N$2*P71, "-"), "-")</f>
        <v>-</v>
      </c>
      <c r="S71" s="35" t="str">
        <f>IFERROR(IF(Q71+K71=0, "-", IF(Q71&gt;0, Q71+K71, "-")), "-")</f>
        <v>-</v>
      </c>
    </row>
    <row r="72" spans="1:19" x14ac:dyDescent="0.3">
      <c r="A72" s="48">
        <v>1041</v>
      </c>
      <c r="B72" s="23">
        <v>68958010410</v>
      </c>
      <c r="C72" s="11" t="s">
        <v>28</v>
      </c>
      <c r="D72" s="17">
        <v>180</v>
      </c>
      <c r="E72" s="17" t="s">
        <v>14</v>
      </c>
      <c r="F72" s="37">
        <v>6.0155E-2</v>
      </c>
      <c r="G72" s="17">
        <v>24</v>
      </c>
      <c r="H72" s="43" t="s">
        <v>636</v>
      </c>
      <c r="I72" s="18">
        <v>4.7181232653061231</v>
      </c>
      <c r="J72" s="16"/>
      <c r="K72" s="49">
        <f>I72*J72</f>
        <v>0</v>
      </c>
      <c r="L72" s="36"/>
      <c r="N72" s="33" t="str">
        <f>IFERROR(IF($N$2*F72=0, "-", $N$2*F72), "-")</f>
        <v>-</v>
      </c>
      <c r="O72" s="33" t="str">
        <f>IF(J72&gt;0,I72+N72,"-")</f>
        <v>-</v>
      </c>
      <c r="P72" s="34" t="str">
        <f>IF(J72&gt;0,J72*F72, "-")</f>
        <v>-</v>
      </c>
      <c r="Q72" s="35" t="str">
        <f>IFERROR(IF($N$2&gt;0, $N$2*P72, "-"), "-")</f>
        <v>-</v>
      </c>
      <c r="S72" s="35" t="str">
        <f>IFERROR(IF(Q72+K72=0, "-", IF(Q72&gt;0, Q72+K72, "-")), "-")</f>
        <v>-</v>
      </c>
    </row>
    <row r="73" spans="1:19" x14ac:dyDescent="0.3">
      <c r="A73" s="48">
        <v>1048</v>
      </c>
      <c r="B73" s="23">
        <v>627765010480</v>
      </c>
      <c r="C73" s="11" t="s">
        <v>29</v>
      </c>
      <c r="D73" s="17">
        <v>60</v>
      </c>
      <c r="E73" s="17" t="s">
        <v>30</v>
      </c>
      <c r="F73" s="37">
        <v>0.19975999999999999</v>
      </c>
      <c r="G73" s="17">
        <v>24</v>
      </c>
      <c r="H73" s="43" t="s">
        <v>636</v>
      </c>
      <c r="I73" s="18">
        <v>8.3835623076923085</v>
      </c>
      <c r="J73" s="16"/>
      <c r="K73" s="49">
        <f>I73*J73</f>
        <v>0</v>
      </c>
      <c r="L73" s="36"/>
      <c r="N73" s="33" t="str">
        <f>IFERROR(IF($N$2*F73=0, "-", $N$2*F73), "-")</f>
        <v>-</v>
      </c>
      <c r="O73" s="33" t="str">
        <f>IF(J73&gt;0,I73+N73,"-")</f>
        <v>-</v>
      </c>
      <c r="P73" s="34" t="str">
        <f>IF(J73&gt;0,J73*F73, "-")</f>
        <v>-</v>
      </c>
      <c r="Q73" s="35" t="str">
        <f>IFERROR(IF($N$2&gt;0, $N$2*P73, "-"), "-")</f>
        <v>-</v>
      </c>
      <c r="S73" s="35" t="str">
        <f>IFERROR(IF(Q73+K73=0, "-", IF(Q73&gt;0, Q73+K73, "-")), "-")</f>
        <v>-</v>
      </c>
    </row>
    <row r="74" spans="1:19" hidden="1" x14ac:dyDescent="0.3">
      <c r="A74" s="48">
        <v>1049</v>
      </c>
      <c r="B74" s="22"/>
      <c r="C74" s="11" t="s">
        <v>31</v>
      </c>
      <c r="D74" s="17">
        <v>90</v>
      </c>
      <c r="E74" s="17" t="s">
        <v>32</v>
      </c>
      <c r="F74" s="37"/>
      <c r="G74" s="17">
        <v>12</v>
      </c>
      <c r="H74" s="43" t="s">
        <v>636</v>
      </c>
      <c r="I74" s="18">
        <v>2.6125861224489801</v>
      </c>
      <c r="J74" s="16"/>
      <c r="K74" s="49">
        <f>I74*J74</f>
        <v>0</v>
      </c>
      <c r="L74" s="36"/>
      <c r="N74" s="33" t="str">
        <f>IFERROR(IF($N$2*F74=0, "-", $N$2*F74), "-")</f>
        <v>-</v>
      </c>
      <c r="O74" s="33" t="str">
        <f>IF(J74&gt;0,I74+N74,"-")</f>
        <v>-</v>
      </c>
      <c r="P74" s="34" t="str">
        <f>IF(J74&gt;0,J74*F74, "-")</f>
        <v>-</v>
      </c>
      <c r="Q74" s="35" t="str">
        <f>IFERROR(IF($N$2&gt;0, $N$2*P74, "-"), "-")</f>
        <v>-</v>
      </c>
      <c r="S74" s="35" t="str">
        <f>IFERROR(IF(Q74+K74=0, "-", IF(Q74&gt;0, Q74+K74, "-")), "-")</f>
        <v>-</v>
      </c>
    </row>
    <row r="75" spans="1:19" x14ac:dyDescent="0.3">
      <c r="A75" s="48">
        <v>1050</v>
      </c>
      <c r="B75" s="23">
        <v>68958010502</v>
      </c>
      <c r="C75" s="11" t="s">
        <v>33</v>
      </c>
      <c r="D75" s="17">
        <v>90</v>
      </c>
      <c r="E75" s="17" t="s">
        <v>32</v>
      </c>
      <c r="F75" s="37">
        <v>4.5400000000000003E-2</v>
      </c>
      <c r="G75" s="17">
        <v>24</v>
      </c>
      <c r="H75" s="43" t="s">
        <v>636</v>
      </c>
      <c r="I75" s="18">
        <v>2.5997142857142861</v>
      </c>
      <c r="J75" s="16"/>
      <c r="K75" s="49">
        <f>I75*J75</f>
        <v>0</v>
      </c>
      <c r="L75" s="36"/>
      <c r="N75" s="33" t="str">
        <f>IFERROR(IF($N$2*F75=0, "-", $N$2*F75), "-")</f>
        <v>-</v>
      </c>
      <c r="O75" s="33" t="str">
        <f>IF(J75&gt;0,I75+N75,"-")</f>
        <v>-</v>
      </c>
      <c r="P75" s="34" t="str">
        <f>IF(J75&gt;0,J75*F75, "-")</f>
        <v>-</v>
      </c>
      <c r="Q75" s="35" t="str">
        <f>IFERROR(IF($N$2&gt;0, $N$2*P75, "-"), "-")</f>
        <v>-</v>
      </c>
      <c r="S75" s="35" t="str">
        <f>IFERROR(IF(Q75+K75=0, "-", IF(Q75&gt;0, Q75+K75, "-")), "-")</f>
        <v>-</v>
      </c>
    </row>
    <row r="76" spans="1:19" x14ac:dyDescent="0.3">
      <c r="A76" s="48">
        <v>1051</v>
      </c>
      <c r="B76" s="22">
        <v>68958010519</v>
      </c>
      <c r="C76" s="11" t="s">
        <v>34</v>
      </c>
      <c r="D76" s="17">
        <v>180</v>
      </c>
      <c r="E76" s="17" t="s">
        <v>32</v>
      </c>
      <c r="F76" s="37">
        <v>7.3775000000000007E-2</v>
      </c>
      <c r="G76" s="17">
        <v>24</v>
      </c>
      <c r="H76" s="43" t="s">
        <v>636</v>
      </c>
      <c r="I76" s="18">
        <v>3.513614693877551</v>
      </c>
      <c r="J76" s="16"/>
      <c r="K76" s="49">
        <f>I76*J76</f>
        <v>0</v>
      </c>
      <c r="L76" s="36"/>
      <c r="N76" s="33" t="str">
        <f>IFERROR(IF($N$2*F76=0, "-", $N$2*F76), "-")</f>
        <v>-</v>
      </c>
      <c r="O76" s="33" t="str">
        <f>IF(J76&gt;0,I76+N76,"-")</f>
        <v>-</v>
      </c>
      <c r="P76" s="34" t="str">
        <f>IF(J76&gt;0,J76*F76, "-")</f>
        <v>-</v>
      </c>
      <c r="Q76" s="35" t="str">
        <f>IFERROR(IF($N$2&gt;0, $N$2*P76, "-"), "-")</f>
        <v>-</v>
      </c>
      <c r="S76" s="35" t="str">
        <f>IFERROR(IF(Q76+K76=0, "-", IF(Q76&gt;0, Q76+K76, "-")), "-")</f>
        <v>-</v>
      </c>
    </row>
    <row r="77" spans="1:19" x14ac:dyDescent="0.3">
      <c r="A77" s="48">
        <v>1054</v>
      </c>
      <c r="B77" s="23">
        <v>68958010540</v>
      </c>
      <c r="C77" s="11" t="s">
        <v>35</v>
      </c>
      <c r="D77" s="17">
        <v>180</v>
      </c>
      <c r="E77" s="17" t="s">
        <v>14</v>
      </c>
      <c r="F77" s="37">
        <v>9.7609999999999988E-2</v>
      </c>
      <c r="G77" s="17">
        <v>24</v>
      </c>
      <c r="H77" s="43" t="s">
        <v>636</v>
      </c>
      <c r="I77" s="18">
        <v>4.0888579591836738</v>
      </c>
      <c r="J77" s="16"/>
      <c r="K77" s="49">
        <f>I77*J77</f>
        <v>0</v>
      </c>
      <c r="L77" s="36"/>
      <c r="N77" s="33" t="str">
        <f>IFERROR(IF($N$2*F77=0, "-", $N$2*F77), "-")</f>
        <v>-</v>
      </c>
      <c r="O77" s="33" t="str">
        <f>IF(J77&gt;0,I77+N77,"-")</f>
        <v>-</v>
      </c>
      <c r="P77" s="34" t="str">
        <f>IF(J77&gt;0,J77*F77, "-")</f>
        <v>-</v>
      </c>
      <c r="Q77" s="35" t="str">
        <f>IFERROR(IF($N$2&gt;0, $N$2*P77, "-"), "-")</f>
        <v>-</v>
      </c>
      <c r="S77" s="35" t="str">
        <f>IFERROR(IF(Q77+K77=0, "-", IF(Q77&gt;0, Q77+K77, "-")), "-")</f>
        <v>-</v>
      </c>
    </row>
    <row r="78" spans="1:19" x14ac:dyDescent="0.3">
      <c r="A78" s="48">
        <v>1055</v>
      </c>
      <c r="B78" s="22">
        <v>68958010557</v>
      </c>
      <c r="C78" s="11" t="s">
        <v>36</v>
      </c>
      <c r="D78" s="17" t="s">
        <v>37</v>
      </c>
      <c r="E78" s="17" t="s">
        <v>38</v>
      </c>
      <c r="F78" s="37">
        <v>6.583E-2</v>
      </c>
      <c r="G78" s="17">
        <v>24</v>
      </c>
      <c r="H78" s="43" t="s">
        <v>636</v>
      </c>
      <c r="I78" s="18">
        <v>6.5038922448979601</v>
      </c>
      <c r="J78" s="16"/>
      <c r="K78" s="49">
        <f>I78*J78</f>
        <v>0</v>
      </c>
      <c r="L78" s="36"/>
      <c r="N78" s="33" t="str">
        <f>IFERROR(IF($N$2*F78=0, "-", $N$2*F78), "-")</f>
        <v>-</v>
      </c>
      <c r="O78" s="33" t="str">
        <f>IF(J78&gt;0,I78+N78,"-")</f>
        <v>-</v>
      </c>
      <c r="P78" s="34" t="str">
        <f>IF(J78&gt;0,J78*F78, "-")</f>
        <v>-</v>
      </c>
      <c r="Q78" s="35" t="str">
        <f>IFERROR(IF($N$2&gt;0, $N$2*P78, "-"), "-")</f>
        <v>-</v>
      </c>
      <c r="S78" s="35" t="str">
        <f>IFERROR(IF(Q78+K78=0, "-", IF(Q78&gt;0, Q78+K78, "-")), "-")</f>
        <v>-</v>
      </c>
    </row>
    <row r="79" spans="1:19" x14ac:dyDescent="0.3">
      <c r="A79" s="48">
        <v>1056</v>
      </c>
      <c r="B79" s="22">
        <v>68958010564</v>
      </c>
      <c r="C79" s="11" t="s">
        <v>39</v>
      </c>
      <c r="D79" s="17">
        <v>360</v>
      </c>
      <c r="E79" s="17" t="s">
        <v>14</v>
      </c>
      <c r="F79" s="37">
        <v>0.18387000000000001</v>
      </c>
      <c r="G79" s="17">
        <v>24</v>
      </c>
      <c r="H79" s="43" t="s">
        <v>636</v>
      </c>
      <c r="I79" s="18">
        <v>16.363146122448981</v>
      </c>
      <c r="J79" s="16"/>
      <c r="K79" s="49">
        <f>I79*J79</f>
        <v>0</v>
      </c>
      <c r="L79" s="36"/>
      <c r="N79" s="33" t="str">
        <f>IFERROR(IF($N$2*F79=0, "-", $N$2*F79), "-")</f>
        <v>-</v>
      </c>
      <c r="O79" s="33" t="str">
        <f>IF(J79&gt;0,I79+N79,"-")</f>
        <v>-</v>
      </c>
      <c r="P79" s="34" t="str">
        <f>IF(J79&gt;0,J79*F79, "-")</f>
        <v>-</v>
      </c>
      <c r="Q79" s="35" t="str">
        <f>IFERROR(IF($N$2&gt;0, $N$2*P79, "-"), "-")</f>
        <v>-</v>
      </c>
      <c r="S79" s="35" t="str">
        <f>IFERROR(IF(Q79+K79=0, "-", IF(Q79&gt;0, Q79+K79, "-")), "-")</f>
        <v>-</v>
      </c>
    </row>
    <row r="80" spans="1:19" x14ac:dyDescent="0.3">
      <c r="A80" s="48">
        <v>1057</v>
      </c>
      <c r="B80" s="22">
        <v>68958010571</v>
      </c>
      <c r="C80" s="11" t="s">
        <v>40</v>
      </c>
      <c r="D80" s="17">
        <v>360</v>
      </c>
      <c r="E80" s="17" t="s">
        <v>14</v>
      </c>
      <c r="F80" s="37">
        <v>0.17252000000000001</v>
      </c>
      <c r="G80" s="17">
        <v>24</v>
      </c>
      <c r="H80" s="43" t="s">
        <v>636</v>
      </c>
      <c r="I80" s="18">
        <v>6.8030742857142883</v>
      </c>
      <c r="J80" s="16"/>
      <c r="K80" s="49">
        <f>I80*J80</f>
        <v>0</v>
      </c>
      <c r="L80" s="36"/>
      <c r="N80" s="33" t="str">
        <f>IFERROR(IF($N$2*F80=0, "-", $N$2*F80), "-")</f>
        <v>-</v>
      </c>
      <c r="O80" s="33" t="str">
        <f>IF(J80&gt;0,I80+N80,"-")</f>
        <v>-</v>
      </c>
      <c r="P80" s="34" t="str">
        <f>IF(J80&gt;0,J80*F80, "-")</f>
        <v>-</v>
      </c>
      <c r="Q80" s="35" t="str">
        <f>IFERROR(IF($N$2&gt;0, $N$2*P80, "-"), "-")</f>
        <v>-</v>
      </c>
      <c r="S80" s="35" t="str">
        <f>IFERROR(IF(Q80+K80=0, "-", IF(Q80&gt;0, Q80+K80, "-")), "-")</f>
        <v>-</v>
      </c>
    </row>
    <row r="81" spans="1:19" x14ac:dyDescent="0.3">
      <c r="A81" s="48">
        <v>1060</v>
      </c>
      <c r="B81" s="22">
        <v>68958010601</v>
      </c>
      <c r="C81" s="11" t="s">
        <v>42</v>
      </c>
      <c r="D81" s="17">
        <v>500</v>
      </c>
      <c r="E81" s="17" t="s">
        <v>14</v>
      </c>
      <c r="F81" s="37">
        <v>0.24402499999999999</v>
      </c>
      <c r="G81" s="17">
        <v>24</v>
      </c>
      <c r="H81" s="43" t="s">
        <v>636</v>
      </c>
      <c r="I81" s="18">
        <v>8.2736816326530622</v>
      </c>
      <c r="J81" s="16"/>
      <c r="K81" s="49">
        <f>I81*J81</f>
        <v>0</v>
      </c>
      <c r="L81" s="36"/>
      <c r="N81" s="33" t="str">
        <f>IFERROR(IF($N$2*F81=0, "-", $N$2*F81), "-")</f>
        <v>-</v>
      </c>
      <c r="O81" s="33" t="str">
        <f>IF(J81&gt;0,I81+N81,"-")</f>
        <v>-</v>
      </c>
      <c r="P81" s="34" t="str">
        <f>IF(J81&gt;0,J81*F81, "-")</f>
        <v>-</v>
      </c>
      <c r="Q81" s="35" t="str">
        <f>IFERROR(IF($N$2&gt;0, $N$2*P81, "-"), "-")</f>
        <v>-</v>
      </c>
      <c r="S81" s="35" t="str">
        <f>IFERROR(IF(Q81+K81=0, "-", IF(Q81&gt;0, Q81+K81, "-")), "-")</f>
        <v>-</v>
      </c>
    </row>
    <row r="82" spans="1:19" x14ac:dyDescent="0.3">
      <c r="A82" s="48">
        <v>1065</v>
      </c>
      <c r="B82" s="23">
        <v>627765010657</v>
      </c>
      <c r="C82" s="11" t="s">
        <v>43</v>
      </c>
      <c r="D82" s="17">
        <v>90</v>
      </c>
      <c r="E82" s="17" t="s">
        <v>14</v>
      </c>
      <c r="F82" s="37">
        <v>0.10214999999999999</v>
      </c>
      <c r="G82" s="17">
        <v>24</v>
      </c>
      <c r="H82" s="43" t="s">
        <v>636</v>
      </c>
      <c r="I82" s="18">
        <v>8.4127638461538456</v>
      </c>
      <c r="J82" s="16"/>
      <c r="K82" s="49">
        <f>I82*J82</f>
        <v>0</v>
      </c>
      <c r="L82" s="36"/>
      <c r="N82" s="33" t="str">
        <f>IFERROR(IF($N$2*F82=0, "-", $N$2*F82), "-")</f>
        <v>-</v>
      </c>
      <c r="O82" s="33" t="str">
        <f>IF(J82&gt;0,I82+N82,"-")</f>
        <v>-</v>
      </c>
      <c r="P82" s="34" t="str">
        <f>IF(J82&gt;0,J82*F82, "-")</f>
        <v>-</v>
      </c>
      <c r="Q82" s="35" t="str">
        <f>IFERROR(IF($N$2&gt;0, $N$2*P82, "-"), "-")</f>
        <v>-</v>
      </c>
      <c r="S82" s="35" t="str">
        <f>IFERROR(IF(Q82+K82=0, "-", IF(Q82&gt;0, Q82+K82, "-")), "-")</f>
        <v>-</v>
      </c>
    </row>
    <row r="83" spans="1:19" x14ac:dyDescent="0.3">
      <c r="A83" s="48">
        <v>1067</v>
      </c>
      <c r="B83" s="22">
        <v>68958010670</v>
      </c>
      <c r="C83" s="11" t="s">
        <v>44</v>
      </c>
      <c r="D83" s="17">
        <v>180</v>
      </c>
      <c r="E83" s="17" t="s">
        <v>45</v>
      </c>
      <c r="F83" s="37">
        <v>0.107825</v>
      </c>
      <c r="G83" s="17">
        <v>24</v>
      </c>
      <c r="H83" s="43" t="s">
        <v>636</v>
      </c>
      <c r="I83" s="18">
        <v>16.033804615384618</v>
      </c>
      <c r="J83" s="16"/>
      <c r="K83" s="49">
        <f>I83*J83</f>
        <v>0</v>
      </c>
      <c r="L83" s="36"/>
      <c r="N83" s="33" t="str">
        <f>IFERROR(IF($N$2*F83=0, "-", $N$2*F83), "-")</f>
        <v>-</v>
      </c>
      <c r="O83" s="33" t="str">
        <f>IF(J83&gt;0,I83+N83,"-")</f>
        <v>-</v>
      </c>
      <c r="P83" s="34" t="str">
        <f>IF(J83&gt;0,J83*F83, "-")</f>
        <v>-</v>
      </c>
      <c r="Q83" s="35" t="str">
        <f>IFERROR(IF($N$2&gt;0, $N$2*P83, "-"), "-")</f>
        <v>-</v>
      </c>
      <c r="S83" s="35" t="str">
        <f>IFERROR(IF(Q83+K83=0, "-", IF(Q83&gt;0, Q83+K83, "-")), "-")</f>
        <v>-</v>
      </c>
    </row>
    <row r="84" spans="1:19" x14ac:dyDescent="0.3">
      <c r="A84" s="48">
        <v>1071</v>
      </c>
      <c r="B84" s="22">
        <v>627765010718</v>
      </c>
      <c r="C84" s="11" t="s">
        <v>46</v>
      </c>
      <c r="D84" s="17">
        <v>90</v>
      </c>
      <c r="E84" s="17" t="s">
        <v>14</v>
      </c>
      <c r="F84" s="37">
        <v>5.7884999999999999E-2</v>
      </c>
      <c r="G84" s="17">
        <v>24</v>
      </c>
      <c r="H84" s="43" t="s">
        <v>636</v>
      </c>
      <c r="I84" s="18">
        <v>3.6770693877551022</v>
      </c>
      <c r="J84" s="16"/>
      <c r="K84" s="49">
        <f>I84*J84</f>
        <v>0</v>
      </c>
      <c r="L84" s="36"/>
      <c r="N84" s="33" t="str">
        <f>IFERROR(IF($N$2*F84=0, "-", $N$2*F84), "-")</f>
        <v>-</v>
      </c>
      <c r="O84" s="33" t="str">
        <f>IF(J84&gt;0,I84+N84,"-")</f>
        <v>-</v>
      </c>
      <c r="P84" s="34" t="str">
        <f>IF(J84&gt;0,J84*F84, "-")</f>
        <v>-</v>
      </c>
      <c r="Q84" s="35" t="str">
        <f>IFERROR(IF($N$2&gt;0, $N$2*P84, "-"), "-")</f>
        <v>-</v>
      </c>
      <c r="S84" s="35" t="str">
        <f>IFERROR(IF(Q84+K84=0, "-", IF(Q84&gt;0, Q84+K84, "-")), "-")</f>
        <v>-</v>
      </c>
    </row>
    <row r="85" spans="1:19" x14ac:dyDescent="0.3">
      <c r="A85" s="48">
        <v>1073</v>
      </c>
      <c r="B85" s="22">
        <v>627765010732</v>
      </c>
      <c r="C85" s="11" t="s">
        <v>48</v>
      </c>
      <c r="D85" s="17">
        <v>360</v>
      </c>
      <c r="E85" s="17" t="s">
        <v>14</v>
      </c>
      <c r="F85" s="37">
        <v>0.16911499999999999</v>
      </c>
      <c r="G85" s="17">
        <v>24</v>
      </c>
      <c r="H85" s="43" t="s">
        <v>636</v>
      </c>
      <c r="I85" s="18">
        <v>6.9937273469387771</v>
      </c>
      <c r="J85" s="16"/>
      <c r="K85" s="49">
        <f>I85*J85</f>
        <v>0</v>
      </c>
      <c r="L85" s="36"/>
      <c r="N85" s="33" t="str">
        <f>IFERROR(IF($N$2*F85=0, "-", $N$2*F85), "-")</f>
        <v>-</v>
      </c>
      <c r="O85" s="33" t="str">
        <f>IF(J85&gt;0,I85+N85,"-")</f>
        <v>-</v>
      </c>
      <c r="P85" s="34" t="str">
        <f>IF(J85&gt;0,J85*F85, "-")</f>
        <v>-</v>
      </c>
      <c r="Q85" s="35" t="str">
        <f>IFERROR(IF($N$2&gt;0, $N$2*P85, "-"), "-")</f>
        <v>-</v>
      </c>
      <c r="S85" s="35" t="str">
        <f>IFERROR(IF(Q85+K85=0, "-", IF(Q85&gt;0, Q85+K85, "-")), "-")</f>
        <v>-</v>
      </c>
    </row>
    <row r="86" spans="1:19" x14ac:dyDescent="0.3">
      <c r="A86" s="48">
        <v>1074</v>
      </c>
      <c r="B86" s="22">
        <v>627765010749</v>
      </c>
      <c r="C86" s="11" t="s">
        <v>49</v>
      </c>
      <c r="D86" s="17">
        <v>500</v>
      </c>
      <c r="E86" s="17" t="s">
        <v>14</v>
      </c>
      <c r="F86" s="37">
        <v>0.22927000000000003</v>
      </c>
      <c r="G86" s="17">
        <v>24</v>
      </c>
      <c r="H86" s="43" t="s">
        <v>636</v>
      </c>
      <c r="I86" s="18">
        <v>8.8654334693877583</v>
      </c>
      <c r="J86" s="16"/>
      <c r="K86" s="49">
        <f>I86*J86</f>
        <v>0</v>
      </c>
      <c r="L86" s="36"/>
      <c r="N86" s="33" t="str">
        <f>IFERROR(IF($N$2*F86=0, "-", $N$2*F86), "-")</f>
        <v>-</v>
      </c>
      <c r="O86" s="33" t="str">
        <f>IF(J86&gt;0,I86+N86,"-")</f>
        <v>-</v>
      </c>
      <c r="P86" s="34" t="str">
        <f>IF(J86&gt;0,J86*F86, "-")</f>
        <v>-</v>
      </c>
      <c r="Q86" s="35" t="str">
        <f>IFERROR(IF($N$2&gt;0, $N$2*P86, "-"), "-")</f>
        <v>-</v>
      </c>
      <c r="S86" s="35" t="str">
        <f>IFERROR(IF(Q86+K86=0, "-", IF(Q86&gt;0, Q86+K86, "-")), "-")</f>
        <v>-</v>
      </c>
    </row>
    <row r="87" spans="1:19" x14ac:dyDescent="0.3">
      <c r="A87" s="48">
        <v>1075</v>
      </c>
      <c r="B87" s="22">
        <v>627765010756</v>
      </c>
      <c r="C87" s="11" t="s">
        <v>50</v>
      </c>
      <c r="D87" s="17">
        <v>100</v>
      </c>
      <c r="E87" s="17" t="s">
        <v>32</v>
      </c>
      <c r="F87" s="37">
        <v>6.3560000000000005E-2</v>
      </c>
      <c r="G87" s="17">
        <v>24</v>
      </c>
      <c r="H87" s="43" t="s">
        <v>636</v>
      </c>
      <c r="I87" s="18">
        <v>3.2998848979591844</v>
      </c>
      <c r="J87" s="16"/>
      <c r="K87" s="49">
        <f>I87*J87</f>
        <v>0</v>
      </c>
      <c r="L87" s="36"/>
      <c r="N87" s="33" t="str">
        <f>IFERROR(IF($N$2*F87=0, "-", $N$2*F87), "-")</f>
        <v>-</v>
      </c>
      <c r="O87" s="33" t="str">
        <f>IF(J87&gt;0,I87+N87,"-")</f>
        <v>-</v>
      </c>
      <c r="P87" s="34" t="str">
        <f>IF(J87&gt;0,J87*F87, "-")</f>
        <v>-</v>
      </c>
      <c r="Q87" s="35" t="str">
        <f>IFERROR(IF($N$2&gt;0, $N$2*P87, "-"), "-")</f>
        <v>-</v>
      </c>
      <c r="S87" s="35" t="str">
        <f>IFERROR(IF(Q87+K87=0, "-", IF(Q87&gt;0, Q87+K87, "-")), "-")</f>
        <v>-</v>
      </c>
    </row>
    <row r="88" spans="1:19" x14ac:dyDescent="0.3">
      <c r="A88" s="48">
        <v>1076</v>
      </c>
      <c r="B88" s="22">
        <v>627765010763</v>
      </c>
      <c r="C88" s="11" t="s">
        <v>51</v>
      </c>
      <c r="D88" s="17">
        <v>250</v>
      </c>
      <c r="E88" s="17" t="s">
        <v>32</v>
      </c>
      <c r="F88" s="37">
        <v>0.13506499999999999</v>
      </c>
      <c r="G88" s="17">
        <v>24</v>
      </c>
      <c r="H88" s="43" t="s">
        <v>636</v>
      </c>
      <c r="I88" s="18">
        <v>5.2246432653061223</v>
      </c>
      <c r="J88" s="16"/>
      <c r="K88" s="49">
        <f>I88*J88</f>
        <v>0</v>
      </c>
      <c r="L88" s="36"/>
      <c r="N88" s="33" t="str">
        <f>IFERROR(IF($N$2*F88=0, "-", $N$2*F88), "-")</f>
        <v>-</v>
      </c>
      <c r="O88" s="33" t="str">
        <f>IF(J88&gt;0,I88+N88,"-")</f>
        <v>-</v>
      </c>
      <c r="P88" s="34" t="str">
        <f>IF(J88&gt;0,J88*F88, "-")</f>
        <v>-</v>
      </c>
      <c r="Q88" s="35" t="str">
        <f>IFERROR(IF($N$2&gt;0, $N$2*P88, "-"), "-")</f>
        <v>-</v>
      </c>
      <c r="S88" s="35" t="str">
        <f>IFERROR(IF(Q88+K88=0, "-", IF(Q88&gt;0, Q88+K88, "-")), "-")</f>
        <v>-</v>
      </c>
    </row>
    <row r="89" spans="1:19" x14ac:dyDescent="0.3">
      <c r="A89" s="48">
        <v>1077</v>
      </c>
      <c r="B89" s="23">
        <v>627765010770</v>
      </c>
      <c r="C89" s="11" t="s">
        <v>52</v>
      </c>
      <c r="D89" s="17">
        <v>15</v>
      </c>
      <c r="E89" s="17" t="s">
        <v>38</v>
      </c>
      <c r="F89" s="37">
        <v>6.1289999999999997E-2</v>
      </c>
      <c r="G89" s="17">
        <v>24</v>
      </c>
      <c r="H89" s="43" t="s">
        <v>636</v>
      </c>
      <c r="I89" s="18">
        <v>3.9348808163265314</v>
      </c>
      <c r="J89" s="16"/>
      <c r="K89" s="49">
        <f>I89*J89</f>
        <v>0</v>
      </c>
      <c r="L89" s="36"/>
      <c r="N89" s="33" t="str">
        <f>IFERROR(IF($N$2*F89=0, "-", $N$2*F89), "-")</f>
        <v>-</v>
      </c>
      <c r="O89" s="33" t="str">
        <f>IF(J89&gt;0,I89+N89,"-")</f>
        <v>-</v>
      </c>
      <c r="P89" s="34" t="str">
        <f>IF(J89&gt;0,J89*F89, "-")</f>
        <v>-</v>
      </c>
      <c r="Q89" s="35" t="str">
        <f>IFERROR(IF($N$2&gt;0, $N$2*P89, "-"), "-")</f>
        <v>-</v>
      </c>
      <c r="S89" s="35" t="str">
        <f>IFERROR(IF(Q89+K89=0, "-", IF(Q89&gt;0, Q89+K89, "-")), "-")</f>
        <v>-</v>
      </c>
    </row>
    <row r="90" spans="1:19" x14ac:dyDescent="0.3">
      <c r="A90" s="48">
        <v>1120</v>
      </c>
      <c r="B90" s="23">
        <v>68958011202</v>
      </c>
      <c r="C90" s="11" t="s">
        <v>53</v>
      </c>
      <c r="D90" s="17">
        <v>60</v>
      </c>
      <c r="E90" s="17" t="s">
        <v>54</v>
      </c>
      <c r="F90" s="37">
        <v>6.8099999999999994E-2</v>
      </c>
      <c r="G90" s="17">
        <v>24</v>
      </c>
      <c r="H90" s="43" t="s">
        <v>636</v>
      </c>
      <c r="I90" s="18">
        <v>5.4287861538461541</v>
      </c>
      <c r="J90" s="16"/>
      <c r="K90" s="49">
        <f>I90*J90</f>
        <v>0</v>
      </c>
      <c r="L90" s="36"/>
      <c r="N90" s="33" t="str">
        <f>IFERROR(IF($N$2*F90=0, "-", $N$2*F90), "-")</f>
        <v>-</v>
      </c>
      <c r="O90" s="33" t="str">
        <f>IF(J90&gt;0,I90+N90,"-")</f>
        <v>-</v>
      </c>
      <c r="P90" s="34" t="str">
        <f>IF(J90&gt;0,J90*F90, "-")</f>
        <v>-</v>
      </c>
      <c r="Q90" s="35" t="str">
        <f>IFERROR(IF($N$2&gt;0, $N$2*P90, "-"), "-")</f>
        <v>-</v>
      </c>
      <c r="S90" s="35" t="str">
        <f>IFERROR(IF(Q90+K90=0, "-", IF(Q90&gt;0, Q90+K90, "-")), "-")</f>
        <v>-</v>
      </c>
    </row>
    <row r="91" spans="1:19" x14ac:dyDescent="0.3">
      <c r="A91" s="48">
        <v>1122</v>
      </c>
      <c r="B91" s="23">
        <v>627765011227</v>
      </c>
      <c r="C91" s="11" t="s">
        <v>56</v>
      </c>
      <c r="D91" s="17">
        <v>180</v>
      </c>
      <c r="E91" s="17" t="s">
        <v>54</v>
      </c>
      <c r="F91" s="37">
        <v>0.15890000000000001</v>
      </c>
      <c r="G91" s="17">
        <v>12</v>
      </c>
      <c r="H91" s="43" t="s">
        <v>636</v>
      </c>
      <c r="I91" s="18">
        <v>11.227949999999998</v>
      </c>
      <c r="J91" s="16"/>
      <c r="K91" s="49">
        <f>I91*J91</f>
        <v>0</v>
      </c>
      <c r="L91" s="36"/>
      <c r="N91" s="33" t="str">
        <f>IFERROR(IF($N$2*F91=0, "-", $N$2*F91), "-")</f>
        <v>-</v>
      </c>
      <c r="O91" s="33" t="str">
        <f>IF(J91&gt;0,I91+N91,"-")</f>
        <v>-</v>
      </c>
      <c r="P91" s="34" t="str">
        <f>IF(J91&gt;0,J91*F91, "-")</f>
        <v>-</v>
      </c>
      <c r="Q91" s="35" t="str">
        <f>IFERROR(IF($N$2&gt;0, $N$2*P91, "-"), "-")</f>
        <v>-</v>
      </c>
      <c r="S91" s="35" t="str">
        <f>IFERROR(IF(Q91+K91=0, "-", IF(Q91&gt;0, Q91+K91, "-")), "-")</f>
        <v>-</v>
      </c>
    </row>
    <row r="92" spans="1:19" x14ac:dyDescent="0.3">
      <c r="A92" s="48">
        <v>1133</v>
      </c>
      <c r="B92" s="23">
        <v>68958011332</v>
      </c>
      <c r="C92" s="11" t="s">
        <v>58</v>
      </c>
      <c r="D92" s="17">
        <v>120</v>
      </c>
      <c r="E92" s="17" t="s">
        <v>54</v>
      </c>
      <c r="F92" s="37">
        <v>0.18160000000000001</v>
      </c>
      <c r="G92" s="17">
        <v>12</v>
      </c>
      <c r="H92" s="43" t="s">
        <v>636</v>
      </c>
      <c r="I92" s="18">
        <v>20.064385384615385</v>
      </c>
      <c r="J92" s="16"/>
      <c r="K92" s="49">
        <f>I92*J92</f>
        <v>0</v>
      </c>
      <c r="L92" s="36"/>
      <c r="N92" s="33" t="str">
        <f>IFERROR(IF($N$2*F92=0, "-", $N$2*F92), "-")</f>
        <v>-</v>
      </c>
      <c r="O92" s="33" t="str">
        <f>IF(J92&gt;0,I92+N92,"-")</f>
        <v>-</v>
      </c>
      <c r="P92" s="34" t="str">
        <f>IF(J92&gt;0,J92*F92, "-")</f>
        <v>-</v>
      </c>
      <c r="Q92" s="35" t="str">
        <f>IFERROR(IF($N$2&gt;0, $N$2*P92, "-"), "-")</f>
        <v>-</v>
      </c>
      <c r="S92" s="35" t="str">
        <f>IFERROR(IF(Q92+K92=0, "-", IF(Q92&gt;0, Q92+K92, "-")), "-")</f>
        <v>-</v>
      </c>
    </row>
    <row r="93" spans="1:19" x14ac:dyDescent="0.3">
      <c r="A93" s="48">
        <v>1140</v>
      </c>
      <c r="B93" s="23">
        <v>68958011400</v>
      </c>
      <c r="C93" s="11" t="s">
        <v>59</v>
      </c>
      <c r="D93" s="17">
        <v>60</v>
      </c>
      <c r="E93" s="17" t="s">
        <v>32</v>
      </c>
      <c r="F93" s="37">
        <v>0.14641500000000002</v>
      </c>
      <c r="G93" s="17">
        <v>24</v>
      </c>
      <c r="H93" s="43" t="s">
        <v>636</v>
      </c>
      <c r="I93" s="18">
        <v>10.008110769230768</v>
      </c>
      <c r="J93" s="16"/>
      <c r="K93" s="49">
        <f>I93*J93</f>
        <v>0</v>
      </c>
      <c r="L93" s="36"/>
      <c r="N93" s="33" t="str">
        <f>IFERROR(IF($N$2*F93=0, "-", $N$2*F93), "-")</f>
        <v>-</v>
      </c>
      <c r="O93" s="33" t="str">
        <f>IF(J93&gt;0,I93+N93,"-")</f>
        <v>-</v>
      </c>
      <c r="P93" s="34" t="str">
        <f>IF(J93&gt;0,J93*F93, "-")</f>
        <v>-</v>
      </c>
      <c r="Q93" s="35" t="str">
        <f>IFERROR(IF($N$2&gt;0, $N$2*P93, "-"), "-")</f>
        <v>-</v>
      </c>
      <c r="S93" s="35" t="str">
        <f>IFERROR(IF(Q93+K93=0, "-", IF(Q93&gt;0, Q93+K93, "-")), "-")</f>
        <v>-</v>
      </c>
    </row>
    <row r="94" spans="1:19" x14ac:dyDescent="0.3">
      <c r="A94" s="48">
        <v>1141</v>
      </c>
      <c r="B94" s="23">
        <v>68958011417</v>
      </c>
      <c r="C94" s="11" t="s">
        <v>60</v>
      </c>
      <c r="D94" s="17">
        <v>90</v>
      </c>
      <c r="E94" s="17" t="s">
        <v>32</v>
      </c>
      <c r="F94" s="37">
        <v>0.21224499999999999</v>
      </c>
      <c r="G94" s="17">
        <v>24</v>
      </c>
      <c r="H94" s="43" t="s">
        <v>636</v>
      </c>
      <c r="I94" s="18">
        <v>13.188565384615387</v>
      </c>
      <c r="J94" s="16"/>
      <c r="K94" s="49">
        <f>I94*J94</f>
        <v>0</v>
      </c>
      <c r="L94" s="36"/>
      <c r="N94" s="33" t="str">
        <f>IFERROR(IF($N$2*F94=0, "-", $N$2*F94), "-")</f>
        <v>-</v>
      </c>
      <c r="O94" s="33" t="str">
        <f>IF(J94&gt;0,I94+N94,"-")</f>
        <v>-</v>
      </c>
      <c r="P94" s="34" t="str">
        <f>IF(J94&gt;0,J94*F94, "-")</f>
        <v>-</v>
      </c>
      <c r="Q94" s="35" t="str">
        <f>IFERROR(IF($N$2&gt;0, $N$2*P94, "-"), "-")</f>
        <v>-</v>
      </c>
      <c r="S94" s="35" t="str">
        <f>IFERROR(IF(Q94+K94=0, "-", IF(Q94&gt;0, Q94+K94, "-")), "-")</f>
        <v>-</v>
      </c>
    </row>
    <row r="95" spans="1:19" x14ac:dyDescent="0.3">
      <c r="A95" s="48">
        <v>1142</v>
      </c>
      <c r="B95" s="23">
        <v>68958011424</v>
      </c>
      <c r="C95" s="11" t="s">
        <v>61</v>
      </c>
      <c r="D95" s="17">
        <v>180</v>
      </c>
      <c r="E95" s="17" t="s">
        <v>32</v>
      </c>
      <c r="F95" s="37">
        <v>0.41087000000000001</v>
      </c>
      <c r="G95" s="17">
        <v>12</v>
      </c>
      <c r="H95" s="43" t="s">
        <v>636</v>
      </c>
      <c r="I95" s="18">
        <v>23.785878461538463</v>
      </c>
      <c r="J95" s="16"/>
      <c r="K95" s="49">
        <f>I95*J95</f>
        <v>0</v>
      </c>
      <c r="L95" s="36"/>
      <c r="N95" s="33" t="str">
        <f>IFERROR(IF($N$2*F95=0, "-", $N$2*F95), "-")</f>
        <v>-</v>
      </c>
      <c r="O95" s="33" t="str">
        <f>IF(J95&gt;0,I95+N95,"-")</f>
        <v>-</v>
      </c>
      <c r="P95" s="34" t="str">
        <f>IF(J95&gt;0,J95*F95, "-")</f>
        <v>-</v>
      </c>
      <c r="Q95" s="35" t="str">
        <f>IFERROR(IF($N$2&gt;0, $N$2*P95, "-"), "-")</f>
        <v>-</v>
      </c>
      <c r="S95" s="35" t="str">
        <f>IFERROR(IF(Q95+K95=0, "-", IF(Q95&gt;0, Q95+K95, "-")), "-")</f>
        <v>-</v>
      </c>
    </row>
    <row r="96" spans="1:19" x14ac:dyDescent="0.3">
      <c r="A96" s="48">
        <v>1200</v>
      </c>
      <c r="B96" s="23">
        <v>68958012001</v>
      </c>
      <c r="C96" s="11" t="s">
        <v>62</v>
      </c>
      <c r="D96" s="17">
        <v>90</v>
      </c>
      <c r="E96" s="17" t="s">
        <v>32</v>
      </c>
      <c r="F96" s="37">
        <v>6.9235000000000005E-2</v>
      </c>
      <c r="G96" s="17">
        <v>24</v>
      </c>
      <c r="H96" s="43" t="s">
        <v>636</v>
      </c>
      <c r="I96" s="18">
        <v>4.7028184615384614</v>
      </c>
      <c r="J96" s="16"/>
      <c r="K96" s="49">
        <f>I96*J96</f>
        <v>0</v>
      </c>
      <c r="L96" s="36"/>
      <c r="N96" s="33" t="str">
        <f>IFERROR(IF($N$2*F96=0, "-", $N$2*F96), "-")</f>
        <v>-</v>
      </c>
      <c r="O96" s="33" t="str">
        <f>IF(J96&gt;0,I96+N96,"-")</f>
        <v>-</v>
      </c>
      <c r="P96" s="34" t="str">
        <f>IF(J96&gt;0,J96*F96, "-")</f>
        <v>-</v>
      </c>
      <c r="Q96" s="35" t="str">
        <f>IFERROR(IF($N$2&gt;0, $N$2*P96, "-"), "-")</f>
        <v>-</v>
      </c>
      <c r="S96" s="35" t="str">
        <f>IFERROR(IF(Q96+K96=0, "-", IF(Q96&gt;0, Q96+K96, "-")), "-")</f>
        <v>-</v>
      </c>
    </row>
    <row r="97" spans="1:19" x14ac:dyDescent="0.3">
      <c r="A97" s="48">
        <v>1215</v>
      </c>
      <c r="B97" s="23">
        <v>68958012155</v>
      </c>
      <c r="C97" s="11" t="s">
        <v>63</v>
      </c>
      <c r="D97" s="17">
        <v>90</v>
      </c>
      <c r="E97" s="17" t="s">
        <v>32</v>
      </c>
      <c r="F97" s="37">
        <v>8.1720000000000001E-2</v>
      </c>
      <c r="G97" s="17">
        <v>24</v>
      </c>
      <c r="H97" s="43" t="s">
        <v>636</v>
      </c>
      <c r="I97" s="18">
        <v>4.9813130769230769</v>
      </c>
      <c r="J97" s="16"/>
      <c r="K97" s="49">
        <f>I97*J97</f>
        <v>0</v>
      </c>
      <c r="L97" s="36"/>
      <c r="N97" s="33" t="str">
        <f>IFERROR(IF($N$2*F97=0, "-", $N$2*F97), "-")</f>
        <v>-</v>
      </c>
      <c r="O97" s="33" t="str">
        <f>IF(J97&gt;0,I97+N97,"-")</f>
        <v>-</v>
      </c>
      <c r="P97" s="34" t="str">
        <f>IF(J97&gt;0,J97*F97, "-")</f>
        <v>-</v>
      </c>
      <c r="Q97" s="35" t="str">
        <f>IFERROR(IF($N$2&gt;0, $N$2*P97, "-"), "-")</f>
        <v>-</v>
      </c>
      <c r="S97" s="35" t="str">
        <f>IFERROR(IF(Q97+K97=0, "-", IF(Q97&gt;0, Q97+K97, "-")), "-")</f>
        <v>-</v>
      </c>
    </row>
    <row r="98" spans="1:19" x14ac:dyDescent="0.3">
      <c r="A98" s="48">
        <v>1220</v>
      </c>
      <c r="B98" s="22">
        <v>68958012209</v>
      </c>
      <c r="C98" s="11" t="s">
        <v>64</v>
      </c>
      <c r="D98" s="17">
        <v>90</v>
      </c>
      <c r="E98" s="17" t="s">
        <v>32</v>
      </c>
      <c r="F98" s="37">
        <v>4.5400000000000003E-2</v>
      </c>
      <c r="G98" s="17">
        <v>24</v>
      </c>
      <c r="H98" s="43" t="s">
        <v>636</v>
      </c>
      <c r="I98" s="18">
        <v>4.5421269230769239</v>
      </c>
      <c r="J98" s="16"/>
      <c r="K98" s="49">
        <f>I98*J98</f>
        <v>0</v>
      </c>
      <c r="L98" s="36"/>
      <c r="N98" s="33" t="str">
        <f>IFERROR(IF($N$2*F98=0, "-", $N$2*F98), "-")</f>
        <v>-</v>
      </c>
      <c r="O98" s="33" t="str">
        <f>IF(J98&gt;0,I98+N98,"-")</f>
        <v>-</v>
      </c>
      <c r="P98" s="34" t="str">
        <f>IF(J98&gt;0,J98*F98, "-")</f>
        <v>-</v>
      </c>
      <c r="Q98" s="35" t="str">
        <f>IFERROR(IF($N$2&gt;0, $N$2*P98, "-"), "-")</f>
        <v>-</v>
      </c>
      <c r="S98" s="35" t="str">
        <f>IFERROR(IF(Q98+K98=0, "-", IF(Q98&gt;0, Q98+K98, "-")), "-")</f>
        <v>-</v>
      </c>
    </row>
    <row r="99" spans="1:19" x14ac:dyDescent="0.3">
      <c r="A99" s="48">
        <v>1223</v>
      </c>
      <c r="B99" s="22">
        <v>68958012230</v>
      </c>
      <c r="C99" s="11" t="s">
        <v>65</v>
      </c>
      <c r="D99" s="17">
        <v>90</v>
      </c>
      <c r="E99" s="17" t="s">
        <v>54</v>
      </c>
      <c r="F99" s="37">
        <v>0.11803999999999999</v>
      </c>
      <c r="G99" s="17">
        <v>24</v>
      </c>
      <c r="H99" s="43" t="s">
        <v>636</v>
      </c>
      <c r="I99" s="18">
        <v>10.387668461538464</v>
      </c>
      <c r="J99" s="16"/>
      <c r="K99" s="49">
        <f>I99*J99</f>
        <v>0</v>
      </c>
      <c r="L99" s="36"/>
      <c r="N99" s="33" t="str">
        <f>IFERROR(IF($N$2*F99=0, "-", $N$2*F99), "-")</f>
        <v>-</v>
      </c>
      <c r="O99" s="33" t="str">
        <f>IF(J99&gt;0,I99+N99,"-")</f>
        <v>-</v>
      </c>
      <c r="P99" s="34" t="str">
        <f>IF(J99&gt;0,J99*F99, "-")</f>
        <v>-</v>
      </c>
      <c r="Q99" s="35" t="str">
        <f>IFERROR(IF($N$2&gt;0, $N$2*P99, "-"), "-")</f>
        <v>-</v>
      </c>
      <c r="S99" s="35" t="str">
        <f>IFERROR(IF(Q99+K99=0, "-", IF(Q99&gt;0, Q99+K99, "-")), "-")</f>
        <v>-</v>
      </c>
    </row>
    <row r="100" spans="1:19" x14ac:dyDescent="0.3">
      <c r="A100" s="48">
        <v>1227</v>
      </c>
      <c r="B100" s="23">
        <v>68958012278</v>
      </c>
      <c r="C100" s="11" t="s">
        <v>66</v>
      </c>
      <c r="D100" s="17">
        <v>90</v>
      </c>
      <c r="E100" s="17" t="s">
        <v>32</v>
      </c>
      <c r="F100" s="37">
        <v>0.14641500000000002</v>
      </c>
      <c r="G100" s="17">
        <v>24</v>
      </c>
      <c r="H100" s="43" t="s">
        <v>636</v>
      </c>
      <c r="I100" s="18">
        <v>7.2377238461538473</v>
      </c>
      <c r="J100" s="16"/>
      <c r="K100" s="49">
        <f>I100*J100</f>
        <v>0</v>
      </c>
      <c r="L100" s="36"/>
      <c r="N100" s="33" t="str">
        <f>IFERROR(IF($N$2*F100=0, "-", $N$2*F100), "-")</f>
        <v>-</v>
      </c>
      <c r="O100" s="33" t="str">
        <f>IF(J100&gt;0,I100+N100,"-")</f>
        <v>-</v>
      </c>
      <c r="P100" s="34" t="str">
        <f>IF(J100&gt;0,J100*F100, "-")</f>
        <v>-</v>
      </c>
      <c r="Q100" s="35" t="str">
        <f>IFERROR(IF($N$2&gt;0, $N$2*P100, "-"), "-")</f>
        <v>-</v>
      </c>
      <c r="S100" s="35" t="str">
        <f>IFERROR(IF(Q100+K100=0, "-", IF(Q100&gt;0, Q100+K100, "-")), "-")</f>
        <v>-</v>
      </c>
    </row>
    <row r="101" spans="1:19" x14ac:dyDescent="0.3">
      <c r="A101" s="48">
        <v>1230</v>
      </c>
      <c r="B101" s="23">
        <v>68958012308</v>
      </c>
      <c r="C101" s="11" t="s">
        <v>67</v>
      </c>
      <c r="D101" s="17">
        <v>90</v>
      </c>
      <c r="E101" s="17" t="s">
        <v>32</v>
      </c>
      <c r="F101" s="37">
        <v>4.9939999999999998E-2</v>
      </c>
      <c r="G101" s="17">
        <v>24</v>
      </c>
      <c r="H101" s="43" t="s">
        <v>636</v>
      </c>
      <c r="I101" s="18">
        <v>6.6586776923076929</v>
      </c>
      <c r="J101" s="16"/>
      <c r="K101" s="49">
        <f>I101*J101</f>
        <v>0</v>
      </c>
      <c r="L101" s="36"/>
      <c r="N101" s="33" t="str">
        <f>IFERROR(IF($N$2*F101=0, "-", $N$2*F101), "-")</f>
        <v>-</v>
      </c>
      <c r="O101" s="33" t="str">
        <f>IF(J101&gt;0,I101+N101,"-")</f>
        <v>-</v>
      </c>
      <c r="P101" s="34" t="str">
        <f>IF(J101&gt;0,J101*F101, "-")</f>
        <v>-</v>
      </c>
      <c r="Q101" s="35" t="str">
        <f>IFERROR(IF($N$2&gt;0, $N$2*P101, "-"), "-")</f>
        <v>-</v>
      </c>
      <c r="S101" s="35" t="str">
        <f>IFERROR(IF(Q101+K101=0, "-", IF(Q101&gt;0, Q101+K101, "-")), "-")</f>
        <v>-</v>
      </c>
    </row>
    <row r="102" spans="1:19" x14ac:dyDescent="0.3">
      <c r="A102" s="48">
        <v>1231</v>
      </c>
      <c r="B102" s="23">
        <v>68958012315</v>
      </c>
      <c r="C102" s="11" t="s">
        <v>68</v>
      </c>
      <c r="D102" s="17">
        <v>90</v>
      </c>
      <c r="E102" s="17" t="s">
        <v>32</v>
      </c>
      <c r="F102" s="37">
        <v>6.2425000000000001E-2</v>
      </c>
      <c r="G102" s="17">
        <v>24</v>
      </c>
      <c r="H102" s="43" t="s">
        <v>636</v>
      </c>
      <c r="I102" s="18">
        <v>4.2243369230769234</v>
      </c>
      <c r="J102" s="16"/>
      <c r="K102" s="49">
        <f>I102*J102</f>
        <v>0</v>
      </c>
      <c r="L102" s="36"/>
      <c r="N102" s="33" t="str">
        <f>IFERROR(IF($N$2*F102=0, "-", $N$2*F102), "-")</f>
        <v>-</v>
      </c>
      <c r="O102" s="33" t="str">
        <f>IF(J102&gt;0,I102+N102,"-")</f>
        <v>-</v>
      </c>
      <c r="P102" s="34" t="str">
        <f>IF(J102&gt;0,J102*F102, "-")</f>
        <v>-</v>
      </c>
      <c r="Q102" s="35" t="str">
        <f>IFERROR(IF($N$2&gt;0, $N$2*P102, "-"), "-")</f>
        <v>-</v>
      </c>
      <c r="S102" s="35" t="str">
        <f>IFERROR(IF(Q102+K102=0, "-", IF(Q102&gt;0, Q102+K102, "-")), "-")</f>
        <v>-</v>
      </c>
    </row>
    <row r="103" spans="1:19" x14ac:dyDescent="0.3">
      <c r="A103" s="48">
        <v>1238</v>
      </c>
      <c r="B103" s="23">
        <v>68958012384</v>
      </c>
      <c r="C103" s="11" t="s">
        <v>69</v>
      </c>
      <c r="D103" s="17">
        <v>90</v>
      </c>
      <c r="E103" s="17" t="s">
        <v>54</v>
      </c>
      <c r="F103" s="37">
        <v>6.1289999999999997E-2</v>
      </c>
      <c r="G103" s="17">
        <v>24</v>
      </c>
      <c r="H103" s="43" t="s">
        <v>636</v>
      </c>
      <c r="I103" s="18">
        <v>6.5329407692307706</v>
      </c>
      <c r="J103" s="16"/>
      <c r="K103" s="49">
        <f>I103*J103</f>
        <v>0</v>
      </c>
      <c r="L103" s="36"/>
      <c r="N103" s="33" t="str">
        <f>IFERROR(IF($N$2*F103=0, "-", $N$2*F103), "-")</f>
        <v>-</v>
      </c>
      <c r="O103" s="33" t="str">
        <f>IF(J103&gt;0,I103+N103,"-")</f>
        <v>-</v>
      </c>
      <c r="P103" s="34" t="str">
        <f>IF(J103&gt;0,J103*F103, "-")</f>
        <v>-</v>
      </c>
      <c r="Q103" s="35" t="str">
        <f>IFERROR(IF($N$2&gt;0, $N$2*P103, "-"), "-")</f>
        <v>-</v>
      </c>
      <c r="S103" s="35" t="str">
        <f>IFERROR(IF(Q103+K103=0, "-", IF(Q103&gt;0, Q103+K103, "-")), "-")</f>
        <v>-</v>
      </c>
    </row>
    <row r="104" spans="1:19" x14ac:dyDescent="0.3">
      <c r="A104" s="48">
        <v>1240</v>
      </c>
      <c r="B104" s="22">
        <v>68958012407</v>
      </c>
      <c r="C104" s="11" t="s">
        <v>70</v>
      </c>
      <c r="D104" s="17">
        <v>90</v>
      </c>
      <c r="E104" s="17" t="s">
        <v>32</v>
      </c>
      <c r="F104" s="37">
        <v>5.3345000000000004E-2</v>
      </c>
      <c r="G104" s="17">
        <v>24</v>
      </c>
      <c r="H104" s="43" t="s">
        <v>636</v>
      </c>
      <c r="I104" s="18">
        <v>3.8481247058823529</v>
      </c>
      <c r="J104" s="16"/>
      <c r="K104" s="49">
        <f>I104*J104</f>
        <v>0</v>
      </c>
      <c r="L104" s="36"/>
      <c r="N104" s="33" t="str">
        <f>IFERROR(IF($N$2*F104=0, "-", $N$2*F104), "-")</f>
        <v>-</v>
      </c>
      <c r="O104" s="33" t="str">
        <f>IF(J104&gt;0,I104+N104,"-")</f>
        <v>-</v>
      </c>
      <c r="P104" s="34" t="str">
        <f>IF(J104&gt;0,J104*F104, "-")</f>
        <v>-</v>
      </c>
      <c r="Q104" s="35" t="str">
        <f>IFERROR(IF($N$2&gt;0, $N$2*P104, "-"), "-")</f>
        <v>-</v>
      </c>
      <c r="S104" s="35" t="str">
        <f>IFERROR(IF(Q104+K104=0, "-", IF(Q104&gt;0, Q104+K104, "-")), "-")</f>
        <v>-</v>
      </c>
    </row>
    <row r="105" spans="1:19" x14ac:dyDescent="0.3">
      <c r="A105" s="48">
        <v>1241</v>
      </c>
      <c r="B105" s="22">
        <v>68958012414</v>
      </c>
      <c r="C105" s="11" t="s">
        <v>71</v>
      </c>
      <c r="D105" s="17">
        <v>60</v>
      </c>
      <c r="E105" s="17" t="s">
        <v>32</v>
      </c>
      <c r="F105" s="37">
        <v>4.6535E-2</v>
      </c>
      <c r="G105" s="17">
        <v>24</v>
      </c>
      <c r="H105" s="43" t="s">
        <v>636</v>
      </c>
      <c r="I105" s="18">
        <v>11.465695384615387</v>
      </c>
      <c r="J105" s="16"/>
      <c r="K105" s="49">
        <f>I105*J105</f>
        <v>0</v>
      </c>
      <c r="L105" s="36"/>
      <c r="N105" s="33" t="str">
        <f>IFERROR(IF($N$2*F105=0, "-", $N$2*F105), "-")</f>
        <v>-</v>
      </c>
      <c r="O105" s="33" t="str">
        <f>IF(J105&gt;0,I105+N105,"-")</f>
        <v>-</v>
      </c>
      <c r="P105" s="34" t="str">
        <f>IF(J105&gt;0,J105*F105, "-")</f>
        <v>-</v>
      </c>
      <c r="Q105" s="35" t="str">
        <f>IFERROR(IF($N$2&gt;0, $N$2*P105, "-"), "-")</f>
        <v>-</v>
      </c>
      <c r="S105" s="35" t="str">
        <f>IFERROR(IF(Q105+K105=0, "-", IF(Q105&gt;0, Q105+K105, "-")), "-")</f>
        <v>-</v>
      </c>
    </row>
    <row r="106" spans="1:19" x14ac:dyDescent="0.3">
      <c r="A106" s="48">
        <v>1242</v>
      </c>
      <c r="B106" s="22">
        <v>68958012421</v>
      </c>
      <c r="C106" s="11" t="s">
        <v>72</v>
      </c>
      <c r="D106" s="17">
        <v>90</v>
      </c>
      <c r="E106" s="17" t="s">
        <v>32</v>
      </c>
      <c r="F106" s="37">
        <v>5.2209999999999999E-2</v>
      </c>
      <c r="G106" s="17">
        <v>24</v>
      </c>
      <c r="H106" s="43" t="s">
        <v>636</v>
      </c>
      <c r="I106" s="18">
        <v>3.9338100000000003</v>
      </c>
      <c r="J106" s="16"/>
      <c r="K106" s="49">
        <f>I106*J106</f>
        <v>0</v>
      </c>
      <c r="L106" s="36"/>
      <c r="N106" s="33" t="str">
        <f>IFERROR(IF($N$2*F106=0, "-", $N$2*F106), "-")</f>
        <v>-</v>
      </c>
      <c r="O106" s="33" t="str">
        <f>IF(J106&gt;0,I106+N106,"-")</f>
        <v>-</v>
      </c>
      <c r="P106" s="34" t="str">
        <f>IF(J106&gt;0,J106*F106, "-")</f>
        <v>-</v>
      </c>
      <c r="Q106" s="35" t="str">
        <f>IFERROR(IF($N$2&gt;0, $N$2*P106, "-"), "-")</f>
        <v>-</v>
      </c>
      <c r="S106" s="35" t="str">
        <f>IFERROR(IF(Q106+K106=0, "-", IF(Q106&gt;0, Q106+K106, "-")), "-")</f>
        <v>-</v>
      </c>
    </row>
    <row r="107" spans="1:19" x14ac:dyDescent="0.3">
      <c r="A107" s="48">
        <v>1243</v>
      </c>
      <c r="B107" s="23">
        <v>68958012438</v>
      </c>
      <c r="C107" s="11" t="s">
        <v>73</v>
      </c>
      <c r="D107" s="17">
        <v>180</v>
      </c>
      <c r="E107" s="17" t="s">
        <v>32</v>
      </c>
      <c r="F107" s="37">
        <v>6.583E-2</v>
      </c>
      <c r="G107" s="17">
        <v>24</v>
      </c>
      <c r="H107" s="43" t="s">
        <v>636</v>
      </c>
      <c r="I107" s="18">
        <v>5.4863325000000005</v>
      </c>
      <c r="J107" s="16"/>
      <c r="K107" s="49">
        <f>I107*J107</f>
        <v>0</v>
      </c>
      <c r="L107" s="36"/>
      <c r="N107" s="33" t="str">
        <f>IFERROR(IF($N$2*F107=0, "-", $N$2*F107), "-")</f>
        <v>-</v>
      </c>
      <c r="O107" s="33" t="str">
        <f>IF(J107&gt;0,I107+N107,"-")</f>
        <v>-</v>
      </c>
      <c r="P107" s="34" t="str">
        <f>IF(J107&gt;0,J107*F107, "-")</f>
        <v>-</v>
      </c>
      <c r="Q107" s="35" t="str">
        <f>IFERROR(IF($N$2&gt;0, $N$2*P107, "-"), "-")</f>
        <v>-</v>
      </c>
      <c r="S107" s="35" t="str">
        <f>IFERROR(IF(Q107+K107=0, "-", IF(Q107&gt;0, Q107+K107, "-")), "-")</f>
        <v>-</v>
      </c>
    </row>
    <row r="108" spans="1:19" x14ac:dyDescent="0.3">
      <c r="A108" s="48">
        <v>1244</v>
      </c>
      <c r="B108" s="22">
        <v>68958012445</v>
      </c>
      <c r="C108" s="11" t="s">
        <v>74</v>
      </c>
      <c r="D108" s="17">
        <v>30</v>
      </c>
      <c r="E108" s="17" t="s">
        <v>32</v>
      </c>
      <c r="F108" s="37">
        <v>3.8590000000000006E-2</v>
      </c>
      <c r="G108" s="17">
        <v>24</v>
      </c>
      <c r="H108" s="43" t="s">
        <v>636</v>
      </c>
      <c r="I108" s="18">
        <v>6.0648300000000006</v>
      </c>
      <c r="J108" s="16"/>
      <c r="K108" s="49">
        <f>I108*J108</f>
        <v>0</v>
      </c>
      <c r="L108" s="36"/>
      <c r="N108" s="33" t="str">
        <f>IFERROR(IF($N$2*F108=0, "-", $N$2*F108), "-")</f>
        <v>-</v>
      </c>
      <c r="O108" s="33" t="str">
        <f>IF(J108&gt;0,I108+N108,"-")</f>
        <v>-</v>
      </c>
      <c r="P108" s="34" t="str">
        <f>IF(J108&gt;0,J108*F108, "-")</f>
        <v>-</v>
      </c>
      <c r="Q108" s="35" t="str">
        <f>IFERROR(IF($N$2&gt;0, $N$2*P108, "-"), "-")</f>
        <v>-</v>
      </c>
      <c r="S108" s="35" t="str">
        <f>IFERROR(IF(Q108+K108=0, "-", IF(Q108&gt;0, Q108+K108, "-")), "-")</f>
        <v>-</v>
      </c>
    </row>
    <row r="109" spans="1:19" x14ac:dyDescent="0.3">
      <c r="A109" s="48">
        <v>1245</v>
      </c>
      <c r="B109" s="22">
        <v>68958012452</v>
      </c>
      <c r="C109" s="11" t="s">
        <v>75</v>
      </c>
      <c r="D109" s="17">
        <v>60</v>
      </c>
      <c r="E109" s="17" t="s">
        <v>32</v>
      </c>
      <c r="F109" s="37">
        <v>4.4264999999999999E-2</v>
      </c>
      <c r="G109" s="17">
        <v>24</v>
      </c>
      <c r="H109" s="43" t="s">
        <v>636</v>
      </c>
      <c r="I109" s="18">
        <v>3.9953925000000003</v>
      </c>
      <c r="J109" s="16"/>
      <c r="K109" s="49">
        <f>I109*J109</f>
        <v>0</v>
      </c>
      <c r="L109" s="36"/>
      <c r="N109" s="33" t="str">
        <f>IFERROR(IF($N$2*F109=0, "-", $N$2*F109), "-")</f>
        <v>-</v>
      </c>
      <c r="O109" s="33" t="str">
        <f>IF(J109&gt;0,I109+N109,"-")</f>
        <v>-</v>
      </c>
      <c r="P109" s="34" t="str">
        <f>IF(J109&gt;0,J109*F109, "-")</f>
        <v>-</v>
      </c>
      <c r="Q109" s="35" t="str">
        <f>IFERROR(IF($N$2&gt;0, $N$2*P109, "-"), "-")</f>
        <v>-</v>
      </c>
      <c r="S109" s="35" t="str">
        <f>IFERROR(IF(Q109+K109=0, "-", IF(Q109&gt;0, Q109+K109, "-")), "-")</f>
        <v>-</v>
      </c>
    </row>
    <row r="110" spans="1:19" x14ac:dyDescent="0.3">
      <c r="A110" s="48">
        <v>1246</v>
      </c>
      <c r="B110" s="22">
        <v>68958012469</v>
      </c>
      <c r="C110" s="11" t="s">
        <v>76</v>
      </c>
      <c r="D110" s="17">
        <v>90</v>
      </c>
      <c r="E110" s="17" t="s">
        <v>32</v>
      </c>
      <c r="F110" s="37">
        <v>5.3345000000000004E-2</v>
      </c>
      <c r="G110" s="17">
        <v>24</v>
      </c>
      <c r="H110" s="43" t="s">
        <v>636</v>
      </c>
      <c r="I110" s="18">
        <v>4.0660305882352938</v>
      </c>
      <c r="J110" s="16"/>
      <c r="K110" s="49">
        <f>I110*J110</f>
        <v>0</v>
      </c>
      <c r="L110" s="36"/>
      <c r="N110" s="33" t="str">
        <f>IFERROR(IF($N$2*F110=0, "-", $N$2*F110), "-")</f>
        <v>-</v>
      </c>
      <c r="O110" s="33" t="str">
        <f>IF(J110&gt;0,I110+N110,"-")</f>
        <v>-</v>
      </c>
      <c r="P110" s="34" t="str">
        <f>IF(J110&gt;0,J110*F110, "-")</f>
        <v>-</v>
      </c>
      <c r="Q110" s="35" t="str">
        <f>IFERROR(IF($N$2&gt;0, $N$2*P110, "-"), "-")</f>
        <v>-</v>
      </c>
      <c r="S110" s="35" t="str">
        <f>IFERROR(IF(Q110+K110=0, "-", IF(Q110&gt;0, Q110+K110, "-")), "-")</f>
        <v>-</v>
      </c>
    </row>
    <row r="111" spans="1:19" x14ac:dyDescent="0.3">
      <c r="A111" s="48">
        <v>1249</v>
      </c>
      <c r="B111" s="22">
        <v>68958012490</v>
      </c>
      <c r="C111" s="11" t="s">
        <v>79</v>
      </c>
      <c r="D111" s="17">
        <v>30</v>
      </c>
      <c r="E111" s="17" t="s">
        <v>45</v>
      </c>
      <c r="F111" s="37">
        <v>5.2209999999999999E-2</v>
      </c>
      <c r="G111" s="17">
        <v>24</v>
      </c>
      <c r="H111" s="43" t="s">
        <v>636</v>
      </c>
      <c r="I111" s="18">
        <v>6.7095952941176478</v>
      </c>
      <c r="J111" s="16"/>
      <c r="K111" s="49">
        <f>I111*J111</f>
        <v>0</v>
      </c>
      <c r="L111" s="36"/>
      <c r="N111" s="33" t="str">
        <f>IFERROR(IF($N$2*F111=0, "-", $N$2*F111), "-")</f>
        <v>-</v>
      </c>
      <c r="O111" s="33" t="str">
        <f>IF(J111&gt;0,I111+N111,"-")</f>
        <v>-</v>
      </c>
      <c r="P111" s="34" t="str">
        <f>IF(J111&gt;0,J111*F111, "-")</f>
        <v>-</v>
      </c>
      <c r="Q111" s="35" t="str">
        <f>IFERROR(IF($N$2&gt;0, $N$2*P111, "-"), "-")</f>
        <v>-</v>
      </c>
      <c r="S111" s="35" t="str">
        <f>IFERROR(IF(Q111+K111=0, "-", IF(Q111&gt;0, Q111+K111, "-")), "-")</f>
        <v>-</v>
      </c>
    </row>
    <row r="112" spans="1:19" x14ac:dyDescent="0.3">
      <c r="A112" s="48">
        <v>1250</v>
      </c>
      <c r="B112" s="22">
        <v>68958012506</v>
      </c>
      <c r="C112" s="11" t="s">
        <v>80</v>
      </c>
      <c r="D112" s="17">
        <v>60</v>
      </c>
      <c r="E112" s="17" t="s">
        <v>14</v>
      </c>
      <c r="F112" s="37">
        <v>6.8099999999999994E-2</v>
      </c>
      <c r="G112" s="17">
        <v>24</v>
      </c>
      <c r="H112" s="43" t="s">
        <v>636</v>
      </c>
      <c r="I112" s="18">
        <v>23.188264615384622</v>
      </c>
      <c r="J112" s="16"/>
      <c r="K112" s="49">
        <f>I112*J112</f>
        <v>0</v>
      </c>
      <c r="L112" s="36"/>
      <c r="N112" s="33" t="str">
        <f>IFERROR(IF($N$2*F112=0, "-", $N$2*F112), "-")</f>
        <v>-</v>
      </c>
      <c r="O112" s="33" t="str">
        <f>IF(J112&gt;0,I112+N112,"-")</f>
        <v>-</v>
      </c>
      <c r="P112" s="34" t="str">
        <f>IF(J112&gt;0,J112*F112, "-")</f>
        <v>-</v>
      </c>
      <c r="Q112" s="35" t="str">
        <f>IFERROR(IF($N$2&gt;0, $N$2*P112, "-"), "-")</f>
        <v>-</v>
      </c>
      <c r="S112" s="35" t="str">
        <f>IFERROR(IF(Q112+K112=0, "-", IF(Q112&gt;0, Q112+K112, "-")), "-")</f>
        <v>-</v>
      </c>
    </row>
    <row r="113" spans="1:19" x14ac:dyDescent="0.3">
      <c r="A113" s="48">
        <v>1251</v>
      </c>
      <c r="B113" s="22">
        <v>68958012513</v>
      </c>
      <c r="C113" s="11" t="s">
        <v>81</v>
      </c>
      <c r="D113" s="17">
        <v>90</v>
      </c>
      <c r="E113" s="17" t="s">
        <v>54</v>
      </c>
      <c r="F113" s="37">
        <v>7.3775000000000007E-2</v>
      </c>
      <c r="G113" s="17">
        <v>24</v>
      </c>
      <c r="H113" s="43" t="s">
        <v>636</v>
      </c>
      <c r="I113" s="18">
        <v>6.7172400000000003</v>
      </c>
      <c r="J113" s="16"/>
      <c r="K113" s="49">
        <f>I113*J113</f>
        <v>0</v>
      </c>
      <c r="L113" s="36"/>
      <c r="N113" s="33" t="str">
        <f>IFERROR(IF($N$2*F113=0, "-", $N$2*F113), "-")</f>
        <v>-</v>
      </c>
      <c r="O113" s="33" t="str">
        <f>IF(J113&gt;0,I113+N113,"-")</f>
        <v>-</v>
      </c>
      <c r="P113" s="34" t="str">
        <f>IF(J113&gt;0,J113*F113, "-")</f>
        <v>-</v>
      </c>
      <c r="Q113" s="35" t="str">
        <f>IFERROR(IF($N$2&gt;0, $N$2*P113, "-"), "-")</f>
        <v>-</v>
      </c>
      <c r="S113" s="35" t="str">
        <f>IFERROR(IF(Q113+K113=0, "-", IF(Q113&gt;0, Q113+K113, "-")), "-")</f>
        <v>-</v>
      </c>
    </row>
    <row r="114" spans="1:19" x14ac:dyDescent="0.3">
      <c r="A114" s="48">
        <v>1252</v>
      </c>
      <c r="B114" s="22">
        <v>68958012520</v>
      </c>
      <c r="C114" s="11" t="s">
        <v>82</v>
      </c>
      <c r="D114" s="17">
        <v>30</v>
      </c>
      <c r="E114" s="17" t="s">
        <v>45</v>
      </c>
      <c r="F114" s="37">
        <v>5.4480000000000001E-2</v>
      </c>
      <c r="G114" s="17">
        <v>24</v>
      </c>
      <c r="H114" s="43" t="s">
        <v>636</v>
      </c>
      <c r="I114" s="18">
        <v>5.6429999999999998</v>
      </c>
      <c r="J114" s="16"/>
      <c r="K114" s="49">
        <f>I114*J114</f>
        <v>0</v>
      </c>
      <c r="L114" s="36"/>
      <c r="N114" s="33" t="str">
        <f>IFERROR(IF($N$2*F114=0, "-", $N$2*F114), "-")</f>
        <v>-</v>
      </c>
      <c r="O114" s="33" t="str">
        <f>IF(J114&gt;0,I114+N114,"-")</f>
        <v>-</v>
      </c>
      <c r="P114" s="34" t="str">
        <f>IF(J114&gt;0,J114*F114, "-")</f>
        <v>-</v>
      </c>
      <c r="Q114" s="35" t="str">
        <f>IFERROR(IF($N$2&gt;0, $N$2*P114, "-"), "-")</f>
        <v>-</v>
      </c>
      <c r="S114" s="35" t="str">
        <f>IFERROR(IF(Q114+K114=0, "-", IF(Q114&gt;0, Q114+K114, "-")), "-")</f>
        <v>-</v>
      </c>
    </row>
    <row r="115" spans="1:19" x14ac:dyDescent="0.3">
      <c r="A115" s="48">
        <v>1253</v>
      </c>
      <c r="B115" s="22">
        <v>68958012537</v>
      </c>
      <c r="C115" s="11" t="s">
        <v>83</v>
      </c>
      <c r="D115" s="17">
        <v>30</v>
      </c>
      <c r="E115" s="17" t="s">
        <v>45</v>
      </c>
      <c r="F115" s="37">
        <v>4.5400000000000003E-2</v>
      </c>
      <c r="G115" s="17">
        <v>24</v>
      </c>
      <c r="H115" s="43" t="s">
        <v>636</v>
      </c>
      <c r="I115" s="18">
        <v>8.4651882352941179</v>
      </c>
      <c r="J115" s="16"/>
      <c r="K115" s="49">
        <f>I115*J115</f>
        <v>0</v>
      </c>
      <c r="L115" s="36"/>
      <c r="N115" s="33" t="str">
        <f>IFERROR(IF($N$2*F115=0, "-", $N$2*F115), "-")</f>
        <v>-</v>
      </c>
      <c r="O115" s="33" t="str">
        <f>IF(J115&gt;0,I115+N115,"-")</f>
        <v>-</v>
      </c>
      <c r="P115" s="34" t="str">
        <f>IF(J115&gt;0,J115*F115, "-")</f>
        <v>-</v>
      </c>
      <c r="Q115" s="35" t="str">
        <f>IFERROR(IF($N$2&gt;0, $N$2*P115, "-"), "-")</f>
        <v>-</v>
      </c>
      <c r="S115" s="35" t="str">
        <f>IFERROR(IF(Q115+K115=0, "-", IF(Q115&gt;0, Q115+K115, "-")), "-")</f>
        <v>-</v>
      </c>
    </row>
    <row r="116" spans="1:19" x14ac:dyDescent="0.3">
      <c r="A116" s="48">
        <v>1256</v>
      </c>
      <c r="B116" s="22">
        <v>68958012568</v>
      </c>
      <c r="C116" s="11" t="s">
        <v>84</v>
      </c>
      <c r="D116" s="17">
        <v>60</v>
      </c>
      <c r="E116" s="17" t="s">
        <v>45</v>
      </c>
      <c r="F116" s="37">
        <v>0.10101499999999999</v>
      </c>
      <c r="G116" s="17">
        <v>24</v>
      </c>
      <c r="H116" s="43" t="s">
        <v>636</v>
      </c>
      <c r="I116" s="18">
        <v>21.922454117647067</v>
      </c>
      <c r="J116" s="16"/>
      <c r="K116" s="49">
        <f>I116*J116</f>
        <v>0</v>
      </c>
      <c r="L116" s="36"/>
      <c r="N116" s="33" t="str">
        <f>IFERROR(IF($N$2*F116=0, "-", $N$2*F116), "-")</f>
        <v>-</v>
      </c>
      <c r="O116" s="33" t="str">
        <f>IF(J116&gt;0,I116+N116,"-")</f>
        <v>-</v>
      </c>
      <c r="P116" s="34" t="str">
        <f>IF(J116&gt;0,J116*F116, "-")</f>
        <v>-</v>
      </c>
      <c r="Q116" s="35" t="str">
        <f>IFERROR(IF($N$2&gt;0, $N$2*P116, "-"), "-")</f>
        <v>-</v>
      </c>
      <c r="S116" s="35" t="str">
        <f>IFERROR(IF(Q116+K116=0, "-", IF(Q116&gt;0, Q116+K116, "-")), "-")</f>
        <v>-</v>
      </c>
    </row>
    <row r="117" spans="1:19" x14ac:dyDescent="0.3">
      <c r="A117" s="48">
        <v>1258</v>
      </c>
      <c r="B117" s="22">
        <v>627765012583</v>
      </c>
      <c r="C117" s="11" t="s">
        <v>85</v>
      </c>
      <c r="D117" s="17">
        <v>60</v>
      </c>
      <c r="E117" s="17" t="s">
        <v>45</v>
      </c>
      <c r="F117" s="37">
        <v>6.583E-2</v>
      </c>
      <c r="G117" s="17">
        <v>24</v>
      </c>
      <c r="H117" s="43" t="s">
        <v>636</v>
      </c>
      <c r="I117" s="18">
        <v>8.7879600000000018</v>
      </c>
      <c r="J117" s="16"/>
      <c r="K117" s="49">
        <f>I117*J117</f>
        <v>0</v>
      </c>
      <c r="L117" s="36"/>
      <c r="N117" s="33" t="str">
        <f>IFERROR(IF($N$2*F117=0, "-", $N$2*F117), "-")</f>
        <v>-</v>
      </c>
      <c r="O117" s="33" t="str">
        <f>IF(J117&gt;0,I117+N117,"-")</f>
        <v>-</v>
      </c>
      <c r="P117" s="34" t="str">
        <f>IF(J117&gt;0,J117*F117, "-")</f>
        <v>-</v>
      </c>
      <c r="Q117" s="35" t="str">
        <f>IFERROR(IF($N$2&gt;0, $N$2*P117, "-"), "-")</f>
        <v>-</v>
      </c>
      <c r="S117" s="35" t="str">
        <f>IFERROR(IF(Q117+K117=0, "-", IF(Q117&gt;0, Q117+K117, "-")), "-")</f>
        <v>-</v>
      </c>
    </row>
    <row r="118" spans="1:19" hidden="1" x14ac:dyDescent="0.3">
      <c r="A118" s="48">
        <v>1260</v>
      </c>
      <c r="B118" s="23"/>
      <c r="C118" s="11" t="s">
        <v>86</v>
      </c>
      <c r="D118" s="17">
        <v>90</v>
      </c>
      <c r="E118" s="17" t="s">
        <v>32</v>
      </c>
      <c r="F118" s="37"/>
      <c r="G118" s="17">
        <v>12</v>
      </c>
      <c r="H118" s="43" t="s">
        <v>636</v>
      </c>
      <c r="I118" s="18">
        <v>4.3977807692307689</v>
      </c>
      <c r="J118" s="16"/>
      <c r="K118" s="49">
        <f>I118*J118</f>
        <v>0</v>
      </c>
      <c r="L118" s="36"/>
      <c r="N118" s="33" t="str">
        <f>IFERROR(IF($N$2*F118=0, "-", $N$2*F118), "-")</f>
        <v>-</v>
      </c>
      <c r="O118" s="33" t="str">
        <f>IF(J118&gt;0,I118+N118,"-")</f>
        <v>-</v>
      </c>
      <c r="P118" s="34" t="str">
        <f>IF(J118&gt;0,J118*F118, "-")</f>
        <v>-</v>
      </c>
      <c r="Q118" s="35" t="str">
        <f>IFERROR(IF($N$2&gt;0, $N$2*P118, "-"), "-")</f>
        <v>-</v>
      </c>
      <c r="S118" s="35" t="str">
        <f>IFERROR(IF(Q118+K118=0, "-", IF(Q118&gt;0, Q118+K118, "-")), "-")</f>
        <v>-</v>
      </c>
    </row>
    <row r="119" spans="1:19" x14ac:dyDescent="0.3">
      <c r="A119" s="48">
        <v>1261</v>
      </c>
      <c r="B119" s="23">
        <v>68958012612</v>
      </c>
      <c r="C119" s="11" t="s">
        <v>87</v>
      </c>
      <c r="D119" s="17">
        <v>90</v>
      </c>
      <c r="E119" s="17" t="s">
        <v>45</v>
      </c>
      <c r="F119" s="37">
        <v>7.3775000000000007E-2</v>
      </c>
      <c r="G119" s="17">
        <v>24</v>
      </c>
      <c r="H119" s="43" t="s">
        <v>636</v>
      </c>
      <c r="I119" s="18">
        <v>5.5189038461538455</v>
      </c>
      <c r="J119" s="16"/>
      <c r="K119" s="49">
        <f>I119*J119</f>
        <v>0</v>
      </c>
      <c r="L119" s="36"/>
      <c r="N119" s="33" t="str">
        <f>IFERROR(IF($N$2*F119=0, "-", $N$2*F119), "-")</f>
        <v>-</v>
      </c>
      <c r="O119" s="33" t="str">
        <f>IF(J119&gt;0,I119+N119,"-")</f>
        <v>-</v>
      </c>
      <c r="P119" s="34" t="str">
        <f>IF(J119&gt;0,J119*F119, "-")</f>
        <v>-</v>
      </c>
      <c r="Q119" s="35" t="str">
        <f>IFERROR(IF($N$2&gt;0, $N$2*P119, "-"), "-")</f>
        <v>-</v>
      </c>
      <c r="S119" s="35" t="str">
        <f>IFERROR(IF(Q119+K119=0, "-", IF(Q119&gt;0, Q119+K119, "-")), "-")</f>
        <v>-</v>
      </c>
    </row>
    <row r="120" spans="1:19" x14ac:dyDescent="0.3">
      <c r="A120" s="48">
        <v>1262</v>
      </c>
      <c r="B120" s="23">
        <v>68958012629</v>
      </c>
      <c r="C120" s="11" t="s">
        <v>88</v>
      </c>
      <c r="D120" s="17">
        <v>60</v>
      </c>
      <c r="E120" s="17" t="s">
        <v>45</v>
      </c>
      <c r="F120" s="37">
        <v>7.9450000000000007E-2</v>
      </c>
      <c r="G120" s="17">
        <v>24</v>
      </c>
      <c r="H120" s="43" t="s">
        <v>636</v>
      </c>
      <c r="I120" s="18">
        <v>4.9876476923076929</v>
      </c>
      <c r="J120" s="16"/>
      <c r="K120" s="49">
        <f>I120*J120</f>
        <v>0</v>
      </c>
      <c r="L120" s="36"/>
      <c r="N120" s="33" t="str">
        <f>IFERROR(IF($N$2*F120=0, "-", $N$2*F120), "-")</f>
        <v>-</v>
      </c>
      <c r="O120" s="33" t="str">
        <f>IF(J120&gt;0,I120+N120,"-")</f>
        <v>-</v>
      </c>
      <c r="P120" s="34" t="str">
        <f>IF(J120&gt;0,J120*F120, "-")</f>
        <v>-</v>
      </c>
      <c r="Q120" s="35" t="str">
        <f>IFERROR(IF($N$2&gt;0, $N$2*P120, "-"), "-")</f>
        <v>-</v>
      </c>
      <c r="S120" s="35" t="str">
        <f>IFERROR(IF(Q120+K120=0, "-", IF(Q120&gt;0, Q120+K120, "-")), "-")</f>
        <v>-</v>
      </c>
    </row>
    <row r="121" spans="1:19" x14ac:dyDescent="0.3">
      <c r="A121" s="48">
        <v>1263</v>
      </c>
      <c r="B121" s="23">
        <v>68958012636</v>
      </c>
      <c r="C121" s="11" t="s">
        <v>89</v>
      </c>
      <c r="D121" s="17">
        <v>60</v>
      </c>
      <c r="E121" s="17" t="s">
        <v>45</v>
      </c>
      <c r="F121" s="37">
        <v>5.9019999999999996E-2</v>
      </c>
      <c r="G121" s="17">
        <v>24</v>
      </c>
      <c r="H121" s="43" t="s">
        <v>636</v>
      </c>
      <c r="I121" s="18">
        <v>5.5907030769230763</v>
      </c>
      <c r="J121" s="16"/>
      <c r="K121" s="49">
        <f>I121*J121</f>
        <v>0</v>
      </c>
      <c r="L121" s="36"/>
      <c r="N121" s="33" t="str">
        <f>IFERROR(IF($N$2*F121=0, "-", $N$2*F121), "-")</f>
        <v>-</v>
      </c>
      <c r="O121" s="33" t="str">
        <f>IF(J121&gt;0,I121+N121,"-")</f>
        <v>-</v>
      </c>
      <c r="P121" s="34" t="str">
        <f>IF(J121&gt;0,J121*F121, "-")</f>
        <v>-</v>
      </c>
      <c r="Q121" s="35" t="str">
        <f>IFERROR(IF($N$2&gt;0, $N$2*P121, "-"), "-")</f>
        <v>-</v>
      </c>
      <c r="S121" s="35" t="str">
        <f>IFERROR(IF(Q121+K121=0, "-", IF(Q121&gt;0, Q121+K121, "-")), "-")</f>
        <v>-</v>
      </c>
    </row>
    <row r="122" spans="1:19" x14ac:dyDescent="0.3">
      <c r="A122" s="48">
        <v>1270</v>
      </c>
      <c r="B122" s="22">
        <v>68958012704</v>
      </c>
      <c r="C122" s="11" t="s">
        <v>90</v>
      </c>
      <c r="D122" s="17">
        <v>90</v>
      </c>
      <c r="E122" s="17" t="s">
        <v>32</v>
      </c>
      <c r="F122" s="37">
        <v>5.5615000000000005E-2</v>
      </c>
      <c r="G122" s="17">
        <v>24</v>
      </c>
      <c r="H122" s="43" t="s">
        <v>636</v>
      </c>
      <c r="I122" s="18">
        <v>3.7272528</v>
      </c>
      <c r="J122" s="16"/>
      <c r="K122" s="49">
        <f>I122*J122</f>
        <v>0</v>
      </c>
      <c r="L122" s="36"/>
      <c r="N122" s="33" t="str">
        <f>IFERROR(IF($N$2*F122=0, "-", $N$2*F122), "-")</f>
        <v>-</v>
      </c>
      <c r="O122" s="33" t="str">
        <f>IF(J122&gt;0,I122+N122,"-")</f>
        <v>-</v>
      </c>
      <c r="P122" s="34" t="str">
        <f>IF(J122&gt;0,J122*F122, "-")</f>
        <v>-</v>
      </c>
      <c r="Q122" s="35" t="str">
        <f>IFERROR(IF($N$2&gt;0, $N$2*P122, "-"), "-")</f>
        <v>-</v>
      </c>
      <c r="S122" s="35" t="str">
        <f>IFERROR(IF(Q122+K122=0, "-", IF(Q122&gt;0, Q122+K122, "-")), "-")</f>
        <v>-</v>
      </c>
    </row>
    <row r="123" spans="1:19" x14ac:dyDescent="0.3">
      <c r="A123" s="48">
        <v>1271</v>
      </c>
      <c r="B123" s="23">
        <v>68958012711</v>
      </c>
      <c r="C123" s="11" t="s">
        <v>91</v>
      </c>
      <c r="D123" s="17">
        <v>180</v>
      </c>
      <c r="E123" s="17" t="s">
        <v>32</v>
      </c>
      <c r="F123" s="37">
        <v>8.5124999999999992E-2</v>
      </c>
      <c r="G123" s="17">
        <v>24</v>
      </c>
      <c r="H123" s="43" t="s">
        <v>636</v>
      </c>
      <c r="I123" s="18">
        <v>4.192538400000001</v>
      </c>
      <c r="J123" s="16"/>
      <c r="K123" s="49">
        <f>I123*J123</f>
        <v>0</v>
      </c>
      <c r="L123" s="36"/>
      <c r="N123" s="33" t="str">
        <f>IFERROR(IF($N$2*F123=0, "-", $N$2*F123), "-")</f>
        <v>-</v>
      </c>
      <c r="O123" s="33" t="str">
        <f>IF(J123&gt;0,I123+N123,"-")</f>
        <v>-</v>
      </c>
      <c r="P123" s="34" t="str">
        <f>IF(J123&gt;0,J123*F123, "-")</f>
        <v>-</v>
      </c>
      <c r="Q123" s="35" t="str">
        <f>IFERROR(IF($N$2&gt;0, $N$2*P123, "-"), "-")</f>
        <v>-</v>
      </c>
      <c r="S123" s="35" t="str">
        <f>IFERROR(IF(Q123+K123=0, "-", IF(Q123&gt;0, Q123+K123, "-")), "-")</f>
        <v>-</v>
      </c>
    </row>
    <row r="124" spans="1:19" x14ac:dyDescent="0.3">
      <c r="A124" s="48">
        <v>1292</v>
      </c>
      <c r="B124" s="23">
        <v>68958012926</v>
      </c>
      <c r="C124" s="11" t="s">
        <v>92</v>
      </c>
      <c r="D124" s="17">
        <v>60</v>
      </c>
      <c r="E124" s="17" t="s">
        <v>14</v>
      </c>
      <c r="F124" s="37">
        <v>5.1074999999999995E-2</v>
      </c>
      <c r="G124" s="17">
        <v>24</v>
      </c>
      <c r="H124" s="43" t="s">
        <v>636</v>
      </c>
      <c r="I124" s="18">
        <v>4.0104808163265311</v>
      </c>
      <c r="J124" s="16"/>
      <c r="K124" s="49">
        <f>I124*J124</f>
        <v>0</v>
      </c>
      <c r="L124" s="36"/>
      <c r="N124" s="33" t="str">
        <f>IFERROR(IF($N$2*F124=0, "-", $N$2*F124), "-")</f>
        <v>-</v>
      </c>
      <c r="O124" s="33" t="str">
        <f>IF(J124&gt;0,I124+N124,"-")</f>
        <v>-</v>
      </c>
      <c r="P124" s="34" t="str">
        <f>IF(J124&gt;0,J124*F124, "-")</f>
        <v>-</v>
      </c>
      <c r="Q124" s="35" t="str">
        <f>IFERROR(IF($N$2&gt;0, $N$2*P124, "-"), "-")</f>
        <v>-</v>
      </c>
      <c r="S124" s="35" t="str">
        <f>IFERROR(IF(Q124+K124=0, "-", IF(Q124&gt;0, Q124+K124, "-")), "-")</f>
        <v>-</v>
      </c>
    </row>
    <row r="125" spans="1:19" x14ac:dyDescent="0.3">
      <c r="A125" s="48">
        <v>1293</v>
      </c>
      <c r="B125" s="23">
        <v>627765012934</v>
      </c>
      <c r="C125" s="11" t="s">
        <v>93</v>
      </c>
      <c r="D125" s="17">
        <v>120</v>
      </c>
      <c r="E125" s="17" t="s">
        <v>14</v>
      </c>
      <c r="F125" s="37">
        <v>7.2639999999999996E-2</v>
      </c>
      <c r="G125" s="17">
        <v>24</v>
      </c>
      <c r="H125" s="43" t="s">
        <v>636</v>
      </c>
      <c r="I125" s="18">
        <v>6.6032302040816333</v>
      </c>
      <c r="J125" s="16"/>
      <c r="K125" s="49">
        <f>I125*J125</f>
        <v>0</v>
      </c>
      <c r="L125" s="36"/>
      <c r="N125" s="33" t="str">
        <f>IFERROR(IF($N$2*F125=0, "-", $N$2*F125), "-")</f>
        <v>-</v>
      </c>
      <c r="O125" s="33" t="str">
        <f>IF(J125&gt;0,I125+N125,"-")</f>
        <v>-</v>
      </c>
      <c r="P125" s="34" t="str">
        <f>IF(J125&gt;0,J125*F125, "-")</f>
        <v>-</v>
      </c>
      <c r="Q125" s="35" t="str">
        <f>IFERROR(IF($N$2&gt;0, $N$2*P125, "-"), "-")</f>
        <v>-</v>
      </c>
      <c r="S125" s="35" t="str">
        <f>IFERROR(IF(Q125+K125=0, "-", IF(Q125&gt;0, Q125+K125, "-")), "-")</f>
        <v>-</v>
      </c>
    </row>
    <row r="126" spans="1:19" x14ac:dyDescent="0.3">
      <c r="A126" s="48">
        <v>1295</v>
      </c>
      <c r="B126" s="23">
        <v>68958012957</v>
      </c>
      <c r="C126" s="11" t="s">
        <v>95</v>
      </c>
      <c r="D126" s="17">
        <v>120</v>
      </c>
      <c r="E126" s="17" t="s">
        <v>45</v>
      </c>
      <c r="F126" s="37">
        <v>7.9450000000000007E-2</v>
      </c>
      <c r="G126" s="17">
        <v>24</v>
      </c>
      <c r="H126" s="43" t="s">
        <v>636</v>
      </c>
      <c r="I126" s="18">
        <v>10.422320000000001</v>
      </c>
      <c r="J126" s="16"/>
      <c r="K126" s="49">
        <f>I126*J126</f>
        <v>0</v>
      </c>
      <c r="L126" s="36"/>
      <c r="N126" s="33" t="str">
        <f>IFERROR(IF($N$2*F126=0, "-", $N$2*F126), "-")</f>
        <v>-</v>
      </c>
      <c r="O126" s="33" t="str">
        <f>IF(J126&gt;0,I126+N126,"-")</f>
        <v>-</v>
      </c>
      <c r="P126" s="34" t="str">
        <f>IF(J126&gt;0,J126*F126, "-")</f>
        <v>-</v>
      </c>
      <c r="Q126" s="35" t="str">
        <f>IFERROR(IF($N$2&gt;0, $N$2*P126, "-"), "-")</f>
        <v>-</v>
      </c>
      <c r="S126" s="35" t="str">
        <f>IFERROR(IF(Q126+K126=0, "-", IF(Q126&gt;0, Q126+K126, "-")), "-")</f>
        <v>-</v>
      </c>
    </row>
    <row r="127" spans="1:19" x14ac:dyDescent="0.3">
      <c r="A127" s="48">
        <v>1296</v>
      </c>
      <c r="B127" s="23">
        <v>627765012965</v>
      </c>
      <c r="C127" s="11" t="s">
        <v>96</v>
      </c>
      <c r="D127" s="17">
        <v>60</v>
      </c>
      <c r="E127" s="17" t="s">
        <v>45</v>
      </c>
      <c r="F127" s="37">
        <v>4.8804999999999994E-2</v>
      </c>
      <c r="G127" s="17">
        <v>24</v>
      </c>
      <c r="H127" s="43" t="s">
        <v>636</v>
      </c>
      <c r="I127" s="18">
        <v>6.5216232000000014</v>
      </c>
      <c r="J127" s="16"/>
      <c r="K127" s="49">
        <f>I127*J127</f>
        <v>0</v>
      </c>
      <c r="L127" s="36"/>
      <c r="N127" s="33" t="str">
        <f>IFERROR(IF($N$2*F127=0, "-", $N$2*F127), "-")</f>
        <v>-</v>
      </c>
      <c r="O127" s="33" t="str">
        <f>IF(J127&gt;0,I127+N127,"-")</f>
        <v>-</v>
      </c>
      <c r="P127" s="34" t="str">
        <f>IF(J127&gt;0,J127*F127, "-")</f>
        <v>-</v>
      </c>
      <c r="Q127" s="35" t="str">
        <f>IFERROR(IF($N$2&gt;0, $N$2*P127, "-"), "-")</f>
        <v>-</v>
      </c>
      <c r="S127" s="35" t="str">
        <f>IFERROR(IF(Q127+K127=0, "-", IF(Q127&gt;0, Q127+K127, "-")), "-")</f>
        <v>-</v>
      </c>
    </row>
    <row r="128" spans="1:19" x14ac:dyDescent="0.3">
      <c r="A128" s="48">
        <v>1297</v>
      </c>
      <c r="B128" s="22">
        <v>627765012972</v>
      </c>
      <c r="C128" s="11" t="s">
        <v>97</v>
      </c>
      <c r="D128" s="17">
        <v>120</v>
      </c>
      <c r="E128" s="17" t="s">
        <v>45</v>
      </c>
      <c r="F128" s="37">
        <v>8.1720000000000001E-2</v>
      </c>
      <c r="G128" s="17">
        <v>24</v>
      </c>
      <c r="H128" s="43" t="s">
        <v>636</v>
      </c>
      <c r="I128" s="18">
        <v>10.941760800000001</v>
      </c>
      <c r="J128" s="16"/>
      <c r="K128" s="49">
        <f>I128*J128</f>
        <v>0</v>
      </c>
      <c r="L128" s="36"/>
      <c r="N128" s="33" t="str">
        <f>IFERROR(IF($N$2*F128=0, "-", $N$2*F128), "-")</f>
        <v>-</v>
      </c>
      <c r="O128" s="33" t="str">
        <f>IF(J128&gt;0,I128+N128,"-")</f>
        <v>-</v>
      </c>
      <c r="P128" s="34" t="str">
        <f>IF(J128&gt;0,J128*F128, "-")</f>
        <v>-</v>
      </c>
      <c r="Q128" s="35" t="str">
        <f>IFERROR(IF($N$2&gt;0, $N$2*P128, "-"), "-")</f>
        <v>-</v>
      </c>
      <c r="S128" s="35" t="str">
        <f>IFERROR(IF(Q128+K128=0, "-", IF(Q128&gt;0, Q128+K128, "-")), "-")</f>
        <v>-</v>
      </c>
    </row>
    <row r="129" spans="1:19" x14ac:dyDescent="0.3">
      <c r="A129" s="48">
        <v>1298</v>
      </c>
      <c r="B129" s="23">
        <v>627765012989</v>
      </c>
      <c r="C129" s="11" t="s">
        <v>98</v>
      </c>
      <c r="D129" s="17">
        <v>30</v>
      </c>
      <c r="E129" s="17" t="s">
        <v>38</v>
      </c>
      <c r="F129" s="37">
        <v>9.0800000000000006E-2</v>
      </c>
      <c r="G129" s="17">
        <v>12</v>
      </c>
      <c r="H129" s="43" t="s">
        <v>636</v>
      </c>
      <c r="I129" s="18">
        <v>7.8419664000000004</v>
      </c>
      <c r="J129" s="16"/>
      <c r="K129" s="49">
        <f>I129*J129</f>
        <v>0</v>
      </c>
      <c r="L129" s="36"/>
      <c r="N129" s="33" t="str">
        <f>IFERROR(IF($N$2*F129=0, "-", $N$2*F129), "-")</f>
        <v>-</v>
      </c>
      <c r="O129" s="33" t="str">
        <f>IF(J129&gt;0,I129+N129,"-")</f>
        <v>-</v>
      </c>
      <c r="P129" s="34" t="str">
        <f>IF(J129&gt;0,J129*F129, "-")</f>
        <v>-</v>
      </c>
      <c r="Q129" s="35" t="str">
        <f>IFERROR(IF($N$2&gt;0, $N$2*P129, "-"), "-")</f>
        <v>-</v>
      </c>
      <c r="S129" s="35" t="str">
        <f>IFERROR(IF(Q129+K129=0, "-", IF(Q129&gt;0, Q129+K129, "-")), "-")</f>
        <v>-</v>
      </c>
    </row>
    <row r="130" spans="1:19" x14ac:dyDescent="0.3">
      <c r="A130" s="48">
        <v>1300</v>
      </c>
      <c r="B130" s="22">
        <v>68958013008</v>
      </c>
      <c r="C130" s="11" t="s">
        <v>99</v>
      </c>
      <c r="D130" s="17">
        <v>90</v>
      </c>
      <c r="E130" s="17" t="s">
        <v>32</v>
      </c>
      <c r="F130" s="37">
        <v>0.116905</v>
      </c>
      <c r="G130" s="17">
        <v>24</v>
      </c>
      <c r="H130" s="43" t="s">
        <v>636</v>
      </c>
      <c r="I130" s="18">
        <v>4.3470000000000004</v>
      </c>
      <c r="J130" s="16"/>
      <c r="K130" s="49">
        <f>I130*J130</f>
        <v>0</v>
      </c>
      <c r="L130" s="36"/>
      <c r="N130" s="33" t="str">
        <f>IFERROR(IF($N$2*F130=0, "-", $N$2*F130), "-")</f>
        <v>-</v>
      </c>
      <c r="O130" s="33" t="str">
        <f>IF(J130&gt;0,I130+N130,"-")</f>
        <v>-</v>
      </c>
      <c r="P130" s="34" t="str">
        <f>IF(J130&gt;0,J130*F130, "-")</f>
        <v>-</v>
      </c>
      <c r="Q130" s="35" t="str">
        <f>IFERROR(IF($N$2&gt;0, $N$2*P130, "-"), "-")</f>
        <v>-</v>
      </c>
      <c r="S130" s="35" t="str">
        <f>IFERROR(IF(Q130+K130=0, "-", IF(Q130&gt;0, Q130+K130, "-")), "-")</f>
        <v>-</v>
      </c>
    </row>
    <row r="131" spans="1:19" x14ac:dyDescent="0.3">
      <c r="A131" s="48">
        <v>1311</v>
      </c>
      <c r="B131" s="23">
        <v>68958013114</v>
      </c>
      <c r="C131" s="11" t="s">
        <v>100</v>
      </c>
      <c r="D131" s="17">
        <v>90</v>
      </c>
      <c r="E131" s="17" t="s">
        <v>32</v>
      </c>
      <c r="F131" s="37">
        <v>0.16344</v>
      </c>
      <c r="G131" s="17">
        <v>24</v>
      </c>
      <c r="H131" s="43" t="s">
        <v>636</v>
      </c>
      <c r="I131" s="18">
        <v>10.314519230769232</v>
      </c>
      <c r="J131" s="16"/>
      <c r="K131" s="49">
        <f>I131*J131</f>
        <v>0</v>
      </c>
      <c r="L131" s="36"/>
      <c r="N131" s="33" t="str">
        <f>IFERROR(IF($N$2*F131=0, "-", $N$2*F131), "-")</f>
        <v>-</v>
      </c>
      <c r="O131" s="33" t="str">
        <f>IF(J131&gt;0,I131+N131,"-")</f>
        <v>-</v>
      </c>
      <c r="P131" s="34" t="str">
        <f>IF(J131&gt;0,J131*F131, "-")</f>
        <v>-</v>
      </c>
      <c r="Q131" s="35" t="str">
        <f>IFERROR(IF($N$2&gt;0, $N$2*P131, "-"), "-")</f>
        <v>-</v>
      </c>
      <c r="S131" s="35" t="str">
        <f>IFERROR(IF(Q131+K131=0, "-", IF(Q131&gt;0, Q131+K131, "-")), "-")</f>
        <v>-</v>
      </c>
    </row>
    <row r="132" spans="1:19" x14ac:dyDescent="0.3">
      <c r="A132" s="48">
        <v>1312</v>
      </c>
      <c r="B132" s="23">
        <v>68958013121</v>
      </c>
      <c r="C132" s="11" t="s">
        <v>101</v>
      </c>
      <c r="D132" s="17">
        <v>180</v>
      </c>
      <c r="E132" s="17" t="s">
        <v>32</v>
      </c>
      <c r="F132" s="37">
        <v>0.29510000000000003</v>
      </c>
      <c r="G132" s="17">
        <v>24</v>
      </c>
      <c r="H132" s="43" t="s">
        <v>636</v>
      </c>
      <c r="I132" s="18">
        <v>18.432754615384621</v>
      </c>
      <c r="J132" s="16"/>
      <c r="K132" s="49">
        <f>I132*J132</f>
        <v>0</v>
      </c>
      <c r="L132" s="36"/>
      <c r="N132" s="33" t="str">
        <f>IFERROR(IF($N$2*F132=0, "-", $N$2*F132), "-")</f>
        <v>-</v>
      </c>
      <c r="O132" s="33" t="str">
        <f>IF(J132&gt;0,I132+N132,"-")</f>
        <v>-</v>
      </c>
      <c r="P132" s="34" t="str">
        <f>IF(J132&gt;0,J132*F132, "-")</f>
        <v>-</v>
      </c>
      <c r="Q132" s="35" t="str">
        <f>IFERROR(IF($N$2&gt;0, $N$2*P132, "-"), "-")</f>
        <v>-</v>
      </c>
      <c r="S132" s="35" t="str">
        <f>IFERROR(IF(Q132+K132=0, "-", IF(Q132&gt;0, Q132+K132, "-")), "-")</f>
        <v>-</v>
      </c>
    </row>
    <row r="133" spans="1:19" x14ac:dyDescent="0.3">
      <c r="A133" s="48">
        <v>1320</v>
      </c>
      <c r="B133" s="22">
        <v>627765013207</v>
      </c>
      <c r="C133" s="11" t="s">
        <v>103</v>
      </c>
      <c r="D133" s="17">
        <v>180</v>
      </c>
      <c r="E133" s="17" t="s">
        <v>32</v>
      </c>
      <c r="F133" s="37">
        <v>0.33595999999999998</v>
      </c>
      <c r="G133" s="17">
        <v>12</v>
      </c>
      <c r="H133" s="43" t="s">
        <v>636</v>
      </c>
      <c r="I133" s="18">
        <v>12.398316923076925</v>
      </c>
      <c r="J133" s="16"/>
      <c r="K133" s="49">
        <f>I133*J133</f>
        <v>0</v>
      </c>
      <c r="L133" s="36"/>
      <c r="N133" s="33" t="str">
        <f>IFERROR(IF($N$2*F133=0, "-", $N$2*F133), "-")</f>
        <v>-</v>
      </c>
      <c r="O133" s="33" t="str">
        <f>IF(J133&gt;0,I133+N133,"-")</f>
        <v>-</v>
      </c>
      <c r="P133" s="34" t="str">
        <f>IF(J133&gt;0,J133*F133, "-")</f>
        <v>-</v>
      </c>
      <c r="Q133" s="35" t="str">
        <f>IFERROR(IF($N$2&gt;0, $N$2*P133, "-"), "-")</f>
        <v>-</v>
      </c>
      <c r="S133" s="35" t="str">
        <f>IFERROR(IF(Q133+K133=0, "-", IF(Q133&gt;0, Q133+K133, "-")), "-")</f>
        <v>-</v>
      </c>
    </row>
    <row r="134" spans="1:19" x14ac:dyDescent="0.3">
      <c r="A134" s="48">
        <v>1321</v>
      </c>
      <c r="B134" s="22">
        <v>68958013213</v>
      </c>
      <c r="C134" s="11" t="s">
        <v>104</v>
      </c>
      <c r="D134" s="17">
        <v>90</v>
      </c>
      <c r="E134" s="17" t="s">
        <v>54</v>
      </c>
      <c r="F134" s="37">
        <v>0.13392999999999999</v>
      </c>
      <c r="G134" s="17">
        <v>24</v>
      </c>
      <c r="H134" s="43" t="s">
        <v>636</v>
      </c>
      <c r="I134" s="18">
        <v>7.9118100000000018</v>
      </c>
      <c r="J134" s="16"/>
      <c r="K134" s="49">
        <f>I134*J134</f>
        <v>0</v>
      </c>
      <c r="L134" s="36"/>
      <c r="N134" s="33" t="str">
        <f>IFERROR(IF($N$2*F134=0, "-", $N$2*F134), "-")</f>
        <v>-</v>
      </c>
      <c r="O134" s="33" t="str">
        <f>IF(J134&gt;0,I134+N134,"-")</f>
        <v>-</v>
      </c>
      <c r="P134" s="34" t="str">
        <f>IF(J134&gt;0,J134*F134, "-")</f>
        <v>-</v>
      </c>
      <c r="Q134" s="35" t="str">
        <f>IFERROR(IF($N$2&gt;0, $N$2*P134, "-"), "-")</f>
        <v>-</v>
      </c>
      <c r="S134" s="35" t="str">
        <f>IFERROR(IF(Q134+K134=0, "-", IF(Q134&gt;0, Q134+K134, "-")), "-")</f>
        <v>-</v>
      </c>
    </row>
    <row r="135" spans="1:19" x14ac:dyDescent="0.3">
      <c r="A135" s="48">
        <v>1322</v>
      </c>
      <c r="B135" s="22">
        <v>68958013220</v>
      </c>
      <c r="C135" s="11" t="s">
        <v>105</v>
      </c>
      <c r="D135" s="17">
        <v>180</v>
      </c>
      <c r="E135" s="17" t="s">
        <v>54</v>
      </c>
      <c r="F135" s="37">
        <v>0.25424000000000002</v>
      </c>
      <c r="G135" s="17">
        <v>12</v>
      </c>
      <c r="H135" s="43" t="s">
        <v>636</v>
      </c>
      <c r="I135" s="18">
        <v>14.659566923076923</v>
      </c>
      <c r="J135" s="16"/>
      <c r="K135" s="49">
        <f>I135*J135</f>
        <v>0</v>
      </c>
      <c r="L135" s="36"/>
      <c r="N135" s="33" t="str">
        <f>IFERROR(IF($N$2*F135=0, "-", $N$2*F135), "-")</f>
        <v>-</v>
      </c>
      <c r="O135" s="33" t="str">
        <f>IF(J135&gt;0,I135+N135,"-")</f>
        <v>-</v>
      </c>
      <c r="P135" s="34" t="str">
        <f>IF(J135&gt;0,J135*F135, "-")</f>
        <v>-</v>
      </c>
      <c r="Q135" s="35" t="str">
        <f>IFERROR(IF($N$2&gt;0, $N$2*P135, "-"), "-")</f>
        <v>-</v>
      </c>
      <c r="S135" s="35" t="str">
        <f>IFERROR(IF(Q135+K135=0, "-", IF(Q135&gt;0, Q135+K135, "-")), "-")</f>
        <v>-</v>
      </c>
    </row>
    <row r="136" spans="1:19" x14ac:dyDescent="0.3">
      <c r="A136" s="48">
        <v>1324</v>
      </c>
      <c r="B136" s="22">
        <v>68958013244</v>
      </c>
      <c r="C136" s="11" t="s">
        <v>106</v>
      </c>
      <c r="D136" s="17">
        <v>90</v>
      </c>
      <c r="E136" s="17" t="s">
        <v>107</v>
      </c>
      <c r="F136" s="37">
        <v>0.29510000000000003</v>
      </c>
      <c r="G136" s="17">
        <v>12</v>
      </c>
      <c r="H136" s="43" t="s">
        <v>636</v>
      </c>
      <c r="I136" s="18">
        <v>11.422536923076922</v>
      </c>
      <c r="J136" s="16"/>
      <c r="K136" s="49">
        <f>I136*J136</f>
        <v>0</v>
      </c>
      <c r="L136" s="36"/>
      <c r="N136" s="33" t="str">
        <f>IFERROR(IF($N$2*F136=0, "-", $N$2*F136), "-")</f>
        <v>-</v>
      </c>
      <c r="O136" s="33" t="str">
        <f>IF(J136&gt;0,I136+N136,"-")</f>
        <v>-</v>
      </c>
      <c r="P136" s="34" t="str">
        <f>IF(J136&gt;0,J136*F136, "-")</f>
        <v>-</v>
      </c>
      <c r="Q136" s="35" t="str">
        <f>IFERROR(IF($N$2&gt;0, $N$2*P136, "-"), "-")</f>
        <v>-</v>
      </c>
      <c r="S136" s="35" t="str">
        <f>IFERROR(IF(Q136+K136=0, "-", IF(Q136&gt;0, Q136+K136, "-")), "-")</f>
        <v>-</v>
      </c>
    </row>
    <row r="137" spans="1:19" x14ac:dyDescent="0.3">
      <c r="A137" s="48">
        <v>1325</v>
      </c>
      <c r="B137" s="23">
        <v>68958013251</v>
      </c>
      <c r="C137" s="11" t="s">
        <v>108</v>
      </c>
      <c r="D137" s="17">
        <v>180</v>
      </c>
      <c r="E137" s="17" t="s">
        <v>107</v>
      </c>
      <c r="F137" s="37">
        <v>0.59020000000000006</v>
      </c>
      <c r="G137" s="17">
        <v>12</v>
      </c>
      <c r="H137" s="43" t="s">
        <v>636</v>
      </c>
      <c r="I137" s="18">
        <v>18.974208461538463</v>
      </c>
      <c r="J137" s="16"/>
      <c r="K137" s="49">
        <f>I137*J137</f>
        <v>0</v>
      </c>
      <c r="L137" s="36"/>
      <c r="N137" s="33" t="str">
        <f>IFERROR(IF($N$2*F137=0, "-", $N$2*F137), "-")</f>
        <v>-</v>
      </c>
      <c r="O137" s="33" t="str">
        <f>IF(J137&gt;0,I137+N137,"-")</f>
        <v>-</v>
      </c>
      <c r="P137" s="34" t="str">
        <f>IF(J137&gt;0,J137*F137, "-")</f>
        <v>-</v>
      </c>
      <c r="Q137" s="35" t="str">
        <f>IFERROR(IF($N$2&gt;0, $N$2*P137, "-"), "-")</f>
        <v>-</v>
      </c>
      <c r="S137" s="35" t="str">
        <f>IFERROR(IF(Q137+K137=0, "-", IF(Q137&gt;0, Q137+K137, "-")), "-")</f>
        <v>-</v>
      </c>
    </row>
    <row r="138" spans="1:19" x14ac:dyDescent="0.3">
      <c r="A138" s="48">
        <v>1326</v>
      </c>
      <c r="B138" s="22">
        <v>68958013268</v>
      </c>
      <c r="C138" s="11" t="s">
        <v>109</v>
      </c>
      <c r="D138" s="17">
        <v>90</v>
      </c>
      <c r="E138" s="17" t="s">
        <v>107</v>
      </c>
      <c r="F138" s="37">
        <v>0.29510000000000003</v>
      </c>
      <c r="G138" s="17">
        <v>12</v>
      </c>
      <c r="H138" s="43" t="s">
        <v>636</v>
      </c>
      <c r="I138" s="18">
        <v>11.441686153846154</v>
      </c>
      <c r="J138" s="16"/>
      <c r="K138" s="49">
        <f>I138*J138</f>
        <v>0</v>
      </c>
      <c r="L138" s="36"/>
      <c r="N138" s="33" t="str">
        <f>IFERROR(IF($N$2*F138=0, "-", $N$2*F138), "-")</f>
        <v>-</v>
      </c>
      <c r="O138" s="33" t="str">
        <f>IF(J138&gt;0,I138+N138,"-")</f>
        <v>-</v>
      </c>
      <c r="P138" s="34" t="str">
        <f>IF(J138&gt;0,J138*F138, "-")</f>
        <v>-</v>
      </c>
      <c r="Q138" s="35" t="str">
        <f>IFERROR(IF($N$2&gt;0, $N$2*P138, "-"), "-")</f>
        <v>-</v>
      </c>
      <c r="S138" s="35" t="str">
        <f>IFERROR(IF(Q138+K138=0, "-", IF(Q138&gt;0, Q138+K138, "-")), "-")</f>
        <v>-</v>
      </c>
    </row>
    <row r="139" spans="1:19" x14ac:dyDescent="0.3">
      <c r="A139" s="48">
        <v>1327</v>
      </c>
      <c r="B139" s="22">
        <v>68958013275</v>
      </c>
      <c r="C139" s="11" t="s">
        <v>110</v>
      </c>
      <c r="D139" s="17">
        <v>180</v>
      </c>
      <c r="E139" s="17" t="s">
        <v>107</v>
      </c>
      <c r="F139" s="37">
        <v>0.5675</v>
      </c>
      <c r="G139" s="17">
        <v>12</v>
      </c>
      <c r="H139" s="43" t="s">
        <v>636</v>
      </c>
      <c r="I139" s="18">
        <v>20.900409230769231</v>
      </c>
      <c r="J139" s="16"/>
      <c r="K139" s="49">
        <f>I139*J139</f>
        <v>0</v>
      </c>
      <c r="L139" s="36"/>
      <c r="N139" s="33" t="str">
        <f>IFERROR(IF($N$2*F139=0, "-", $N$2*F139), "-")</f>
        <v>-</v>
      </c>
      <c r="O139" s="33" t="str">
        <f>IF(J139&gt;0,I139+N139,"-")</f>
        <v>-</v>
      </c>
      <c r="P139" s="34" t="str">
        <f>IF(J139&gt;0,J139*F139, "-")</f>
        <v>-</v>
      </c>
      <c r="Q139" s="35" t="str">
        <f>IFERROR(IF($N$2&gt;0, $N$2*P139, "-"), "-")</f>
        <v>-</v>
      </c>
      <c r="S139" s="35" t="str">
        <f>IFERROR(IF(Q139+K139=0, "-", IF(Q139&gt;0, Q139+K139, "-")), "-")</f>
        <v>-</v>
      </c>
    </row>
    <row r="140" spans="1:19" x14ac:dyDescent="0.3">
      <c r="A140" s="48">
        <v>1328</v>
      </c>
      <c r="B140" s="22">
        <v>68958013282</v>
      </c>
      <c r="C140" s="11" t="s">
        <v>111</v>
      </c>
      <c r="D140" s="17">
        <v>90</v>
      </c>
      <c r="E140" s="17" t="s">
        <v>107</v>
      </c>
      <c r="F140" s="37">
        <v>0.30645</v>
      </c>
      <c r="G140" s="17">
        <v>12</v>
      </c>
      <c r="H140" s="43" t="s">
        <v>636</v>
      </c>
      <c r="I140" s="18">
        <v>11.112493846153848</v>
      </c>
      <c r="J140" s="16"/>
      <c r="K140" s="49">
        <f>I140*J140</f>
        <v>0</v>
      </c>
      <c r="L140" s="36"/>
      <c r="N140" s="33" t="str">
        <f>IFERROR(IF($N$2*F140=0, "-", $N$2*F140), "-")</f>
        <v>-</v>
      </c>
      <c r="O140" s="33" t="str">
        <f>IF(J140&gt;0,I140+N140,"-")</f>
        <v>-</v>
      </c>
      <c r="P140" s="34" t="str">
        <f>IF(J140&gt;0,J140*F140, "-")</f>
        <v>-</v>
      </c>
      <c r="Q140" s="35" t="str">
        <f>IFERROR(IF($N$2&gt;0, $N$2*P140, "-"), "-")</f>
        <v>-</v>
      </c>
      <c r="S140" s="35" t="str">
        <f>IFERROR(IF(Q140+K140=0, "-", IF(Q140&gt;0, Q140+K140, "-")), "-")</f>
        <v>-</v>
      </c>
    </row>
    <row r="141" spans="1:19" x14ac:dyDescent="0.3">
      <c r="A141" s="48">
        <v>1329</v>
      </c>
      <c r="B141" s="22">
        <v>68958013299</v>
      </c>
      <c r="C141" s="11" t="s">
        <v>112</v>
      </c>
      <c r="D141" s="17">
        <v>180</v>
      </c>
      <c r="E141" s="17" t="s">
        <v>107</v>
      </c>
      <c r="F141" s="37">
        <v>0.59474000000000005</v>
      </c>
      <c r="G141" s="17">
        <v>12</v>
      </c>
      <c r="H141" s="43" t="s">
        <v>636</v>
      </c>
      <c r="I141" s="18">
        <v>17.029855384615388</v>
      </c>
      <c r="J141" s="16"/>
      <c r="K141" s="49">
        <f>I141*J141</f>
        <v>0</v>
      </c>
      <c r="L141" s="36"/>
      <c r="N141" s="33" t="str">
        <f>IFERROR(IF($N$2*F141=0, "-", $N$2*F141), "-")</f>
        <v>-</v>
      </c>
      <c r="O141" s="33" t="str">
        <f>IF(J141&gt;0,I141+N141,"-")</f>
        <v>-</v>
      </c>
      <c r="P141" s="34" t="str">
        <f>IF(J141&gt;0,J141*F141, "-")</f>
        <v>-</v>
      </c>
      <c r="Q141" s="35" t="str">
        <f>IFERROR(IF($N$2&gt;0, $N$2*P141, "-"), "-")</f>
        <v>-</v>
      </c>
      <c r="S141" s="35" t="str">
        <f>IFERROR(IF(Q141+K141=0, "-", IF(Q141&gt;0, Q141+K141, "-")), "-")</f>
        <v>-</v>
      </c>
    </row>
    <row r="142" spans="1:19" x14ac:dyDescent="0.3">
      <c r="A142" s="48">
        <v>1330</v>
      </c>
      <c r="B142" s="22">
        <v>68958013305</v>
      </c>
      <c r="C142" s="11" t="s">
        <v>113</v>
      </c>
      <c r="D142" s="17">
        <v>90</v>
      </c>
      <c r="E142" s="17" t="s">
        <v>107</v>
      </c>
      <c r="F142" s="37">
        <v>0.31780000000000003</v>
      </c>
      <c r="G142" s="17">
        <v>12</v>
      </c>
      <c r="H142" s="43" t="s">
        <v>636</v>
      </c>
      <c r="I142" s="18">
        <v>10.840209230769231</v>
      </c>
      <c r="J142" s="16"/>
      <c r="K142" s="49">
        <f>I142*J142</f>
        <v>0</v>
      </c>
      <c r="L142" s="36"/>
      <c r="N142" s="33" t="str">
        <f>IFERROR(IF($N$2*F142=0, "-", $N$2*F142), "-")</f>
        <v>-</v>
      </c>
      <c r="O142" s="33" t="str">
        <f>IF(J142&gt;0,I142+N142,"-")</f>
        <v>-</v>
      </c>
      <c r="P142" s="34" t="str">
        <f>IF(J142&gt;0,J142*F142, "-")</f>
        <v>-</v>
      </c>
      <c r="Q142" s="35" t="str">
        <f>IFERROR(IF($N$2&gt;0, $N$2*P142, "-"), "-")</f>
        <v>-</v>
      </c>
      <c r="S142" s="35" t="str">
        <f>IFERROR(IF(Q142+K142=0, "-", IF(Q142&gt;0, Q142+K142, "-")), "-")</f>
        <v>-</v>
      </c>
    </row>
    <row r="143" spans="1:19" x14ac:dyDescent="0.3">
      <c r="A143" s="48">
        <v>1331</v>
      </c>
      <c r="B143" s="23">
        <v>68958013312</v>
      </c>
      <c r="C143" s="11" t="s">
        <v>114</v>
      </c>
      <c r="D143" s="17">
        <v>180</v>
      </c>
      <c r="E143" s="17" t="s">
        <v>107</v>
      </c>
      <c r="F143" s="37">
        <v>0.59020000000000006</v>
      </c>
      <c r="G143" s="17">
        <v>12</v>
      </c>
      <c r="H143" s="43" t="s">
        <v>636</v>
      </c>
      <c r="I143" s="18">
        <v>16.677858461538463</v>
      </c>
      <c r="J143" s="16"/>
      <c r="K143" s="49">
        <f>I143*J143</f>
        <v>0</v>
      </c>
      <c r="L143" s="36"/>
      <c r="N143" s="33" t="str">
        <f>IFERROR(IF($N$2*F143=0, "-", $N$2*F143), "-")</f>
        <v>-</v>
      </c>
      <c r="O143" s="33" t="str">
        <f>IF(J143&gt;0,I143+N143,"-")</f>
        <v>-</v>
      </c>
      <c r="P143" s="34" t="str">
        <f>IF(J143&gt;0,J143*F143, "-")</f>
        <v>-</v>
      </c>
      <c r="Q143" s="35" t="str">
        <f>IFERROR(IF($N$2&gt;0, $N$2*P143, "-"), "-")</f>
        <v>-</v>
      </c>
      <c r="S143" s="35" t="str">
        <f>IFERROR(IF(Q143+K143=0, "-", IF(Q143&gt;0, Q143+K143, "-")), "-")</f>
        <v>-</v>
      </c>
    </row>
    <row r="144" spans="1:19" x14ac:dyDescent="0.3">
      <c r="A144" s="48">
        <v>1332</v>
      </c>
      <c r="B144" s="23">
        <v>68958013329</v>
      </c>
      <c r="C144" s="11" t="s">
        <v>115</v>
      </c>
      <c r="D144" s="17">
        <v>90</v>
      </c>
      <c r="E144" s="17" t="s">
        <v>107</v>
      </c>
      <c r="F144" s="37">
        <v>0.31780000000000003</v>
      </c>
      <c r="G144" s="17">
        <v>12</v>
      </c>
      <c r="H144" s="43" t="s">
        <v>636</v>
      </c>
      <c r="I144" s="18">
        <v>10.148988461538462</v>
      </c>
      <c r="J144" s="16"/>
      <c r="K144" s="49">
        <f>I144*J144</f>
        <v>0</v>
      </c>
      <c r="L144" s="36"/>
      <c r="N144" s="33" t="str">
        <f>IFERROR(IF($N$2*F144=0, "-", $N$2*F144), "-")</f>
        <v>-</v>
      </c>
      <c r="O144" s="33" t="str">
        <f>IF(J144&gt;0,I144+N144,"-")</f>
        <v>-</v>
      </c>
      <c r="P144" s="34" t="str">
        <f>IF(J144&gt;0,J144*F144, "-")</f>
        <v>-</v>
      </c>
      <c r="Q144" s="35" t="str">
        <f>IFERROR(IF($N$2&gt;0, $N$2*P144, "-"), "-")</f>
        <v>-</v>
      </c>
      <c r="S144" s="35" t="str">
        <f>IFERROR(IF(Q144+K144=0, "-", IF(Q144&gt;0, Q144+K144, "-")), "-")</f>
        <v>-</v>
      </c>
    </row>
    <row r="145" spans="1:19" x14ac:dyDescent="0.3">
      <c r="A145" s="48">
        <v>1333</v>
      </c>
      <c r="B145" s="22">
        <v>68958013336</v>
      </c>
      <c r="C145" s="11" t="s">
        <v>116</v>
      </c>
      <c r="D145" s="17">
        <v>60</v>
      </c>
      <c r="E145" s="17" t="s">
        <v>32</v>
      </c>
      <c r="F145" s="37">
        <v>0.14755000000000001</v>
      </c>
      <c r="G145" s="17">
        <v>24</v>
      </c>
      <c r="H145" s="43" t="s">
        <v>636</v>
      </c>
      <c r="I145" s="18">
        <v>17.521733076923077</v>
      </c>
      <c r="J145" s="16"/>
      <c r="K145" s="49">
        <f>I145*J145</f>
        <v>0</v>
      </c>
      <c r="L145" s="36"/>
      <c r="N145" s="33" t="str">
        <f>IFERROR(IF($N$2*F145=0, "-", $N$2*F145), "-")</f>
        <v>-</v>
      </c>
      <c r="O145" s="33" t="str">
        <f>IF(J145&gt;0,I145+N145,"-")</f>
        <v>-</v>
      </c>
      <c r="P145" s="34" t="str">
        <f>IF(J145&gt;0,J145*F145, "-")</f>
        <v>-</v>
      </c>
      <c r="Q145" s="35" t="str">
        <f>IFERROR(IF($N$2&gt;0, $N$2*P145, "-"), "-")</f>
        <v>-</v>
      </c>
      <c r="S145" s="35" t="str">
        <f>IFERROR(IF(Q145+K145=0, "-", IF(Q145&gt;0, Q145+K145, "-")), "-")</f>
        <v>-</v>
      </c>
    </row>
    <row r="146" spans="1:19" x14ac:dyDescent="0.3">
      <c r="A146" s="48">
        <v>1334</v>
      </c>
      <c r="B146" s="23">
        <v>68958013343</v>
      </c>
      <c r="C146" s="11" t="s">
        <v>117</v>
      </c>
      <c r="D146" s="17">
        <v>90</v>
      </c>
      <c r="E146" s="17" t="s">
        <v>32</v>
      </c>
      <c r="F146" s="37">
        <v>0.21792</v>
      </c>
      <c r="G146" s="17">
        <v>24</v>
      </c>
      <c r="H146" s="43" t="s">
        <v>636</v>
      </c>
      <c r="I146" s="18">
        <v>26.492856923076925</v>
      </c>
      <c r="J146" s="16"/>
      <c r="K146" s="49">
        <f>I146*J146</f>
        <v>0</v>
      </c>
      <c r="L146" s="36"/>
      <c r="N146" s="33" t="str">
        <f>IFERROR(IF($N$2*F146=0, "-", $N$2*F146), "-")</f>
        <v>-</v>
      </c>
      <c r="O146" s="33" t="str">
        <f>IF(J146&gt;0,I146+N146,"-")</f>
        <v>-</v>
      </c>
      <c r="P146" s="34" t="str">
        <f>IF(J146&gt;0,J146*F146, "-")</f>
        <v>-</v>
      </c>
      <c r="Q146" s="35" t="str">
        <f>IFERROR(IF($N$2&gt;0, $N$2*P146, "-"), "-")</f>
        <v>-</v>
      </c>
      <c r="S146" s="35" t="str">
        <f>IFERROR(IF(Q146+K146=0, "-", IF(Q146&gt;0, Q146+K146, "-")), "-")</f>
        <v>-</v>
      </c>
    </row>
    <row r="147" spans="1:19" x14ac:dyDescent="0.3">
      <c r="A147" s="48">
        <v>1336</v>
      </c>
      <c r="B147" s="22">
        <v>68958013367</v>
      </c>
      <c r="C147" s="11" t="s">
        <v>118</v>
      </c>
      <c r="D147" s="17">
        <v>180</v>
      </c>
      <c r="E147" s="17" t="s">
        <v>107</v>
      </c>
      <c r="F147" s="37">
        <v>0.59020000000000006</v>
      </c>
      <c r="G147" s="17">
        <v>12</v>
      </c>
      <c r="H147" s="43" t="s">
        <v>636</v>
      </c>
      <c r="I147" s="18">
        <v>20.885476153846156</v>
      </c>
      <c r="J147" s="16"/>
      <c r="K147" s="49">
        <f>I147*J147</f>
        <v>0</v>
      </c>
      <c r="L147" s="36"/>
      <c r="N147" s="33" t="str">
        <f>IFERROR(IF($N$2*F147=0, "-", $N$2*F147), "-")</f>
        <v>-</v>
      </c>
      <c r="O147" s="33" t="str">
        <f>IF(J147&gt;0,I147+N147,"-")</f>
        <v>-</v>
      </c>
      <c r="P147" s="34" t="str">
        <f>IF(J147&gt;0,J147*F147, "-")</f>
        <v>-</v>
      </c>
      <c r="Q147" s="35" t="str">
        <f>IFERROR(IF($N$2&gt;0, $N$2*P147, "-"), "-")</f>
        <v>-</v>
      </c>
      <c r="S147" s="35" t="str">
        <f>IFERROR(IF(Q147+K147=0, "-", IF(Q147&gt;0, Q147+K147, "-")), "-")</f>
        <v>-</v>
      </c>
    </row>
    <row r="148" spans="1:19" x14ac:dyDescent="0.3">
      <c r="A148" s="48">
        <v>1341</v>
      </c>
      <c r="B148" s="22">
        <v>68958013411</v>
      </c>
      <c r="C148" s="11" t="s">
        <v>119</v>
      </c>
      <c r="D148" s="17">
        <v>90</v>
      </c>
      <c r="E148" s="17" t="s">
        <v>32</v>
      </c>
      <c r="F148" s="37">
        <v>0.18387000000000001</v>
      </c>
      <c r="G148" s="17">
        <v>24</v>
      </c>
      <c r="H148" s="43" t="s">
        <v>636</v>
      </c>
      <c r="I148" s="18">
        <v>6.7893992307692308</v>
      </c>
      <c r="J148" s="16"/>
      <c r="K148" s="49">
        <f>I148*J148</f>
        <v>0</v>
      </c>
      <c r="L148" s="36"/>
      <c r="N148" s="33" t="str">
        <f>IFERROR(IF($N$2*F148=0, "-", $N$2*F148), "-")</f>
        <v>-</v>
      </c>
      <c r="O148" s="33" t="str">
        <f>IF(J148&gt;0,I148+N148,"-")</f>
        <v>-</v>
      </c>
      <c r="P148" s="34" t="str">
        <f>IF(J148&gt;0,J148*F148, "-")</f>
        <v>-</v>
      </c>
      <c r="Q148" s="35" t="str">
        <f>IFERROR(IF($N$2&gt;0, $N$2*P148, "-"), "-")</f>
        <v>-</v>
      </c>
      <c r="S148" s="35" t="str">
        <f>IFERROR(IF(Q148+K148=0, "-", IF(Q148&gt;0, Q148+K148, "-")), "-")</f>
        <v>-</v>
      </c>
    </row>
    <row r="149" spans="1:19" x14ac:dyDescent="0.3">
      <c r="A149" s="48">
        <v>1342</v>
      </c>
      <c r="B149" s="23">
        <v>68958013428</v>
      </c>
      <c r="C149" s="11" t="s">
        <v>120</v>
      </c>
      <c r="D149" s="17">
        <v>180</v>
      </c>
      <c r="E149" s="17" t="s">
        <v>32</v>
      </c>
      <c r="F149" s="37">
        <v>0.34049999999999997</v>
      </c>
      <c r="G149" s="17">
        <v>24</v>
      </c>
      <c r="H149" s="43" t="s">
        <v>636</v>
      </c>
      <c r="I149" s="18">
        <v>11.720014615384615</v>
      </c>
      <c r="J149" s="16"/>
      <c r="K149" s="49">
        <f>I149*J149</f>
        <v>0</v>
      </c>
      <c r="L149" s="36"/>
      <c r="N149" s="33" t="str">
        <f>IFERROR(IF($N$2*F149=0, "-", $N$2*F149), "-")</f>
        <v>-</v>
      </c>
      <c r="O149" s="33" t="str">
        <f>IF(J149&gt;0,I149+N149,"-")</f>
        <v>-</v>
      </c>
      <c r="P149" s="34" t="str">
        <f>IF(J149&gt;0,J149*F149, "-")</f>
        <v>-</v>
      </c>
      <c r="Q149" s="35" t="str">
        <f>IFERROR(IF($N$2&gt;0, $N$2*P149, "-"), "-")</f>
        <v>-</v>
      </c>
      <c r="S149" s="35" t="str">
        <f>IFERROR(IF(Q149+K149=0, "-", IF(Q149&gt;0, Q149+K149, "-")), "-")</f>
        <v>-</v>
      </c>
    </row>
    <row r="150" spans="1:19" x14ac:dyDescent="0.3">
      <c r="A150" s="48">
        <v>1344</v>
      </c>
      <c r="B150" s="22">
        <v>68958013442</v>
      </c>
      <c r="C150" s="11" t="s">
        <v>121</v>
      </c>
      <c r="D150" s="17">
        <v>90</v>
      </c>
      <c r="E150" s="17" t="s">
        <v>32</v>
      </c>
      <c r="F150" s="37">
        <v>0.13619999999999999</v>
      </c>
      <c r="G150" s="17">
        <v>24</v>
      </c>
      <c r="H150" s="43" t="s">
        <v>636</v>
      </c>
      <c r="I150" s="18">
        <v>7.0265838461538461</v>
      </c>
      <c r="J150" s="16"/>
      <c r="K150" s="49">
        <f>I150*J150</f>
        <v>0</v>
      </c>
      <c r="L150" s="36"/>
      <c r="N150" s="33" t="str">
        <f>IFERROR(IF($N$2*F150=0, "-", $N$2*F150), "-")</f>
        <v>-</v>
      </c>
      <c r="O150" s="33" t="str">
        <f>IF(J150&gt;0,I150+N150,"-")</f>
        <v>-</v>
      </c>
      <c r="P150" s="34" t="str">
        <f>IF(J150&gt;0,J150*F150, "-")</f>
        <v>-</v>
      </c>
      <c r="Q150" s="35" t="str">
        <f>IFERROR(IF($N$2&gt;0, $N$2*P150, "-"), "-")</f>
        <v>-</v>
      </c>
      <c r="S150" s="35" t="str">
        <f>IFERROR(IF(Q150+K150=0, "-", IF(Q150&gt;0, Q150+K150, "-")), "-")</f>
        <v>-</v>
      </c>
    </row>
    <row r="151" spans="1:19" x14ac:dyDescent="0.3">
      <c r="A151" s="48">
        <v>1345</v>
      </c>
      <c r="B151" s="22">
        <v>68958013459</v>
      </c>
      <c r="C151" s="11" t="s">
        <v>122</v>
      </c>
      <c r="D151" s="17">
        <v>180</v>
      </c>
      <c r="E151" s="17" t="s">
        <v>32</v>
      </c>
      <c r="F151" s="37">
        <v>0.24970000000000001</v>
      </c>
      <c r="G151" s="17">
        <v>12</v>
      </c>
      <c r="H151" s="43" t="s">
        <v>636</v>
      </c>
      <c r="I151" s="18">
        <v>12.63170076923077</v>
      </c>
      <c r="J151" s="16"/>
      <c r="K151" s="49">
        <f>I151*J151</f>
        <v>0</v>
      </c>
      <c r="L151" s="36"/>
      <c r="N151" s="33" t="str">
        <f>IFERROR(IF($N$2*F151=0, "-", $N$2*F151), "-")</f>
        <v>-</v>
      </c>
      <c r="O151" s="33" t="str">
        <f>IF(J151&gt;0,I151+N151,"-")</f>
        <v>-</v>
      </c>
      <c r="P151" s="34" t="str">
        <f>IF(J151&gt;0,J151*F151, "-")</f>
        <v>-</v>
      </c>
      <c r="Q151" s="35" t="str">
        <f>IFERROR(IF($N$2&gt;0, $N$2*P151, "-"), "-")</f>
        <v>-</v>
      </c>
      <c r="S151" s="35" t="str">
        <f>IFERROR(IF(Q151+K151=0, "-", IF(Q151&gt;0, Q151+K151, "-")), "-")</f>
        <v>-</v>
      </c>
    </row>
    <row r="152" spans="1:19" x14ac:dyDescent="0.3">
      <c r="A152" s="48">
        <v>1347</v>
      </c>
      <c r="B152" s="22">
        <v>68958013473</v>
      </c>
      <c r="C152" s="11" t="s">
        <v>123</v>
      </c>
      <c r="D152" s="17">
        <v>360</v>
      </c>
      <c r="E152" s="17" t="s">
        <v>32</v>
      </c>
      <c r="F152" s="37">
        <v>0.5675</v>
      </c>
      <c r="G152" s="17">
        <v>12</v>
      </c>
      <c r="H152" s="43" t="s">
        <v>636</v>
      </c>
      <c r="I152" s="18">
        <v>22.965909230769235</v>
      </c>
      <c r="J152" s="16"/>
      <c r="K152" s="49">
        <f>I152*J152</f>
        <v>0</v>
      </c>
      <c r="L152" s="36"/>
      <c r="N152" s="33" t="str">
        <f>IFERROR(IF($N$2*F152=0, "-", $N$2*F152), "-")</f>
        <v>-</v>
      </c>
      <c r="O152" s="33" t="str">
        <f>IF(J152&gt;0,I152+N152,"-")</f>
        <v>-</v>
      </c>
      <c r="P152" s="34" t="str">
        <f>IF(J152&gt;0,J152*F152, "-")</f>
        <v>-</v>
      </c>
      <c r="Q152" s="35" t="str">
        <f>IFERROR(IF($N$2&gt;0, $N$2*P152, "-"), "-")</f>
        <v>-</v>
      </c>
      <c r="S152" s="35" t="str">
        <f>IFERROR(IF(Q152+K152=0, "-", IF(Q152&gt;0, Q152+K152, "-")), "-")</f>
        <v>-</v>
      </c>
    </row>
    <row r="153" spans="1:19" x14ac:dyDescent="0.3">
      <c r="A153" s="48">
        <v>1349</v>
      </c>
      <c r="B153" s="22">
        <v>68958013497</v>
      </c>
      <c r="C153" s="11" t="s">
        <v>124</v>
      </c>
      <c r="D153" s="17">
        <v>90</v>
      </c>
      <c r="E153" s="17" t="s">
        <v>54</v>
      </c>
      <c r="F153" s="37">
        <v>0.15095500000000001</v>
      </c>
      <c r="G153" s="17">
        <v>24</v>
      </c>
      <c r="H153" s="43" t="s">
        <v>636</v>
      </c>
      <c r="I153" s="18">
        <v>7.1389869230769234</v>
      </c>
      <c r="J153" s="16"/>
      <c r="K153" s="49">
        <f>I153*J153</f>
        <v>0</v>
      </c>
      <c r="L153" s="36"/>
      <c r="N153" s="33" t="str">
        <f>IFERROR(IF($N$2*F153=0, "-", $N$2*F153), "-")</f>
        <v>-</v>
      </c>
      <c r="O153" s="33" t="str">
        <f>IF(J153&gt;0,I153+N153,"-")</f>
        <v>-</v>
      </c>
      <c r="P153" s="34" t="str">
        <f>IF(J153&gt;0,J153*F153, "-")</f>
        <v>-</v>
      </c>
      <c r="Q153" s="35" t="str">
        <f>IFERROR(IF($N$2&gt;0, $N$2*P153, "-"), "-")</f>
        <v>-</v>
      </c>
      <c r="S153" s="35" t="str">
        <f>IFERROR(IF(Q153+K153=0, "-", IF(Q153&gt;0, Q153+K153, "-")), "-")</f>
        <v>-</v>
      </c>
    </row>
    <row r="154" spans="1:19" x14ac:dyDescent="0.3">
      <c r="A154" s="48">
        <v>1353</v>
      </c>
      <c r="B154" s="22">
        <v>68958013534</v>
      </c>
      <c r="C154" s="11" t="s">
        <v>125</v>
      </c>
      <c r="D154" s="17">
        <v>90</v>
      </c>
      <c r="E154" s="17" t="s">
        <v>14</v>
      </c>
      <c r="F154" s="37">
        <v>0.22132500000000002</v>
      </c>
      <c r="G154" s="17">
        <v>24</v>
      </c>
      <c r="H154" s="43" t="s">
        <v>636</v>
      </c>
      <c r="I154" s="18">
        <v>9.82287</v>
      </c>
      <c r="J154" s="16"/>
      <c r="K154" s="49">
        <f>I154*J154</f>
        <v>0</v>
      </c>
      <c r="L154" s="36"/>
      <c r="N154" s="33" t="str">
        <f>IFERROR(IF($N$2*F154=0, "-", $N$2*F154), "-")</f>
        <v>-</v>
      </c>
      <c r="O154" s="33" t="str">
        <f>IF(J154&gt;0,I154+N154,"-")</f>
        <v>-</v>
      </c>
      <c r="P154" s="34" t="str">
        <f>IF(J154&gt;0,J154*F154, "-")</f>
        <v>-</v>
      </c>
      <c r="Q154" s="35" t="str">
        <f>IFERROR(IF($N$2&gt;0, $N$2*P154, "-"), "-")</f>
        <v>-</v>
      </c>
      <c r="S154" s="35" t="str">
        <f>IFERROR(IF(Q154+K154=0, "-", IF(Q154&gt;0, Q154+K154, "-")), "-")</f>
        <v>-</v>
      </c>
    </row>
    <row r="155" spans="1:19" x14ac:dyDescent="0.3">
      <c r="A155" s="48">
        <v>1354</v>
      </c>
      <c r="B155" s="23">
        <v>68958013541</v>
      </c>
      <c r="C155" s="11" t="s">
        <v>126</v>
      </c>
      <c r="D155" s="17">
        <v>180</v>
      </c>
      <c r="E155" s="17" t="s">
        <v>14</v>
      </c>
      <c r="F155" s="37">
        <v>0.40859999999999996</v>
      </c>
      <c r="G155" s="17">
        <v>12</v>
      </c>
      <c r="H155" s="43" t="s">
        <v>636</v>
      </c>
      <c r="I155" s="18">
        <v>17.771275384615386</v>
      </c>
      <c r="J155" s="16"/>
      <c r="K155" s="49">
        <f>I155*J155</f>
        <v>0</v>
      </c>
      <c r="L155" s="36"/>
      <c r="N155" s="33" t="str">
        <f>IFERROR(IF($N$2*F155=0, "-", $N$2*F155), "-")</f>
        <v>-</v>
      </c>
      <c r="O155" s="33" t="str">
        <f>IF(J155&gt;0,I155+N155,"-")</f>
        <v>-</v>
      </c>
      <c r="P155" s="34" t="str">
        <f>IF(J155&gt;0,J155*F155, "-")</f>
        <v>-</v>
      </c>
      <c r="Q155" s="35" t="str">
        <f>IFERROR(IF($N$2&gt;0, $N$2*P155, "-"), "-")</f>
        <v>-</v>
      </c>
      <c r="S155" s="35" t="str">
        <f>IFERROR(IF(Q155+K155=0, "-", IF(Q155&gt;0, Q155+K155, "-")), "-")</f>
        <v>-</v>
      </c>
    </row>
    <row r="156" spans="1:19" x14ac:dyDescent="0.3">
      <c r="A156" s="48">
        <v>1357</v>
      </c>
      <c r="B156" s="22">
        <v>627765013573</v>
      </c>
      <c r="C156" s="11" t="s">
        <v>127</v>
      </c>
      <c r="D156" s="17">
        <v>120</v>
      </c>
      <c r="E156" s="17" t="s">
        <v>14</v>
      </c>
      <c r="F156" s="37">
        <v>0.29737000000000002</v>
      </c>
      <c r="G156" s="17">
        <v>12</v>
      </c>
      <c r="H156" s="43" t="s">
        <v>636</v>
      </c>
      <c r="I156" s="18">
        <v>12.793638461538464</v>
      </c>
      <c r="J156" s="16"/>
      <c r="K156" s="49">
        <f>I156*J156</f>
        <v>0</v>
      </c>
      <c r="L156" s="36"/>
      <c r="N156" s="33" t="str">
        <f>IFERROR(IF($N$2*F156=0, "-", $N$2*F156), "-")</f>
        <v>-</v>
      </c>
      <c r="O156" s="33" t="str">
        <f>IF(J156&gt;0,I156+N156,"-")</f>
        <v>-</v>
      </c>
      <c r="P156" s="34" t="str">
        <f>IF(J156&gt;0,J156*F156, "-")</f>
        <v>-</v>
      </c>
      <c r="Q156" s="35" t="str">
        <f>IFERROR(IF($N$2&gt;0, $N$2*P156, "-"), "-")</f>
        <v>-</v>
      </c>
      <c r="S156" s="35" t="str">
        <f>IFERROR(IF(Q156+K156=0, "-", IF(Q156&gt;0, Q156+K156, "-")), "-")</f>
        <v>-</v>
      </c>
    </row>
    <row r="157" spans="1:19" x14ac:dyDescent="0.3">
      <c r="A157" s="48">
        <v>1360</v>
      </c>
      <c r="B157" s="22">
        <v>68958013602</v>
      </c>
      <c r="C157" s="11" t="s">
        <v>128</v>
      </c>
      <c r="D157" s="17" t="s">
        <v>129</v>
      </c>
      <c r="E157" s="17" t="s">
        <v>130</v>
      </c>
      <c r="F157" s="37">
        <v>0.17024999999999998</v>
      </c>
      <c r="G157" s="17">
        <v>24</v>
      </c>
      <c r="H157" s="43" t="s">
        <v>636</v>
      </c>
      <c r="I157" s="18">
        <v>8.7079361538461537</v>
      </c>
      <c r="J157" s="16"/>
      <c r="K157" s="49">
        <f>I157*J157</f>
        <v>0</v>
      </c>
      <c r="L157" s="36"/>
      <c r="N157" s="33" t="str">
        <f>IFERROR(IF($N$2*F157=0, "-", $N$2*F157), "-")</f>
        <v>-</v>
      </c>
      <c r="O157" s="33" t="str">
        <f>IF(J157&gt;0,I157+N157,"-")</f>
        <v>-</v>
      </c>
      <c r="P157" s="34" t="str">
        <f>IF(J157&gt;0,J157*F157, "-")</f>
        <v>-</v>
      </c>
      <c r="Q157" s="35" t="str">
        <f>IFERROR(IF($N$2&gt;0, $N$2*P157, "-"), "-")</f>
        <v>-</v>
      </c>
      <c r="S157" s="35" t="str">
        <f>IFERROR(IF(Q157+K157=0, "-", IF(Q157&gt;0, Q157+K157, "-")), "-")</f>
        <v>-</v>
      </c>
    </row>
    <row r="158" spans="1:19" x14ac:dyDescent="0.3">
      <c r="A158" s="48">
        <v>1361</v>
      </c>
      <c r="B158" s="22">
        <v>68958013619</v>
      </c>
      <c r="C158" s="11" t="s">
        <v>131</v>
      </c>
      <c r="D158" s="17" t="s">
        <v>132</v>
      </c>
      <c r="E158" s="17" t="s">
        <v>130</v>
      </c>
      <c r="F158" s="37">
        <v>0.33368999999999999</v>
      </c>
      <c r="G158" s="17">
        <v>12</v>
      </c>
      <c r="H158" s="43" t="s">
        <v>636</v>
      </c>
      <c r="I158" s="18">
        <v>10.765959230769232</v>
      </c>
      <c r="J158" s="16"/>
      <c r="K158" s="49">
        <f>I158*J158</f>
        <v>0</v>
      </c>
      <c r="L158" s="36"/>
      <c r="N158" s="33" t="str">
        <f>IFERROR(IF($N$2*F158=0, "-", $N$2*F158), "-")</f>
        <v>-</v>
      </c>
      <c r="O158" s="33" t="str">
        <f>IF(J158&gt;0,I158+N158,"-")</f>
        <v>-</v>
      </c>
      <c r="P158" s="34" t="str">
        <f>IF(J158&gt;0,J158*F158, "-")</f>
        <v>-</v>
      </c>
      <c r="Q158" s="35" t="str">
        <f>IFERROR(IF($N$2&gt;0, $N$2*P158, "-"), "-")</f>
        <v>-</v>
      </c>
      <c r="S158" s="35" t="str">
        <f>IFERROR(IF(Q158+K158=0, "-", IF(Q158&gt;0, Q158+K158, "-")), "-")</f>
        <v>-</v>
      </c>
    </row>
    <row r="159" spans="1:19" x14ac:dyDescent="0.3">
      <c r="A159" s="48">
        <v>1362</v>
      </c>
      <c r="B159" s="22">
        <v>68958013626</v>
      </c>
      <c r="C159" s="11" t="s">
        <v>133</v>
      </c>
      <c r="D159" s="17" t="s">
        <v>134</v>
      </c>
      <c r="E159" s="17" t="s">
        <v>130</v>
      </c>
      <c r="F159" s="37">
        <v>0.62765500000000007</v>
      </c>
      <c r="G159" s="17">
        <v>12</v>
      </c>
      <c r="H159" s="43" t="s">
        <v>636</v>
      </c>
      <c r="I159" s="18">
        <v>13.775960769230769</v>
      </c>
      <c r="J159" s="16"/>
      <c r="K159" s="49">
        <f>I159*J159</f>
        <v>0</v>
      </c>
      <c r="L159" s="36"/>
      <c r="N159" s="33" t="str">
        <f>IFERROR(IF($N$2*F159=0, "-", $N$2*F159), "-")</f>
        <v>-</v>
      </c>
      <c r="O159" s="33" t="str">
        <f>IF(J159&gt;0,I159+N159,"-")</f>
        <v>-</v>
      </c>
      <c r="P159" s="34" t="str">
        <f>IF(J159&gt;0,J159*F159, "-")</f>
        <v>-</v>
      </c>
      <c r="Q159" s="35" t="str">
        <f>IFERROR(IF($N$2&gt;0, $N$2*P159, "-"), "-")</f>
        <v>-</v>
      </c>
      <c r="S159" s="35" t="str">
        <f>IFERROR(IF(Q159+K159=0, "-", IF(Q159&gt;0, Q159+K159, "-")), "-")</f>
        <v>-</v>
      </c>
    </row>
    <row r="160" spans="1:19" x14ac:dyDescent="0.3">
      <c r="A160" s="48">
        <v>1363</v>
      </c>
      <c r="B160" s="22">
        <v>68958013633</v>
      </c>
      <c r="C160" s="11" t="s">
        <v>135</v>
      </c>
      <c r="D160" s="17" t="s">
        <v>136</v>
      </c>
      <c r="E160" s="17" t="s">
        <v>130</v>
      </c>
      <c r="F160" s="37">
        <v>1.22807</v>
      </c>
      <c r="G160" s="17">
        <v>6</v>
      </c>
      <c r="H160" s="43" t="s">
        <v>636</v>
      </c>
      <c r="I160" s="18">
        <v>21.283954615384619</v>
      </c>
      <c r="J160" s="16"/>
      <c r="K160" s="49">
        <f>I160*J160</f>
        <v>0</v>
      </c>
      <c r="L160" s="36"/>
      <c r="N160" s="33" t="str">
        <f>IFERROR(IF($N$2*F160=0, "-", $N$2*F160), "-")</f>
        <v>-</v>
      </c>
      <c r="O160" s="33" t="str">
        <f>IF(J160&gt;0,I160+N160,"-")</f>
        <v>-</v>
      </c>
      <c r="P160" s="34" t="str">
        <f>IF(J160&gt;0,J160*F160, "-")</f>
        <v>-</v>
      </c>
      <c r="Q160" s="35" t="str">
        <f>IFERROR(IF($N$2&gt;0, $N$2*P160, "-"), "-")</f>
        <v>-</v>
      </c>
      <c r="S160" s="35" t="str">
        <f>IFERROR(IF(Q160+K160=0, "-", IF(Q160&gt;0, Q160+K160, "-")), "-")</f>
        <v>-</v>
      </c>
    </row>
    <row r="161" spans="1:19" hidden="1" x14ac:dyDescent="0.3">
      <c r="A161" s="48">
        <v>1369</v>
      </c>
      <c r="B161" s="23"/>
      <c r="C161" s="11" t="s">
        <v>137</v>
      </c>
      <c r="D161" s="17">
        <v>60</v>
      </c>
      <c r="E161" s="17" t="s">
        <v>32</v>
      </c>
      <c r="F161" s="37"/>
      <c r="G161" s="17">
        <v>12</v>
      </c>
      <c r="H161" s="43" t="s">
        <v>636</v>
      </c>
      <c r="I161" s="18">
        <v>4.2719400000000007</v>
      </c>
      <c r="J161" s="16"/>
      <c r="K161" s="49">
        <f>I161*J161</f>
        <v>0</v>
      </c>
      <c r="L161" s="36"/>
      <c r="N161" s="33" t="str">
        <f>IFERROR(IF($N$2*F161=0, "-", $N$2*F161), "-")</f>
        <v>-</v>
      </c>
      <c r="O161" s="33" t="str">
        <f>IF(J161&gt;0,I161+N161,"-")</f>
        <v>-</v>
      </c>
      <c r="P161" s="34" t="str">
        <f>IF(J161&gt;0,J161*F161, "-")</f>
        <v>-</v>
      </c>
      <c r="Q161" s="35" t="str">
        <f>IFERROR(IF($N$2&gt;0, $N$2*P161, "-"), "-")</f>
        <v>-</v>
      </c>
      <c r="S161" s="35" t="str">
        <f>IFERROR(IF(Q161+K161=0, "-", IF(Q161&gt;0, Q161+K161, "-")), "-")</f>
        <v>-</v>
      </c>
    </row>
    <row r="162" spans="1:19" x14ac:dyDescent="0.3">
      <c r="A162" s="48">
        <v>1370</v>
      </c>
      <c r="B162" s="23">
        <v>68958013701</v>
      </c>
      <c r="C162" s="11" t="s">
        <v>138</v>
      </c>
      <c r="D162" s="17" t="s">
        <v>129</v>
      </c>
      <c r="E162" s="17" t="s">
        <v>130</v>
      </c>
      <c r="F162" s="37">
        <v>0.17479</v>
      </c>
      <c r="G162" s="17">
        <v>24</v>
      </c>
      <c r="H162" s="43" t="s">
        <v>636</v>
      </c>
      <c r="I162" s="18">
        <v>6.1960015384615392</v>
      </c>
      <c r="J162" s="16"/>
      <c r="K162" s="49">
        <f>I162*J162</f>
        <v>0</v>
      </c>
      <c r="L162" s="36"/>
      <c r="N162" s="33" t="str">
        <f>IFERROR(IF($N$2*F162=0, "-", $N$2*F162), "-")</f>
        <v>-</v>
      </c>
      <c r="O162" s="33" t="str">
        <f>IF(J162&gt;0,I162+N162,"-")</f>
        <v>-</v>
      </c>
      <c r="P162" s="34" t="str">
        <f>IF(J162&gt;0,J162*F162, "-")</f>
        <v>-</v>
      </c>
      <c r="Q162" s="35" t="str">
        <f>IFERROR(IF($N$2&gt;0, $N$2*P162, "-"), "-")</f>
        <v>-</v>
      </c>
      <c r="S162" s="35" t="str">
        <f>IFERROR(IF(Q162+K162=0, "-", IF(Q162&gt;0, Q162+K162, "-")), "-")</f>
        <v>-</v>
      </c>
    </row>
    <row r="163" spans="1:19" x14ac:dyDescent="0.3">
      <c r="A163" s="48">
        <v>1371</v>
      </c>
      <c r="B163" s="22">
        <v>68958013718</v>
      </c>
      <c r="C163" s="11" t="s">
        <v>139</v>
      </c>
      <c r="D163" s="17" t="s">
        <v>132</v>
      </c>
      <c r="E163" s="17" t="s">
        <v>130</v>
      </c>
      <c r="F163" s="37">
        <v>0.33255499999999999</v>
      </c>
      <c r="G163" s="17">
        <v>12</v>
      </c>
      <c r="H163" s="43" t="s">
        <v>636</v>
      </c>
      <c r="I163" s="18">
        <v>8.3947361538461536</v>
      </c>
      <c r="J163" s="16"/>
      <c r="K163" s="49">
        <f>I163*J163</f>
        <v>0</v>
      </c>
      <c r="L163" s="36"/>
      <c r="N163" s="33" t="str">
        <f>IFERROR(IF($N$2*F163=0, "-", $N$2*F163), "-")</f>
        <v>-</v>
      </c>
      <c r="O163" s="33" t="str">
        <f>IF(J163&gt;0,I163+N163,"-")</f>
        <v>-</v>
      </c>
      <c r="P163" s="34" t="str">
        <f>IF(J163&gt;0,J163*F163, "-")</f>
        <v>-</v>
      </c>
      <c r="Q163" s="35" t="str">
        <f>IFERROR(IF($N$2&gt;0, $N$2*P163, "-"), "-")</f>
        <v>-</v>
      </c>
      <c r="S163" s="35" t="str">
        <f>IFERROR(IF(Q163+K163=0, "-", IF(Q163&gt;0, Q163+K163, "-")), "-")</f>
        <v>-</v>
      </c>
    </row>
    <row r="164" spans="1:19" x14ac:dyDescent="0.3">
      <c r="A164" s="48">
        <v>1372</v>
      </c>
      <c r="B164" s="23">
        <v>68958013725</v>
      </c>
      <c r="C164" s="11" t="s">
        <v>140</v>
      </c>
      <c r="D164" s="17" t="s">
        <v>134</v>
      </c>
      <c r="E164" s="17" t="s">
        <v>130</v>
      </c>
      <c r="F164" s="37">
        <v>0.63106000000000007</v>
      </c>
      <c r="G164" s="17">
        <v>12</v>
      </c>
      <c r="H164" s="43" t="s">
        <v>636</v>
      </c>
      <c r="I164" s="18">
        <v>11.686160769230769</v>
      </c>
      <c r="J164" s="16"/>
      <c r="K164" s="49">
        <f>I164*J164</f>
        <v>0</v>
      </c>
      <c r="L164" s="36"/>
      <c r="N164" s="33" t="str">
        <f>IFERROR(IF($N$2*F164=0, "-", $N$2*F164), "-")</f>
        <v>-</v>
      </c>
      <c r="O164" s="33" t="str">
        <f>IF(J164&gt;0,I164+N164,"-")</f>
        <v>-</v>
      </c>
      <c r="P164" s="34" t="str">
        <f>IF(J164&gt;0,J164*F164, "-")</f>
        <v>-</v>
      </c>
      <c r="Q164" s="35" t="str">
        <f>IFERROR(IF($N$2&gt;0, $N$2*P164, "-"), "-")</f>
        <v>-</v>
      </c>
      <c r="S164" s="35" t="str">
        <f>IFERROR(IF(Q164+K164=0, "-", IF(Q164&gt;0, Q164+K164, "-")), "-")</f>
        <v>-</v>
      </c>
    </row>
    <row r="165" spans="1:19" x14ac:dyDescent="0.3">
      <c r="A165" s="48">
        <v>1380</v>
      </c>
      <c r="B165" s="22">
        <v>68958013800</v>
      </c>
      <c r="C165" s="11" t="s">
        <v>143</v>
      </c>
      <c r="D165" s="17">
        <v>90</v>
      </c>
      <c r="E165" s="17" t="s">
        <v>54</v>
      </c>
      <c r="F165" s="37">
        <v>0.1135</v>
      </c>
      <c r="G165" s="17">
        <v>24</v>
      </c>
      <c r="H165" s="43" t="s">
        <v>636</v>
      </c>
      <c r="I165" s="18">
        <v>9.4703538461538468</v>
      </c>
      <c r="J165" s="16"/>
      <c r="K165" s="49">
        <f>I165*J165</f>
        <v>0</v>
      </c>
      <c r="L165" s="36"/>
      <c r="N165" s="33" t="str">
        <f>IFERROR(IF($N$2*F165=0, "-", $N$2*F165), "-")</f>
        <v>-</v>
      </c>
      <c r="O165" s="33" t="str">
        <f>IF(J165&gt;0,I165+N165,"-")</f>
        <v>-</v>
      </c>
      <c r="P165" s="34" t="str">
        <f>IF(J165&gt;0,J165*F165, "-")</f>
        <v>-</v>
      </c>
      <c r="Q165" s="35" t="str">
        <f>IFERROR(IF($N$2&gt;0, $N$2*P165, "-"), "-")</f>
        <v>-</v>
      </c>
      <c r="S165" s="35" t="str">
        <f>IFERROR(IF(Q165+K165=0, "-", IF(Q165&gt;0, Q165+K165, "-")), "-")</f>
        <v>-</v>
      </c>
    </row>
    <row r="166" spans="1:19" x14ac:dyDescent="0.3">
      <c r="A166" s="48">
        <v>1381</v>
      </c>
      <c r="B166" s="23">
        <v>68958013817</v>
      </c>
      <c r="C166" s="11" t="s">
        <v>144</v>
      </c>
      <c r="D166" s="17">
        <v>60</v>
      </c>
      <c r="E166" s="17" t="s">
        <v>45</v>
      </c>
      <c r="F166" s="37">
        <v>6.0155E-2</v>
      </c>
      <c r="G166" s="17">
        <v>24</v>
      </c>
      <c r="H166" s="43" t="s">
        <v>636</v>
      </c>
      <c r="I166" s="18">
        <v>12.241010769230771</v>
      </c>
      <c r="J166" s="16"/>
      <c r="K166" s="49">
        <f>I166*J166</f>
        <v>0</v>
      </c>
      <c r="L166" s="36"/>
      <c r="N166" s="33" t="str">
        <f>IFERROR(IF($N$2*F166=0, "-", $N$2*F166), "-")</f>
        <v>-</v>
      </c>
      <c r="O166" s="33" t="str">
        <f>IF(J166&gt;0,I166+N166,"-")</f>
        <v>-</v>
      </c>
      <c r="P166" s="34" t="str">
        <f>IF(J166&gt;0,J166*F166, "-")</f>
        <v>-</v>
      </c>
      <c r="Q166" s="35" t="str">
        <f>IFERROR(IF($N$2&gt;0, $N$2*P166, "-"), "-")</f>
        <v>-</v>
      </c>
      <c r="S166" s="35" t="str">
        <f>IFERROR(IF(Q166+K166=0, "-", IF(Q166&gt;0, Q166+K166, "-")), "-")</f>
        <v>-</v>
      </c>
    </row>
    <row r="167" spans="1:19" x14ac:dyDescent="0.3">
      <c r="A167" s="48">
        <v>1388</v>
      </c>
      <c r="B167" s="22">
        <v>68958013886</v>
      </c>
      <c r="C167" s="11" t="s">
        <v>145</v>
      </c>
      <c r="D167" s="17">
        <v>90</v>
      </c>
      <c r="E167" s="17" t="s">
        <v>54</v>
      </c>
      <c r="F167" s="37">
        <v>0.121445</v>
      </c>
      <c r="G167" s="17">
        <v>24</v>
      </c>
      <c r="H167" s="43" t="s">
        <v>636</v>
      </c>
      <c r="I167" s="18">
        <v>18.756131538461542</v>
      </c>
      <c r="J167" s="16"/>
      <c r="K167" s="49">
        <f>I167*J167</f>
        <v>0</v>
      </c>
      <c r="L167" s="36"/>
      <c r="N167" s="33" t="str">
        <f>IFERROR(IF($N$2*F167=0, "-", $N$2*F167), "-")</f>
        <v>-</v>
      </c>
      <c r="O167" s="33" t="str">
        <f>IF(J167&gt;0,I167+N167,"-")</f>
        <v>-</v>
      </c>
      <c r="P167" s="34" t="str">
        <f>IF(J167&gt;0,J167*F167, "-")</f>
        <v>-</v>
      </c>
      <c r="Q167" s="35" t="str">
        <f>IFERROR(IF($N$2&gt;0, $N$2*P167, "-"), "-")</f>
        <v>-</v>
      </c>
      <c r="S167" s="35" t="str">
        <f>IFERROR(IF(Q167+K167=0, "-", IF(Q167&gt;0, Q167+K167, "-")), "-")</f>
        <v>-</v>
      </c>
    </row>
    <row r="168" spans="1:19" x14ac:dyDescent="0.3">
      <c r="A168" s="48">
        <v>1390</v>
      </c>
      <c r="B168" s="23">
        <v>68958013909</v>
      </c>
      <c r="C168" s="11" t="s">
        <v>146</v>
      </c>
      <c r="D168" s="17">
        <v>60</v>
      </c>
      <c r="E168" s="17" t="s">
        <v>45</v>
      </c>
      <c r="F168" s="37">
        <v>8.6260000000000003E-2</v>
      </c>
      <c r="G168" s="17">
        <v>24</v>
      </c>
      <c r="H168" s="43" t="s">
        <v>636</v>
      </c>
      <c r="I168" s="18">
        <v>17.870344615384617</v>
      </c>
      <c r="J168" s="16"/>
      <c r="K168" s="49">
        <f>I168*J168</f>
        <v>0</v>
      </c>
      <c r="L168" s="36"/>
      <c r="N168" s="33" t="str">
        <f>IFERROR(IF($N$2*F168=0, "-", $N$2*F168), "-")</f>
        <v>-</v>
      </c>
      <c r="O168" s="33" t="str">
        <f>IF(J168&gt;0,I168+N168,"-")</f>
        <v>-</v>
      </c>
      <c r="P168" s="34" t="str">
        <f>IF(J168&gt;0,J168*F168, "-")</f>
        <v>-</v>
      </c>
      <c r="Q168" s="35" t="str">
        <f>IFERROR(IF($N$2&gt;0, $N$2*P168, "-"), "-")</f>
        <v>-</v>
      </c>
      <c r="S168" s="35" t="str">
        <f>IFERROR(IF(Q168+K168=0, "-", IF(Q168&gt;0, Q168+K168, "-")), "-")</f>
        <v>-</v>
      </c>
    </row>
    <row r="169" spans="1:19" x14ac:dyDescent="0.3">
      <c r="A169" s="48">
        <v>1391</v>
      </c>
      <c r="B169" s="22">
        <v>68958013916</v>
      </c>
      <c r="C169" s="11" t="s">
        <v>147</v>
      </c>
      <c r="D169" s="17">
        <v>90</v>
      </c>
      <c r="E169" s="17" t="s">
        <v>54</v>
      </c>
      <c r="F169" s="37">
        <v>8.3989999999999995E-2</v>
      </c>
      <c r="G169" s="17">
        <v>24</v>
      </c>
      <c r="H169" s="43" t="s">
        <v>636</v>
      </c>
      <c r="I169" s="18">
        <v>8.7353930769230779</v>
      </c>
      <c r="J169" s="16"/>
      <c r="K169" s="49">
        <f>I169*J169</f>
        <v>0</v>
      </c>
      <c r="L169" s="36"/>
      <c r="N169" s="33" t="str">
        <f>IFERROR(IF($N$2*F169=0, "-", $N$2*F169), "-")</f>
        <v>-</v>
      </c>
      <c r="O169" s="33" t="str">
        <f>IF(J169&gt;0,I169+N169,"-")</f>
        <v>-</v>
      </c>
      <c r="P169" s="34" t="str">
        <f>IF(J169&gt;0,J169*F169, "-")</f>
        <v>-</v>
      </c>
      <c r="Q169" s="35" t="str">
        <f>IFERROR(IF($N$2&gt;0, $N$2*P169, "-"), "-")</f>
        <v>-</v>
      </c>
      <c r="S169" s="35" t="str">
        <f>IFERROR(IF(Q169+K169=0, "-", IF(Q169&gt;0, Q169+K169, "-")), "-")</f>
        <v>-</v>
      </c>
    </row>
    <row r="170" spans="1:19" x14ac:dyDescent="0.3">
      <c r="A170" s="48">
        <v>1393</v>
      </c>
      <c r="B170" s="22">
        <v>68958013930</v>
      </c>
      <c r="C170" s="11" t="s">
        <v>148</v>
      </c>
      <c r="D170" s="17">
        <v>120</v>
      </c>
      <c r="E170" s="17" t="s">
        <v>14</v>
      </c>
      <c r="F170" s="37">
        <v>0.21792</v>
      </c>
      <c r="G170" s="17">
        <v>24</v>
      </c>
      <c r="H170" s="43" t="s">
        <v>636</v>
      </c>
      <c r="I170" s="18">
        <v>23.340503076923081</v>
      </c>
      <c r="J170" s="16"/>
      <c r="K170" s="49">
        <f>I170*J170</f>
        <v>0</v>
      </c>
      <c r="L170" s="36"/>
      <c r="N170" s="33" t="str">
        <f>IFERROR(IF($N$2*F170=0, "-", $N$2*F170), "-")</f>
        <v>-</v>
      </c>
      <c r="O170" s="33" t="str">
        <f>IF(J170&gt;0,I170+N170,"-")</f>
        <v>-</v>
      </c>
      <c r="P170" s="34" t="str">
        <f>IF(J170&gt;0,J170*F170, "-")</f>
        <v>-</v>
      </c>
      <c r="Q170" s="35" t="str">
        <f>IFERROR(IF($N$2&gt;0, $N$2*P170, "-"), "-")</f>
        <v>-</v>
      </c>
      <c r="S170" s="35" t="str">
        <f>IFERROR(IF(Q170+K170=0, "-", IF(Q170&gt;0, Q170+K170, "-")), "-")</f>
        <v>-</v>
      </c>
    </row>
    <row r="171" spans="1:19" x14ac:dyDescent="0.3">
      <c r="A171" s="48">
        <v>1398</v>
      </c>
      <c r="B171" s="23">
        <v>68958013985</v>
      </c>
      <c r="C171" s="11" t="s">
        <v>150</v>
      </c>
      <c r="D171" s="17">
        <v>60</v>
      </c>
      <c r="E171" s="17" t="s">
        <v>45</v>
      </c>
      <c r="F171" s="37">
        <v>9.1935000000000003E-2</v>
      </c>
      <c r="G171" s="17">
        <v>24</v>
      </c>
      <c r="H171" s="43" t="s">
        <v>636</v>
      </c>
      <c r="I171" s="18">
        <v>10.623046153846154</v>
      </c>
      <c r="J171" s="16"/>
      <c r="K171" s="49">
        <f>I171*J171</f>
        <v>0</v>
      </c>
      <c r="L171" s="36"/>
      <c r="N171" s="33" t="str">
        <f>IFERROR(IF($N$2*F171=0, "-", $N$2*F171), "-")</f>
        <v>-</v>
      </c>
      <c r="O171" s="33" t="str">
        <f>IF(J171&gt;0,I171+N171,"-")</f>
        <v>-</v>
      </c>
      <c r="P171" s="34" t="str">
        <f>IF(J171&gt;0,J171*F171, "-")</f>
        <v>-</v>
      </c>
      <c r="Q171" s="35" t="str">
        <f>IFERROR(IF($N$2&gt;0, $N$2*P171, "-"), "-")</f>
        <v>-</v>
      </c>
      <c r="S171" s="35" t="str">
        <f>IFERROR(IF(Q171+K171=0, "-", IF(Q171&gt;0, Q171+K171, "-")), "-")</f>
        <v>-</v>
      </c>
    </row>
    <row r="172" spans="1:19" x14ac:dyDescent="0.3">
      <c r="A172" s="48">
        <v>1399</v>
      </c>
      <c r="B172" s="23">
        <v>68958013992</v>
      </c>
      <c r="C172" s="11" t="s">
        <v>151</v>
      </c>
      <c r="D172" s="17">
        <v>90</v>
      </c>
      <c r="E172" s="17" t="s">
        <v>45</v>
      </c>
      <c r="F172" s="37">
        <v>0.13166</v>
      </c>
      <c r="G172" s="17">
        <v>24</v>
      </c>
      <c r="H172" s="43" t="s">
        <v>636</v>
      </c>
      <c r="I172" s="18">
        <v>15.183657692307694</v>
      </c>
      <c r="J172" s="16"/>
      <c r="K172" s="49">
        <f>I172*J172</f>
        <v>0</v>
      </c>
      <c r="L172" s="36"/>
      <c r="N172" s="33" t="str">
        <f>IFERROR(IF($N$2*F172=0, "-", $N$2*F172), "-")</f>
        <v>-</v>
      </c>
      <c r="O172" s="33" t="str">
        <f>IF(J172&gt;0,I172+N172,"-")</f>
        <v>-</v>
      </c>
      <c r="P172" s="34" t="str">
        <f>IF(J172&gt;0,J172*F172, "-")</f>
        <v>-</v>
      </c>
      <c r="Q172" s="35" t="str">
        <f>IFERROR(IF($N$2&gt;0, $N$2*P172, "-"), "-")</f>
        <v>-</v>
      </c>
      <c r="S172" s="35" t="str">
        <f>IFERROR(IF(Q172+K172=0, "-", IF(Q172&gt;0, Q172+K172, "-")), "-")</f>
        <v>-</v>
      </c>
    </row>
    <row r="173" spans="1:19" x14ac:dyDescent="0.3">
      <c r="A173" s="48">
        <v>1410</v>
      </c>
      <c r="B173" s="23">
        <v>68958014104</v>
      </c>
      <c r="C173" s="11" t="s">
        <v>153</v>
      </c>
      <c r="D173" s="17">
        <v>90</v>
      </c>
      <c r="E173" s="17" t="s">
        <v>14</v>
      </c>
      <c r="F173" s="37">
        <v>7.0370000000000002E-2</v>
      </c>
      <c r="G173" s="17">
        <v>24</v>
      </c>
      <c r="H173" s="43" t="s">
        <v>636</v>
      </c>
      <c r="I173" s="18">
        <v>8.2313861538461541</v>
      </c>
      <c r="J173" s="16"/>
      <c r="K173" s="49">
        <f>I173*J173</f>
        <v>0</v>
      </c>
      <c r="L173" s="36"/>
      <c r="N173" s="33" t="str">
        <f>IFERROR(IF($N$2*F173=0, "-", $N$2*F173), "-")</f>
        <v>-</v>
      </c>
      <c r="O173" s="33" t="str">
        <f>IF(J173&gt;0,I173+N173,"-")</f>
        <v>-</v>
      </c>
      <c r="P173" s="34" t="str">
        <f>IF(J173&gt;0,J173*F173, "-")</f>
        <v>-</v>
      </c>
      <c r="Q173" s="35" t="str">
        <f>IFERROR(IF($N$2&gt;0, $N$2*P173, "-"), "-")</f>
        <v>-</v>
      </c>
      <c r="S173" s="35" t="str">
        <f>IFERROR(IF(Q173+K173=0, "-", IF(Q173&gt;0, Q173+K173, "-")), "-")</f>
        <v>-</v>
      </c>
    </row>
    <row r="174" spans="1:19" x14ac:dyDescent="0.3">
      <c r="A174" s="48">
        <v>1422</v>
      </c>
      <c r="B174" s="22">
        <v>68958014227</v>
      </c>
      <c r="C174" s="11" t="s">
        <v>155</v>
      </c>
      <c r="D174" s="17">
        <v>180</v>
      </c>
      <c r="E174" s="17" t="s">
        <v>14</v>
      </c>
      <c r="F174" s="37">
        <v>0.15890000000000001</v>
      </c>
      <c r="G174" s="17">
        <v>24</v>
      </c>
      <c r="H174" s="43" t="s">
        <v>636</v>
      </c>
      <c r="I174" s="18">
        <v>15.819113076923077</v>
      </c>
      <c r="J174" s="16"/>
      <c r="K174" s="49">
        <f>I174*J174</f>
        <v>0</v>
      </c>
      <c r="L174" s="36"/>
      <c r="N174" s="33" t="str">
        <f>IFERROR(IF($N$2*F174=0, "-", $N$2*F174), "-")</f>
        <v>-</v>
      </c>
      <c r="O174" s="33" t="str">
        <f>IF(J174&gt;0,I174+N174,"-")</f>
        <v>-</v>
      </c>
      <c r="P174" s="34" t="str">
        <f>IF(J174&gt;0,J174*F174, "-")</f>
        <v>-</v>
      </c>
      <c r="Q174" s="35" t="str">
        <f>IFERROR(IF($N$2&gt;0, $N$2*P174, "-"), "-")</f>
        <v>-</v>
      </c>
      <c r="S174" s="35" t="str">
        <f>IFERROR(IF(Q174+K174=0, "-", IF(Q174&gt;0, Q174+K174, "-")), "-")</f>
        <v>-</v>
      </c>
    </row>
    <row r="175" spans="1:19" x14ac:dyDescent="0.3">
      <c r="A175" s="48">
        <v>1431</v>
      </c>
      <c r="B175" s="23">
        <v>627765014310</v>
      </c>
      <c r="C175" s="11" t="s">
        <v>156</v>
      </c>
      <c r="D175" s="17">
        <v>90</v>
      </c>
      <c r="E175" s="17" t="s">
        <v>14</v>
      </c>
      <c r="F175" s="37">
        <v>8.8529999999999998E-2</v>
      </c>
      <c r="G175" s="17">
        <v>24</v>
      </c>
      <c r="H175" s="43" t="s">
        <v>636</v>
      </c>
      <c r="I175" s="18">
        <v>9.1399569230769231</v>
      </c>
      <c r="J175" s="16"/>
      <c r="K175" s="49">
        <f>I175*J175</f>
        <v>0</v>
      </c>
      <c r="L175" s="36"/>
      <c r="N175" s="33" t="str">
        <f>IFERROR(IF($N$2*F175=0, "-", $N$2*F175), "-")</f>
        <v>-</v>
      </c>
      <c r="O175" s="33" t="str">
        <f>IF(J175&gt;0,I175+N175,"-")</f>
        <v>-</v>
      </c>
      <c r="P175" s="34" t="str">
        <f>IF(J175&gt;0,J175*F175, "-")</f>
        <v>-</v>
      </c>
      <c r="Q175" s="35" t="str">
        <f>IFERROR(IF($N$2&gt;0, $N$2*P175, "-"), "-")</f>
        <v>-</v>
      </c>
      <c r="S175" s="35" t="str">
        <f>IFERROR(IF(Q175+K175=0, "-", IF(Q175&gt;0, Q175+K175, "-")), "-")</f>
        <v>-</v>
      </c>
    </row>
    <row r="176" spans="1:19" x14ac:dyDescent="0.3">
      <c r="A176" s="48">
        <v>1432</v>
      </c>
      <c r="B176" s="23">
        <v>627765014327</v>
      </c>
      <c r="C176" s="11" t="s">
        <v>157</v>
      </c>
      <c r="D176" s="17">
        <v>180</v>
      </c>
      <c r="E176" s="17" t="s">
        <v>14</v>
      </c>
      <c r="F176" s="37">
        <v>0.15776500000000002</v>
      </c>
      <c r="G176" s="17">
        <v>12</v>
      </c>
      <c r="H176" s="43" t="s">
        <v>636</v>
      </c>
      <c r="I176" s="18">
        <v>15.170199230769231</v>
      </c>
      <c r="J176" s="16"/>
      <c r="K176" s="49">
        <f>I176*J176</f>
        <v>0</v>
      </c>
      <c r="L176" s="36"/>
      <c r="N176" s="33" t="str">
        <f>IFERROR(IF($N$2*F176=0, "-", $N$2*F176), "-")</f>
        <v>-</v>
      </c>
      <c r="O176" s="33" t="str">
        <f>IF(J176&gt;0,I176+N176,"-")</f>
        <v>-</v>
      </c>
      <c r="P176" s="34" t="str">
        <f>IF(J176&gt;0,J176*F176, "-")</f>
        <v>-</v>
      </c>
      <c r="Q176" s="35" t="str">
        <f>IFERROR(IF($N$2&gt;0, $N$2*P176, "-"), "-")</f>
        <v>-</v>
      </c>
      <c r="S176" s="35" t="str">
        <f>IFERROR(IF(Q176+K176=0, "-", IF(Q176&gt;0, Q176+K176, "-")), "-")</f>
        <v>-</v>
      </c>
    </row>
    <row r="177" spans="1:19" x14ac:dyDescent="0.3">
      <c r="A177" s="48">
        <v>1444</v>
      </c>
      <c r="B177" s="22">
        <v>68958014449</v>
      </c>
      <c r="C177" s="11" t="s">
        <v>158</v>
      </c>
      <c r="D177" s="17">
        <v>90</v>
      </c>
      <c r="E177" s="17" t="s">
        <v>14</v>
      </c>
      <c r="F177" s="37">
        <v>8.7395E-2</v>
      </c>
      <c r="G177" s="17">
        <v>24</v>
      </c>
      <c r="H177" s="43" t="s">
        <v>636</v>
      </c>
      <c r="I177" s="18">
        <v>10.303843846153846</v>
      </c>
      <c r="J177" s="16"/>
      <c r="K177" s="49">
        <f>I177*J177</f>
        <v>0</v>
      </c>
      <c r="L177" s="36"/>
      <c r="N177" s="33" t="str">
        <f>IFERROR(IF($N$2*F177=0, "-", $N$2*F177), "-")</f>
        <v>-</v>
      </c>
      <c r="O177" s="33" t="str">
        <f>IF(J177&gt;0,I177+N177,"-")</f>
        <v>-</v>
      </c>
      <c r="P177" s="34" t="str">
        <f>IF(J177&gt;0,J177*F177, "-")</f>
        <v>-</v>
      </c>
      <c r="Q177" s="35" t="str">
        <f>IFERROR(IF($N$2&gt;0, $N$2*P177, "-"), "-")</f>
        <v>-</v>
      </c>
      <c r="S177" s="35" t="str">
        <f>IFERROR(IF(Q177+K177=0, "-", IF(Q177&gt;0, Q177+K177, "-")), "-")</f>
        <v>-</v>
      </c>
    </row>
    <row r="178" spans="1:19" x14ac:dyDescent="0.3">
      <c r="A178" s="48">
        <v>1445</v>
      </c>
      <c r="B178" s="23">
        <v>68958014456</v>
      </c>
      <c r="C178" s="11" t="s">
        <v>159</v>
      </c>
      <c r="D178" s="17">
        <v>180</v>
      </c>
      <c r="E178" s="17" t="s">
        <v>14</v>
      </c>
      <c r="F178" s="37">
        <v>0.16003499999999998</v>
      </c>
      <c r="G178" s="17">
        <v>24</v>
      </c>
      <c r="H178" s="43" t="s">
        <v>636</v>
      </c>
      <c r="I178" s="18">
        <v>18.751167692307693</v>
      </c>
      <c r="J178" s="16"/>
      <c r="K178" s="49">
        <f>I178*J178</f>
        <v>0</v>
      </c>
      <c r="L178" s="36"/>
      <c r="N178" s="33" t="str">
        <f>IFERROR(IF($N$2*F178=0, "-", $N$2*F178), "-")</f>
        <v>-</v>
      </c>
      <c r="O178" s="33" t="str">
        <f>IF(J178&gt;0,I178+N178,"-")</f>
        <v>-</v>
      </c>
      <c r="P178" s="34" t="str">
        <f>IF(J178&gt;0,J178*F178, "-")</f>
        <v>-</v>
      </c>
      <c r="Q178" s="35" t="str">
        <f>IFERROR(IF($N$2&gt;0, $N$2*P178, "-"), "-")</f>
        <v>-</v>
      </c>
      <c r="S178" s="35" t="str">
        <f>IFERROR(IF(Q178+K178=0, "-", IF(Q178&gt;0, Q178+K178, "-")), "-")</f>
        <v>-</v>
      </c>
    </row>
    <row r="179" spans="1:19" x14ac:dyDescent="0.3">
      <c r="A179" s="48">
        <v>1508</v>
      </c>
      <c r="B179" s="22">
        <v>68958015088</v>
      </c>
      <c r="C179" s="11" t="s">
        <v>160</v>
      </c>
      <c r="D179" s="17">
        <v>90</v>
      </c>
      <c r="E179" s="17" t="s">
        <v>32</v>
      </c>
      <c r="F179" s="37">
        <v>0.21678500000000001</v>
      </c>
      <c r="G179" s="17">
        <v>24</v>
      </c>
      <c r="H179" s="43" t="s">
        <v>636</v>
      </c>
      <c r="I179" s="18">
        <v>12.65492076923077</v>
      </c>
      <c r="J179" s="16"/>
      <c r="K179" s="49">
        <f>I179*J179</f>
        <v>0</v>
      </c>
      <c r="L179" s="36"/>
      <c r="N179" s="33" t="str">
        <f>IFERROR(IF($N$2*F179=0, "-", $N$2*F179), "-")</f>
        <v>-</v>
      </c>
      <c r="O179" s="33" t="str">
        <f>IF(J179&gt;0,I179+N179,"-")</f>
        <v>-</v>
      </c>
      <c r="P179" s="34" t="str">
        <f>IF(J179&gt;0,J179*F179, "-")</f>
        <v>-</v>
      </c>
      <c r="Q179" s="35" t="str">
        <f>IFERROR(IF($N$2&gt;0, $N$2*P179, "-"), "-")</f>
        <v>-</v>
      </c>
      <c r="S179" s="35" t="str">
        <f>IFERROR(IF(Q179+K179=0, "-", IF(Q179&gt;0, Q179+K179, "-")), "-")</f>
        <v>-</v>
      </c>
    </row>
    <row r="180" spans="1:19" x14ac:dyDescent="0.3">
      <c r="A180" s="48">
        <v>1509</v>
      </c>
      <c r="B180" s="23">
        <v>68958015095</v>
      </c>
      <c r="C180" s="11" t="s">
        <v>161</v>
      </c>
      <c r="D180" s="17">
        <v>180</v>
      </c>
      <c r="E180" s="17" t="s">
        <v>32</v>
      </c>
      <c r="F180" s="37">
        <v>0.40405999999999997</v>
      </c>
      <c r="G180" s="17">
        <v>12</v>
      </c>
      <c r="H180" s="43" t="s">
        <v>636</v>
      </c>
      <c r="I180" s="18">
        <v>21.286737692307693</v>
      </c>
      <c r="J180" s="16"/>
      <c r="K180" s="49">
        <f>I180*J180</f>
        <v>0</v>
      </c>
      <c r="L180" s="36"/>
      <c r="N180" s="33" t="str">
        <f>IFERROR(IF($N$2*F180=0, "-", $N$2*F180), "-")</f>
        <v>-</v>
      </c>
      <c r="O180" s="33" t="str">
        <f>IF(J180&gt;0,I180+N180,"-")</f>
        <v>-</v>
      </c>
      <c r="P180" s="34" t="str">
        <f>IF(J180&gt;0,J180*F180, "-")</f>
        <v>-</v>
      </c>
      <c r="Q180" s="35" t="str">
        <f>IFERROR(IF($N$2&gt;0, $N$2*P180, "-"), "-")</f>
        <v>-</v>
      </c>
      <c r="S180" s="35" t="str">
        <f>IFERROR(IF(Q180+K180=0, "-", IF(Q180&gt;0, Q180+K180, "-")), "-")</f>
        <v>-</v>
      </c>
    </row>
    <row r="181" spans="1:19" x14ac:dyDescent="0.3">
      <c r="A181" s="48">
        <v>1511</v>
      </c>
      <c r="B181" s="22">
        <v>68958015118</v>
      </c>
      <c r="C181" s="11" t="s">
        <v>162</v>
      </c>
      <c r="D181" s="17">
        <v>90</v>
      </c>
      <c r="E181" s="17" t="s">
        <v>32</v>
      </c>
      <c r="F181" s="37">
        <v>0.22019</v>
      </c>
      <c r="G181" s="17">
        <v>24</v>
      </c>
      <c r="H181" s="43" t="s">
        <v>636</v>
      </c>
      <c r="I181" s="18">
        <v>11.909866153846153</v>
      </c>
      <c r="J181" s="16"/>
      <c r="K181" s="49">
        <f>I181*J181</f>
        <v>0</v>
      </c>
      <c r="L181" s="36"/>
      <c r="N181" s="33" t="str">
        <f>IFERROR(IF($N$2*F181=0, "-", $N$2*F181), "-")</f>
        <v>-</v>
      </c>
      <c r="O181" s="33" t="str">
        <f>IF(J181&gt;0,I181+N181,"-")</f>
        <v>-</v>
      </c>
      <c r="P181" s="34" t="str">
        <f>IF(J181&gt;0,J181*F181, "-")</f>
        <v>-</v>
      </c>
      <c r="Q181" s="35" t="str">
        <f>IFERROR(IF($N$2&gt;0, $N$2*P181, "-"), "-")</f>
        <v>-</v>
      </c>
      <c r="S181" s="35" t="str">
        <f>IFERROR(IF(Q181+K181=0, "-", IF(Q181&gt;0, Q181+K181, "-")), "-")</f>
        <v>-</v>
      </c>
    </row>
    <row r="182" spans="1:19" x14ac:dyDescent="0.3">
      <c r="A182" s="48">
        <v>1512</v>
      </c>
      <c r="B182" s="22">
        <v>68958015125</v>
      </c>
      <c r="C182" s="11" t="s">
        <v>163</v>
      </c>
      <c r="D182" s="17">
        <v>180</v>
      </c>
      <c r="E182" s="17" t="s">
        <v>32</v>
      </c>
      <c r="F182" s="37">
        <v>0.42221999999999998</v>
      </c>
      <c r="G182" s="17">
        <v>12</v>
      </c>
      <c r="H182" s="43" t="s">
        <v>636</v>
      </c>
      <c r="I182" s="18">
        <v>21.558399230769233</v>
      </c>
      <c r="J182" s="16"/>
      <c r="K182" s="49">
        <f>I182*J182</f>
        <v>0</v>
      </c>
      <c r="L182" s="36"/>
      <c r="N182" s="33" t="str">
        <f>IFERROR(IF($N$2*F182=0, "-", $N$2*F182), "-")</f>
        <v>-</v>
      </c>
      <c r="O182" s="33" t="str">
        <f>IF(J182&gt;0,I182+N182,"-")</f>
        <v>-</v>
      </c>
      <c r="P182" s="34" t="str">
        <f>IF(J182&gt;0,J182*F182, "-")</f>
        <v>-</v>
      </c>
      <c r="Q182" s="35" t="str">
        <f>IFERROR(IF($N$2&gt;0, $N$2*P182, "-"), "-")</f>
        <v>-</v>
      </c>
      <c r="S182" s="35" t="str">
        <f>IFERROR(IF(Q182+K182=0, "-", IF(Q182&gt;0, Q182+K182, "-")), "-")</f>
        <v>-</v>
      </c>
    </row>
    <row r="183" spans="1:19" x14ac:dyDescent="0.3">
      <c r="A183" s="48">
        <v>1518</v>
      </c>
      <c r="B183" s="22">
        <v>68958015187</v>
      </c>
      <c r="C183" s="11" t="s">
        <v>164</v>
      </c>
      <c r="D183" s="17">
        <v>90</v>
      </c>
      <c r="E183" s="17" t="s">
        <v>32</v>
      </c>
      <c r="F183" s="37">
        <v>0.25310500000000002</v>
      </c>
      <c r="G183" s="17">
        <v>24</v>
      </c>
      <c r="H183" s="43" t="s">
        <v>636</v>
      </c>
      <c r="I183" s="18">
        <v>18.827909999999999</v>
      </c>
      <c r="J183" s="16"/>
      <c r="K183" s="49">
        <f>I183*J183</f>
        <v>0</v>
      </c>
      <c r="L183" s="36"/>
      <c r="N183" s="33" t="str">
        <f>IFERROR(IF($N$2*F183=0, "-", $N$2*F183), "-")</f>
        <v>-</v>
      </c>
      <c r="O183" s="33" t="str">
        <f>IF(J183&gt;0,I183+N183,"-")</f>
        <v>-</v>
      </c>
      <c r="P183" s="34" t="str">
        <f>IF(J183&gt;0,J183*F183, "-")</f>
        <v>-</v>
      </c>
      <c r="Q183" s="35" t="str">
        <f>IFERROR(IF($N$2&gt;0, $N$2*P183, "-"), "-")</f>
        <v>-</v>
      </c>
      <c r="S183" s="35" t="str">
        <f>IFERROR(IF(Q183+K183=0, "-", IF(Q183&gt;0, Q183+K183, "-")), "-")</f>
        <v>-</v>
      </c>
    </row>
    <row r="184" spans="1:19" x14ac:dyDescent="0.3">
      <c r="A184" s="48">
        <v>1519</v>
      </c>
      <c r="B184" s="22">
        <v>68958015194</v>
      </c>
      <c r="C184" s="11" t="s">
        <v>165</v>
      </c>
      <c r="D184" s="17">
        <v>180</v>
      </c>
      <c r="E184" s="17" t="s">
        <v>32</v>
      </c>
      <c r="F184" s="37">
        <v>0.47215999999999997</v>
      </c>
      <c r="G184" s="17">
        <v>12</v>
      </c>
      <c r="H184" s="43" t="s">
        <v>636</v>
      </c>
      <c r="I184" s="18">
        <v>35.183201538461539</v>
      </c>
      <c r="J184" s="16"/>
      <c r="K184" s="49">
        <f>I184*J184</f>
        <v>0</v>
      </c>
      <c r="L184" s="36"/>
      <c r="N184" s="33" t="str">
        <f>IFERROR(IF($N$2*F184=0, "-", $N$2*F184), "-")</f>
        <v>-</v>
      </c>
      <c r="O184" s="33" t="str">
        <f>IF(J184&gt;0,I184+N184,"-")</f>
        <v>-</v>
      </c>
      <c r="P184" s="34" t="str">
        <f>IF(J184&gt;0,J184*F184, "-")</f>
        <v>-</v>
      </c>
      <c r="Q184" s="35" t="str">
        <f>IFERROR(IF($N$2&gt;0, $N$2*P184, "-"), "-")</f>
        <v>-</v>
      </c>
      <c r="S184" s="35" t="str">
        <f>IFERROR(IF(Q184+K184=0, "-", IF(Q184&gt;0, Q184+K184, "-")), "-")</f>
        <v>-</v>
      </c>
    </row>
    <row r="185" spans="1:19" x14ac:dyDescent="0.3">
      <c r="A185" s="48">
        <v>1545</v>
      </c>
      <c r="B185" s="22">
        <v>68958015453</v>
      </c>
      <c r="C185" s="11" t="s">
        <v>166</v>
      </c>
      <c r="D185" s="17">
        <v>15</v>
      </c>
      <c r="E185" s="17" t="s">
        <v>38</v>
      </c>
      <c r="F185" s="37">
        <v>6.3560000000000005E-2</v>
      </c>
      <c r="G185" s="17">
        <v>24</v>
      </c>
      <c r="H185" s="43" t="s">
        <v>636</v>
      </c>
      <c r="I185" s="18">
        <v>8.0050261224489816</v>
      </c>
      <c r="J185" s="16"/>
      <c r="K185" s="49">
        <f>I185*J185</f>
        <v>0</v>
      </c>
      <c r="L185" s="36"/>
      <c r="N185" s="33" t="str">
        <f>IFERROR(IF($N$2*F185=0, "-", $N$2*F185), "-")</f>
        <v>-</v>
      </c>
      <c r="O185" s="33" t="str">
        <f>IF(J185&gt;0,I185+N185,"-")</f>
        <v>-</v>
      </c>
      <c r="P185" s="34" t="str">
        <f>IF(J185&gt;0,J185*F185, "-")</f>
        <v>-</v>
      </c>
      <c r="Q185" s="35" t="str">
        <f>IFERROR(IF($N$2&gt;0, $N$2*P185, "-"), "-")</f>
        <v>-</v>
      </c>
      <c r="S185" s="35" t="str">
        <f>IFERROR(IF(Q185+K185=0, "-", IF(Q185&gt;0, Q185+K185, "-")), "-")</f>
        <v>-</v>
      </c>
    </row>
    <row r="186" spans="1:19" hidden="1" x14ac:dyDescent="0.3">
      <c r="A186" s="48">
        <v>1547</v>
      </c>
      <c r="B186" s="22"/>
      <c r="C186" s="11" t="s">
        <v>168</v>
      </c>
      <c r="D186" s="17">
        <v>60</v>
      </c>
      <c r="E186" s="17" t="s">
        <v>107</v>
      </c>
      <c r="F186" s="37"/>
      <c r="G186" s="17">
        <v>12</v>
      </c>
      <c r="H186" s="43" t="s">
        <v>636</v>
      </c>
      <c r="I186" s="18">
        <v>3.4418938775510211</v>
      </c>
      <c r="J186" s="16"/>
      <c r="K186" s="49">
        <f>I186*J186</f>
        <v>0</v>
      </c>
      <c r="L186" s="36"/>
      <c r="N186" s="33" t="str">
        <f>IFERROR(IF($N$2*F186=0, "-", $N$2*F186), "-")</f>
        <v>-</v>
      </c>
      <c r="O186" s="33" t="str">
        <f>IF(J186&gt;0,I186+N186,"-")</f>
        <v>-</v>
      </c>
      <c r="P186" s="34" t="str">
        <f>IF(J186&gt;0,J186*F186, "-")</f>
        <v>-</v>
      </c>
      <c r="Q186" s="35" t="str">
        <f>IFERROR(IF($N$2&gt;0, $N$2*P186, "-"), "-")</f>
        <v>-</v>
      </c>
      <c r="S186" s="35" t="str">
        <f>IFERROR(IF(Q186+K186=0, "-", IF(Q186&gt;0, Q186+K186, "-")), "-")</f>
        <v>-</v>
      </c>
    </row>
    <row r="187" spans="1:19" x14ac:dyDescent="0.3">
      <c r="A187" s="48">
        <v>1549</v>
      </c>
      <c r="B187" s="22">
        <v>68958015491</v>
      </c>
      <c r="C187" s="11" t="s">
        <v>169</v>
      </c>
      <c r="D187" s="17">
        <v>60</v>
      </c>
      <c r="E187" s="17" t="s">
        <v>107</v>
      </c>
      <c r="F187" s="37">
        <v>0.17706</v>
      </c>
      <c r="G187" s="17">
        <v>12</v>
      </c>
      <c r="H187" s="43" t="s">
        <v>636</v>
      </c>
      <c r="I187" s="18">
        <v>10.82216076923077</v>
      </c>
      <c r="J187" s="16"/>
      <c r="K187" s="49">
        <f>I187*J187</f>
        <v>0</v>
      </c>
      <c r="L187" s="36"/>
      <c r="N187" s="33" t="str">
        <f>IFERROR(IF($N$2*F187=0, "-", $N$2*F187), "-")</f>
        <v>-</v>
      </c>
      <c r="O187" s="33" t="str">
        <f>IF(J187&gt;0,I187+N187,"-")</f>
        <v>-</v>
      </c>
      <c r="P187" s="34" t="str">
        <f>IF(J187&gt;0,J187*F187, "-")</f>
        <v>-</v>
      </c>
      <c r="Q187" s="35" t="str">
        <f>IFERROR(IF($N$2&gt;0, $N$2*P187, "-"), "-")</f>
        <v>-</v>
      </c>
      <c r="S187" s="35" t="str">
        <f>IFERROR(IF(Q187+K187=0, "-", IF(Q187&gt;0, Q187+K187, "-")), "-")</f>
        <v>-</v>
      </c>
    </row>
    <row r="188" spans="1:19" x14ac:dyDescent="0.3">
      <c r="A188" s="48">
        <v>1577</v>
      </c>
      <c r="B188" s="23">
        <v>627765015775</v>
      </c>
      <c r="C188" s="11" t="s">
        <v>170</v>
      </c>
      <c r="D188" s="17">
        <v>60</v>
      </c>
      <c r="E188" s="17" t="s">
        <v>32</v>
      </c>
      <c r="F188" s="37">
        <v>0.14755000000000001</v>
      </c>
      <c r="G188" s="17">
        <v>24</v>
      </c>
      <c r="H188" s="43" t="s">
        <v>636</v>
      </c>
      <c r="I188" s="18">
        <v>15.877772830188681</v>
      </c>
      <c r="J188" s="16"/>
      <c r="K188" s="49">
        <f>I188*J188</f>
        <v>0</v>
      </c>
      <c r="L188" s="36"/>
      <c r="N188" s="33" t="str">
        <f>IFERROR(IF($N$2*F188=0, "-", $N$2*F188), "-")</f>
        <v>-</v>
      </c>
      <c r="O188" s="33" t="str">
        <f>IF(J188&gt;0,I188+N188,"-")</f>
        <v>-</v>
      </c>
      <c r="P188" s="34" t="str">
        <f>IF(J188&gt;0,J188*F188, "-")</f>
        <v>-</v>
      </c>
      <c r="Q188" s="35" t="str">
        <f>IFERROR(IF($N$2&gt;0, $N$2*P188, "-"), "-")</f>
        <v>-</v>
      </c>
      <c r="S188" s="35" t="str">
        <f>IFERROR(IF(Q188+K188=0, "-", IF(Q188&gt;0, Q188+K188, "-")), "-")</f>
        <v>-</v>
      </c>
    </row>
    <row r="189" spans="1:19" x14ac:dyDescent="0.3">
      <c r="A189" s="48">
        <v>1585</v>
      </c>
      <c r="B189" s="23">
        <v>68958015859</v>
      </c>
      <c r="C189" s="11" t="s">
        <v>171</v>
      </c>
      <c r="D189" s="17">
        <v>90</v>
      </c>
      <c r="E189" s="17" t="s">
        <v>54</v>
      </c>
      <c r="F189" s="37">
        <v>0.14868500000000001</v>
      </c>
      <c r="G189" s="17">
        <v>24</v>
      </c>
      <c r="H189" s="43" t="s">
        <v>636</v>
      </c>
      <c r="I189" s="18">
        <v>20.876135094339624</v>
      </c>
      <c r="J189" s="16"/>
      <c r="K189" s="49">
        <f>I189*J189</f>
        <v>0</v>
      </c>
      <c r="L189" s="36"/>
      <c r="N189" s="33" t="str">
        <f>IFERROR(IF($N$2*F189=0, "-", $N$2*F189), "-")</f>
        <v>-</v>
      </c>
      <c r="O189" s="33" t="str">
        <f>IF(J189&gt;0,I189+N189,"-")</f>
        <v>-</v>
      </c>
      <c r="P189" s="34" t="str">
        <f>IF(J189&gt;0,J189*F189, "-")</f>
        <v>-</v>
      </c>
      <c r="Q189" s="35" t="str">
        <f>IFERROR(IF($N$2&gt;0, $N$2*P189, "-"), "-")</f>
        <v>-</v>
      </c>
      <c r="S189" s="35" t="str">
        <f>IFERROR(IF(Q189+K189=0, "-", IF(Q189&gt;0, Q189+K189, "-")), "-")</f>
        <v>-</v>
      </c>
    </row>
    <row r="190" spans="1:19" x14ac:dyDescent="0.3">
      <c r="A190" s="48">
        <v>1587</v>
      </c>
      <c r="B190" s="23">
        <v>68958015873</v>
      </c>
      <c r="C190" s="11" t="s">
        <v>172</v>
      </c>
      <c r="D190" s="17">
        <v>90</v>
      </c>
      <c r="E190" s="17" t="s">
        <v>54</v>
      </c>
      <c r="F190" s="37">
        <v>0.13847000000000001</v>
      </c>
      <c r="G190" s="17">
        <v>24</v>
      </c>
      <c r="H190" s="43" t="s">
        <v>636</v>
      </c>
      <c r="I190" s="18">
        <v>11.636327547169813</v>
      </c>
      <c r="J190" s="16"/>
      <c r="K190" s="49">
        <f>I190*J190</f>
        <v>0</v>
      </c>
      <c r="L190" s="36"/>
      <c r="N190" s="33" t="str">
        <f>IFERROR(IF($N$2*F190=0, "-", $N$2*F190), "-")</f>
        <v>-</v>
      </c>
      <c r="O190" s="33" t="str">
        <f>IF(J190&gt;0,I190+N190,"-")</f>
        <v>-</v>
      </c>
      <c r="P190" s="34" t="str">
        <f>IF(J190&gt;0,J190*F190, "-")</f>
        <v>-</v>
      </c>
      <c r="Q190" s="35" t="str">
        <f>IFERROR(IF($N$2&gt;0, $N$2*P190, "-"), "-")</f>
        <v>-</v>
      </c>
      <c r="S190" s="35" t="str">
        <f>IFERROR(IF(Q190+K190=0, "-", IF(Q190&gt;0, Q190+K190, "-")), "-")</f>
        <v>-</v>
      </c>
    </row>
    <row r="191" spans="1:19" x14ac:dyDescent="0.3">
      <c r="A191" s="48">
        <v>1589</v>
      </c>
      <c r="B191" s="22">
        <v>68958015897</v>
      </c>
      <c r="C191" s="11" t="s">
        <v>173</v>
      </c>
      <c r="D191" s="17">
        <v>90</v>
      </c>
      <c r="E191" s="17" t="s">
        <v>54</v>
      </c>
      <c r="F191" s="37">
        <v>0.13847000000000001</v>
      </c>
      <c r="G191" s="17">
        <v>24</v>
      </c>
      <c r="H191" s="43" t="s">
        <v>636</v>
      </c>
      <c r="I191" s="18">
        <v>17.923904150943397</v>
      </c>
      <c r="J191" s="16"/>
      <c r="K191" s="49">
        <f>I191*J191</f>
        <v>0</v>
      </c>
      <c r="L191" s="36"/>
      <c r="N191" s="33" t="str">
        <f>IFERROR(IF($N$2*F191=0, "-", $N$2*F191), "-")</f>
        <v>-</v>
      </c>
      <c r="O191" s="33" t="str">
        <f>IF(J191&gt;0,I191+N191,"-")</f>
        <v>-</v>
      </c>
      <c r="P191" s="34" t="str">
        <f>IF(J191&gt;0,J191*F191, "-")</f>
        <v>-</v>
      </c>
      <c r="Q191" s="35" t="str">
        <f>IFERROR(IF($N$2&gt;0, $N$2*P191, "-"), "-")</f>
        <v>-</v>
      </c>
      <c r="S191" s="35" t="str">
        <f>IFERROR(IF(Q191+K191=0, "-", IF(Q191&gt;0, Q191+K191, "-")), "-")</f>
        <v>-</v>
      </c>
    </row>
    <row r="192" spans="1:19" x14ac:dyDescent="0.3">
      <c r="A192" s="48">
        <v>1591</v>
      </c>
      <c r="B192" s="23">
        <v>68958015910</v>
      </c>
      <c r="C192" s="11" t="s">
        <v>174</v>
      </c>
      <c r="D192" s="17">
        <v>90</v>
      </c>
      <c r="E192" s="17" t="s">
        <v>54</v>
      </c>
      <c r="F192" s="37">
        <v>0.144145</v>
      </c>
      <c r="G192" s="17">
        <v>24</v>
      </c>
      <c r="H192" s="43" t="s">
        <v>636</v>
      </c>
      <c r="I192" s="18">
        <v>15.72539094339623</v>
      </c>
      <c r="J192" s="16"/>
      <c r="K192" s="49">
        <f>I192*J192</f>
        <v>0</v>
      </c>
      <c r="L192" s="36"/>
      <c r="N192" s="33" t="str">
        <f>IFERROR(IF($N$2*F192=0, "-", $N$2*F192), "-")</f>
        <v>-</v>
      </c>
      <c r="O192" s="33" t="str">
        <f>IF(J192&gt;0,I192+N192,"-")</f>
        <v>-</v>
      </c>
      <c r="P192" s="34" t="str">
        <f>IF(J192&gt;0,J192*F192, "-")</f>
        <v>-</v>
      </c>
      <c r="Q192" s="35" t="str">
        <f>IFERROR(IF($N$2&gt;0, $N$2*P192, "-"), "-")</f>
        <v>-</v>
      </c>
      <c r="S192" s="35" t="str">
        <f>IFERROR(IF(Q192+K192=0, "-", IF(Q192&gt;0, Q192+K192, "-")), "-")</f>
        <v>-</v>
      </c>
    </row>
    <row r="193" spans="1:19" x14ac:dyDescent="0.3">
      <c r="A193" s="48">
        <v>1607</v>
      </c>
      <c r="B193" s="23">
        <v>68958016078</v>
      </c>
      <c r="C193" s="11" t="s">
        <v>176</v>
      </c>
      <c r="D193" s="17">
        <v>90</v>
      </c>
      <c r="E193" s="17" t="s">
        <v>32</v>
      </c>
      <c r="F193" s="37">
        <v>0.24970000000000001</v>
      </c>
      <c r="G193" s="17">
        <v>24</v>
      </c>
      <c r="H193" s="43" t="s">
        <v>636</v>
      </c>
      <c r="I193" s="18">
        <v>8.6449430769230773</v>
      </c>
      <c r="J193" s="16"/>
      <c r="K193" s="49">
        <f>I193*J193</f>
        <v>0</v>
      </c>
      <c r="L193" s="36"/>
      <c r="N193" s="33" t="str">
        <f>IFERROR(IF($N$2*F193=0, "-", $N$2*F193), "-")</f>
        <v>-</v>
      </c>
      <c r="O193" s="33" t="str">
        <f>IF(J193&gt;0,I193+N193,"-")</f>
        <v>-</v>
      </c>
      <c r="P193" s="34" t="str">
        <f>IF(J193&gt;0,J193*F193, "-")</f>
        <v>-</v>
      </c>
      <c r="Q193" s="35" t="str">
        <f>IFERROR(IF($N$2&gt;0, $N$2*P193, "-"), "-")</f>
        <v>-</v>
      </c>
      <c r="S193" s="35" t="str">
        <f>IFERROR(IF(Q193+K193=0, "-", IF(Q193&gt;0, Q193+K193, "-")), "-")</f>
        <v>-</v>
      </c>
    </row>
    <row r="194" spans="1:19" x14ac:dyDescent="0.3">
      <c r="A194" s="48">
        <v>1608</v>
      </c>
      <c r="B194" s="23">
        <v>68958016085</v>
      </c>
      <c r="C194" s="11" t="s">
        <v>177</v>
      </c>
      <c r="D194" s="17">
        <v>180</v>
      </c>
      <c r="E194" s="17" t="s">
        <v>32</v>
      </c>
      <c r="F194" s="37">
        <v>0.49940000000000001</v>
      </c>
      <c r="G194" s="17">
        <v>12</v>
      </c>
      <c r="H194" s="43" t="s">
        <v>636</v>
      </c>
      <c r="I194" s="18">
        <v>14.008389230769232</v>
      </c>
      <c r="J194" s="16"/>
      <c r="K194" s="49">
        <f>I194*J194</f>
        <v>0</v>
      </c>
      <c r="L194" s="36"/>
      <c r="N194" s="33" t="str">
        <f>IFERROR(IF($N$2*F194=0, "-", $N$2*F194), "-")</f>
        <v>-</v>
      </c>
      <c r="O194" s="33" t="str">
        <f>IF(J194&gt;0,I194+N194,"-")</f>
        <v>-</v>
      </c>
      <c r="P194" s="34" t="str">
        <f>IF(J194&gt;0,J194*F194, "-")</f>
        <v>-</v>
      </c>
      <c r="Q194" s="35" t="str">
        <f>IFERROR(IF($N$2&gt;0, $N$2*P194, "-"), "-")</f>
        <v>-</v>
      </c>
      <c r="S194" s="35" t="str">
        <f>IFERROR(IF(Q194+K194=0, "-", IF(Q194&gt;0, Q194+K194, "-")), "-")</f>
        <v>-</v>
      </c>
    </row>
    <row r="195" spans="1:19" hidden="1" x14ac:dyDescent="0.3">
      <c r="A195" s="48">
        <v>1622</v>
      </c>
      <c r="B195" s="23"/>
      <c r="C195" s="11" t="s">
        <v>179</v>
      </c>
      <c r="D195" s="17">
        <v>30</v>
      </c>
      <c r="E195" s="17" t="s">
        <v>32</v>
      </c>
      <c r="F195" s="37"/>
      <c r="G195" s="17">
        <v>12</v>
      </c>
      <c r="H195" s="43" t="s">
        <v>636</v>
      </c>
      <c r="I195" s="18">
        <v>2.2141878260869565</v>
      </c>
      <c r="J195" s="16"/>
      <c r="K195" s="49">
        <f>I195*J195</f>
        <v>0</v>
      </c>
      <c r="L195" s="36"/>
      <c r="N195" s="33" t="str">
        <f>IFERROR(IF($N$2*F195=0, "-", $N$2*F195), "-")</f>
        <v>-</v>
      </c>
      <c r="O195" s="33" t="str">
        <f>IF(J195&gt;0,I195+N195,"-")</f>
        <v>-</v>
      </c>
      <c r="P195" s="34" t="str">
        <f>IF(J195&gt;0,J195*F195, "-")</f>
        <v>-</v>
      </c>
      <c r="Q195" s="35" t="str">
        <f>IFERROR(IF($N$2&gt;0, $N$2*P195, "-"), "-")</f>
        <v>-</v>
      </c>
      <c r="S195" s="35" t="str">
        <f>IFERROR(IF(Q195+K195=0, "-", IF(Q195&gt;0, Q195+K195, "-")), "-")</f>
        <v>-</v>
      </c>
    </row>
    <row r="196" spans="1:19" x14ac:dyDescent="0.3">
      <c r="A196" s="48">
        <v>1625</v>
      </c>
      <c r="B196" s="23">
        <v>68958016252</v>
      </c>
      <c r="C196" s="11" t="s">
        <v>180</v>
      </c>
      <c r="D196" s="17">
        <v>90</v>
      </c>
      <c r="E196" s="17" t="s">
        <v>54</v>
      </c>
      <c r="F196" s="37">
        <v>0.15890000000000001</v>
      </c>
      <c r="G196" s="17">
        <v>24</v>
      </c>
      <c r="H196" s="43" t="s">
        <v>636</v>
      </c>
      <c r="I196" s="18">
        <v>6.0385707692307706</v>
      </c>
      <c r="J196" s="16"/>
      <c r="K196" s="49">
        <f>I196*J196</f>
        <v>0</v>
      </c>
      <c r="L196" s="36"/>
      <c r="N196" s="33" t="str">
        <f>IFERROR(IF($N$2*F196=0, "-", $N$2*F196), "-")</f>
        <v>-</v>
      </c>
      <c r="O196" s="33" t="str">
        <f>IF(J196&gt;0,I196+N196,"-")</f>
        <v>-</v>
      </c>
      <c r="P196" s="34" t="str">
        <f>IF(J196&gt;0,J196*F196, "-")</f>
        <v>-</v>
      </c>
      <c r="Q196" s="35" t="str">
        <f>IFERROR(IF($N$2&gt;0, $N$2*P196, "-"), "-")</f>
        <v>-</v>
      </c>
      <c r="S196" s="35" t="str">
        <f>IFERROR(IF(Q196+K196=0, "-", IF(Q196&gt;0, Q196+K196, "-")), "-")</f>
        <v>-</v>
      </c>
    </row>
    <row r="197" spans="1:19" x14ac:dyDescent="0.3">
      <c r="A197" s="48">
        <v>1626</v>
      </c>
      <c r="B197" s="22">
        <v>68958016269</v>
      </c>
      <c r="C197" s="11" t="s">
        <v>181</v>
      </c>
      <c r="D197" s="17">
        <v>180</v>
      </c>
      <c r="E197" s="17" t="s">
        <v>54</v>
      </c>
      <c r="F197" s="37">
        <v>0.29510000000000003</v>
      </c>
      <c r="G197" s="17">
        <v>12</v>
      </c>
      <c r="H197" s="43" t="s">
        <v>636</v>
      </c>
      <c r="I197" s="18">
        <v>10.044789230769231</v>
      </c>
      <c r="J197" s="16"/>
      <c r="K197" s="49">
        <f>I197*J197</f>
        <v>0</v>
      </c>
      <c r="L197" s="36"/>
      <c r="N197" s="33" t="str">
        <f>IFERROR(IF($N$2*F197=0, "-", $N$2*F197), "-")</f>
        <v>-</v>
      </c>
      <c r="O197" s="33" t="str">
        <f>IF(J197&gt;0,I197+N197,"-")</f>
        <v>-</v>
      </c>
      <c r="P197" s="34" t="str">
        <f>IF(J197&gt;0,J197*F197, "-")</f>
        <v>-</v>
      </c>
      <c r="Q197" s="35" t="str">
        <f>IFERROR(IF($N$2&gt;0, $N$2*P197, "-"), "-")</f>
        <v>-</v>
      </c>
      <c r="S197" s="35" t="str">
        <f>IFERROR(IF(Q197+K197=0, "-", IF(Q197&gt;0, Q197+K197, "-")), "-")</f>
        <v>-</v>
      </c>
    </row>
    <row r="198" spans="1:19" x14ac:dyDescent="0.3">
      <c r="A198" s="48">
        <v>1628</v>
      </c>
      <c r="B198" s="22">
        <v>68958016283</v>
      </c>
      <c r="C198" s="11" t="s">
        <v>182</v>
      </c>
      <c r="D198" s="17">
        <v>90</v>
      </c>
      <c r="E198" s="17" t="s">
        <v>54</v>
      </c>
      <c r="F198" s="37">
        <v>0.13619999999999999</v>
      </c>
      <c r="G198" s="17">
        <v>24</v>
      </c>
      <c r="H198" s="43" t="s">
        <v>636</v>
      </c>
      <c r="I198" s="18">
        <v>6.6926353846153859</v>
      </c>
      <c r="J198" s="16"/>
      <c r="K198" s="49">
        <f>I198*J198</f>
        <v>0</v>
      </c>
      <c r="L198" s="36"/>
      <c r="N198" s="33" t="str">
        <f>IFERROR(IF($N$2*F198=0, "-", $N$2*F198), "-")</f>
        <v>-</v>
      </c>
      <c r="O198" s="33" t="str">
        <f>IF(J198&gt;0,I198+N198,"-")</f>
        <v>-</v>
      </c>
      <c r="P198" s="34" t="str">
        <f>IF(J198&gt;0,J198*F198, "-")</f>
        <v>-</v>
      </c>
      <c r="Q198" s="35" t="str">
        <f>IFERROR(IF($N$2&gt;0, $N$2*P198, "-"), "-")</f>
        <v>-</v>
      </c>
      <c r="S198" s="35" t="str">
        <f>IFERROR(IF(Q198+K198=0, "-", IF(Q198&gt;0, Q198+K198, "-")), "-")</f>
        <v>-</v>
      </c>
    </row>
    <row r="199" spans="1:19" x14ac:dyDescent="0.3">
      <c r="A199" s="48">
        <v>1629</v>
      </c>
      <c r="B199" s="23">
        <v>68958016290</v>
      </c>
      <c r="C199" s="11" t="s">
        <v>183</v>
      </c>
      <c r="D199" s="17">
        <v>180</v>
      </c>
      <c r="E199" s="17" t="s">
        <v>54</v>
      </c>
      <c r="F199" s="37">
        <v>0.24970000000000001</v>
      </c>
      <c r="G199" s="17">
        <v>12</v>
      </c>
      <c r="H199" s="43" t="s">
        <v>636</v>
      </c>
      <c r="I199" s="18">
        <v>10.37747076923077</v>
      </c>
      <c r="J199" s="16"/>
      <c r="K199" s="49">
        <f>I199*J199</f>
        <v>0</v>
      </c>
      <c r="L199" s="36"/>
      <c r="N199" s="33" t="str">
        <f>IFERROR(IF($N$2*F199=0, "-", $N$2*F199), "-")</f>
        <v>-</v>
      </c>
      <c r="O199" s="33" t="str">
        <f>IF(J199&gt;0,I199+N199,"-")</f>
        <v>-</v>
      </c>
      <c r="P199" s="34" t="str">
        <f>IF(J199&gt;0,J199*F199, "-")</f>
        <v>-</v>
      </c>
      <c r="Q199" s="35" t="str">
        <f>IFERROR(IF($N$2&gt;0, $N$2*P199, "-"), "-")</f>
        <v>-</v>
      </c>
      <c r="S199" s="35" t="str">
        <f>IFERROR(IF(Q199+K199=0, "-", IF(Q199&gt;0, Q199+K199, "-")), "-")</f>
        <v>-</v>
      </c>
    </row>
    <row r="200" spans="1:19" x14ac:dyDescent="0.3">
      <c r="A200" s="48">
        <v>1630</v>
      </c>
      <c r="B200" s="23">
        <v>68958016306</v>
      </c>
      <c r="C200" s="11" t="s">
        <v>184</v>
      </c>
      <c r="D200" s="17">
        <v>90</v>
      </c>
      <c r="E200" s="17" t="s">
        <v>32</v>
      </c>
      <c r="F200" s="37">
        <v>6.9235000000000005E-2</v>
      </c>
      <c r="G200" s="17">
        <v>24</v>
      </c>
      <c r="H200" s="43" t="s">
        <v>636</v>
      </c>
      <c r="I200" s="18">
        <v>5.372584615384616</v>
      </c>
      <c r="J200" s="16"/>
      <c r="K200" s="49">
        <f>I200*J200</f>
        <v>0</v>
      </c>
      <c r="L200" s="36"/>
      <c r="N200" s="33" t="str">
        <f>IFERROR(IF($N$2*F200=0, "-", $N$2*F200), "-")</f>
        <v>-</v>
      </c>
      <c r="O200" s="33" t="str">
        <f>IF(J200&gt;0,I200+N200,"-")</f>
        <v>-</v>
      </c>
      <c r="P200" s="34" t="str">
        <f>IF(J200&gt;0,J200*F200, "-")</f>
        <v>-</v>
      </c>
      <c r="Q200" s="35" t="str">
        <f>IFERROR(IF($N$2&gt;0, $N$2*P200, "-"), "-")</f>
        <v>-</v>
      </c>
      <c r="S200" s="35" t="str">
        <f>IFERROR(IF(Q200+K200=0, "-", IF(Q200&gt;0, Q200+K200, "-")), "-")</f>
        <v>-</v>
      </c>
    </row>
    <row r="201" spans="1:19" x14ac:dyDescent="0.3">
      <c r="A201" s="48">
        <v>1635</v>
      </c>
      <c r="B201" s="23">
        <v>68958016351</v>
      </c>
      <c r="C201" s="11" t="s">
        <v>185</v>
      </c>
      <c r="D201" s="17">
        <v>90</v>
      </c>
      <c r="E201" s="17" t="s">
        <v>54</v>
      </c>
      <c r="F201" s="37">
        <v>6.8099999999999994E-2</v>
      </c>
      <c r="G201" s="17">
        <v>24</v>
      </c>
      <c r="H201" s="43" t="s">
        <v>636</v>
      </c>
      <c r="I201" s="18">
        <v>4.9082884615384614</v>
      </c>
      <c r="J201" s="16"/>
      <c r="K201" s="49">
        <f>I201*J201</f>
        <v>0</v>
      </c>
      <c r="L201" s="36"/>
      <c r="N201" s="33" t="str">
        <f>IFERROR(IF($N$2*F201=0, "-", $N$2*F201), "-")</f>
        <v>-</v>
      </c>
      <c r="O201" s="33" t="str">
        <f>IF(J201&gt;0,I201+N201,"-")</f>
        <v>-</v>
      </c>
      <c r="P201" s="34" t="str">
        <f>IF(J201&gt;0,J201*F201, "-")</f>
        <v>-</v>
      </c>
      <c r="Q201" s="35" t="str">
        <f>IFERROR(IF($N$2&gt;0, $N$2*P201, "-"), "-")</f>
        <v>-</v>
      </c>
      <c r="S201" s="35" t="str">
        <f>IFERROR(IF(Q201+K201=0, "-", IF(Q201&gt;0, Q201+K201, "-")), "-")</f>
        <v>-</v>
      </c>
    </row>
    <row r="202" spans="1:19" x14ac:dyDescent="0.3">
      <c r="A202" s="48">
        <v>1637</v>
      </c>
      <c r="B202" s="22">
        <v>68958016375</v>
      </c>
      <c r="C202" s="11" t="s">
        <v>187</v>
      </c>
      <c r="D202" s="17">
        <v>90</v>
      </c>
      <c r="E202" s="17" t="s">
        <v>32</v>
      </c>
      <c r="F202" s="37">
        <v>5.2209999999999999E-2</v>
      </c>
      <c r="G202" s="17">
        <v>24</v>
      </c>
      <c r="H202" s="43" t="s">
        <v>636</v>
      </c>
      <c r="I202" s="18">
        <v>3.7814330769230771</v>
      </c>
      <c r="J202" s="16"/>
      <c r="K202" s="49">
        <f>I202*J202</f>
        <v>0</v>
      </c>
      <c r="L202" s="36"/>
      <c r="N202" s="33" t="str">
        <f>IFERROR(IF($N$2*F202=0, "-", $N$2*F202), "-")</f>
        <v>-</v>
      </c>
      <c r="O202" s="33" t="str">
        <f>IF(J202&gt;0,I202+N202,"-")</f>
        <v>-</v>
      </c>
      <c r="P202" s="34" t="str">
        <f>IF(J202&gt;0,J202*F202, "-")</f>
        <v>-</v>
      </c>
      <c r="Q202" s="35" t="str">
        <f>IFERROR(IF($N$2&gt;0, $N$2*P202, "-"), "-")</f>
        <v>-</v>
      </c>
      <c r="S202" s="35" t="str">
        <f>IFERROR(IF(Q202+K202=0, "-", IF(Q202&gt;0, Q202+K202, "-")), "-")</f>
        <v>-</v>
      </c>
    </row>
    <row r="203" spans="1:19" x14ac:dyDescent="0.3">
      <c r="A203" s="48">
        <v>1639</v>
      </c>
      <c r="B203" s="23">
        <v>627765016390</v>
      </c>
      <c r="C203" s="11" t="s">
        <v>188</v>
      </c>
      <c r="D203" s="17">
        <v>60</v>
      </c>
      <c r="E203" s="17" t="s">
        <v>107</v>
      </c>
      <c r="F203" s="37">
        <v>8.8529999999999998E-2</v>
      </c>
      <c r="G203" s="17">
        <v>24</v>
      </c>
      <c r="H203" s="43" t="s">
        <v>636</v>
      </c>
      <c r="I203" s="18">
        <v>7.5749538461538464</v>
      </c>
      <c r="J203" s="16"/>
      <c r="K203" s="49">
        <f>I203*J203</f>
        <v>0</v>
      </c>
      <c r="L203" s="36"/>
      <c r="N203" s="33" t="str">
        <f>IFERROR(IF($N$2*F203=0, "-", $N$2*F203), "-")</f>
        <v>-</v>
      </c>
      <c r="O203" s="33" t="str">
        <f>IF(J203&gt;0,I203+N203,"-")</f>
        <v>-</v>
      </c>
      <c r="P203" s="34" t="str">
        <f>IF(J203&gt;0,J203*F203, "-")</f>
        <v>-</v>
      </c>
      <c r="Q203" s="35" t="str">
        <f>IFERROR(IF($N$2&gt;0, $N$2*P203, "-"), "-")</f>
        <v>-</v>
      </c>
      <c r="S203" s="35" t="str">
        <f>IFERROR(IF(Q203+K203=0, "-", IF(Q203&gt;0, Q203+K203, "-")), "-")</f>
        <v>-</v>
      </c>
    </row>
    <row r="204" spans="1:19" x14ac:dyDescent="0.3">
      <c r="A204" s="48">
        <v>1640</v>
      </c>
      <c r="B204" s="23">
        <v>68958016405</v>
      </c>
      <c r="C204" s="11" t="s">
        <v>189</v>
      </c>
      <c r="D204" s="17">
        <v>90</v>
      </c>
      <c r="E204" s="17" t="s">
        <v>32</v>
      </c>
      <c r="F204" s="37">
        <v>7.3775000000000007E-2</v>
      </c>
      <c r="G204" s="17">
        <v>24</v>
      </c>
      <c r="H204" s="43" t="s">
        <v>636</v>
      </c>
      <c r="I204" s="18">
        <v>5.6898346153846155</v>
      </c>
      <c r="J204" s="16"/>
      <c r="K204" s="49">
        <f>I204*J204</f>
        <v>0</v>
      </c>
      <c r="L204" s="36"/>
      <c r="N204" s="33" t="str">
        <f>IFERROR(IF($N$2*F204=0, "-", $N$2*F204), "-")</f>
        <v>-</v>
      </c>
      <c r="O204" s="33" t="str">
        <f>IF(J204&gt;0,I204+N204,"-")</f>
        <v>-</v>
      </c>
      <c r="P204" s="34" t="str">
        <f>IF(J204&gt;0,J204*F204, "-")</f>
        <v>-</v>
      </c>
      <c r="Q204" s="35" t="str">
        <f>IFERROR(IF($N$2&gt;0, $N$2*P204, "-"), "-")</f>
        <v>-</v>
      </c>
      <c r="S204" s="35" t="str">
        <f>IFERROR(IF(Q204+K204=0, "-", IF(Q204&gt;0, Q204+K204, "-")), "-")</f>
        <v>-</v>
      </c>
    </row>
    <row r="205" spans="1:19" x14ac:dyDescent="0.3">
      <c r="A205" s="48">
        <v>1644</v>
      </c>
      <c r="B205" s="23">
        <v>627765016444</v>
      </c>
      <c r="C205" s="11" t="s">
        <v>192</v>
      </c>
      <c r="D205" s="17">
        <v>250</v>
      </c>
      <c r="E205" s="17" t="s">
        <v>45</v>
      </c>
      <c r="F205" s="37">
        <v>0.330285</v>
      </c>
      <c r="G205" s="17">
        <v>12</v>
      </c>
      <c r="H205" s="43" t="s">
        <v>636</v>
      </c>
      <c r="I205" s="18">
        <v>15.864047999999999</v>
      </c>
      <c r="J205" s="16"/>
      <c r="K205" s="49">
        <f>I205*J205</f>
        <v>0</v>
      </c>
      <c r="L205" s="36"/>
      <c r="N205" s="33" t="str">
        <f>IFERROR(IF($N$2*F205=0, "-", $N$2*F205), "-")</f>
        <v>-</v>
      </c>
      <c r="O205" s="33" t="str">
        <f>IF(J205&gt;0,I205+N205,"-")</f>
        <v>-</v>
      </c>
      <c r="P205" s="34" t="str">
        <f>IF(J205&gt;0,J205*F205, "-")</f>
        <v>-</v>
      </c>
      <c r="Q205" s="35" t="str">
        <f>IFERROR(IF($N$2&gt;0, $N$2*P205, "-"), "-")</f>
        <v>-</v>
      </c>
      <c r="S205" s="35" t="str">
        <f>IFERROR(IF(Q205+K205=0, "-", IF(Q205&gt;0, Q205+K205, "-")), "-")</f>
        <v>-</v>
      </c>
    </row>
    <row r="206" spans="1:19" x14ac:dyDescent="0.3">
      <c r="A206" s="48">
        <v>1646</v>
      </c>
      <c r="B206" s="23">
        <v>68958016467</v>
      </c>
      <c r="C206" s="11" t="s">
        <v>193</v>
      </c>
      <c r="D206" s="17">
        <v>90</v>
      </c>
      <c r="E206" s="17" t="s">
        <v>32</v>
      </c>
      <c r="F206" s="37">
        <v>8.3989999999999995E-2</v>
      </c>
      <c r="G206" s="17">
        <v>24</v>
      </c>
      <c r="H206" s="43" t="s">
        <v>636</v>
      </c>
      <c r="I206" s="18">
        <v>8.5125184615384626</v>
      </c>
      <c r="J206" s="16"/>
      <c r="K206" s="49">
        <f>I206*J206</f>
        <v>0</v>
      </c>
      <c r="L206" s="36"/>
      <c r="N206" s="33" t="str">
        <f>IFERROR(IF($N$2*F206=0, "-", $N$2*F206), "-")</f>
        <v>-</v>
      </c>
      <c r="O206" s="33" t="str">
        <f>IF(J206&gt;0,I206+N206,"-")</f>
        <v>-</v>
      </c>
      <c r="P206" s="34" t="str">
        <f>IF(J206&gt;0,J206*F206, "-")</f>
        <v>-</v>
      </c>
      <c r="Q206" s="35" t="str">
        <f>IFERROR(IF($N$2&gt;0, $N$2*P206, "-"), "-")</f>
        <v>-</v>
      </c>
      <c r="S206" s="35" t="str">
        <f>IFERROR(IF(Q206+K206=0, "-", IF(Q206&gt;0, Q206+K206, "-")), "-")</f>
        <v>-</v>
      </c>
    </row>
    <row r="207" spans="1:19" x14ac:dyDescent="0.3">
      <c r="A207" s="48">
        <v>1651</v>
      </c>
      <c r="B207" s="23">
        <v>68958016511</v>
      </c>
      <c r="C207" s="11" t="s">
        <v>197</v>
      </c>
      <c r="D207" s="17">
        <v>90</v>
      </c>
      <c r="E207" s="17" t="s">
        <v>54</v>
      </c>
      <c r="F207" s="37">
        <v>8.6260000000000003E-2</v>
      </c>
      <c r="G207" s="17">
        <v>24</v>
      </c>
      <c r="H207" s="43" t="s">
        <v>636</v>
      </c>
      <c r="I207" s="18">
        <v>7.4097138461538465</v>
      </c>
      <c r="J207" s="16"/>
      <c r="K207" s="49">
        <f>I207*J207</f>
        <v>0</v>
      </c>
      <c r="L207" s="36"/>
      <c r="N207" s="33" t="str">
        <f>IFERROR(IF($N$2*F207=0, "-", $N$2*F207), "-")</f>
        <v>-</v>
      </c>
      <c r="O207" s="33" t="str">
        <f>IF(J207&gt;0,I207+N207,"-")</f>
        <v>-</v>
      </c>
      <c r="P207" s="34" t="str">
        <f>IF(J207&gt;0,J207*F207, "-")</f>
        <v>-</v>
      </c>
      <c r="Q207" s="35" t="str">
        <f>IFERROR(IF($N$2&gt;0, $N$2*P207, "-"), "-")</f>
        <v>-</v>
      </c>
      <c r="S207" s="35" t="str">
        <f>IFERROR(IF(Q207+K207=0, "-", IF(Q207&gt;0, Q207+K207, "-")), "-")</f>
        <v>-</v>
      </c>
    </row>
    <row r="208" spans="1:19" x14ac:dyDescent="0.3">
      <c r="A208" s="48">
        <v>1654</v>
      </c>
      <c r="B208" s="23">
        <v>68958016542</v>
      </c>
      <c r="C208" s="11" t="s">
        <v>200</v>
      </c>
      <c r="D208" s="17">
        <v>90</v>
      </c>
      <c r="E208" s="17" t="s">
        <v>32</v>
      </c>
      <c r="F208" s="37">
        <v>0.13619999999999999</v>
      </c>
      <c r="G208" s="17">
        <v>24</v>
      </c>
      <c r="H208" s="43" t="s">
        <v>636</v>
      </c>
      <c r="I208" s="18">
        <v>5.0826461538461549</v>
      </c>
      <c r="J208" s="16"/>
      <c r="K208" s="49">
        <f>I208*J208</f>
        <v>0</v>
      </c>
      <c r="L208" s="36"/>
      <c r="N208" s="33" t="str">
        <f>IFERROR(IF($N$2*F208=0, "-", $N$2*F208), "-")</f>
        <v>-</v>
      </c>
      <c r="O208" s="33" t="str">
        <f>IF(J208&gt;0,I208+N208,"-")</f>
        <v>-</v>
      </c>
      <c r="P208" s="34" t="str">
        <f>IF(J208&gt;0,J208*F208, "-")</f>
        <v>-</v>
      </c>
      <c r="Q208" s="35" t="str">
        <f>IFERROR(IF($N$2&gt;0, $N$2*P208, "-"), "-")</f>
        <v>-</v>
      </c>
      <c r="S208" s="35" t="str">
        <f>IFERROR(IF(Q208+K208=0, "-", IF(Q208&gt;0, Q208+K208, "-")), "-")</f>
        <v>-</v>
      </c>
    </row>
    <row r="209" spans="1:19" x14ac:dyDescent="0.3">
      <c r="A209" s="48">
        <v>1657</v>
      </c>
      <c r="B209" s="23">
        <v>68958016573</v>
      </c>
      <c r="C209" s="11" t="s">
        <v>202</v>
      </c>
      <c r="D209" s="17">
        <v>90</v>
      </c>
      <c r="E209" s="17" t="s">
        <v>32</v>
      </c>
      <c r="F209" s="37">
        <v>6.8099999999999994E-2</v>
      </c>
      <c r="G209" s="17">
        <v>24</v>
      </c>
      <c r="H209" s="43" t="s">
        <v>636</v>
      </c>
      <c r="I209" s="18">
        <v>6.6080838461538471</v>
      </c>
      <c r="J209" s="16"/>
      <c r="K209" s="49">
        <f>I209*J209</f>
        <v>0</v>
      </c>
      <c r="L209" s="36"/>
      <c r="N209" s="33" t="str">
        <f>IFERROR(IF($N$2*F209=0, "-", $N$2*F209), "-")</f>
        <v>-</v>
      </c>
      <c r="O209" s="33" t="str">
        <f>IF(J209&gt;0,I209+N209,"-")</f>
        <v>-</v>
      </c>
      <c r="P209" s="34" t="str">
        <f>IF(J209&gt;0,J209*F209, "-")</f>
        <v>-</v>
      </c>
      <c r="Q209" s="35" t="str">
        <f>IFERROR(IF($N$2&gt;0, $N$2*P209, "-"), "-")</f>
        <v>-</v>
      </c>
      <c r="S209" s="35" t="str">
        <f>IFERROR(IF(Q209+K209=0, "-", IF(Q209&gt;0, Q209+K209, "-")), "-")</f>
        <v>-</v>
      </c>
    </row>
    <row r="210" spans="1:19" x14ac:dyDescent="0.3">
      <c r="A210" s="48">
        <v>1660</v>
      </c>
      <c r="B210" s="23">
        <v>68958016603</v>
      </c>
      <c r="C210" s="11" t="s">
        <v>203</v>
      </c>
      <c r="D210" s="17">
        <v>90</v>
      </c>
      <c r="E210" s="17" t="s">
        <v>32</v>
      </c>
      <c r="F210" s="37">
        <v>9.4205000000000011E-2</v>
      </c>
      <c r="G210" s="17">
        <v>24</v>
      </c>
      <c r="H210" s="43" t="s">
        <v>636</v>
      </c>
      <c r="I210" s="18">
        <v>3.5600688000000007</v>
      </c>
      <c r="J210" s="16"/>
      <c r="K210" s="49">
        <f>I210*J210</f>
        <v>0</v>
      </c>
      <c r="L210" s="36"/>
      <c r="N210" s="33" t="str">
        <f>IFERROR(IF($N$2*F210=0, "-", $N$2*F210), "-")</f>
        <v>-</v>
      </c>
      <c r="O210" s="33" t="str">
        <f>IF(J210&gt;0,I210+N210,"-")</f>
        <v>-</v>
      </c>
      <c r="P210" s="34" t="str">
        <f>IF(J210&gt;0,J210*F210, "-")</f>
        <v>-</v>
      </c>
      <c r="Q210" s="35" t="str">
        <f>IFERROR(IF($N$2&gt;0, $N$2*P210, "-"), "-")</f>
        <v>-</v>
      </c>
      <c r="S210" s="35" t="str">
        <f>IFERROR(IF(Q210+K210=0, "-", IF(Q210&gt;0, Q210+K210, "-")), "-")</f>
        <v>-</v>
      </c>
    </row>
    <row r="211" spans="1:19" x14ac:dyDescent="0.3">
      <c r="A211" s="48">
        <v>1661</v>
      </c>
      <c r="B211" s="22">
        <v>68958016610</v>
      </c>
      <c r="C211" s="11" t="s">
        <v>204</v>
      </c>
      <c r="D211" s="17">
        <v>180</v>
      </c>
      <c r="E211" s="17" t="s">
        <v>32</v>
      </c>
      <c r="F211" s="37">
        <v>0.15890000000000001</v>
      </c>
      <c r="G211" s="17">
        <v>24</v>
      </c>
      <c r="H211" s="43" t="s">
        <v>636</v>
      </c>
      <c r="I211" s="18">
        <v>5.0873832000000005</v>
      </c>
      <c r="J211" s="16"/>
      <c r="K211" s="49">
        <f>I211*J211</f>
        <v>0</v>
      </c>
      <c r="L211" s="36"/>
      <c r="N211" s="33" t="str">
        <f>IFERROR(IF($N$2*F211=0, "-", $N$2*F211), "-")</f>
        <v>-</v>
      </c>
      <c r="O211" s="33" t="str">
        <f>IF(J211&gt;0,I211+N211,"-")</f>
        <v>-</v>
      </c>
      <c r="P211" s="34" t="str">
        <f>IF(J211&gt;0,J211*F211, "-")</f>
        <v>-</v>
      </c>
      <c r="Q211" s="35" t="str">
        <f>IFERROR(IF($N$2&gt;0, $N$2*P211, "-"), "-")</f>
        <v>-</v>
      </c>
      <c r="S211" s="35" t="str">
        <f>IFERROR(IF(Q211+K211=0, "-", IF(Q211&gt;0, Q211+K211, "-")), "-")</f>
        <v>-</v>
      </c>
    </row>
    <row r="212" spans="1:19" x14ac:dyDescent="0.3">
      <c r="A212" s="48">
        <v>1667</v>
      </c>
      <c r="B212" s="23">
        <v>627765016673</v>
      </c>
      <c r="C212" s="11" t="s">
        <v>205</v>
      </c>
      <c r="D212" s="17">
        <v>290</v>
      </c>
      <c r="E212" s="17" t="s">
        <v>130</v>
      </c>
      <c r="F212" s="37">
        <v>0.38590000000000002</v>
      </c>
      <c r="G212" s="17">
        <v>18</v>
      </c>
      <c r="H212" s="43" t="s">
        <v>636</v>
      </c>
      <c r="I212" s="18">
        <v>12.752993076923079</v>
      </c>
      <c r="J212" s="16"/>
      <c r="K212" s="49">
        <f>I212*J212</f>
        <v>0</v>
      </c>
      <c r="L212" s="36"/>
      <c r="N212" s="33" t="str">
        <f>IFERROR(IF($N$2*F212=0, "-", $N$2*F212), "-")</f>
        <v>-</v>
      </c>
      <c r="O212" s="33" t="str">
        <f>IF(J212&gt;0,I212+N212,"-")</f>
        <v>-</v>
      </c>
      <c r="P212" s="34" t="str">
        <f>IF(J212&gt;0,J212*F212, "-")</f>
        <v>-</v>
      </c>
      <c r="Q212" s="35" t="str">
        <f>IFERROR(IF($N$2&gt;0, $N$2*P212, "-"), "-")</f>
        <v>-</v>
      </c>
      <c r="S212" s="35" t="str">
        <f>IFERROR(IF(Q212+K212=0, "-", IF(Q212&gt;0, Q212+K212, "-")), "-")</f>
        <v>-</v>
      </c>
    </row>
    <row r="213" spans="1:19" x14ac:dyDescent="0.3">
      <c r="A213" s="48">
        <v>1668</v>
      </c>
      <c r="B213" s="23">
        <v>68958016689</v>
      </c>
      <c r="C213" s="11" t="s">
        <v>206</v>
      </c>
      <c r="D213" s="17">
        <v>90</v>
      </c>
      <c r="E213" s="17" t="s">
        <v>32</v>
      </c>
      <c r="F213" s="37">
        <v>7.0370000000000002E-2</v>
      </c>
      <c r="G213" s="17">
        <v>24</v>
      </c>
      <c r="H213" s="43" t="s">
        <v>636</v>
      </c>
      <c r="I213" s="18">
        <v>4.0073510204081639</v>
      </c>
      <c r="J213" s="16"/>
      <c r="K213" s="49">
        <f>I213*J213</f>
        <v>0</v>
      </c>
      <c r="L213" s="36"/>
      <c r="N213" s="33" t="str">
        <f>IFERROR(IF($N$2*F213=0, "-", $N$2*F213), "-")</f>
        <v>-</v>
      </c>
      <c r="O213" s="33" t="str">
        <f>IF(J213&gt;0,I213+N213,"-")</f>
        <v>-</v>
      </c>
      <c r="P213" s="34" t="str">
        <f>IF(J213&gt;0,J213*F213, "-")</f>
        <v>-</v>
      </c>
      <c r="Q213" s="35" t="str">
        <f>IFERROR(IF($N$2&gt;0, $N$2*P213, "-"), "-")</f>
        <v>-</v>
      </c>
      <c r="S213" s="35" t="str">
        <f>IFERROR(IF(Q213+K213=0, "-", IF(Q213&gt;0, Q213+K213, "-")), "-")</f>
        <v>-</v>
      </c>
    </row>
    <row r="214" spans="1:19" x14ac:dyDescent="0.3">
      <c r="A214" s="48">
        <v>1670</v>
      </c>
      <c r="B214" s="23">
        <v>68958016702</v>
      </c>
      <c r="C214" s="11" t="s">
        <v>207</v>
      </c>
      <c r="D214" s="17">
        <v>60</v>
      </c>
      <c r="E214" s="17" t="s">
        <v>32</v>
      </c>
      <c r="F214" s="37">
        <v>5.2209999999999999E-2</v>
      </c>
      <c r="G214" s="17">
        <v>24</v>
      </c>
      <c r="H214" s="43" t="s">
        <v>636</v>
      </c>
      <c r="I214" s="18">
        <v>4.0085632653061234</v>
      </c>
      <c r="J214" s="16"/>
      <c r="K214" s="49">
        <f>I214*J214</f>
        <v>0</v>
      </c>
      <c r="L214" s="36"/>
      <c r="N214" s="33" t="str">
        <f>IFERROR(IF($N$2*F214=0, "-", $N$2*F214), "-")</f>
        <v>-</v>
      </c>
      <c r="O214" s="33" t="str">
        <f>IF(J214&gt;0,I214+N214,"-")</f>
        <v>-</v>
      </c>
      <c r="P214" s="34" t="str">
        <f>IF(J214&gt;0,J214*F214, "-")</f>
        <v>-</v>
      </c>
      <c r="Q214" s="35" t="str">
        <f>IFERROR(IF($N$2&gt;0, $N$2*P214, "-"), "-")</f>
        <v>-</v>
      </c>
      <c r="S214" s="35" t="str">
        <f>IFERROR(IF(Q214+K214=0, "-", IF(Q214&gt;0, Q214+K214, "-")), "-")</f>
        <v>-</v>
      </c>
    </row>
    <row r="215" spans="1:19" x14ac:dyDescent="0.3">
      <c r="A215" s="48">
        <v>1671</v>
      </c>
      <c r="B215" s="23">
        <v>68958016719</v>
      </c>
      <c r="C215" s="11" t="s">
        <v>208</v>
      </c>
      <c r="D215" s="17">
        <v>90</v>
      </c>
      <c r="E215" s="17" t="s">
        <v>32</v>
      </c>
      <c r="F215" s="37">
        <v>6.583E-2</v>
      </c>
      <c r="G215" s="17">
        <v>24</v>
      </c>
      <c r="H215" s="43" t="s">
        <v>636</v>
      </c>
      <c r="I215" s="18">
        <v>5.0790416326530625</v>
      </c>
      <c r="J215" s="16"/>
      <c r="K215" s="49">
        <f>I215*J215</f>
        <v>0</v>
      </c>
      <c r="L215" s="36"/>
      <c r="N215" s="33" t="str">
        <f>IFERROR(IF($N$2*F215=0, "-", $N$2*F215), "-")</f>
        <v>-</v>
      </c>
      <c r="O215" s="33" t="str">
        <f>IF(J215&gt;0,I215+N215,"-")</f>
        <v>-</v>
      </c>
      <c r="P215" s="34" t="str">
        <f>IF(J215&gt;0,J215*F215, "-")</f>
        <v>-</v>
      </c>
      <c r="Q215" s="35" t="str">
        <f>IFERROR(IF($N$2&gt;0, $N$2*P215, "-"), "-")</f>
        <v>-</v>
      </c>
      <c r="S215" s="35" t="str">
        <f>IFERROR(IF(Q215+K215=0, "-", IF(Q215&gt;0, Q215+K215, "-")), "-")</f>
        <v>-</v>
      </c>
    </row>
    <row r="216" spans="1:19" x14ac:dyDescent="0.3">
      <c r="A216" s="48">
        <v>1672</v>
      </c>
      <c r="B216" s="23">
        <v>68958016726</v>
      </c>
      <c r="C216" s="11" t="s">
        <v>209</v>
      </c>
      <c r="D216" s="17">
        <v>180</v>
      </c>
      <c r="E216" s="17" t="s">
        <v>32</v>
      </c>
      <c r="F216" s="37">
        <v>0.105555</v>
      </c>
      <c r="G216" s="17">
        <v>24</v>
      </c>
      <c r="H216" s="43" t="s">
        <v>636</v>
      </c>
      <c r="I216" s="18">
        <v>7.219888163265308</v>
      </c>
      <c r="J216" s="16"/>
      <c r="K216" s="49">
        <f>I216*J216</f>
        <v>0</v>
      </c>
      <c r="L216" s="36"/>
      <c r="N216" s="33" t="str">
        <f>IFERROR(IF($N$2*F216=0, "-", $N$2*F216), "-")</f>
        <v>-</v>
      </c>
      <c r="O216" s="33" t="str">
        <f>IF(J216&gt;0,I216+N216,"-")</f>
        <v>-</v>
      </c>
      <c r="P216" s="34" t="str">
        <f>IF(J216&gt;0,J216*F216, "-")</f>
        <v>-</v>
      </c>
      <c r="Q216" s="35" t="str">
        <f>IFERROR(IF($N$2&gt;0, $N$2*P216, "-"), "-")</f>
        <v>-</v>
      </c>
      <c r="S216" s="35" t="str">
        <f>IFERROR(IF(Q216+K216=0, "-", IF(Q216&gt;0, Q216+K216, "-")), "-")</f>
        <v>-</v>
      </c>
    </row>
    <row r="217" spans="1:19" x14ac:dyDescent="0.3">
      <c r="A217" s="48">
        <v>1673</v>
      </c>
      <c r="B217" s="22">
        <v>68958016733</v>
      </c>
      <c r="C217" s="11" t="s">
        <v>210</v>
      </c>
      <c r="D217" s="17">
        <v>90</v>
      </c>
      <c r="E217" s="17" t="s">
        <v>32</v>
      </c>
      <c r="F217" s="37">
        <v>6.4695000000000003E-2</v>
      </c>
      <c r="G217" s="17">
        <v>24</v>
      </c>
      <c r="H217" s="43" t="s">
        <v>636</v>
      </c>
      <c r="I217" s="18">
        <v>4.3612824489795932</v>
      </c>
      <c r="J217" s="16"/>
      <c r="K217" s="49">
        <f>I217*J217</f>
        <v>0</v>
      </c>
      <c r="L217" s="36"/>
      <c r="N217" s="33" t="str">
        <f>IFERROR(IF($N$2*F217=0, "-", $N$2*F217), "-")</f>
        <v>-</v>
      </c>
      <c r="O217" s="33" t="str">
        <f>IF(J217&gt;0,I217+N217,"-")</f>
        <v>-</v>
      </c>
      <c r="P217" s="34" t="str">
        <f>IF(J217&gt;0,J217*F217, "-")</f>
        <v>-</v>
      </c>
      <c r="Q217" s="35" t="str">
        <f>IFERROR(IF($N$2&gt;0, $N$2*P217, "-"), "-")</f>
        <v>-</v>
      </c>
      <c r="S217" s="35" t="str">
        <f>IFERROR(IF(Q217+K217=0, "-", IF(Q217&gt;0, Q217+K217, "-")), "-")</f>
        <v>-</v>
      </c>
    </row>
    <row r="218" spans="1:19" x14ac:dyDescent="0.3">
      <c r="A218" s="48">
        <v>1680</v>
      </c>
      <c r="B218" s="22">
        <v>68958016801</v>
      </c>
      <c r="C218" s="11" t="s">
        <v>213</v>
      </c>
      <c r="D218" s="17">
        <v>90</v>
      </c>
      <c r="E218" s="17" t="s">
        <v>32</v>
      </c>
      <c r="F218" s="37">
        <v>6.8099999999999994E-2</v>
      </c>
      <c r="G218" s="17">
        <v>24</v>
      </c>
      <c r="H218" s="43" t="s">
        <v>636</v>
      </c>
      <c r="I218" s="18">
        <v>3.5505</v>
      </c>
      <c r="J218" s="16"/>
      <c r="K218" s="49">
        <f>I218*J218</f>
        <v>0</v>
      </c>
      <c r="L218" s="36"/>
      <c r="N218" s="33" t="str">
        <f>IFERROR(IF($N$2*F218=0, "-", $N$2*F218), "-")</f>
        <v>-</v>
      </c>
      <c r="O218" s="33" t="str">
        <f>IF(J218&gt;0,I218+N218,"-")</f>
        <v>-</v>
      </c>
      <c r="P218" s="34" t="str">
        <f>IF(J218&gt;0,J218*F218, "-")</f>
        <v>-</v>
      </c>
      <c r="Q218" s="35" t="str">
        <f>IFERROR(IF($N$2&gt;0, $N$2*P218, "-"), "-")</f>
        <v>-</v>
      </c>
      <c r="S218" s="35" t="str">
        <f>IFERROR(IF(Q218+K218=0, "-", IF(Q218&gt;0, Q218+K218, "-")), "-")</f>
        <v>-</v>
      </c>
    </row>
    <row r="219" spans="1:19" x14ac:dyDescent="0.3">
      <c r="A219" s="48">
        <v>1681</v>
      </c>
      <c r="B219" s="23">
        <v>68958016818</v>
      </c>
      <c r="C219" s="11" t="s">
        <v>214</v>
      </c>
      <c r="D219" s="17">
        <v>180</v>
      </c>
      <c r="E219" s="17" t="s">
        <v>32</v>
      </c>
      <c r="F219" s="37">
        <v>0.10669000000000001</v>
      </c>
      <c r="G219" s="17">
        <v>24</v>
      </c>
      <c r="H219" s="43" t="s">
        <v>636</v>
      </c>
      <c r="I219" s="18">
        <v>4.6836225000000011</v>
      </c>
      <c r="J219" s="16"/>
      <c r="K219" s="49">
        <f>I219*J219</f>
        <v>0</v>
      </c>
      <c r="L219" s="36"/>
      <c r="N219" s="33" t="str">
        <f>IFERROR(IF($N$2*F219=0, "-", $N$2*F219), "-")</f>
        <v>-</v>
      </c>
      <c r="O219" s="33" t="str">
        <f>IF(J219&gt;0,I219+N219,"-")</f>
        <v>-</v>
      </c>
      <c r="P219" s="34" t="str">
        <f>IF(J219&gt;0,J219*F219, "-")</f>
        <v>-</v>
      </c>
      <c r="Q219" s="35" t="str">
        <f>IFERROR(IF($N$2&gt;0, $N$2*P219, "-"), "-")</f>
        <v>-</v>
      </c>
      <c r="S219" s="35" t="str">
        <f>IFERROR(IF(Q219+K219=0, "-", IF(Q219&gt;0, Q219+K219, "-")), "-")</f>
        <v>-</v>
      </c>
    </row>
    <row r="220" spans="1:19" x14ac:dyDescent="0.3">
      <c r="A220" s="48">
        <v>1688</v>
      </c>
      <c r="B220" s="22">
        <v>68958016887</v>
      </c>
      <c r="C220" s="11" t="s">
        <v>216</v>
      </c>
      <c r="D220" s="17">
        <v>60</v>
      </c>
      <c r="E220" s="17" t="s">
        <v>107</v>
      </c>
      <c r="F220" s="37">
        <v>0.1135</v>
      </c>
      <c r="G220" s="17">
        <v>24</v>
      </c>
      <c r="H220" s="43" t="s">
        <v>636</v>
      </c>
      <c r="I220" s="18">
        <v>8.8250123076923099</v>
      </c>
      <c r="J220" s="16"/>
      <c r="K220" s="49">
        <f>I220*J220</f>
        <v>0</v>
      </c>
      <c r="L220" s="36"/>
      <c r="N220" s="33" t="str">
        <f>IFERROR(IF($N$2*F220=0, "-", $N$2*F220), "-")</f>
        <v>-</v>
      </c>
      <c r="O220" s="33" t="str">
        <f>IF(J220&gt;0,I220+N220,"-")</f>
        <v>-</v>
      </c>
      <c r="P220" s="34" t="str">
        <f>IF(J220&gt;0,J220*F220, "-")</f>
        <v>-</v>
      </c>
      <c r="Q220" s="35" t="str">
        <f>IFERROR(IF($N$2&gt;0, $N$2*P220, "-"), "-")</f>
        <v>-</v>
      </c>
      <c r="S220" s="35" t="str">
        <f>IFERROR(IF(Q220+K220=0, "-", IF(Q220&gt;0, Q220+K220, "-")), "-")</f>
        <v>-</v>
      </c>
    </row>
    <row r="221" spans="1:19" x14ac:dyDescent="0.3">
      <c r="A221" s="48">
        <v>1689</v>
      </c>
      <c r="B221" s="23">
        <v>68958016894</v>
      </c>
      <c r="C221" s="11" t="s">
        <v>217</v>
      </c>
      <c r="D221" s="17">
        <v>60</v>
      </c>
      <c r="E221" s="17" t="s">
        <v>107</v>
      </c>
      <c r="F221" s="37">
        <v>0.1135</v>
      </c>
      <c r="G221" s="17">
        <v>24</v>
      </c>
      <c r="H221" s="43" t="s">
        <v>636</v>
      </c>
      <c r="I221" s="18">
        <v>7.2242653846153848</v>
      </c>
      <c r="J221" s="16"/>
      <c r="K221" s="49">
        <f>I221*J221</f>
        <v>0</v>
      </c>
      <c r="L221" s="36"/>
      <c r="N221" s="33" t="str">
        <f>IFERROR(IF($N$2*F221=0, "-", $N$2*F221), "-")</f>
        <v>-</v>
      </c>
      <c r="O221" s="33" t="str">
        <f>IF(J221&gt;0,I221+N221,"-")</f>
        <v>-</v>
      </c>
      <c r="P221" s="34" t="str">
        <f>IF(J221&gt;0,J221*F221, "-")</f>
        <v>-</v>
      </c>
      <c r="Q221" s="35" t="str">
        <f>IFERROR(IF($N$2&gt;0, $N$2*P221, "-"), "-")</f>
        <v>-</v>
      </c>
      <c r="S221" s="35" t="str">
        <f>IFERROR(IF(Q221+K221=0, "-", IF(Q221&gt;0, Q221+K221, "-")), "-")</f>
        <v>-</v>
      </c>
    </row>
    <row r="222" spans="1:19" x14ac:dyDescent="0.3">
      <c r="A222" s="48">
        <v>1692</v>
      </c>
      <c r="B222" s="23">
        <v>68958016924</v>
      </c>
      <c r="C222" s="11" t="s">
        <v>218</v>
      </c>
      <c r="D222" s="17">
        <v>120</v>
      </c>
      <c r="E222" s="17" t="s">
        <v>45</v>
      </c>
      <c r="F222" s="37">
        <v>0.10214999999999999</v>
      </c>
      <c r="G222" s="17">
        <v>24</v>
      </c>
      <c r="H222" s="43" t="s">
        <v>636</v>
      </c>
      <c r="I222" s="18">
        <v>7.4525717647058833</v>
      </c>
      <c r="J222" s="16"/>
      <c r="K222" s="49">
        <f>I222*J222</f>
        <v>0</v>
      </c>
      <c r="L222" s="36"/>
      <c r="N222" s="33" t="str">
        <f>IFERROR(IF($N$2*F222=0, "-", $N$2*F222), "-")</f>
        <v>-</v>
      </c>
      <c r="O222" s="33" t="str">
        <f>IF(J222&gt;0,I222+N222,"-")</f>
        <v>-</v>
      </c>
      <c r="P222" s="34" t="str">
        <f>IF(J222&gt;0,J222*F222, "-")</f>
        <v>-</v>
      </c>
      <c r="Q222" s="35" t="str">
        <f>IFERROR(IF($N$2&gt;0, $N$2*P222, "-"), "-")</f>
        <v>-</v>
      </c>
      <c r="S222" s="35" t="str">
        <f>IFERROR(IF(Q222+K222=0, "-", IF(Q222&gt;0, Q222+K222, "-")), "-")</f>
        <v>-</v>
      </c>
    </row>
    <row r="223" spans="1:19" x14ac:dyDescent="0.3">
      <c r="A223" s="48">
        <v>1693</v>
      </c>
      <c r="B223" s="22">
        <v>68958016931</v>
      </c>
      <c r="C223" s="11" t="s">
        <v>219</v>
      </c>
      <c r="D223" s="17">
        <v>120</v>
      </c>
      <c r="E223" s="17" t="s">
        <v>45</v>
      </c>
      <c r="F223" s="37">
        <v>0.10669000000000001</v>
      </c>
      <c r="G223" s="17">
        <v>24</v>
      </c>
      <c r="H223" s="43" t="s">
        <v>636</v>
      </c>
      <c r="I223" s="18">
        <v>8.2505858823529419</v>
      </c>
      <c r="J223" s="16"/>
      <c r="K223" s="49">
        <f>I223*J223</f>
        <v>0</v>
      </c>
      <c r="L223" s="36"/>
      <c r="N223" s="33" t="str">
        <f>IFERROR(IF($N$2*F223=0, "-", $N$2*F223), "-")</f>
        <v>-</v>
      </c>
      <c r="O223" s="33" t="str">
        <f>IF(J223&gt;0,I223+N223,"-")</f>
        <v>-</v>
      </c>
      <c r="P223" s="34" t="str">
        <f>IF(J223&gt;0,J223*F223, "-")</f>
        <v>-</v>
      </c>
      <c r="Q223" s="35" t="str">
        <f>IFERROR(IF($N$2&gt;0, $N$2*P223, "-"), "-")</f>
        <v>-</v>
      </c>
      <c r="S223" s="35" t="str">
        <f>IFERROR(IF(Q223+K223=0, "-", IF(Q223&gt;0, Q223+K223, "-")), "-")</f>
        <v>-</v>
      </c>
    </row>
    <row r="224" spans="1:19" x14ac:dyDescent="0.3">
      <c r="A224" s="48">
        <v>1700</v>
      </c>
      <c r="B224" s="23">
        <v>68958017006</v>
      </c>
      <c r="C224" s="11" t="s">
        <v>220</v>
      </c>
      <c r="D224" s="17">
        <v>90</v>
      </c>
      <c r="E224" s="17" t="s">
        <v>32</v>
      </c>
      <c r="F224" s="37">
        <v>8.058499999999999E-2</v>
      </c>
      <c r="G224" s="17">
        <v>24</v>
      </c>
      <c r="H224" s="43" t="s">
        <v>636</v>
      </c>
      <c r="I224" s="18">
        <v>10.742095384615384</v>
      </c>
      <c r="J224" s="16"/>
      <c r="K224" s="49">
        <f>I224*J224</f>
        <v>0</v>
      </c>
      <c r="L224" s="36"/>
      <c r="N224" s="33" t="str">
        <f>IFERROR(IF($N$2*F224=0, "-", $N$2*F224), "-")</f>
        <v>-</v>
      </c>
      <c r="O224" s="33" t="str">
        <f>IF(J224&gt;0,I224+N224,"-")</f>
        <v>-</v>
      </c>
      <c r="P224" s="34" t="str">
        <f>IF(J224&gt;0,J224*F224, "-")</f>
        <v>-</v>
      </c>
      <c r="Q224" s="35" t="str">
        <f>IFERROR(IF($N$2&gt;0, $N$2*P224, "-"), "-")</f>
        <v>-</v>
      </c>
      <c r="S224" s="35" t="str">
        <f>IFERROR(IF(Q224+K224=0, "-", IF(Q224&gt;0, Q224+K224, "-")), "-")</f>
        <v>-</v>
      </c>
    </row>
    <row r="225" spans="1:19" x14ac:dyDescent="0.3">
      <c r="A225" s="48">
        <v>1701</v>
      </c>
      <c r="B225" s="23">
        <v>68958017013</v>
      </c>
      <c r="C225" s="11" t="s">
        <v>221</v>
      </c>
      <c r="D225" s="17">
        <v>180</v>
      </c>
      <c r="E225" s="17" t="s">
        <v>32</v>
      </c>
      <c r="F225" s="37">
        <v>0.132795</v>
      </c>
      <c r="G225" s="17">
        <v>24</v>
      </c>
      <c r="H225" s="43" t="s">
        <v>636</v>
      </c>
      <c r="I225" s="18">
        <v>18.213493846153849</v>
      </c>
      <c r="J225" s="16"/>
      <c r="K225" s="49">
        <f>I225*J225</f>
        <v>0</v>
      </c>
      <c r="L225" s="36"/>
      <c r="N225" s="33" t="str">
        <f>IFERROR(IF($N$2*F225=0, "-", $N$2*F225), "-")</f>
        <v>-</v>
      </c>
      <c r="O225" s="33" t="str">
        <f>IF(J225&gt;0,I225+N225,"-")</f>
        <v>-</v>
      </c>
      <c r="P225" s="34" t="str">
        <f>IF(J225&gt;0,J225*F225, "-")</f>
        <v>-</v>
      </c>
      <c r="Q225" s="35" t="str">
        <f>IFERROR(IF($N$2&gt;0, $N$2*P225, "-"), "-")</f>
        <v>-</v>
      </c>
      <c r="S225" s="35" t="str">
        <f>IFERROR(IF(Q225+K225=0, "-", IF(Q225&gt;0, Q225+K225, "-")), "-")</f>
        <v>-</v>
      </c>
    </row>
    <row r="226" spans="1:19" x14ac:dyDescent="0.3">
      <c r="A226" s="48">
        <v>1702</v>
      </c>
      <c r="B226" s="23">
        <v>68958017020</v>
      </c>
      <c r="C226" s="11" t="s">
        <v>222</v>
      </c>
      <c r="D226" s="17">
        <v>90</v>
      </c>
      <c r="E226" s="17" t="s">
        <v>14</v>
      </c>
      <c r="F226" s="37">
        <v>0.144145</v>
      </c>
      <c r="G226" s="17">
        <v>24</v>
      </c>
      <c r="H226" s="43" t="s">
        <v>636</v>
      </c>
      <c r="I226" s="18">
        <v>11.292895384615385</v>
      </c>
      <c r="J226" s="16"/>
      <c r="K226" s="49">
        <f>I226*J226</f>
        <v>0</v>
      </c>
      <c r="L226" s="36"/>
      <c r="N226" s="33" t="str">
        <f>IFERROR(IF($N$2*F226=0, "-", $N$2*F226), "-")</f>
        <v>-</v>
      </c>
      <c r="O226" s="33" t="str">
        <f>IF(J226&gt;0,I226+N226,"-")</f>
        <v>-</v>
      </c>
      <c r="P226" s="34" t="str">
        <f>IF(J226&gt;0,J226*F226, "-")</f>
        <v>-</v>
      </c>
      <c r="Q226" s="35" t="str">
        <f>IFERROR(IF($N$2&gt;0, $N$2*P226, "-"), "-")</f>
        <v>-</v>
      </c>
      <c r="S226" s="35" t="str">
        <f>IFERROR(IF(Q226+K226=0, "-", IF(Q226&gt;0, Q226+K226, "-")), "-")</f>
        <v>-</v>
      </c>
    </row>
    <row r="227" spans="1:19" x14ac:dyDescent="0.3">
      <c r="A227" s="48">
        <v>1720</v>
      </c>
      <c r="B227" s="22">
        <v>68958017204</v>
      </c>
      <c r="C227" s="11" t="s">
        <v>223</v>
      </c>
      <c r="D227" s="17">
        <v>90</v>
      </c>
      <c r="E227" s="17" t="s">
        <v>54</v>
      </c>
      <c r="F227" s="37">
        <v>0.1135</v>
      </c>
      <c r="G227" s="17">
        <v>24</v>
      </c>
      <c r="H227" s="43" t="s">
        <v>636</v>
      </c>
      <c r="I227" s="18">
        <v>8.7562038461538485</v>
      </c>
      <c r="J227" s="16"/>
      <c r="K227" s="49">
        <f>I227*J227</f>
        <v>0</v>
      </c>
      <c r="L227" s="36"/>
      <c r="N227" s="33" t="str">
        <f>IFERROR(IF($N$2*F227=0, "-", $N$2*F227), "-")</f>
        <v>-</v>
      </c>
      <c r="O227" s="33" t="str">
        <f>IF(J227&gt;0,I227+N227,"-")</f>
        <v>-</v>
      </c>
      <c r="P227" s="34" t="str">
        <f>IF(J227&gt;0,J227*F227, "-")</f>
        <v>-</v>
      </c>
      <c r="Q227" s="35" t="str">
        <f>IFERROR(IF($N$2&gt;0, $N$2*P227, "-"), "-")</f>
        <v>-</v>
      </c>
      <c r="S227" s="35" t="str">
        <f>IFERROR(IF(Q227+K227=0, "-", IF(Q227&gt;0, Q227+K227, "-")), "-")</f>
        <v>-</v>
      </c>
    </row>
    <row r="228" spans="1:19" x14ac:dyDescent="0.3">
      <c r="A228" s="48">
        <v>1721</v>
      </c>
      <c r="B228" s="23">
        <v>68958017211</v>
      </c>
      <c r="C228" s="11" t="s">
        <v>224</v>
      </c>
      <c r="D228" s="17">
        <v>180</v>
      </c>
      <c r="E228" s="17" t="s">
        <v>54</v>
      </c>
      <c r="F228" s="37">
        <v>0.18160000000000001</v>
      </c>
      <c r="G228" s="17">
        <v>24</v>
      </c>
      <c r="H228" s="43" t="s">
        <v>636</v>
      </c>
      <c r="I228" s="18">
        <v>14.738967692307694</v>
      </c>
      <c r="J228" s="16"/>
      <c r="K228" s="49">
        <f>I228*J228</f>
        <v>0</v>
      </c>
      <c r="L228" s="36"/>
      <c r="N228" s="33" t="str">
        <f>IFERROR(IF($N$2*F228=0, "-", $N$2*F228), "-")</f>
        <v>-</v>
      </c>
      <c r="O228" s="33" t="str">
        <f>IF(J228&gt;0,I228+N228,"-")</f>
        <v>-</v>
      </c>
      <c r="P228" s="34" t="str">
        <f>IF(J228&gt;0,J228*F228, "-")</f>
        <v>-</v>
      </c>
      <c r="Q228" s="35" t="str">
        <f>IFERROR(IF($N$2&gt;0, $N$2*P228, "-"), "-")</f>
        <v>-</v>
      </c>
      <c r="S228" s="35" t="str">
        <f>IFERROR(IF(Q228+K228=0, "-", IF(Q228&gt;0, Q228+K228, "-")), "-")</f>
        <v>-</v>
      </c>
    </row>
    <row r="229" spans="1:19" x14ac:dyDescent="0.3">
      <c r="A229" s="48">
        <v>1722</v>
      </c>
      <c r="B229" s="22">
        <v>68958017228</v>
      </c>
      <c r="C229" s="11" t="s">
        <v>225</v>
      </c>
      <c r="D229" s="17">
        <v>90</v>
      </c>
      <c r="E229" s="17" t="s">
        <v>54</v>
      </c>
      <c r="F229" s="37">
        <v>9.307E-2</v>
      </c>
      <c r="G229" s="17">
        <v>24</v>
      </c>
      <c r="H229" s="43" t="s">
        <v>636</v>
      </c>
      <c r="I229" s="18">
        <v>15.095305384615386</v>
      </c>
      <c r="J229" s="16"/>
      <c r="K229" s="49">
        <f>I229*J229</f>
        <v>0</v>
      </c>
      <c r="L229" s="36"/>
      <c r="N229" s="33" t="str">
        <f>IFERROR(IF($N$2*F229=0, "-", $N$2*F229), "-")</f>
        <v>-</v>
      </c>
      <c r="O229" s="33" t="str">
        <f>IF(J229&gt;0,I229+N229,"-")</f>
        <v>-</v>
      </c>
      <c r="P229" s="34" t="str">
        <f>IF(J229&gt;0,J229*F229, "-")</f>
        <v>-</v>
      </c>
      <c r="Q229" s="35" t="str">
        <f>IFERROR(IF($N$2&gt;0, $N$2*P229, "-"), "-")</f>
        <v>-</v>
      </c>
      <c r="S229" s="35" t="str">
        <f>IFERROR(IF(Q229+K229=0, "-", IF(Q229&gt;0, Q229+K229, "-")), "-")</f>
        <v>-</v>
      </c>
    </row>
    <row r="230" spans="1:19" x14ac:dyDescent="0.3">
      <c r="A230" s="48">
        <v>1725</v>
      </c>
      <c r="B230" s="22">
        <v>68958017259</v>
      </c>
      <c r="C230" s="11" t="s">
        <v>226</v>
      </c>
      <c r="D230" s="17">
        <v>60</v>
      </c>
      <c r="E230" s="17" t="s">
        <v>45</v>
      </c>
      <c r="F230" s="37">
        <v>4.5400000000000003E-2</v>
      </c>
      <c r="G230" s="17">
        <v>24</v>
      </c>
      <c r="H230" s="43" t="s">
        <v>636</v>
      </c>
      <c r="I230" s="18">
        <v>21.617010000000001</v>
      </c>
      <c r="J230" s="16"/>
      <c r="K230" s="49">
        <f>I230*J230</f>
        <v>0</v>
      </c>
      <c r="L230" s="36"/>
      <c r="N230" s="33" t="str">
        <f>IFERROR(IF($N$2*F230=0, "-", $N$2*F230), "-")</f>
        <v>-</v>
      </c>
      <c r="O230" s="33" t="str">
        <f>IF(J230&gt;0,I230+N230,"-")</f>
        <v>-</v>
      </c>
      <c r="P230" s="34" t="str">
        <f>IF(J230&gt;0,J230*F230, "-")</f>
        <v>-</v>
      </c>
      <c r="Q230" s="35" t="str">
        <f>IFERROR(IF($N$2&gt;0, $N$2*P230, "-"), "-")</f>
        <v>-</v>
      </c>
      <c r="S230" s="35" t="str">
        <f>IFERROR(IF(Q230+K230=0, "-", IF(Q230&gt;0, Q230+K230, "-")), "-")</f>
        <v>-</v>
      </c>
    </row>
    <row r="231" spans="1:19" x14ac:dyDescent="0.3">
      <c r="A231" s="48">
        <v>1726</v>
      </c>
      <c r="B231" s="23">
        <v>68958017266</v>
      </c>
      <c r="C231" s="11" t="s">
        <v>227</v>
      </c>
      <c r="D231" s="17">
        <v>90</v>
      </c>
      <c r="E231" s="17" t="s">
        <v>45</v>
      </c>
      <c r="F231" s="37">
        <v>9.0800000000000006E-2</v>
      </c>
      <c r="G231" s="17">
        <v>24</v>
      </c>
      <c r="H231" s="43" t="s">
        <v>636</v>
      </c>
      <c r="I231" s="18">
        <v>20.480559230769234</v>
      </c>
      <c r="J231" s="16"/>
      <c r="K231" s="49">
        <f>I231*J231</f>
        <v>0</v>
      </c>
      <c r="L231" s="36"/>
      <c r="N231" s="33" t="str">
        <f>IFERROR(IF($N$2*F231=0, "-", $N$2*F231), "-")</f>
        <v>-</v>
      </c>
      <c r="O231" s="33" t="str">
        <f>IF(J231&gt;0,I231+N231,"-")</f>
        <v>-</v>
      </c>
      <c r="P231" s="34" t="str">
        <f>IF(J231&gt;0,J231*F231, "-")</f>
        <v>-</v>
      </c>
      <c r="Q231" s="35" t="str">
        <f>IFERROR(IF($N$2&gt;0, $N$2*P231, "-"), "-")</f>
        <v>-</v>
      </c>
      <c r="S231" s="35" t="str">
        <f>IFERROR(IF(Q231+K231=0, "-", IF(Q231&gt;0, Q231+K231, "-")), "-")</f>
        <v>-</v>
      </c>
    </row>
    <row r="232" spans="1:19" x14ac:dyDescent="0.3">
      <c r="A232" s="48">
        <v>1735</v>
      </c>
      <c r="B232" s="23">
        <v>68958017358</v>
      </c>
      <c r="C232" s="11" t="s">
        <v>228</v>
      </c>
      <c r="D232" s="17">
        <v>90</v>
      </c>
      <c r="E232" s="17" t="s">
        <v>54</v>
      </c>
      <c r="F232" s="37">
        <v>9.0800000000000006E-2</v>
      </c>
      <c r="G232" s="17">
        <v>24</v>
      </c>
      <c r="H232" s="43" t="s">
        <v>636</v>
      </c>
      <c r="I232" s="18">
        <v>13.057594615384618</v>
      </c>
      <c r="J232" s="16"/>
      <c r="K232" s="49">
        <f>I232*J232</f>
        <v>0</v>
      </c>
      <c r="L232" s="36"/>
      <c r="N232" s="33" t="str">
        <f>IFERROR(IF($N$2*F232=0, "-", $N$2*F232), "-")</f>
        <v>-</v>
      </c>
      <c r="O232" s="33" t="str">
        <f>IF(J232&gt;0,I232+N232,"-")</f>
        <v>-</v>
      </c>
      <c r="P232" s="34" t="str">
        <f>IF(J232&gt;0,J232*F232, "-")</f>
        <v>-</v>
      </c>
      <c r="Q232" s="35" t="str">
        <f>IFERROR(IF($N$2&gt;0, $N$2*P232, "-"), "-")</f>
        <v>-</v>
      </c>
      <c r="S232" s="35" t="str">
        <f>IFERROR(IF(Q232+K232=0, "-", IF(Q232&gt;0, Q232+K232, "-")), "-")</f>
        <v>-</v>
      </c>
    </row>
    <row r="233" spans="1:19" x14ac:dyDescent="0.3">
      <c r="A233" s="48">
        <v>1736</v>
      </c>
      <c r="B233" s="23">
        <v>68958017365</v>
      </c>
      <c r="C233" s="11" t="s">
        <v>229</v>
      </c>
      <c r="D233" s="17">
        <v>180</v>
      </c>
      <c r="E233" s="17" t="s">
        <v>54</v>
      </c>
      <c r="F233" s="37">
        <v>0.15890000000000001</v>
      </c>
      <c r="G233" s="17">
        <v>24</v>
      </c>
      <c r="H233" s="43" t="s">
        <v>636</v>
      </c>
      <c r="I233" s="18">
        <v>24.117023076923076</v>
      </c>
      <c r="J233" s="16"/>
      <c r="K233" s="49">
        <f>I233*J233</f>
        <v>0</v>
      </c>
      <c r="L233" s="36"/>
      <c r="N233" s="33" t="str">
        <f>IFERROR(IF($N$2*F233=0, "-", $N$2*F233), "-")</f>
        <v>-</v>
      </c>
      <c r="O233" s="33" t="str">
        <f>IF(J233&gt;0,I233+N233,"-")</f>
        <v>-</v>
      </c>
      <c r="P233" s="34" t="str">
        <f>IF(J233&gt;0,J233*F233, "-")</f>
        <v>-</v>
      </c>
      <c r="Q233" s="35" t="str">
        <f>IFERROR(IF($N$2&gt;0, $N$2*P233, "-"), "-")</f>
        <v>-</v>
      </c>
      <c r="S233" s="35" t="str">
        <f>IFERROR(IF(Q233+K233=0, "-", IF(Q233&gt;0, Q233+K233, "-")), "-")</f>
        <v>-</v>
      </c>
    </row>
    <row r="234" spans="1:19" x14ac:dyDescent="0.3">
      <c r="A234" s="48">
        <v>1738</v>
      </c>
      <c r="B234" s="22">
        <v>68958017389</v>
      </c>
      <c r="C234" s="11" t="s">
        <v>230</v>
      </c>
      <c r="D234" s="17">
        <v>90</v>
      </c>
      <c r="E234" s="17" t="s">
        <v>54</v>
      </c>
      <c r="F234" s="37">
        <v>9.307E-2</v>
      </c>
      <c r="G234" s="17">
        <v>24</v>
      </c>
      <c r="H234" s="43" t="s">
        <v>636</v>
      </c>
      <c r="I234" s="18">
        <v>15.499682307692309</v>
      </c>
      <c r="J234" s="16"/>
      <c r="K234" s="49">
        <f>I234*J234</f>
        <v>0</v>
      </c>
      <c r="L234" s="36"/>
      <c r="N234" s="33" t="str">
        <f>IFERROR(IF($N$2*F234=0, "-", $N$2*F234), "-")</f>
        <v>-</v>
      </c>
      <c r="O234" s="33" t="str">
        <f>IF(J234&gt;0,I234+N234,"-")</f>
        <v>-</v>
      </c>
      <c r="P234" s="34" t="str">
        <f>IF(J234&gt;0,J234*F234, "-")</f>
        <v>-</v>
      </c>
      <c r="Q234" s="35" t="str">
        <f>IFERROR(IF($N$2&gt;0, $N$2*P234, "-"), "-")</f>
        <v>-</v>
      </c>
      <c r="S234" s="35" t="str">
        <f>IFERROR(IF(Q234+K234=0, "-", IF(Q234&gt;0, Q234+K234, "-")), "-")</f>
        <v>-</v>
      </c>
    </row>
    <row r="235" spans="1:19" x14ac:dyDescent="0.3">
      <c r="A235" s="48">
        <v>1745</v>
      </c>
      <c r="B235" s="23">
        <v>68958017457</v>
      </c>
      <c r="C235" s="11" t="s">
        <v>232</v>
      </c>
      <c r="D235" s="17">
        <v>60</v>
      </c>
      <c r="E235" s="17" t="s">
        <v>54</v>
      </c>
      <c r="F235" s="37">
        <v>7.6045000000000001E-2</v>
      </c>
      <c r="G235" s="17">
        <v>24</v>
      </c>
      <c r="H235" s="43" t="s">
        <v>636</v>
      </c>
      <c r="I235" s="18">
        <v>14.290227692307694</v>
      </c>
      <c r="J235" s="16"/>
      <c r="K235" s="49">
        <f>I235*J235</f>
        <v>0</v>
      </c>
      <c r="L235" s="36"/>
      <c r="N235" s="33" t="str">
        <f>IFERROR(IF($N$2*F235=0, "-", $N$2*F235), "-")</f>
        <v>-</v>
      </c>
      <c r="O235" s="33" t="str">
        <f>IF(J235&gt;0,I235+N235,"-")</f>
        <v>-</v>
      </c>
      <c r="P235" s="34" t="str">
        <f>IF(J235&gt;0,J235*F235, "-")</f>
        <v>-</v>
      </c>
      <c r="Q235" s="35" t="str">
        <f>IFERROR(IF($N$2&gt;0, $N$2*P235, "-"), "-")</f>
        <v>-</v>
      </c>
      <c r="S235" s="35" t="str">
        <f>IFERROR(IF(Q235+K235=0, "-", IF(Q235&gt;0, Q235+K235, "-")), "-")</f>
        <v>-</v>
      </c>
    </row>
    <row r="236" spans="1:19" x14ac:dyDescent="0.3">
      <c r="A236" s="48">
        <v>1746</v>
      </c>
      <c r="B236" s="23">
        <v>68958017464</v>
      </c>
      <c r="C236" s="11" t="s">
        <v>233</v>
      </c>
      <c r="D236" s="17">
        <v>120</v>
      </c>
      <c r="E236" s="17" t="s">
        <v>54</v>
      </c>
      <c r="F236" s="37">
        <v>0.13847000000000001</v>
      </c>
      <c r="G236" s="17">
        <v>24</v>
      </c>
      <c r="H236" s="43" t="s">
        <v>636</v>
      </c>
      <c r="I236" s="18">
        <v>27.068081538461545</v>
      </c>
      <c r="J236" s="16"/>
      <c r="K236" s="49">
        <f>I236*J236</f>
        <v>0</v>
      </c>
      <c r="L236" s="36"/>
      <c r="N236" s="33" t="str">
        <f>IFERROR(IF($N$2*F236=0, "-", $N$2*F236), "-")</f>
        <v>-</v>
      </c>
      <c r="O236" s="33" t="str">
        <f>IF(J236&gt;0,I236+N236,"-")</f>
        <v>-</v>
      </c>
      <c r="P236" s="34" t="str">
        <f>IF(J236&gt;0,J236*F236, "-")</f>
        <v>-</v>
      </c>
      <c r="Q236" s="35" t="str">
        <f>IFERROR(IF($N$2&gt;0, $N$2*P236, "-"), "-")</f>
        <v>-</v>
      </c>
      <c r="S236" s="35" t="str">
        <f>IFERROR(IF(Q236+K236=0, "-", IF(Q236&gt;0, Q236+K236, "-")), "-")</f>
        <v>-</v>
      </c>
    </row>
    <row r="237" spans="1:19" x14ac:dyDescent="0.3">
      <c r="A237" s="48">
        <v>1747</v>
      </c>
      <c r="B237" s="23">
        <v>68958017471</v>
      </c>
      <c r="C237" s="11" t="s">
        <v>234</v>
      </c>
      <c r="D237" s="17">
        <v>90</v>
      </c>
      <c r="E237" s="17" t="s">
        <v>54</v>
      </c>
      <c r="F237" s="37">
        <v>9.307E-2</v>
      </c>
      <c r="G237" s="17">
        <v>24</v>
      </c>
      <c r="H237" s="43" t="s">
        <v>636</v>
      </c>
      <c r="I237" s="18">
        <v>8.9268646153846145</v>
      </c>
      <c r="J237" s="16"/>
      <c r="K237" s="49">
        <f>I237*J237</f>
        <v>0</v>
      </c>
      <c r="L237" s="36"/>
      <c r="N237" s="33" t="str">
        <f>IFERROR(IF($N$2*F237=0, "-", $N$2*F237), "-")</f>
        <v>-</v>
      </c>
      <c r="O237" s="33" t="str">
        <f>IF(J237&gt;0,I237+N237,"-")</f>
        <v>-</v>
      </c>
      <c r="P237" s="34" t="str">
        <f>IF(J237&gt;0,J237*F237, "-")</f>
        <v>-</v>
      </c>
      <c r="Q237" s="35" t="str">
        <f>IFERROR(IF($N$2&gt;0, $N$2*P237, "-"), "-")</f>
        <v>-</v>
      </c>
      <c r="S237" s="35" t="str">
        <f>IFERROR(IF(Q237+K237=0, "-", IF(Q237&gt;0, Q237+K237, "-")), "-")</f>
        <v>-</v>
      </c>
    </row>
    <row r="238" spans="1:19" x14ac:dyDescent="0.3">
      <c r="A238" s="48">
        <v>1748</v>
      </c>
      <c r="B238" s="23">
        <v>68958017488</v>
      </c>
      <c r="C238" s="11" t="s">
        <v>235</v>
      </c>
      <c r="D238" s="17">
        <v>60</v>
      </c>
      <c r="E238" s="17" t="s">
        <v>107</v>
      </c>
      <c r="F238" s="37">
        <v>5.6750000000000002E-2</v>
      </c>
      <c r="G238" s="17">
        <v>24</v>
      </c>
      <c r="H238" s="43" t="s">
        <v>636</v>
      </c>
      <c r="I238" s="18">
        <v>4.2385430769230767</v>
      </c>
      <c r="J238" s="16"/>
      <c r="K238" s="49">
        <f>I238*J238</f>
        <v>0</v>
      </c>
      <c r="L238" s="36"/>
      <c r="N238" s="33" t="str">
        <f>IFERROR(IF($N$2*F238=0, "-", $N$2*F238), "-")</f>
        <v>-</v>
      </c>
      <c r="O238" s="33" t="str">
        <f>IF(J238&gt;0,I238+N238,"-")</f>
        <v>-</v>
      </c>
      <c r="P238" s="34" t="str">
        <f>IF(J238&gt;0,J238*F238, "-")</f>
        <v>-</v>
      </c>
      <c r="Q238" s="35" t="str">
        <f>IFERROR(IF($N$2&gt;0, $N$2*P238, "-"), "-")</f>
        <v>-</v>
      </c>
      <c r="S238" s="35" t="str">
        <f>IFERROR(IF(Q238+K238=0, "-", IF(Q238&gt;0, Q238+K238, "-")), "-")</f>
        <v>-</v>
      </c>
    </row>
    <row r="239" spans="1:19" x14ac:dyDescent="0.3">
      <c r="A239" s="48">
        <v>1756</v>
      </c>
      <c r="B239" s="23">
        <v>68958017563</v>
      </c>
      <c r="C239" s="11" t="s">
        <v>237</v>
      </c>
      <c r="D239" s="17">
        <v>60</v>
      </c>
      <c r="E239" s="17" t="s">
        <v>45</v>
      </c>
      <c r="F239" s="37">
        <v>9.6475000000000005E-2</v>
      </c>
      <c r="G239" s="17">
        <v>24</v>
      </c>
      <c r="H239" s="43" t="s">
        <v>636</v>
      </c>
      <c r="I239" s="18">
        <v>35.008511538461541</v>
      </c>
      <c r="J239" s="16"/>
      <c r="K239" s="49">
        <f>I239*J239</f>
        <v>0</v>
      </c>
      <c r="L239" s="36"/>
      <c r="N239" s="33" t="str">
        <f>IFERROR(IF($N$2*F239=0, "-", $N$2*F239), "-")</f>
        <v>-</v>
      </c>
      <c r="O239" s="33" t="str">
        <f>IF(J239&gt;0,I239+N239,"-")</f>
        <v>-</v>
      </c>
      <c r="P239" s="34" t="str">
        <f>IF(J239&gt;0,J239*F239, "-")</f>
        <v>-</v>
      </c>
      <c r="Q239" s="35" t="str">
        <f>IFERROR(IF($N$2&gt;0, $N$2*P239, "-"), "-")</f>
        <v>-</v>
      </c>
      <c r="S239" s="35" t="str">
        <f>IFERROR(IF(Q239+K239=0, "-", IF(Q239&gt;0, Q239+K239, "-")), "-")</f>
        <v>-</v>
      </c>
    </row>
    <row r="240" spans="1:19" x14ac:dyDescent="0.3">
      <c r="A240" s="48">
        <v>1757</v>
      </c>
      <c r="B240" s="22">
        <v>68958017570</v>
      </c>
      <c r="C240" s="11" t="s">
        <v>238</v>
      </c>
      <c r="D240" s="17">
        <v>60</v>
      </c>
      <c r="E240" s="17" t="s">
        <v>45</v>
      </c>
      <c r="F240" s="37">
        <v>5.9019999999999996E-2</v>
      </c>
      <c r="G240" s="17">
        <v>24</v>
      </c>
      <c r="H240" s="43" t="s">
        <v>636</v>
      </c>
      <c r="I240" s="18">
        <v>13.80707307692308</v>
      </c>
      <c r="J240" s="16"/>
      <c r="K240" s="49">
        <f>I240*J240</f>
        <v>0</v>
      </c>
      <c r="L240" s="36"/>
      <c r="N240" s="33" t="str">
        <f>IFERROR(IF($N$2*F240=0, "-", $N$2*F240), "-")</f>
        <v>-</v>
      </c>
      <c r="O240" s="33" t="str">
        <f>IF(J240&gt;0,I240+N240,"-")</f>
        <v>-</v>
      </c>
      <c r="P240" s="34" t="str">
        <f>IF(J240&gt;0,J240*F240, "-")</f>
        <v>-</v>
      </c>
      <c r="Q240" s="35" t="str">
        <f>IFERROR(IF($N$2&gt;0, $N$2*P240, "-"), "-")</f>
        <v>-</v>
      </c>
      <c r="S240" s="35" t="str">
        <f>IFERROR(IF(Q240+K240=0, "-", IF(Q240&gt;0, Q240+K240, "-")), "-")</f>
        <v>-</v>
      </c>
    </row>
    <row r="241" spans="1:19" x14ac:dyDescent="0.3">
      <c r="A241" s="48">
        <v>1760</v>
      </c>
      <c r="B241" s="22">
        <v>68958017600</v>
      </c>
      <c r="C241" s="11" t="s">
        <v>239</v>
      </c>
      <c r="D241" s="17">
        <v>60</v>
      </c>
      <c r="E241" s="17" t="s">
        <v>54</v>
      </c>
      <c r="F241" s="37">
        <v>7.4910000000000004E-2</v>
      </c>
      <c r="G241" s="17">
        <v>24</v>
      </c>
      <c r="H241" s="43" t="s">
        <v>636</v>
      </c>
      <c r="I241" s="18">
        <v>17.339649230769229</v>
      </c>
      <c r="J241" s="16"/>
      <c r="K241" s="49">
        <f>I241*J241</f>
        <v>0</v>
      </c>
      <c r="L241" s="36"/>
      <c r="N241" s="33" t="str">
        <f>IFERROR(IF($N$2*F241=0, "-", $N$2*F241), "-")</f>
        <v>-</v>
      </c>
      <c r="O241" s="33" t="str">
        <f>IF(J241&gt;0,I241+N241,"-")</f>
        <v>-</v>
      </c>
      <c r="P241" s="34" t="str">
        <f>IF(J241&gt;0,J241*F241, "-")</f>
        <v>-</v>
      </c>
      <c r="Q241" s="35" t="str">
        <f>IFERROR(IF($N$2&gt;0, $N$2*P241, "-"), "-")</f>
        <v>-</v>
      </c>
      <c r="S241" s="35" t="str">
        <f>IFERROR(IF(Q241+K241=0, "-", IF(Q241&gt;0, Q241+K241, "-")), "-")</f>
        <v>-</v>
      </c>
    </row>
    <row r="242" spans="1:19" x14ac:dyDescent="0.3">
      <c r="A242" s="48">
        <v>1762</v>
      </c>
      <c r="B242" s="22">
        <v>68958017624</v>
      </c>
      <c r="C242" s="11" t="s">
        <v>240</v>
      </c>
      <c r="D242" s="17">
        <v>60</v>
      </c>
      <c r="E242" s="17" t="s">
        <v>45</v>
      </c>
      <c r="F242" s="37">
        <v>8.6260000000000003E-2</v>
      </c>
      <c r="G242" s="17">
        <v>24</v>
      </c>
      <c r="H242" s="43" t="s">
        <v>636</v>
      </c>
      <c r="I242" s="18">
        <v>20.411937692307696</v>
      </c>
      <c r="J242" s="16"/>
      <c r="K242" s="49">
        <f>I242*J242</f>
        <v>0</v>
      </c>
      <c r="L242" s="36"/>
      <c r="N242" s="33" t="str">
        <f>IFERROR(IF($N$2*F242=0, "-", $N$2*F242), "-")</f>
        <v>-</v>
      </c>
      <c r="O242" s="33" t="str">
        <f>IF(J242&gt;0,I242+N242,"-")</f>
        <v>-</v>
      </c>
      <c r="P242" s="34" t="str">
        <f>IF(J242&gt;0,J242*F242, "-")</f>
        <v>-</v>
      </c>
      <c r="Q242" s="35" t="str">
        <f>IFERROR(IF($N$2&gt;0, $N$2*P242, "-"), "-")</f>
        <v>-</v>
      </c>
      <c r="S242" s="35" t="str">
        <f>IFERROR(IF(Q242+K242=0, "-", IF(Q242&gt;0, Q242+K242, "-")), "-")</f>
        <v>-</v>
      </c>
    </row>
    <row r="243" spans="1:19" x14ac:dyDescent="0.3">
      <c r="A243" s="48">
        <v>1764</v>
      </c>
      <c r="B243" s="22">
        <v>68958017648</v>
      </c>
      <c r="C243" s="11" t="s">
        <v>241</v>
      </c>
      <c r="D243" s="17">
        <v>90</v>
      </c>
      <c r="E243" s="17" t="s">
        <v>32</v>
      </c>
      <c r="F243" s="37">
        <v>0.14755000000000001</v>
      </c>
      <c r="G243" s="17">
        <v>24</v>
      </c>
      <c r="H243" s="43" t="s">
        <v>636</v>
      </c>
      <c r="I243" s="18">
        <v>31.82523230769231</v>
      </c>
      <c r="J243" s="16"/>
      <c r="K243" s="49">
        <f>I243*J243</f>
        <v>0</v>
      </c>
      <c r="L243" s="36"/>
      <c r="N243" s="33" t="str">
        <f>IFERROR(IF($N$2*F243=0, "-", $N$2*F243), "-")</f>
        <v>-</v>
      </c>
      <c r="O243" s="33" t="str">
        <f>IF(J243&gt;0,I243+N243,"-")</f>
        <v>-</v>
      </c>
      <c r="P243" s="34" t="str">
        <f>IF(J243&gt;0,J243*F243, "-")</f>
        <v>-</v>
      </c>
      <c r="Q243" s="35" t="str">
        <f>IFERROR(IF($N$2&gt;0, $N$2*P243, "-"), "-")</f>
        <v>-</v>
      </c>
      <c r="S243" s="35" t="str">
        <f>IFERROR(IF(Q243+K243=0, "-", IF(Q243&gt;0, Q243+K243, "-")), "-")</f>
        <v>-</v>
      </c>
    </row>
    <row r="244" spans="1:19" x14ac:dyDescent="0.3">
      <c r="A244" s="48">
        <v>1800</v>
      </c>
      <c r="B244" s="22">
        <v>68958018003</v>
      </c>
      <c r="C244" s="11" t="s">
        <v>242</v>
      </c>
      <c r="D244" s="17">
        <v>90</v>
      </c>
      <c r="E244" s="17" t="s">
        <v>54</v>
      </c>
      <c r="F244" s="37">
        <v>9.0800000000000006E-2</v>
      </c>
      <c r="G244" s="17">
        <v>24</v>
      </c>
      <c r="H244" s="43" t="s">
        <v>636</v>
      </c>
      <c r="I244" s="18">
        <v>8.5745561538461548</v>
      </c>
      <c r="J244" s="16"/>
      <c r="K244" s="49">
        <f>I244*J244</f>
        <v>0</v>
      </c>
      <c r="L244" s="36"/>
      <c r="N244" s="33" t="str">
        <f>IFERROR(IF($N$2*F244=0, "-", $N$2*F244), "-")</f>
        <v>-</v>
      </c>
      <c r="O244" s="33" t="str">
        <f>IF(J244&gt;0,I244+N244,"-")</f>
        <v>-</v>
      </c>
      <c r="P244" s="34" t="str">
        <f>IF(J244&gt;0,J244*F244, "-")</f>
        <v>-</v>
      </c>
      <c r="Q244" s="35" t="str">
        <f>IFERROR(IF($N$2&gt;0, $N$2*P244, "-"), "-")</f>
        <v>-</v>
      </c>
      <c r="S244" s="35" t="str">
        <f>IFERROR(IF(Q244+K244=0, "-", IF(Q244&gt;0, Q244+K244, "-")), "-")</f>
        <v>-</v>
      </c>
    </row>
    <row r="245" spans="1:19" x14ac:dyDescent="0.3">
      <c r="A245" s="48">
        <v>1801</v>
      </c>
      <c r="B245" s="22">
        <v>68958018010</v>
      </c>
      <c r="C245" s="11" t="s">
        <v>243</v>
      </c>
      <c r="D245" s="17">
        <v>180</v>
      </c>
      <c r="E245" s="17" t="s">
        <v>54</v>
      </c>
      <c r="F245" s="37">
        <v>0.16571</v>
      </c>
      <c r="G245" s="17">
        <v>24</v>
      </c>
      <c r="H245" s="43" t="s">
        <v>636</v>
      </c>
      <c r="I245" s="18">
        <v>14.907032307692308</v>
      </c>
      <c r="J245" s="16"/>
      <c r="K245" s="49">
        <f>I245*J245</f>
        <v>0</v>
      </c>
      <c r="L245" s="36"/>
      <c r="N245" s="33" t="str">
        <f>IFERROR(IF($N$2*F245=0, "-", $N$2*F245), "-")</f>
        <v>-</v>
      </c>
      <c r="O245" s="33" t="str">
        <f>IF(J245&gt;0,I245+N245,"-")</f>
        <v>-</v>
      </c>
      <c r="P245" s="34" t="str">
        <f>IF(J245&gt;0,J245*F245, "-")</f>
        <v>-</v>
      </c>
      <c r="Q245" s="35" t="str">
        <f>IFERROR(IF($N$2&gt;0, $N$2*P245, "-"), "-")</f>
        <v>-</v>
      </c>
      <c r="S245" s="35" t="str">
        <f>IFERROR(IF(Q245+K245=0, "-", IF(Q245&gt;0, Q245+K245, "-")), "-")</f>
        <v>-</v>
      </c>
    </row>
    <row r="246" spans="1:19" x14ac:dyDescent="0.3">
      <c r="A246" s="48">
        <v>1805</v>
      </c>
      <c r="B246" s="22">
        <v>68958018058</v>
      </c>
      <c r="C246" s="11" t="s">
        <v>244</v>
      </c>
      <c r="D246" s="17">
        <v>90</v>
      </c>
      <c r="E246" s="17" t="s">
        <v>54</v>
      </c>
      <c r="F246" s="37">
        <v>8.9664999999999995E-2</v>
      </c>
      <c r="G246" s="17">
        <v>24</v>
      </c>
      <c r="H246" s="43" t="s">
        <v>636</v>
      </c>
      <c r="I246" s="18">
        <v>10.11557076923077</v>
      </c>
      <c r="J246" s="16"/>
      <c r="K246" s="49">
        <f>I246*J246</f>
        <v>0</v>
      </c>
      <c r="L246" s="36"/>
      <c r="N246" s="33" t="str">
        <f>IFERROR(IF($N$2*F246=0, "-", $N$2*F246), "-")</f>
        <v>-</v>
      </c>
      <c r="O246" s="33" t="str">
        <f>IF(J246&gt;0,I246+N246,"-")</f>
        <v>-</v>
      </c>
      <c r="P246" s="34" t="str">
        <f>IF(J246&gt;0,J246*F246, "-")</f>
        <v>-</v>
      </c>
      <c r="Q246" s="35" t="str">
        <f>IFERROR(IF($N$2&gt;0, $N$2*P246, "-"), "-")</f>
        <v>-</v>
      </c>
      <c r="S246" s="35" t="str">
        <f>IFERROR(IF(Q246+K246=0, "-", IF(Q246&gt;0, Q246+K246, "-")), "-")</f>
        <v>-</v>
      </c>
    </row>
    <row r="247" spans="1:19" x14ac:dyDescent="0.3">
      <c r="A247" s="48">
        <v>1806</v>
      </c>
      <c r="B247" s="22">
        <v>68958018065</v>
      </c>
      <c r="C247" s="11" t="s">
        <v>245</v>
      </c>
      <c r="D247" s="17">
        <v>180</v>
      </c>
      <c r="E247" s="17" t="s">
        <v>54</v>
      </c>
      <c r="F247" s="37">
        <v>0.16571</v>
      </c>
      <c r="G247" s="17">
        <v>12</v>
      </c>
      <c r="H247" s="43" t="s">
        <v>636</v>
      </c>
      <c r="I247" s="18">
        <v>17.690566153846156</v>
      </c>
      <c r="J247" s="16"/>
      <c r="K247" s="49">
        <f>I247*J247</f>
        <v>0</v>
      </c>
      <c r="L247" s="36"/>
      <c r="N247" s="33" t="str">
        <f>IFERROR(IF($N$2*F247=0, "-", $N$2*F247), "-")</f>
        <v>-</v>
      </c>
      <c r="O247" s="33" t="str">
        <f>IF(J247&gt;0,I247+N247,"-")</f>
        <v>-</v>
      </c>
      <c r="P247" s="34" t="str">
        <f>IF(J247&gt;0,J247*F247, "-")</f>
        <v>-</v>
      </c>
      <c r="Q247" s="35" t="str">
        <f>IFERROR(IF($N$2&gt;0, $N$2*P247, "-"), "-")</f>
        <v>-</v>
      </c>
      <c r="S247" s="35" t="str">
        <f>IFERROR(IF(Q247+K247=0, "-", IF(Q247&gt;0, Q247+K247, "-")), "-")</f>
        <v>-</v>
      </c>
    </row>
    <row r="248" spans="1:19" x14ac:dyDescent="0.3">
      <c r="A248" s="48">
        <v>1811</v>
      </c>
      <c r="B248" s="22">
        <v>68958018119</v>
      </c>
      <c r="C248" s="11" t="s">
        <v>246</v>
      </c>
      <c r="D248" s="17" t="s">
        <v>247</v>
      </c>
      <c r="E248" s="17" t="s">
        <v>130</v>
      </c>
      <c r="F248" s="37">
        <v>0.13847000000000001</v>
      </c>
      <c r="G248" s="17">
        <v>24</v>
      </c>
      <c r="H248" s="43" t="s">
        <v>636</v>
      </c>
      <c r="I248" s="18">
        <v>18.285646153846155</v>
      </c>
      <c r="J248" s="16"/>
      <c r="K248" s="49">
        <f>I248*J248</f>
        <v>0</v>
      </c>
      <c r="L248" s="36"/>
      <c r="N248" s="33" t="str">
        <f>IFERROR(IF($N$2*F248=0, "-", $N$2*F248), "-")</f>
        <v>-</v>
      </c>
      <c r="O248" s="33" t="str">
        <f>IF(J248&gt;0,I248+N248,"-")</f>
        <v>-</v>
      </c>
      <c r="P248" s="34" t="str">
        <f>IF(J248&gt;0,J248*F248, "-")</f>
        <v>-</v>
      </c>
      <c r="Q248" s="35" t="str">
        <f>IFERROR(IF($N$2&gt;0, $N$2*P248, "-"), "-")</f>
        <v>-</v>
      </c>
      <c r="S248" s="35" t="str">
        <f>IFERROR(IF(Q248+K248=0, "-", IF(Q248&gt;0, Q248+K248, "-")), "-")</f>
        <v>-</v>
      </c>
    </row>
    <row r="249" spans="1:19" x14ac:dyDescent="0.3">
      <c r="A249" s="48">
        <v>1812</v>
      </c>
      <c r="B249" s="22">
        <v>68958018126</v>
      </c>
      <c r="C249" s="11" t="s">
        <v>248</v>
      </c>
      <c r="D249" s="17">
        <v>60</v>
      </c>
      <c r="E249" s="17" t="s">
        <v>45</v>
      </c>
      <c r="F249" s="37">
        <v>5.7884999999999999E-2</v>
      </c>
      <c r="G249" s="17">
        <v>24</v>
      </c>
      <c r="H249" s="43" t="s">
        <v>636</v>
      </c>
      <c r="I249" s="18">
        <v>26.300970000000007</v>
      </c>
      <c r="J249" s="16"/>
      <c r="K249" s="49">
        <f>I249*J249</f>
        <v>0</v>
      </c>
      <c r="L249" s="36"/>
      <c r="N249" s="33" t="str">
        <f>IFERROR(IF($N$2*F249=0, "-", $N$2*F249), "-")</f>
        <v>-</v>
      </c>
      <c r="O249" s="33" t="str">
        <f>IF(J249&gt;0,I249+N249,"-")</f>
        <v>-</v>
      </c>
      <c r="P249" s="34" t="str">
        <f>IF(J249&gt;0,J249*F249, "-")</f>
        <v>-</v>
      </c>
      <c r="Q249" s="35" t="str">
        <f>IFERROR(IF($N$2&gt;0, $N$2*P249, "-"), "-")</f>
        <v>-</v>
      </c>
      <c r="S249" s="35" t="str">
        <f>IFERROR(IF(Q249+K249=0, "-", IF(Q249&gt;0, Q249+K249, "-")), "-")</f>
        <v>-</v>
      </c>
    </row>
    <row r="250" spans="1:19" x14ac:dyDescent="0.3">
      <c r="A250" s="48">
        <v>1814</v>
      </c>
      <c r="B250" s="22">
        <v>68958018140</v>
      </c>
      <c r="C250" s="11" t="s">
        <v>249</v>
      </c>
      <c r="D250" s="17">
        <v>30</v>
      </c>
      <c r="E250" s="17" t="s">
        <v>45</v>
      </c>
      <c r="F250" s="37">
        <v>4.7670000000000004E-2</v>
      </c>
      <c r="G250" s="17">
        <v>24</v>
      </c>
      <c r="H250" s="43" t="s">
        <v>636</v>
      </c>
      <c r="I250" s="18">
        <v>15.54990230769231</v>
      </c>
      <c r="J250" s="16"/>
      <c r="K250" s="49">
        <f>I250*J250</f>
        <v>0</v>
      </c>
      <c r="L250" s="36"/>
      <c r="N250" s="33" t="str">
        <f>IFERROR(IF($N$2*F250=0, "-", $N$2*F250), "-")</f>
        <v>-</v>
      </c>
      <c r="O250" s="33" t="str">
        <f>IF(J250&gt;0,I250+N250,"-")</f>
        <v>-</v>
      </c>
      <c r="P250" s="34" t="str">
        <f>IF(J250&gt;0,J250*F250, "-")</f>
        <v>-</v>
      </c>
      <c r="Q250" s="35" t="str">
        <f>IFERROR(IF($N$2&gt;0, $N$2*P250, "-"), "-")</f>
        <v>-</v>
      </c>
      <c r="S250" s="35" t="str">
        <f>IFERROR(IF(Q250+K250=0, "-", IF(Q250&gt;0, Q250+K250, "-")), "-")</f>
        <v>-</v>
      </c>
    </row>
    <row r="251" spans="1:19" x14ac:dyDescent="0.3">
      <c r="A251" s="48">
        <v>1817</v>
      </c>
      <c r="B251" s="22">
        <v>68958018171</v>
      </c>
      <c r="C251" s="11" t="s">
        <v>250</v>
      </c>
      <c r="D251" s="17">
        <v>30</v>
      </c>
      <c r="E251" s="17" t="s">
        <v>45</v>
      </c>
      <c r="F251" s="37">
        <v>4.7670000000000004E-2</v>
      </c>
      <c r="G251" s="17">
        <v>24</v>
      </c>
      <c r="H251" s="43" t="s">
        <v>636</v>
      </c>
      <c r="I251" s="18">
        <v>18.984696923076925</v>
      </c>
      <c r="J251" s="16"/>
      <c r="K251" s="49">
        <f>I251*J251</f>
        <v>0</v>
      </c>
      <c r="L251" s="36"/>
      <c r="N251" s="33" t="str">
        <f>IFERROR(IF($N$2*F251=0, "-", $N$2*F251), "-")</f>
        <v>-</v>
      </c>
      <c r="O251" s="33" t="str">
        <f>IF(J251&gt;0,I251+N251,"-")</f>
        <v>-</v>
      </c>
      <c r="P251" s="34" t="str">
        <f>IF(J251&gt;0,J251*F251, "-")</f>
        <v>-</v>
      </c>
      <c r="Q251" s="35" t="str">
        <f>IFERROR(IF($N$2&gt;0, $N$2*P251, "-"), "-")</f>
        <v>-</v>
      </c>
      <c r="S251" s="35" t="str">
        <f>IFERROR(IF(Q251+K251=0, "-", IF(Q251&gt;0, Q251+K251, "-")), "-")</f>
        <v>-</v>
      </c>
    </row>
    <row r="252" spans="1:19" x14ac:dyDescent="0.3">
      <c r="A252" s="48">
        <v>1818</v>
      </c>
      <c r="B252" s="22">
        <v>627765018189</v>
      </c>
      <c r="C252" s="11" t="s">
        <v>251</v>
      </c>
      <c r="D252" s="17">
        <v>80</v>
      </c>
      <c r="E252" s="17" t="s">
        <v>45</v>
      </c>
      <c r="F252" s="37">
        <v>0.10896</v>
      </c>
      <c r="G252" s="17">
        <v>24</v>
      </c>
      <c r="H252" s="43" t="s">
        <v>636</v>
      </c>
      <c r="I252" s="18">
        <v>43.570876153846164</v>
      </c>
      <c r="J252" s="16"/>
      <c r="K252" s="49">
        <f>I252*J252</f>
        <v>0</v>
      </c>
      <c r="L252" s="36"/>
      <c r="N252" s="33" t="str">
        <f>IFERROR(IF($N$2*F252=0, "-", $N$2*F252), "-")</f>
        <v>-</v>
      </c>
      <c r="O252" s="33" t="str">
        <f>IF(J252&gt;0,I252+N252,"-")</f>
        <v>-</v>
      </c>
      <c r="P252" s="34" t="str">
        <f>IF(J252&gt;0,J252*F252, "-")</f>
        <v>-</v>
      </c>
      <c r="Q252" s="35" t="str">
        <f>IFERROR(IF($N$2&gt;0, $N$2*P252, "-"), "-")</f>
        <v>-</v>
      </c>
      <c r="S252" s="35" t="str">
        <f>IFERROR(IF(Q252+K252=0, "-", IF(Q252&gt;0, Q252+K252, "-")), "-")</f>
        <v>-</v>
      </c>
    </row>
    <row r="253" spans="1:19" x14ac:dyDescent="0.3">
      <c r="A253" s="48">
        <v>1819</v>
      </c>
      <c r="B253" s="22">
        <v>68958018195</v>
      </c>
      <c r="C253" s="11" t="s">
        <v>252</v>
      </c>
      <c r="D253" s="17">
        <v>30</v>
      </c>
      <c r="E253" s="17" t="s">
        <v>45</v>
      </c>
      <c r="F253" s="37">
        <v>7.0370000000000002E-2</v>
      </c>
      <c r="G253" s="17">
        <v>24</v>
      </c>
      <c r="H253" s="43" t="s">
        <v>636</v>
      </c>
      <c r="I253" s="18">
        <v>30.088675384615389</v>
      </c>
      <c r="J253" s="16"/>
      <c r="K253" s="49">
        <f>I253*J253</f>
        <v>0</v>
      </c>
      <c r="L253" s="36"/>
      <c r="N253" s="33" t="str">
        <f>IFERROR(IF($N$2*F253=0, "-", $N$2*F253), "-")</f>
        <v>-</v>
      </c>
      <c r="O253" s="33" t="str">
        <f>IF(J253&gt;0,I253+N253,"-")</f>
        <v>-</v>
      </c>
      <c r="P253" s="34" t="str">
        <f>IF(J253&gt;0,J253*F253, "-")</f>
        <v>-</v>
      </c>
      <c r="Q253" s="35" t="str">
        <f>IFERROR(IF($N$2&gt;0, $N$2*P253, "-"), "-")</f>
        <v>-</v>
      </c>
      <c r="S253" s="35" t="str">
        <f>IFERROR(IF(Q253+K253=0, "-", IF(Q253&gt;0, Q253+K253, "-")), "-")</f>
        <v>-</v>
      </c>
    </row>
    <row r="254" spans="1:19" x14ac:dyDescent="0.3">
      <c r="A254" s="48">
        <v>1823</v>
      </c>
      <c r="B254" s="22">
        <v>627765018233</v>
      </c>
      <c r="C254" s="11" t="s">
        <v>253</v>
      </c>
      <c r="D254" s="17">
        <v>30</v>
      </c>
      <c r="E254" s="17" t="s">
        <v>45</v>
      </c>
      <c r="F254" s="37">
        <v>5.9019999999999996E-2</v>
      </c>
      <c r="G254" s="17">
        <v>24</v>
      </c>
      <c r="H254" s="43" t="s">
        <v>636</v>
      </c>
      <c r="I254" s="18">
        <v>16.98113076923077</v>
      </c>
      <c r="J254" s="16"/>
      <c r="K254" s="49">
        <f>I254*J254</f>
        <v>0</v>
      </c>
      <c r="L254" s="36"/>
      <c r="N254" s="33" t="str">
        <f>IFERROR(IF($N$2*F254=0, "-", $N$2*F254), "-")</f>
        <v>-</v>
      </c>
      <c r="O254" s="33" t="str">
        <f>IF(J254&gt;0,I254+N254,"-")</f>
        <v>-</v>
      </c>
      <c r="P254" s="34" t="str">
        <f>IF(J254&gt;0,J254*F254, "-")</f>
        <v>-</v>
      </c>
      <c r="Q254" s="35" t="str">
        <f>IFERROR(IF($N$2&gt;0, $N$2*P254, "-"), "-")</f>
        <v>-</v>
      </c>
      <c r="S254" s="35" t="str">
        <f>IFERROR(IF(Q254+K254=0, "-", IF(Q254&gt;0, Q254+K254, "-")), "-")</f>
        <v>-</v>
      </c>
    </row>
    <row r="255" spans="1:19" x14ac:dyDescent="0.3">
      <c r="A255" s="48">
        <v>1828</v>
      </c>
      <c r="B255" s="22">
        <v>627765018288</v>
      </c>
      <c r="C255" s="11" t="s">
        <v>254</v>
      </c>
      <c r="D255" s="17">
        <v>30</v>
      </c>
      <c r="E255" s="17" t="s">
        <v>45</v>
      </c>
      <c r="F255" s="37">
        <v>6.1289999999999997E-2</v>
      </c>
      <c r="G255" s="17">
        <v>24</v>
      </c>
      <c r="H255" s="43" t="s">
        <v>636</v>
      </c>
      <c r="I255" s="18">
        <v>18.947104615384621</v>
      </c>
      <c r="J255" s="16"/>
      <c r="K255" s="49">
        <f>I255*J255</f>
        <v>0</v>
      </c>
      <c r="L255" s="36"/>
      <c r="N255" s="33" t="str">
        <f>IFERROR(IF($N$2*F255=0, "-", $N$2*F255), "-")</f>
        <v>-</v>
      </c>
      <c r="O255" s="33" t="str">
        <f>IF(J255&gt;0,I255+N255,"-")</f>
        <v>-</v>
      </c>
      <c r="P255" s="34" t="str">
        <f>IF(J255&gt;0,J255*F255, "-")</f>
        <v>-</v>
      </c>
      <c r="Q255" s="35" t="str">
        <f>IFERROR(IF($N$2&gt;0, $N$2*P255, "-"), "-")</f>
        <v>-</v>
      </c>
      <c r="S255" s="35" t="str">
        <f>IFERROR(IF(Q255+K255=0, "-", IF(Q255&gt;0, Q255+K255, "-")), "-")</f>
        <v>-</v>
      </c>
    </row>
    <row r="256" spans="1:19" x14ac:dyDescent="0.3">
      <c r="A256" s="48">
        <v>1847</v>
      </c>
      <c r="B256" s="22">
        <v>68958018478</v>
      </c>
      <c r="C256" s="11" t="s">
        <v>255</v>
      </c>
      <c r="D256" s="17">
        <v>60</v>
      </c>
      <c r="E256" s="17" t="s">
        <v>54</v>
      </c>
      <c r="F256" s="37">
        <v>6.8099999999999994E-2</v>
      </c>
      <c r="G256" s="17">
        <v>24</v>
      </c>
      <c r="H256" s="43" t="s">
        <v>636</v>
      </c>
      <c r="I256" s="18">
        <v>13.709644615384615</v>
      </c>
      <c r="J256" s="16"/>
      <c r="K256" s="49">
        <f>I256*J256</f>
        <v>0</v>
      </c>
      <c r="L256" s="36"/>
      <c r="N256" s="33" t="str">
        <f>IFERROR(IF($N$2*F256=0, "-", $N$2*F256), "-")</f>
        <v>-</v>
      </c>
      <c r="O256" s="33" t="str">
        <f>IF(J256&gt;0,I256+N256,"-")</f>
        <v>-</v>
      </c>
      <c r="P256" s="34" t="str">
        <f>IF(J256&gt;0,J256*F256, "-")</f>
        <v>-</v>
      </c>
      <c r="Q256" s="35" t="str">
        <f>IFERROR(IF($N$2&gt;0, $N$2*P256, "-"), "-")</f>
        <v>-</v>
      </c>
      <c r="S256" s="35" t="str">
        <f>IFERROR(IF(Q256+K256=0, "-", IF(Q256&gt;0, Q256+K256, "-")), "-")</f>
        <v>-</v>
      </c>
    </row>
    <row r="257" spans="1:19" x14ac:dyDescent="0.3">
      <c r="A257" s="48">
        <v>1848</v>
      </c>
      <c r="B257" s="22">
        <v>68958018485</v>
      </c>
      <c r="C257" s="11" t="s">
        <v>256</v>
      </c>
      <c r="D257" s="17">
        <v>120</v>
      </c>
      <c r="E257" s="17" t="s">
        <v>54</v>
      </c>
      <c r="F257" s="37">
        <v>0.14074</v>
      </c>
      <c r="G257" s="17">
        <v>24</v>
      </c>
      <c r="H257" s="43" t="s">
        <v>636</v>
      </c>
      <c r="I257" s="18">
        <v>24.927521538461541</v>
      </c>
      <c r="J257" s="16"/>
      <c r="K257" s="49">
        <f>I257*J257</f>
        <v>0</v>
      </c>
      <c r="L257" s="36"/>
      <c r="N257" s="33" t="str">
        <f>IFERROR(IF($N$2*F257=0, "-", $N$2*F257), "-")</f>
        <v>-</v>
      </c>
      <c r="O257" s="33" t="str">
        <f>IF(J257&gt;0,I257+N257,"-")</f>
        <v>-</v>
      </c>
      <c r="P257" s="34" t="str">
        <f>IF(J257&gt;0,J257*F257, "-")</f>
        <v>-</v>
      </c>
      <c r="Q257" s="35" t="str">
        <f>IFERROR(IF($N$2&gt;0, $N$2*P257, "-"), "-")</f>
        <v>-</v>
      </c>
      <c r="S257" s="35" t="str">
        <f>IFERROR(IF(Q257+K257=0, "-", IF(Q257&gt;0, Q257+K257, "-")), "-")</f>
        <v>-</v>
      </c>
    </row>
    <row r="258" spans="1:19" x14ac:dyDescent="0.3">
      <c r="A258" s="48">
        <v>1849</v>
      </c>
      <c r="B258" s="22">
        <v>68958018492</v>
      </c>
      <c r="C258" s="11" t="s">
        <v>257</v>
      </c>
      <c r="D258" s="17">
        <v>60</v>
      </c>
      <c r="E258" s="17" t="s">
        <v>54</v>
      </c>
      <c r="F258" s="37">
        <v>6.8099999999999994E-2</v>
      </c>
      <c r="G258" s="17">
        <v>24</v>
      </c>
      <c r="H258" s="43" t="s">
        <v>636</v>
      </c>
      <c r="I258" s="18">
        <v>17.449206923076925</v>
      </c>
      <c r="J258" s="16"/>
      <c r="K258" s="49">
        <f>I258*J258</f>
        <v>0</v>
      </c>
      <c r="L258" s="36"/>
      <c r="N258" s="33" t="str">
        <f>IFERROR(IF($N$2*F258=0, "-", $N$2*F258), "-")</f>
        <v>-</v>
      </c>
      <c r="O258" s="33" t="str">
        <f>IF(J258&gt;0,I258+N258,"-")</f>
        <v>-</v>
      </c>
      <c r="P258" s="34" t="str">
        <f>IF(J258&gt;0,J258*F258, "-")</f>
        <v>-</v>
      </c>
      <c r="Q258" s="35" t="str">
        <f>IFERROR(IF($N$2&gt;0, $N$2*P258, "-"), "-")</f>
        <v>-</v>
      </c>
      <c r="S258" s="35" t="str">
        <f>IFERROR(IF(Q258+K258=0, "-", IF(Q258&gt;0, Q258+K258, "-")), "-")</f>
        <v>-</v>
      </c>
    </row>
    <row r="259" spans="1:19" x14ac:dyDescent="0.3">
      <c r="A259" s="48">
        <v>1850</v>
      </c>
      <c r="B259" s="22">
        <v>68958018508</v>
      </c>
      <c r="C259" s="11" t="s">
        <v>258</v>
      </c>
      <c r="D259" s="17">
        <v>120</v>
      </c>
      <c r="E259" s="17" t="s">
        <v>54</v>
      </c>
      <c r="F259" s="37">
        <v>0.16571</v>
      </c>
      <c r="G259" s="17">
        <v>24</v>
      </c>
      <c r="H259" s="43" t="s">
        <v>636</v>
      </c>
      <c r="I259" s="18">
        <v>31.839563076923078</v>
      </c>
      <c r="J259" s="16"/>
      <c r="K259" s="49">
        <f>I259*J259</f>
        <v>0</v>
      </c>
      <c r="L259" s="36"/>
      <c r="N259" s="33" t="str">
        <f>IFERROR(IF($N$2*F259=0, "-", $N$2*F259), "-")</f>
        <v>-</v>
      </c>
      <c r="O259" s="33" t="str">
        <f>IF(J259&gt;0,I259+N259,"-")</f>
        <v>-</v>
      </c>
      <c r="P259" s="34" t="str">
        <f>IF(J259&gt;0,J259*F259, "-")</f>
        <v>-</v>
      </c>
      <c r="Q259" s="35" t="str">
        <f>IFERROR(IF($N$2&gt;0, $N$2*P259, "-"), "-")</f>
        <v>-</v>
      </c>
      <c r="S259" s="35" t="str">
        <f>IFERROR(IF(Q259+K259=0, "-", IF(Q259&gt;0, Q259+K259, "-")), "-")</f>
        <v>-</v>
      </c>
    </row>
    <row r="260" spans="1:19" x14ac:dyDescent="0.3">
      <c r="A260" s="48">
        <v>1851</v>
      </c>
      <c r="B260" s="22">
        <v>68958018515</v>
      </c>
      <c r="C260" s="11" t="s">
        <v>259</v>
      </c>
      <c r="D260" s="17">
        <v>60</v>
      </c>
      <c r="E260" s="17" t="s">
        <v>130</v>
      </c>
      <c r="F260" s="37">
        <v>0.10214999999999999</v>
      </c>
      <c r="G260" s="17">
        <v>24</v>
      </c>
      <c r="H260" s="43" t="s">
        <v>636</v>
      </c>
      <c r="I260" s="18">
        <v>15.062365384615386</v>
      </c>
      <c r="J260" s="16"/>
      <c r="K260" s="49">
        <f>I260*J260</f>
        <v>0</v>
      </c>
      <c r="L260" s="36"/>
      <c r="N260" s="33" t="str">
        <f>IFERROR(IF($N$2*F260=0, "-", $N$2*F260), "-")</f>
        <v>-</v>
      </c>
      <c r="O260" s="33" t="str">
        <f>IF(J260&gt;0,I260+N260,"-")</f>
        <v>-</v>
      </c>
      <c r="P260" s="34" t="str">
        <f>IF(J260&gt;0,J260*F260, "-")</f>
        <v>-</v>
      </c>
      <c r="Q260" s="35" t="str">
        <f>IFERROR(IF($N$2&gt;0, $N$2*P260, "-"), "-")</f>
        <v>-</v>
      </c>
      <c r="S260" s="35" t="str">
        <f>IFERROR(IF(Q260+K260=0, "-", IF(Q260&gt;0, Q260+K260, "-")), "-")</f>
        <v>-</v>
      </c>
    </row>
    <row r="261" spans="1:19" x14ac:dyDescent="0.3">
      <c r="A261" s="48">
        <v>1852</v>
      </c>
      <c r="B261" s="22">
        <v>68958018522</v>
      </c>
      <c r="C261" s="11" t="s">
        <v>260</v>
      </c>
      <c r="D261" s="17">
        <v>60</v>
      </c>
      <c r="E261" s="17" t="s">
        <v>54</v>
      </c>
      <c r="F261" s="37">
        <v>7.3775000000000007E-2</v>
      </c>
      <c r="G261" s="17">
        <v>24</v>
      </c>
      <c r="H261" s="43" t="s">
        <v>636</v>
      </c>
      <c r="I261" s="18">
        <v>23.762160000000002</v>
      </c>
      <c r="J261" s="16"/>
      <c r="K261" s="49">
        <f>I261*J261</f>
        <v>0</v>
      </c>
      <c r="L261" s="36"/>
      <c r="N261" s="33" t="str">
        <f>IFERROR(IF($N$2*F261=0, "-", $N$2*F261), "-")</f>
        <v>-</v>
      </c>
      <c r="O261" s="33" t="str">
        <f>IF(J261&gt;0,I261+N261,"-")</f>
        <v>-</v>
      </c>
      <c r="P261" s="34" t="str">
        <f>IF(J261&gt;0,J261*F261, "-")</f>
        <v>-</v>
      </c>
      <c r="Q261" s="35" t="str">
        <f>IFERROR(IF($N$2&gt;0, $N$2*P261, "-"), "-")</f>
        <v>-</v>
      </c>
      <c r="S261" s="35" t="str">
        <f>IFERROR(IF(Q261+K261=0, "-", IF(Q261&gt;0, Q261+K261, "-")), "-")</f>
        <v>-</v>
      </c>
    </row>
    <row r="262" spans="1:19" x14ac:dyDescent="0.3">
      <c r="A262" s="48">
        <v>1860</v>
      </c>
      <c r="B262" s="23">
        <v>68958018607</v>
      </c>
      <c r="C262" s="11" t="s">
        <v>261</v>
      </c>
      <c r="D262" s="17">
        <v>30</v>
      </c>
      <c r="E262" s="17" t="s">
        <v>45</v>
      </c>
      <c r="F262" s="37">
        <v>6.2425000000000001E-2</v>
      </c>
      <c r="G262" s="17">
        <v>24</v>
      </c>
      <c r="H262" s="43" t="s">
        <v>636</v>
      </c>
      <c r="I262" s="18">
        <v>11.88110076923077</v>
      </c>
      <c r="J262" s="16"/>
      <c r="K262" s="49">
        <f>I262*J262</f>
        <v>0</v>
      </c>
      <c r="L262" s="36"/>
      <c r="N262" s="33" t="str">
        <f>IFERROR(IF($N$2*F262=0, "-", $N$2*F262), "-")</f>
        <v>-</v>
      </c>
      <c r="O262" s="33" t="str">
        <f>IF(J262&gt;0,I262+N262,"-")</f>
        <v>-</v>
      </c>
      <c r="P262" s="34" t="str">
        <f>IF(J262&gt;0,J262*F262, "-")</f>
        <v>-</v>
      </c>
      <c r="Q262" s="35" t="str">
        <f>IFERROR(IF($N$2&gt;0, $N$2*P262, "-"), "-")</f>
        <v>-</v>
      </c>
      <c r="S262" s="35" t="str">
        <f>IFERROR(IF(Q262+K262=0, "-", IF(Q262&gt;0, Q262+K262, "-")), "-")</f>
        <v>-</v>
      </c>
    </row>
    <row r="263" spans="1:19" x14ac:dyDescent="0.3">
      <c r="A263" s="48">
        <v>1861</v>
      </c>
      <c r="B263" s="22">
        <v>68958018614</v>
      </c>
      <c r="C263" s="11" t="s">
        <v>262</v>
      </c>
      <c r="D263" s="17">
        <v>30</v>
      </c>
      <c r="E263" s="17" t="s">
        <v>45</v>
      </c>
      <c r="F263" s="37">
        <v>7.9450000000000007E-2</v>
      </c>
      <c r="G263" s="17">
        <v>24</v>
      </c>
      <c r="H263" s="43" t="s">
        <v>636</v>
      </c>
      <c r="I263" s="18">
        <v>15.069904615384617</v>
      </c>
      <c r="J263" s="16"/>
      <c r="K263" s="49">
        <f>I263*J263</f>
        <v>0</v>
      </c>
      <c r="L263" s="36"/>
      <c r="N263" s="33" t="str">
        <f>IFERROR(IF($N$2*F263=0, "-", $N$2*F263), "-")</f>
        <v>-</v>
      </c>
      <c r="O263" s="33" t="str">
        <f>IF(J263&gt;0,I263+N263,"-")</f>
        <v>-</v>
      </c>
      <c r="P263" s="34" t="str">
        <f>IF(J263&gt;0,J263*F263, "-")</f>
        <v>-</v>
      </c>
      <c r="Q263" s="35" t="str">
        <f>IFERROR(IF($N$2&gt;0, $N$2*P263, "-"), "-")</f>
        <v>-</v>
      </c>
      <c r="S263" s="35" t="str">
        <f>IFERROR(IF(Q263+K263=0, "-", IF(Q263&gt;0, Q263+K263, "-")), "-")</f>
        <v>-</v>
      </c>
    </row>
    <row r="264" spans="1:19" x14ac:dyDescent="0.3">
      <c r="A264" s="48">
        <v>1900</v>
      </c>
      <c r="B264" s="23">
        <v>68958019000</v>
      </c>
      <c r="C264" s="11" t="s">
        <v>263</v>
      </c>
      <c r="D264" s="17">
        <v>81</v>
      </c>
      <c r="E264" s="17" t="s">
        <v>130</v>
      </c>
      <c r="F264" s="37">
        <v>0.14527999999999999</v>
      </c>
      <c r="G264" s="17">
        <v>18</v>
      </c>
      <c r="H264" s="43" t="s">
        <v>636</v>
      </c>
      <c r="I264" s="18">
        <v>27.545566153846156</v>
      </c>
      <c r="J264" s="16"/>
      <c r="K264" s="49">
        <f>I264*J264</f>
        <v>0</v>
      </c>
      <c r="L264" s="36"/>
      <c r="N264" s="33" t="str">
        <f>IFERROR(IF($N$2*F264=0, "-", $N$2*F264), "-")</f>
        <v>-</v>
      </c>
      <c r="O264" s="33" t="str">
        <f>IF(J264&gt;0,I264+N264,"-")</f>
        <v>-</v>
      </c>
      <c r="P264" s="34" t="str">
        <f>IF(J264&gt;0,J264*F264, "-")</f>
        <v>-</v>
      </c>
      <c r="Q264" s="35" t="str">
        <f>IFERROR(IF($N$2&gt;0, $N$2*P264, "-"), "-")</f>
        <v>-</v>
      </c>
      <c r="S264" s="35" t="str">
        <f>IFERROR(IF(Q264+K264=0, "-", IF(Q264&gt;0, Q264+K264, "-")), "-")</f>
        <v>-</v>
      </c>
    </row>
    <row r="265" spans="1:19" x14ac:dyDescent="0.3">
      <c r="A265" s="48">
        <v>1901</v>
      </c>
      <c r="B265" s="23">
        <v>627765019018</v>
      </c>
      <c r="C265" s="11" t="s">
        <v>264</v>
      </c>
      <c r="D265" s="17">
        <v>120</v>
      </c>
      <c r="E265" s="17" t="s">
        <v>45</v>
      </c>
      <c r="F265" s="37">
        <v>0.14982000000000001</v>
      </c>
      <c r="G265" s="17">
        <v>24</v>
      </c>
      <c r="H265" s="43" t="s">
        <v>636</v>
      </c>
      <c r="I265" s="18">
        <v>20.861695384615384</v>
      </c>
      <c r="J265" s="16"/>
      <c r="K265" s="49">
        <f>I265*J265</f>
        <v>0</v>
      </c>
      <c r="L265" s="36"/>
      <c r="N265" s="33" t="str">
        <f>IFERROR(IF($N$2*F265=0, "-", $N$2*F265), "-")</f>
        <v>-</v>
      </c>
      <c r="O265" s="33" t="str">
        <f>IF(J265&gt;0,I265+N265,"-")</f>
        <v>-</v>
      </c>
      <c r="P265" s="34" t="str">
        <f>IF(J265&gt;0,J265*F265, "-")</f>
        <v>-</v>
      </c>
      <c r="Q265" s="35" t="str">
        <f>IFERROR(IF($N$2&gt;0, $N$2*P265, "-"), "-")</f>
        <v>-</v>
      </c>
      <c r="S265" s="35" t="str">
        <f>IFERROR(IF(Q265+K265=0, "-", IF(Q265&gt;0, Q265+K265, "-")), "-")</f>
        <v>-</v>
      </c>
    </row>
    <row r="266" spans="1:19" x14ac:dyDescent="0.3">
      <c r="A266" s="48">
        <v>1902</v>
      </c>
      <c r="B266" s="23">
        <v>627765019025</v>
      </c>
      <c r="C266" s="11" t="s">
        <v>265</v>
      </c>
      <c r="D266" s="17">
        <v>30</v>
      </c>
      <c r="E266" s="17" t="s">
        <v>45</v>
      </c>
      <c r="F266" s="37">
        <v>0.44265000000000004</v>
      </c>
      <c r="G266" s="17">
        <v>6</v>
      </c>
      <c r="H266" s="43" t="s">
        <v>636</v>
      </c>
      <c r="I266" s="18">
        <v>45.036893076923079</v>
      </c>
      <c r="J266" s="16"/>
      <c r="K266" s="49">
        <f>I266*J266</f>
        <v>0</v>
      </c>
      <c r="L266" s="36"/>
      <c r="N266" s="33" t="str">
        <f>IFERROR(IF($N$2*F266=0, "-", $N$2*F266), "-")</f>
        <v>-</v>
      </c>
      <c r="O266" s="33" t="str">
        <f>IF(J266&gt;0,I266+N266,"-")</f>
        <v>-</v>
      </c>
      <c r="P266" s="34" t="str">
        <f>IF(J266&gt;0,J266*F266, "-")</f>
        <v>-</v>
      </c>
      <c r="Q266" s="35" t="str">
        <f>IFERROR(IF($N$2&gt;0, $N$2*P266, "-"), "-")</f>
        <v>-</v>
      </c>
      <c r="S266" s="35" t="str">
        <f>IFERROR(IF(Q266+K266=0, "-", IF(Q266&gt;0, Q266+K266, "-")), "-")</f>
        <v>-</v>
      </c>
    </row>
    <row r="267" spans="1:19" x14ac:dyDescent="0.3">
      <c r="A267" s="48">
        <v>1903</v>
      </c>
      <c r="B267" s="23">
        <v>627765019032</v>
      </c>
      <c r="C267" s="11" t="s">
        <v>266</v>
      </c>
      <c r="D267" s="17">
        <v>60</v>
      </c>
      <c r="E267" s="17" t="s">
        <v>32</v>
      </c>
      <c r="F267" s="37">
        <v>0.13392999999999999</v>
      </c>
      <c r="G267" s="17">
        <v>24</v>
      </c>
      <c r="H267" s="43" t="s">
        <v>636</v>
      </c>
      <c r="I267" s="18">
        <v>9.9761884615384631</v>
      </c>
      <c r="J267" s="16"/>
      <c r="K267" s="49">
        <f>I267*J267</f>
        <v>0</v>
      </c>
      <c r="L267" s="36"/>
      <c r="N267" s="33" t="str">
        <f>IFERROR(IF($N$2*F267=0, "-", $N$2*F267), "-")</f>
        <v>-</v>
      </c>
      <c r="O267" s="33" t="str">
        <f>IF(J267&gt;0,I267+N267,"-")</f>
        <v>-</v>
      </c>
      <c r="P267" s="34" t="str">
        <f>IF(J267&gt;0,J267*F267, "-")</f>
        <v>-</v>
      </c>
      <c r="Q267" s="35" t="str">
        <f>IFERROR(IF($N$2&gt;0, $N$2*P267, "-"), "-")</f>
        <v>-</v>
      </c>
      <c r="S267" s="35" t="str">
        <f>IFERROR(IF(Q267+K267=0, "-", IF(Q267&gt;0, Q267+K267, "-")), "-")</f>
        <v>-</v>
      </c>
    </row>
    <row r="268" spans="1:19" x14ac:dyDescent="0.3">
      <c r="A268" s="48">
        <v>1904</v>
      </c>
      <c r="B268" s="22">
        <v>627765019049</v>
      </c>
      <c r="C268" s="11" t="s">
        <v>267</v>
      </c>
      <c r="D268" s="17">
        <v>60</v>
      </c>
      <c r="E268" s="17" t="s">
        <v>45</v>
      </c>
      <c r="F268" s="37">
        <v>5.6750000000000002E-2</v>
      </c>
      <c r="G268" s="17">
        <v>24</v>
      </c>
      <c r="H268" s="43" t="s">
        <v>636</v>
      </c>
      <c r="I268" s="18">
        <v>17.220815999999999</v>
      </c>
      <c r="J268" s="16"/>
      <c r="K268" s="49">
        <f>I268*J268</f>
        <v>0</v>
      </c>
      <c r="L268" s="36"/>
      <c r="N268" s="33" t="str">
        <f>IFERROR(IF($N$2*F268=0, "-", $N$2*F268), "-")</f>
        <v>-</v>
      </c>
      <c r="O268" s="33" t="str">
        <f>IF(J268&gt;0,I268+N268,"-")</f>
        <v>-</v>
      </c>
      <c r="P268" s="34" t="str">
        <f>IF(J268&gt;0,J268*F268, "-")</f>
        <v>-</v>
      </c>
      <c r="Q268" s="35" t="str">
        <f>IFERROR(IF($N$2&gt;0, $N$2*P268, "-"), "-")</f>
        <v>-</v>
      </c>
      <c r="S268" s="35" t="str">
        <f>IFERROR(IF(Q268+K268=0, "-", IF(Q268&gt;0, Q268+K268, "-")), "-")</f>
        <v>-</v>
      </c>
    </row>
    <row r="269" spans="1:19" x14ac:dyDescent="0.3">
      <c r="A269" s="48">
        <v>1905</v>
      </c>
      <c r="B269" s="23">
        <v>627765019056</v>
      </c>
      <c r="C269" s="11" t="s">
        <v>268</v>
      </c>
      <c r="D269" s="17">
        <v>30</v>
      </c>
      <c r="E269" s="17" t="s">
        <v>45</v>
      </c>
      <c r="F269" s="37">
        <v>0.33368999999999999</v>
      </c>
      <c r="G269" s="17">
        <v>6</v>
      </c>
      <c r="H269" s="43" t="s">
        <v>636</v>
      </c>
      <c r="I269" s="18">
        <v>47.343004615384622</v>
      </c>
      <c r="J269" s="16"/>
      <c r="K269" s="49">
        <f>I269*J269</f>
        <v>0</v>
      </c>
      <c r="L269" s="36"/>
      <c r="N269" s="33" t="str">
        <f>IFERROR(IF($N$2*F269=0, "-", $N$2*F269), "-")</f>
        <v>-</v>
      </c>
      <c r="O269" s="33" t="str">
        <f>IF(J269&gt;0,I269+N269,"-")</f>
        <v>-</v>
      </c>
      <c r="P269" s="34" t="str">
        <f>IF(J269&gt;0,J269*F269, "-")</f>
        <v>-</v>
      </c>
      <c r="Q269" s="35" t="str">
        <f>IFERROR(IF($N$2&gt;0, $N$2*P269, "-"), "-")</f>
        <v>-</v>
      </c>
      <c r="S269" s="35" t="str">
        <f>IFERROR(IF(Q269+K269=0, "-", IF(Q269&gt;0, Q269+K269, "-")), "-")</f>
        <v>-</v>
      </c>
    </row>
    <row r="270" spans="1:19" x14ac:dyDescent="0.3">
      <c r="A270" s="48">
        <v>1906</v>
      </c>
      <c r="B270" s="23">
        <v>627765019063</v>
      </c>
      <c r="C270" s="11" t="s">
        <v>269</v>
      </c>
      <c r="D270" s="17">
        <v>60</v>
      </c>
      <c r="E270" s="17" t="s">
        <v>45</v>
      </c>
      <c r="F270" s="37">
        <v>9.0800000000000006E-2</v>
      </c>
      <c r="G270" s="17">
        <v>24</v>
      </c>
      <c r="H270" s="43" t="s">
        <v>636</v>
      </c>
      <c r="I270" s="18">
        <v>12.10115076923077</v>
      </c>
      <c r="J270" s="16"/>
      <c r="K270" s="49">
        <f>I270*J270</f>
        <v>0</v>
      </c>
      <c r="L270" s="36"/>
      <c r="N270" s="33" t="str">
        <f>IFERROR(IF($N$2*F270=0, "-", $N$2*F270), "-")</f>
        <v>-</v>
      </c>
      <c r="O270" s="33" t="str">
        <f>IF(J270&gt;0,I270+N270,"-")</f>
        <v>-</v>
      </c>
      <c r="P270" s="34" t="str">
        <f>IF(J270&gt;0,J270*F270, "-")</f>
        <v>-</v>
      </c>
      <c r="Q270" s="35" t="str">
        <f>IFERROR(IF($N$2&gt;0, $N$2*P270, "-"), "-")</f>
        <v>-</v>
      </c>
      <c r="S270" s="35" t="str">
        <f>IFERROR(IF(Q270+K270=0, "-", IF(Q270&gt;0, Q270+K270, "-")), "-")</f>
        <v>-</v>
      </c>
    </row>
    <row r="271" spans="1:19" x14ac:dyDescent="0.3">
      <c r="A271" s="48">
        <v>1907</v>
      </c>
      <c r="B271" s="23">
        <v>627765019070</v>
      </c>
      <c r="C271" s="11" t="s">
        <v>270</v>
      </c>
      <c r="D271" s="17">
        <v>90</v>
      </c>
      <c r="E271" s="17" t="s">
        <v>45</v>
      </c>
      <c r="F271" s="37">
        <v>0.13392999999999999</v>
      </c>
      <c r="G271" s="17">
        <v>24</v>
      </c>
      <c r="H271" s="43" t="s">
        <v>636</v>
      </c>
      <c r="I271" s="18">
        <v>31.586967692307695</v>
      </c>
      <c r="J271" s="16"/>
      <c r="K271" s="49">
        <f>I271*J271</f>
        <v>0</v>
      </c>
      <c r="L271" s="36"/>
      <c r="N271" s="33" t="str">
        <f>IFERROR(IF($N$2*F271=0, "-", $N$2*F271), "-")</f>
        <v>-</v>
      </c>
      <c r="O271" s="33" t="str">
        <f>IF(J271&gt;0,I271+N271,"-")</f>
        <v>-</v>
      </c>
      <c r="P271" s="34" t="str">
        <f>IF(J271&gt;0,J271*F271, "-")</f>
        <v>-</v>
      </c>
      <c r="Q271" s="35" t="str">
        <f>IFERROR(IF($N$2&gt;0, $N$2*P271, "-"), "-")</f>
        <v>-</v>
      </c>
      <c r="S271" s="35" t="str">
        <f>IFERROR(IF(Q271+K271=0, "-", IF(Q271&gt;0, Q271+K271, "-")), "-")</f>
        <v>-</v>
      </c>
    </row>
    <row r="272" spans="1:19" x14ac:dyDescent="0.3">
      <c r="A272" s="48">
        <v>1908</v>
      </c>
      <c r="B272" s="23">
        <v>627765019087</v>
      </c>
      <c r="C272" s="11" t="s">
        <v>271</v>
      </c>
      <c r="D272" s="17">
        <v>120</v>
      </c>
      <c r="E272" s="17" t="s">
        <v>45</v>
      </c>
      <c r="F272" s="37">
        <v>0.10442</v>
      </c>
      <c r="G272" s="17">
        <v>24</v>
      </c>
      <c r="H272" s="43" t="s">
        <v>636</v>
      </c>
      <c r="I272" s="18">
        <v>30.581982000000004</v>
      </c>
      <c r="J272" s="16"/>
      <c r="K272" s="49">
        <f>I272*J272</f>
        <v>0</v>
      </c>
      <c r="L272" s="36"/>
      <c r="N272" s="33" t="str">
        <f>IFERROR(IF($N$2*F272=0, "-", $N$2*F272), "-")</f>
        <v>-</v>
      </c>
      <c r="O272" s="33" t="str">
        <f>IF(J272&gt;0,I272+N272,"-")</f>
        <v>-</v>
      </c>
      <c r="P272" s="34" t="str">
        <f>IF(J272&gt;0,J272*F272, "-")</f>
        <v>-</v>
      </c>
      <c r="Q272" s="35" t="str">
        <f>IFERROR(IF($N$2&gt;0, $N$2*P272, "-"), "-")</f>
        <v>-</v>
      </c>
      <c r="S272" s="35" t="str">
        <f>IFERROR(IF(Q272+K272=0, "-", IF(Q272&gt;0, Q272+K272, "-")), "-")</f>
        <v>-</v>
      </c>
    </row>
    <row r="273" spans="1:19" hidden="1" x14ac:dyDescent="0.3">
      <c r="A273" s="48">
        <v>1909</v>
      </c>
      <c r="B273" s="23">
        <v>627765019094</v>
      </c>
      <c r="C273" s="11" t="s">
        <v>272</v>
      </c>
      <c r="D273" s="17">
        <v>885</v>
      </c>
      <c r="E273" s="17" t="s">
        <v>130</v>
      </c>
      <c r="F273" s="37"/>
      <c r="G273" s="17">
        <v>4</v>
      </c>
      <c r="H273" s="43" t="s">
        <v>636</v>
      </c>
      <c r="I273" s="18">
        <v>43.710133846153852</v>
      </c>
      <c r="J273" s="16"/>
      <c r="K273" s="49">
        <f>I273*J273</f>
        <v>0</v>
      </c>
      <c r="L273" s="36"/>
      <c r="N273" s="33" t="str">
        <f>IFERROR(IF($N$2*F273=0, "-", $N$2*F273), "-")</f>
        <v>-</v>
      </c>
      <c r="O273" s="33" t="str">
        <f>IF(J273&gt;0,I273+N273,"-")</f>
        <v>-</v>
      </c>
      <c r="P273" s="34" t="str">
        <f>IF(J273&gt;0,J273*F273, "-")</f>
        <v>-</v>
      </c>
      <c r="Q273" s="35" t="str">
        <f>IFERROR(IF($N$2&gt;0, $N$2*P273, "-"), "-")</f>
        <v>-</v>
      </c>
      <c r="S273" s="35" t="str">
        <f>IFERROR(IF(Q273+K273=0, "-", IF(Q273&gt;0, Q273+K273, "-")), "-")</f>
        <v>-</v>
      </c>
    </row>
    <row r="274" spans="1:19" hidden="1" x14ac:dyDescent="0.3">
      <c r="A274" s="48">
        <v>1910</v>
      </c>
      <c r="B274" s="23">
        <v>627765019100</v>
      </c>
      <c r="C274" s="11" t="s">
        <v>273</v>
      </c>
      <c r="D274" s="17">
        <v>940</v>
      </c>
      <c r="E274" s="17" t="s">
        <v>130</v>
      </c>
      <c r="F274" s="37"/>
      <c r="G274" s="17">
        <v>4</v>
      </c>
      <c r="H274" s="43" t="s">
        <v>636</v>
      </c>
      <c r="I274" s="18">
        <v>47.257061538461542</v>
      </c>
      <c r="J274" s="16"/>
      <c r="K274" s="49">
        <f>I274*J274</f>
        <v>0</v>
      </c>
      <c r="L274" s="36"/>
      <c r="N274" s="33" t="str">
        <f>IFERROR(IF($N$2*F274=0, "-", $N$2*F274), "-")</f>
        <v>-</v>
      </c>
      <c r="O274" s="33" t="str">
        <f>IF(J274&gt;0,I274+N274,"-")</f>
        <v>-</v>
      </c>
      <c r="P274" s="34" t="str">
        <f>IF(J274&gt;0,J274*F274, "-")</f>
        <v>-</v>
      </c>
      <c r="Q274" s="35" t="str">
        <f>IFERROR(IF($N$2&gt;0, $N$2*P274, "-"), "-")</f>
        <v>-</v>
      </c>
      <c r="S274" s="35" t="str">
        <f>IFERROR(IF(Q274+K274=0, "-", IF(Q274&gt;0, Q274+K274, "-")), "-")</f>
        <v>-</v>
      </c>
    </row>
    <row r="275" spans="1:19" x14ac:dyDescent="0.3">
      <c r="A275" s="48">
        <v>1911</v>
      </c>
      <c r="B275" s="22">
        <v>627765019117</v>
      </c>
      <c r="C275" s="11" t="s">
        <v>274</v>
      </c>
      <c r="D275" s="17">
        <v>120</v>
      </c>
      <c r="E275" s="17" t="s">
        <v>45</v>
      </c>
      <c r="F275" s="37">
        <v>0.19975999999999999</v>
      </c>
      <c r="G275" s="17">
        <v>24</v>
      </c>
      <c r="H275" s="43" t="s">
        <v>636</v>
      </c>
      <c r="I275" s="18">
        <v>14.08646076923077</v>
      </c>
      <c r="J275" s="16"/>
      <c r="K275" s="49">
        <f>I275*J275</f>
        <v>0</v>
      </c>
      <c r="L275" s="36"/>
      <c r="N275" s="33" t="str">
        <f>IFERROR(IF($N$2*F275=0, "-", $N$2*F275), "-")</f>
        <v>-</v>
      </c>
      <c r="O275" s="33" t="str">
        <f>IF(J275&gt;0,I275+N275,"-")</f>
        <v>-</v>
      </c>
      <c r="P275" s="34" t="str">
        <f>IF(J275&gt;0,J275*F275, "-")</f>
        <v>-</v>
      </c>
      <c r="Q275" s="35" t="str">
        <f>IFERROR(IF($N$2&gt;0, $N$2*P275, "-"), "-")</f>
        <v>-</v>
      </c>
      <c r="S275" s="35" t="str">
        <f>IFERROR(IF(Q275+K275=0, "-", IF(Q275&gt;0, Q275+K275, "-")), "-")</f>
        <v>-</v>
      </c>
    </row>
    <row r="276" spans="1:19" x14ac:dyDescent="0.3">
      <c r="A276" s="48">
        <v>1912</v>
      </c>
      <c r="B276" s="23">
        <v>627765019124</v>
      </c>
      <c r="C276" s="11" t="s">
        <v>275</v>
      </c>
      <c r="D276" s="17">
        <v>90</v>
      </c>
      <c r="E276" s="17" t="s">
        <v>14</v>
      </c>
      <c r="F276" s="37">
        <v>0.28148000000000001</v>
      </c>
      <c r="G276" s="17">
        <v>12</v>
      </c>
      <c r="H276" s="43" t="s">
        <v>636</v>
      </c>
      <c r="I276" s="18">
        <v>28.640956153846155</v>
      </c>
      <c r="J276" s="16"/>
      <c r="K276" s="49">
        <f>I276*J276</f>
        <v>0</v>
      </c>
      <c r="L276" s="36"/>
      <c r="N276" s="33" t="str">
        <f>IFERROR(IF($N$2*F276=0, "-", $N$2*F276), "-")</f>
        <v>-</v>
      </c>
      <c r="O276" s="33" t="str">
        <f>IF(J276&gt;0,I276+N276,"-")</f>
        <v>-</v>
      </c>
      <c r="P276" s="34" t="str">
        <f>IF(J276&gt;0,J276*F276, "-")</f>
        <v>-</v>
      </c>
      <c r="Q276" s="35" t="str">
        <f>IFERROR(IF($N$2&gt;0, $N$2*P276, "-"), "-")</f>
        <v>-</v>
      </c>
      <c r="S276" s="35" t="str">
        <f>IFERROR(IF(Q276+K276=0, "-", IF(Q276&gt;0, Q276+K276, "-")), "-")</f>
        <v>-</v>
      </c>
    </row>
    <row r="277" spans="1:19" x14ac:dyDescent="0.3">
      <c r="A277" s="48">
        <v>1913</v>
      </c>
      <c r="B277" s="23">
        <v>627765019131</v>
      </c>
      <c r="C277" s="11" t="s">
        <v>276</v>
      </c>
      <c r="D277" s="17">
        <v>162</v>
      </c>
      <c r="E277" s="17" t="s">
        <v>130</v>
      </c>
      <c r="F277" s="37">
        <v>0.23835000000000001</v>
      </c>
      <c r="G277" s="17">
        <v>18</v>
      </c>
      <c r="H277" s="43" t="s">
        <v>636</v>
      </c>
      <c r="I277" s="18">
        <v>43.141680000000008</v>
      </c>
      <c r="J277" s="16"/>
      <c r="K277" s="49">
        <f>I277*J277</f>
        <v>0</v>
      </c>
      <c r="L277" s="36"/>
      <c r="N277" s="33" t="str">
        <f>IFERROR(IF($N$2*F277=0, "-", $N$2*F277), "-")</f>
        <v>-</v>
      </c>
      <c r="O277" s="33" t="str">
        <f>IF(J277&gt;0,I277+N277,"-")</f>
        <v>-</v>
      </c>
      <c r="P277" s="34" t="str">
        <f>IF(J277&gt;0,J277*F277, "-")</f>
        <v>-</v>
      </c>
      <c r="Q277" s="35" t="str">
        <f>IFERROR(IF($N$2&gt;0, $N$2*P277, "-"), "-")</f>
        <v>-</v>
      </c>
      <c r="S277" s="35" t="str">
        <f>IFERROR(IF(Q277+K277=0, "-", IF(Q277&gt;0, Q277+K277, "-")), "-")</f>
        <v>-</v>
      </c>
    </row>
    <row r="278" spans="1:19" x14ac:dyDescent="0.3">
      <c r="A278" s="48">
        <v>1915</v>
      </c>
      <c r="B278" s="23">
        <v>627765019155</v>
      </c>
      <c r="C278" s="11" t="s">
        <v>277</v>
      </c>
      <c r="D278" s="17">
        <v>90</v>
      </c>
      <c r="E278" s="17" t="s">
        <v>45</v>
      </c>
      <c r="F278" s="37">
        <v>0.11803999999999999</v>
      </c>
      <c r="G278" s="17">
        <v>24</v>
      </c>
      <c r="H278" s="43" t="s">
        <v>636</v>
      </c>
      <c r="I278" s="18">
        <v>9.934857692307693</v>
      </c>
      <c r="J278" s="16"/>
      <c r="K278" s="49">
        <f>I278*J278</f>
        <v>0</v>
      </c>
      <c r="L278" s="36"/>
      <c r="N278" s="33" t="str">
        <f>IFERROR(IF($N$2*F278=0, "-", $N$2*F278), "-")</f>
        <v>-</v>
      </c>
      <c r="O278" s="33" t="str">
        <f>IF(J278&gt;0,I278+N278,"-")</f>
        <v>-</v>
      </c>
      <c r="P278" s="34" t="str">
        <f>IF(J278&gt;0,J278*F278, "-")</f>
        <v>-</v>
      </c>
      <c r="Q278" s="35" t="str">
        <f>IFERROR(IF($N$2&gt;0, $N$2*P278, "-"), "-")</f>
        <v>-</v>
      </c>
      <c r="S278" s="35" t="str">
        <f>IFERROR(IF(Q278+K278=0, "-", IF(Q278&gt;0, Q278+K278, "-")), "-")</f>
        <v>-</v>
      </c>
    </row>
    <row r="279" spans="1:19" x14ac:dyDescent="0.3">
      <c r="A279" s="48">
        <v>1916</v>
      </c>
      <c r="B279" s="23">
        <v>627765019162</v>
      </c>
      <c r="C279" s="11" t="s">
        <v>278</v>
      </c>
      <c r="D279" s="17">
        <v>120</v>
      </c>
      <c r="E279" s="17" t="s">
        <v>45</v>
      </c>
      <c r="F279" s="37">
        <v>0.14982000000000001</v>
      </c>
      <c r="G279" s="17">
        <v>24</v>
      </c>
      <c r="H279" s="43" t="s">
        <v>636</v>
      </c>
      <c r="I279" s="18">
        <v>12.306267692307692</v>
      </c>
      <c r="J279" s="16"/>
      <c r="K279" s="49">
        <f>I279*J279</f>
        <v>0</v>
      </c>
      <c r="L279" s="36"/>
      <c r="N279" s="33" t="str">
        <f>IFERROR(IF($N$2*F279=0, "-", $N$2*F279), "-")</f>
        <v>-</v>
      </c>
      <c r="O279" s="33" t="str">
        <f>IF(J279&gt;0,I279+N279,"-")</f>
        <v>-</v>
      </c>
      <c r="P279" s="34" t="str">
        <f>IF(J279&gt;0,J279*F279, "-")</f>
        <v>-</v>
      </c>
      <c r="Q279" s="35" t="str">
        <f>IFERROR(IF($N$2&gt;0, $N$2*P279, "-"), "-")</f>
        <v>-</v>
      </c>
      <c r="S279" s="35" t="str">
        <f>IFERROR(IF(Q279+K279=0, "-", IF(Q279&gt;0, Q279+K279, "-")), "-")</f>
        <v>-</v>
      </c>
    </row>
    <row r="280" spans="1:19" x14ac:dyDescent="0.3">
      <c r="A280" s="48">
        <v>1917</v>
      </c>
      <c r="B280" s="22">
        <v>627765019179</v>
      </c>
      <c r="C280" s="11" t="s">
        <v>279</v>
      </c>
      <c r="D280" s="17">
        <v>90</v>
      </c>
      <c r="E280" s="17" t="s">
        <v>54</v>
      </c>
      <c r="F280" s="37">
        <v>0.12031</v>
      </c>
      <c r="G280" s="17">
        <v>24</v>
      </c>
      <c r="H280" s="43" t="s">
        <v>636</v>
      </c>
      <c r="I280" s="18">
        <v>14.40323307692308</v>
      </c>
      <c r="J280" s="16"/>
      <c r="K280" s="49">
        <f>I280*J280</f>
        <v>0</v>
      </c>
      <c r="L280" s="36"/>
      <c r="N280" s="33" t="str">
        <f>IFERROR(IF($N$2*F280=0, "-", $N$2*F280), "-")</f>
        <v>-</v>
      </c>
      <c r="O280" s="33" t="str">
        <f>IF(J280&gt;0,I280+N280,"-")</f>
        <v>-</v>
      </c>
      <c r="P280" s="34" t="str">
        <f>IF(J280&gt;0,J280*F280, "-")</f>
        <v>-</v>
      </c>
      <c r="Q280" s="35" t="str">
        <f>IFERROR(IF($N$2&gt;0, $N$2*P280, "-"), "-")</f>
        <v>-</v>
      </c>
      <c r="S280" s="35" t="str">
        <f>IFERROR(IF(Q280+K280=0, "-", IF(Q280&gt;0, Q280+K280, "-")), "-")</f>
        <v>-</v>
      </c>
    </row>
    <row r="281" spans="1:19" x14ac:dyDescent="0.3">
      <c r="A281" s="48">
        <v>1918</v>
      </c>
      <c r="B281" s="22">
        <v>627765019186</v>
      </c>
      <c r="C281" s="11" t="s">
        <v>280</v>
      </c>
      <c r="D281" s="17">
        <v>60</v>
      </c>
      <c r="E281" s="17" t="s">
        <v>45</v>
      </c>
      <c r="F281" s="37">
        <v>7.7180000000000012E-2</v>
      </c>
      <c r="G281" s="17">
        <v>24</v>
      </c>
      <c r="H281" s="43" t="s">
        <v>636</v>
      </c>
      <c r="I281" s="18">
        <v>22.259921538461541</v>
      </c>
      <c r="J281" s="16"/>
      <c r="K281" s="49">
        <f>I281*J281</f>
        <v>0</v>
      </c>
      <c r="L281" s="36"/>
      <c r="N281" s="33" t="str">
        <f>IFERROR(IF($N$2*F281=0, "-", $N$2*F281), "-")</f>
        <v>-</v>
      </c>
      <c r="O281" s="33" t="str">
        <f>IF(J281&gt;0,I281+N281,"-")</f>
        <v>-</v>
      </c>
      <c r="P281" s="34" t="str">
        <f>IF(J281&gt;0,J281*F281, "-")</f>
        <v>-</v>
      </c>
      <c r="Q281" s="35" t="str">
        <f>IFERROR(IF($N$2&gt;0, $N$2*P281, "-"), "-")</f>
        <v>-</v>
      </c>
      <c r="S281" s="35" t="str">
        <f>IFERROR(IF(Q281+K281=0, "-", IF(Q281&gt;0, Q281+K281, "-")), "-")</f>
        <v>-</v>
      </c>
    </row>
    <row r="282" spans="1:19" x14ac:dyDescent="0.3">
      <c r="A282" s="48">
        <v>1919</v>
      </c>
      <c r="B282" s="23">
        <v>627765019193</v>
      </c>
      <c r="C282" s="11" t="s">
        <v>281</v>
      </c>
      <c r="D282" s="17">
        <v>300</v>
      </c>
      <c r="E282" s="17" t="s">
        <v>130</v>
      </c>
      <c r="F282" s="37">
        <v>0.44037999999999999</v>
      </c>
      <c r="G282" s="17">
        <v>6</v>
      </c>
      <c r="H282" s="43" t="s">
        <v>636</v>
      </c>
      <c r="I282" s="18">
        <v>11.804150769230771</v>
      </c>
      <c r="J282" s="16"/>
      <c r="K282" s="49">
        <f>I282*J282</f>
        <v>0</v>
      </c>
      <c r="L282" s="36"/>
      <c r="N282" s="33" t="str">
        <f>IFERROR(IF($N$2*F282=0, "-", $N$2*F282), "-")</f>
        <v>-</v>
      </c>
      <c r="O282" s="33" t="str">
        <f>IF(J282&gt;0,I282+N282,"-")</f>
        <v>-</v>
      </c>
      <c r="P282" s="34" t="str">
        <f>IF(J282&gt;0,J282*F282, "-")</f>
        <v>-</v>
      </c>
      <c r="Q282" s="35" t="str">
        <f>IFERROR(IF($N$2&gt;0, $N$2*P282, "-"), "-")</f>
        <v>-</v>
      </c>
      <c r="S282" s="35" t="str">
        <f>IFERROR(IF(Q282+K282=0, "-", IF(Q282&gt;0, Q282+K282, "-")), "-")</f>
        <v>-</v>
      </c>
    </row>
    <row r="283" spans="1:19" x14ac:dyDescent="0.3">
      <c r="A283" s="48">
        <v>1920</v>
      </c>
      <c r="B283" s="23">
        <v>627765019209</v>
      </c>
      <c r="C283" s="11" t="s">
        <v>282</v>
      </c>
      <c r="D283" s="17">
        <v>60</v>
      </c>
      <c r="E283" s="17" t="s">
        <v>45</v>
      </c>
      <c r="F283" s="37">
        <v>7.0370000000000002E-2</v>
      </c>
      <c r="G283" s="17">
        <v>24</v>
      </c>
      <c r="H283" s="43" t="s">
        <v>636</v>
      </c>
      <c r="I283" s="18">
        <v>28.757014615384616</v>
      </c>
      <c r="J283" s="16"/>
      <c r="K283" s="49">
        <f>I283*J283</f>
        <v>0</v>
      </c>
      <c r="L283" s="36"/>
      <c r="N283" s="33" t="str">
        <f>IFERROR(IF($N$2*F283=0, "-", $N$2*F283), "-")</f>
        <v>-</v>
      </c>
      <c r="O283" s="33" t="str">
        <f>IF(J283&gt;0,I283+N283,"-")</f>
        <v>-</v>
      </c>
      <c r="P283" s="34" t="str">
        <f>IF(J283&gt;0,J283*F283, "-")</f>
        <v>-</v>
      </c>
      <c r="Q283" s="35" t="str">
        <f>IFERROR(IF($N$2&gt;0, $N$2*P283, "-"), "-")</f>
        <v>-</v>
      </c>
      <c r="S283" s="35" t="str">
        <f>IFERROR(IF(Q283+K283=0, "-", IF(Q283&gt;0, Q283+K283, "-")), "-")</f>
        <v>-</v>
      </c>
    </row>
    <row r="284" spans="1:19" x14ac:dyDescent="0.3">
      <c r="A284" s="48">
        <v>1923</v>
      </c>
      <c r="B284" s="22">
        <v>627765019230</v>
      </c>
      <c r="C284" s="11" t="s">
        <v>283</v>
      </c>
      <c r="D284" s="17">
        <v>30</v>
      </c>
      <c r="E284" s="17" t="s">
        <v>284</v>
      </c>
      <c r="F284" s="37">
        <v>0.38136000000000003</v>
      </c>
      <c r="G284" s="17">
        <v>6</v>
      </c>
      <c r="H284" s="43" t="s">
        <v>636</v>
      </c>
      <c r="I284" s="18">
        <v>45.443866153846152</v>
      </c>
      <c r="J284" s="16"/>
      <c r="K284" s="49">
        <f>I284*J284</f>
        <v>0</v>
      </c>
      <c r="L284" s="36"/>
      <c r="N284" s="33" t="str">
        <f>IFERROR(IF($N$2*F284=0, "-", $N$2*F284), "-")</f>
        <v>-</v>
      </c>
      <c r="O284" s="33" t="str">
        <f>IF(J284&gt;0,I284+N284,"-")</f>
        <v>-</v>
      </c>
      <c r="P284" s="34" t="str">
        <f>IF(J284&gt;0,J284*F284, "-")</f>
        <v>-</v>
      </c>
      <c r="Q284" s="35" t="str">
        <f>IFERROR(IF($N$2&gt;0, $N$2*P284, "-"), "-")</f>
        <v>-</v>
      </c>
      <c r="S284" s="35" t="str">
        <f>IFERROR(IF(Q284+K284=0, "-", IF(Q284&gt;0, Q284+K284, "-")), "-")</f>
        <v>-</v>
      </c>
    </row>
    <row r="285" spans="1:19" x14ac:dyDescent="0.3">
      <c r="A285" s="48">
        <v>1925</v>
      </c>
      <c r="B285" s="22">
        <v>627765019254</v>
      </c>
      <c r="C285" s="11" t="s">
        <v>285</v>
      </c>
      <c r="D285" s="17">
        <v>90</v>
      </c>
      <c r="E285" s="17" t="s">
        <v>45</v>
      </c>
      <c r="F285" s="37">
        <v>0.11803999999999999</v>
      </c>
      <c r="G285" s="17">
        <v>24</v>
      </c>
      <c r="H285" s="43" t="s">
        <v>636</v>
      </c>
      <c r="I285" s="18">
        <v>20.892143076923077</v>
      </c>
      <c r="J285" s="16"/>
      <c r="K285" s="49">
        <f>I285*J285</f>
        <v>0</v>
      </c>
      <c r="L285" s="36"/>
      <c r="N285" s="33" t="str">
        <f>IFERROR(IF($N$2*F285=0, "-", $N$2*F285), "-")</f>
        <v>-</v>
      </c>
      <c r="O285" s="33" t="str">
        <f>IF(J285&gt;0,I285+N285,"-")</f>
        <v>-</v>
      </c>
      <c r="P285" s="34" t="str">
        <f>IF(J285&gt;0,J285*F285, "-")</f>
        <v>-</v>
      </c>
      <c r="Q285" s="35" t="str">
        <f>IFERROR(IF($N$2&gt;0, $N$2*P285, "-"), "-")</f>
        <v>-</v>
      </c>
      <c r="S285" s="35" t="str">
        <f>IFERROR(IF(Q285+K285=0, "-", IF(Q285&gt;0, Q285+K285, "-")), "-")</f>
        <v>-</v>
      </c>
    </row>
    <row r="286" spans="1:19" x14ac:dyDescent="0.3">
      <c r="A286" s="48">
        <v>1926</v>
      </c>
      <c r="B286" s="23">
        <v>627765019261</v>
      </c>
      <c r="C286" s="11" t="s">
        <v>286</v>
      </c>
      <c r="D286" s="17">
        <v>30</v>
      </c>
      <c r="E286" s="17" t="s">
        <v>45</v>
      </c>
      <c r="F286" s="37">
        <v>5.4480000000000001E-2</v>
      </c>
      <c r="G286" s="17">
        <v>24</v>
      </c>
      <c r="H286" s="43" t="s">
        <v>636</v>
      </c>
      <c r="I286" s="18">
        <v>20.408220000000004</v>
      </c>
      <c r="J286" s="16"/>
      <c r="K286" s="49">
        <f>I286*J286</f>
        <v>0</v>
      </c>
      <c r="L286" s="36"/>
      <c r="N286" s="33" t="str">
        <f>IFERROR(IF($N$2*F286=0, "-", $N$2*F286), "-")</f>
        <v>-</v>
      </c>
      <c r="O286" s="33" t="str">
        <f>IF(J286&gt;0,I286+N286,"-")</f>
        <v>-</v>
      </c>
      <c r="P286" s="34" t="str">
        <f>IF(J286&gt;0,J286*F286, "-")</f>
        <v>-</v>
      </c>
      <c r="Q286" s="35" t="str">
        <f>IFERROR(IF($N$2&gt;0, $N$2*P286, "-"), "-")</f>
        <v>-</v>
      </c>
      <c r="S286" s="35" t="str">
        <f>IFERROR(IF(Q286+K286=0, "-", IF(Q286&gt;0, Q286+K286, "-")), "-")</f>
        <v>-</v>
      </c>
    </row>
    <row r="287" spans="1:19" x14ac:dyDescent="0.3">
      <c r="A287" s="48">
        <v>2047</v>
      </c>
      <c r="B287" s="22">
        <v>68958020471</v>
      </c>
      <c r="C287" s="11" t="s">
        <v>287</v>
      </c>
      <c r="D287" s="17">
        <v>180</v>
      </c>
      <c r="E287" s="17" t="s">
        <v>14</v>
      </c>
      <c r="F287" s="37">
        <v>0.35525499999999999</v>
      </c>
      <c r="G287" s="17">
        <v>12</v>
      </c>
      <c r="H287" s="43" t="s">
        <v>636</v>
      </c>
      <c r="I287" s="18">
        <v>35.532893076923074</v>
      </c>
      <c r="J287" s="16"/>
      <c r="K287" s="49">
        <f>I287*J287</f>
        <v>0</v>
      </c>
      <c r="L287" s="36"/>
      <c r="N287" s="33" t="str">
        <f>IFERROR(IF($N$2*F287=0, "-", $N$2*F287), "-")</f>
        <v>-</v>
      </c>
      <c r="O287" s="33" t="str">
        <f>IF(J287&gt;0,I287+N287,"-")</f>
        <v>-</v>
      </c>
      <c r="P287" s="34" t="str">
        <f>IF(J287&gt;0,J287*F287, "-")</f>
        <v>-</v>
      </c>
      <c r="Q287" s="35" t="str">
        <f>IFERROR(IF($N$2&gt;0, $N$2*P287, "-"), "-")</f>
        <v>-</v>
      </c>
      <c r="S287" s="35" t="str">
        <f>IFERROR(IF(Q287+K287=0, "-", IF(Q287&gt;0, Q287+K287, "-")), "-")</f>
        <v>-</v>
      </c>
    </row>
    <row r="288" spans="1:19" x14ac:dyDescent="0.3">
      <c r="A288" s="48">
        <v>2070</v>
      </c>
      <c r="B288" s="22">
        <v>68958020709</v>
      </c>
      <c r="C288" s="11" t="s">
        <v>290</v>
      </c>
      <c r="D288" s="17">
        <v>30</v>
      </c>
      <c r="E288" s="17" t="s">
        <v>14</v>
      </c>
      <c r="F288" s="37">
        <v>4.5400000000000003E-2</v>
      </c>
      <c r="G288" s="17">
        <v>24</v>
      </c>
      <c r="H288" s="43" t="s">
        <v>636</v>
      </c>
      <c r="I288" s="18">
        <v>4.3581946153846154</v>
      </c>
      <c r="J288" s="16"/>
      <c r="K288" s="49">
        <f>I288*J288</f>
        <v>0</v>
      </c>
      <c r="L288" s="36"/>
      <c r="N288" s="33" t="str">
        <f>IFERROR(IF($N$2*F288=0, "-", $N$2*F288), "-")</f>
        <v>-</v>
      </c>
      <c r="O288" s="33" t="str">
        <f>IF(J288&gt;0,I288+N288,"-")</f>
        <v>-</v>
      </c>
      <c r="P288" s="34" t="str">
        <f>IF(J288&gt;0,J288*F288, "-")</f>
        <v>-</v>
      </c>
      <c r="Q288" s="35" t="str">
        <f>IFERROR(IF($N$2&gt;0, $N$2*P288, "-"), "-")</f>
        <v>-</v>
      </c>
      <c r="S288" s="35" t="str">
        <f>IFERROR(IF(Q288+K288=0, "-", IF(Q288&gt;0, Q288+K288, "-")), "-")</f>
        <v>-</v>
      </c>
    </row>
    <row r="289" spans="1:19" x14ac:dyDescent="0.3">
      <c r="A289" s="48">
        <v>2072</v>
      </c>
      <c r="B289" s="22">
        <v>68958020723</v>
      </c>
      <c r="C289" s="11" t="s">
        <v>292</v>
      </c>
      <c r="D289" s="17">
        <v>120</v>
      </c>
      <c r="E289" s="17" t="s">
        <v>14</v>
      </c>
      <c r="F289" s="37">
        <v>0.10896</v>
      </c>
      <c r="G289" s="17">
        <v>24</v>
      </c>
      <c r="H289" s="43" t="s">
        <v>636</v>
      </c>
      <c r="I289" s="18">
        <v>11.759476153846155</v>
      </c>
      <c r="J289" s="16"/>
      <c r="K289" s="49">
        <f>I289*J289</f>
        <v>0</v>
      </c>
      <c r="L289" s="36"/>
      <c r="N289" s="33" t="str">
        <f>IFERROR(IF($N$2*F289=0, "-", $N$2*F289), "-")</f>
        <v>-</v>
      </c>
      <c r="O289" s="33" t="str">
        <f>IF(J289&gt;0,I289+N289,"-")</f>
        <v>-</v>
      </c>
      <c r="P289" s="34" t="str">
        <f>IF(J289&gt;0,J289*F289, "-")</f>
        <v>-</v>
      </c>
      <c r="Q289" s="35" t="str">
        <f>IFERROR(IF($N$2&gt;0, $N$2*P289, "-"), "-")</f>
        <v>-</v>
      </c>
      <c r="S289" s="35" t="str">
        <f>IFERROR(IF(Q289+K289=0, "-", IF(Q289&gt;0, Q289+K289, "-")), "-")</f>
        <v>-</v>
      </c>
    </row>
    <row r="290" spans="1:19" x14ac:dyDescent="0.3">
      <c r="A290" s="48">
        <v>2079</v>
      </c>
      <c r="B290" s="22">
        <v>627765020793</v>
      </c>
      <c r="C290" s="11" t="s">
        <v>293</v>
      </c>
      <c r="D290" s="17">
        <v>120</v>
      </c>
      <c r="E290" s="17" t="s">
        <v>45</v>
      </c>
      <c r="F290" s="37">
        <v>6.8099999999999994E-2</v>
      </c>
      <c r="G290" s="17">
        <v>24</v>
      </c>
      <c r="H290" s="43" t="s">
        <v>636</v>
      </c>
      <c r="I290" s="18">
        <v>8.8504546153846171</v>
      </c>
      <c r="J290" s="16"/>
      <c r="K290" s="49">
        <f>I290*J290</f>
        <v>0</v>
      </c>
      <c r="L290" s="36"/>
      <c r="N290" s="33" t="str">
        <f>IFERROR(IF($N$2*F290=0, "-", $N$2*F290), "-")</f>
        <v>-</v>
      </c>
      <c r="O290" s="33" t="str">
        <f>IF(J290&gt;0,I290+N290,"-")</f>
        <v>-</v>
      </c>
      <c r="P290" s="34" t="str">
        <f>IF(J290&gt;0,J290*F290, "-")</f>
        <v>-</v>
      </c>
      <c r="Q290" s="35" t="str">
        <f>IFERROR(IF($N$2&gt;0, $N$2*P290, "-"), "-")</f>
        <v>-</v>
      </c>
      <c r="S290" s="35" t="str">
        <f>IFERROR(IF(Q290+K290=0, "-", IF(Q290&gt;0, Q290+K290, "-")), "-")</f>
        <v>-</v>
      </c>
    </row>
    <row r="291" spans="1:19" x14ac:dyDescent="0.3">
      <c r="A291" s="48">
        <v>2090</v>
      </c>
      <c r="B291" s="23">
        <v>68958020907</v>
      </c>
      <c r="C291" s="11" t="s">
        <v>294</v>
      </c>
      <c r="D291" s="17">
        <v>60</v>
      </c>
      <c r="E291" s="17" t="s">
        <v>54</v>
      </c>
      <c r="F291" s="37">
        <v>2.2700000000000001E-2</v>
      </c>
      <c r="G291" s="17">
        <v>24</v>
      </c>
      <c r="H291" s="43" t="s">
        <v>636</v>
      </c>
      <c r="I291" s="18">
        <v>22.162555384615388</v>
      </c>
      <c r="J291" s="16"/>
      <c r="K291" s="49">
        <f>I291*J291</f>
        <v>0</v>
      </c>
      <c r="L291" s="36"/>
      <c r="N291" s="33" t="str">
        <f>IFERROR(IF($N$2*F291=0, "-", $N$2*F291), "-")</f>
        <v>-</v>
      </c>
      <c r="O291" s="33" t="str">
        <f>IF(J291&gt;0,I291+N291,"-")</f>
        <v>-</v>
      </c>
      <c r="P291" s="34" t="str">
        <f>IF(J291&gt;0,J291*F291, "-")</f>
        <v>-</v>
      </c>
      <c r="Q291" s="35" t="str">
        <f>IFERROR(IF($N$2&gt;0, $N$2*P291, "-"), "-")</f>
        <v>-</v>
      </c>
      <c r="S291" s="35" t="str">
        <f>IFERROR(IF(Q291+K291=0, "-", IF(Q291&gt;0, Q291+K291, "-")), "-")</f>
        <v>-</v>
      </c>
    </row>
    <row r="292" spans="1:19" x14ac:dyDescent="0.3">
      <c r="A292" s="48">
        <v>2091</v>
      </c>
      <c r="B292" s="22">
        <v>68958020914</v>
      </c>
      <c r="C292" s="11" t="s">
        <v>295</v>
      </c>
      <c r="D292" s="17">
        <v>30</v>
      </c>
      <c r="E292" s="17" t="s">
        <v>45</v>
      </c>
      <c r="F292" s="37">
        <v>3.6319999999999998E-2</v>
      </c>
      <c r="G292" s="17">
        <v>24</v>
      </c>
      <c r="H292" s="43" t="s">
        <v>636</v>
      </c>
      <c r="I292" s="18">
        <v>34.789666153846149</v>
      </c>
      <c r="J292" s="16"/>
      <c r="K292" s="49">
        <f>I292*J292</f>
        <v>0</v>
      </c>
      <c r="L292" s="36"/>
      <c r="N292" s="33" t="str">
        <f>IFERROR(IF($N$2*F292=0, "-", $N$2*F292), "-")</f>
        <v>-</v>
      </c>
      <c r="O292" s="33" t="str">
        <f>IF(J292&gt;0,I292+N292,"-")</f>
        <v>-</v>
      </c>
      <c r="P292" s="34" t="str">
        <f>IF(J292&gt;0,J292*F292, "-")</f>
        <v>-</v>
      </c>
      <c r="Q292" s="35" t="str">
        <f>IFERROR(IF($N$2&gt;0, $N$2*P292, "-"), "-")</f>
        <v>-</v>
      </c>
      <c r="S292" s="35" t="str">
        <f>IFERROR(IF(Q292+K292=0, "-", IF(Q292&gt;0, Q292+K292, "-")), "-")</f>
        <v>-</v>
      </c>
    </row>
    <row r="293" spans="1:19" x14ac:dyDescent="0.3">
      <c r="A293" s="48">
        <v>2094</v>
      </c>
      <c r="B293" s="22">
        <v>68958020945</v>
      </c>
      <c r="C293" s="11" t="s">
        <v>296</v>
      </c>
      <c r="D293" s="17">
        <v>60</v>
      </c>
      <c r="E293" s="17" t="s">
        <v>54</v>
      </c>
      <c r="F293" s="37">
        <v>5.2209999999999999E-2</v>
      </c>
      <c r="G293" s="17">
        <v>24</v>
      </c>
      <c r="H293" s="43" t="s">
        <v>636</v>
      </c>
      <c r="I293" s="18">
        <v>13.699156153846156</v>
      </c>
      <c r="J293" s="16"/>
      <c r="K293" s="49">
        <f>I293*J293</f>
        <v>0</v>
      </c>
      <c r="L293" s="36"/>
      <c r="N293" s="33" t="str">
        <f>IFERROR(IF($N$2*F293=0, "-", $N$2*F293), "-")</f>
        <v>-</v>
      </c>
      <c r="O293" s="33" t="str">
        <f>IF(J293&gt;0,I293+N293,"-")</f>
        <v>-</v>
      </c>
      <c r="P293" s="34" t="str">
        <f>IF(J293&gt;0,J293*F293, "-")</f>
        <v>-</v>
      </c>
      <c r="Q293" s="35" t="str">
        <f>IFERROR(IF($N$2&gt;0, $N$2*P293, "-"), "-")</f>
        <v>-</v>
      </c>
      <c r="S293" s="35" t="str">
        <f>IFERROR(IF(Q293+K293=0, "-", IF(Q293&gt;0, Q293+K293, "-")), "-")</f>
        <v>-</v>
      </c>
    </row>
    <row r="294" spans="1:19" x14ac:dyDescent="0.3">
      <c r="A294" s="48">
        <v>2098</v>
      </c>
      <c r="B294" s="22">
        <v>68958020983</v>
      </c>
      <c r="C294" s="11" t="s">
        <v>297</v>
      </c>
      <c r="D294" s="17">
        <v>60</v>
      </c>
      <c r="E294" s="17" t="s">
        <v>54</v>
      </c>
      <c r="F294" s="37">
        <v>4.5400000000000003E-2</v>
      </c>
      <c r="G294" s="17">
        <v>24</v>
      </c>
      <c r="H294" s="43" t="s">
        <v>636</v>
      </c>
      <c r="I294" s="18">
        <v>5.7388084615384622</v>
      </c>
      <c r="J294" s="16"/>
      <c r="K294" s="49">
        <f>I294*J294</f>
        <v>0</v>
      </c>
      <c r="L294" s="36"/>
      <c r="N294" s="33" t="str">
        <f>IFERROR(IF($N$2*F294=0, "-", $N$2*F294), "-")</f>
        <v>-</v>
      </c>
      <c r="O294" s="33" t="str">
        <f>IF(J294&gt;0,I294+N294,"-")</f>
        <v>-</v>
      </c>
      <c r="P294" s="34" t="str">
        <f>IF(J294&gt;0,J294*F294, "-")</f>
        <v>-</v>
      </c>
      <c r="Q294" s="35" t="str">
        <f>IFERROR(IF($N$2&gt;0, $N$2*P294, "-"), "-")</f>
        <v>-</v>
      </c>
      <c r="S294" s="35" t="str">
        <f>IFERROR(IF(Q294+K294=0, "-", IF(Q294&gt;0, Q294+K294, "-")), "-")</f>
        <v>-</v>
      </c>
    </row>
    <row r="295" spans="1:19" x14ac:dyDescent="0.3">
      <c r="A295" s="48">
        <v>2101</v>
      </c>
      <c r="B295" s="22">
        <v>68958021010</v>
      </c>
      <c r="C295" s="11" t="s">
        <v>298</v>
      </c>
      <c r="D295" s="17">
        <v>60</v>
      </c>
      <c r="E295" s="17" t="s">
        <v>54</v>
      </c>
      <c r="F295" s="37">
        <v>8.3989999999999995E-2</v>
      </c>
      <c r="G295" s="17">
        <v>24</v>
      </c>
      <c r="H295" s="43" t="s">
        <v>636</v>
      </c>
      <c r="I295" s="18">
        <v>8.5160076923076939</v>
      </c>
      <c r="J295" s="16"/>
      <c r="K295" s="49">
        <f>I295*J295</f>
        <v>0</v>
      </c>
      <c r="L295" s="36"/>
      <c r="N295" s="33" t="str">
        <f>IFERROR(IF($N$2*F295=0, "-", $N$2*F295), "-")</f>
        <v>-</v>
      </c>
      <c r="O295" s="33" t="str">
        <f>IF(J295&gt;0,I295+N295,"-")</f>
        <v>-</v>
      </c>
      <c r="P295" s="34" t="str">
        <f>IF(J295&gt;0,J295*F295, "-")</f>
        <v>-</v>
      </c>
      <c r="Q295" s="35" t="str">
        <f>IFERROR(IF($N$2&gt;0, $N$2*P295, "-"), "-")</f>
        <v>-</v>
      </c>
      <c r="S295" s="35" t="str">
        <f>IFERROR(IF(Q295+K295=0, "-", IF(Q295&gt;0, Q295+K295, "-")), "-")</f>
        <v>-</v>
      </c>
    </row>
    <row r="296" spans="1:19" x14ac:dyDescent="0.3">
      <c r="A296" s="48">
        <v>2102</v>
      </c>
      <c r="B296" s="23">
        <v>68958021027</v>
      </c>
      <c r="C296" s="11" t="s">
        <v>299</v>
      </c>
      <c r="D296" s="17">
        <v>60</v>
      </c>
      <c r="E296" s="17" t="s">
        <v>45</v>
      </c>
      <c r="F296" s="37">
        <v>9.5340000000000008E-2</v>
      </c>
      <c r="G296" s="17">
        <v>24</v>
      </c>
      <c r="H296" s="43" t="s">
        <v>636</v>
      </c>
      <c r="I296" s="18">
        <v>11.609584615384616</v>
      </c>
      <c r="J296" s="16"/>
      <c r="K296" s="49">
        <f>I296*J296</f>
        <v>0</v>
      </c>
      <c r="L296" s="36"/>
      <c r="N296" s="33" t="str">
        <f>IFERROR(IF($N$2*F296=0, "-", $N$2*F296), "-")</f>
        <v>-</v>
      </c>
      <c r="O296" s="33" t="str">
        <f>IF(J296&gt;0,I296+N296,"-")</f>
        <v>-</v>
      </c>
      <c r="P296" s="34" t="str">
        <f>IF(J296&gt;0,J296*F296, "-")</f>
        <v>-</v>
      </c>
      <c r="Q296" s="35" t="str">
        <f>IFERROR(IF($N$2&gt;0, $N$2*P296, "-"), "-")</f>
        <v>-</v>
      </c>
      <c r="S296" s="35" t="str">
        <f>IFERROR(IF(Q296+K296=0, "-", IF(Q296&gt;0, Q296+K296, "-")), "-")</f>
        <v>-</v>
      </c>
    </row>
    <row r="297" spans="1:19" x14ac:dyDescent="0.3">
      <c r="A297" s="48">
        <v>2200</v>
      </c>
      <c r="B297" s="23">
        <v>68958022000</v>
      </c>
      <c r="C297" s="11" t="s">
        <v>300</v>
      </c>
      <c r="D297" s="17">
        <v>90</v>
      </c>
      <c r="E297" s="17" t="s">
        <v>54</v>
      </c>
      <c r="F297" s="37">
        <v>9.7609999999999988E-2</v>
      </c>
      <c r="G297" s="17">
        <v>24</v>
      </c>
      <c r="H297" s="43" t="s">
        <v>636</v>
      </c>
      <c r="I297" s="18">
        <v>9.4216084615384617</v>
      </c>
      <c r="J297" s="16"/>
      <c r="K297" s="49">
        <f>I297*J297</f>
        <v>0</v>
      </c>
      <c r="L297" s="36"/>
      <c r="N297" s="33" t="str">
        <f>IFERROR(IF($N$2*F297=0, "-", $N$2*F297), "-")</f>
        <v>-</v>
      </c>
      <c r="O297" s="33" t="str">
        <f>IF(J297&gt;0,I297+N297,"-")</f>
        <v>-</v>
      </c>
      <c r="P297" s="34" t="str">
        <f>IF(J297&gt;0,J297*F297, "-")</f>
        <v>-</v>
      </c>
      <c r="Q297" s="35" t="str">
        <f>IFERROR(IF($N$2&gt;0, $N$2*P297, "-"), "-")</f>
        <v>-</v>
      </c>
      <c r="S297" s="35" t="str">
        <f>IFERROR(IF(Q297+K297=0, "-", IF(Q297&gt;0, Q297+K297, "-")), "-")</f>
        <v>-</v>
      </c>
    </row>
    <row r="298" spans="1:19" x14ac:dyDescent="0.3">
      <c r="A298" s="48">
        <v>2210</v>
      </c>
      <c r="B298" s="22">
        <v>68958022109</v>
      </c>
      <c r="C298" s="11" t="s">
        <v>301</v>
      </c>
      <c r="D298" s="17">
        <v>90</v>
      </c>
      <c r="E298" s="17" t="s">
        <v>14</v>
      </c>
      <c r="F298" s="37">
        <v>0.18160000000000001</v>
      </c>
      <c r="G298" s="17">
        <v>24</v>
      </c>
      <c r="H298" s="43" t="s">
        <v>636</v>
      </c>
      <c r="I298" s="18">
        <v>6.5189007692307692</v>
      </c>
      <c r="J298" s="16"/>
      <c r="K298" s="49">
        <f>I298*J298</f>
        <v>0</v>
      </c>
      <c r="L298" s="36"/>
      <c r="N298" s="33" t="str">
        <f>IFERROR(IF($N$2*F298=0, "-", $N$2*F298), "-")</f>
        <v>-</v>
      </c>
      <c r="O298" s="33" t="str">
        <f>IF(J298&gt;0,I298+N298,"-")</f>
        <v>-</v>
      </c>
      <c r="P298" s="34" t="str">
        <f>IF(J298&gt;0,J298*F298, "-")</f>
        <v>-</v>
      </c>
      <c r="Q298" s="35" t="str">
        <f>IFERROR(IF($N$2&gt;0, $N$2*P298, "-"), "-")</f>
        <v>-</v>
      </c>
      <c r="S298" s="35" t="str">
        <f>IFERROR(IF(Q298+K298=0, "-", IF(Q298&gt;0, Q298+K298, "-")), "-")</f>
        <v>-</v>
      </c>
    </row>
    <row r="299" spans="1:19" x14ac:dyDescent="0.3">
      <c r="A299" s="48">
        <v>2211</v>
      </c>
      <c r="B299" s="22">
        <v>68958022116</v>
      </c>
      <c r="C299" s="11" t="s">
        <v>302</v>
      </c>
      <c r="D299" s="17">
        <v>180</v>
      </c>
      <c r="E299" s="17" t="s">
        <v>14</v>
      </c>
      <c r="F299" s="37">
        <v>0.35185</v>
      </c>
      <c r="G299" s="17">
        <v>12</v>
      </c>
      <c r="H299" s="43" t="s">
        <v>636</v>
      </c>
      <c r="I299" s="18">
        <v>11.325461538461539</v>
      </c>
      <c r="J299" s="16"/>
      <c r="K299" s="49">
        <f>I299*J299</f>
        <v>0</v>
      </c>
      <c r="L299" s="36"/>
      <c r="N299" s="33" t="str">
        <f>IFERROR(IF($N$2*F299=0, "-", $N$2*F299), "-")</f>
        <v>-</v>
      </c>
      <c r="O299" s="33" t="str">
        <f>IF(J299&gt;0,I299+N299,"-")</f>
        <v>-</v>
      </c>
      <c r="P299" s="34" t="str">
        <f>IF(J299&gt;0,J299*F299, "-")</f>
        <v>-</v>
      </c>
      <c r="Q299" s="35" t="str">
        <f>IFERROR(IF($N$2&gt;0, $N$2*P299, "-"), "-")</f>
        <v>-</v>
      </c>
      <c r="S299" s="35" t="str">
        <f>IFERROR(IF(Q299+K299=0, "-", IF(Q299&gt;0, Q299+K299, "-")), "-")</f>
        <v>-</v>
      </c>
    </row>
    <row r="300" spans="1:19" x14ac:dyDescent="0.3">
      <c r="A300" s="48">
        <v>2256</v>
      </c>
      <c r="B300" s="22">
        <v>68958022567</v>
      </c>
      <c r="C300" s="11" t="s">
        <v>303</v>
      </c>
      <c r="D300" s="17">
        <v>90</v>
      </c>
      <c r="E300" s="17" t="s">
        <v>14</v>
      </c>
      <c r="F300" s="37">
        <v>0.20429999999999998</v>
      </c>
      <c r="G300" s="17">
        <v>24</v>
      </c>
      <c r="H300" s="43" t="s">
        <v>636</v>
      </c>
      <c r="I300" s="18">
        <v>7.8009853846153856</v>
      </c>
      <c r="J300" s="16"/>
      <c r="K300" s="49">
        <f>I300*J300</f>
        <v>0</v>
      </c>
      <c r="L300" s="36"/>
      <c r="N300" s="33" t="str">
        <f>IFERROR(IF($N$2*F300=0, "-", $N$2*F300), "-")</f>
        <v>-</v>
      </c>
      <c r="O300" s="33" t="str">
        <f>IF(J300&gt;0,I300+N300,"-")</f>
        <v>-</v>
      </c>
      <c r="P300" s="34" t="str">
        <f>IF(J300&gt;0,J300*F300, "-")</f>
        <v>-</v>
      </c>
      <c r="Q300" s="35" t="str">
        <f>IFERROR(IF($N$2&gt;0, $N$2*P300, "-"), "-")</f>
        <v>-</v>
      </c>
      <c r="S300" s="35" t="str">
        <f>IFERROR(IF(Q300+K300=0, "-", IF(Q300&gt;0, Q300+K300, "-")), "-")</f>
        <v>-</v>
      </c>
    </row>
    <row r="301" spans="1:19" x14ac:dyDescent="0.3">
      <c r="A301" s="48">
        <v>2257</v>
      </c>
      <c r="B301" s="23">
        <v>68958022574</v>
      </c>
      <c r="C301" s="11" t="s">
        <v>304</v>
      </c>
      <c r="D301" s="17">
        <v>180</v>
      </c>
      <c r="E301" s="17" t="s">
        <v>14</v>
      </c>
      <c r="F301" s="37">
        <v>0.31780000000000003</v>
      </c>
      <c r="G301" s="17">
        <v>12</v>
      </c>
      <c r="H301" s="43" t="s">
        <v>636</v>
      </c>
      <c r="I301" s="18">
        <v>12.497199230769231</v>
      </c>
      <c r="J301" s="16"/>
      <c r="K301" s="49">
        <f>I301*J301</f>
        <v>0</v>
      </c>
      <c r="L301" s="36"/>
      <c r="N301" s="33" t="str">
        <f>IFERROR(IF($N$2*F301=0, "-", $N$2*F301), "-")</f>
        <v>-</v>
      </c>
      <c r="O301" s="33" t="str">
        <f>IF(J301&gt;0,I301+N301,"-")</f>
        <v>-</v>
      </c>
      <c r="P301" s="34" t="str">
        <f>IF(J301&gt;0,J301*F301, "-")</f>
        <v>-</v>
      </c>
      <c r="Q301" s="35" t="str">
        <f>IFERROR(IF($N$2&gt;0, $N$2*P301, "-"), "-")</f>
        <v>-</v>
      </c>
      <c r="S301" s="35" t="str">
        <f>IFERROR(IF(Q301+K301=0, "-", IF(Q301&gt;0, Q301+K301, "-")), "-")</f>
        <v>-</v>
      </c>
    </row>
    <row r="302" spans="1:19" x14ac:dyDescent="0.3">
      <c r="A302" s="48">
        <v>2260</v>
      </c>
      <c r="B302" s="23">
        <v>627765022605</v>
      </c>
      <c r="C302" s="11" t="s">
        <v>305</v>
      </c>
      <c r="D302" s="17">
        <v>90</v>
      </c>
      <c r="E302" s="17" t="s">
        <v>14</v>
      </c>
      <c r="F302" s="37">
        <v>0.20543500000000001</v>
      </c>
      <c r="G302" s="17">
        <v>24</v>
      </c>
      <c r="H302" s="43" t="s">
        <v>636</v>
      </c>
      <c r="I302" s="18">
        <v>9.5669100000000018</v>
      </c>
      <c r="J302" s="16"/>
      <c r="K302" s="49">
        <f>I302*J302</f>
        <v>0</v>
      </c>
      <c r="L302" s="36"/>
      <c r="N302" s="33" t="str">
        <f>IFERROR(IF($N$2*F302=0, "-", $N$2*F302), "-")</f>
        <v>-</v>
      </c>
      <c r="O302" s="33" t="str">
        <f>IF(J302&gt;0,I302+N302,"-")</f>
        <v>-</v>
      </c>
      <c r="P302" s="34" t="str">
        <f>IF(J302&gt;0,J302*F302, "-")</f>
        <v>-</v>
      </c>
      <c r="Q302" s="35" t="str">
        <f>IFERROR(IF($N$2&gt;0, $N$2*P302, "-"), "-")</f>
        <v>-</v>
      </c>
      <c r="S302" s="35" t="str">
        <f>IFERROR(IF(Q302+K302=0, "-", IF(Q302&gt;0, Q302+K302, "-")), "-")</f>
        <v>-</v>
      </c>
    </row>
    <row r="303" spans="1:19" x14ac:dyDescent="0.3">
      <c r="A303" s="48">
        <v>2261</v>
      </c>
      <c r="B303" s="23">
        <v>627765022612</v>
      </c>
      <c r="C303" s="11" t="s">
        <v>306</v>
      </c>
      <c r="D303" s="17">
        <v>180</v>
      </c>
      <c r="E303" s="17" t="s">
        <v>14</v>
      </c>
      <c r="F303" s="37">
        <v>0.38590000000000002</v>
      </c>
      <c r="G303" s="17">
        <v>12</v>
      </c>
      <c r="H303" s="43" t="s">
        <v>636</v>
      </c>
      <c r="I303" s="18">
        <v>18.546216923076926</v>
      </c>
      <c r="J303" s="16"/>
      <c r="K303" s="49">
        <f>I303*J303</f>
        <v>0</v>
      </c>
      <c r="L303" s="36"/>
      <c r="N303" s="33" t="str">
        <f>IFERROR(IF($N$2*F303=0, "-", $N$2*F303), "-")</f>
        <v>-</v>
      </c>
      <c r="O303" s="33" t="str">
        <f>IF(J303&gt;0,I303+N303,"-")</f>
        <v>-</v>
      </c>
      <c r="P303" s="34" t="str">
        <f>IF(J303&gt;0,J303*F303, "-")</f>
        <v>-</v>
      </c>
      <c r="Q303" s="35" t="str">
        <f>IFERROR(IF($N$2&gt;0, $N$2*P303, "-"), "-")</f>
        <v>-</v>
      </c>
      <c r="S303" s="35" t="str">
        <f>IFERROR(IF(Q303+K303=0, "-", IF(Q303&gt;0, Q303+K303, "-")), "-")</f>
        <v>-</v>
      </c>
    </row>
    <row r="304" spans="1:19" x14ac:dyDescent="0.3">
      <c r="A304" s="48">
        <v>2265</v>
      </c>
      <c r="B304" s="22">
        <v>68958022659</v>
      </c>
      <c r="C304" s="11" t="s">
        <v>307</v>
      </c>
      <c r="D304" s="17">
        <v>90</v>
      </c>
      <c r="E304" s="17" t="s">
        <v>14</v>
      </c>
      <c r="F304" s="37">
        <v>0.26105</v>
      </c>
      <c r="G304" s="17">
        <v>12</v>
      </c>
      <c r="H304" s="43" t="s">
        <v>636</v>
      </c>
      <c r="I304" s="18">
        <v>14.288856923076924</v>
      </c>
      <c r="J304" s="16"/>
      <c r="K304" s="49">
        <f>I304*J304</f>
        <v>0</v>
      </c>
      <c r="L304" s="36"/>
      <c r="N304" s="33" t="str">
        <f>IFERROR(IF($N$2*F304=0, "-", $N$2*F304), "-")</f>
        <v>-</v>
      </c>
      <c r="O304" s="33" t="str">
        <f>IF(J304&gt;0,I304+N304,"-")</f>
        <v>-</v>
      </c>
      <c r="P304" s="34" t="str">
        <f>IF(J304&gt;0,J304*F304, "-")</f>
        <v>-</v>
      </c>
      <c r="Q304" s="35" t="str">
        <f>IFERROR(IF($N$2&gt;0, $N$2*P304, "-"), "-")</f>
        <v>-</v>
      </c>
      <c r="S304" s="35" t="str">
        <f>IFERROR(IF(Q304+K304=0, "-", IF(Q304&gt;0, Q304+K304, "-")), "-")</f>
        <v>-</v>
      </c>
    </row>
    <row r="305" spans="1:19" x14ac:dyDescent="0.3">
      <c r="A305" s="48">
        <v>2266</v>
      </c>
      <c r="B305" s="23">
        <v>68958022666</v>
      </c>
      <c r="C305" s="11" t="s">
        <v>308</v>
      </c>
      <c r="D305" s="17">
        <v>180</v>
      </c>
      <c r="E305" s="17" t="s">
        <v>14</v>
      </c>
      <c r="F305" s="37">
        <v>0.47215999999999997</v>
      </c>
      <c r="G305" s="17">
        <v>12</v>
      </c>
      <c r="H305" s="43" t="s">
        <v>636</v>
      </c>
      <c r="I305" s="18">
        <v>26.153072307692305</v>
      </c>
      <c r="J305" s="16"/>
      <c r="K305" s="49">
        <f>I305*J305</f>
        <v>0</v>
      </c>
      <c r="L305" s="36"/>
      <c r="N305" s="33" t="str">
        <f>IFERROR(IF($N$2*F305=0, "-", $N$2*F305), "-")</f>
        <v>-</v>
      </c>
      <c r="O305" s="33" t="str">
        <f>IF(J305&gt;0,I305+N305,"-")</f>
        <v>-</v>
      </c>
      <c r="P305" s="34" t="str">
        <f>IF(J305&gt;0,J305*F305, "-")</f>
        <v>-</v>
      </c>
      <c r="Q305" s="35" t="str">
        <f>IFERROR(IF($N$2&gt;0, $N$2*P305, "-"), "-")</f>
        <v>-</v>
      </c>
      <c r="S305" s="35" t="str">
        <f>IFERROR(IF(Q305+K305=0, "-", IF(Q305&gt;0, Q305+K305, "-")), "-")</f>
        <v>-</v>
      </c>
    </row>
    <row r="306" spans="1:19" x14ac:dyDescent="0.3">
      <c r="A306" s="48">
        <v>2332</v>
      </c>
      <c r="B306" s="22">
        <v>627765023329</v>
      </c>
      <c r="C306" s="11" t="s">
        <v>309</v>
      </c>
      <c r="D306" s="17">
        <v>90</v>
      </c>
      <c r="E306" s="17" t="s">
        <v>14</v>
      </c>
      <c r="F306" s="37">
        <v>0.21792</v>
      </c>
      <c r="G306" s="17">
        <v>24</v>
      </c>
      <c r="H306" s="43" t="s">
        <v>636</v>
      </c>
      <c r="I306" s="18">
        <v>11.858649230769233</v>
      </c>
      <c r="J306" s="16"/>
      <c r="K306" s="49">
        <f>I306*J306</f>
        <v>0</v>
      </c>
      <c r="L306" s="36"/>
      <c r="N306" s="33" t="str">
        <f>IFERROR(IF($N$2*F306=0, "-", $N$2*F306), "-")</f>
        <v>-</v>
      </c>
      <c r="O306" s="33" t="str">
        <f>IF(J306&gt;0,I306+N306,"-")</f>
        <v>-</v>
      </c>
      <c r="P306" s="34" t="str">
        <f>IF(J306&gt;0,J306*F306, "-")</f>
        <v>-</v>
      </c>
      <c r="Q306" s="35" t="str">
        <f>IFERROR(IF($N$2&gt;0, $N$2*P306, "-"), "-")</f>
        <v>-</v>
      </c>
      <c r="S306" s="35" t="str">
        <f>IFERROR(IF(Q306+K306=0, "-", IF(Q306&gt;0, Q306+K306, "-")), "-")</f>
        <v>-</v>
      </c>
    </row>
    <row r="307" spans="1:19" x14ac:dyDescent="0.3">
      <c r="A307" s="48">
        <v>2333</v>
      </c>
      <c r="B307" s="23">
        <v>627765023336</v>
      </c>
      <c r="C307" s="11" t="s">
        <v>310</v>
      </c>
      <c r="D307" s="17">
        <v>180</v>
      </c>
      <c r="E307" s="17" t="s">
        <v>14</v>
      </c>
      <c r="F307" s="37">
        <v>0.41768</v>
      </c>
      <c r="G307" s="17">
        <v>12</v>
      </c>
      <c r="H307" s="43" t="s">
        <v>636</v>
      </c>
      <c r="I307" s="18">
        <v>21.483630000000005</v>
      </c>
      <c r="J307" s="16"/>
      <c r="K307" s="49">
        <f>I307*J307</f>
        <v>0</v>
      </c>
      <c r="L307" s="36"/>
      <c r="N307" s="33" t="str">
        <f>IFERROR(IF($N$2*F307=0, "-", $N$2*F307), "-")</f>
        <v>-</v>
      </c>
      <c r="O307" s="33" t="str">
        <f>IF(J307&gt;0,I307+N307,"-")</f>
        <v>-</v>
      </c>
      <c r="P307" s="34" t="str">
        <f>IF(J307&gt;0,J307*F307, "-")</f>
        <v>-</v>
      </c>
      <c r="Q307" s="35" t="str">
        <f>IFERROR(IF($N$2&gt;0, $N$2*P307, "-"), "-")</f>
        <v>-</v>
      </c>
      <c r="S307" s="35" t="str">
        <f>IFERROR(IF(Q307+K307=0, "-", IF(Q307&gt;0, Q307+K307, "-")), "-")</f>
        <v>-</v>
      </c>
    </row>
    <row r="308" spans="1:19" x14ac:dyDescent="0.3">
      <c r="A308" s="48">
        <v>2334</v>
      </c>
      <c r="B308" s="23">
        <v>68958023342</v>
      </c>
      <c r="C308" s="11" t="s">
        <v>311</v>
      </c>
      <c r="D308" s="17">
        <v>120</v>
      </c>
      <c r="E308" s="17" t="s">
        <v>45</v>
      </c>
      <c r="F308" s="37">
        <v>0.11236500000000001</v>
      </c>
      <c r="G308" s="17">
        <v>24</v>
      </c>
      <c r="H308" s="43" t="s">
        <v>636</v>
      </c>
      <c r="I308" s="18">
        <v>9.3524053846153841</v>
      </c>
      <c r="J308" s="16"/>
      <c r="K308" s="49">
        <f>I308*J308</f>
        <v>0</v>
      </c>
      <c r="L308" s="36"/>
      <c r="N308" s="33" t="str">
        <f>IFERROR(IF($N$2*F308=0, "-", $N$2*F308), "-")</f>
        <v>-</v>
      </c>
      <c r="O308" s="33" t="str">
        <f>IF(J308&gt;0,I308+N308,"-")</f>
        <v>-</v>
      </c>
      <c r="P308" s="34" t="str">
        <f>IF(J308&gt;0,J308*F308, "-")</f>
        <v>-</v>
      </c>
      <c r="Q308" s="35" t="str">
        <f>IFERROR(IF($N$2&gt;0, $N$2*P308, "-"), "-")</f>
        <v>-</v>
      </c>
      <c r="S308" s="35" t="str">
        <f>IFERROR(IF(Q308+K308=0, "-", IF(Q308&gt;0, Q308+K308, "-")), "-")</f>
        <v>-</v>
      </c>
    </row>
    <row r="309" spans="1:19" x14ac:dyDescent="0.3">
      <c r="A309" s="48">
        <v>2346</v>
      </c>
      <c r="B309" s="22">
        <v>68958023465</v>
      </c>
      <c r="C309" s="11" t="s">
        <v>312</v>
      </c>
      <c r="D309" s="17">
        <v>90</v>
      </c>
      <c r="E309" s="17" t="s">
        <v>14</v>
      </c>
      <c r="F309" s="37">
        <v>0.19068000000000002</v>
      </c>
      <c r="G309" s="17">
        <v>24</v>
      </c>
      <c r="H309" s="43" t="s">
        <v>636</v>
      </c>
      <c r="I309" s="18">
        <v>11.648755384615386</v>
      </c>
      <c r="J309" s="16"/>
      <c r="K309" s="49">
        <f>I309*J309</f>
        <v>0</v>
      </c>
      <c r="L309" s="36"/>
      <c r="N309" s="33" t="str">
        <f>IFERROR(IF($N$2*F309=0, "-", $N$2*F309), "-")</f>
        <v>-</v>
      </c>
      <c r="O309" s="33" t="str">
        <f>IF(J309&gt;0,I309+N309,"-")</f>
        <v>-</v>
      </c>
      <c r="P309" s="34" t="str">
        <f>IF(J309&gt;0,J309*F309, "-")</f>
        <v>-</v>
      </c>
      <c r="Q309" s="35" t="str">
        <f>IFERROR(IF($N$2&gt;0, $N$2*P309, "-"), "-")</f>
        <v>-</v>
      </c>
      <c r="S309" s="35" t="str">
        <f>IFERROR(IF(Q309+K309=0, "-", IF(Q309&gt;0, Q309+K309, "-")), "-")</f>
        <v>-</v>
      </c>
    </row>
    <row r="310" spans="1:19" x14ac:dyDescent="0.3">
      <c r="A310" s="48">
        <v>2347</v>
      </c>
      <c r="B310" s="22">
        <v>68958023472</v>
      </c>
      <c r="C310" s="11" t="s">
        <v>313</v>
      </c>
      <c r="D310" s="17">
        <v>180</v>
      </c>
      <c r="E310" s="17" t="s">
        <v>14</v>
      </c>
      <c r="F310" s="37">
        <v>0.36547000000000002</v>
      </c>
      <c r="G310" s="17">
        <v>12</v>
      </c>
      <c r="H310" s="43" t="s">
        <v>636</v>
      </c>
      <c r="I310" s="18">
        <v>21.550693846153848</v>
      </c>
      <c r="J310" s="16"/>
      <c r="K310" s="49">
        <f>I310*J310</f>
        <v>0</v>
      </c>
      <c r="L310" s="36"/>
      <c r="N310" s="33" t="str">
        <f>IFERROR(IF($N$2*F310=0, "-", $N$2*F310), "-")</f>
        <v>-</v>
      </c>
      <c r="O310" s="33" t="str">
        <f>IF(J310&gt;0,I310+N310,"-")</f>
        <v>-</v>
      </c>
      <c r="P310" s="34" t="str">
        <f>IF(J310&gt;0,J310*F310, "-")</f>
        <v>-</v>
      </c>
      <c r="Q310" s="35" t="str">
        <f>IFERROR(IF($N$2&gt;0, $N$2*P310, "-"), "-")</f>
        <v>-</v>
      </c>
      <c r="S310" s="35" t="str">
        <f>IFERROR(IF(Q310+K310=0, "-", IF(Q310&gt;0, Q310+K310, "-")), "-")</f>
        <v>-</v>
      </c>
    </row>
    <row r="311" spans="1:19" x14ac:dyDescent="0.3">
      <c r="A311" s="48">
        <v>2351</v>
      </c>
      <c r="B311" s="23">
        <v>68958023519</v>
      </c>
      <c r="C311" s="11" t="s">
        <v>314</v>
      </c>
      <c r="D311" s="17">
        <v>90</v>
      </c>
      <c r="E311" s="17" t="s">
        <v>14</v>
      </c>
      <c r="F311" s="37">
        <v>0.107825</v>
      </c>
      <c r="G311" s="17">
        <v>24</v>
      </c>
      <c r="H311" s="43" t="s">
        <v>636</v>
      </c>
      <c r="I311" s="18">
        <v>8.6555146153846163</v>
      </c>
      <c r="J311" s="16"/>
      <c r="K311" s="49">
        <f>I311*J311</f>
        <v>0</v>
      </c>
      <c r="L311" s="36"/>
      <c r="N311" s="33" t="str">
        <f>IFERROR(IF($N$2*F311=0, "-", $N$2*F311), "-")</f>
        <v>-</v>
      </c>
      <c r="O311" s="33" t="str">
        <f>IF(J311&gt;0,I311+N311,"-")</f>
        <v>-</v>
      </c>
      <c r="P311" s="34" t="str">
        <f>IF(J311&gt;0,J311*F311, "-")</f>
        <v>-</v>
      </c>
      <c r="Q311" s="35" t="str">
        <f>IFERROR(IF($N$2&gt;0, $N$2*P311, "-"), "-")</f>
        <v>-</v>
      </c>
      <c r="S311" s="35" t="str">
        <f>IFERROR(IF(Q311+K311=0, "-", IF(Q311&gt;0, Q311+K311, "-")), "-")</f>
        <v>-</v>
      </c>
    </row>
    <row r="312" spans="1:19" x14ac:dyDescent="0.3">
      <c r="A312" s="48">
        <v>2352</v>
      </c>
      <c r="B312" s="23">
        <v>68958023526</v>
      </c>
      <c r="C312" s="11" t="s">
        <v>315</v>
      </c>
      <c r="D312" s="17">
        <v>180</v>
      </c>
      <c r="E312" s="17" t="s">
        <v>14</v>
      </c>
      <c r="F312" s="37">
        <v>0.20089499999999999</v>
      </c>
      <c r="G312" s="17">
        <v>24</v>
      </c>
      <c r="H312" s="43" t="s">
        <v>636</v>
      </c>
      <c r="I312" s="18">
        <v>15.940384615384614</v>
      </c>
      <c r="J312" s="16"/>
      <c r="K312" s="49">
        <f>I312*J312</f>
        <v>0</v>
      </c>
      <c r="L312" s="36"/>
      <c r="N312" s="33" t="str">
        <f>IFERROR(IF($N$2*F312=0, "-", $N$2*F312), "-")</f>
        <v>-</v>
      </c>
      <c r="O312" s="33" t="str">
        <f>IF(J312&gt;0,I312+N312,"-")</f>
        <v>-</v>
      </c>
      <c r="P312" s="34" t="str">
        <f>IF(J312&gt;0,J312*F312, "-")</f>
        <v>-</v>
      </c>
      <c r="Q312" s="35" t="str">
        <f>IFERROR(IF($N$2&gt;0, $N$2*P312, "-"), "-")</f>
        <v>-</v>
      </c>
      <c r="S312" s="35" t="str">
        <f>IFERROR(IF(Q312+K312=0, "-", IF(Q312&gt;0, Q312+K312, "-")), "-")</f>
        <v>-</v>
      </c>
    </row>
    <row r="313" spans="1:19" x14ac:dyDescent="0.3">
      <c r="A313" s="48">
        <v>2400</v>
      </c>
      <c r="B313" s="23">
        <v>68958024004</v>
      </c>
      <c r="C313" s="11" t="s">
        <v>316</v>
      </c>
      <c r="D313" s="17" t="s">
        <v>317</v>
      </c>
      <c r="E313" s="17" t="s">
        <v>130</v>
      </c>
      <c r="F313" s="37">
        <v>0.63219500000000006</v>
      </c>
      <c r="G313" s="17">
        <v>4</v>
      </c>
      <c r="H313" s="43" t="s">
        <v>636</v>
      </c>
      <c r="I313" s="18">
        <v>23.350451538461542</v>
      </c>
      <c r="J313" s="16"/>
      <c r="K313" s="49">
        <f>I313*J313</f>
        <v>0</v>
      </c>
      <c r="L313" s="36"/>
      <c r="N313" s="33" t="str">
        <f>IFERROR(IF($N$2*F313=0, "-", $N$2*F313), "-")</f>
        <v>-</v>
      </c>
      <c r="O313" s="33" t="str">
        <f>IF(J313&gt;0,I313+N313,"-")</f>
        <v>-</v>
      </c>
      <c r="P313" s="34" t="str">
        <f>IF(J313&gt;0,J313*F313, "-")</f>
        <v>-</v>
      </c>
      <c r="Q313" s="35" t="str">
        <f>IFERROR(IF($N$2&gt;0, $N$2*P313, "-"), "-")</f>
        <v>-</v>
      </c>
      <c r="S313" s="35" t="str">
        <f>IFERROR(IF(Q313+K313=0, "-", IF(Q313&gt;0, Q313+K313, "-")), "-")</f>
        <v>-</v>
      </c>
    </row>
    <row r="314" spans="1:19" x14ac:dyDescent="0.3">
      <c r="A314" s="48">
        <v>2402</v>
      </c>
      <c r="B314" s="22">
        <v>68958024028</v>
      </c>
      <c r="C314" s="11" t="s">
        <v>318</v>
      </c>
      <c r="D314" s="17" t="s">
        <v>319</v>
      </c>
      <c r="E314" s="17" t="s">
        <v>130</v>
      </c>
      <c r="F314" s="37">
        <v>0.78996</v>
      </c>
      <c r="G314" s="17">
        <v>6</v>
      </c>
      <c r="H314" s="43" t="s">
        <v>636</v>
      </c>
      <c r="I314" s="18">
        <v>37.809242307692315</v>
      </c>
      <c r="J314" s="16"/>
      <c r="K314" s="49">
        <f>I314*J314</f>
        <v>0</v>
      </c>
      <c r="L314" s="36"/>
      <c r="N314" s="33" t="str">
        <f>IFERROR(IF($N$2*F314=0, "-", $N$2*F314), "-")</f>
        <v>-</v>
      </c>
      <c r="O314" s="33" t="str">
        <f>IF(J314&gt;0,I314+N314,"-")</f>
        <v>-</v>
      </c>
      <c r="P314" s="34" t="str">
        <f>IF(J314&gt;0,J314*F314, "-")</f>
        <v>-</v>
      </c>
      <c r="Q314" s="35" t="str">
        <f>IFERROR(IF($N$2&gt;0, $N$2*P314, "-"), "-")</f>
        <v>-</v>
      </c>
      <c r="S314" s="35" t="str">
        <f>IFERROR(IF(Q314+K314=0, "-", IF(Q314&gt;0, Q314+K314, "-")), "-")</f>
        <v>-</v>
      </c>
    </row>
    <row r="315" spans="1:19" x14ac:dyDescent="0.3">
      <c r="A315" s="48">
        <v>2501</v>
      </c>
      <c r="B315" s="23">
        <v>627765025019</v>
      </c>
      <c r="C315" s="11" t="s">
        <v>320</v>
      </c>
      <c r="D315" s="17">
        <v>180</v>
      </c>
      <c r="E315" s="17" t="s">
        <v>32</v>
      </c>
      <c r="F315" s="37">
        <v>0.18160000000000001</v>
      </c>
      <c r="G315" s="17">
        <v>24</v>
      </c>
      <c r="H315" s="43" t="s">
        <v>636</v>
      </c>
      <c r="I315" s="18">
        <v>7.6825799999999997</v>
      </c>
      <c r="J315" s="16"/>
      <c r="K315" s="49">
        <f>I315*J315</f>
        <v>0</v>
      </c>
      <c r="L315" s="36"/>
      <c r="N315" s="33" t="str">
        <f>IFERROR(IF($N$2*F315=0, "-", $N$2*F315), "-")</f>
        <v>-</v>
      </c>
      <c r="O315" s="33" t="str">
        <f>IF(J315&gt;0,I315+N315,"-")</f>
        <v>-</v>
      </c>
      <c r="P315" s="34" t="str">
        <f>IF(J315&gt;0,J315*F315, "-")</f>
        <v>-</v>
      </c>
      <c r="Q315" s="35" t="str">
        <f>IFERROR(IF($N$2&gt;0, $N$2*P315, "-"), "-")</f>
        <v>-</v>
      </c>
      <c r="S315" s="35" t="str">
        <f>IFERROR(IF(Q315+K315=0, "-", IF(Q315&gt;0, Q315+K315, "-")), "-")</f>
        <v>-</v>
      </c>
    </row>
    <row r="316" spans="1:19" x14ac:dyDescent="0.3">
      <c r="A316" s="48">
        <v>2600</v>
      </c>
      <c r="B316" s="22">
        <v>68958026008</v>
      </c>
      <c r="C316" s="11" t="s">
        <v>321</v>
      </c>
      <c r="D316" s="17">
        <v>90</v>
      </c>
      <c r="E316" s="17" t="s">
        <v>14</v>
      </c>
      <c r="F316" s="37">
        <v>0.20429999999999998</v>
      </c>
      <c r="G316" s="17">
        <v>24</v>
      </c>
      <c r="H316" s="43" t="s">
        <v>636</v>
      </c>
      <c r="I316" s="18">
        <v>9.2502207692307703</v>
      </c>
      <c r="J316" s="16"/>
      <c r="K316" s="49">
        <f>I316*J316</f>
        <v>0</v>
      </c>
      <c r="L316" s="36"/>
      <c r="N316" s="33" t="str">
        <f>IFERROR(IF($N$2*F316=0, "-", $N$2*F316), "-")</f>
        <v>-</v>
      </c>
      <c r="O316" s="33" t="str">
        <f>IF(J316&gt;0,I316+N316,"-")</f>
        <v>-</v>
      </c>
      <c r="P316" s="34" t="str">
        <f>IF(J316&gt;0,J316*F316, "-")</f>
        <v>-</v>
      </c>
      <c r="Q316" s="35" t="str">
        <f>IFERROR(IF($N$2&gt;0, $N$2*P316, "-"), "-")</f>
        <v>-</v>
      </c>
      <c r="S316" s="35" t="str">
        <f>IFERROR(IF(Q316+K316=0, "-", IF(Q316&gt;0, Q316+K316, "-")), "-")</f>
        <v>-</v>
      </c>
    </row>
    <row r="317" spans="1:19" x14ac:dyDescent="0.3">
      <c r="A317" s="48">
        <v>2601</v>
      </c>
      <c r="B317" s="23">
        <v>68958026015</v>
      </c>
      <c r="C317" s="11" t="s">
        <v>322</v>
      </c>
      <c r="D317" s="17">
        <v>180</v>
      </c>
      <c r="E317" s="17" t="s">
        <v>14</v>
      </c>
      <c r="F317" s="37">
        <v>0.38590000000000002</v>
      </c>
      <c r="G317" s="17">
        <v>12</v>
      </c>
      <c r="H317" s="43" t="s">
        <v>636</v>
      </c>
      <c r="I317" s="18">
        <v>16.409250000000004</v>
      </c>
      <c r="J317" s="16"/>
      <c r="K317" s="49">
        <f>I317*J317</f>
        <v>0</v>
      </c>
      <c r="L317" s="36"/>
      <c r="N317" s="33" t="str">
        <f>IFERROR(IF($N$2*F317=0, "-", $N$2*F317), "-")</f>
        <v>-</v>
      </c>
      <c r="O317" s="33" t="str">
        <f>IF(J317&gt;0,I317+N317,"-")</f>
        <v>-</v>
      </c>
      <c r="P317" s="34" t="str">
        <f>IF(J317&gt;0,J317*F317, "-")</f>
        <v>-</v>
      </c>
      <c r="Q317" s="35" t="str">
        <f>IFERROR(IF($N$2&gt;0, $N$2*P317, "-"), "-")</f>
        <v>-</v>
      </c>
      <c r="S317" s="35" t="str">
        <f>IFERROR(IF(Q317+K317=0, "-", IF(Q317&gt;0, Q317+K317, "-")), "-")</f>
        <v>-</v>
      </c>
    </row>
    <row r="318" spans="1:19" x14ac:dyDescent="0.3">
      <c r="A318" s="48">
        <v>2607</v>
      </c>
      <c r="B318" s="23">
        <v>68958026077</v>
      </c>
      <c r="C318" s="11" t="s">
        <v>324</v>
      </c>
      <c r="D318" s="17">
        <v>30</v>
      </c>
      <c r="E318" s="17" t="s">
        <v>45</v>
      </c>
      <c r="F318" s="37">
        <v>3.6319999999999998E-2</v>
      </c>
      <c r="G318" s="17">
        <v>24</v>
      </c>
      <c r="H318" s="43" t="s">
        <v>636</v>
      </c>
      <c r="I318" s="18">
        <v>21.237244615384615</v>
      </c>
      <c r="J318" s="16"/>
      <c r="K318" s="49">
        <f>I318*J318</f>
        <v>0</v>
      </c>
      <c r="L318" s="36"/>
      <c r="N318" s="33" t="str">
        <f>IFERROR(IF($N$2*F318=0, "-", $N$2*F318), "-")</f>
        <v>-</v>
      </c>
      <c r="O318" s="33" t="str">
        <f>IF(J318&gt;0,I318+N318,"-")</f>
        <v>-</v>
      </c>
      <c r="P318" s="34" t="str">
        <f>IF(J318&gt;0,J318*F318, "-")</f>
        <v>-</v>
      </c>
      <c r="Q318" s="35" t="str">
        <f>IFERROR(IF($N$2&gt;0, $N$2*P318, "-"), "-")</f>
        <v>-</v>
      </c>
      <c r="S318" s="35" t="str">
        <f>IFERROR(IF(Q318+K318=0, "-", IF(Q318&gt;0, Q318+K318, "-")), "-")</f>
        <v>-</v>
      </c>
    </row>
    <row r="319" spans="1:19" x14ac:dyDescent="0.3">
      <c r="A319" s="48">
        <v>2613</v>
      </c>
      <c r="B319" s="23">
        <v>68958026138</v>
      </c>
      <c r="C319" s="11" t="s">
        <v>326</v>
      </c>
      <c r="D319" s="17">
        <v>60</v>
      </c>
      <c r="E319" s="17" t="s">
        <v>14</v>
      </c>
      <c r="F319" s="37">
        <v>8.6260000000000003E-2</v>
      </c>
      <c r="G319" s="17">
        <v>24</v>
      </c>
      <c r="H319" s="43" t="s">
        <v>636</v>
      </c>
      <c r="I319" s="18">
        <v>19.236960000000003</v>
      </c>
      <c r="J319" s="16"/>
      <c r="K319" s="49">
        <f>I319*J319</f>
        <v>0</v>
      </c>
      <c r="L319" s="36"/>
      <c r="N319" s="33" t="str">
        <f>IFERROR(IF($N$2*F319=0, "-", $N$2*F319), "-")</f>
        <v>-</v>
      </c>
      <c r="O319" s="33" t="str">
        <f>IF(J319&gt;0,I319+N319,"-")</f>
        <v>-</v>
      </c>
      <c r="P319" s="34" t="str">
        <f>IF(J319&gt;0,J319*F319, "-")</f>
        <v>-</v>
      </c>
      <c r="Q319" s="35" t="str">
        <f>IFERROR(IF($N$2&gt;0, $N$2*P319, "-"), "-")</f>
        <v>-</v>
      </c>
      <c r="S319" s="35" t="str">
        <f>IFERROR(IF(Q319+K319=0, "-", IF(Q319&gt;0, Q319+K319, "-")), "-")</f>
        <v>-</v>
      </c>
    </row>
    <row r="320" spans="1:19" x14ac:dyDescent="0.3">
      <c r="A320" s="48">
        <v>2614</v>
      </c>
      <c r="B320" s="23">
        <v>68958026145</v>
      </c>
      <c r="C320" s="11" t="s">
        <v>327</v>
      </c>
      <c r="D320" s="17">
        <v>60</v>
      </c>
      <c r="E320" s="17" t="s">
        <v>14</v>
      </c>
      <c r="F320" s="37">
        <v>7.9450000000000007E-2</v>
      </c>
      <c r="G320" s="17">
        <v>24</v>
      </c>
      <c r="H320" s="43" t="s">
        <v>636</v>
      </c>
      <c r="I320" s="18">
        <v>10.683006923076924</v>
      </c>
      <c r="J320" s="16"/>
      <c r="K320" s="49">
        <f>I320*J320</f>
        <v>0</v>
      </c>
      <c r="L320" s="36"/>
      <c r="N320" s="33" t="str">
        <f>IFERROR(IF($N$2*F320=0, "-", $N$2*F320), "-")</f>
        <v>-</v>
      </c>
      <c r="O320" s="33" t="str">
        <f>IF(J320&gt;0,I320+N320,"-")</f>
        <v>-</v>
      </c>
      <c r="P320" s="34" t="str">
        <f>IF(J320&gt;0,J320*F320, "-")</f>
        <v>-</v>
      </c>
      <c r="Q320" s="35" t="str">
        <f>IFERROR(IF($N$2&gt;0, $N$2*P320, "-"), "-")</f>
        <v>-</v>
      </c>
      <c r="S320" s="35" t="str">
        <f>IFERROR(IF(Q320+K320=0, "-", IF(Q320&gt;0, Q320+K320, "-")), "-")</f>
        <v>-</v>
      </c>
    </row>
    <row r="321" spans="1:19" x14ac:dyDescent="0.3">
      <c r="A321" s="48">
        <v>2617</v>
      </c>
      <c r="B321" s="23">
        <v>68958026176</v>
      </c>
      <c r="C321" s="11" t="s">
        <v>328</v>
      </c>
      <c r="D321" s="17">
        <v>30</v>
      </c>
      <c r="E321" s="17" t="s">
        <v>14</v>
      </c>
      <c r="F321" s="37">
        <v>4.7670000000000004E-2</v>
      </c>
      <c r="G321" s="17">
        <v>24</v>
      </c>
      <c r="H321" s="43" t="s">
        <v>636</v>
      </c>
      <c r="I321" s="18">
        <v>23.21705076923077</v>
      </c>
      <c r="J321" s="16"/>
      <c r="K321" s="49">
        <f>I321*J321</f>
        <v>0</v>
      </c>
      <c r="L321" s="36"/>
      <c r="N321" s="33" t="str">
        <f>IFERROR(IF($N$2*F321=0, "-", $N$2*F321), "-")</f>
        <v>-</v>
      </c>
      <c r="O321" s="33" t="str">
        <f>IF(J321&gt;0,I321+N321,"-")</f>
        <v>-</v>
      </c>
      <c r="P321" s="34" t="str">
        <f>IF(J321&gt;0,J321*F321, "-")</f>
        <v>-</v>
      </c>
      <c r="Q321" s="35" t="str">
        <f>IFERROR(IF($N$2&gt;0, $N$2*P321, "-"), "-")</f>
        <v>-</v>
      </c>
      <c r="S321" s="35" t="str">
        <f>IFERROR(IF(Q321+K321=0, "-", IF(Q321&gt;0, Q321+K321, "-")), "-")</f>
        <v>-</v>
      </c>
    </row>
    <row r="322" spans="1:19" x14ac:dyDescent="0.3">
      <c r="A322" s="48">
        <v>2619</v>
      </c>
      <c r="B322" s="23">
        <v>68958026190</v>
      </c>
      <c r="C322" s="11" t="s">
        <v>329</v>
      </c>
      <c r="D322" s="17">
        <v>60</v>
      </c>
      <c r="E322" s="17" t="s">
        <v>14</v>
      </c>
      <c r="F322" s="37">
        <v>7.9450000000000007E-2</v>
      </c>
      <c r="G322" s="17">
        <v>24</v>
      </c>
      <c r="H322" s="43" t="s">
        <v>636</v>
      </c>
      <c r="I322" s="18">
        <v>43.396206923076925</v>
      </c>
      <c r="J322" s="16"/>
      <c r="K322" s="49">
        <f>I322*J322</f>
        <v>0</v>
      </c>
      <c r="L322" s="36"/>
      <c r="N322" s="33" t="str">
        <f>IFERROR(IF($N$2*F322=0, "-", $N$2*F322), "-")</f>
        <v>-</v>
      </c>
      <c r="O322" s="33" t="str">
        <f>IF(J322&gt;0,I322+N322,"-")</f>
        <v>-</v>
      </c>
      <c r="P322" s="34" t="str">
        <f>IF(J322&gt;0,J322*F322, "-")</f>
        <v>-</v>
      </c>
      <c r="Q322" s="35" t="str">
        <f>IFERROR(IF($N$2&gt;0, $N$2*P322, "-"), "-")</f>
        <v>-</v>
      </c>
      <c r="S322" s="35" t="str">
        <f>IFERROR(IF(Q322+K322=0, "-", IF(Q322&gt;0, Q322+K322, "-")), "-")</f>
        <v>-</v>
      </c>
    </row>
    <row r="323" spans="1:19" x14ac:dyDescent="0.3">
      <c r="A323" s="48">
        <v>2626</v>
      </c>
      <c r="B323" s="23">
        <v>68958026268</v>
      </c>
      <c r="C323" s="11" t="s">
        <v>330</v>
      </c>
      <c r="D323" s="17">
        <v>120</v>
      </c>
      <c r="E323" s="17" t="s">
        <v>14</v>
      </c>
      <c r="F323" s="37">
        <v>0.15436000000000002</v>
      </c>
      <c r="G323" s="17">
        <v>24</v>
      </c>
      <c r="H323" s="43" t="s">
        <v>636</v>
      </c>
      <c r="I323" s="18">
        <v>36.653164615384611</v>
      </c>
      <c r="J323" s="16"/>
      <c r="K323" s="49">
        <f>I323*J323</f>
        <v>0</v>
      </c>
      <c r="L323" s="36"/>
      <c r="N323" s="33" t="str">
        <f>IFERROR(IF($N$2*F323=0, "-", $N$2*F323), "-")</f>
        <v>-</v>
      </c>
      <c r="O323" s="33" t="str">
        <f>IF(J323&gt;0,I323+N323,"-")</f>
        <v>-</v>
      </c>
      <c r="P323" s="34" t="str">
        <f>IF(J323&gt;0,J323*F323, "-")</f>
        <v>-</v>
      </c>
      <c r="Q323" s="35" t="str">
        <f>IFERROR(IF($N$2&gt;0, $N$2*P323, "-"), "-")</f>
        <v>-</v>
      </c>
      <c r="S323" s="35" t="str">
        <f>IFERROR(IF(Q323+K323=0, "-", IF(Q323&gt;0, Q323+K323, "-")), "-")</f>
        <v>-</v>
      </c>
    </row>
    <row r="324" spans="1:19" x14ac:dyDescent="0.3">
      <c r="A324" s="48">
        <v>2628</v>
      </c>
      <c r="B324" s="23">
        <v>627765026283</v>
      </c>
      <c r="C324" s="11" t="s">
        <v>331</v>
      </c>
      <c r="D324" s="17">
        <v>99</v>
      </c>
      <c r="E324" s="17" t="s">
        <v>130</v>
      </c>
      <c r="F324" s="37">
        <v>0.18046500000000001</v>
      </c>
      <c r="G324" s="17">
        <v>12</v>
      </c>
      <c r="H324" s="43" t="s">
        <v>636</v>
      </c>
      <c r="I324" s="18">
        <v>26.434412307692309</v>
      </c>
      <c r="J324" s="16"/>
      <c r="K324" s="49">
        <f>I324*J324</f>
        <v>0</v>
      </c>
      <c r="L324" s="36"/>
      <c r="N324" s="33" t="str">
        <f>IFERROR(IF($N$2*F324=0, "-", $N$2*F324), "-")</f>
        <v>-</v>
      </c>
      <c r="O324" s="33" t="str">
        <f>IF(J324&gt;0,I324+N324,"-")</f>
        <v>-</v>
      </c>
      <c r="P324" s="34" t="str">
        <f>IF(J324&gt;0,J324*F324, "-")</f>
        <v>-</v>
      </c>
      <c r="Q324" s="35" t="str">
        <f>IFERROR(IF($N$2&gt;0, $N$2*P324, "-"), "-")</f>
        <v>-</v>
      </c>
      <c r="S324" s="35" t="str">
        <f>IFERROR(IF(Q324+K324=0, "-", IF(Q324&gt;0, Q324+K324, "-")), "-")</f>
        <v>-</v>
      </c>
    </row>
    <row r="325" spans="1:19" x14ac:dyDescent="0.3">
      <c r="A325" s="48">
        <v>2629</v>
      </c>
      <c r="B325" s="23">
        <v>68958026299</v>
      </c>
      <c r="C325" s="11" t="s">
        <v>332</v>
      </c>
      <c r="D325" s="17">
        <v>135</v>
      </c>
      <c r="E325" s="17" t="s">
        <v>130</v>
      </c>
      <c r="F325" s="37">
        <v>0.21792</v>
      </c>
      <c r="G325" s="17">
        <v>12</v>
      </c>
      <c r="H325" s="43" t="s">
        <v>636</v>
      </c>
      <c r="I325" s="18">
        <v>28.054142307692313</v>
      </c>
      <c r="J325" s="16"/>
      <c r="K325" s="49">
        <f>I325*J325</f>
        <v>0</v>
      </c>
      <c r="L325" s="36"/>
      <c r="N325" s="33" t="str">
        <f>IFERROR(IF($N$2*F325=0, "-", $N$2*F325), "-")</f>
        <v>-</v>
      </c>
      <c r="O325" s="33" t="str">
        <f>IF(J325&gt;0,I325+N325,"-")</f>
        <v>-</v>
      </c>
      <c r="P325" s="34" t="str">
        <f>IF(J325&gt;0,J325*F325, "-")</f>
        <v>-</v>
      </c>
      <c r="Q325" s="35" t="str">
        <f>IFERROR(IF($N$2&gt;0, $N$2*P325, "-"), "-")</f>
        <v>-</v>
      </c>
      <c r="S325" s="35" t="str">
        <f>IFERROR(IF(Q325+K325=0, "-", IF(Q325&gt;0, Q325+K325, "-")), "-")</f>
        <v>-</v>
      </c>
    </row>
    <row r="326" spans="1:19" x14ac:dyDescent="0.3">
      <c r="A326" s="48">
        <v>2630</v>
      </c>
      <c r="B326" s="23">
        <v>68958026305</v>
      </c>
      <c r="C326" s="11" t="s">
        <v>333</v>
      </c>
      <c r="D326" s="17">
        <v>500</v>
      </c>
      <c r="E326" s="17" t="s">
        <v>130</v>
      </c>
      <c r="F326" s="37">
        <v>0.68099999999999994</v>
      </c>
      <c r="G326" s="17">
        <v>4</v>
      </c>
      <c r="H326" s="43" t="s">
        <v>636</v>
      </c>
      <c r="I326" s="18">
        <v>39.410093076923083</v>
      </c>
      <c r="J326" s="16"/>
      <c r="K326" s="49">
        <f>I326*J326</f>
        <v>0</v>
      </c>
      <c r="L326" s="36"/>
      <c r="N326" s="33" t="str">
        <f>IFERROR(IF($N$2*F326=0, "-", $N$2*F326), "-")</f>
        <v>-</v>
      </c>
      <c r="O326" s="33" t="str">
        <f>IF(J326&gt;0,I326+N326,"-")</f>
        <v>-</v>
      </c>
      <c r="P326" s="34" t="str">
        <f>IF(J326&gt;0,J326*F326, "-")</f>
        <v>-</v>
      </c>
      <c r="Q326" s="35" t="str">
        <f>IFERROR(IF($N$2&gt;0, $N$2*P326, "-"), "-")</f>
        <v>-</v>
      </c>
      <c r="S326" s="35" t="str">
        <f>IFERROR(IF(Q326+K326=0, "-", IF(Q326&gt;0, Q326+K326, "-")), "-")</f>
        <v>-</v>
      </c>
    </row>
    <row r="327" spans="1:19" x14ac:dyDescent="0.3">
      <c r="A327" s="48">
        <v>2631</v>
      </c>
      <c r="B327" s="22">
        <v>68958026312</v>
      </c>
      <c r="C327" s="11" t="s">
        <v>334</v>
      </c>
      <c r="D327" s="17">
        <v>500</v>
      </c>
      <c r="E327" s="17" t="s">
        <v>130</v>
      </c>
      <c r="F327" s="37">
        <v>0.68099999999999994</v>
      </c>
      <c r="G327" s="17">
        <v>4</v>
      </c>
      <c r="H327" s="43" t="s">
        <v>636</v>
      </c>
      <c r="I327" s="18">
        <v>37.981253076923082</v>
      </c>
      <c r="J327" s="16"/>
      <c r="K327" s="49">
        <f>I327*J327</f>
        <v>0</v>
      </c>
      <c r="L327" s="36"/>
      <c r="N327" s="33" t="str">
        <f>IFERROR(IF($N$2*F327=0, "-", $N$2*F327), "-")</f>
        <v>-</v>
      </c>
      <c r="O327" s="33" t="str">
        <f>IF(J327&gt;0,I327+N327,"-")</f>
        <v>-</v>
      </c>
      <c r="P327" s="34" t="str">
        <f>IF(J327&gt;0,J327*F327, "-")</f>
        <v>-</v>
      </c>
      <c r="Q327" s="35" t="str">
        <f>IFERROR(IF($N$2&gt;0, $N$2*P327, "-"), "-")</f>
        <v>-</v>
      </c>
      <c r="S327" s="35" t="str">
        <f>IFERROR(IF(Q327+K327=0, "-", IF(Q327&gt;0, Q327+K327, "-")), "-")</f>
        <v>-</v>
      </c>
    </row>
    <row r="328" spans="1:19" x14ac:dyDescent="0.3">
      <c r="A328" s="48">
        <v>2632</v>
      </c>
      <c r="B328" s="23">
        <v>68958026329</v>
      </c>
      <c r="C328" s="11" t="s">
        <v>335</v>
      </c>
      <c r="D328" s="17">
        <v>500</v>
      </c>
      <c r="E328" s="17" t="s">
        <v>130</v>
      </c>
      <c r="F328" s="37">
        <v>0.68099999999999994</v>
      </c>
      <c r="G328" s="17">
        <v>4</v>
      </c>
      <c r="H328" s="43" t="s">
        <v>636</v>
      </c>
      <c r="I328" s="18">
        <v>36.142926923076921</v>
      </c>
      <c r="J328" s="16"/>
      <c r="K328" s="49">
        <f>I328*J328</f>
        <v>0</v>
      </c>
      <c r="L328" s="36"/>
      <c r="N328" s="33" t="str">
        <f>IFERROR(IF($N$2*F328=0, "-", $N$2*F328), "-")</f>
        <v>-</v>
      </c>
      <c r="O328" s="33" t="str">
        <f>IF(J328&gt;0,I328+N328,"-")</f>
        <v>-</v>
      </c>
      <c r="P328" s="34" t="str">
        <f>IF(J328&gt;0,J328*F328, "-")</f>
        <v>-</v>
      </c>
      <c r="Q328" s="35" t="str">
        <f>IFERROR(IF($N$2&gt;0, $N$2*P328, "-"), "-")</f>
        <v>-</v>
      </c>
      <c r="S328" s="35" t="str">
        <f>IFERROR(IF(Q328+K328=0, "-", IF(Q328&gt;0, Q328+K328, "-")), "-")</f>
        <v>-</v>
      </c>
    </row>
    <row r="329" spans="1:19" x14ac:dyDescent="0.3">
      <c r="A329" s="48">
        <v>2633</v>
      </c>
      <c r="B329" s="23">
        <v>68958026336</v>
      </c>
      <c r="C329" s="11" t="s">
        <v>336</v>
      </c>
      <c r="D329" s="17">
        <v>180</v>
      </c>
      <c r="E329" s="17" t="s">
        <v>32</v>
      </c>
      <c r="F329" s="37">
        <v>0.22473000000000001</v>
      </c>
      <c r="G329" s="17">
        <v>12</v>
      </c>
      <c r="H329" s="43" t="s">
        <v>636</v>
      </c>
      <c r="I329" s="18">
        <v>14.347862307692308</v>
      </c>
      <c r="J329" s="16"/>
      <c r="K329" s="49">
        <f>I329*J329</f>
        <v>0</v>
      </c>
      <c r="L329" s="36"/>
      <c r="N329" s="33" t="str">
        <f>IFERROR(IF($N$2*F329=0, "-", $N$2*F329), "-")</f>
        <v>-</v>
      </c>
      <c r="O329" s="33" t="str">
        <f>IF(J329&gt;0,I329+N329,"-")</f>
        <v>-</v>
      </c>
      <c r="P329" s="34" t="str">
        <f>IF(J329&gt;0,J329*F329, "-")</f>
        <v>-</v>
      </c>
      <c r="Q329" s="35" t="str">
        <f>IFERROR(IF($N$2&gt;0, $N$2*P329, "-"), "-")</f>
        <v>-</v>
      </c>
      <c r="S329" s="35" t="str">
        <f>IFERROR(IF(Q329+K329=0, "-", IF(Q329&gt;0, Q329+K329, "-")), "-")</f>
        <v>-</v>
      </c>
    </row>
    <row r="330" spans="1:19" x14ac:dyDescent="0.3">
      <c r="A330" s="48">
        <v>2644</v>
      </c>
      <c r="B330" s="23">
        <v>627765026443</v>
      </c>
      <c r="C330" s="11" t="s">
        <v>337</v>
      </c>
      <c r="D330" s="17">
        <v>855</v>
      </c>
      <c r="E330" s="17" t="s">
        <v>130</v>
      </c>
      <c r="F330" s="37">
        <v>1.14635</v>
      </c>
      <c r="G330" s="17">
        <v>4</v>
      </c>
      <c r="H330" s="43" t="s">
        <v>636</v>
      </c>
      <c r="I330" s="18">
        <v>46.330348235294117</v>
      </c>
      <c r="J330" s="16"/>
      <c r="K330" s="49">
        <f>I330*J330</f>
        <v>0</v>
      </c>
      <c r="L330" s="36"/>
      <c r="N330" s="33" t="str">
        <f>IFERROR(IF($N$2*F330=0, "-", $N$2*F330), "-")</f>
        <v>-</v>
      </c>
      <c r="O330" s="33" t="str">
        <f>IF(J330&gt;0,I330+N330,"-")</f>
        <v>-</v>
      </c>
      <c r="P330" s="34" t="str">
        <f>IF(J330&gt;0,J330*F330, "-")</f>
        <v>-</v>
      </c>
      <c r="Q330" s="35" t="str">
        <f>IFERROR(IF($N$2&gt;0, $N$2*P330, "-"), "-")</f>
        <v>-</v>
      </c>
      <c r="S330" s="35" t="str">
        <f>IFERROR(IF(Q330+K330=0, "-", IF(Q330&gt;0, Q330+K330, "-")), "-")</f>
        <v>-</v>
      </c>
    </row>
    <row r="331" spans="1:19" x14ac:dyDescent="0.3">
      <c r="A331" s="48">
        <v>2645</v>
      </c>
      <c r="B331" s="23">
        <v>68958026459</v>
      </c>
      <c r="C331" s="11" t="s">
        <v>338</v>
      </c>
      <c r="D331" s="17">
        <v>267</v>
      </c>
      <c r="E331" s="17" t="s">
        <v>130</v>
      </c>
      <c r="F331" s="37">
        <v>0.43811</v>
      </c>
      <c r="G331" s="17">
        <v>6</v>
      </c>
      <c r="H331" s="43" t="s">
        <v>636</v>
      </c>
      <c r="I331" s="18">
        <v>24.205956923076926</v>
      </c>
      <c r="J331" s="16"/>
      <c r="K331" s="49">
        <f>I331*J331</f>
        <v>0</v>
      </c>
      <c r="L331" s="36"/>
      <c r="N331" s="33" t="str">
        <f>IFERROR(IF($N$2*F331=0, "-", $N$2*F331), "-")</f>
        <v>-</v>
      </c>
      <c r="O331" s="33" t="str">
        <f>IF(J331&gt;0,I331+N331,"-")</f>
        <v>-</v>
      </c>
      <c r="P331" s="34" t="str">
        <f>IF(J331&gt;0,J331*F331, "-")</f>
        <v>-</v>
      </c>
      <c r="Q331" s="35" t="str">
        <f>IFERROR(IF($N$2&gt;0, $N$2*P331, "-"), "-")</f>
        <v>-</v>
      </c>
      <c r="S331" s="35" t="str">
        <f>IFERROR(IF(Q331+K331=0, "-", IF(Q331&gt;0, Q331+K331, "-")), "-")</f>
        <v>-</v>
      </c>
    </row>
    <row r="332" spans="1:19" x14ac:dyDescent="0.3">
      <c r="A332" s="48">
        <v>2652</v>
      </c>
      <c r="B332" s="23">
        <v>68958026527</v>
      </c>
      <c r="C332" s="11" t="s">
        <v>339</v>
      </c>
      <c r="D332" s="17">
        <v>90</v>
      </c>
      <c r="E332" s="17" t="s">
        <v>54</v>
      </c>
      <c r="F332" s="37">
        <v>0.13619999999999999</v>
      </c>
      <c r="G332" s="17">
        <v>24</v>
      </c>
      <c r="H332" s="43" t="s">
        <v>636</v>
      </c>
      <c r="I332" s="18">
        <v>7.1957284615384625</v>
      </c>
      <c r="J332" s="16"/>
      <c r="K332" s="49">
        <f>I332*J332</f>
        <v>0</v>
      </c>
      <c r="L332" s="36"/>
      <c r="N332" s="33" t="str">
        <f>IFERROR(IF($N$2*F332=0, "-", $N$2*F332), "-")</f>
        <v>-</v>
      </c>
      <c r="O332" s="33" t="str">
        <f>IF(J332&gt;0,I332+N332,"-")</f>
        <v>-</v>
      </c>
      <c r="P332" s="34" t="str">
        <f>IF(J332&gt;0,J332*F332, "-")</f>
        <v>-</v>
      </c>
      <c r="Q332" s="35" t="str">
        <f>IFERROR(IF($N$2&gt;0, $N$2*P332, "-"), "-")</f>
        <v>-</v>
      </c>
      <c r="S332" s="35" t="str">
        <f>IFERROR(IF(Q332+K332=0, "-", IF(Q332&gt;0, Q332+K332, "-")), "-")</f>
        <v>-</v>
      </c>
    </row>
    <row r="333" spans="1:19" x14ac:dyDescent="0.3">
      <c r="A333" s="48">
        <v>2653</v>
      </c>
      <c r="B333" s="23">
        <v>68958026534</v>
      </c>
      <c r="C333" s="11" t="s">
        <v>340</v>
      </c>
      <c r="D333" s="17">
        <v>180</v>
      </c>
      <c r="E333" s="17" t="s">
        <v>54</v>
      </c>
      <c r="F333" s="37">
        <v>0.27694000000000002</v>
      </c>
      <c r="G333" s="17">
        <v>12</v>
      </c>
      <c r="H333" s="43" t="s">
        <v>636</v>
      </c>
      <c r="I333" s="18">
        <v>12.693800769230771</v>
      </c>
      <c r="J333" s="16"/>
      <c r="K333" s="49">
        <f>I333*J333</f>
        <v>0</v>
      </c>
      <c r="L333" s="36"/>
      <c r="N333" s="33" t="str">
        <f>IFERROR(IF($N$2*F333=0, "-", $N$2*F333), "-")</f>
        <v>-</v>
      </c>
      <c r="O333" s="33" t="str">
        <f>IF(J333&gt;0,I333+N333,"-")</f>
        <v>-</v>
      </c>
      <c r="P333" s="34" t="str">
        <f>IF(J333&gt;0,J333*F333, "-")</f>
        <v>-</v>
      </c>
      <c r="Q333" s="35" t="str">
        <f>IFERROR(IF($N$2&gt;0, $N$2*P333, "-"), "-")</f>
        <v>-</v>
      </c>
      <c r="S333" s="35" t="str">
        <f>IFERROR(IF(Q333+K333=0, "-", IF(Q333&gt;0, Q333+K333, "-")), "-")</f>
        <v>-</v>
      </c>
    </row>
    <row r="334" spans="1:19" x14ac:dyDescent="0.3">
      <c r="A334" s="48">
        <v>2659</v>
      </c>
      <c r="B334" s="23">
        <v>68958026596</v>
      </c>
      <c r="C334" s="11" t="s">
        <v>341</v>
      </c>
      <c r="D334" s="17">
        <v>180</v>
      </c>
      <c r="E334" s="17" t="s">
        <v>54</v>
      </c>
      <c r="F334" s="37">
        <v>0.19749</v>
      </c>
      <c r="G334" s="17">
        <v>24</v>
      </c>
      <c r="H334" s="43" t="s">
        <v>636</v>
      </c>
      <c r="I334" s="18">
        <v>9.5114976923076924</v>
      </c>
      <c r="J334" s="16"/>
      <c r="K334" s="49">
        <f>I334*J334</f>
        <v>0</v>
      </c>
      <c r="L334" s="36"/>
      <c r="N334" s="33" t="str">
        <f>IFERROR(IF($N$2*F334=0, "-", $N$2*F334), "-")</f>
        <v>-</v>
      </c>
      <c r="O334" s="33" t="str">
        <f>IF(J334&gt;0,I334+N334,"-")</f>
        <v>-</v>
      </c>
      <c r="P334" s="34" t="str">
        <f>IF(J334&gt;0,J334*F334, "-")</f>
        <v>-</v>
      </c>
      <c r="Q334" s="35" t="str">
        <f>IFERROR(IF($N$2&gt;0, $N$2*P334, "-"), "-")</f>
        <v>-</v>
      </c>
      <c r="S334" s="35" t="str">
        <f>IFERROR(IF(Q334+K334=0, "-", IF(Q334&gt;0, Q334+K334, "-")), "-")</f>
        <v>-</v>
      </c>
    </row>
    <row r="335" spans="1:19" x14ac:dyDescent="0.3">
      <c r="A335" s="48">
        <v>2680</v>
      </c>
      <c r="B335" s="22">
        <v>68958026800</v>
      </c>
      <c r="C335" s="11" t="s">
        <v>342</v>
      </c>
      <c r="D335" s="17">
        <v>60</v>
      </c>
      <c r="E335" s="17" t="s">
        <v>45</v>
      </c>
      <c r="F335" s="37">
        <v>5.2209999999999999E-2</v>
      </c>
      <c r="G335" s="17">
        <v>24</v>
      </c>
      <c r="H335" s="43" t="s">
        <v>636</v>
      </c>
      <c r="I335" s="18">
        <v>23.721161538461541</v>
      </c>
      <c r="J335" s="16"/>
      <c r="K335" s="49">
        <f>I335*J335</f>
        <v>0</v>
      </c>
      <c r="L335" s="36"/>
      <c r="N335" s="33" t="str">
        <f>IFERROR(IF($N$2*F335=0, "-", $N$2*F335), "-")</f>
        <v>-</v>
      </c>
      <c r="O335" s="33" t="str">
        <f>IF(J335&gt;0,I335+N335,"-")</f>
        <v>-</v>
      </c>
      <c r="P335" s="34" t="str">
        <f>IF(J335&gt;0,J335*F335, "-")</f>
        <v>-</v>
      </c>
      <c r="Q335" s="35" t="str">
        <f>IFERROR(IF($N$2&gt;0, $N$2*P335, "-"), "-")</f>
        <v>-</v>
      </c>
      <c r="S335" s="35" t="str">
        <f>IFERROR(IF(Q335+K335=0, "-", IF(Q335&gt;0, Q335+K335, "-")), "-")</f>
        <v>-</v>
      </c>
    </row>
    <row r="336" spans="1:19" x14ac:dyDescent="0.3">
      <c r="A336" s="48">
        <v>2682</v>
      </c>
      <c r="B336" s="22">
        <v>627765026825</v>
      </c>
      <c r="C336" s="11" t="s">
        <v>343</v>
      </c>
      <c r="D336" s="17">
        <v>120</v>
      </c>
      <c r="E336" s="17" t="s">
        <v>14</v>
      </c>
      <c r="F336" s="37">
        <v>0.14755000000000001</v>
      </c>
      <c r="G336" s="17">
        <v>24</v>
      </c>
      <c r="H336" s="43" t="s">
        <v>636</v>
      </c>
      <c r="I336" s="18">
        <v>18.599739230769231</v>
      </c>
      <c r="J336" s="16"/>
      <c r="K336" s="49">
        <f>I336*J336</f>
        <v>0</v>
      </c>
      <c r="L336" s="36"/>
      <c r="N336" s="33" t="str">
        <f>IFERROR(IF($N$2*F336=0, "-", $N$2*F336), "-")</f>
        <v>-</v>
      </c>
      <c r="O336" s="33" t="str">
        <f>IF(J336&gt;0,I336+N336,"-")</f>
        <v>-</v>
      </c>
      <c r="P336" s="34" t="str">
        <f>IF(J336&gt;0,J336*F336, "-")</f>
        <v>-</v>
      </c>
      <c r="Q336" s="35" t="str">
        <f>IFERROR(IF($N$2&gt;0, $N$2*P336, "-"), "-")</f>
        <v>-</v>
      </c>
      <c r="S336" s="35" t="str">
        <f>IFERROR(IF(Q336+K336=0, "-", IF(Q336&gt;0, Q336+K336, "-")), "-")</f>
        <v>-</v>
      </c>
    </row>
    <row r="337" spans="1:19" x14ac:dyDescent="0.3">
      <c r="A337" s="48">
        <v>2686</v>
      </c>
      <c r="B337" s="22">
        <v>68958026862</v>
      </c>
      <c r="C337" s="11" t="s">
        <v>345</v>
      </c>
      <c r="D337" s="17">
        <v>60</v>
      </c>
      <c r="E337" s="17" t="s">
        <v>54</v>
      </c>
      <c r="F337" s="37">
        <v>9.0800000000000006E-2</v>
      </c>
      <c r="G337" s="17">
        <v>24</v>
      </c>
      <c r="H337" s="43" t="s">
        <v>636</v>
      </c>
      <c r="I337" s="18">
        <v>8.3324076923076937</v>
      </c>
      <c r="J337" s="16"/>
      <c r="K337" s="49">
        <f>I337*J337</f>
        <v>0</v>
      </c>
      <c r="L337" s="36"/>
      <c r="N337" s="33" t="str">
        <f>IFERROR(IF($N$2*F337=0, "-", $N$2*F337), "-")</f>
        <v>-</v>
      </c>
      <c r="O337" s="33" t="str">
        <f>IF(J337&gt;0,I337+N337,"-")</f>
        <v>-</v>
      </c>
      <c r="P337" s="34" t="str">
        <f>IF(J337&gt;0,J337*F337, "-")</f>
        <v>-</v>
      </c>
      <c r="Q337" s="35" t="str">
        <f>IFERROR(IF($N$2&gt;0, $N$2*P337, "-"), "-")</f>
        <v>-</v>
      </c>
      <c r="S337" s="35" t="str">
        <f>IFERROR(IF(Q337+K337=0, "-", IF(Q337&gt;0, Q337+K337, "-")), "-")</f>
        <v>-</v>
      </c>
    </row>
    <row r="338" spans="1:19" x14ac:dyDescent="0.3">
      <c r="A338" s="48">
        <v>2687</v>
      </c>
      <c r="B338" s="22">
        <v>68958026879</v>
      </c>
      <c r="C338" s="11" t="s">
        <v>346</v>
      </c>
      <c r="D338" s="17">
        <v>120</v>
      </c>
      <c r="E338" s="17" t="s">
        <v>54</v>
      </c>
      <c r="F338" s="37">
        <v>0.20429999999999998</v>
      </c>
      <c r="G338" s="17">
        <v>24</v>
      </c>
      <c r="H338" s="43" t="s">
        <v>636</v>
      </c>
      <c r="I338" s="18">
        <v>12.637183846153846</v>
      </c>
      <c r="J338" s="16"/>
      <c r="K338" s="49">
        <f>I338*J338</f>
        <v>0</v>
      </c>
      <c r="L338" s="36"/>
      <c r="N338" s="33" t="str">
        <f>IFERROR(IF($N$2*F338=0, "-", $N$2*F338), "-")</f>
        <v>-</v>
      </c>
      <c r="O338" s="33" t="str">
        <f>IF(J338&gt;0,I338+N338,"-")</f>
        <v>-</v>
      </c>
      <c r="P338" s="34" t="str">
        <f>IF(J338&gt;0,J338*F338, "-")</f>
        <v>-</v>
      </c>
      <c r="Q338" s="35" t="str">
        <f>IFERROR(IF($N$2&gt;0, $N$2*P338, "-"), "-")</f>
        <v>-</v>
      </c>
      <c r="S338" s="35" t="str">
        <f>IFERROR(IF(Q338+K338=0, "-", IF(Q338&gt;0, Q338+K338, "-")), "-")</f>
        <v>-</v>
      </c>
    </row>
    <row r="339" spans="1:19" x14ac:dyDescent="0.3">
      <c r="A339" s="48">
        <v>2692</v>
      </c>
      <c r="B339" s="23">
        <v>68958026923</v>
      </c>
      <c r="C339" s="11" t="s">
        <v>347</v>
      </c>
      <c r="D339" s="17">
        <v>30</v>
      </c>
      <c r="E339" s="17" t="s">
        <v>45</v>
      </c>
      <c r="F339" s="37">
        <v>4.9939999999999998E-2</v>
      </c>
      <c r="G339" s="17">
        <v>24</v>
      </c>
      <c r="H339" s="43" t="s">
        <v>636</v>
      </c>
      <c r="I339" s="18">
        <v>12.035520000000002</v>
      </c>
      <c r="J339" s="16"/>
      <c r="K339" s="49">
        <f>I339*J339</f>
        <v>0</v>
      </c>
      <c r="L339" s="36"/>
      <c r="N339" s="33" t="str">
        <f>IFERROR(IF($N$2*F339=0, "-", $N$2*F339), "-")</f>
        <v>-</v>
      </c>
      <c r="O339" s="33" t="str">
        <f>IF(J339&gt;0,I339+N339,"-")</f>
        <v>-</v>
      </c>
      <c r="P339" s="34" t="str">
        <f>IF(J339&gt;0,J339*F339, "-")</f>
        <v>-</v>
      </c>
      <c r="Q339" s="35" t="str">
        <f>IFERROR(IF($N$2&gt;0, $N$2*P339, "-"), "-")</f>
        <v>-</v>
      </c>
      <c r="S339" s="35" t="str">
        <f>IFERROR(IF(Q339+K339=0, "-", IF(Q339&gt;0, Q339+K339, "-")), "-")</f>
        <v>-</v>
      </c>
    </row>
    <row r="340" spans="1:19" x14ac:dyDescent="0.3">
      <c r="A340" s="48">
        <v>2693</v>
      </c>
      <c r="B340" s="23">
        <v>68958026930</v>
      </c>
      <c r="C340" s="11" t="s">
        <v>348</v>
      </c>
      <c r="D340" s="17">
        <v>60</v>
      </c>
      <c r="E340" s="17" t="s">
        <v>45</v>
      </c>
      <c r="F340" s="37">
        <v>8.2854999999999998E-2</v>
      </c>
      <c r="G340" s="17">
        <v>24</v>
      </c>
      <c r="H340" s="43" t="s">
        <v>636</v>
      </c>
      <c r="I340" s="18">
        <v>21.767628461538468</v>
      </c>
      <c r="J340" s="16"/>
      <c r="K340" s="49">
        <f>I340*J340</f>
        <v>0</v>
      </c>
      <c r="L340" s="36"/>
      <c r="N340" s="33" t="str">
        <f>IFERROR(IF($N$2*F340=0, "-", $N$2*F340), "-")</f>
        <v>-</v>
      </c>
      <c r="O340" s="33" t="str">
        <f>IF(J340&gt;0,I340+N340,"-")</f>
        <v>-</v>
      </c>
      <c r="P340" s="34" t="str">
        <f>IF(J340&gt;0,J340*F340, "-")</f>
        <v>-</v>
      </c>
      <c r="Q340" s="35" t="str">
        <f>IFERROR(IF($N$2&gt;0, $N$2*P340, "-"), "-")</f>
        <v>-</v>
      </c>
      <c r="S340" s="35" t="str">
        <f>IFERROR(IF(Q340+K340=0, "-", IF(Q340&gt;0, Q340+K340, "-")), "-")</f>
        <v>-</v>
      </c>
    </row>
    <row r="341" spans="1:19" x14ac:dyDescent="0.3">
      <c r="A341" s="48">
        <v>2696</v>
      </c>
      <c r="B341" s="23">
        <v>68958026961</v>
      </c>
      <c r="C341" s="11" t="s">
        <v>349</v>
      </c>
      <c r="D341" s="17">
        <v>180</v>
      </c>
      <c r="E341" s="17" t="s">
        <v>54</v>
      </c>
      <c r="F341" s="37">
        <v>0.27239999999999998</v>
      </c>
      <c r="G341" s="17">
        <v>12</v>
      </c>
      <c r="H341" s="43" t="s">
        <v>636</v>
      </c>
      <c r="I341" s="18">
        <v>14.435570769230772</v>
      </c>
      <c r="J341" s="16"/>
      <c r="K341" s="49">
        <f>I341*J341</f>
        <v>0</v>
      </c>
      <c r="L341" s="36"/>
      <c r="N341" s="33" t="str">
        <f>IFERROR(IF($N$2*F341=0, "-", $N$2*F341), "-")</f>
        <v>-</v>
      </c>
      <c r="O341" s="33" t="str">
        <f>IF(J341&gt;0,I341+N341,"-")</f>
        <v>-</v>
      </c>
      <c r="P341" s="34" t="str">
        <f>IF(J341&gt;0,J341*F341, "-")</f>
        <v>-</v>
      </c>
      <c r="Q341" s="35" t="str">
        <f>IFERROR(IF($N$2&gt;0, $N$2*P341, "-"), "-")</f>
        <v>-</v>
      </c>
      <c r="S341" s="35" t="str">
        <f>IFERROR(IF(Q341+K341=0, "-", IF(Q341&gt;0, Q341+K341, "-")), "-")</f>
        <v>-</v>
      </c>
    </row>
    <row r="342" spans="1:19" x14ac:dyDescent="0.3">
      <c r="A342" s="48">
        <v>2699</v>
      </c>
      <c r="B342" s="23">
        <v>68958026992</v>
      </c>
      <c r="C342" s="11" t="s">
        <v>350</v>
      </c>
      <c r="D342" s="17">
        <v>180</v>
      </c>
      <c r="E342" s="17" t="s">
        <v>54</v>
      </c>
      <c r="F342" s="37">
        <v>0.27694000000000002</v>
      </c>
      <c r="G342" s="17">
        <v>12</v>
      </c>
      <c r="H342" s="43" t="s">
        <v>636</v>
      </c>
      <c r="I342" s="18">
        <v>13.66825153846154</v>
      </c>
      <c r="J342" s="16"/>
      <c r="K342" s="49">
        <f>I342*J342</f>
        <v>0</v>
      </c>
      <c r="L342" s="36"/>
      <c r="N342" s="33" t="str">
        <f>IFERROR(IF($N$2*F342=0, "-", $N$2*F342), "-")</f>
        <v>-</v>
      </c>
      <c r="O342" s="33" t="str">
        <f>IF(J342&gt;0,I342+N342,"-")</f>
        <v>-</v>
      </c>
      <c r="P342" s="34" t="str">
        <f>IF(J342&gt;0,J342*F342, "-")</f>
        <v>-</v>
      </c>
      <c r="Q342" s="35" t="str">
        <f>IFERROR(IF($N$2&gt;0, $N$2*P342, "-"), "-")</f>
        <v>-</v>
      </c>
      <c r="S342" s="35" t="str">
        <f>IFERROR(IF(Q342+K342=0, "-", IF(Q342&gt;0, Q342+K342, "-")), "-")</f>
        <v>-</v>
      </c>
    </row>
    <row r="343" spans="1:19" x14ac:dyDescent="0.3">
      <c r="A343" s="48">
        <v>2700</v>
      </c>
      <c r="B343" s="23">
        <v>68958027005</v>
      </c>
      <c r="C343" s="11" t="s">
        <v>351</v>
      </c>
      <c r="D343" s="17">
        <v>30</v>
      </c>
      <c r="E343" s="17" t="s">
        <v>45</v>
      </c>
      <c r="F343" s="37">
        <v>0.11463500000000001</v>
      </c>
      <c r="G343" s="17">
        <v>24</v>
      </c>
      <c r="H343" s="43" t="s">
        <v>636</v>
      </c>
      <c r="I343" s="18">
        <v>13.22316</v>
      </c>
      <c r="J343" s="16"/>
      <c r="K343" s="49">
        <f>I343*J343</f>
        <v>0</v>
      </c>
      <c r="L343" s="36"/>
      <c r="N343" s="33" t="str">
        <f>IFERROR(IF($N$2*F343=0, "-", $N$2*F343), "-")</f>
        <v>-</v>
      </c>
      <c r="O343" s="33" t="str">
        <f>IF(J343&gt;0,I343+N343,"-")</f>
        <v>-</v>
      </c>
      <c r="P343" s="34" t="str">
        <f>IF(J343&gt;0,J343*F343, "-")</f>
        <v>-</v>
      </c>
      <c r="Q343" s="35" t="str">
        <f>IFERROR(IF($N$2&gt;0, $N$2*P343, "-"), "-")</f>
        <v>-</v>
      </c>
      <c r="S343" s="35" t="str">
        <f>IFERROR(IF(Q343+K343=0, "-", IF(Q343&gt;0, Q343+K343, "-")), "-")</f>
        <v>-</v>
      </c>
    </row>
    <row r="344" spans="1:19" x14ac:dyDescent="0.3">
      <c r="A344" s="48">
        <v>2707</v>
      </c>
      <c r="B344" s="23">
        <v>68958027074</v>
      </c>
      <c r="C344" s="11" t="s">
        <v>352</v>
      </c>
      <c r="D344" s="17">
        <v>30</v>
      </c>
      <c r="E344" s="17" t="s">
        <v>32</v>
      </c>
      <c r="F344" s="37">
        <v>4.9939999999999998E-2</v>
      </c>
      <c r="G344" s="17">
        <v>24</v>
      </c>
      <c r="H344" s="43" t="s">
        <v>636</v>
      </c>
      <c r="I344" s="18">
        <v>19.861158461538462</v>
      </c>
      <c r="J344" s="16"/>
      <c r="K344" s="49">
        <f>I344*J344</f>
        <v>0</v>
      </c>
      <c r="L344" s="36"/>
      <c r="N344" s="33" t="str">
        <f>IFERROR(IF($N$2*F344=0, "-", $N$2*F344), "-")</f>
        <v>-</v>
      </c>
      <c r="O344" s="33" t="str">
        <f>IF(J344&gt;0,I344+N344,"-")</f>
        <v>-</v>
      </c>
      <c r="P344" s="34" t="str">
        <f>IF(J344&gt;0,J344*F344, "-")</f>
        <v>-</v>
      </c>
      <c r="Q344" s="35" t="str">
        <f>IFERROR(IF($N$2&gt;0, $N$2*P344, "-"), "-")</f>
        <v>-</v>
      </c>
      <c r="S344" s="35" t="str">
        <f>IFERROR(IF(Q344+K344=0, "-", IF(Q344&gt;0, Q344+K344, "-")), "-")</f>
        <v>-</v>
      </c>
    </row>
    <row r="345" spans="1:19" x14ac:dyDescent="0.3">
      <c r="A345" s="48">
        <v>2708</v>
      </c>
      <c r="B345" s="23">
        <v>68958027081</v>
      </c>
      <c r="C345" s="11" t="s">
        <v>353</v>
      </c>
      <c r="D345" s="17">
        <v>60</v>
      </c>
      <c r="E345" s="17" t="s">
        <v>32</v>
      </c>
      <c r="F345" s="37">
        <v>6.3560000000000005E-2</v>
      </c>
      <c r="G345" s="17">
        <v>24</v>
      </c>
      <c r="H345" s="43" t="s">
        <v>636</v>
      </c>
      <c r="I345" s="18">
        <v>36.267666923076924</v>
      </c>
      <c r="J345" s="16"/>
      <c r="K345" s="49">
        <f>I345*J345</f>
        <v>0</v>
      </c>
      <c r="L345" s="36"/>
      <c r="N345" s="33" t="str">
        <f>IFERROR(IF($N$2*F345=0, "-", $N$2*F345), "-")</f>
        <v>-</v>
      </c>
      <c r="O345" s="33" t="str">
        <f>IF(J345&gt;0,I345+N345,"-")</f>
        <v>-</v>
      </c>
      <c r="P345" s="34" t="str">
        <f>IF(J345&gt;0,J345*F345, "-")</f>
        <v>-</v>
      </c>
      <c r="Q345" s="35" t="str">
        <f>IFERROR(IF($N$2&gt;0, $N$2*P345, "-"), "-")</f>
        <v>-</v>
      </c>
      <c r="S345" s="35" t="str">
        <f>IFERROR(IF(Q345+K345=0, "-", IF(Q345&gt;0, Q345+K345, "-")), "-")</f>
        <v>-</v>
      </c>
    </row>
    <row r="346" spans="1:19" x14ac:dyDescent="0.3">
      <c r="A346" s="48">
        <v>2710</v>
      </c>
      <c r="B346" s="22">
        <v>68958027104</v>
      </c>
      <c r="C346" s="11" t="s">
        <v>354</v>
      </c>
      <c r="D346" s="17">
        <v>60</v>
      </c>
      <c r="E346" s="17" t="s">
        <v>54</v>
      </c>
      <c r="F346" s="37">
        <v>4.9939999999999998E-2</v>
      </c>
      <c r="G346" s="17">
        <v>24</v>
      </c>
      <c r="H346" s="43" t="s">
        <v>636</v>
      </c>
      <c r="I346" s="18">
        <v>5.6999700000000004</v>
      </c>
      <c r="J346" s="16"/>
      <c r="K346" s="49">
        <f>I346*J346</f>
        <v>0</v>
      </c>
      <c r="L346" s="36"/>
      <c r="N346" s="33" t="str">
        <f>IFERROR(IF($N$2*F346=0, "-", $N$2*F346), "-")</f>
        <v>-</v>
      </c>
      <c r="O346" s="33" t="str">
        <f>IF(J346&gt;0,I346+N346,"-")</f>
        <v>-</v>
      </c>
      <c r="P346" s="34" t="str">
        <f>IF(J346&gt;0,J346*F346, "-")</f>
        <v>-</v>
      </c>
      <c r="Q346" s="35" t="str">
        <f>IFERROR(IF($N$2&gt;0, $N$2*P346, "-"), "-")</f>
        <v>-</v>
      </c>
      <c r="S346" s="35" t="str">
        <f>IFERROR(IF(Q346+K346=0, "-", IF(Q346&gt;0, Q346+K346, "-")), "-")</f>
        <v>-</v>
      </c>
    </row>
    <row r="347" spans="1:19" x14ac:dyDescent="0.3">
      <c r="A347" s="48">
        <v>2713</v>
      </c>
      <c r="B347" s="23">
        <v>68958027135</v>
      </c>
      <c r="C347" s="11" t="s">
        <v>355</v>
      </c>
      <c r="D347" s="17">
        <v>90</v>
      </c>
      <c r="E347" s="17" t="s">
        <v>54</v>
      </c>
      <c r="F347" s="37">
        <v>4.3130000000000002E-2</v>
      </c>
      <c r="G347" s="17">
        <v>24</v>
      </c>
      <c r="H347" s="43" t="s">
        <v>636</v>
      </c>
      <c r="I347" s="18">
        <v>3.7407096000000011</v>
      </c>
      <c r="J347" s="16"/>
      <c r="K347" s="49">
        <f>I347*J347</f>
        <v>0</v>
      </c>
      <c r="L347" s="36"/>
      <c r="N347" s="33" t="str">
        <f>IFERROR(IF($N$2*F347=0, "-", $N$2*F347), "-")</f>
        <v>-</v>
      </c>
      <c r="O347" s="33" t="str">
        <f>IF(J347&gt;0,I347+N347,"-")</f>
        <v>-</v>
      </c>
      <c r="P347" s="34" t="str">
        <f>IF(J347&gt;0,J347*F347, "-")</f>
        <v>-</v>
      </c>
      <c r="Q347" s="35" t="str">
        <f>IFERROR(IF($N$2&gt;0, $N$2*P347, "-"), "-")</f>
        <v>-</v>
      </c>
      <c r="S347" s="35" t="str">
        <f>IFERROR(IF(Q347+K347=0, "-", IF(Q347&gt;0, Q347+K347, "-")), "-")</f>
        <v>-</v>
      </c>
    </row>
    <row r="348" spans="1:19" x14ac:dyDescent="0.3">
      <c r="A348" s="48">
        <v>2714</v>
      </c>
      <c r="B348" s="23">
        <v>68958027142</v>
      </c>
      <c r="C348" s="11" t="s">
        <v>356</v>
      </c>
      <c r="D348" s="17">
        <v>180</v>
      </c>
      <c r="E348" s="17" t="s">
        <v>54</v>
      </c>
      <c r="F348" s="37">
        <v>6.583E-2</v>
      </c>
      <c r="G348" s="17">
        <v>24</v>
      </c>
      <c r="H348" s="43" t="s">
        <v>636</v>
      </c>
      <c r="I348" s="18">
        <v>4.7887416000000007</v>
      </c>
      <c r="J348" s="16"/>
      <c r="K348" s="49">
        <f>I348*J348</f>
        <v>0</v>
      </c>
      <c r="L348" s="36"/>
      <c r="N348" s="33" t="str">
        <f>IFERROR(IF($N$2*F348=0, "-", $N$2*F348), "-")</f>
        <v>-</v>
      </c>
      <c r="O348" s="33" t="str">
        <f>IF(J348&gt;0,I348+N348,"-")</f>
        <v>-</v>
      </c>
      <c r="P348" s="34" t="str">
        <f>IF(J348&gt;0,J348*F348, "-")</f>
        <v>-</v>
      </c>
      <c r="Q348" s="35" t="str">
        <f>IFERROR(IF($N$2&gt;0, $N$2*P348, "-"), "-")</f>
        <v>-</v>
      </c>
      <c r="S348" s="35" t="str">
        <f>IFERROR(IF(Q348+K348=0, "-", IF(Q348&gt;0, Q348+K348, "-")), "-")</f>
        <v>-</v>
      </c>
    </row>
    <row r="349" spans="1:19" x14ac:dyDescent="0.3">
      <c r="A349" s="48">
        <v>2715</v>
      </c>
      <c r="B349" s="23">
        <v>68958027159</v>
      </c>
      <c r="C349" s="11" t="s">
        <v>357</v>
      </c>
      <c r="D349" s="17">
        <v>90</v>
      </c>
      <c r="E349" s="17" t="s">
        <v>32</v>
      </c>
      <c r="F349" s="37">
        <v>5.6750000000000002E-2</v>
      </c>
      <c r="G349" s="17">
        <v>24</v>
      </c>
      <c r="H349" s="43" t="s">
        <v>636</v>
      </c>
      <c r="I349" s="18">
        <v>3.8491457142857155</v>
      </c>
      <c r="J349" s="16"/>
      <c r="K349" s="49">
        <f>I349*J349</f>
        <v>0</v>
      </c>
      <c r="L349" s="36"/>
      <c r="N349" s="33" t="str">
        <f>IFERROR(IF($N$2*F349=0, "-", $N$2*F349), "-")</f>
        <v>-</v>
      </c>
      <c r="O349" s="33" t="str">
        <f>IF(J349&gt;0,I349+N349,"-")</f>
        <v>-</v>
      </c>
      <c r="P349" s="34" t="str">
        <f>IF(J349&gt;0,J349*F349, "-")</f>
        <v>-</v>
      </c>
      <c r="Q349" s="35" t="str">
        <f>IFERROR(IF($N$2&gt;0, $N$2*P349, "-"), "-")</f>
        <v>-</v>
      </c>
      <c r="S349" s="35" t="str">
        <f>IFERROR(IF(Q349+K349=0, "-", IF(Q349&gt;0, Q349+K349, "-")), "-")</f>
        <v>-</v>
      </c>
    </row>
    <row r="350" spans="1:19" x14ac:dyDescent="0.3">
      <c r="A350" s="48">
        <v>2716</v>
      </c>
      <c r="B350" s="22">
        <v>68958027166</v>
      </c>
      <c r="C350" s="11" t="s">
        <v>358</v>
      </c>
      <c r="D350" s="17">
        <v>180</v>
      </c>
      <c r="E350" s="17" t="s">
        <v>32</v>
      </c>
      <c r="F350" s="37">
        <v>6.3560000000000005E-2</v>
      </c>
      <c r="G350" s="17">
        <v>24</v>
      </c>
      <c r="H350" s="43" t="s">
        <v>636</v>
      </c>
      <c r="I350" s="18">
        <v>5.3637428571428574</v>
      </c>
      <c r="J350" s="16"/>
      <c r="K350" s="49">
        <f>I350*J350</f>
        <v>0</v>
      </c>
      <c r="L350" s="36"/>
      <c r="N350" s="33" t="str">
        <f>IFERROR(IF($N$2*F350=0, "-", $N$2*F350), "-")</f>
        <v>-</v>
      </c>
      <c r="O350" s="33" t="str">
        <f>IF(J350&gt;0,I350+N350,"-")</f>
        <v>-</v>
      </c>
      <c r="P350" s="34" t="str">
        <f>IF(J350&gt;0,J350*F350, "-")</f>
        <v>-</v>
      </c>
      <c r="Q350" s="35" t="str">
        <f>IFERROR(IF($N$2&gt;0, $N$2*P350, "-"), "-")</f>
        <v>-</v>
      </c>
      <c r="S350" s="35" t="str">
        <f>IFERROR(IF(Q350+K350=0, "-", IF(Q350&gt;0, Q350+K350, "-")), "-")</f>
        <v>-</v>
      </c>
    </row>
    <row r="351" spans="1:19" x14ac:dyDescent="0.3">
      <c r="A351" s="48">
        <v>2717</v>
      </c>
      <c r="B351" s="23">
        <v>68958027173</v>
      </c>
      <c r="C351" s="11" t="s">
        <v>359</v>
      </c>
      <c r="D351" s="17">
        <v>90</v>
      </c>
      <c r="E351" s="17" t="s">
        <v>32</v>
      </c>
      <c r="F351" s="37">
        <v>4.4264999999999999E-2</v>
      </c>
      <c r="G351" s="17">
        <v>24</v>
      </c>
      <c r="H351" s="43" t="s">
        <v>636</v>
      </c>
      <c r="I351" s="18">
        <v>4.0243745454545463</v>
      </c>
      <c r="J351" s="16"/>
      <c r="K351" s="49">
        <f>I351*J351</f>
        <v>0</v>
      </c>
      <c r="L351" s="36"/>
      <c r="N351" s="33" t="str">
        <f>IFERROR(IF($N$2*F351=0, "-", $N$2*F351), "-")</f>
        <v>-</v>
      </c>
      <c r="O351" s="33" t="str">
        <f>IF(J351&gt;0,I351+N351,"-")</f>
        <v>-</v>
      </c>
      <c r="P351" s="34" t="str">
        <f>IF(J351&gt;0,J351*F351, "-")</f>
        <v>-</v>
      </c>
      <c r="Q351" s="35" t="str">
        <f>IFERROR(IF($N$2&gt;0, $N$2*P351, "-"), "-")</f>
        <v>-</v>
      </c>
      <c r="S351" s="35" t="str">
        <f>IFERROR(IF(Q351+K351=0, "-", IF(Q351&gt;0, Q351+K351, "-")), "-")</f>
        <v>-</v>
      </c>
    </row>
    <row r="352" spans="1:19" x14ac:dyDescent="0.3">
      <c r="A352" s="48">
        <v>2718</v>
      </c>
      <c r="B352" s="23">
        <v>68958027180</v>
      </c>
      <c r="C352" s="11" t="s">
        <v>360</v>
      </c>
      <c r="D352" s="17">
        <v>180</v>
      </c>
      <c r="E352" s="17" t="s">
        <v>32</v>
      </c>
      <c r="F352" s="37">
        <v>6.583E-2</v>
      </c>
      <c r="G352" s="17">
        <v>24</v>
      </c>
      <c r="H352" s="43" t="s">
        <v>636</v>
      </c>
      <c r="I352" s="18">
        <v>4.7494963636363634</v>
      </c>
      <c r="J352" s="16"/>
      <c r="K352" s="49">
        <f>I352*J352</f>
        <v>0</v>
      </c>
      <c r="L352" s="36"/>
      <c r="N352" s="33" t="str">
        <f>IFERROR(IF($N$2*F352=0, "-", $N$2*F352), "-")</f>
        <v>-</v>
      </c>
      <c r="O352" s="33" t="str">
        <f>IF(J352&gt;0,I352+N352,"-")</f>
        <v>-</v>
      </c>
      <c r="P352" s="34" t="str">
        <f>IF(J352&gt;0,J352*F352, "-")</f>
        <v>-</v>
      </c>
      <c r="Q352" s="35" t="str">
        <f>IFERROR(IF($N$2&gt;0, $N$2*P352, "-"), "-")</f>
        <v>-</v>
      </c>
      <c r="S352" s="35" t="str">
        <f>IFERROR(IF(Q352+K352=0, "-", IF(Q352&gt;0, Q352+K352, "-")), "-")</f>
        <v>-</v>
      </c>
    </row>
    <row r="353" spans="1:19" x14ac:dyDescent="0.3">
      <c r="A353" s="48">
        <v>2719</v>
      </c>
      <c r="B353" s="23">
        <v>68958027197</v>
      </c>
      <c r="C353" s="11" t="s">
        <v>361</v>
      </c>
      <c r="D353" s="17">
        <v>90</v>
      </c>
      <c r="E353" s="17" t="s">
        <v>32</v>
      </c>
      <c r="F353" s="37">
        <v>4.3130000000000002E-2</v>
      </c>
      <c r="G353" s="17">
        <v>24</v>
      </c>
      <c r="H353" s="43" t="s">
        <v>636</v>
      </c>
      <c r="I353" s="18">
        <v>4.23468</v>
      </c>
      <c r="J353" s="16"/>
      <c r="K353" s="49">
        <f>I353*J353</f>
        <v>0</v>
      </c>
      <c r="L353" s="36"/>
      <c r="N353" s="33" t="str">
        <f>IFERROR(IF($N$2*F353=0, "-", $N$2*F353), "-")</f>
        <v>-</v>
      </c>
      <c r="O353" s="33" t="str">
        <f>IF(J353&gt;0,I353+N353,"-")</f>
        <v>-</v>
      </c>
      <c r="P353" s="34" t="str">
        <f>IF(J353&gt;0,J353*F353, "-")</f>
        <v>-</v>
      </c>
      <c r="Q353" s="35" t="str">
        <f>IFERROR(IF($N$2&gt;0, $N$2*P353, "-"), "-")</f>
        <v>-</v>
      </c>
      <c r="S353" s="35" t="str">
        <f>IFERROR(IF(Q353+K353=0, "-", IF(Q353&gt;0, Q353+K353, "-")), "-")</f>
        <v>-</v>
      </c>
    </row>
    <row r="354" spans="1:19" x14ac:dyDescent="0.3">
      <c r="A354" s="48">
        <v>2722</v>
      </c>
      <c r="B354" s="23">
        <v>627765027228</v>
      </c>
      <c r="C354" s="11" t="s">
        <v>362</v>
      </c>
      <c r="D354" s="17">
        <v>180</v>
      </c>
      <c r="E354" s="17" t="s">
        <v>32</v>
      </c>
      <c r="F354" s="37">
        <v>6.3560000000000005E-2</v>
      </c>
      <c r="G354" s="17">
        <v>24</v>
      </c>
      <c r="H354" s="43" t="s">
        <v>636</v>
      </c>
      <c r="I354" s="18">
        <v>5.7494269565217389</v>
      </c>
      <c r="J354" s="16"/>
      <c r="K354" s="49">
        <f>I354*J354</f>
        <v>0</v>
      </c>
      <c r="L354" s="36"/>
      <c r="N354" s="33" t="str">
        <f>IFERROR(IF($N$2*F354=0, "-", $N$2*F354), "-")</f>
        <v>-</v>
      </c>
      <c r="O354" s="33" t="str">
        <f>IF(J354&gt;0,I354+N354,"-")</f>
        <v>-</v>
      </c>
      <c r="P354" s="34" t="str">
        <f>IF(J354&gt;0,J354*F354, "-")</f>
        <v>-</v>
      </c>
      <c r="Q354" s="35" t="str">
        <f>IFERROR(IF($N$2&gt;0, $N$2*P354, "-"), "-")</f>
        <v>-</v>
      </c>
      <c r="S354" s="35" t="str">
        <f>IFERROR(IF(Q354+K354=0, "-", IF(Q354&gt;0, Q354+K354, "-")), "-")</f>
        <v>-</v>
      </c>
    </row>
    <row r="355" spans="1:19" x14ac:dyDescent="0.3">
      <c r="A355" s="48">
        <v>2724</v>
      </c>
      <c r="B355" s="23">
        <v>627765027242</v>
      </c>
      <c r="C355" s="11" t="s">
        <v>363</v>
      </c>
      <c r="D355" s="17">
        <v>90</v>
      </c>
      <c r="E355" s="17" t="s">
        <v>32</v>
      </c>
      <c r="F355" s="37">
        <v>6.8099999999999994E-2</v>
      </c>
      <c r="G355" s="17">
        <v>24</v>
      </c>
      <c r="H355" s="43" t="s">
        <v>636</v>
      </c>
      <c r="I355" s="18">
        <v>8.078355000000002</v>
      </c>
      <c r="J355" s="16"/>
      <c r="K355" s="49">
        <f>I355*J355</f>
        <v>0</v>
      </c>
      <c r="L355" s="36"/>
      <c r="N355" s="33" t="str">
        <f>IFERROR(IF($N$2*F355=0, "-", $N$2*F355), "-")</f>
        <v>-</v>
      </c>
      <c r="O355" s="33" t="str">
        <f>IF(J355&gt;0,I355+N355,"-")</f>
        <v>-</v>
      </c>
      <c r="P355" s="34" t="str">
        <f>IF(J355&gt;0,J355*F355, "-")</f>
        <v>-</v>
      </c>
      <c r="Q355" s="35" t="str">
        <f>IFERROR(IF($N$2&gt;0, $N$2*P355, "-"), "-")</f>
        <v>-</v>
      </c>
      <c r="S355" s="35" t="str">
        <f>IFERROR(IF(Q355+K355=0, "-", IF(Q355&gt;0, Q355+K355, "-")), "-")</f>
        <v>-</v>
      </c>
    </row>
    <row r="356" spans="1:19" x14ac:dyDescent="0.3">
      <c r="A356" s="48">
        <v>2796</v>
      </c>
      <c r="B356" s="23">
        <v>627765027969</v>
      </c>
      <c r="C356" s="11" t="s">
        <v>364</v>
      </c>
      <c r="D356" s="17">
        <v>120</v>
      </c>
      <c r="E356" s="17" t="s">
        <v>45</v>
      </c>
      <c r="F356" s="37">
        <v>0.13847000000000001</v>
      </c>
      <c r="G356" s="17">
        <v>24</v>
      </c>
      <c r="H356" s="43" t="s">
        <v>636</v>
      </c>
      <c r="I356" s="18">
        <v>11.328306923076925</v>
      </c>
      <c r="J356" s="16"/>
      <c r="K356" s="49">
        <f>I356*J356</f>
        <v>0</v>
      </c>
      <c r="L356" s="36"/>
      <c r="N356" s="33" t="str">
        <f>IFERROR(IF($N$2*F356=0, "-", $N$2*F356), "-")</f>
        <v>-</v>
      </c>
      <c r="O356" s="33" t="str">
        <f>IF(J356&gt;0,I356+N356,"-")</f>
        <v>-</v>
      </c>
      <c r="P356" s="34" t="str">
        <f>IF(J356&gt;0,J356*F356, "-")</f>
        <v>-</v>
      </c>
      <c r="Q356" s="35" t="str">
        <f>IFERROR(IF($N$2&gt;0, $N$2*P356, "-"), "-")</f>
        <v>-</v>
      </c>
      <c r="S356" s="35" t="str">
        <f>IFERROR(IF(Q356+K356=0, "-", IF(Q356&gt;0, Q356+K356, "-")), "-")</f>
        <v>-</v>
      </c>
    </row>
    <row r="357" spans="1:19" x14ac:dyDescent="0.3">
      <c r="A357" s="48">
        <v>2798</v>
      </c>
      <c r="B357" s="23">
        <v>627765027983</v>
      </c>
      <c r="C357" s="11" t="s">
        <v>365</v>
      </c>
      <c r="D357" s="17">
        <v>450</v>
      </c>
      <c r="E357" s="17" t="s">
        <v>130</v>
      </c>
      <c r="F357" s="37">
        <v>0.6174400000000001</v>
      </c>
      <c r="G357" s="17">
        <v>6</v>
      </c>
      <c r="H357" s="43" t="s">
        <v>636</v>
      </c>
      <c r="I357" s="18">
        <v>17.84550461538462</v>
      </c>
      <c r="J357" s="16"/>
      <c r="K357" s="49">
        <f>I357*J357</f>
        <v>0</v>
      </c>
      <c r="L357" s="36"/>
      <c r="N357" s="33" t="str">
        <f>IFERROR(IF($N$2*F357=0, "-", $N$2*F357), "-")</f>
        <v>-</v>
      </c>
      <c r="O357" s="33" t="str">
        <f>IF(J357&gt;0,I357+N357,"-")</f>
        <v>-</v>
      </c>
      <c r="P357" s="34" t="str">
        <f>IF(J357&gt;0,J357*F357, "-")</f>
        <v>-</v>
      </c>
      <c r="Q357" s="35" t="str">
        <f>IFERROR(IF($N$2&gt;0, $N$2*P357, "-"), "-")</f>
        <v>-</v>
      </c>
      <c r="S357" s="35" t="str">
        <f>IFERROR(IF(Q357+K357=0, "-", IF(Q357&gt;0, Q357+K357, "-")), "-")</f>
        <v>-</v>
      </c>
    </row>
    <row r="358" spans="1:19" x14ac:dyDescent="0.3">
      <c r="A358" s="48">
        <v>2800</v>
      </c>
      <c r="B358" s="23">
        <v>68958028002</v>
      </c>
      <c r="C358" s="11" t="s">
        <v>366</v>
      </c>
      <c r="D358" s="17">
        <v>60</v>
      </c>
      <c r="E358" s="17" t="s">
        <v>45</v>
      </c>
      <c r="F358" s="37">
        <v>8.8529999999999998E-2</v>
      </c>
      <c r="G358" s="17">
        <v>24</v>
      </c>
      <c r="H358" s="43" t="s">
        <v>636</v>
      </c>
      <c r="I358" s="18">
        <v>7.1312815384615389</v>
      </c>
      <c r="J358" s="16"/>
      <c r="K358" s="49">
        <f>I358*J358</f>
        <v>0</v>
      </c>
      <c r="L358" s="36"/>
      <c r="N358" s="33" t="str">
        <f>IFERROR(IF($N$2*F358=0, "-", $N$2*F358), "-")</f>
        <v>-</v>
      </c>
      <c r="O358" s="33" t="str">
        <f>IF(J358&gt;0,I358+N358,"-")</f>
        <v>-</v>
      </c>
      <c r="P358" s="34" t="str">
        <f>IF(J358&gt;0,J358*F358, "-")</f>
        <v>-</v>
      </c>
      <c r="Q358" s="35" t="str">
        <f>IFERROR(IF($N$2&gt;0, $N$2*P358, "-"), "-")</f>
        <v>-</v>
      </c>
      <c r="S358" s="35" t="str">
        <f>IFERROR(IF(Q358+K358=0, "-", IF(Q358&gt;0, Q358+K358, "-")), "-")</f>
        <v>-</v>
      </c>
    </row>
    <row r="359" spans="1:19" x14ac:dyDescent="0.3">
      <c r="A359" s="48">
        <v>2801</v>
      </c>
      <c r="B359" s="22">
        <v>68958028019</v>
      </c>
      <c r="C359" s="11" t="s">
        <v>367</v>
      </c>
      <c r="D359" s="17">
        <v>60</v>
      </c>
      <c r="E359" s="17" t="s">
        <v>45</v>
      </c>
      <c r="F359" s="37">
        <v>8.6260000000000003E-2</v>
      </c>
      <c r="G359" s="17">
        <v>24</v>
      </c>
      <c r="H359" s="43" t="s">
        <v>636</v>
      </c>
      <c r="I359" s="18">
        <v>12.681567692307695</v>
      </c>
      <c r="J359" s="16"/>
      <c r="K359" s="49">
        <f>I359*J359</f>
        <v>0</v>
      </c>
      <c r="L359" s="36"/>
      <c r="N359" s="33" t="str">
        <f>IFERROR(IF($N$2*F359=0, "-", $N$2*F359), "-")</f>
        <v>-</v>
      </c>
      <c r="O359" s="33" t="str">
        <f>IF(J359&gt;0,I359+N359,"-")</f>
        <v>-</v>
      </c>
      <c r="P359" s="34" t="str">
        <f>IF(J359&gt;0,J359*F359, "-")</f>
        <v>-</v>
      </c>
      <c r="Q359" s="35" t="str">
        <f>IFERROR(IF($N$2&gt;0, $N$2*P359, "-"), "-")</f>
        <v>-</v>
      </c>
      <c r="S359" s="35" t="str">
        <f>IFERROR(IF(Q359+K359=0, "-", IF(Q359&gt;0, Q359+K359, "-")), "-")</f>
        <v>-</v>
      </c>
    </row>
    <row r="360" spans="1:19" x14ac:dyDescent="0.3">
      <c r="A360" s="48">
        <v>2802</v>
      </c>
      <c r="B360" s="23">
        <v>68958028026</v>
      </c>
      <c r="C360" s="11" t="s">
        <v>368</v>
      </c>
      <c r="D360" s="17">
        <v>90</v>
      </c>
      <c r="E360" s="17" t="s">
        <v>32</v>
      </c>
      <c r="F360" s="37">
        <v>0.22473000000000001</v>
      </c>
      <c r="G360" s="17">
        <v>24</v>
      </c>
      <c r="H360" s="43" t="s">
        <v>636</v>
      </c>
      <c r="I360" s="18">
        <v>17.381520000000002</v>
      </c>
      <c r="J360" s="16"/>
      <c r="K360" s="49">
        <f>I360*J360</f>
        <v>0</v>
      </c>
      <c r="L360" s="36"/>
      <c r="N360" s="33" t="str">
        <f>IFERROR(IF($N$2*F360=0, "-", $N$2*F360), "-")</f>
        <v>-</v>
      </c>
      <c r="O360" s="33" t="str">
        <f>IF(J360&gt;0,I360+N360,"-")</f>
        <v>-</v>
      </c>
      <c r="P360" s="34" t="str">
        <f>IF(J360&gt;0,J360*F360, "-")</f>
        <v>-</v>
      </c>
      <c r="Q360" s="35" t="str">
        <f>IFERROR(IF($N$2&gt;0, $N$2*P360, "-"), "-")</f>
        <v>-</v>
      </c>
      <c r="S360" s="35" t="str">
        <f>IFERROR(IF(Q360+K360=0, "-", IF(Q360&gt;0, Q360+K360, "-")), "-")</f>
        <v>-</v>
      </c>
    </row>
    <row r="361" spans="1:19" x14ac:dyDescent="0.3">
      <c r="A361" s="48">
        <v>2803</v>
      </c>
      <c r="B361" s="22">
        <v>68958028033</v>
      </c>
      <c r="C361" s="11" t="s">
        <v>369</v>
      </c>
      <c r="D361" s="17">
        <v>60</v>
      </c>
      <c r="E361" s="17" t="s">
        <v>45</v>
      </c>
      <c r="F361" s="37">
        <v>8.1720000000000001E-2</v>
      </c>
      <c r="G361" s="17">
        <v>24</v>
      </c>
      <c r="H361" s="43" t="s">
        <v>636</v>
      </c>
      <c r="I361" s="18">
        <v>6.6689792307692306</v>
      </c>
      <c r="J361" s="16"/>
      <c r="K361" s="49">
        <f>I361*J361</f>
        <v>0</v>
      </c>
      <c r="L361" s="36"/>
      <c r="N361" s="33" t="str">
        <f>IFERROR(IF($N$2*F361=0, "-", $N$2*F361), "-")</f>
        <v>-</v>
      </c>
      <c r="O361" s="33" t="str">
        <f>IF(J361&gt;0,I361+N361,"-")</f>
        <v>-</v>
      </c>
      <c r="P361" s="34" t="str">
        <f>IF(J361&gt;0,J361*F361, "-")</f>
        <v>-</v>
      </c>
      <c r="Q361" s="35" t="str">
        <f>IFERROR(IF($N$2&gt;0, $N$2*P361, "-"), "-")</f>
        <v>-</v>
      </c>
      <c r="S361" s="35" t="str">
        <f>IFERROR(IF(Q361+K361=0, "-", IF(Q361&gt;0, Q361+K361, "-")), "-")</f>
        <v>-</v>
      </c>
    </row>
    <row r="362" spans="1:19" x14ac:dyDescent="0.3">
      <c r="A362" s="48">
        <v>2804</v>
      </c>
      <c r="B362" s="23">
        <v>68958028040</v>
      </c>
      <c r="C362" s="11" t="s">
        <v>370</v>
      </c>
      <c r="D362" s="17">
        <v>300</v>
      </c>
      <c r="E362" s="17" t="s">
        <v>130</v>
      </c>
      <c r="F362" s="37">
        <v>0.42221999999999998</v>
      </c>
      <c r="G362" s="17">
        <v>12</v>
      </c>
      <c r="H362" s="43" t="s">
        <v>636</v>
      </c>
      <c r="I362" s="18">
        <v>14.497276153846157</v>
      </c>
      <c r="J362" s="16"/>
      <c r="K362" s="49">
        <f>I362*J362</f>
        <v>0</v>
      </c>
      <c r="L362" s="36"/>
      <c r="N362" s="33" t="str">
        <f>IFERROR(IF($N$2*F362=0, "-", $N$2*F362), "-")</f>
        <v>-</v>
      </c>
      <c r="O362" s="33" t="str">
        <f>IF(J362&gt;0,I362+N362,"-")</f>
        <v>-</v>
      </c>
      <c r="P362" s="34" t="str">
        <f>IF(J362&gt;0,J362*F362, "-")</f>
        <v>-</v>
      </c>
      <c r="Q362" s="35" t="str">
        <f>IFERROR(IF($N$2&gt;0, $N$2*P362, "-"), "-")</f>
        <v>-</v>
      </c>
      <c r="S362" s="35" t="str">
        <f>IFERROR(IF(Q362+K362=0, "-", IF(Q362&gt;0, Q362+K362, "-")), "-")</f>
        <v>-</v>
      </c>
    </row>
    <row r="363" spans="1:19" x14ac:dyDescent="0.3">
      <c r="A363" s="48">
        <v>2815</v>
      </c>
      <c r="B363" s="22">
        <v>68958028156</v>
      </c>
      <c r="C363" s="11" t="s">
        <v>371</v>
      </c>
      <c r="D363" s="17">
        <v>90</v>
      </c>
      <c r="E363" s="17" t="s">
        <v>45</v>
      </c>
      <c r="F363" s="37">
        <v>0.10214999999999999</v>
      </c>
      <c r="G363" s="17">
        <v>24</v>
      </c>
      <c r="H363" s="43" t="s">
        <v>636</v>
      </c>
      <c r="I363" s="18">
        <v>8.1994015384615384</v>
      </c>
      <c r="J363" s="16"/>
      <c r="K363" s="49">
        <f>I363*J363</f>
        <v>0</v>
      </c>
      <c r="L363" s="36"/>
      <c r="N363" s="33" t="str">
        <f>IFERROR(IF($N$2*F363=0, "-", $N$2*F363), "-")</f>
        <v>-</v>
      </c>
      <c r="O363" s="33" t="str">
        <f>IF(J363&gt;0,I363+N363,"-")</f>
        <v>-</v>
      </c>
      <c r="P363" s="34" t="str">
        <f>IF(J363&gt;0,J363*F363, "-")</f>
        <v>-</v>
      </c>
      <c r="Q363" s="35" t="str">
        <f>IFERROR(IF($N$2&gt;0, $N$2*P363, "-"), "-")</f>
        <v>-</v>
      </c>
      <c r="S363" s="35" t="str">
        <f>IFERROR(IF(Q363+K363=0, "-", IF(Q363&gt;0, Q363+K363, "-")), "-")</f>
        <v>-</v>
      </c>
    </row>
    <row r="364" spans="1:19" x14ac:dyDescent="0.3">
      <c r="A364" s="48">
        <v>2819</v>
      </c>
      <c r="B364" s="23">
        <v>627765028195</v>
      </c>
      <c r="C364" s="11" t="s">
        <v>373</v>
      </c>
      <c r="D364" s="17">
        <v>60</v>
      </c>
      <c r="E364" s="17" t="s">
        <v>14</v>
      </c>
      <c r="F364" s="37">
        <v>7.7180000000000012E-2</v>
      </c>
      <c r="G364" s="17">
        <v>24</v>
      </c>
      <c r="H364" s="43" t="s">
        <v>636</v>
      </c>
      <c r="I364" s="18">
        <v>8.3009423076923081</v>
      </c>
      <c r="J364" s="16"/>
      <c r="K364" s="49">
        <f>I364*J364</f>
        <v>0</v>
      </c>
      <c r="L364" s="36"/>
      <c r="N364" s="33" t="str">
        <f>IFERROR(IF($N$2*F364=0, "-", $N$2*F364), "-")</f>
        <v>-</v>
      </c>
      <c r="O364" s="33" t="str">
        <f>IF(J364&gt;0,I364+N364,"-")</f>
        <v>-</v>
      </c>
      <c r="P364" s="34" t="str">
        <f>IF(J364&gt;0,J364*F364, "-")</f>
        <v>-</v>
      </c>
      <c r="Q364" s="35" t="str">
        <f>IFERROR(IF($N$2&gt;0, $N$2*P364, "-"), "-")</f>
        <v>-</v>
      </c>
      <c r="S364" s="35" t="str">
        <f>IFERROR(IF(Q364+K364=0, "-", IF(Q364&gt;0, Q364+K364, "-")), "-")</f>
        <v>-</v>
      </c>
    </row>
    <row r="365" spans="1:19" x14ac:dyDescent="0.3">
      <c r="A365" s="48">
        <v>2820</v>
      </c>
      <c r="B365" s="23">
        <v>68958028200</v>
      </c>
      <c r="C365" s="11" t="s">
        <v>374</v>
      </c>
      <c r="D365" s="17">
        <v>60</v>
      </c>
      <c r="E365" s="17" t="s">
        <v>54</v>
      </c>
      <c r="F365" s="37">
        <v>6.8099999999999994E-2</v>
      </c>
      <c r="G365" s="17">
        <v>24</v>
      </c>
      <c r="H365" s="43" t="s">
        <v>636</v>
      </c>
      <c r="I365" s="18">
        <v>6.066609230769231</v>
      </c>
      <c r="J365" s="16"/>
      <c r="K365" s="49">
        <f>I365*J365</f>
        <v>0</v>
      </c>
      <c r="L365" s="36"/>
      <c r="N365" s="33" t="str">
        <f>IFERROR(IF($N$2*F365=0, "-", $N$2*F365), "-")</f>
        <v>-</v>
      </c>
      <c r="O365" s="33" t="str">
        <f>IF(J365&gt;0,I365+N365,"-")</f>
        <v>-</v>
      </c>
      <c r="P365" s="34" t="str">
        <f>IF(J365&gt;0,J365*F365, "-")</f>
        <v>-</v>
      </c>
      <c r="Q365" s="35" t="str">
        <f>IFERROR(IF($N$2&gt;0, $N$2*P365, "-"), "-")</f>
        <v>-</v>
      </c>
      <c r="S365" s="35" t="str">
        <f>IFERROR(IF(Q365+K365=0, "-", IF(Q365&gt;0, Q365+K365, "-")), "-")</f>
        <v>-</v>
      </c>
    </row>
    <row r="366" spans="1:19" x14ac:dyDescent="0.3">
      <c r="A366" s="48">
        <v>2821</v>
      </c>
      <c r="B366" s="22">
        <v>68958028217</v>
      </c>
      <c r="C366" s="11" t="s">
        <v>375</v>
      </c>
      <c r="D366" s="17">
        <v>90</v>
      </c>
      <c r="E366" s="17" t="s">
        <v>54</v>
      </c>
      <c r="F366" s="37">
        <v>9.0800000000000006E-2</v>
      </c>
      <c r="G366" s="17">
        <v>24</v>
      </c>
      <c r="H366" s="43" t="s">
        <v>636</v>
      </c>
      <c r="I366" s="18">
        <v>8.6117746153846166</v>
      </c>
      <c r="J366" s="16"/>
      <c r="K366" s="49">
        <f>I366*J366</f>
        <v>0</v>
      </c>
      <c r="L366" s="36"/>
      <c r="N366" s="33" t="str">
        <f>IFERROR(IF($N$2*F366=0, "-", $N$2*F366), "-")</f>
        <v>-</v>
      </c>
      <c r="O366" s="33" t="str">
        <f>IF(J366&gt;0,I366+N366,"-")</f>
        <v>-</v>
      </c>
      <c r="P366" s="34" t="str">
        <f>IF(J366&gt;0,J366*F366, "-")</f>
        <v>-</v>
      </c>
      <c r="Q366" s="35" t="str">
        <f>IFERROR(IF($N$2&gt;0, $N$2*P366, "-"), "-")</f>
        <v>-</v>
      </c>
      <c r="S366" s="35" t="str">
        <f>IFERROR(IF(Q366+K366=0, "-", IF(Q366&gt;0, Q366+K366, "-")), "-")</f>
        <v>-</v>
      </c>
    </row>
    <row r="367" spans="1:19" x14ac:dyDescent="0.3">
      <c r="A367" s="48">
        <v>2823</v>
      </c>
      <c r="B367" s="22">
        <v>68958028231</v>
      </c>
      <c r="C367" s="11" t="s">
        <v>376</v>
      </c>
      <c r="D367" s="17">
        <v>90</v>
      </c>
      <c r="E367" s="17" t="s">
        <v>54</v>
      </c>
      <c r="F367" s="37">
        <v>0.1135</v>
      </c>
      <c r="G367" s="17">
        <v>24</v>
      </c>
      <c r="H367" s="43" t="s">
        <v>636</v>
      </c>
      <c r="I367" s="18">
        <v>5.6863869230769231</v>
      </c>
      <c r="J367" s="16"/>
      <c r="K367" s="49">
        <f>I367*J367</f>
        <v>0</v>
      </c>
      <c r="L367" s="36"/>
      <c r="N367" s="33" t="str">
        <f>IFERROR(IF($N$2*F367=0, "-", $N$2*F367), "-")</f>
        <v>-</v>
      </c>
      <c r="O367" s="33" t="str">
        <f>IF(J367&gt;0,I367+N367,"-")</f>
        <v>-</v>
      </c>
      <c r="P367" s="34" t="str">
        <f>IF(J367&gt;0,J367*F367, "-")</f>
        <v>-</v>
      </c>
      <c r="Q367" s="35" t="str">
        <f>IFERROR(IF($N$2&gt;0, $N$2*P367, "-"), "-")</f>
        <v>-</v>
      </c>
      <c r="S367" s="35" t="str">
        <f>IFERROR(IF(Q367+K367=0, "-", IF(Q367&gt;0, Q367+K367, "-")), "-")</f>
        <v>-</v>
      </c>
    </row>
    <row r="368" spans="1:19" x14ac:dyDescent="0.3">
      <c r="A368" s="48">
        <v>2825</v>
      </c>
      <c r="B368" s="22">
        <v>68958028255</v>
      </c>
      <c r="C368" s="11" t="s">
        <v>377</v>
      </c>
      <c r="D368" s="17">
        <v>60</v>
      </c>
      <c r="E368" s="17" t="s">
        <v>32</v>
      </c>
      <c r="F368" s="37">
        <v>7.9450000000000007E-2</v>
      </c>
      <c r="G368" s="17">
        <v>24</v>
      </c>
      <c r="H368" s="43" t="s">
        <v>636</v>
      </c>
      <c r="I368" s="18">
        <v>5.8031307692307683</v>
      </c>
      <c r="J368" s="16"/>
      <c r="K368" s="49">
        <f>I368*J368</f>
        <v>0</v>
      </c>
      <c r="L368" s="36"/>
      <c r="N368" s="33" t="str">
        <f>IFERROR(IF($N$2*F368=0, "-", $N$2*F368), "-")</f>
        <v>-</v>
      </c>
      <c r="O368" s="33" t="str">
        <f>IF(J368&gt;0,I368+N368,"-")</f>
        <v>-</v>
      </c>
      <c r="P368" s="34" t="str">
        <f>IF(J368&gt;0,J368*F368, "-")</f>
        <v>-</v>
      </c>
      <c r="Q368" s="35" t="str">
        <f>IFERROR(IF($N$2&gt;0, $N$2*P368, "-"), "-")</f>
        <v>-</v>
      </c>
      <c r="S368" s="35" t="str">
        <f>IFERROR(IF(Q368+K368=0, "-", IF(Q368&gt;0, Q368+K368, "-")), "-")</f>
        <v>-</v>
      </c>
    </row>
    <row r="369" spans="1:19" x14ac:dyDescent="0.3">
      <c r="A369" s="48">
        <v>2830</v>
      </c>
      <c r="B369" s="22">
        <v>68958028309</v>
      </c>
      <c r="C369" s="11" t="s">
        <v>378</v>
      </c>
      <c r="D369" s="17">
        <v>90</v>
      </c>
      <c r="E369" s="17" t="s">
        <v>32</v>
      </c>
      <c r="F369" s="37">
        <v>0.11123000000000001</v>
      </c>
      <c r="G369" s="17">
        <v>24</v>
      </c>
      <c r="H369" s="43" t="s">
        <v>636</v>
      </c>
      <c r="I369" s="18">
        <v>18.735403846153844</v>
      </c>
      <c r="J369" s="16"/>
      <c r="K369" s="49">
        <f>I369*J369</f>
        <v>0</v>
      </c>
      <c r="L369" s="36"/>
      <c r="N369" s="33" t="str">
        <f>IFERROR(IF($N$2*F369=0, "-", $N$2*F369), "-")</f>
        <v>-</v>
      </c>
      <c r="O369" s="33" t="str">
        <f>IF(J369&gt;0,I369+N369,"-")</f>
        <v>-</v>
      </c>
      <c r="P369" s="34" t="str">
        <f>IF(J369&gt;0,J369*F369, "-")</f>
        <v>-</v>
      </c>
      <c r="Q369" s="35" t="str">
        <f>IFERROR(IF($N$2&gt;0, $N$2*P369, "-"), "-")</f>
        <v>-</v>
      </c>
      <c r="S369" s="35" t="str">
        <f>IFERROR(IF(Q369+K369=0, "-", IF(Q369&gt;0, Q369+K369, "-")), "-")</f>
        <v>-</v>
      </c>
    </row>
    <row r="370" spans="1:19" x14ac:dyDescent="0.3">
      <c r="A370" s="48">
        <v>2831</v>
      </c>
      <c r="B370" s="22">
        <v>68958028316</v>
      </c>
      <c r="C370" s="11" t="s">
        <v>379</v>
      </c>
      <c r="D370" s="17">
        <v>60</v>
      </c>
      <c r="E370" s="17" t="s">
        <v>32</v>
      </c>
      <c r="F370" s="37">
        <v>0.17819499999999999</v>
      </c>
      <c r="G370" s="17">
        <v>24</v>
      </c>
      <c r="H370" s="43" t="s">
        <v>636</v>
      </c>
      <c r="I370" s="18">
        <v>14.495635384615387</v>
      </c>
      <c r="J370" s="16"/>
      <c r="K370" s="49">
        <f>I370*J370</f>
        <v>0</v>
      </c>
      <c r="L370" s="36"/>
      <c r="N370" s="33" t="str">
        <f>IFERROR(IF($N$2*F370=0, "-", $N$2*F370), "-")</f>
        <v>-</v>
      </c>
      <c r="O370" s="33" t="str">
        <f>IF(J370&gt;0,I370+N370,"-")</f>
        <v>-</v>
      </c>
      <c r="P370" s="34" t="str">
        <f>IF(J370&gt;0,J370*F370, "-")</f>
        <v>-</v>
      </c>
      <c r="Q370" s="35" t="str">
        <f>IFERROR(IF($N$2&gt;0, $N$2*P370, "-"), "-")</f>
        <v>-</v>
      </c>
      <c r="S370" s="35" t="str">
        <f>IFERROR(IF(Q370+K370=0, "-", IF(Q370&gt;0, Q370+K370, "-")), "-")</f>
        <v>-</v>
      </c>
    </row>
    <row r="371" spans="1:19" x14ac:dyDescent="0.3">
      <c r="A371" s="48">
        <v>2832</v>
      </c>
      <c r="B371" s="22">
        <v>68958028323</v>
      </c>
      <c r="C371" s="11" t="s">
        <v>380</v>
      </c>
      <c r="D371" s="17">
        <v>60</v>
      </c>
      <c r="E371" s="17" t="s">
        <v>32</v>
      </c>
      <c r="F371" s="37">
        <v>0.18046500000000001</v>
      </c>
      <c r="G371" s="17">
        <v>24</v>
      </c>
      <c r="H371" s="43" t="s">
        <v>636</v>
      </c>
      <c r="I371" s="18">
        <v>13.10847923076923</v>
      </c>
      <c r="J371" s="16"/>
      <c r="K371" s="49">
        <f>I371*J371</f>
        <v>0</v>
      </c>
      <c r="L371" s="36"/>
      <c r="N371" s="33" t="str">
        <f>IFERROR(IF($N$2*F371=0, "-", $N$2*F371), "-")</f>
        <v>-</v>
      </c>
      <c r="O371" s="33" t="str">
        <f>IF(J371&gt;0,I371+N371,"-")</f>
        <v>-</v>
      </c>
      <c r="P371" s="34" t="str">
        <f>IF(J371&gt;0,J371*F371, "-")</f>
        <v>-</v>
      </c>
      <c r="Q371" s="35" t="str">
        <f>IFERROR(IF($N$2&gt;0, $N$2*P371, "-"), "-")</f>
        <v>-</v>
      </c>
      <c r="S371" s="35" t="str">
        <f>IFERROR(IF(Q371+K371=0, "-", IF(Q371&gt;0, Q371+K371, "-")), "-")</f>
        <v>-</v>
      </c>
    </row>
    <row r="372" spans="1:19" hidden="1" x14ac:dyDescent="0.3">
      <c r="A372" s="48">
        <v>2834</v>
      </c>
      <c r="B372" s="22">
        <v>68958028347</v>
      </c>
      <c r="C372" s="11" t="s">
        <v>381</v>
      </c>
      <c r="D372" s="17">
        <v>60</v>
      </c>
      <c r="E372" s="17" t="s">
        <v>54</v>
      </c>
      <c r="F372" s="37"/>
      <c r="G372" s="17">
        <v>24</v>
      </c>
      <c r="H372" s="43" t="s">
        <v>636</v>
      </c>
      <c r="I372" s="18">
        <v>9.1190838461538455</v>
      </c>
      <c r="J372" s="16"/>
      <c r="K372" s="49">
        <f>I372*J372</f>
        <v>0</v>
      </c>
      <c r="L372" s="36"/>
      <c r="N372" s="33" t="str">
        <f>IFERROR(IF($N$2*F372=0, "-", $N$2*F372), "-")</f>
        <v>-</v>
      </c>
      <c r="O372" s="33" t="str">
        <f>IF(J372&gt;0,I372+N372,"-")</f>
        <v>-</v>
      </c>
      <c r="P372" s="34" t="str">
        <f>IF(J372&gt;0,J372*F372, "-")</f>
        <v>-</v>
      </c>
      <c r="Q372" s="35" t="str">
        <f>IFERROR(IF($N$2&gt;0, $N$2*P372, "-"), "-")</f>
        <v>-</v>
      </c>
      <c r="S372" s="35" t="str">
        <f>IFERROR(IF(Q372+K372=0, "-", IF(Q372&gt;0, Q372+K372, "-")), "-")</f>
        <v>-</v>
      </c>
    </row>
    <row r="373" spans="1:19" x14ac:dyDescent="0.3">
      <c r="A373" s="48">
        <v>2835</v>
      </c>
      <c r="B373" s="22">
        <v>68958028354</v>
      </c>
      <c r="C373" s="11" t="s">
        <v>382</v>
      </c>
      <c r="D373" s="17">
        <v>60</v>
      </c>
      <c r="E373" s="17" t="s">
        <v>32</v>
      </c>
      <c r="F373" s="37">
        <v>0.19068000000000002</v>
      </c>
      <c r="G373" s="17">
        <v>24</v>
      </c>
      <c r="H373" s="43" t="s">
        <v>636</v>
      </c>
      <c r="I373" s="18">
        <v>16.466012307692306</v>
      </c>
      <c r="J373" s="16"/>
      <c r="K373" s="49">
        <f>I373*J373</f>
        <v>0</v>
      </c>
      <c r="L373" s="36"/>
      <c r="N373" s="33" t="str">
        <f>IFERROR(IF($N$2*F373=0, "-", $N$2*F373), "-")</f>
        <v>-</v>
      </c>
      <c r="O373" s="33" t="str">
        <f>IF(J373&gt;0,I373+N373,"-")</f>
        <v>-</v>
      </c>
      <c r="P373" s="34" t="str">
        <f>IF(J373&gt;0,J373*F373, "-")</f>
        <v>-</v>
      </c>
      <c r="Q373" s="35" t="str">
        <f>IFERROR(IF($N$2&gt;0, $N$2*P373, "-"), "-")</f>
        <v>-</v>
      </c>
      <c r="S373" s="35" t="str">
        <f>IFERROR(IF(Q373+K373=0, "-", IF(Q373&gt;0, Q373+K373, "-")), "-")</f>
        <v>-</v>
      </c>
    </row>
    <row r="374" spans="1:19" x14ac:dyDescent="0.3">
      <c r="A374" s="48">
        <v>2836</v>
      </c>
      <c r="B374" s="22">
        <v>68958028361</v>
      </c>
      <c r="C374" s="11" t="s">
        <v>383</v>
      </c>
      <c r="D374" s="17">
        <v>90</v>
      </c>
      <c r="E374" s="17" t="s">
        <v>54</v>
      </c>
      <c r="F374" s="37">
        <v>9.0800000000000006E-2</v>
      </c>
      <c r="G374" s="17">
        <v>24</v>
      </c>
      <c r="H374" s="43" t="s">
        <v>636</v>
      </c>
      <c r="I374" s="18">
        <v>20.419061538461538</v>
      </c>
      <c r="J374" s="16"/>
      <c r="K374" s="49">
        <f>I374*J374</f>
        <v>0</v>
      </c>
      <c r="L374" s="36"/>
      <c r="N374" s="33" t="str">
        <f>IFERROR(IF($N$2*F374=0, "-", $N$2*F374), "-")</f>
        <v>-</v>
      </c>
      <c r="O374" s="33" t="str">
        <f>IF(J374&gt;0,I374+N374,"-")</f>
        <v>-</v>
      </c>
      <c r="P374" s="34" t="str">
        <f>IF(J374&gt;0,J374*F374, "-")</f>
        <v>-</v>
      </c>
      <c r="Q374" s="35" t="str">
        <f>IFERROR(IF($N$2&gt;0, $N$2*P374, "-"), "-")</f>
        <v>-</v>
      </c>
      <c r="S374" s="35" t="str">
        <f>IFERROR(IF(Q374+K374=0, "-", IF(Q374&gt;0, Q374+K374, "-")), "-")</f>
        <v>-</v>
      </c>
    </row>
    <row r="375" spans="1:19" x14ac:dyDescent="0.3">
      <c r="A375" s="48">
        <v>2837</v>
      </c>
      <c r="B375" s="22">
        <v>68958028378</v>
      </c>
      <c r="C375" s="11" t="s">
        <v>384</v>
      </c>
      <c r="D375" s="17">
        <v>120</v>
      </c>
      <c r="E375" s="17" t="s">
        <v>54</v>
      </c>
      <c r="F375" s="37">
        <v>0.33255499999999999</v>
      </c>
      <c r="G375" s="17">
        <v>12</v>
      </c>
      <c r="H375" s="43" t="s">
        <v>636</v>
      </c>
      <c r="I375" s="18">
        <v>24.132662307692311</v>
      </c>
      <c r="J375" s="16"/>
      <c r="K375" s="49">
        <f>I375*J375</f>
        <v>0</v>
      </c>
      <c r="L375" s="36"/>
      <c r="N375" s="33" t="str">
        <f>IFERROR(IF($N$2*F375=0, "-", $N$2*F375), "-")</f>
        <v>-</v>
      </c>
      <c r="O375" s="33" t="str">
        <f>IF(J375&gt;0,I375+N375,"-")</f>
        <v>-</v>
      </c>
      <c r="P375" s="34" t="str">
        <f>IF(J375&gt;0,J375*F375, "-")</f>
        <v>-</v>
      </c>
      <c r="Q375" s="35" t="str">
        <f>IFERROR(IF($N$2&gt;0, $N$2*P375, "-"), "-")</f>
        <v>-</v>
      </c>
      <c r="S375" s="35" t="str">
        <f>IFERROR(IF(Q375+K375=0, "-", IF(Q375&gt;0, Q375+K375, "-")), "-")</f>
        <v>-</v>
      </c>
    </row>
    <row r="376" spans="1:19" x14ac:dyDescent="0.3">
      <c r="A376" s="48">
        <v>2838</v>
      </c>
      <c r="B376" s="22">
        <v>68958028385</v>
      </c>
      <c r="C376" s="11" t="s">
        <v>385</v>
      </c>
      <c r="D376" s="17">
        <v>120</v>
      </c>
      <c r="E376" s="17" t="s">
        <v>54</v>
      </c>
      <c r="F376" s="37">
        <v>0.12485</v>
      </c>
      <c r="G376" s="17">
        <v>24</v>
      </c>
      <c r="H376" s="43" t="s">
        <v>636</v>
      </c>
      <c r="I376" s="18">
        <v>16.754143846153848</v>
      </c>
      <c r="J376" s="16"/>
      <c r="K376" s="49">
        <f>I376*J376</f>
        <v>0</v>
      </c>
      <c r="L376" s="36"/>
      <c r="N376" s="33" t="str">
        <f>IFERROR(IF($N$2*F376=0, "-", $N$2*F376), "-")</f>
        <v>-</v>
      </c>
      <c r="O376" s="33" t="str">
        <f>IF(J376&gt;0,I376+N376,"-")</f>
        <v>-</v>
      </c>
      <c r="P376" s="34" t="str">
        <f>IF(J376&gt;0,J376*F376, "-")</f>
        <v>-</v>
      </c>
      <c r="Q376" s="35" t="str">
        <f>IFERROR(IF($N$2&gt;0, $N$2*P376, "-"), "-")</f>
        <v>-</v>
      </c>
      <c r="S376" s="35" t="str">
        <f>IFERROR(IF(Q376+K376=0, "-", IF(Q376&gt;0, Q376+K376, "-")), "-")</f>
        <v>-</v>
      </c>
    </row>
    <row r="377" spans="1:19" x14ac:dyDescent="0.3">
      <c r="A377" s="48">
        <v>2839</v>
      </c>
      <c r="B377" s="22">
        <v>68958028392</v>
      </c>
      <c r="C377" s="11" t="s">
        <v>386</v>
      </c>
      <c r="D377" s="17" t="s">
        <v>387</v>
      </c>
      <c r="E377" s="17" t="s">
        <v>32</v>
      </c>
      <c r="F377" s="37">
        <v>0.50961500000000004</v>
      </c>
      <c r="G377" s="17">
        <v>10</v>
      </c>
      <c r="H377" s="43" t="s">
        <v>636</v>
      </c>
      <c r="I377" s="18">
        <v>74.858766923076914</v>
      </c>
      <c r="J377" s="16"/>
      <c r="K377" s="49">
        <f>I377*J377</f>
        <v>0</v>
      </c>
      <c r="L377" s="36"/>
      <c r="N377" s="33" t="str">
        <f>IFERROR(IF($N$2*F377=0, "-", $N$2*F377), "-")</f>
        <v>-</v>
      </c>
      <c r="O377" s="33" t="str">
        <f>IF(J377&gt;0,I377+N377,"-")</f>
        <v>-</v>
      </c>
      <c r="P377" s="34" t="str">
        <f>IF(J377&gt;0,J377*F377, "-")</f>
        <v>-</v>
      </c>
      <c r="Q377" s="35" t="str">
        <f>IFERROR(IF($N$2&gt;0, $N$2*P377, "-"), "-")</f>
        <v>-</v>
      </c>
      <c r="S377" s="35" t="str">
        <f>IFERROR(IF(Q377+K377=0, "-", IF(Q377&gt;0, Q377+K377, "-")), "-")</f>
        <v>-</v>
      </c>
    </row>
    <row r="378" spans="1:19" x14ac:dyDescent="0.3">
      <c r="A378" s="48">
        <v>2841</v>
      </c>
      <c r="B378" s="22">
        <v>68958028415</v>
      </c>
      <c r="C378" s="11" t="s">
        <v>388</v>
      </c>
      <c r="D378" s="17">
        <v>60</v>
      </c>
      <c r="E378" s="17" t="s">
        <v>45</v>
      </c>
      <c r="F378" s="37">
        <v>0.17024999999999998</v>
      </c>
      <c r="G378" s="17">
        <v>24</v>
      </c>
      <c r="H378" s="43" t="s">
        <v>636</v>
      </c>
      <c r="I378" s="18">
        <v>17.115507692307695</v>
      </c>
      <c r="J378" s="16"/>
      <c r="K378" s="49">
        <f>I378*J378</f>
        <v>0</v>
      </c>
      <c r="L378" s="36"/>
      <c r="N378" s="33" t="str">
        <f>IFERROR(IF($N$2*F378=0, "-", $N$2*F378), "-")</f>
        <v>-</v>
      </c>
      <c r="O378" s="33" t="str">
        <f>IF(J378&gt;0,I378+N378,"-")</f>
        <v>-</v>
      </c>
      <c r="P378" s="34" t="str">
        <f>IF(J378&gt;0,J378*F378, "-")</f>
        <v>-</v>
      </c>
      <c r="Q378" s="35" t="str">
        <f>IFERROR(IF($N$2&gt;0, $N$2*P378, "-"), "-")</f>
        <v>-</v>
      </c>
      <c r="S378" s="35" t="str">
        <f>IFERROR(IF(Q378+K378=0, "-", IF(Q378&gt;0, Q378+K378, "-")), "-")</f>
        <v>-</v>
      </c>
    </row>
    <row r="379" spans="1:19" x14ac:dyDescent="0.3">
      <c r="A379" s="48">
        <v>2842</v>
      </c>
      <c r="B379" s="22">
        <v>627765028423</v>
      </c>
      <c r="C379" s="11" t="s">
        <v>389</v>
      </c>
      <c r="D379" s="17">
        <v>120</v>
      </c>
      <c r="E379" s="17" t="s">
        <v>32</v>
      </c>
      <c r="F379" s="37">
        <v>0.33482499999999998</v>
      </c>
      <c r="G379" s="17">
        <v>12</v>
      </c>
      <c r="H379" s="43" t="s">
        <v>636</v>
      </c>
      <c r="I379" s="18">
        <v>29.981547692307696</v>
      </c>
      <c r="J379" s="16"/>
      <c r="K379" s="49">
        <f>I379*J379</f>
        <v>0</v>
      </c>
      <c r="L379" s="36"/>
      <c r="N379" s="33" t="str">
        <f>IFERROR(IF($N$2*F379=0, "-", $N$2*F379), "-")</f>
        <v>-</v>
      </c>
      <c r="O379" s="33" t="str">
        <f>IF(J379&gt;0,I379+N379,"-")</f>
        <v>-</v>
      </c>
      <c r="P379" s="34" t="str">
        <f>IF(J379&gt;0,J379*F379, "-")</f>
        <v>-</v>
      </c>
      <c r="Q379" s="35" t="str">
        <f>IFERROR(IF($N$2&gt;0, $N$2*P379, "-"), "-")</f>
        <v>-</v>
      </c>
      <c r="S379" s="35" t="str">
        <f>IFERROR(IF(Q379+K379=0, "-", IF(Q379&gt;0, Q379+K379, "-")), "-")</f>
        <v>-</v>
      </c>
    </row>
    <row r="380" spans="1:19" x14ac:dyDescent="0.3">
      <c r="A380" s="48">
        <v>2843</v>
      </c>
      <c r="B380" s="22">
        <v>68958028439</v>
      </c>
      <c r="C380" s="11" t="s">
        <v>390</v>
      </c>
      <c r="D380" s="17">
        <v>120</v>
      </c>
      <c r="E380" s="17" t="s">
        <v>32</v>
      </c>
      <c r="F380" s="37">
        <v>0.33822999999999998</v>
      </c>
      <c r="G380" s="17">
        <v>12</v>
      </c>
      <c r="H380" s="43" t="s">
        <v>636</v>
      </c>
      <c r="I380" s="18">
        <v>26.052653076923079</v>
      </c>
      <c r="J380" s="16"/>
      <c r="K380" s="49">
        <f>I380*J380</f>
        <v>0</v>
      </c>
      <c r="L380" s="36"/>
      <c r="N380" s="33" t="str">
        <f>IFERROR(IF($N$2*F380=0, "-", $N$2*F380), "-")</f>
        <v>-</v>
      </c>
      <c r="O380" s="33" t="str">
        <f>IF(J380&gt;0,I380+N380,"-")</f>
        <v>-</v>
      </c>
      <c r="P380" s="34" t="str">
        <f>IF(J380&gt;0,J380*F380, "-")</f>
        <v>-</v>
      </c>
      <c r="Q380" s="35" t="str">
        <f>IFERROR(IF($N$2&gt;0, $N$2*P380, "-"), "-")</f>
        <v>-</v>
      </c>
      <c r="S380" s="35" t="str">
        <f>IFERROR(IF(Q380+K380=0, "-", IF(Q380&gt;0, Q380+K380, "-")), "-")</f>
        <v>-</v>
      </c>
    </row>
    <row r="381" spans="1:19" x14ac:dyDescent="0.3">
      <c r="A381" s="48">
        <v>2847</v>
      </c>
      <c r="B381" s="22">
        <v>68958028477</v>
      </c>
      <c r="C381" s="11" t="s">
        <v>391</v>
      </c>
      <c r="D381" s="17">
        <v>120</v>
      </c>
      <c r="E381" s="17" t="s">
        <v>32</v>
      </c>
      <c r="F381" s="37">
        <v>0.14527999999999999</v>
      </c>
      <c r="G381" s="17">
        <v>24</v>
      </c>
      <c r="H381" s="43" t="s">
        <v>636</v>
      </c>
      <c r="I381" s="18">
        <v>9.8236592307692323</v>
      </c>
      <c r="J381" s="16"/>
      <c r="K381" s="49">
        <f>I381*J381</f>
        <v>0</v>
      </c>
      <c r="L381" s="36"/>
      <c r="N381" s="33" t="str">
        <f>IFERROR(IF($N$2*F381=0, "-", $N$2*F381), "-")</f>
        <v>-</v>
      </c>
      <c r="O381" s="33" t="str">
        <f>IF(J381&gt;0,I381+N381,"-")</f>
        <v>-</v>
      </c>
      <c r="P381" s="34" t="str">
        <f>IF(J381&gt;0,J381*F381, "-")</f>
        <v>-</v>
      </c>
      <c r="Q381" s="35" t="str">
        <f>IFERROR(IF($N$2&gt;0, $N$2*P381, "-"), "-")</f>
        <v>-</v>
      </c>
      <c r="S381" s="35" t="str">
        <f>IFERROR(IF(Q381+K381=0, "-", IF(Q381&gt;0, Q381+K381, "-")), "-")</f>
        <v>-</v>
      </c>
    </row>
    <row r="382" spans="1:19" x14ac:dyDescent="0.3">
      <c r="A382" s="48">
        <v>2848</v>
      </c>
      <c r="B382" s="22">
        <v>68958028484</v>
      </c>
      <c r="C382" s="11" t="s">
        <v>392</v>
      </c>
      <c r="D382" s="17">
        <v>60</v>
      </c>
      <c r="E382" s="17" t="s">
        <v>45</v>
      </c>
      <c r="F382" s="37">
        <v>6.3560000000000005E-2</v>
      </c>
      <c r="G382" s="17">
        <v>24</v>
      </c>
      <c r="H382" s="43" t="s">
        <v>636</v>
      </c>
      <c r="I382" s="18">
        <v>29.291344615384617</v>
      </c>
      <c r="J382" s="16"/>
      <c r="K382" s="49">
        <f>I382*J382</f>
        <v>0</v>
      </c>
      <c r="L382" s="36"/>
      <c r="N382" s="33" t="str">
        <f>IFERROR(IF($N$2*F382=0, "-", $N$2*F382), "-")</f>
        <v>-</v>
      </c>
      <c r="O382" s="33" t="str">
        <f>IF(J382&gt;0,I382+N382,"-")</f>
        <v>-</v>
      </c>
      <c r="P382" s="34" t="str">
        <f>IF(J382&gt;0,J382*F382, "-")</f>
        <v>-</v>
      </c>
      <c r="Q382" s="35" t="str">
        <f>IFERROR(IF($N$2&gt;0, $N$2*P382, "-"), "-")</f>
        <v>-</v>
      </c>
      <c r="S382" s="35" t="str">
        <f>IFERROR(IF(Q382+K382=0, "-", IF(Q382&gt;0, Q382+K382, "-")), "-")</f>
        <v>-</v>
      </c>
    </row>
    <row r="383" spans="1:19" x14ac:dyDescent="0.3">
      <c r="A383" s="48">
        <v>2849</v>
      </c>
      <c r="B383" s="22">
        <v>68958028491</v>
      </c>
      <c r="C383" s="11" t="s">
        <v>393</v>
      </c>
      <c r="D383" s="17">
        <v>60</v>
      </c>
      <c r="E383" s="17" t="s">
        <v>32</v>
      </c>
      <c r="F383" s="37">
        <v>0.18046500000000001</v>
      </c>
      <c r="G383" s="17">
        <v>24</v>
      </c>
      <c r="H383" s="43" t="s">
        <v>636</v>
      </c>
      <c r="I383" s="18">
        <v>20.97335076923077</v>
      </c>
      <c r="J383" s="16"/>
      <c r="K383" s="49">
        <f>I383*J383</f>
        <v>0</v>
      </c>
      <c r="L383" s="36"/>
      <c r="N383" s="33" t="str">
        <f>IFERROR(IF($N$2*F383=0, "-", $N$2*F383), "-")</f>
        <v>-</v>
      </c>
      <c r="O383" s="33" t="str">
        <f>IF(J383&gt;0,I383+N383,"-")</f>
        <v>-</v>
      </c>
      <c r="P383" s="34" t="str">
        <f>IF(J383&gt;0,J383*F383, "-")</f>
        <v>-</v>
      </c>
      <c r="Q383" s="35" t="str">
        <f>IFERROR(IF($N$2&gt;0, $N$2*P383, "-"), "-")</f>
        <v>-</v>
      </c>
      <c r="S383" s="35" t="str">
        <f>IFERROR(IF(Q383+K383=0, "-", IF(Q383&gt;0, Q383+K383, "-")), "-")</f>
        <v>-</v>
      </c>
    </row>
    <row r="384" spans="1:19" x14ac:dyDescent="0.3">
      <c r="A384" s="48">
        <v>2850</v>
      </c>
      <c r="B384" s="22">
        <v>68958028507</v>
      </c>
      <c r="C384" s="11" t="s">
        <v>394</v>
      </c>
      <c r="D384" s="17">
        <v>60</v>
      </c>
      <c r="E384" s="17" t="s">
        <v>45</v>
      </c>
      <c r="F384" s="37">
        <v>6.6964999999999997E-2</v>
      </c>
      <c r="G384" s="17">
        <v>24</v>
      </c>
      <c r="H384" s="43" t="s">
        <v>636</v>
      </c>
      <c r="I384" s="18">
        <v>21.488801538461541</v>
      </c>
      <c r="J384" s="16"/>
      <c r="K384" s="49">
        <f>I384*J384</f>
        <v>0</v>
      </c>
      <c r="L384" s="36"/>
      <c r="N384" s="33" t="str">
        <f>IFERROR(IF($N$2*F384=0, "-", $N$2*F384), "-")</f>
        <v>-</v>
      </c>
      <c r="O384" s="33" t="str">
        <f>IF(J384&gt;0,I384+N384,"-")</f>
        <v>-</v>
      </c>
      <c r="P384" s="34" t="str">
        <f>IF(J384&gt;0,J384*F384, "-")</f>
        <v>-</v>
      </c>
      <c r="Q384" s="35" t="str">
        <f>IFERROR(IF($N$2&gt;0, $N$2*P384, "-"), "-")</f>
        <v>-</v>
      </c>
      <c r="S384" s="35" t="str">
        <f>IFERROR(IF(Q384+K384=0, "-", IF(Q384&gt;0, Q384+K384, "-")), "-")</f>
        <v>-</v>
      </c>
    </row>
    <row r="385" spans="1:19" x14ac:dyDescent="0.3">
      <c r="A385" s="48">
        <v>2855</v>
      </c>
      <c r="B385" s="22">
        <v>627765028553</v>
      </c>
      <c r="C385" s="11" t="s">
        <v>395</v>
      </c>
      <c r="D385" s="17">
        <v>30</v>
      </c>
      <c r="E385" s="17" t="s">
        <v>45</v>
      </c>
      <c r="F385" s="37">
        <v>3.6319999999999998E-2</v>
      </c>
      <c r="G385" s="17">
        <v>24</v>
      </c>
      <c r="H385" s="43" t="s">
        <v>636</v>
      </c>
      <c r="I385" s="18">
        <v>13.540354615384617</v>
      </c>
      <c r="J385" s="16"/>
      <c r="K385" s="49">
        <f>I385*J385</f>
        <v>0</v>
      </c>
      <c r="L385" s="36"/>
      <c r="N385" s="33" t="str">
        <f>IFERROR(IF($N$2*F385=0, "-", $N$2*F385), "-")</f>
        <v>-</v>
      </c>
      <c r="O385" s="33" t="str">
        <f>IF(J385&gt;0,I385+N385,"-")</f>
        <v>-</v>
      </c>
      <c r="P385" s="34" t="str">
        <f>IF(J385&gt;0,J385*F385, "-")</f>
        <v>-</v>
      </c>
      <c r="Q385" s="35" t="str">
        <f>IFERROR(IF($N$2&gt;0, $N$2*P385, "-"), "-")</f>
        <v>-</v>
      </c>
      <c r="S385" s="35" t="str">
        <f>IFERROR(IF(Q385+K385=0, "-", IF(Q385&gt;0, Q385+K385, "-")), "-")</f>
        <v>-</v>
      </c>
    </row>
    <row r="386" spans="1:19" x14ac:dyDescent="0.3">
      <c r="A386" s="48">
        <v>2856</v>
      </c>
      <c r="B386" s="22">
        <v>627765028560</v>
      </c>
      <c r="C386" s="11" t="s">
        <v>396</v>
      </c>
      <c r="D386" s="17">
        <v>60</v>
      </c>
      <c r="E386" s="17" t="s">
        <v>45</v>
      </c>
      <c r="F386" s="37">
        <v>0.42676000000000003</v>
      </c>
      <c r="G386" s="17">
        <v>12</v>
      </c>
      <c r="H386" s="43" t="s">
        <v>636</v>
      </c>
      <c r="I386" s="18">
        <v>32.172161538461545</v>
      </c>
      <c r="J386" s="16"/>
      <c r="K386" s="49">
        <f>I386*J386</f>
        <v>0</v>
      </c>
      <c r="L386" s="36"/>
      <c r="N386" s="33" t="str">
        <f>IFERROR(IF($N$2*F386=0, "-", $N$2*F386), "-")</f>
        <v>-</v>
      </c>
      <c r="O386" s="33" t="str">
        <f>IF(J386&gt;0,I386+N386,"-")</f>
        <v>-</v>
      </c>
      <c r="P386" s="34" t="str">
        <f>IF(J386&gt;0,J386*F386, "-")</f>
        <v>-</v>
      </c>
      <c r="Q386" s="35" t="str">
        <f>IFERROR(IF($N$2&gt;0, $N$2*P386, "-"), "-")</f>
        <v>-</v>
      </c>
      <c r="S386" s="35" t="str">
        <f>IFERROR(IF(Q386+K386=0, "-", IF(Q386&gt;0, Q386+K386, "-")), "-")</f>
        <v>-</v>
      </c>
    </row>
    <row r="387" spans="1:19" x14ac:dyDescent="0.3">
      <c r="A387" s="48">
        <v>2857</v>
      </c>
      <c r="B387" s="22">
        <v>627765028577</v>
      </c>
      <c r="C387" s="11" t="s">
        <v>397</v>
      </c>
      <c r="D387" s="17">
        <v>60</v>
      </c>
      <c r="E387" s="17" t="s">
        <v>45</v>
      </c>
      <c r="F387" s="37">
        <v>9.9879999999999997E-2</v>
      </c>
      <c r="G387" s="17">
        <v>24</v>
      </c>
      <c r="H387" s="43" t="s">
        <v>636</v>
      </c>
      <c r="I387" s="18">
        <v>8.4144876923076932</v>
      </c>
      <c r="J387" s="16"/>
      <c r="K387" s="49">
        <f>I387*J387</f>
        <v>0</v>
      </c>
      <c r="L387" s="36"/>
      <c r="N387" s="33" t="str">
        <f>IFERROR(IF($N$2*F387=0, "-", $N$2*F387), "-")</f>
        <v>-</v>
      </c>
      <c r="O387" s="33" t="str">
        <f>IF(J387&gt;0,I387+N387,"-")</f>
        <v>-</v>
      </c>
      <c r="P387" s="34" t="str">
        <f>IF(J387&gt;0,J387*F387, "-")</f>
        <v>-</v>
      </c>
      <c r="Q387" s="35" t="str">
        <f>IFERROR(IF($N$2&gt;0, $N$2*P387, "-"), "-")</f>
        <v>-</v>
      </c>
      <c r="S387" s="35" t="str">
        <f>IFERROR(IF(Q387+K387=0, "-", IF(Q387&gt;0, Q387+K387, "-")), "-")</f>
        <v>-</v>
      </c>
    </row>
    <row r="388" spans="1:19" x14ac:dyDescent="0.3">
      <c r="A388" s="48">
        <v>2858</v>
      </c>
      <c r="B388" s="23">
        <v>627765028584</v>
      </c>
      <c r="C388" s="11" t="s">
        <v>398</v>
      </c>
      <c r="D388" s="17">
        <v>180</v>
      </c>
      <c r="E388" s="17" t="s">
        <v>45</v>
      </c>
      <c r="F388" s="37">
        <v>0.22700000000000001</v>
      </c>
      <c r="G388" s="17">
        <v>24</v>
      </c>
      <c r="H388" s="43" t="s">
        <v>636</v>
      </c>
      <c r="I388" s="18">
        <v>9.6024876923076938</v>
      </c>
      <c r="J388" s="16"/>
      <c r="K388" s="49">
        <f>I388*J388</f>
        <v>0</v>
      </c>
      <c r="L388" s="36"/>
      <c r="N388" s="33" t="str">
        <f>IFERROR(IF($N$2*F388=0, "-", $N$2*F388), "-")</f>
        <v>-</v>
      </c>
      <c r="O388" s="33" t="str">
        <f>IF(J388&gt;0,I388+N388,"-")</f>
        <v>-</v>
      </c>
      <c r="P388" s="34" t="str">
        <f>IF(J388&gt;0,J388*F388, "-")</f>
        <v>-</v>
      </c>
      <c r="Q388" s="35" t="str">
        <f>IFERROR(IF($N$2&gt;0, $N$2*P388, "-"), "-")</f>
        <v>-</v>
      </c>
      <c r="S388" s="35" t="str">
        <f>IFERROR(IF(Q388+K388=0, "-", IF(Q388&gt;0, Q388+K388, "-")), "-")</f>
        <v>-</v>
      </c>
    </row>
    <row r="389" spans="1:19" x14ac:dyDescent="0.3">
      <c r="A389" s="48">
        <v>2859</v>
      </c>
      <c r="B389" s="22">
        <v>627765028591</v>
      </c>
      <c r="C389" s="11" t="s">
        <v>399</v>
      </c>
      <c r="D389" s="17">
        <v>60</v>
      </c>
      <c r="E389" s="17" t="s">
        <v>32</v>
      </c>
      <c r="F389" s="37">
        <v>0.14527999999999999</v>
      </c>
      <c r="G389" s="17">
        <v>24</v>
      </c>
      <c r="H389" s="43" t="s">
        <v>636</v>
      </c>
      <c r="I389" s="18">
        <v>5.367267692307693</v>
      </c>
      <c r="J389" s="16"/>
      <c r="K389" s="49">
        <f>I389*J389</f>
        <v>0</v>
      </c>
      <c r="L389" s="36"/>
      <c r="N389" s="33" t="str">
        <f>IFERROR(IF($N$2*F389=0, "-", $N$2*F389), "-")</f>
        <v>-</v>
      </c>
      <c r="O389" s="33" t="str">
        <f>IF(J389&gt;0,I389+N389,"-")</f>
        <v>-</v>
      </c>
      <c r="P389" s="34" t="str">
        <f>IF(J389&gt;0,J389*F389, "-")</f>
        <v>-</v>
      </c>
      <c r="Q389" s="35" t="str">
        <f>IFERROR(IF($N$2&gt;0, $N$2*P389, "-"), "-")</f>
        <v>-</v>
      </c>
      <c r="S389" s="35" t="str">
        <f>IFERROR(IF(Q389+K389=0, "-", IF(Q389&gt;0, Q389+K389, "-")), "-")</f>
        <v>-</v>
      </c>
    </row>
    <row r="390" spans="1:19" x14ac:dyDescent="0.3">
      <c r="A390" s="48">
        <v>2861</v>
      </c>
      <c r="B390" s="23">
        <v>627765028614</v>
      </c>
      <c r="C390" s="11" t="s">
        <v>401</v>
      </c>
      <c r="D390" s="17">
        <v>90</v>
      </c>
      <c r="E390" s="17" t="s">
        <v>14</v>
      </c>
      <c r="F390" s="37">
        <v>0.12485</v>
      </c>
      <c r="G390" s="17">
        <v>24</v>
      </c>
      <c r="H390" s="43" t="s">
        <v>636</v>
      </c>
      <c r="I390" s="18">
        <v>11.733265384615386</v>
      </c>
      <c r="J390" s="16"/>
      <c r="K390" s="49">
        <f>I390*J390</f>
        <v>0</v>
      </c>
      <c r="L390" s="36"/>
      <c r="N390" s="33" t="str">
        <f>IFERROR(IF($N$2*F390=0, "-", $N$2*F390), "-")</f>
        <v>-</v>
      </c>
      <c r="O390" s="33" t="str">
        <f>IF(J390&gt;0,I390+N390,"-")</f>
        <v>-</v>
      </c>
      <c r="P390" s="34" t="str">
        <f>IF(J390&gt;0,J390*F390, "-")</f>
        <v>-</v>
      </c>
      <c r="Q390" s="35" t="str">
        <f>IFERROR(IF($N$2&gt;0, $N$2*P390, "-"), "-")</f>
        <v>-</v>
      </c>
      <c r="S390" s="35" t="str">
        <f>IFERROR(IF(Q390+K390=0, "-", IF(Q390&gt;0, Q390+K390, "-")), "-")</f>
        <v>-</v>
      </c>
    </row>
    <row r="391" spans="1:19" x14ac:dyDescent="0.3">
      <c r="A391" s="48">
        <v>2862</v>
      </c>
      <c r="B391" s="22">
        <v>627765028621</v>
      </c>
      <c r="C391" s="11" t="s">
        <v>402</v>
      </c>
      <c r="D391" s="17">
        <v>30</v>
      </c>
      <c r="E391" s="17" t="s">
        <v>45</v>
      </c>
      <c r="F391" s="37">
        <v>5.2209999999999999E-2</v>
      </c>
      <c r="G391" s="17">
        <v>24</v>
      </c>
      <c r="H391" s="43" t="s">
        <v>636</v>
      </c>
      <c r="I391" s="18">
        <v>8.7972023076923076</v>
      </c>
      <c r="J391" s="16"/>
      <c r="K391" s="49">
        <f>I391*J391</f>
        <v>0</v>
      </c>
      <c r="L391" s="36"/>
      <c r="N391" s="33" t="str">
        <f>IFERROR(IF($N$2*F391=0, "-", $N$2*F391), "-")</f>
        <v>-</v>
      </c>
      <c r="O391" s="33" t="str">
        <f>IF(J391&gt;0,I391+N391,"-")</f>
        <v>-</v>
      </c>
      <c r="P391" s="34" t="str">
        <f>IF(J391&gt;0,J391*F391, "-")</f>
        <v>-</v>
      </c>
      <c r="Q391" s="35" t="str">
        <f>IFERROR(IF($N$2&gt;0, $N$2*P391, "-"), "-")</f>
        <v>-</v>
      </c>
      <c r="S391" s="35" t="str">
        <f>IFERROR(IF(Q391+K391=0, "-", IF(Q391&gt;0, Q391+K391, "-")), "-")</f>
        <v>-</v>
      </c>
    </row>
    <row r="392" spans="1:19" x14ac:dyDescent="0.3">
      <c r="A392" s="48">
        <v>2863</v>
      </c>
      <c r="B392" s="23">
        <v>627765028638</v>
      </c>
      <c r="C392" s="11" t="s">
        <v>403</v>
      </c>
      <c r="D392" s="17">
        <v>90</v>
      </c>
      <c r="E392" s="17" t="s">
        <v>45</v>
      </c>
      <c r="F392" s="37">
        <v>0.12712000000000001</v>
      </c>
      <c r="G392" s="17">
        <v>24</v>
      </c>
      <c r="H392" s="43" t="s">
        <v>636</v>
      </c>
      <c r="I392" s="18">
        <v>10.670981538461538</v>
      </c>
      <c r="J392" s="16"/>
      <c r="K392" s="49">
        <f>I392*J392</f>
        <v>0</v>
      </c>
      <c r="L392" s="36"/>
      <c r="N392" s="33" t="str">
        <f>IFERROR(IF($N$2*F392=0, "-", $N$2*F392), "-")</f>
        <v>-</v>
      </c>
      <c r="O392" s="33" t="str">
        <f>IF(J392&gt;0,I392+N392,"-")</f>
        <v>-</v>
      </c>
      <c r="P392" s="34" t="str">
        <f>IF(J392&gt;0,J392*F392, "-")</f>
        <v>-</v>
      </c>
      <c r="Q392" s="35" t="str">
        <f>IFERROR(IF($N$2&gt;0, $N$2*P392, "-"), "-")</f>
        <v>-</v>
      </c>
      <c r="S392" s="35" t="str">
        <f>IFERROR(IF(Q392+K392=0, "-", IF(Q392&gt;0, Q392+K392, "-")), "-")</f>
        <v>-</v>
      </c>
    </row>
    <row r="393" spans="1:19" x14ac:dyDescent="0.3">
      <c r="A393" s="48">
        <v>2864</v>
      </c>
      <c r="B393" s="23">
        <v>627765028645</v>
      </c>
      <c r="C393" s="11" t="s">
        <v>274</v>
      </c>
      <c r="D393" s="17">
        <v>120</v>
      </c>
      <c r="E393" s="17" t="s">
        <v>45</v>
      </c>
      <c r="F393" s="37">
        <v>0.19521999999999998</v>
      </c>
      <c r="G393" s="17">
        <v>24</v>
      </c>
      <c r="H393" s="43" t="s">
        <v>636</v>
      </c>
      <c r="I393" s="18">
        <v>13.094709230769231</v>
      </c>
      <c r="J393" s="16"/>
      <c r="K393" s="49">
        <f>I393*J393</f>
        <v>0</v>
      </c>
      <c r="L393" s="36"/>
      <c r="N393" s="33" t="str">
        <f>IFERROR(IF($N$2*F393=0, "-", $N$2*F393), "-")</f>
        <v>-</v>
      </c>
      <c r="O393" s="33" t="str">
        <f>IF(J393&gt;0,I393+N393,"-")</f>
        <v>-</v>
      </c>
      <c r="P393" s="34" t="str">
        <f>IF(J393&gt;0,J393*F393, "-")</f>
        <v>-</v>
      </c>
      <c r="Q393" s="35" t="str">
        <f>IFERROR(IF($N$2&gt;0, $N$2*P393, "-"), "-")</f>
        <v>-</v>
      </c>
      <c r="S393" s="35" t="str">
        <f>IFERROR(IF(Q393+K393=0, "-", IF(Q393&gt;0, Q393+K393, "-")), "-")</f>
        <v>-</v>
      </c>
    </row>
    <row r="394" spans="1:19" x14ac:dyDescent="0.3">
      <c r="A394" s="48">
        <v>2865</v>
      </c>
      <c r="B394" s="23">
        <v>627765028652</v>
      </c>
      <c r="C394" s="11" t="s">
        <v>404</v>
      </c>
      <c r="D394" s="17">
        <v>90</v>
      </c>
      <c r="E394" s="17" t="s">
        <v>32</v>
      </c>
      <c r="F394" s="37">
        <v>0.18387000000000001</v>
      </c>
      <c r="G394" s="17">
        <v>24</v>
      </c>
      <c r="H394" s="43" t="s">
        <v>636</v>
      </c>
      <c r="I394" s="18">
        <v>14.695414615384617</v>
      </c>
      <c r="J394" s="16"/>
      <c r="K394" s="49">
        <f>I394*J394</f>
        <v>0</v>
      </c>
      <c r="L394" s="36"/>
      <c r="N394" s="33" t="str">
        <f>IFERROR(IF($N$2*F394=0, "-", $N$2*F394), "-")</f>
        <v>-</v>
      </c>
      <c r="O394" s="33" t="str">
        <f>IF(J394&gt;0,I394+N394,"-")</f>
        <v>-</v>
      </c>
      <c r="P394" s="34" t="str">
        <f>IF(J394&gt;0,J394*F394, "-")</f>
        <v>-</v>
      </c>
      <c r="Q394" s="35" t="str">
        <f>IFERROR(IF($N$2&gt;0, $N$2*P394, "-"), "-")</f>
        <v>-</v>
      </c>
      <c r="S394" s="35" t="str">
        <f>IFERROR(IF(Q394+K394=0, "-", IF(Q394&gt;0, Q394+K394, "-")), "-")</f>
        <v>-</v>
      </c>
    </row>
    <row r="395" spans="1:19" x14ac:dyDescent="0.3">
      <c r="A395" s="48">
        <v>2866</v>
      </c>
      <c r="B395" s="23">
        <v>627765028669</v>
      </c>
      <c r="C395" s="11" t="s">
        <v>405</v>
      </c>
      <c r="D395" s="17">
        <v>90</v>
      </c>
      <c r="E395" s="17" t="s">
        <v>45</v>
      </c>
      <c r="F395" s="37">
        <v>0.12485</v>
      </c>
      <c r="G395" s="17">
        <v>24</v>
      </c>
      <c r="H395" s="43" t="s">
        <v>636</v>
      </c>
      <c r="I395" s="18">
        <v>8.8096223076923081</v>
      </c>
      <c r="J395" s="16"/>
      <c r="K395" s="49">
        <f>I395*J395</f>
        <v>0</v>
      </c>
      <c r="L395" s="36"/>
      <c r="N395" s="33" t="str">
        <f>IFERROR(IF($N$2*F395=0, "-", $N$2*F395), "-")</f>
        <v>-</v>
      </c>
      <c r="O395" s="33" t="str">
        <f>IF(J395&gt;0,I395+N395,"-")</f>
        <v>-</v>
      </c>
      <c r="P395" s="34" t="str">
        <f>IF(J395&gt;0,J395*F395, "-")</f>
        <v>-</v>
      </c>
      <c r="Q395" s="35" t="str">
        <f>IFERROR(IF($N$2&gt;0, $N$2*P395, "-"), "-")</f>
        <v>-</v>
      </c>
      <c r="S395" s="35" t="str">
        <f>IFERROR(IF(Q395+K395=0, "-", IF(Q395&gt;0, Q395+K395, "-")), "-")</f>
        <v>-</v>
      </c>
    </row>
    <row r="396" spans="1:19" x14ac:dyDescent="0.3">
      <c r="A396" s="48">
        <v>2867</v>
      </c>
      <c r="B396" s="23">
        <v>627765028676</v>
      </c>
      <c r="C396" s="11" t="s">
        <v>406</v>
      </c>
      <c r="D396" s="17">
        <v>90</v>
      </c>
      <c r="E396" s="17" t="s">
        <v>45</v>
      </c>
      <c r="F396" s="37">
        <v>0.13166</v>
      </c>
      <c r="G396" s="17">
        <v>24</v>
      </c>
      <c r="H396" s="43" t="s">
        <v>636</v>
      </c>
      <c r="I396" s="18">
        <v>8.412390000000002</v>
      </c>
      <c r="J396" s="16"/>
      <c r="K396" s="49">
        <f>I396*J396</f>
        <v>0</v>
      </c>
      <c r="L396" s="36"/>
      <c r="N396" s="33" t="str">
        <f>IFERROR(IF($N$2*F396=0, "-", $N$2*F396), "-")</f>
        <v>-</v>
      </c>
      <c r="O396" s="33" t="str">
        <f>IF(J396&gt;0,I396+N396,"-")</f>
        <v>-</v>
      </c>
      <c r="P396" s="34" t="str">
        <f>IF(J396&gt;0,J396*F396, "-")</f>
        <v>-</v>
      </c>
      <c r="Q396" s="35" t="str">
        <f>IFERROR(IF($N$2&gt;0, $N$2*P396, "-"), "-")</f>
        <v>-</v>
      </c>
      <c r="S396" s="35" t="str">
        <f>IFERROR(IF(Q396+K396=0, "-", IF(Q396&gt;0, Q396+K396, "-")), "-")</f>
        <v>-</v>
      </c>
    </row>
    <row r="397" spans="1:19" x14ac:dyDescent="0.3">
      <c r="A397" s="48">
        <v>2868</v>
      </c>
      <c r="B397" s="22">
        <v>627765028683</v>
      </c>
      <c r="C397" s="11" t="s">
        <v>407</v>
      </c>
      <c r="D397" s="17">
        <v>90</v>
      </c>
      <c r="E397" s="17" t="s">
        <v>45</v>
      </c>
      <c r="F397" s="37">
        <v>0.13166</v>
      </c>
      <c r="G397" s="17">
        <v>24</v>
      </c>
      <c r="H397" s="43" t="s">
        <v>636</v>
      </c>
      <c r="I397" s="18">
        <v>10.626203076923078</v>
      </c>
      <c r="J397" s="16"/>
      <c r="K397" s="49">
        <f>I397*J397</f>
        <v>0</v>
      </c>
      <c r="L397" s="36"/>
      <c r="N397" s="33" t="str">
        <f>IFERROR(IF($N$2*F397=0, "-", $N$2*F397), "-")</f>
        <v>-</v>
      </c>
      <c r="O397" s="33" t="str">
        <f>IF(J397&gt;0,I397+N397,"-")</f>
        <v>-</v>
      </c>
      <c r="P397" s="34" t="str">
        <f>IF(J397&gt;0,J397*F397, "-")</f>
        <v>-</v>
      </c>
      <c r="Q397" s="35" t="str">
        <f>IFERROR(IF($N$2&gt;0, $N$2*P397, "-"), "-")</f>
        <v>-</v>
      </c>
      <c r="S397" s="35" t="str">
        <f>IFERROR(IF(Q397+K397=0, "-", IF(Q397&gt;0, Q397+K397, "-")), "-")</f>
        <v>-</v>
      </c>
    </row>
    <row r="398" spans="1:19" x14ac:dyDescent="0.3">
      <c r="A398" s="48">
        <v>2871</v>
      </c>
      <c r="B398" s="22">
        <v>627765028713</v>
      </c>
      <c r="C398" s="11" t="s">
        <v>408</v>
      </c>
      <c r="D398" s="17">
        <v>30</v>
      </c>
      <c r="E398" s="17" t="s">
        <v>45</v>
      </c>
      <c r="F398" s="37">
        <v>6.3560000000000005E-2</v>
      </c>
      <c r="G398" s="17">
        <v>24</v>
      </c>
      <c r="H398" s="43" t="s">
        <v>636</v>
      </c>
      <c r="I398" s="18">
        <v>16.245858461538461</v>
      </c>
      <c r="J398" s="16"/>
      <c r="K398" s="49">
        <f>I398*J398</f>
        <v>0</v>
      </c>
      <c r="L398" s="36"/>
      <c r="N398" s="33" t="str">
        <f>IFERROR(IF($N$2*F398=0, "-", $N$2*F398), "-")</f>
        <v>-</v>
      </c>
      <c r="O398" s="33" t="str">
        <f>IF(J398&gt;0,I398+N398,"-")</f>
        <v>-</v>
      </c>
      <c r="P398" s="34" t="str">
        <f>IF(J398&gt;0,J398*F398, "-")</f>
        <v>-</v>
      </c>
      <c r="Q398" s="35" t="str">
        <f>IFERROR(IF($N$2&gt;0, $N$2*P398, "-"), "-")</f>
        <v>-</v>
      </c>
      <c r="S398" s="35" t="str">
        <f>IFERROR(IF(Q398+K398=0, "-", IF(Q398&gt;0, Q398+K398, "-")), "-")</f>
        <v>-</v>
      </c>
    </row>
    <row r="399" spans="1:19" x14ac:dyDescent="0.3">
      <c r="A399" s="48">
        <v>2872</v>
      </c>
      <c r="B399" s="22">
        <v>627765028720</v>
      </c>
      <c r="C399" s="11" t="s">
        <v>409</v>
      </c>
      <c r="D399" s="17">
        <v>60</v>
      </c>
      <c r="E399" s="17" t="s">
        <v>45</v>
      </c>
      <c r="F399" s="37">
        <v>9.0800000000000006E-2</v>
      </c>
      <c r="G399" s="17">
        <v>24</v>
      </c>
      <c r="H399" s="43" t="s">
        <v>636</v>
      </c>
      <c r="I399" s="18">
        <v>14.340281538461539</v>
      </c>
      <c r="J399" s="16"/>
      <c r="K399" s="49">
        <f>I399*J399</f>
        <v>0</v>
      </c>
      <c r="L399" s="36"/>
      <c r="N399" s="33" t="str">
        <f>IFERROR(IF($N$2*F399=0, "-", $N$2*F399), "-")</f>
        <v>-</v>
      </c>
      <c r="O399" s="33" t="str">
        <f>IF(J399&gt;0,I399+N399,"-")</f>
        <v>-</v>
      </c>
      <c r="P399" s="34" t="str">
        <f>IF(J399&gt;0,J399*F399, "-")</f>
        <v>-</v>
      </c>
      <c r="Q399" s="35" t="str">
        <f>IFERROR(IF($N$2&gt;0, $N$2*P399, "-"), "-")</f>
        <v>-</v>
      </c>
      <c r="S399" s="35" t="str">
        <f>IFERROR(IF(Q399+K399=0, "-", IF(Q399&gt;0, Q399+K399, "-")), "-")</f>
        <v>-</v>
      </c>
    </row>
    <row r="400" spans="1:19" x14ac:dyDescent="0.3">
      <c r="A400" s="48">
        <v>2873</v>
      </c>
      <c r="B400" s="22">
        <v>627765028737</v>
      </c>
      <c r="C400" s="11" t="s">
        <v>410</v>
      </c>
      <c r="D400" s="17">
        <v>60</v>
      </c>
      <c r="E400" s="17" t="s">
        <v>45</v>
      </c>
      <c r="F400" s="37">
        <v>5.4480000000000001E-2</v>
      </c>
      <c r="G400" s="17">
        <v>24</v>
      </c>
      <c r="H400" s="43" t="s">
        <v>636</v>
      </c>
      <c r="I400" s="18">
        <v>23.446073076923078</v>
      </c>
      <c r="J400" s="16"/>
      <c r="K400" s="49">
        <f>I400*J400</f>
        <v>0</v>
      </c>
      <c r="L400" s="36"/>
      <c r="N400" s="33" t="str">
        <f>IFERROR(IF($N$2*F400=0, "-", $N$2*F400), "-")</f>
        <v>-</v>
      </c>
      <c r="O400" s="33" t="str">
        <f>IF(J400&gt;0,I400+N400,"-")</f>
        <v>-</v>
      </c>
      <c r="P400" s="34" t="str">
        <f>IF(J400&gt;0,J400*F400, "-")</f>
        <v>-</v>
      </c>
      <c r="Q400" s="35" t="str">
        <f>IFERROR(IF($N$2&gt;0, $N$2*P400, "-"), "-")</f>
        <v>-</v>
      </c>
      <c r="S400" s="35" t="str">
        <f>IFERROR(IF(Q400+K400=0, "-", IF(Q400&gt;0, Q400+K400, "-")), "-")</f>
        <v>-</v>
      </c>
    </row>
    <row r="401" spans="1:19" x14ac:dyDescent="0.3">
      <c r="A401" s="48">
        <v>2880</v>
      </c>
      <c r="B401" s="22">
        <v>627765028805</v>
      </c>
      <c r="C401" s="11" t="s">
        <v>411</v>
      </c>
      <c r="D401" s="17">
        <v>450</v>
      </c>
      <c r="E401" s="17" t="s">
        <v>130</v>
      </c>
      <c r="F401" s="37">
        <v>0.59474000000000005</v>
      </c>
      <c r="G401" s="17">
        <v>12</v>
      </c>
      <c r="H401" s="43" t="s">
        <v>636</v>
      </c>
      <c r="I401" s="18">
        <v>17.621134615384616</v>
      </c>
      <c r="J401" s="16"/>
      <c r="K401" s="49">
        <f>I401*J401</f>
        <v>0</v>
      </c>
      <c r="L401" s="36"/>
      <c r="N401" s="33" t="str">
        <f>IFERROR(IF($N$2*F401=0, "-", $N$2*F401), "-")</f>
        <v>-</v>
      </c>
      <c r="O401" s="33" t="str">
        <f>IF(J401&gt;0,I401+N401,"-")</f>
        <v>-</v>
      </c>
      <c r="P401" s="34" t="str">
        <f>IF(J401&gt;0,J401*F401, "-")</f>
        <v>-</v>
      </c>
      <c r="Q401" s="35" t="str">
        <f>IFERROR(IF($N$2&gt;0, $N$2*P401, "-"), "-")</f>
        <v>-</v>
      </c>
      <c r="S401" s="35" t="str">
        <f>IFERROR(IF(Q401+K401=0, "-", IF(Q401&gt;0, Q401+K401, "-")), "-")</f>
        <v>-</v>
      </c>
    </row>
    <row r="402" spans="1:19" x14ac:dyDescent="0.3">
      <c r="A402" s="48">
        <v>2881</v>
      </c>
      <c r="B402" s="23"/>
      <c r="C402" s="11" t="s">
        <v>412</v>
      </c>
      <c r="D402" s="17">
        <v>250</v>
      </c>
      <c r="E402" s="17" t="s">
        <v>130</v>
      </c>
      <c r="F402" s="37">
        <v>0.37228</v>
      </c>
      <c r="G402" s="17">
        <v>12</v>
      </c>
      <c r="H402" s="43" t="s">
        <v>636</v>
      </c>
      <c r="I402" s="18">
        <v>20.28969</v>
      </c>
      <c r="J402" s="16"/>
      <c r="K402" s="49">
        <f>I402*J402</f>
        <v>0</v>
      </c>
      <c r="L402" s="36"/>
      <c r="N402" s="33" t="str">
        <f>IFERROR(IF($N$2*F402=0, "-", $N$2*F402), "-")</f>
        <v>-</v>
      </c>
      <c r="O402" s="33" t="str">
        <f>IF(J402&gt;0,I402+N402,"-")</f>
        <v>-</v>
      </c>
      <c r="P402" s="34" t="str">
        <f>IF(J402&gt;0,J402*F402, "-")</f>
        <v>-</v>
      </c>
      <c r="Q402" s="35" t="str">
        <f>IFERROR(IF($N$2&gt;0, $N$2*P402, "-"), "-")</f>
        <v>-</v>
      </c>
      <c r="S402" s="35" t="str">
        <f>IFERROR(IF(Q402+K402=0, "-", IF(Q402&gt;0, Q402+K402, "-")), "-")</f>
        <v>-</v>
      </c>
    </row>
    <row r="403" spans="1:19" x14ac:dyDescent="0.3">
      <c r="A403" s="48">
        <v>2882</v>
      </c>
      <c r="B403" s="23"/>
      <c r="C403" s="11" t="s">
        <v>413</v>
      </c>
      <c r="D403" s="17">
        <v>60</v>
      </c>
      <c r="E403" s="17" t="s">
        <v>32</v>
      </c>
      <c r="F403" s="37">
        <v>9.0800000000000006E-2</v>
      </c>
      <c r="G403" s="17">
        <v>24</v>
      </c>
      <c r="H403" s="43" t="s">
        <v>636</v>
      </c>
      <c r="I403" s="18">
        <v>8.7433061538461541</v>
      </c>
      <c r="J403" s="16"/>
      <c r="K403" s="49">
        <f>I403*J403</f>
        <v>0</v>
      </c>
      <c r="L403" s="36"/>
      <c r="N403" s="33" t="str">
        <f>IFERROR(IF($N$2*F403=0, "-", $N$2*F403), "-")</f>
        <v>-</v>
      </c>
      <c r="O403" s="33" t="str">
        <f>IF(J403&gt;0,I403+N403,"-")</f>
        <v>-</v>
      </c>
      <c r="P403" s="34" t="str">
        <f>IF(J403&gt;0,J403*F403, "-")</f>
        <v>-</v>
      </c>
      <c r="Q403" s="35" t="str">
        <f>IFERROR(IF($N$2&gt;0, $N$2*P403, "-"), "-")</f>
        <v>-</v>
      </c>
      <c r="S403" s="35" t="str">
        <f>IFERROR(IF(Q403+K403=0, "-", IF(Q403&gt;0, Q403+K403, "-")), "-")</f>
        <v>-</v>
      </c>
    </row>
    <row r="404" spans="1:19" x14ac:dyDescent="0.3">
      <c r="A404" s="48">
        <v>2883</v>
      </c>
      <c r="B404" s="23"/>
      <c r="C404" s="11" t="s">
        <v>414</v>
      </c>
      <c r="D404" s="17">
        <v>120</v>
      </c>
      <c r="E404" s="17" t="s">
        <v>32</v>
      </c>
      <c r="F404" s="37">
        <v>0.16797999999999999</v>
      </c>
      <c r="G404" s="17">
        <v>24</v>
      </c>
      <c r="H404" s="43" t="s">
        <v>636</v>
      </c>
      <c r="I404" s="18">
        <v>15.223493076923079</v>
      </c>
      <c r="J404" s="16"/>
      <c r="K404" s="49">
        <f>I404*J404</f>
        <v>0</v>
      </c>
      <c r="L404" s="36"/>
      <c r="N404" s="33" t="str">
        <f>IFERROR(IF($N$2*F404=0, "-", $N$2*F404), "-")</f>
        <v>-</v>
      </c>
      <c r="O404" s="33" t="str">
        <f>IF(J404&gt;0,I404+N404,"-")</f>
        <v>-</v>
      </c>
      <c r="P404" s="34" t="str">
        <f>IF(J404&gt;0,J404*F404, "-")</f>
        <v>-</v>
      </c>
      <c r="Q404" s="35" t="str">
        <f>IFERROR(IF($N$2&gt;0, $N$2*P404, "-"), "-")</f>
        <v>-</v>
      </c>
      <c r="S404" s="35" t="str">
        <f>IFERROR(IF(Q404+K404=0, "-", IF(Q404&gt;0, Q404+K404, "-")), "-")</f>
        <v>-</v>
      </c>
    </row>
    <row r="405" spans="1:19" x14ac:dyDescent="0.3">
      <c r="A405" s="48">
        <v>2909</v>
      </c>
      <c r="B405" s="23">
        <v>68958029092</v>
      </c>
      <c r="C405" s="11" t="s">
        <v>415</v>
      </c>
      <c r="D405" s="17">
        <v>50</v>
      </c>
      <c r="E405" s="17" t="s">
        <v>38</v>
      </c>
      <c r="F405" s="37">
        <v>0.14527999999999999</v>
      </c>
      <c r="G405" s="17">
        <v>48</v>
      </c>
      <c r="H405" s="43" t="s">
        <v>636</v>
      </c>
      <c r="I405" s="18">
        <v>9.2331692307692297</v>
      </c>
      <c r="J405" s="16"/>
      <c r="K405" s="49">
        <f>I405*J405</f>
        <v>0</v>
      </c>
      <c r="L405" s="36"/>
      <c r="N405" s="33" t="str">
        <f>IFERROR(IF($N$2*F405=0, "-", $N$2*F405), "-")</f>
        <v>-</v>
      </c>
      <c r="O405" s="33" t="str">
        <f>IF(J405&gt;0,I405+N405,"-")</f>
        <v>-</v>
      </c>
      <c r="P405" s="34" t="str">
        <f>IF(J405&gt;0,J405*F405, "-")</f>
        <v>-</v>
      </c>
      <c r="Q405" s="35" t="str">
        <f>IFERROR(IF($N$2&gt;0, $N$2*P405, "-"), "-")</f>
        <v>-</v>
      </c>
      <c r="S405" s="35" t="str">
        <f>IFERROR(IF(Q405+K405=0, "-", IF(Q405&gt;0, Q405+K405, "-")), "-")</f>
        <v>-</v>
      </c>
    </row>
    <row r="406" spans="1:19" x14ac:dyDescent="0.3">
      <c r="A406" s="48">
        <v>2920</v>
      </c>
      <c r="B406" s="22">
        <v>627765029208</v>
      </c>
      <c r="C406" s="11" t="s">
        <v>416</v>
      </c>
      <c r="D406" s="17" t="s">
        <v>417</v>
      </c>
      <c r="E406" s="17" t="s">
        <v>130</v>
      </c>
      <c r="F406" s="37">
        <v>0.48804999999999998</v>
      </c>
      <c r="G406" s="17">
        <v>12</v>
      </c>
      <c r="H406" s="43" t="s">
        <v>636</v>
      </c>
      <c r="I406" s="18">
        <v>17.811297692307694</v>
      </c>
      <c r="J406" s="16"/>
      <c r="K406" s="49">
        <f>I406*J406</f>
        <v>0</v>
      </c>
      <c r="L406" s="36"/>
      <c r="N406" s="33" t="str">
        <f>IFERROR(IF($N$2*F406=0, "-", $N$2*F406), "-")</f>
        <v>-</v>
      </c>
      <c r="O406" s="33" t="str">
        <f>IF(J406&gt;0,I406+N406,"-")</f>
        <v>-</v>
      </c>
      <c r="P406" s="34" t="str">
        <f>IF(J406&gt;0,J406*F406, "-")</f>
        <v>-</v>
      </c>
      <c r="Q406" s="35" t="str">
        <f>IFERROR(IF($N$2&gt;0, $N$2*P406, "-"), "-")</f>
        <v>-</v>
      </c>
      <c r="S406" s="35" t="str">
        <f>IFERROR(IF(Q406+K406=0, "-", IF(Q406&gt;0, Q406+K406, "-")), "-")</f>
        <v>-</v>
      </c>
    </row>
    <row r="407" spans="1:19" x14ac:dyDescent="0.3">
      <c r="A407" s="48">
        <v>2923</v>
      </c>
      <c r="B407" s="22">
        <v>68958029238</v>
      </c>
      <c r="C407" s="11" t="s">
        <v>418</v>
      </c>
      <c r="D407" s="17" t="s">
        <v>136</v>
      </c>
      <c r="E407" s="17" t="s">
        <v>130</v>
      </c>
      <c r="F407" s="37">
        <v>1.30979</v>
      </c>
      <c r="G407" s="17">
        <v>6</v>
      </c>
      <c r="H407" s="43" t="s">
        <v>636</v>
      </c>
      <c r="I407" s="18">
        <v>43.972158461538463</v>
      </c>
      <c r="J407" s="16"/>
      <c r="K407" s="49">
        <f>I407*J407</f>
        <v>0</v>
      </c>
      <c r="L407" s="36"/>
      <c r="N407" s="33" t="str">
        <f>IFERROR(IF($N$2*F407=0, "-", $N$2*F407), "-")</f>
        <v>-</v>
      </c>
      <c r="O407" s="33" t="str">
        <f>IF(J407&gt;0,I407+N407,"-")</f>
        <v>-</v>
      </c>
      <c r="P407" s="34" t="str">
        <f>IF(J407&gt;0,J407*F407, "-")</f>
        <v>-</v>
      </c>
      <c r="Q407" s="35" t="str">
        <f>IFERROR(IF($N$2&gt;0, $N$2*P407, "-"), "-")</f>
        <v>-</v>
      </c>
      <c r="S407" s="35" t="str">
        <f>IFERROR(IF(Q407+K407=0, "-", IF(Q407&gt;0, Q407+K407, "-")), "-")</f>
        <v>-</v>
      </c>
    </row>
    <row r="408" spans="1:19" x14ac:dyDescent="0.3">
      <c r="A408" s="48">
        <v>2924</v>
      </c>
      <c r="B408" s="22">
        <v>68958029245</v>
      </c>
      <c r="C408" s="11" t="s">
        <v>419</v>
      </c>
      <c r="D408" s="17" t="s">
        <v>136</v>
      </c>
      <c r="E408" s="17" t="s">
        <v>130</v>
      </c>
      <c r="F408" s="37">
        <v>1.30752</v>
      </c>
      <c r="G408" s="17">
        <v>6</v>
      </c>
      <c r="H408" s="43" t="s">
        <v>636</v>
      </c>
      <c r="I408" s="18">
        <v>42.975733846153851</v>
      </c>
      <c r="J408" s="16"/>
      <c r="K408" s="49">
        <f>I408*J408</f>
        <v>0</v>
      </c>
      <c r="L408" s="36"/>
      <c r="N408" s="33" t="str">
        <f>IFERROR(IF($N$2*F408=0, "-", $N$2*F408), "-")</f>
        <v>-</v>
      </c>
      <c r="O408" s="33" t="str">
        <f>IF(J408&gt;0,I408+N408,"-")</f>
        <v>-</v>
      </c>
      <c r="P408" s="34" t="str">
        <f>IF(J408&gt;0,J408*F408, "-")</f>
        <v>-</v>
      </c>
      <c r="Q408" s="35" t="str">
        <f>IFERROR(IF($N$2&gt;0, $N$2*P408, "-"), "-")</f>
        <v>-</v>
      </c>
      <c r="S408" s="35" t="str">
        <f>IFERROR(IF(Q408+K408=0, "-", IF(Q408&gt;0, Q408+K408, "-")), "-")</f>
        <v>-</v>
      </c>
    </row>
    <row r="409" spans="1:19" x14ac:dyDescent="0.3">
      <c r="A409" s="48">
        <v>2926</v>
      </c>
      <c r="B409" s="22">
        <v>68958029269</v>
      </c>
      <c r="C409" s="11" t="s">
        <v>420</v>
      </c>
      <c r="D409" s="17" t="s">
        <v>136</v>
      </c>
      <c r="E409" s="17" t="s">
        <v>130</v>
      </c>
      <c r="F409" s="37">
        <v>1.3222750000000001</v>
      </c>
      <c r="G409" s="17">
        <v>6</v>
      </c>
      <c r="H409" s="43" t="s">
        <v>636</v>
      </c>
      <c r="I409" s="18">
        <v>52.091681538461536</v>
      </c>
      <c r="J409" s="16"/>
      <c r="K409" s="49">
        <f>I409*J409</f>
        <v>0</v>
      </c>
      <c r="L409" s="36"/>
      <c r="N409" s="33" t="str">
        <f>IFERROR(IF($N$2*F409=0, "-", $N$2*F409), "-")</f>
        <v>-</v>
      </c>
      <c r="O409" s="33" t="str">
        <f>IF(J409&gt;0,I409+N409,"-")</f>
        <v>-</v>
      </c>
      <c r="P409" s="34" t="str">
        <f>IF(J409&gt;0,J409*F409, "-")</f>
        <v>-</v>
      </c>
      <c r="Q409" s="35" t="str">
        <f>IFERROR(IF($N$2&gt;0, $N$2*P409, "-"), "-")</f>
        <v>-</v>
      </c>
      <c r="S409" s="35" t="str">
        <f>IFERROR(IF(Q409+K409=0, "-", IF(Q409&gt;0, Q409+K409, "-")), "-")</f>
        <v>-</v>
      </c>
    </row>
    <row r="410" spans="1:19" x14ac:dyDescent="0.3">
      <c r="A410" s="48">
        <v>2927</v>
      </c>
      <c r="B410" s="22">
        <v>68958029276</v>
      </c>
      <c r="C410" s="11" t="s">
        <v>421</v>
      </c>
      <c r="D410" s="17" t="s">
        <v>136</v>
      </c>
      <c r="E410" s="17" t="s">
        <v>130</v>
      </c>
      <c r="F410" s="37">
        <v>1.3222750000000001</v>
      </c>
      <c r="G410" s="17">
        <v>6</v>
      </c>
      <c r="H410" s="43" t="s">
        <v>636</v>
      </c>
      <c r="I410" s="18">
        <v>51.516726923076924</v>
      </c>
      <c r="J410" s="16"/>
      <c r="K410" s="49">
        <f>I410*J410</f>
        <v>0</v>
      </c>
      <c r="L410" s="36"/>
      <c r="N410" s="33" t="str">
        <f>IFERROR(IF($N$2*F410=0, "-", $N$2*F410), "-")</f>
        <v>-</v>
      </c>
      <c r="O410" s="33" t="str">
        <f>IF(J410&gt;0,I410+N410,"-")</f>
        <v>-</v>
      </c>
      <c r="P410" s="34" t="str">
        <f>IF(J410&gt;0,J410*F410, "-")</f>
        <v>-</v>
      </c>
      <c r="Q410" s="35" t="str">
        <f>IFERROR(IF($N$2&gt;0, $N$2*P410, "-"), "-")</f>
        <v>-</v>
      </c>
      <c r="S410" s="35" t="str">
        <f>IFERROR(IF(Q410+K410=0, "-", IF(Q410&gt;0, Q410+K410, "-")), "-")</f>
        <v>-</v>
      </c>
    </row>
    <row r="411" spans="1:19" x14ac:dyDescent="0.3">
      <c r="A411" s="48">
        <v>2929</v>
      </c>
      <c r="B411" s="22">
        <v>68958029290</v>
      </c>
      <c r="C411" s="11" t="s">
        <v>422</v>
      </c>
      <c r="D411" s="17" t="s">
        <v>136</v>
      </c>
      <c r="E411" s="17" t="s">
        <v>130</v>
      </c>
      <c r="F411" s="37">
        <v>1.31887</v>
      </c>
      <c r="G411" s="17">
        <v>6</v>
      </c>
      <c r="H411" s="43" t="s">
        <v>636</v>
      </c>
      <c r="I411" s="18">
        <v>49.999804615384619</v>
      </c>
      <c r="J411" s="16"/>
      <c r="K411" s="49">
        <f>I411*J411</f>
        <v>0</v>
      </c>
      <c r="L411" s="36"/>
      <c r="N411" s="33" t="str">
        <f>IFERROR(IF($N$2*F411=0, "-", $N$2*F411), "-")</f>
        <v>-</v>
      </c>
      <c r="O411" s="33" t="str">
        <f>IF(J411&gt;0,I411+N411,"-")</f>
        <v>-</v>
      </c>
      <c r="P411" s="34" t="str">
        <f>IF(J411&gt;0,J411*F411, "-")</f>
        <v>-</v>
      </c>
      <c r="Q411" s="35" t="str">
        <f>IFERROR(IF($N$2&gt;0, $N$2*P411, "-"), "-")</f>
        <v>-</v>
      </c>
      <c r="S411" s="35" t="str">
        <f>IFERROR(IF(Q411+K411=0, "-", IF(Q411&gt;0, Q411+K411, "-")), "-")</f>
        <v>-</v>
      </c>
    </row>
    <row r="412" spans="1:19" x14ac:dyDescent="0.3">
      <c r="A412" s="48">
        <v>2971</v>
      </c>
      <c r="B412" s="23">
        <v>68958029719</v>
      </c>
      <c r="C412" s="11" t="s">
        <v>423</v>
      </c>
      <c r="D412" s="17" t="s">
        <v>424</v>
      </c>
      <c r="E412" s="17" t="s">
        <v>130</v>
      </c>
      <c r="F412" s="37">
        <v>0.65603</v>
      </c>
      <c r="G412" s="17">
        <v>4</v>
      </c>
      <c r="H412" s="43" t="s">
        <v>636</v>
      </c>
      <c r="I412" s="18">
        <v>38.543995384615386</v>
      </c>
      <c r="J412" s="16"/>
      <c r="K412" s="49">
        <f>I412*J412</f>
        <v>0</v>
      </c>
      <c r="L412" s="36"/>
      <c r="N412" s="33" t="str">
        <f>IFERROR(IF($N$2*F412=0, "-", $N$2*F412), "-")</f>
        <v>-</v>
      </c>
      <c r="O412" s="33" t="str">
        <f>IF(J412&gt;0,I412+N412,"-")</f>
        <v>-</v>
      </c>
      <c r="P412" s="34" t="str">
        <f>IF(J412&gt;0,J412*F412, "-")</f>
        <v>-</v>
      </c>
      <c r="Q412" s="35" t="str">
        <f>IFERROR(IF($N$2&gt;0, $N$2*P412, "-"), "-")</f>
        <v>-</v>
      </c>
      <c r="S412" s="35" t="str">
        <f>IFERROR(IF(Q412+K412=0, "-", IF(Q412&gt;0, Q412+K412, "-")), "-")</f>
        <v>-</v>
      </c>
    </row>
    <row r="413" spans="1:19" x14ac:dyDescent="0.3">
      <c r="A413" s="48">
        <v>3161</v>
      </c>
      <c r="B413" s="23">
        <v>68958031613</v>
      </c>
      <c r="C413" s="11" t="s">
        <v>425</v>
      </c>
      <c r="D413" s="17">
        <v>90</v>
      </c>
      <c r="E413" s="17" t="s">
        <v>54</v>
      </c>
      <c r="F413" s="37">
        <v>9.0800000000000006E-2</v>
      </c>
      <c r="G413" s="17">
        <v>24</v>
      </c>
      <c r="H413" s="43" t="s">
        <v>636</v>
      </c>
      <c r="I413" s="18">
        <v>6.5602107692307703</v>
      </c>
      <c r="J413" s="16"/>
      <c r="K413" s="49">
        <f>I413*J413</f>
        <v>0</v>
      </c>
      <c r="L413" s="36"/>
      <c r="N413" s="33" t="str">
        <f>IFERROR(IF($N$2*F413=0, "-", $N$2*F413), "-")</f>
        <v>-</v>
      </c>
      <c r="O413" s="33" t="str">
        <f>IF(J413&gt;0,I413+N413,"-")</f>
        <v>-</v>
      </c>
      <c r="P413" s="34" t="str">
        <f>IF(J413&gt;0,J413*F413, "-")</f>
        <v>-</v>
      </c>
      <c r="Q413" s="35" t="str">
        <f>IFERROR(IF($N$2&gt;0, $N$2*P413, "-"), "-")</f>
        <v>-</v>
      </c>
      <c r="S413" s="35" t="str">
        <f>IFERROR(IF(Q413+K413=0, "-", IF(Q413&gt;0, Q413+K413, "-")), "-")</f>
        <v>-</v>
      </c>
    </row>
    <row r="414" spans="1:19" x14ac:dyDescent="0.3">
      <c r="A414" s="48">
        <v>3165</v>
      </c>
      <c r="B414" s="23">
        <v>68958031651</v>
      </c>
      <c r="C414" s="11" t="s">
        <v>426</v>
      </c>
      <c r="D414" s="17">
        <v>30</v>
      </c>
      <c r="E414" s="17" t="s">
        <v>38</v>
      </c>
      <c r="F414" s="37">
        <v>9.0800000000000006E-2</v>
      </c>
      <c r="G414" s="17">
        <v>48</v>
      </c>
      <c r="H414" s="43" t="s">
        <v>636</v>
      </c>
      <c r="I414" s="18">
        <v>12.644473846153847</v>
      </c>
      <c r="J414" s="16"/>
      <c r="K414" s="49">
        <f>I414*J414</f>
        <v>0</v>
      </c>
      <c r="L414" s="36"/>
      <c r="N414" s="33" t="str">
        <f>IFERROR(IF($N$2*F414=0, "-", $N$2*F414), "-")</f>
        <v>-</v>
      </c>
      <c r="O414" s="33" t="str">
        <f>IF(J414&gt;0,I414+N414,"-")</f>
        <v>-</v>
      </c>
      <c r="P414" s="34" t="str">
        <f>IF(J414&gt;0,J414*F414, "-")</f>
        <v>-</v>
      </c>
      <c r="Q414" s="35" t="str">
        <f>IFERROR(IF($N$2&gt;0, $N$2*P414, "-"), "-")</f>
        <v>-</v>
      </c>
      <c r="S414" s="35" t="str">
        <f>IFERROR(IF(Q414+K414=0, "-", IF(Q414&gt;0, Q414+K414, "-")), "-")</f>
        <v>-</v>
      </c>
    </row>
    <row r="415" spans="1:19" x14ac:dyDescent="0.3">
      <c r="A415" s="48">
        <v>3171</v>
      </c>
      <c r="B415" s="23">
        <v>68958031712</v>
      </c>
      <c r="C415" s="11" t="s">
        <v>427</v>
      </c>
      <c r="D415" s="17">
        <v>30</v>
      </c>
      <c r="E415" s="17" t="s">
        <v>38</v>
      </c>
      <c r="F415" s="37">
        <v>4.5400000000000003E-2</v>
      </c>
      <c r="G415" s="17">
        <v>12</v>
      </c>
      <c r="H415" s="43" t="s">
        <v>636</v>
      </c>
      <c r="I415" s="18">
        <v>8.9655161538461545</v>
      </c>
      <c r="J415" s="16"/>
      <c r="K415" s="49">
        <f>I415*J415</f>
        <v>0</v>
      </c>
      <c r="L415" s="36"/>
      <c r="N415" s="33" t="str">
        <f>IFERROR(IF($N$2*F415=0, "-", $N$2*F415), "-")</f>
        <v>-</v>
      </c>
      <c r="O415" s="33" t="str">
        <f>IF(J415&gt;0,I415+N415,"-")</f>
        <v>-</v>
      </c>
      <c r="P415" s="34" t="str">
        <f>IF(J415&gt;0,J415*F415, "-")</f>
        <v>-</v>
      </c>
      <c r="Q415" s="35" t="str">
        <f>IFERROR(IF($N$2&gt;0, $N$2*P415, "-"), "-")</f>
        <v>-</v>
      </c>
      <c r="S415" s="35" t="str">
        <f>IFERROR(IF(Q415+K415=0, "-", IF(Q415&gt;0, Q415+K415, "-")), "-")</f>
        <v>-</v>
      </c>
    </row>
    <row r="416" spans="1:19" x14ac:dyDescent="0.3">
      <c r="A416" s="48">
        <v>3443</v>
      </c>
      <c r="B416" s="23">
        <v>627765034431</v>
      </c>
      <c r="C416" s="11" t="s">
        <v>428</v>
      </c>
      <c r="D416" s="17">
        <v>90</v>
      </c>
      <c r="E416" s="17" t="s">
        <v>14</v>
      </c>
      <c r="F416" s="37">
        <v>8.3989999999999995E-2</v>
      </c>
      <c r="G416" s="17">
        <v>24</v>
      </c>
      <c r="H416" s="43" t="s">
        <v>636</v>
      </c>
      <c r="I416" s="18">
        <v>5.1817984615384622</v>
      </c>
      <c r="J416" s="16"/>
      <c r="K416" s="49">
        <f>I416*J416</f>
        <v>0</v>
      </c>
      <c r="L416" s="36"/>
      <c r="N416" s="33" t="str">
        <f>IFERROR(IF($N$2*F416=0, "-", $N$2*F416), "-")</f>
        <v>-</v>
      </c>
      <c r="O416" s="33" t="str">
        <f>IF(J416&gt;0,I416+N416,"-")</f>
        <v>-</v>
      </c>
      <c r="P416" s="34" t="str">
        <f>IF(J416&gt;0,J416*F416, "-")</f>
        <v>-</v>
      </c>
      <c r="Q416" s="35" t="str">
        <f>IFERROR(IF($N$2&gt;0, $N$2*P416, "-"), "-")</f>
        <v>-</v>
      </c>
      <c r="S416" s="35" t="str">
        <f>IFERROR(IF(Q416+K416=0, "-", IF(Q416&gt;0, Q416+K416, "-")), "-")</f>
        <v>-</v>
      </c>
    </row>
    <row r="417" spans="1:19" x14ac:dyDescent="0.3">
      <c r="A417" s="48">
        <v>3444</v>
      </c>
      <c r="B417" s="23">
        <v>627765034448</v>
      </c>
      <c r="C417" s="11" t="s">
        <v>429</v>
      </c>
      <c r="D417" s="17">
        <v>180</v>
      </c>
      <c r="E417" s="17" t="s">
        <v>14</v>
      </c>
      <c r="F417" s="37">
        <v>9.0800000000000006E-2</v>
      </c>
      <c r="G417" s="17">
        <v>24</v>
      </c>
      <c r="H417" s="43" t="s">
        <v>636</v>
      </c>
      <c r="I417" s="18">
        <v>8.1434907692307696</v>
      </c>
      <c r="J417" s="16"/>
      <c r="K417" s="49">
        <f>I417*J417</f>
        <v>0</v>
      </c>
      <c r="L417" s="36"/>
      <c r="N417" s="33" t="str">
        <f>IFERROR(IF($N$2*F417=0, "-", $N$2*F417), "-")</f>
        <v>-</v>
      </c>
      <c r="O417" s="33" t="str">
        <f>IF(J417&gt;0,I417+N417,"-")</f>
        <v>-</v>
      </c>
      <c r="P417" s="34" t="str">
        <f>IF(J417&gt;0,J417*F417, "-")</f>
        <v>-</v>
      </c>
      <c r="Q417" s="35" t="str">
        <f>IFERROR(IF($N$2&gt;0, $N$2*P417, "-"), "-")</f>
        <v>-</v>
      </c>
      <c r="S417" s="35" t="str">
        <f>IFERROR(IF(Q417+K417=0, "-", IF(Q417&gt;0, Q417+K417, "-")), "-")</f>
        <v>-</v>
      </c>
    </row>
    <row r="418" spans="1:19" x14ac:dyDescent="0.3">
      <c r="A418" s="48">
        <v>3445</v>
      </c>
      <c r="B418" s="23">
        <v>627765034455</v>
      </c>
      <c r="C418" s="11" t="s">
        <v>430</v>
      </c>
      <c r="D418" s="17">
        <v>360</v>
      </c>
      <c r="E418" s="17" t="s">
        <v>14</v>
      </c>
      <c r="F418" s="37">
        <v>0.28602</v>
      </c>
      <c r="G418" s="17">
        <v>12</v>
      </c>
      <c r="H418" s="43" t="s">
        <v>636</v>
      </c>
      <c r="I418" s="18">
        <v>14.045130000000002</v>
      </c>
      <c r="J418" s="16"/>
      <c r="K418" s="49">
        <f>I418*J418</f>
        <v>0</v>
      </c>
      <c r="L418" s="36"/>
      <c r="N418" s="33" t="str">
        <f>IFERROR(IF($N$2*F418=0, "-", $N$2*F418), "-")</f>
        <v>-</v>
      </c>
      <c r="O418" s="33" t="str">
        <f>IF(J418&gt;0,I418+N418,"-")</f>
        <v>-</v>
      </c>
      <c r="P418" s="34" t="str">
        <f>IF(J418&gt;0,J418*F418, "-")</f>
        <v>-</v>
      </c>
      <c r="Q418" s="35" t="str">
        <f>IFERROR(IF($N$2&gt;0, $N$2*P418, "-"), "-")</f>
        <v>-</v>
      </c>
      <c r="S418" s="35" t="str">
        <f>IFERROR(IF(Q418+K418=0, "-", IF(Q418&gt;0, Q418+K418, "-")), "-")</f>
        <v>-</v>
      </c>
    </row>
    <row r="419" spans="1:19" x14ac:dyDescent="0.3">
      <c r="A419" s="48">
        <v>3504</v>
      </c>
      <c r="B419" s="23">
        <v>68958035048</v>
      </c>
      <c r="C419" s="11" t="s">
        <v>431</v>
      </c>
      <c r="D419" s="17">
        <v>45</v>
      </c>
      <c r="E419" s="17" t="s">
        <v>32</v>
      </c>
      <c r="F419" s="37">
        <v>7.9450000000000007E-2</v>
      </c>
      <c r="G419" s="17">
        <v>24</v>
      </c>
      <c r="H419" s="43" t="s">
        <v>636</v>
      </c>
      <c r="I419" s="18">
        <v>8.893073076923077</v>
      </c>
      <c r="J419" s="16"/>
      <c r="K419" s="49">
        <f>I419*J419</f>
        <v>0</v>
      </c>
      <c r="L419" s="36"/>
      <c r="N419" s="33" t="str">
        <f>IFERROR(IF($N$2*F419=0, "-", $N$2*F419), "-")</f>
        <v>-</v>
      </c>
      <c r="O419" s="33" t="str">
        <f>IF(J419&gt;0,I419+N419,"-")</f>
        <v>-</v>
      </c>
      <c r="P419" s="34" t="str">
        <f>IF(J419&gt;0,J419*F419, "-")</f>
        <v>-</v>
      </c>
      <c r="Q419" s="35" t="str">
        <f>IFERROR(IF($N$2&gt;0, $N$2*P419, "-"), "-")</f>
        <v>-</v>
      </c>
      <c r="S419" s="35" t="str">
        <f>IFERROR(IF(Q419+K419=0, "-", IF(Q419&gt;0, Q419+K419, "-")), "-")</f>
        <v>-</v>
      </c>
    </row>
    <row r="420" spans="1:19" x14ac:dyDescent="0.3">
      <c r="A420" s="48">
        <v>3505</v>
      </c>
      <c r="B420" s="23">
        <v>68958035055</v>
      </c>
      <c r="C420" s="11" t="s">
        <v>432</v>
      </c>
      <c r="D420" s="17">
        <v>90</v>
      </c>
      <c r="E420" s="17" t="s">
        <v>32</v>
      </c>
      <c r="F420" s="37">
        <v>0.13619999999999999</v>
      </c>
      <c r="G420" s="17">
        <v>24</v>
      </c>
      <c r="H420" s="43" t="s">
        <v>636</v>
      </c>
      <c r="I420" s="18">
        <v>14.648538461538463</v>
      </c>
      <c r="J420" s="16"/>
      <c r="K420" s="49">
        <f>I420*J420</f>
        <v>0</v>
      </c>
      <c r="L420" s="36"/>
      <c r="N420" s="33" t="str">
        <f>IFERROR(IF($N$2*F420=0, "-", $N$2*F420), "-")</f>
        <v>-</v>
      </c>
      <c r="O420" s="33" t="str">
        <f>IF(J420&gt;0,I420+N420,"-")</f>
        <v>-</v>
      </c>
      <c r="P420" s="34" t="str">
        <f>IF(J420&gt;0,J420*F420, "-")</f>
        <v>-</v>
      </c>
      <c r="Q420" s="35" t="str">
        <f>IFERROR(IF($N$2&gt;0, $N$2*P420, "-"), "-")</f>
        <v>-</v>
      </c>
      <c r="S420" s="35" t="str">
        <f>IFERROR(IF(Q420+K420=0, "-", IF(Q420&gt;0, Q420+K420, "-")), "-")</f>
        <v>-</v>
      </c>
    </row>
    <row r="421" spans="1:19" x14ac:dyDescent="0.3">
      <c r="A421" s="48">
        <v>3512</v>
      </c>
      <c r="B421" s="23">
        <v>68958035123</v>
      </c>
      <c r="C421" s="11" t="s">
        <v>433</v>
      </c>
      <c r="D421" s="17">
        <v>60</v>
      </c>
      <c r="E421" s="17" t="s">
        <v>14</v>
      </c>
      <c r="F421" s="37">
        <v>0.13619999999999999</v>
      </c>
      <c r="G421" s="17">
        <v>24</v>
      </c>
      <c r="H421" s="43" t="s">
        <v>636</v>
      </c>
      <c r="I421" s="18">
        <v>15.61522153846154</v>
      </c>
      <c r="J421" s="16"/>
      <c r="K421" s="49">
        <f>I421*J421</f>
        <v>0</v>
      </c>
      <c r="L421" s="36"/>
      <c r="N421" s="33" t="str">
        <f>IFERROR(IF($N$2*F421=0, "-", $N$2*F421), "-")</f>
        <v>-</v>
      </c>
      <c r="O421" s="33" t="str">
        <f>IF(J421&gt;0,I421+N421,"-")</f>
        <v>-</v>
      </c>
      <c r="P421" s="34" t="str">
        <f>IF(J421&gt;0,J421*F421, "-")</f>
        <v>-</v>
      </c>
      <c r="Q421" s="35" t="str">
        <f>IFERROR(IF($N$2&gt;0, $N$2*P421, "-"), "-")</f>
        <v>-</v>
      </c>
      <c r="S421" s="35" t="str">
        <f>IFERROR(IF(Q421+K421=0, "-", IF(Q421&gt;0, Q421+K421, "-")), "-")</f>
        <v>-</v>
      </c>
    </row>
    <row r="422" spans="1:19" x14ac:dyDescent="0.3">
      <c r="A422" s="48">
        <v>3516</v>
      </c>
      <c r="B422" s="23">
        <v>68958035161</v>
      </c>
      <c r="C422" s="11" t="s">
        <v>434</v>
      </c>
      <c r="D422" s="17">
        <v>60</v>
      </c>
      <c r="E422" s="17" t="s">
        <v>14</v>
      </c>
      <c r="F422" s="37">
        <v>4.9939999999999998E-2</v>
      </c>
      <c r="G422" s="17">
        <v>24</v>
      </c>
      <c r="H422" s="43" t="s">
        <v>636</v>
      </c>
      <c r="I422" s="18">
        <v>7.2783900000000017</v>
      </c>
      <c r="J422" s="16"/>
      <c r="K422" s="49">
        <f>I422*J422</f>
        <v>0</v>
      </c>
      <c r="L422" s="36"/>
      <c r="N422" s="33" t="str">
        <f>IFERROR(IF($N$2*F422=0, "-", $N$2*F422), "-")</f>
        <v>-</v>
      </c>
      <c r="O422" s="33" t="str">
        <f>IF(J422&gt;0,I422+N422,"-")</f>
        <v>-</v>
      </c>
      <c r="P422" s="34" t="str">
        <f>IF(J422&gt;0,J422*F422, "-")</f>
        <v>-</v>
      </c>
      <c r="Q422" s="35" t="str">
        <f>IFERROR(IF($N$2&gt;0, $N$2*P422, "-"), "-")</f>
        <v>-</v>
      </c>
      <c r="S422" s="35" t="str">
        <f>IFERROR(IF(Q422+K422=0, "-", IF(Q422&gt;0, Q422+K422, "-")), "-")</f>
        <v>-</v>
      </c>
    </row>
    <row r="423" spans="1:19" x14ac:dyDescent="0.3">
      <c r="A423" s="48">
        <v>3521</v>
      </c>
      <c r="B423" s="23">
        <v>627765035216</v>
      </c>
      <c r="C423" s="11" t="s">
        <v>435</v>
      </c>
      <c r="D423" s="17">
        <v>90</v>
      </c>
      <c r="E423" s="17" t="s">
        <v>14</v>
      </c>
      <c r="F423" s="37">
        <v>0.23607999999999998</v>
      </c>
      <c r="G423" s="17">
        <v>24</v>
      </c>
      <c r="H423" s="43" t="s">
        <v>636</v>
      </c>
      <c r="I423" s="18">
        <v>18.862698461538461</v>
      </c>
      <c r="J423" s="16"/>
      <c r="K423" s="49">
        <f>I423*J423</f>
        <v>0</v>
      </c>
      <c r="L423" s="36"/>
      <c r="N423" s="33" t="str">
        <f>IFERROR(IF($N$2*F423=0, "-", $N$2*F423), "-")</f>
        <v>-</v>
      </c>
      <c r="O423" s="33" t="str">
        <f>IF(J423&gt;0,I423+N423,"-")</f>
        <v>-</v>
      </c>
      <c r="P423" s="34" t="str">
        <f>IF(J423&gt;0,J423*F423, "-")</f>
        <v>-</v>
      </c>
      <c r="Q423" s="35" t="str">
        <f>IFERROR(IF($N$2&gt;0, $N$2*P423, "-"), "-")</f>
        <v>-</v>
      </c>
      <c r="S423" s="35" t="str">
        <f>IFERROR(IF(Q423+K423=0, "-", IF(Q423&gt;0, Q423+K423, "-")), "-")</f>
        <v>-</v>
      </c>
    </row>
    <row r="424" spans="1:19" x14ac:dyDescent="0.3">
      <c r="A424" s="48">
        <v>3522</v>
      </c>
      <c r="B424" s="23">
        <v>627765035223</v>
      </c>
      <c r="C424" s="11" t="s">
        <v>436</v>
      </c>
      <c r="D424" s="17">
        <v>150</v>
      </c>
      <c r="E424" s="17" t="s">
        <v>14</v>
      </c>
      <c r="F424" s="37">
        <v>0.39951999999999999</v>
      </c>
      <c r="G424" s="17">
        <v>12</v>
      </c>
      <c r="H424" s="43" t="s">
        <v>636</v>
      </c>
      <c r="I424" s="18">
        <v>30.69131538461539</v>
      </c>
      <c r="J424" s="16"/>
      <c r="K424" s="49">
        <f>I424*J424</f>
        <v>0</v>
      </c>
      <c r="L424" s="36"/>
      <c r="N424" s="33" t="str">
        <f>IFERROR(IF($N$2*F424=0, "-", $N$2*F424), "-")</f>
        <v>-</v>
      </c>
      <c r="O424" s="33" t="str">
        <f>IF(J424&gt;0,I424+N424,"-")</f>
        <v>-</v>
      </c>
      <c r="P424" s="34" t="str">
        <f>IF(J424&gt;0,J424*F424, "-")</f>
        <v>-</v>
      </c>
      <c r="Q424" s="35" t="str">
        <f>IFERROR(IF($N$2&gt;0, $N$2*P424, "-"), "-")</f>
        <v>-</v>
      </c>
      <c r="S424" s="35" t="str">
        <f>IFERROR(IF(Q424+K424=0, "-", IF(Q424&gt;0, Q424+K424, "-")), "-")</f>
        <v>-</v>
      </c>
    </row>
    <row r="425" spans="1:19" x14ac:dyDescent="0.3">
      <c r="A425" s="48">
        <v>3523</v>
      </c>
      <c r="B425" s="22">
        <v>627765035230</v>
      </c>
      <c r="C425" s="11" t="s">
        <v>437</v>
      </c>
      <c r="D425" s="17">
        <v>90</v>
      </c>
      <c r="E425" s="17" t="s">
        <v>14</v>
      </c>
      <c r="F425" s="37">
        <v>0.24515999999999999</v>
      </c>
      <c r="G425" s="17">
        <v>24</v>
      </c>
      <c r="H425" s="43" t="s">
        <v>636</v>
      </c>
      <c r="I425" s="18">
        <v>18.607776923076926</v>
      </c>
      <c r="J425" s="16"/>
      <c r="K425" s="49">
        <f>I425*J425</f>
        <v>0</v>
      </c>
      <c r="L425" s="36"/>
      <c r="N425" s="33" t="str">
        <f>IFERROR(IF($N$2*F425=0, "-", $N$2*F425), "-")</f>
        <v>-</v>
      </c>
      <c r="O425" s="33" t="str">
        <f>IF(J425&gt;0,I425+N425,"-")</f>
        <v>-</v>
      </c>
      <c r="P425" s="34" t="str">
        <f>IF(J425&gt;0,J425*F425, "-")</f>
        <v>-</v>
      </c>
      <c r="Q425" s="35" t="str">
        <f>IFERROR(IF($N$2&gt;0, $N$2*P425, "-"), "-")</f>
        <v>-</v>
      </c>
      <c r="S425" s="35" t="str">
        <f>IFERROR(IF(Q425+K425=0, "-", IF(Q425&gt;0, Q425+K425, "-")), "-")</f>
        <v>-</v>
      </c>
    </row>
    <row r="426" spans="1:19" x14ac:dyDescent="0.3">
      <c r="A426" s="48">
        <v>3529</v>
      </c>
      <c r="B426" s="22">
        <v>627765035292</v>
      </c>
      <c r="C426" s="11" t="s">
        <v>440</v>
      </c>
      <c r="D426" s="17">
        <v>90</v>
      </c>
      <c r="E426" s="17" t="s">
        <v>45</v>
      </c>
      <c r="F426" s="37">
        <v>0.13392999999999999</v>
      </c>
      <c r="G426" s="17">
        <v>24</v>
      </c>
      <c r="H426" s="43" t="s">
        <v>636</v>
      </c>
      <c r="I426" s="18">
        <v>15.806838461538462</v>
      </c>
      <c r="J426" s="16"/>
      <c r="K426" s="49">
        <f>I426*J426</f>
        <v>0</v>
      </c>
      <c r="L426" s="36"/>
      <c r="N426" s="33" t="str">
        <f>IFERROR(IF($N$2*F426=0, "-", $N$2*F426), "-")</f>
        <v>-</v>
      </c>
      <c r="O426" s="33" t="str">
        <f>IF(J426&gt;0,I426+N426,"-")</f>
        <v>-</v>
      </c>
      <c r="P426" s="34" t="str">
        <f>IF(J426&gt;0,J426*F426, "-")</f>
        <v>-</v>
      </c>
      <c r="Q426" s="35" t="str">
        <f>IFERROR(IF($N$2&gt;0, $N$2*P426, "-"), "-")</f>
        <v>-</v>
      </c>
      <c r="S426" s="35" t="str">
        <f>IFERROR(IF(Q426+K426=0, "-", IF(Q426&gt;0, Q426+K426, "-")), "-")</f>
        <v>-</v>
      </c>
    </row>
    <row r="427" spans="1:19" x14ac:dyDescent="0.3">
      <c r="A427" s="48">
        <v>3534</v>
      </c>
      <c r="B427" s="22">
        <v>68958035345</v>
      </c>
      <c r="C427" s="11" t="s">
        <v>441</v>
      </c>
      <c r="D427" s="17">
        <v>60</v>
      </c>
      <c r="E427" s="17" t="s">
        <v>54</v>
      </c>
      <c r="F427" s="37">
        <v>7.9450000000000007E-2</v>
      </c>
      <c r="G427" s="17">
        <v>24</v>
      </c>
      <c r="H427" s="43" t="s">
        <v>636</v>
      </c>
      <c r="I427" s="18">
        <v>11.364133846153846</v>
      </c>
      <c r="J427" s="16"/>
      <c r="K427" s="49">
        <f>I427*J427</f>
        <v>0</v>
      </c>
      <c r="L427" s="36"/>
      <c r="N427" s="33" t="str">
        <f>IFERROR(IF($N$2*F427=0, "-", $N$2*F427), "-")</f>
        <v>-</v>
      </c>
      <c r="O427" s="33" t="str">
        <f>IF(J427&gt;0,I427+N427,"-")</f>
        <v>-</v>
      </c>
      <c r="P427" s="34" t="str">
        <f>IF(J427&gt;0,J427*F427, "-")</f>
        <v>-</v>
      </c>
      <c r="Q427" s="35" t="str">
        <f>IFERROR(IF($N$2&gt;0, $N$2*P427, "-"), "-")</f>
        <v>-</v>
      </c>
      <c r="S427" s="35" t="str">
        <f>IFERROR(IF(Q427+K427=0, "-", IF(Q427&gt;0, Q427+K427, "-")), "-")</f>
        <v>-</v>
      </c>
    </row>
    <row r="428" spans="1:19" x14ac:dyDescent="0.3">
      <c r="A428" s="48">
        <v>3540</v>
      </c>
      <c r="B428" s="23">
        <v>68958035406</v>
      </c>
      <c r="C428" s="11" t="s">
        <v>442</v>
      </c>
      <c r="D428" s="17">
        <v>250</v>
      </c>
      <c r="E428" s="17" t="s">
        <v>130</v>
      </c>
      <c r="F428" s="37">
        <v>0.36320000000000002</v>
      </c>
      <c r="G428" s="17">
        <v>12</v>
      </c>
      <c r="H428" s="43" t="s">
        <v>636</v>
      </c>
      <c r="I428" s="18">
        <v>8.327589230769231</v>
      </c>
      <c r="J428" s="16"/>
      <c r="K428" s="49">
        <f>I428*J428</f>
        <v>0</v>
      </c>
      <c r="L428" s="36"/>
      <c r="N428" s="33" t="str">
        <f>IFERROR(IF($N$2*F428=0, "-", $N$2*F428), "-")</f>
        <v>-</v>
      </c>
      <c r="O428" s="33" t="str">
        <f>IF(J428&gt;0,I428+N428,"-")</f>
        <v>-</v>
      </c>
      <c r="P428" s="34" t="str">
        <f>IF(J428&gt;0,J428*F428, "-")</f>
        <v>-</v>
      </c>
      <c r="Q428" s="35" t="str">
        <f>IFERROR(IF($N$2&gt;0, $N$2*P428, "-"), "-")</f>
        <v>-</v>
      </c>
      <c r="S428" s="35" t="str">
        <f>IFERROR(IF(Q428+K428=0, "-", IF(Q428&gt;0, Q428+K428, "-")), "-")</f>
        <v>-</v>
      </c>
    </row>
    <row r="429" spans="1:19" x14ac:dyDescent="0.3">
      <c r="A429" s="48">
        <v>3542</v>
      </c>
      <c r="B429" s="23">
        <v>68958035420</v>
      </c>
      <c r="C429" s="11" t="s">
        <v>443</v>
      </c>
      <c r="D429" s="17">
        <v>250</v>
      </c>
      <c r="E429" s="17" t="s">
        <v>130</v>
      </c>
      <c r="F429" s="37">
        <v>0.35525499999999999</v>
      </c>
      <c r="G429" s="17">
        <v>12</v>
      </c>
      <c r="H429" s="43" t="s">
        <v>636</v>
      </c>
      <c r="I429" s="18">
        <v>10.864696153846154</v>
      </c>
      <c r="J429" s="16"/>
      <c r="K429" s="49">
        <f>I429*J429</f>
        <v>0</v>
      </c>
      <c r="L429" s="36"/>
      <c r="N429" s="33" t="str">
        <f>IFERROR(IF($N$2*F429=0, "-", $N$2*F429), "-")</f>
        <v>-</v>
      </c>
      <c r="O429" s="33" t="str">
        <f>IF(J429&gt;0,I429+N429,"-")</f>
        <v>-</v>
      </c>
      <c r="P429" s="34" t="str">
        <f>IF(J429&gt;0,J429*F429, "-")</f>
        <v>-</v>
      </c>
      <c r="Q429" s="35" t="str">
        <f>IFERROR(IF($N$2&gt;0, $N$2*P429, "-"), "-")</f>
        <v>-</v>
      </c>
      <c r="S429" s="35" t="str">
        <f>IFERROR(IF(Q429+K429=0, "-", IF(Q429&gt;0, Q429+K429, "-")), "-")</f>
        <v>-</v>
      </c>
    </row>
    <row r="430" spans="1:19" x14ac:dyDescent="0.3">
      <c r="A430" s="48">
        <v>3548</v>
      </c>
      <c r="B430" s="23">
        <v>68958035482</v>
      </c>
      <c r="C430" s="11" t="s">
        <v>446</v>
      </c>
      <c r="D430" s="17">
        <v>60</v>
      </c>
      <c r="E430" s="17" t="s">
        <v>14</v>
      </c>
      <c r="F430" s="37">
        <v>0.14301</v>
      </c>
      <c r="G430" s="17">
        <v>24</v>
      </c>
      <c r="H430" s="43" t="s">
        <v>636</v>
      </c>
      <c r="I430" s="18">
        <v>9.4830853846153857</v>
      </c>
      <c r="J430" s="16"/>
      <c r="K430" s="49">
        <f>I430*J430</f>
        <v>0</v>
      </c>
      <c r="L430" s="36"/>
      <c r="N430" s="33" t="str">
        <f>IFERROR(IF($N$2*F430=0, "-", $N$2*F430), "-")</f>
        <v>-</v>
      </c>
      <c r="O430" s="33" t="str">
        <f>IF(J430&gt;0,I430+N430,"-")</f>
        <v>-</v>
      </c>
      <c r="P430" s="34" t="str">
        <f>IF(J430&gt;0,J430*F430, "-")</f>
        <v>-</v>
      </c>
      <c r="Q430" s="35" t="str">
        <f>IFERROR(IF($N$2&gt;0, $N$2*P430, "-"), "-")</f>
        <v>-</v>
      </c>
      <c r="S430" s="35" t="str">
        <f>IFERROR(IF(Q430+K430=0, "-", IF(Q430&gt;0, Q430+K430, "-")), "-")</f>
        <v>-</v>
      </c>
    </row>
    <row r="431" spans="1:19" x14ac:dyDescent="0.3">
      <c r="A431" s="48">
        <v>35492</v>
      </c>
      <c r="B431" s="22">
        <v>68958354927</v>
      </c>
      <c r="C431" s="11" t="s">
        <v>448</v>
      </c>
      <c r="D431" s="17">
        <v>150</v>
      </c>
      <c r="E431" s="17" t="s">
        <v>14</v>
      </c>
      <c r="F431" s="37">
        <v>0.37795500000000004</v>
      </c>
      <c r="G431" s="17">
        <v>12</v>
      </c>
      <c r="H431" s="43" t="s">
        <v>636</v>
      </c>
      <c r="I431" s="18">
        <v>28.768790769230772</v>
      </c>
      <c r="J431" s="16"/>
      <c r="K431" s="49">
        <f>I431*J431</f>
        <v>0</v>
      </c>
      <c r="L431" s="36"/>
      <c r="N431" s="33" t="str">
        <f>IFERROR(IF($N$2*F431=0, "-", $N$2*F431), "-")</f>
        <v>-</v>
      </c>
      <c r="O431" s="33" t="str">
        <f>IF(J431&gt;0,I431+N431,"-")</f>
        <v>-</v>
      </c>
      <c r="P431" s="34" t="str">
        <f>IF(J431&gt;0,J431*F431, "-")</f>
        <v>-</v>
      </c>
      <c r="Q431" s="35" t="str">
        <f>IFERROR(IF($N$2&gt;0, $N$2*P431, "-"), "-")</f>
        <v>-</v>
      </c>
      <c r="S431" s="35" t="str">
        <f>IFERROR(IF(Q431+K431=0, "-", IF(Q431&gt;0, Q431+K431, "-")), "-")</f>
        <v>-</v>
      </c>
    </row>
    <row r="432" spans="1:19" x14ac:dyDescent="0.3">
      <c r="A432" s="48">
        <v>35493</v>
      </c>
      <c r="B432" s="22">
        <v>68958354934</v>
      </c>
      <c r="C432" s="11" t="s">
        <v>449</v>
      </c>
      <c r="D432" s="17">
        <v>150</v>
      </c>
      <c r="E432" s="17" t="s">
        <v>14</v>
      </c>
      <c r="F432" s="37">
        <v>0.38590000000000002</v>
      </c>
      <c r="G432" s="17">
        <v>12</v>
      </c>
      <c r="H432" s="43" t="s">
        <v>636</v>
      </c>
      <c r="I432" s="18">
        <v>27.280052307692312</v>
      </c>
      <c r="J432" s="16"/>
      <c r="K432" s="49">
        <f>I432*J432</f>
        <v>0</v>
      </c>
      <c r="L432" s="36"/>
      <c r="N432" s="33" t="str">
        <f>IFERROR(IF($N$2*F432=0, "-", $N$2*F432), "-")</f>
        <v>-</v>
      </c>
      <c r="O432" s="33" t="str">
        <f>IF(J432&gt;0,I432+N432,"-")</f>
        <v>-</v>
      </c>
      <c r="P432" s="34" t="str">
        <f>IF(J432&gt;0,J432*F432, "-")</f>
        <v>-</v>
      </c>
      <c r="Q432" s="35" t="str">
        <f>IFERROR(IF($N$2&gt;0, $N$2*P432, "-"), "-")</f>
        <v>-</v>
      </c>
      <c r="S432" s="35" t="str">
        <f>IFERROR(IF(Q432+K432=0, "-", IF(Q432&gt;0, Q432+K432, "-")), "-")</f>
        <v>-</v>
      </c>
    </row>
    <row r="433" spans="1:19" x14ac:dyDescent="0.3">
      <c r="A433" s="48">
        <v>35494</v>
      </c>
      <c r="B433" s="22">
        <v>68958354941</v>
      </c>
      <c r="C433" s="11" t="s">
        <v>450</v>
      </c>
      <c r="D433" s="17">
        <v>60</v>
      </c>
      <c r="E433" s="17" t="s">
        <v>14</v>
      </c>
      <c r="F433" s="37">
        <v>8.7395E-2</v>
      </c>
      <c r="G433" s="17">
        <v>24</v>
      </c>
      <c r="H433" s="43" t="s">
        <v>636</v>
      </c>
      <c r="I433" s="18">
        <v>10.776053076923077</v>
      </c>
      <c r="J433" s="16"/>
      <c r="K433" s="49">
        <f>I433*J433</f>
        <v>0</v>
      </c>
      <c r="L433" s="36"/>
      <c r="N433" s="33" t="str">
        <f>IFERROR(IF($N$2*F433=0, "-", $N$2*F433), "-")</f>
        <v>-</v>
      </c>
      <c r="O433" s="33" t="str">
        <f>IF(J433&gt;0,I433+N433,"-")</f>
        <v>-</v>
      </c>
      <c r="P433" s="34" t="str">
        <f>IF(J433&gt;0,J433*F433, "-")</f>
        <v>-</v>
      </c>
      <c r="Q433" s="35" t="str">
        <f>IFERROR(IF($N$2&gt;0, $N$2*P433, "-"), "-")</f>
        <v>-</v>
      </c>
      <c r="S433" s="35" t="str">
        <f>IFERROR(IF(Q433+K433=0, "-", IF(Q433&gt;0, Q433+K433, "-")), "-")</f>
        <v>-</v>
      </c>
    </row>
    <row r="434" spans="1:19" x14ac:dyDescent="0.3">
      <c r="A434" s="48">
        <v>3555</v>
      </c>
      <c r="B434" s="22">
        <v>68958035550</v>
      </c>
      <c r="C434" s="11" t="s">
        <v>451</v>
      </c>
      <c r="D434" s="17">
        <v>120</v>
      </c>
      <c r="E434" s="17" t="s">
        <v>32</v>
      </c>
      <c r="F434" s="37">
        <v>0.27239999999999998</v>
      </c>
      <c r="G434" s="17">
        <v>12</v>
      </c>
      <c r="H434" s="43" t="s">
        <v>636</v>
      </c>
      <c r="I434" s="18">
        <v>14.726713846153848</v>
      </c>
      <c r="J434" s="16"/>
      <c r="K434" s="49">
        <f>I434*J434</f>
        <v>0</v>
      </c>
      <c r="L434" s="36"/>
      <c r="N434" s="33" t="str">
        <f>IFERROR(IF($N$2*F434=0, "-", $N$2*F434), "-")</f>
        <v>-</v>
      </c>
      <c r="O434" s="33" t="str">
        <f>IF(J434&gt;0,I434+N434,"-")</f>
        <v>-</v>
      </c>
      <c r="P434" s="34" t="str">
        <f>IF(J434&gt;0,J434*F434, "-")</f>
        <v>-</v>
      </c>
      <c r="Q434" s="35" t="str">
        <f>IFERROR(IF($N$2&gt;0, $N$2*P434, "-"), "-")</f>
        <v>-</v>
      </c>
      <c r="S434" s="35" t="str">
        <f>IFERROR(IF(Q434+K434=0, "-", IF(Q434&gt;0, Q434+K434, "-")), "-")</f>
        <v>-</v>
      </c>
    </row>
    <row r="435" spans="1:19" x14ac:dyDescent="0.3">
      <c r="A435" s="48">
        <v>3556</v>
      </c>
      <c r="B435" s="22">
        <v>68958035567</v>
      </c>
      <c r="C435" s="11" t="s">
        <v>452</v>
      </c>
      <c r="D435" s="17">
        <v>120</v>
      </c>
      <c r="E435" s="17" t="s">
        <v>14</v>
      </c>
      <c r="F435" s="37">
        <v>0.32347499999999996</v>
      </c>
      <c r="G435" s="17">
        <v>12</v>
      </c>
      <c r="H435" s="43" t="s">
        <v>636</v>
      </c>
      <c r="I435" s="18">
        <v>14.496696</v>
      </c>
      <c r="J435" s="16"/>
      <c r="K435" s="49">
        <f>I435*J435</f>
        <v>0</v>
      </c>
      <c r="L435" s="36"/>
      <c r="N435" s="33" t="str">
        <f>IFERROR(IF($N$2*F435=0, "-", $N$2*F435), "-")</f>
        <v>-</v>
      </c>
      <c r="O435" s="33" t="str">
        <f>IF(J435&gt;0,I435+N435,"-")</f>
        <v>-</v>
      </c>
      <c r="P435" s="34" t="str">
        <f>IF(J435&gt;0,J435*F435, "-")</f>
        <v>-</v>
      </c>
      <c r="Q435" s="35" t="str">
        <f>IFERROR(IF($N$2&gt;0, $N$2*P435, "-"), "-")</f>
        <v>-</v>
      </c>
      <c r="S435" s="35" t="str">
        <f>IFERROR(IF(Q435+K435=0, "-", IF(Q435&gt;0, Q435+K435, "-")), "-")</f>
        <v>-</v>
      </c>
    </row>
    <row r="436" spans="1:19" x14ac:dyDescent="0.3">
      <c r="A436" s="48">
        <v>3570</v>
      </c>
      <c r="B436" s="23">
        <v>68958035703</v>
      </c>
      <c r="C436" s="11" t="s">
        <v>453</v>
      </c>
      <c r="D436" s="17">
        <v>30</v>
      </c>
      <c r="E436" s="17" t="s">
        <v>454</v>
      </c>
      <c r="F436" s="37">
        <v>0.12371500000000001</v>
      </c>
      <c r="G436" s="17">
        <v>12</v>
      </c>
      <c r="H436" s="43" t="s">
        <v>636</v>
      </c>
      <c r="I436" s="18">
        <v>25.074456000000001</v>
      </c>
      <c r="J436" s="16"/>
      <c r="K436" s="49">
        <f>I436*J436</f>
        <v>0</v>
      </c>
      <c r="L436" s="36"/>
      <c r="N436" s="33" t="str">
        <f>IFERROR(IF($N$2*F436=0, "-", $N$2*F436), "-")</f>
        <v>-</v>
      </c>
      <c r="O436" s="33" t="str">
        <f>IF(J436&gt;0,I436+N436,"-")</f>
        <v>-</v>
      </c>
      <c r="P436" s="34" t="str">
        <f>IF(J436&gt;0,J436*F436, "-")</f>
        <v>-</v>
      </c>
      <c r="Q436" s="35" t="str">
        <f>IFERROR(IF($N$2&gt;0, $N$2*P436, "-"), "-")</f>
        <v>-</v>
      </c>
      <c r="S436" s="35" t="str">
        <f>IFERROR(IF(Q436+K436=0, "-", IF(Q436&gt;0, Q436+K436, "-")), "-")</f>
        <v>-</v>
      </c>
    </row>
    <row r="437" spans="1:19" x14ac:dyDescent="0.3">
      <c r="A437" s="48">
        <v>3571</v>
      </c>
      <c r="B437" s="22">
        <v>627765035711</v>
      </c>
      <c r="C437" s="11" t="s">
        <v>455</v>
      </c>
      <c r="D437" s="17">
        <v>240</v>
      </c>
      <c r="E437" s="17" t="s">
        <v>14</v>
      </c>
      <c r="F437" s="37">
        <v>0.6163050000000001</v>
      </c>
      <c r="G437" s="17">
        <v>12</v>
      </c>
      <c r="H437" s="43" t="s">
        <v>636</v>
      </c>
      <c r="I437" s="18">
        <v>26.560680000000005</v>
      </c>
      <c r="J437" s="16"/>
      <c r="K437" s="49">
        <f>I437*J437</f>
        <v>0</v>
      </c>
      <c r="L437" s="36"/>
      <c r="N437" s="33" t="str">
        <f>IFERROR(IF($N$2*F437=0, "-", $N$2*F437), "-")</f>
        <v>-</v>
      </c>
      <c r="O437" s="33" t="str">
        <f>IF(J437&gt;0,I437+N437,"-")</f>
        <v>-</v>
      </c>
      <c r="P437" s="34" t="str">
        <f>IF(J437&gt;0,J437*F437, "-")</f>
        <v>-</v>
      </c>
      <c r="Q437" s="35" t="str">
        <f>IFERROR(IF($N$2&gt;0, $N$2*P437, "-"), "-")</f>
        <v>-</v>
      </c>
      <c r="S437" s="35" t="str">
        <f>IFERROR(IF(Q437+K437=0, "-", IF(Q437&gt;0, Q437+K437, "-")), "-")</f>
        <v>-</v>
      </c>
    </row>
    <row r="438" spans="1:19" x14ac:dyDescent="0.3">
      <c r="A438" s="48">
        <v>3576</v>
      </c>
      <c r="B438" s="23">
        <v>68958035765</v>
      </c>
      <c r="C438" s="11" t="s">
        <v>456</v>
      </c>
      <c r="D438" s="17">
        <v>60</v>
      </c>
      <c r="E438" s="17" t="s">
        <v>14</v>
      </c>
      <c r="F438" s="37">
        <v>0.13619999999999999</v>
      </c>
      <c r="G438" s="17">
        <v>24</v>
      </c>
      <c r="H438" s="43" t="s">
        <v>636</v>
      </c>
      <c r="I438" s="18">
        <v>9.7535007692307705</v>
      </c>
      <c r="J438" s="16"/>
      <c r="K438" s="49">
        <f>I438*J438</f>
        <v>0</v>
      </c>
      <c r="L438" s="36"/>
      <c r="N438" s="33" t="str">
        <f>IFERROR(IF($N$2*F438=0, "-", $N$2*F438), "-")</f>
        <v>-</v>
      </c>
      <c r="O438" s="33" t="str">
        <f>IF(J438&gt;0,I438+N438,"-")</f>
        <v>-</v>
      </c>
      <c r="P438" s="34" t="str">
        <f>IF(J438&gt;0,J438*F438, "-")</f>
        <v>-</v>
      </c>
      <c r="Q438" s="35" t="str">
        <f>IFERROR(IF($N$2&gt;0, $N$2*P438, "-"), "-")</f>
        <v>-</v>
      </c>
      <c r="S438" s="35" t="str">
        <f>IFERROR(IF(Q438+K438=0, "-", IF(Q438&gt;0, Q438+K438, "-")), "-")</f>
        <v>-</v>
      </c>
    </row>
    <row r="439" spans="1:19" x14ac:dyDescent="0.3">
      <c r="A439" s="48">
        <v>3584</v>
      </c>
      <c r="B439" s="23">
        <v>68958035840</v>
      </c>
      <c r="C439" s="11" t="s">
        <v>458</v>
      </c>
      <c r="D439" s="17">
        <v>90</v>
      </c>
      <c r="E439" s="17" t="s">
        <v>54</v>
      </c>
      <c r="F439" s="37">
        <v>7.3775000000000007E-2</v>
      </c>
      <c r="G439" s="17">
        <v>24</v>
      </c>
      <c r="H439" s="43" t="s">
        <v>636</v>
      </c>
      <c r="I439" s="18">
        <v>6.2960884615384618</v>
      </c>
      <c r="J439" s="16"/>
      <c r="K439" s="49">
        <f>I439*J439</f>
        <v>0</v>
      </c>
      <c r="L439" s="36"/>
      <c r="N439" s="33" t="str">
        <f>IFERROR(IF($N$2*F439=0, "-", $N$2*F439), "-")</f>
        <v>-</v>
      </c>
      <c r="O439" s="33" t="str">
        <f>IF(J439&gt;0,I439+N439,"-")</f>
        <v>-</v>
      </c>
      <c r="P439" s="34" t="str">
        <f>IF(J439&gt;0,J439*F439, "-")</f>
        <v>-</v>
      </c>
      <c r="Q439" s="35" t="str">
        <f>IFERROR(IF($N$2&gt;0, $N$2*P439, "-"), "-")</f>
        <v>-</v>
      </c>
      <c r="S439" s="35" t="str">
        <f>IFERROR(IF(Q439+K439=0, "-", IF(Q439&gt;0, Q439+K439, "-")), "-")</f>
        <v>-</v>
      </c>
    </row>
    <row r="440" spans="1:19" x14ac:dyDescent="0.3">
      <c r="A440" s="48">
        <v>3585</v>
      </c>
      <c r="B440" s="22">
        <v>68958035857</v>
      </c>
      <c r="C440" s="11" t="s">
        <v>459</v>
      </c>
      <c r="D440" s="17" t="s">
        <v>460</v>
      </c>
      <c r="E440" s="17" t="s">
        <v>130</v>
      </c>
      <c r="F440" s="37">
        <v>0.42221999999999998</v>
      </c>
      <c r="G440" s="17">
        <v>12</v>
      </c>
      <c r="H440" s="43" t="s">
        <v>636</v>
      </c>
      <c r="I440" s="18">
        <v>20.323736470588237</v>
      </c>
      <c r="J440" s="16"/>
      <c r="K440" s="49">
        <f>I440*J440</f>
        <v>0</v>
      </c>
      <c r="L440" s="36"/>
      <c r="N440" s="33" t="str">
        <f>IFERROR(IF($N$2*F440=0, "-", $N$2*F440), "-")</f>
        <v>-</v>
      </c>
      <c r="O440" s="33" t="str">
        <f>IF(J440&gt;0,I440+N440,"-")</f>
        <v>-</v>
      </c>
      <c r="P440" s="34" t="str">
        <f>IF(J440&gt;0,J440*F440, "-")</f>
        <v>-</v>
      </c>
      <c r="Q440" s="35" t="str">
        <f>IFERROR(IF($N$2&gt;0, $N$2*P440, "-"), "-")</f>
        <v>-</v>
      </c>
      <c r="S440" s="35" t="str">
        <f>IFERROR(IF(Q440+K440=0, "-", IF(Q440&gt;0, Q440+K440, "-")), "-")</f>
        <v>-</v>
      </c>
    </row>
    <row r="441" spans="1:19" x14ac:dyDescent="0.3">
      <c r="A441" s="48">
        <v>3590</v>
      </c>
      <c r="B441" s="22">
        <v>68958035901</v>
      </c>
      <c r="C441" s="11" t="s">
        <v>461</v>
      </c>
      <c r="D441" s="17">
        <v>60</v>
      </c>
      <c r="E441" s="17" t="s">
        <v>54</v>
      </c>
      <c r="F441" s="37">
        <v>5.5615000000000005E-2</v>
      </c>
      <c r="G441" s="17">
        <v>24</v>
      </c>
      <c r="H441" s="43" t="s">
        <v>636</v>
      </c>
      <c r="I441" s="18">
        <v>5.2893623076923086</v>
      </c>
      <c r="J441" s="16"/>
      <c r="K441" s="49">
        <f>I441*J441</f>
        <v>0</v>
      </c>
      <c r="L441" s="36"/>
      <c r="N441" s="33" t="str">
        <f>IFERROR(IF($N$2*F441=0, "-", $N$2*F441), "-")</f>
        <v>-</v>
      </c>
      <c r="O441" s="33" t="str">
        <f>IF(J441&gt;0,I441+N441,"-")</f>
        <v>-</v>
      </c>
      <c r="P441" s="34" t="str">
        <f>IF(J441&gt;0,J441*F441, "-")</f>
        <v>-</v>
      </c>
      <c r="Q441" s="35" t="str">
        <f>IFERROR(IF($N$2&gt;0, $N$2*P441, "-"), "-")</f>
        <v>-</v>
      </c>
      <c r="S441" s="35" t="str">
        <f>IFERROR(IF(Q441+K441=0, "-", IF(Q441&gt;0, Q441+K441, "-")), "-")</f>
        <v>-</v>
      </c>
    </row>
    <row r="442" spans="1:19" x14ac:dyDescent="0.3">
      <c r="A442" s="48">
        <v>3607</v>
      </c>
      <c r="B442" s="22">
        <v>627765036077</v>
      </c>
      <c r="C442" s="11" t="s">
        <v>462</v>
      </c>
      <c r="D442" s="17">
        <v>940</v>
      </c>
      <c r="E442" s="17" t="s">
        <v>130</v>
      </c>
      <c r="F442" s="37">
        <v>1.2439600000000002</v>
      </c>
      <c r="G442" s="17">
        <v>4</v>
      </c>
      <c r="H442" s="43" t="s">
        <v>636</v>
      </c>
      <c r="I442" s="18">
        <v>48.318818823529419</v>
      </c>
      <c r="J442" s="16"/>
      <c r="K442" s="49">
        <f>I442*J442</f>
        <v>0</v>
      </c>
      <c r="L442" s="36"/>
      <c r="N442" s="33" t="str">
        <f>IFERROR(IF($N$2*F442=0, "-", $N$2*F442), "-")</f>
        <v>-</v>
      </c>
      <c r="O442" s="33" t="str">
        <f>IF(J442&gt;0,I442+N442,"-")</f>
        <v>-</v>
      </c>
      <c r="P442" s="34" t="str">
        <f>IF(J442&gt;0,J442*F442, "-")</f>
        <v>-</v>
      </c>
      <c r="Q442" s="35" t="str">
        <f>IFERROR(IF($N$2&gt;0, $N$2*P442, "-"), "-")</f>
        <v>-</v>
      </c>
      <c r="S442" s="35" t="str">
        <f>IFERROR(IF(Q442+K442=0, "-", IF(Q442&gt;0, Q442+K442, "-")), "-")</f>
        <v>-</v>
      </c>
    </row>
    <row r="443" spans="1:19" x14ac:dyDescent="0.3">
      <c r="A443" s="48">
        <v>3608</v>
      </c>
      <c r="B443" s="22">
        <v>627765036084</v>
      </c>
      <c r="C443" s="11" t="s">
        <v>463</v>
      </c>
      <c r="D443" s="17">
        <v>870</v>
      </c>
      <c r="E443" s="17" t="s">
        <v>130</v>
      </c>
      <c r="F443" s="37">
        <v>1.1577</v>
      </c>
      <c r="G443" s="17">
        <v>4</v>
      </c>
      <c r="H443" s="43" t="s">
        <v>636</v>
      </c>
      <c r="I443" s="18">
        <v>45.258649411764715</v>
      </c>
      <c r="J443" s="16"/>
      <c r="K443" s="49">
        <f>I443*J443</f>
        <v>0</v>
      </c>
      <c r="L443" s="36"/>
      <c r="N443" s="33" t="str">
        <f>IFERROR(IF($N$2*F443=0, "-", $N$2*F443), "-")</f>
        <v>-</v>
      </c>
      <c r="O443" s="33" t="str">
        <f>IF(J443&gt;0,I443+N443,"-")</f>
        <v>-</v>
      </c>
      <c r="P443" s="34" t="str">
        <f>IF(J443&gt;0,J443*F443, "-")</f>
        <v>-</v>
      </c>
      <c r="Q443" s="35" t="str">
        <f>IFERROR(IF($N$2&gt;0, $N$2*P443, "-"), "-")</f>
        <v>-</v>
      </c>
      <c r="S443" s="35" t="str">
        <f>IFERROR(IF(Q443+K443=0, "-", IF(Q443&gt;0, Q443+K443, "-")), "-")</f>
        <v>-</v>
      </c>
    </row>
    <row r="444" spans="1:19" x14ac:dyDescent="0.3">
      <c r="A444" s="48">
        <v>3609</v>
      </c>
      <c r="B444" s="22">
        <v>627765036091</v>
      </c>
      <c r="C444" s="11" t="s">
        <v>464</v>
      </c>
      <c r="D444" s="17">
        <v>855</v>
      </c>
      <c r="E444" s="17" t="s">
        <v>130</v>
      </c>
      <c r="F444" s="37">
        <v>1.1452149999999999</v>
      </c>
      <c r="G444" s="17">
        <v>4</v>
      </c>
      <c r="H444" s="43" t="s">
        <v>636</v>
      </c>
      <c r="I444" s="18">
        <v>49.608084705882355</v>
      </c>
      <c r="J444" s="16"/>
      <c r="K444" s="49">
        <f>I444*J444</f>
        <v>0</v>
      </c>
      <c r="L444" s="36"/>
      <c r="N444" s="33" t="str">
        <f>IFERROR(IF($N$2*F444=0, "-", $N$2*F444), "-")</f>
        <v>-</v>
      </c>
      <c r="O444" s="33" t="str">
        <f>IF(J444&gt;0,I444+N444,"-")</f>
        <v>-</v>
      </c>
      <c r="P444" s="34" t="str">
        <f>IF(J444&gt;0,J444*F444, "-")</f>
        <v>-</v>
      </c>
      <c r="Q444" s="35" t="str">
        <f>IFERROR(IF($N$2&gt;0, $N$2*P444, "-"), "-")</f>
        <v>-</v>
      </c>
      <c r="S444" s="35" t="str">
        <f>IFERROR(IF(Q444+K444=0, "-", IF(Q444&gt;0, Q444+K444, "-")), "-")</f>
        <v>-</v>
      </c>
    </row>
    <row r="445" spans="1:19" x14ac:dyDescent="0.3">
      <c r="A445" s="48">
        <v>3610</v>
      </c>
      <c r="B445" s="22">
        <v>627765036107</v>
      </c>
      <c r="C445" s="11" t="s">
        <v>465</v>
      </c>
      <c r="D445" s="17">
        <v>830</v>
      </c>
      <c r="E445" s="17" t="s">
        <v>130</v>
      </c>
      <c r="F445" s="37">
        <v>1.1145700000000001</v>
      </c>
      <c r="G445" s="17">
        <v>4</v>
      </c>
      <c r="H445" s="43" t="s">
        <v>636</v>
      </c>
      <c r="I445" s="18">
        <v>35.703931764705885</v>
      </c>
      <c r="J445" s="16"/>
      <c r="K445" s="49">
        <f>I445*J445</f>
        <v>0</v>
      </c>
      <c r="L445" s="36"/>
      <c r="N445" s="33" t="str">
        <f>IFERROR(IF($N$2*F445=0, "-", $N$2*F445), "-")</f>
        <v>-</v>
      </c>
      <c r="O445" s="33" t="str">
        <f>IF(J445&gt;0,I445+N445,"-")</f>
        <v>-</v>
      </c>
      <c r="P445" s="34" t="str">
        <f>IF(J445&gt;0,J445*F445, "-")</f>
        <v>-</v>
      </c>
      <c r="Q445" s="35" t="str">
        <f>IFERROR(IF($N$2&gt;0, $N$2*P445, "-"), "-")</f>
        <v>-</v>
      </c>
      <c r="S445" s="35" t="str">
        <f>IFERROR(IF(Q445+K445=0, "-", IF(Q445&gt;0, Q445+K445, "-")), "-")</f>
        <v>-</v>
      </c>
    </row>
    <row r="446" spans="1:19" x14ac:dyDescent="0.3">
      <c r="A446" s="48">
        <v>3611</v>
      </c>
      <c r="B446" s="22">
        <v>627765036114</v>
      </c>
      <c r="C446" s="11" t="s">
        <v>466</v>
      </c>
      <c r="D446" s="17">
        <v>885</v>
      </c>
      <c r="E446" s="17" t="s">
        <v>130</v>
      </c>
      <c r="F446" s="37">
        <v>1.172455</v>
      </c>
      <c r="G446" s="17">
        <v>4</v>
      </c>
      <c r="H446" s="43" t="s">
        <v>636</v>
      </c>
      <c r="I446" s="18">
        <v>47.492543076923077</v>
      </c>
      <c r="J446" s="16"/>
      <c r="K446" s="49">
        <f>I446*J446</f>
        <v>0</v>
      </c>
      <c r="L446" s="36"/>
      <c r="N446" s="33" t="str">
        <f>IFERROR(IF($N$2*F446=0, "-", $N$2*F446), "-")</f>
        <v>-</v>
      </c>
      <c r="O446" s="33" t="str">
        <f>IF(J446&gt;0,I446+N446,"-")</f>
        <v>-</v>
      </c>
      <c r="P446" s="34" t="str">
        <f>IF(J446&gt;0,J446*F446, "-")</f>
        <v>-</v>
      </c>
      <c r="Q446" s="35" t="str">
        <f>IFERROR(IF($N$2&gt;0, $N$2*P446, "-"), "-")</f>
        <v>-</v>
      </c>
      <c r="S446" s="35" t="str">
        <f>IFERROR(IF(Q446+K446=0, "-", IF(Q446&gt;0, Q446+K446, "-")), "-")</f>
        <v>-</v>
      </c>
    </row>
    <row r="447" spans="1:19" x14ac:dyDescent="0.3">
      <c r="A447" s="48">
        <v>4116</v>
      </c>
      <c r="B447" s="22">
        <v>68958041162</v>
      </c>
      <c r="C447" s="11" t="s">
        <v>467</v>
      </c>
      <c r="D447" s="17">
        <v>90</v>
      </c>
      <c r="E447" s="17" t="s">
        <v>32</v>
      </c>
      <c r="F447" s="37">
        <v>0.19521999999999998</v>
      </c>
      <c r="G447" s="17">
        <v>24</v>
      </c>
      <c r="H447" s="43" t="s">
        <v>636</v>
      </c>
      <c r="I447" s="18">
        <v>10.266895384615385</v>
      </c>
      <c r="J447" s="16"/>
      <c r="K447" s="49">
        <f>I447*J447</f>
        <v>0</v>
      </c>
      <c r="L447" s="36"/>
      <c r="N447" s="33" t="str">
        <f>IFERROR(IF($N$2*F447=0, "-", $N$2*F447), "-")</f>
        <v>-</v>
      </c>
      <c r="O447" s="33" t="str">
        <f>IF(J447&gt;0,I447+N447,"-")</f>
        <v>-</v>
      </c>
      <c r="P447" s="34" t="str">
        <f>IF(J447&gt;0,J447*F447, "-")</f>
        <v>-</v>
      </c>
      <c r="Q447" s="35" t="str">
        <f>IFERROR(IF($N$2&gt;0, $N$2*P447, "-"), "-")</f>
        <v>-</v>
      </c>
      <c r="S447" s="35" t="str">
        <f>IFERROR(IF(Q447+K447=0, "-", IF(Q447&gt;0, Q447+K447, "-")), "-")</f>
        <v>-</v>
      </c>
    </row>
    <row r="448" spans="1:19" x14ac:dyDescent="0.3">
      <c r="A448" s="48">
        <v>4161</v>
      </c>
      <c r="B448" s="23">
        <v>68958041612</v>
      </c>
      <c r="C448" s="11" t="s">
        <v>468</v>
      </c>
      <c r="D448" s="17">
        <v>90</v>
      </c>
      <c r="E448" s="17" t="s">
        <v>54</v>
      </c>
      <c r="F448" s="37">
        <v>6.8099999999999994E-2</v>
      </c>
      <c r="G448" s="17">
        <v>24</v>
      </c>
      <c r="H448" s="43" t="s">
        <v>636</v>
      </c>
      <c r="I448" s="18">
        <v>10.715884615384617</v>
      </c>
      <c r="J448" s="16"/>
      <c r="K448" s="49">
        <f>I448*J448</f>
        <v>0</v>
      </c>
      <c r="L448" s="36"/>
      <c r="N448" s="33" t="str">
        <f>IFERROR(IF($N$2*F448=0, "-", $N$2*F448), "-")</f>
        <v>-</v>
      </c>
      <c r="O448" s="33" t="str">
        <f>IF(J448&gt;0,I448+N448,"-")</f>
        <v>-</v>
      </c>
      <c r="P448" s="34" t="str">
        <f>IF(J448&gt;0,J448*F448, "-")</f>
        <v>-</v>
      </c>
      <c r="Q448" s="35" t="str">
        <f>IFERROR(IF($N$2&gt;0, $N$2*P448, "-"), "-")</f>
        <v>-</v>
      </c>
      <c r="S448" s="35" t="str">
        <f>IFERROR(IF(Q448+K448=0, "-", IF(Q448&gt;0, Q448+K448, "-")), "-")</f>
        <v>-</v>
      </c>
    </row>
    <row r="449" spans="1:19" x14ac:dyDescent="0.3">
      <c r="A449" s="48">
        <v>4173</v>
      </c>
      <c r="B449" s="23">
        <v>68958041735</v>
      </c>
      <c r="C449" s="11" t="s">
        <v>469</v>
      </c>
      <c r="D449" s="17">
        <v>60</v>
      </c>
      <c r="E449" s="17" t="s">
        <v>14</v>
      </c>
      <c r="F449" s="37">
        <v>6.8099999999999994E-2</v>
      </c>
      <c r="G449" s="17">
        <v>24</v>
      </c>
      <c r="H449" s="43" t="s">
        <v>636</v>
      </c>
      <c r="I449" s="18">
        <v>7.8551723076923086</v>
      </c>
      <c r="J449" s="16"/>
      <c r="K449" s="49">
        <f>I449*J449</f>
        <v>0</v>
      </c>
      <c r="L449" s="36"/>
      <c r="N449" s="33" t="str">
        <f>IFERROR(IF($N$2*F449=0, "-", $N$2*F449), "-")</f>
        <v>-</v>
      </c>
      <c r="O449" s="33" t="str">
        <f>IF(J449&gt;0,I449+N449,"-")</f>
        <v>-</v>
      </c>
      <c r="P449" s="34" t="str">
        <f>IF(J449&gt;0,J449*F449, "-")</f>
        <v>-</v>
      </c>
      <c r="Q449" s="35" t="str">
        <f>IFERROR(IF($N$2&gt;0, $N$2*P449, "-"), "-")</f>
        <v>-</v>
      </c>
      <c r="S449" s="35" t="str">
        <f>IFERROR(IF(Q449+K449=0, "-", IF(Q449&gt;0, Q449+K449, "-")), "-")</f>
        <v>-</v>
      </c>
    </row>
    <row r="450" spans="1:19" x14ac:dyDescent="0.3">
      <c r="A450" s="48">
        <v>4181</v>
      </c>
      <c r="B450" s="23">
        <v>68958041810</v>
      </c>
      <c r="C450" s="11" t="s">
        <v>470</v>
      </c>
      <c r="D450" s="17">
        <v>90</v>
      </c>
      <c r="E450" s="17" t="s">
        <v>54</v>
      </c>
      <c r="F450" s="37">
        <v>7.1504999999999999E-2</v>
      </c>
      <c r="G450" s="17">
        <v>24</v>
      </c>
      <c r="H450" s="43" t="s">
        <v>636</v>
      </c>
      <c r="I450" s="18">
        <v>7.7633930769230775</v>
      </c>
      <c r="J450" s="16"/>
      <c r="K450" s="49">
        <f>I450*J450</f>
        <v>0</v>
      </c>
      <c r="L450" s="36"/>
      <c r="N450" s="33" t="str">
        <f>IFERROR(IF($N$2*F450=0, "-", $N$2*F450), "-")</f>
        <v>-</v>
      </c>
      <c r="O450" s="33" t="str">
        <f>IF(J450&gt;0,I450+N450,"-")</f>
        <v>-</v>
      </c>
      <c r="P450" s="34" t="str">
        <f>IF(J450&gt;0,J450*F450, "-")</f>
        <v>-</v>
      </c>
      <c r="Q450" s="35" t="str">
        <f>IFERROR(IF($N$2&gt;0, $N$2*P450, "-"), "-")</f>
        <v>-</v>
      </c>
      <c r="S450" s="35" t="str">
        <f>IFERROR(IF(Q450+K450=0, "-", IF(Q450&gt;0, Q450+K450, "-")), "-")</f>
        <v>-</v>
      </c>
    </row>
    <row r="451" spans="1:19" x14ac:dyDescent="0.3">
      <c r="A451" s="48">
        <v>4186</v>
      </c>
      <c r="B451" s="23">
        <v>68958041865</v>
      </c>
      <c r="C451" s="11" t="s">
        <v>471</v>
      </c>
      <c r="D451" s="17">
        <v>90</v>
      </c>
      <c r="E451" s="17" t="s">
        <v>14</v>
      </c>
      <c r="F451" s="37">
        <v>0.10214999999999999</v>
      </c>
      <c r="G451" s="17">
        <v>24</v>
      </c>
      <c r="H451" s="43" t="s">
        <v>636</v>
      </c>
      <c r="I451" s="18">
        <v>12.253347692307694</v>
      </c>
      <c r="J451" s="16"/>
      <c r="K451" s="49">
        <f>I451*J451</f>
        <v>0</v>
      </c>
      <c r="L451" s="36"/>
      <c r="N451" s="33" t="str">
        <f>IFERROR(IF($N$2*F451=0, "-", $N$2*F451), "-")</f>
        <v>-</v>
      </c>
      <c r="O451" s="33" t="str">
        <f>IF(J451&gt;0,I451+N451,"-")</f>
        <v>-</v>
      </c>
      <c r="P451" s="34" t="str">
        <f>IF(J451&gt;0,J451*F451, "-")</f>
        <v>-</v>
      </c>
      <c r="Q451" s="35" t="str">
        <f>IFERROR(IF($N$2&gt;0, $N$2*P451, "-"), "-")</f>
        <v>-</v>
      </c>
      <c r="S451" s="35" t="str">
        <f>IFERROR(IF(Q451+K451=0, "-", IF(Q451&gt;0, Q451+K451, "-")), "-")</f>
        <v>-</v>
      </c>
    </row>
    <row r="452" spans="1:19" x14ac:dyDescent="0.3">
      <c r="A452" s="48">
        <v>4209</v>
      </c>
      <c r="B452" s="23">
        <v>68958042091</v>
      </c>
      <c r="C452" s="11" t="s">
        <v>472</v>
      </c>
      <c r="D452" s="17">
        <v>90</v>
      </c>
      <c r="E452" s="17" t="s">
        <v>45</v>
      </c>
      <c r="F452" s="37">
        <v>6.583E-2</v>
      </c>
      <c r="G452" s="17">
        <v>24</v>
      </c>
      <c r="H452" s="43" t="s">
        <v>636</v>
      </c>
      <c r="I452" s="18">
        <v>21.274816153846157</v>
      </c>
      <c r="J452" s="16"/>
      <c r="K452" s="49">
        <f>I452*J452</f>
        <v>0</v>
      </c>
      <c r="L452" s="36"/>
      <c r="N452" s="33" t="str">
        <f>IFERROR(IF($N$2*F452=0, "-", $N$2*F452), "-")</f>
        <v>-</v>
      </c>
      <c r="O452" s="33" t="str">
        <f>IF(J452&gt;0,I452+N452,"-")</f>
        <v>-</v>
      </c>
      <c r="P452" s="34" t="str">
        <f>IF(J452&gt;0,J452*F452, "-")</f>
        <v>-</v>
      </c>
      <c r="Q452" s="35" t="str">
        <f>IFERROR(IF($N$2&gt;0, $N$2*P452, "-"), "-")</f>
        <v>-</v>
      </c>
      <c r="S452" s="35" t="str">
        <f>IFERROR(IF(Q452+K452=0, "-", IF(Q452&gt;0, Q452+K452, "-")), "-")</f>
        <v>-</v>
      </c>
    </row>
    <row r="453" spans="1:19" x14ac:dyDescent="0.3">
      <c r="A453" s="48">
        <v>4210</v>
      </c>
      <c r="B453" s="23">
        <v>68958042107</v>
      </c>
      <c r="C453" s="11" t="s">
        <v>473</v>
      </c>
      <c r="D453" s="17">
        <v>90</v>
      </c>
      <c r="E453" s="17" t="s">
        <v>54</v>
      </c>
      <c r="F453" s="37">
        <v>8.1720000000000001E-2</v>
      </c>
      <c r="G453" s="17">
        <v>24</v>
      </c>
      <c r="H453" s="43" t="s">
        <v>636</v>
      </c>
      <c r="I453" s="18">
        <v>7.0698253846153856</v>
      </c>
      <c r="J453" s="16"/>
      <c r="K453" s="49">
        <f>I453*J453</f>
        <v>0</v>
      </c>
      <c r="L453" s="36"/>
      <c r="N453" s="33" t="str">
        <f>IFERROR(IF($N$2*F453=0, "-", $N$2*F453), "-")</f>
        <v>-</v>
      </c>
      <c r="O453" s="33" t="str">
        <f>IF(J453&gt;0,I453+N453,"-")</f>
        <v>-</v>
      </c>
      <c r="P453" s="34" t="str">
        <f>IF(J453&gt;0,J453*F453, "-")</f>
        <v>-</v>
      </c>
      <c r="Q453" s="35" t="str">
        <f>IFERROR(IF($N$2&gt;0, $N$2*P453, "-"), "-")</f>
        <v>-</v>
      </c>
      <c r="S453" s="35" t="str">
        <f>IFERROR(IF(Q453+K453=0, "-", IF(Q453&gt;0, Q453+K453, "-")), "-")</f>
        <v>-</v>
      </c>
    </row>
    <row r="454" spans="1:19" x14ac:dyDescent="0.3">
      <c r="A454" s="48">
        <v>4253</v>
      </c>
      <c r="B454" s="23">
        <v>68958042534</v>
      </c>
      <c r="C454" s="11" t="s">
        <v>474</v>
      </c>
      <c r="D454" s="17">
        <v>90</v>
      </c>
      <c r="E454" s="17" t="s">
        <v>54</v>
      </c>
      <c r="F454" s="37">
        <v>9.0800000000000006E-2</v>
      </c>
      <c r="G454" s="17">
        <v>24</v>
      </c>
      <c r="H454" s="43" t="s">
        <v>636</v>
      </c>
      <c r="I454" s="18">
        <v>10.394709230769232</v>
      </c>
      <c r="J454" s="16"/>
      <c r="K454" s="49">
        <f>I454*J454</f>
        <v>0</v>
      </c>
      <c r="L454" s="36"/>
      <c r="N454" s="33" t="str">
        <f>IFERROR(IF($N$2*F454=0, "-", $N$2*F454), "-")</f>
        <v>-</v>
      </c>
      <c r="O454" s="33" t="str">
        <f>IF(J454&gt;0,I454+N454,"-")</f>
        <v>-</v>
      </c>
      <c r="P454" s="34" t="str">
        <f>IF(J454&gt;0,J454*F454, "-")</f>
        <v>-</v>
      </c>
      <c r="Q454" s="35" t="str">
        <f>IFERROR(IF($N$2&gt;0, $N$2*P454, "-"), "-")</f>
        <v>-</v>
      </c>
      <c r="S454" s="35" t="str">
        <f>IFERROR(IF(Q454+K454=0, "-", IF(Q454&gt;0, Q454+K454, "-")), "-")</f>
        <v>-</v>
      </c>
    </row>
    <row r="455" spans="1:19" x14ac:dyDescent="0.3">
      <c r="A455" s="48">
        <v>4348</v>
      </c>
      <c r="B455" s="23">
        <v>68958043487</v>
      </c>
      <c r="C455" s="11" t="s">
        <v>475</v>
      </c>
      <c r="D455" s="17" t="s">
        <v>476</v>
      </c>
      <c r="E455" s="17" t="s">
        <v>38</v>
      </c>
      <c r="F455" s="37">
        <v>0.132795</v>
      </c>
      <c r="G455" s="17">
        <v>12</v>
      </c>
      <c r="H455" s="43" t="s">
        <v>636</v>
      </c>
      <c r="I455" s="18">
        <v>8.6809153846153855</v>
      </c>
      <c r="J455" s="16"/>
      <c r="K455" s="49">
        <f>I455*J455</f>
        <v>0</v>
      </c>
      <c r="L455" s="36"/>
      <c r="N455" s="33" t="str">
        <f>IFERROR(IF($N$2*F455=0, "-", $N$2*F455), "-")</f>
        <v>-</v>
      </c>
      <c r="O455" s="33" t="str">
        <f>IF(J455&gt;0,I455+N455,"-")</f>
        <v>-</v>
      </c>
      <c r="P455" s="34" t="str">
        <f>IF(J455&gt;0,J455*F455, "-")</f>
        <v>-</v>
      </c>
      <c r="Q455" s="35" t="str">
        <f>IFERROR(IF($N$2&gt;0, $N$2*P455, "-"), "-")</f>
        <v>-</v>
      </c>
      <c r="S455" s="35" t="str">
        <f>IFERROR(IF(Q455+K455=0, "-", IF(Q455&gt;0, Q455+K455, "-")), "-")</f>
        <v>-</v>
      </c>
    </row>
    <row r="456" spans="1:19" x14ac:dyDescent="0.3">
      <c r="A456" s="48">
        <v>4349</v>
      </c>
      <c r="B456" s="23">
        <v>68958043494</v>
      </c>
      <c r="C456" s="11" t="s">
        <v>477</v>
      </c>
      <c r="D456" s="17" t="s">
        <v>478</v>
      </c>
      <c r="E456" s="17" t="s">
        <v>38</v>
      </c>
      <c r="F456" s="37">
        <v>0.21224499999999999</v>
      </c>
      <c r="G456" s="17">
        <v>12</v>
      </c>
      <c r="H456" s="43" t="s">
        <v>636</v>
      </c>
      <c r="I456" s="18">
        <v>10.957638461538462</v>
      </c>
      <c r="J456" s="16"/>
      <c r="K456" s="49">
        <f>I456*J456</f>
        <v>0</v>
      </c>
      <c r="L456" s="36"/>
      <c r="N456" s="33" t="str">
        <f>IFERROR(IF($N$2*F456=0, "-", $N$2*F456), "-")</f>
        <v>-</v>
      </c>
      <c r="O456" s="33" t="str">
        <f>IF(J456&gt;0,I456+N456,"-")</f>
        <v>-</v>
      </c>
      <c r="P456" s="34" t="str">
        <f>IF(J456&gt;0,J456*F456, "-")</f>
        <v>-</v>
      </c>
      <c r="Q456" s="35" t="str">
        <f>IFERROR(IF($N$2&gt;0, $N$2*P456, "-"), "-")</f>
        <v>-</v>
      </c>
      <c r="S456" s="35" t="str">
        <f>IFERROR(IF(Q456+K456=0, "-", IF(Q456&gt;0, Q456+K456, "-")), "-")</f>
        <v>-</v>
      </c>
    </row>
    <row r="457" spans="1:19" x14ac:dyDescent="0.3">
      <c r="A457" s="48">
        <v>4350</v>
      </c>
      <c r="B457" s="22">
        <v>68958043500</v>
      </c>
      <c r="C457" s="11" t="s">
        <v>479</v>
      </c>
      <c r="D457" s="17" t="s">
        <v>476</v>
      </c>
      <c r="E457" s="17" t="s">
        <v>38</v>
      </c>
      <c r="F457" s="37">
        <v>0.12485</v>
      </c>
      <c r="G457" s="17">
        <v>24</v>
      </c>
      <c r="H457" s="43" t="s">
        <v>636</v>
      </c>
      <c r="I457" s="18">
        <v>6.6827907692307686</v>
      </c>
      <c r="J457" s="16"/>
      <c r="K457" s="49">
        <f>I457*J457</f>
        <v>0</v>
      </c>
      <c r="L457" s="36"/>
      <c r="N457" s="33" t="str">
        <f>IFERROR(IF($N$2*F457=0, "-", $N$2*F457), "-")</f>
        <v>-</v>
      </c>
      <c r="O457" s="33" t="str">
        <f>IF(J457&gt;0,I457+N457,"-")</f>
        <v>-</v>
      </c>
      <c r="P457" s="34" t="str">
        <f>IF(J457&gt;0,J457*F457, "-")</f>
        <v>-</v>
      </c>
      <c r="Q457" s="35" t="str">
        <f>IFERROR(IF($N$2&gt;0, $N$2*P457, "-"), "-")</f>
        <v>-</v>
      </c>
      <c r="S457" s="35" t="str">
        <f>IFERROR(IF(Q457+K457=0, "-", IF(Q457&gt;0, Q457+K457, "-")), "-")</f>
        <v>-</v>
      </c>
    </row>
    <row r="458" spans="1:19" x14ac:dyDescent="0.3">
      <c r="A458" s="48">
        <v>4351</v>
      </c>
      <c r="B458" s="22">
        <v>68958043517</v>
      </c>
      <c r="C458" s="11" t="s">
        <v>480</v>
      </c>
      <c r="D458" s="17" t="s">
        <v>481</v>
      </c>
      <c r="E458" s="17" t="s">
        <v>38</v>
      </c>
      <c r="F458" s="37">
        <v>4.4264999999999999E-2</v>
      </c>
      <c r="G458" s="17">
        <v>48</v>
      </c>
      <c r="H458" s="43" t="s">
        <v>636</v>
      </c>
      <c r="I458" s="18">
        <v>5.5420615384615388</v>
      </c>
      <c r="J458" s="16"/>
      <c r="K458" s="49">
        <f>I458*J458</f>
        <v>0</v>
      </c>
      <c r="L458" s="36"/>
      <c r="N458" s="33" t="str">
        <f>IFERROR(IF($N$2*F458=0, "-", $N$2*F458), "-")</f>
        <v>-</v>
      </c>
      <c r="O458" s="33" t="str">
        <f>IF(J458&gt;0,I458+N458,"-")</f>
        <v>-</v>
      </c>
      <c r="P458" s="34" t="str">
        <f>IF(J458&gt;0,J458*F458, "-")</f>
        <v>-</v>
      </c>
      <c r="Q458" s="35" t="str">
        <f>IFERROR(IF($N$2&gt;0, $N$2*P458, "-"), "-")</f>
        <v>-</v>
      </c>
      <c r="S458" s="35" t="str">
        <f>IFERROR(IF(Q458+K458=0, "-", IF(Q458&gt;0, Q458+K458, "-")), "-")</f>
        <v>-</v>
      </c>
    </row>
    <row r="459" spans="1:19" x14ac:dyDescent="0.3">
      <c r="A459" s="48">
        <v>4501</v>
      </c>
      <c r="B459" s="23">
        <v>68958045016</v>
      </c>
      <c r="C459" s="11" t="s">
        <v>482</v>
      </c>
      <c r="D459" s="17">
        <v>90</v>
      </c>
      <c r="E459" s="17" t="s">
        <v>45</v>
      </c>
      <c r="F459" s="37">
        <v>8.058499999999999E-2</v>
      </c>
      <c r="G459" s="17">
        <v>24</v>
      </c>
      <c r="H459" s="43" t="s">
        <v>636</v>
      </c>
      <c r="I459" s="18">
        <v>8.2943584615384616</v>
      </c>
      <c r="J459" s="16"/>
      <c r="K459" s="49">
        <f>I459*J459</f>
        <v>0</v>
      </c>
      <c r="L459" s="36"/>
      <c r="N459" s="33" t="str">
        <f>IFERROR(IF($N$2*F459=0, "-", $N$2*F459), "-")</f>
        <v>-</v>
      </c>
      <c r="O459" s="33" t="str">
        <f>IF(J459&gt;0,I459+N459,"-")</f>
        <v>-</v>
      </c>
      <c r="P459" s="34" t="str">
        <f>IF(J459&gt;0,J459*F459, "-")</f>
        <v>-</v>
      </c>
      <c r="Q459" s="35" t="str">
        <f>IFERROR(IF($N$2&gt;0, $N$2*P459, "-"), "-")</f>
        <v>-</v>
      </c>
      <c r="S459" s="35" t="str">
        <f>IFERROR(IF(Q459+K459=0, "-", IF(Q459&gt;0, Q459+K459, "-")), "-")</f>
        <v>-</v>
      </c>
    </row>
    <row r="460" spans="1:19" x14ac:dyDescent="0.3">
      <c r="A460" s="48">
        <v>4506</v>
      </c>
      <c r="B460" s="22">
        <v>68958045061</v>
      </c>
      <c r="C460" s="11" t="s">
        <v>483</v>
      </c>
      <c r="D460" s="17">
        <v>90</v>
      </c>
      <c r="E460" s="17" t="s">
        <v>107</v>
      </c>
      <c r="F460" s="37">
        <v>0.185005</v>
      </c>
      <c r="G460" s="17">
        <v>24</v>
      </c>
      <c r="H460" s="43" t="s">
        <v>636</v>
      </c>
      <c r="I460" s="18">
        <v>8.8517423076923087</v>
      </c>
      <c r="J460" s="16"/>
      <c r="K460" s="49">
        <f>I460*J460</f>
        <v>0</v>
      </c>
      <c r="L460" s="36"/>
      <c r="N460" s="33" t="str">
        <f>IFERROR(IF($N$2*F460=0, "-", $N$2*F460), "-")</f>
        <v>-</v>
      </c>
      <c r="O460" s="33" t="str">
        <f>IF(J460&gt;0,I460+N460,"-")</f>
        <v>-</v>
      </c>
      <c r="P460" s="34" t="str">
        <f>IF(J460&gt;0,J460*F460, "-")</f>
        <v>-</v>
      </c>
      <c r="Q460" s="35" t="str">
        <f>IFERROR(IF($N$2&gt;0, $N$2*P460, "-"), "-")</f>
        <v>-</v>
      </c>
      <c r="S460" s="35" t="str">
        <f>IFERROR(IF(Q460+K460=0, "-", IF(Q460&gt;0, Q460+K460, "-")), "-")</f>
        <v>-</v>
      </c>
    </row>
    <row r="461" spans="1:19" x14ac:dyDescent="0.3">
      <c r="A461" s="48">
        <v>4507</v>
      </c>
      <c r="B461" s="23">
        <v>68958045078</v>
      </c>
      <c r="C461" s="11" t="s">
        <v>484</v>
      </c>
      <c r="D461" s="17">
        <v>180</v>
      </c>
      <c r="E461" s="17" t="s">
        <v>107</v>
      </c>
      <c r="F461" s="37">
        <v>0.38249500000000003</v>
      </c>
      <c r="G461" s="17">
        <v>12</v>
      </c>
      <c r="H461" s="43" t="s">
        <v>636</v>
      </c>
      <c r="I461" s="18">
        <v>16.310076923076924</v>
      </c>
      <c r="J461" s="16"/>
      <c r="K461" s="49">
        <f>I461*J461</f>
        <v>0</v>
      </c>
      <c r="L461" s="36"/>
      <c r="N461" s="33" t="str">
        <f>IFERROR(IF($N$2*F461=0, "-", $N$2*F461), "-")</f>
        <v>-</v>
      </c>
      <c r="O461" s="33" t="str">
        <f>IF(J461&gt;0,I461+N461,"-")</f>
        <v>-</v>
      </c>
      <c r="P461" s="34" t="str">
        <f>IF(J461&gt;0,J461*F461, "-")</f>
        <v>-</v>
      </c>
      <c r="Q461" s="35" t="str">
        <f>IFERROR(IF($N$2&gt;0, $N$2*P461, "-"), "-")</f>
        <v>-</v>
      </c>
      <c r="S461" s="35" t="str">
        <f>IFERROR(IF(Q461+K461=0, "-", IF(Q461&gt;0, Q461+K461, "-")), "-")</f>
        <v>-</v>
      </c>
    </row>
    <row r="462" spans="1:19" x14ac:dyDescent="0.3">
      <c r="A462" s="48">
        <v>4514</v>
      </c>
      <c r="B462" s="22">
        <v>68958045146</v>
      </c>
      <c r="C462" s="11" t="s">
        <v>488</v>
      </c>
      <c r="D462" s="17">
        <v>90</v>
      </c>
      <c r="E462" s="17" t="s">
        <v>14</v>
      </c>
      <c r="F462" s="37">
        <v>0.21110999999999999</v>
      </c>
      <c r="G462" s="17">
        <v>24</v>
      </c>
      <c r="H462" s="43" t="s">
        <v>636</v>
      </c>
      <c r="I462" s="18">
        <v>10.382164615384617</v>
      </c>
      <c r="J462" s="16"/>
      <c r="K462" s="49">
        <f>I462*J462</f>
        <v>0</v>
      </c>
      <c r="L462" s="36"/>
      <c r="N462" s="33" t="str">
        <f>IFERROR(IF($N$2*F462=0, "-", $N$2*F462), "-")</f>
        <v>-</v>
      </c>
      <c r="O462" s="33" t="str">
        <f>IF(J462&gt;0,I462+N462,"-")</f>
        <v>-</v>
      </c>
      <c r="P462" s="34" t="str">
        <f>IF(J462&gt;0,J462*F462, "-")</f>
        <v>-</v>
      </c>
      <c r="Q462" s="35" t="str">
        <f>IFERROR(IF($N$2&gt;0, $N$2*P462, "-"), "-")</f>
        <v>-</v>
      </c>
      <c r="S462" s="35" t="str">
        <f>IFERROR(IF(Q462+K462=0, "-", IF(Q462&gt;0, Q462+K462, "-")), "-")</f>
        <v>-</v>
      </c>
    </row>
    <row r="463" spans="1:19" x14ac:dyDescent="0.3">
      <c r="A463" s="48">
        <v>4515</v>
      </c>
      <c r="B463" s="22">
        <v>68958045153</v>
      </c>
      <c r="C463" s="11" t="s">
        <v>489</v>
      </c>
      <c r="D463" s="17">
        <v>60</v>
      </c>
      <c r="E463" s="17" t="s">
        <v>54</v>
      </c>
      <c r="F463" s="37">
        <v>5.4480000000000001E-2</v>
      </c>
      <c r="G463" s="17">
        <v>24</v>
      </c>
      <c r="H463" s="43" t="s">
        <v>636</v>
      </c>
      <c r="I463" s="18">
        <v>7.864476923076924</v>
      </c>
      <c r="J463" s="16"/>
      <c r="K463" s="49">
        <f>I463*J463</f>
        <v>0</v>
      </c>
      <c r="L463" s="36"/>
      <c r="N463" s="33" t="str">
        <f>IFERROR(IF($N$2*F463=0, "-", $N$2*F463), "-")</f>
        <v>-</v>
      </c>
      <c r="O463" s="33" t="str">
        <f>IF(J463&gt;0,I463+N463,"-")</f>
        <v>-</v>
      </c>
      <c r="P463" s="34" t="str">
        <f>IF(J463&gt;0,J463*F463, "-")</f>
        <v>-</v>
      </c>
      <c r="Q463" s="35" t="str">
        <f>IFERROR(IF($N$2&gt;0, $N$2*P463, "-"), "-")</f>
        <v>-</v>
      </c>
      <c r="S463" s="35" t="str">
        <f>IFERROR(IF(Q463+K463=0, "-", IF(Q463&gt;0, Q463+K463, "-")), "-")</f>
        <v>-</v>
      </c>
    </row>
    <row r="464" spans="1:19" x14ac:dyDescent="0.3">
      <c r="A464" s="48">
        <v>4517</v>
      </c>
      <c r="B464" s="22">
        <v>68958045177</v>
      </c>
      <c r="C464" s="11" t="s">
        <v>491</v>
      </c>
      <c r="D464" s="17">
        <v>180</v>
      </c>
      <c r="E464" s="17" t="s">
        <v>14</v>
      </c>
      <c r="F464" s="37">
        <v>0.40178999999999998</v>
      </c>
      <c r="G464" s="17">
        <v>24</v>
      </c>
      <c r="H464" s="43" t="s">
        <v>636</v>
      </c>
      <c r="I464" s="18">
        <v>19.431858461538461</v>
      </c>
      <c r="J464" s="16"/>
      <c r="K464" s="49">
        <f>I464*J464</f>
        <v>0</v>
      </c>
      <c r="L464" s="36"/>
      <c r="N464" s="33" t="str">
        <f>IFERROR(IF($N$2*F464=0, "-", $N$2*F464), "-")</f>
        <v>-</v>
      </c>
      <c r="O464" s="33" t="str">
        <f>IF(J464&gt;0,I464+N464,"-")</f>
        <v>-</v>
      </c>
      <c r="P464" s="34" t="str">
        <f>IF(J464&gt;0,J464*F464, "-")</f>
        <v>-</v>
      </c>
      <c r="Q464" s="35" t="str">
        <f>IFERROR(IF($N$2&gt;0, $N$2*P464, "-"), "-")</f>
        <v>-</v>
      </c>
      <c r="S464" s="35" t="str">
        <f>IFERROR(IF(Q464+K464=0, "-", IF(Q464&gt;0, Q464+K464, "-")), "-")</f>
        <v>-</v>
      </c>
    </row>
    <row r="465" spans="1:19" x14ac:dyDescent="0.3">
      <c r="A465" s="48">
        <v>4524</v>
      </c>
      <c r="B465" s="22">
        <v>68958045245</v>
      </c>
      <c r="C465" s="11" t="s">
        <v>492</v>
      </c>
      <c r="D465" s="17">
        <v>90</v>
      </c>
      <c r="E465" s="17" t="s">
        <v>14</v>
      </c>
      <c r="F465" s="37">
        <v>7.2639999999999996E-2</v>
      </c>
      <c r="G465" s="17">
        <v>24</v>
      </c>
      <c r="H465" s="43" t="s">
        <v>636</v>
      </c>
      <c r="I465" s="18">
        <v>6.0222046153846156</v>
      </c>
      <c r="J465" s="16"/>
      <c r="K465" s="49">
        <f>I465*J465</f>
        <v>0</v>
      </c>
      <c r="L465" s="36"/>
      <c r="N465" s="33" t="str">
        <f>IFERROR(IF($N$2*F465=0, "-", $N$2*F465), "-")</f>
        <v>-</v>
      </c>
      <c r="O465" s="33" t="str">
        <f>IF(J465&gt;0,I465+N465,"-")</f>
        <v>-</v>
      </c>
      <c r="P465" s="34" t="str">
        <f>IF(J465&gt;0,J465*F465, "-")</f>
        <v>-</v>
      </c>
      <c r="Q465" s="35" t="str">
        <f>IFERROR(IF($N$2&gt;0, $N$2*P465, "-"), "-")</f>
        <v>-</v>
      </c>
      <c r="S465" s="35" t="str">
        <f>IFERROR(IF(Q465+K465=0, "-", IF(Q465&gt;0, Q465+K465, "-")), "-")</f>
        <v>-</v>
      </c>
    </row>
    <row r="466" spans="1:19" x14ac:dyDescent="0.3">
      <c r="A466" s="48">
        <v>4525</v>
      </c>
      <c r="B466" s="23">
        <v>68958045252</v>
      </c>
      <c r="C466" s="11" t="s">
        <v>493</v>
      </c>
      <c r="D466" s="17">
        <v>90</v>
      </c>
      <c r="E466" s="17" t="s">
        <v>14</v>
      </c>
      <c r="F466" s="37">
        <v>0.23721499999999998</v>
      </c>
      <c r="G466" s="17">
        <v>24</v>
      </c>
      <c r="H466" s="43" t="s">
        <v>636</v>
      </c>
      <c r="I466" s="18">
        <v>11.873166923076925</v>
      </c>
      <c r="J466" s="16"/>
      <c r="K466" s="49">
        <f>I466*J466</f>
        <v>0</v>
      </c>
      <c r="L466" s="36"/>
      <c r="N466" s="33" t="str">
        <f>IFERROR(IF($N$2*F466=0, "-", $N$2*F466), "-")</f>
        <v>-</v>
      </c>
      <c r="O466" s="33" t="str">
        <f>IF(J466&gt;0,I466+N466,"-")</f>
        <v>-</v>
      </c>
      <c r="P466" s="34" t="str">
        <f>IF(J466&gt;0,J466*F466, "-")</f>
        <v>-</v>
      </c>
      <c r="Q466" s="35" t="str">
        <f>IFERROR(IF($N$2&gt;0, $N$2*P466, "-"), "-")</f>
        <v>-</v>
      </c>
      <c r="S466" s="35" t="str">
        <f>IFERROR(IF(Q466+K466=0, "-", IF(Q466&gt;0, Q466+K466, "-")), "-")</f>
        <v>-</v>
      </c>
    </row>
    <row r="467" spans="1:19" x14ac:dyDescent="0.3">
      <c r="A467" s="48">
        <v>4526</v>
      </c>
      <c r="B467" s="23">
        <v>68958045269</v>
      </c>
      <c r="C467" s="11" t="s">
        <v>494</v>
      </c>
      <c r="D467" s="17">
        <v>90</v>
      </c>
      <c r="E467" s="17" t="s">
        <v>54</v>
      </c>
      <c r="F467" s="37">
        <v>8.8529999999999998E-2</v>
      </c>
      <c r="G467" s="17">
        <v>24</v>
      </c>
      <c r="H467" s="43" t="s">
        <v>636</v>
      </c>
      <c r="I467" s="18">
        <v>8.40672</v>
      </c>
      <c r="J467" s="16"/>
      <c r="K467" s="49">
        <f>I467*J467</f>
        <v>0</v>
      </c>
      <c r="L467" s="36"/>
      <c r="N467" s="33" t="str">
        <f>IFERROR(IF($N$2*F467=0, "-", $N$2*F467), "-")</f>
        <v>-</v>
      </c>
      <c r="O467" s="33" t="str">
        <f>IF(J467&gt;0,I467+N467,"-")</f>
        <v>-</v>
      </c>
      <c r="P467" s="34" t="str">
        <f>IF(J467&gt;0,J467*F467, "-")</f>
        <v>-</v>
      </c>
      <c r="Q467" s="35" t="str">
        <f>IFERROR(IF($N$2&gt;0, $N$2*P467, "-"), "-")</f>
        <v>-</v>
      </c>
      <c r="S467" s="35" t="str">
        <f>IFERROR(IF(Q467+K467=0, "-", IF(Q467&gt;0, Q467+K467, "-")), "-")</f>
        <v>-</v>
      </c>
    </row>
    <row r="468" spans="1:19" x14ac:dyDescent="0.3">
      <c r="A468" s="48">
        <v>4527</v>
      </c>
      <c r="B468" s="23">
        <v>68958045276</v>
      </c>
      <c r="C468" s="11" t="s">
        <v>495</v>
      </c>
      <c r="D468" s="17">
        <v>60</v>
      </c>
      <c r="E468" s="17" t="s">
        <v>54</v>
      </c>
      <c r="F468" s="37">
        <v>9.1935000000000003E-2</v>
      </c>
      <c r="G468" s="17">
        <v>24</v>
      </c>
      <c r="H468" s="43" t="s">
        <v>636</v>
      </c>
      <c r="I468" s="18">
        <v>12.003161538461541</v>
      </c>
      <c r="J468" s="16"/>
      <c r="K468" s="49">
        <f>I468*J468</f>
        <v>0</v>
      </c>
      <c r="L468" s="36"/>
      <c r="N468" s="33" t="str">
        <f>IFERROR(IF($N$2*F468=0, "-", $N$2*F468), "-")</f>
        <v>-</v>
      </c>
      <c r="O468" s="33" t="str">
        <f>IF(J468&gt;0,I468+N468,"-")</f>
        <v>-</v>
      </c>
      <c r="P468" s="34" t="str">
        <f>IF(J468&gt;0,J468*F468, "-")</f>
        <v>-</v>
      </c>
      <c r="Q468" s="35" t="str">
        <f>IFERROR(IF($N$2&gt;0, $N$2*P468, "-"), "-")</f>
        <v>-</v>
      </c>
      <c r="S468" s="35" t="str">
        <f>IFERROR(IF(Q468+K468=0, "-", IF(Q468&gt;0, Q468+K468, "-")), "-")</f>
        <v>-</v>
      </c>
    </row>
    <row r="469" spans="1:19" x14ac:dyDescent="0.3">
      <c r="A469" s="48">
        <v>4528</v>
      </c>
      <c r="B469" s="23">
        <v>68958045283</v>
      </c>
      <c r="C469" s="11" t="s">
        <v>496</v>
      </c>
      <c r="D469" s="17">
        <v>90</v>
      </c>
      <c r="E469" s="17" t="s">
        <v>45</v>
      </c>
      <c r="F469" s="37">
        <v>8.058499999999999E-2</v>
      </c>
      <c r="G469" s="17">
        <v>24</v>
      </c>
      <c r="H469" s="43" t="s">
        <v>636</v>
      </c>
      <c r="I469" s="18">
        <v>10.283157692307693</v>
      </c>
      <c r="J469" s="16"/>
      <c r="K469" s="49">
        <f>I469*J469</f>
        <v>0</v>
      </c>
      <c r="L469" s="36"/>
      <c r="N469" s="33" t="str">
        <f>IFERROR(IF($N$2*F469=0, "-", $N$2*F469), "-")</f>
        <v>-</v>
      </c>
      <c r="O469" s="33" t="str">
        <f>IF(J469&gt;0,I469+N469,"-")</f>
        <v>-</v>
      </c>
      <c r="P469" s="34" t="str">
        <f>IF(J469&gt;0,J469*F469, "-")</f>
        <v>-</v>
      </c>
      <c r="Q469" s="35" t="str">
        <f>IFERROR(IF($N$2&gt;0, $N$2*P469, "-"), "-")</f>
        <v>-</v>
      </c>
      <c r="S469" s="35" t="str">
        <f>IFERROR(IF(Q469+K469=0, "-", IF(Q469&gt;0, Q469+K469, "-")), "-")</f>
        <v>-</v>
      </c>
    </row>
    <row r="470" spans="1:19" x14ac:dyDescent="0.3">
      <c r="A470" s="48">
        <v>4530</v>
      </c>
      <c r="B470" s="23">
        <v>68958045306</v>
      </c>
      <c r="C470" s="11" t="s">
        <v>497</v>
      </c>
      <c r="D470" s="17">
        <v>90</v>
      </c>
      <c r="E470" s="17" t="s">
        <v>54</v>
      </c>
      <c r="F470" s="37">
        <v>0.11123000000000001</v>
      </c>
      <c r="G470" s="17">
        <v>24</v>
      </c>
      <c r="H470" s="43" t="s">
        <v>636</v>
      </c>
      <c r="I470" s="18">
        <v>9.9310361538461525</v>
      </c>
      <c r="J470" s="16"/>
      <c r="K470" s="49">
        <f>I470*J470</f>
        <v>0</v>
      </c>
      <c r="L470" s="36"/>
      <c r="N470" s="33" t="str">
        <f>IFERROR(IF($N$2*F470=0, "-", $N$2*F470), "-")</f>
        <v>-</v>
      </c>
      <c r="O470" s="33" t="str">
        <f>IF(J470&gt;0,I470+N470,"-")</f>
        <v>-</v>
      </c>
      <c r="P470" s="34" t="str">
        <f>IF(J470&gt;0,J470*F470, "-")</f>
        <v>-</v>
      </c>
      <c r="Q470" s="35" t="str">
        <f>IFERROR(IF($N$2&gt;0, $N$2*P470, "-"), "-")</f>
        <v>-</v>
      </c>
      <c r="S470" s="35" t="str">
        <f>IFERROR(IF(Q470+K470=0, "-", IF(Q470&gt;0, Q470+K470, "-")), "-")</f>
        <v>-</v>
      </c>
    </row>
    <row r="471" spans="1:19" x14ac:dyDescent="0.3">
      <c r="A471" s="48">
        <v>4531</v>
      </c>
      <c r="B471" s="23">
        <v>68958045313</v>
      </c>
      <c r="C471" s="11" t="s">
        <v>498</v>
      </c>
      <c r="D471" s="17">
        <v>90</v>
      </c>
      <c r="E471" s="17" t="s">
        <v>45</v>
      </c>
      <c r="F471" s="37">
        <v>7.0370000000000002E-2</v>
      </c>
      <c r="G471" s="17">
        <v>24</v>
      </c>
      <c r="H471" s="43" t="s">
        <v>636</v>
      </c>
      <c r="I471" s="18">
        <v>10.752147692307695</v>
      </c>
      <c r="J471" s="16"/>
      <c r="K471" s="49">
        <f>I471*J471</f>
        <v>0</v>
      </c>
      <c r="L471" s="36"/>
      <c r="N471" s="33" t="str">
        <f>IFERROR(IF($N$2*F471=0, "-", $N$2*F471), "-")</f>
        <v>-</v>
      </c>
      <c r="O471" s="33" t="str">
        <f>IF(J471&gt;0,I471+N471,"-")</f>
        <v>-</v>
      </c>
      <c r="P471" s="34" t="str">
        <f>IF(J471&gt;0,J471*F471, "-")</f>
        <v>-</v>
      </c>
      <c r="Q471" s="35" t="str">
        <f>IFERROR(IF($N$2&gt;0, $N$2*P471, "-"), "-")</f>
        <v>-</v>
      </c>
      <c r="S471" s="35" t="str">
        <f>IFERROR(IF(Q471+K471=0, "-", IF(Q471&gt;0, Q471+K471, "-")), "-")</f>
        <v>-</v>
      </c>
    </row>
    <row r="472" spans="1:19" x14ac:dyDescent="0.3">
      <c r="A472" s="48">
        <v>4533</v>
      </c>
      <c r="B472" s="22">
        <v>68958045337</v>
      </c>
      <c r="C472" s="11" t="s">
        <v>499</v>
      </c>
      <c r="D472" s="17">
        <v>120</v>
      </c>
      <c r="E472" s="17" t="s">
        <v>54</v>
      </c>
      <c r="F472" s="37">
        <v>9.0800000000000006E-2</v>
      </c>
      <c r="G472" s="17">
        <v>12</v>
      </c>
      <c r="H472" s="43" t="s">
        <v>636</v>
      </c>
      <c r="I472" s="18">
        <v>7.5917561538461547</v>
      </c>
      <c r="J472" s="16"/>
      <c r="K472" s="49">
        <f>I472*J472</f>
        <v>0</v>
      </c>
      <c r="L472" s="36"/>
      <c r="N472" s="33" t="str">
        <f>IFERROR(IF($N$2*F472=0, "-", $N$2*F472), "-")</f>
        <v>-</v>
      </c>
      <c r="O472" s="33" t="str">
        <f>IF(J472&gt;0,I472+N472,"-")</f>
        <v>-</v>
      </c>
      <c r="P472" s="34" t="str">
        <f>IF(J472&gt;0,J472*F472, "-")</f>
        <v>-</v>
      </c>
      <c r="Q472" s="35" t="str">
        <f>IFERROR(IF($N$2&gt;0, $N$2*P472, "-"), "-")</f>
        <v>-</v>
      </c>
      <c r="S472" s="35" t="str">
        <f>IFERROR(IF(Q472+K472=0, "-", IF(Q472&gt;0, Q472+K472, "-")), "-")</f>
        <v>-</v>
      </c>
    </row>
    <row r="473" spans="1:19" x14ac:dyDescent="0.3">
      <c r="A473" s="48">
        <v>4536</v>
      </c>
      <c r="B473" s="22">
        <v>68958045368</v>
      </c>
      <c r="C473" s="11" t="s">
        <v>500</v>
      </c>
      <c r="D473" s="17">
        <v>90</v>
      </c>
      <c r="E473" s="17" t="s">
        <v>54</v>
      </c>
      <c r="F473" s="37">
        <v>7.1504999999999999E-2</v>
      </c>
      <c r="G473" s="17">
        <v>24</v>
      </c>
      <c r="H473" s="43" t="s">
        <v>636</v>
      </c>
      <c r="I473" s="18">
        <v>5.5574515384615388</v>
      </c>
      <c r="J473" s="16"/>
      <c r="K473" s="49">
        <f>I473*J473</f>
        <v>0</v>
      </c>
      <c r="L473" s="36"/>
      <c r="N473" s="33" t="str">
        <f>IFERROR(IF($N$2*F473=0, "-", $N$2*F473), "-")</f>
        <v>-</v>
      </c>
      <c r="O473" s="33" t="str">
        <f>IF(J473&gt;0,I473+N473,"-")</f>
        <v>-</v>
      </c>
      <c r="P473" s="34" t="str">
        <f>IF(J473&gt;0,J473*F473, "-")</f>
        <v>-</v>
      </c>
      <c r="Q473" s="35" t="str">
        <f>IFERROR(IF($N$2&gt;0, $N$2*P473, "-"), "-")</f>
        <v>-</v>
      </c>
      <c r="S473" s="35" t="str">
        <f>IFERROR(IF(Q473+K473=0, "-", IF(Q473&gt;0, Q473+K473, "-")), "-")</f>
        <v>-</v>
      </c>
    </row>
    <row r="474" spans="1:19" x14ac:dyDescent="0.3">
      <c r="A474" s="48">
        <v>4537</v>
      </c>
      <c r="B474" s="23">
        <v>68958045375</v>
      </c>
      <c r="C474" s="11" t="s">
        <v>501</v>
      </c>
      <c r="D474" s="17">
        <v>90</v>
      </c>
      <c r="E474" s="17" t="s">
        <v>45</v>
      </c>
      <c r="F474" s="37">
        <v>0.116905</v>
      </c>
      <c r="G474" s="17">
        <v>24</v>
      </c>
      <c r="H474" s="43" t="s">
        <v>636</v>
      </c>
      <c r="I474" s="18">
        <v>8.9499184615384628</v>
      </c>
      <c r="J474" s="16"/>
      <c r="K474" s="49">
        <f>I474*J474</f>
        <v>0</v>
      </c>
      <c r="L474" s="36"/>
      <c r="N474" s="33" t="str">
        <f>IFERROR(IF($N$2*F474=0, "-", $N$2*F474), "-")</f>
        <v>-</v>
      </c>
      <c r="O474" s="33" t="str">
        <f>IF(J474&gt;0,I474+N474,"-")</f>
        <v>-</v>
      </c>
      <c r="P474" s="34" t="str">
        <f>IF(J474&gt;0,J474*F474, "-")</f>
        <v>-</v>
      </c>
      <c r="Q474" s="35" t="str">
        <f>IFERROR(IF($N$2&gt;0, $N$2*P474, "-"), "-")</f>
        <v>-</v>
      </c>
      <c r="S474" s="35" t="str">
        <f>IFERROR(IF(Q474+K474=0, "-", IF(Q474&gt;0, Q474+K474, "-")), "-")</f>
        <v>-</v>
      </c>
    </row>
    <row r="475" spans="1:19" x14ac:dyDescent="0.3">
      <c r="A475" s="48">
        <v>4543</v>
      </c>
      <c r="B475" s="23">
        <v>68958045436</v>
      </c>
      <c r="C475" s="11" t="s">
        <v>504</v>
      </c>
      <c r="D475" s="17">
        <v>30</v>
      </c>
      <c r="E475" s="17" t="s">
        <v>45</v>
      </c>
      <c r="F475" s="37">
        <v>5.4480000000000001E-2</v>
      </c>
      <c r="G475" s="17">
        <v>24</v>
      </c>
      <c r="H475" s="43" t="s">
        <v>636</v>
      </c>
      <c r="I475" s="18">
        <v>11.893084615384616</v>
      </c>
      <c r="J475" s="16"/>
      <c r="K475" s="49">
        <f>I475*J475</f>
        <v>0</v>
      </c>
      <c r="L475" s="36"/>
      <c r="N475" s="33" t="str">
        <f>IFERROR(IF($N$2*F475=0, "-", $N$2*F475), "-")</f>
        <v>-</v>
      </c>
      <c r="O475" s="33" t="str">
        <f>IF(J475&gt;0,I475+N475,"-")</f>
        <v>-</v>
      </c>
      <c r="P475" s="34" t="str">
        <f>IF(J475&gt;0,J475*F475, "-")</f>
        <v>-</v>
      </c>
      <c r="Q475" s="35" t="str">
        <f>IFERROR(IF($N$2&gt;0, $N$2*P475, "-"), "-")</f>
        <v>-</v>
      </c>
      <c r="S475" s="35" t="str">
        <f>IFERROR(IF(Q475+K475=0, "-", IF(Q475&gt;0, Q475+K475, "-")), "-")</f>
        <v>-</v>
      </c>
    </row>
    <row r="476" spans="1:19" x14ac:dyDescent="0.3">
      <c r="A476" s="48">
        <v>4544</v>
      </c>
      <c r="B476" s="22">
        <v>68958045443</v>
      </c>
      <c r="C476" s="11" t="s">
        <v>505</v>
      </c>
      <c r="D476" s="17">
        <v>60</v>
      </c>
      <c r="E476" s="17" t="s">
        <v>45</v>
      </c>
      <c r="F476" s="37">
        <v>7.2639999999999996E-2</v>
      </c>
      <c r="G476" s="17">
        <v>24</v>
      </c>
      <c r="H476" s="43" t="s">
        <v>636</v>
      </c>
      <c r="I476" s="18">
        <v>18.670396153846152</v>
      </c>
      <c r="J476" s="16"/>
      <c r="K476" s="49">
        <f>I476*J476</f>
        <v>0</v>
      </c>
      <c r="L476" s="36"/>
      <c r="N476" s="33" t="str">
        <f>IFERROR(IF($N$2*F476=0, "-", $N$2*F476), "-")</f>
        <v>-</v>
      </c>
      <c r="O476" s="33" t="str">
        <f>IF(J476&gt;0,I476+N476,"-")</f>
        <v>-</v>
      </c>
      <c r="P476" s="34" t="str">
        <f>IF(J476&gt;0,J476*F476, "-")</f>
        <v>-</v>
      </c>
      <c r="Q476" s="35" t="str">
        <f>IFERROR(IF($N$2&gt;0, $N$2*P476, "-"), "-")</f>
        <v>-</v>
      </c>
      <c r="S476" s="35" t="str">
        <f>IFERROR(IF(Q476+K476=0, "-", IF(Q476&gt;0, Q476+K476, "-")), "-")</f>
        <v>-</v>
      </c>
    </row>
    <row r="477" spans="1:19" x14ac:dyDescent="0.3">
      <c r="A477" s="48">
        <v>4545</v>
      </c>
      <c r="B477" s="22">
        <v>68958045450</v>
      </c>
      <c r="C477" s="11" t="s">
        <v>506</v>
      </c>
      <c r="D477" s="17">
        <v>180</v>
      </c>
      <c r="E477" s="17" t="s">
        <v>45</v>
      </c>
      <c r="F477" s="37">
        <v>0.45059500000000002</v>
      </c>
      <c r="G477" s="17">
        <v>24</v>
      </c>
      <c r="H477" s="43" t="s">
        <v>636</v>
      </c>
      <c r="I477" s="18">
        <v>23.004706153846154</v>
      </c>
      <c r="J477" s="16"/>
      <c r="K477" s="49">
        <f>I477*J477</f>
        <v>0</v>
      </c>
      <c r="L477" s="36"/>
      <c r="N477" s="33" t="str">
        <f>IFERROR(IF($N$2*F477=0, "-", $N$2*F477), "-")</f>
        <v>-</v>
      </c>
      <c r="O477" s="33" t="str">
        <f>IF(J477&gt;0,I477+N477,"-")</f>
        <v>-</v>
      </c>
      <c r="P477" s="34" t="str">
        <f>IF(J477&gt;0,J477*F477, "-")</f>
        <v>-</v>
      </c>
      <c r="Q477" s="35" t="str">
        <f>IFERROR(IF($N$2&gt;0, $N$2*P477, "-"), "-")</f>
        <v>-</v>
      </c>
      <c r="S477" s="35" t="str">
        <f>IFERROR(IF(Q477+K477=0, "-", IF(Q477&gt;0, Q477+K477, "-")), "-")</f>
        <v>-</v>
      </c>
    </row>
    <row r="478" spans="1:19" x14ac:dyDescent="0.3">
      <c r="A478" s="48">
        <v>4547</v>
      </c>
      <c r="B478" s="23">
        <v>627765045475</v>
      </c>
      <c r="C478" s="11" t="s">
        <v>507</v>
      </c>
      <c r="D478" s="17">
        <v>120</v>
      </c>
      <c r="E478" s="17" t="s">
        <v>14</v>
      </c>
      <c r="F478" s="37">
        <v>0.24288999999999999</v>
      </c>
      <c r="G478" s="17">
        <v>12</v>
      </c>
      <c r="H478" s="43" t="s">
        <v>636</v>
      </c>
      <c r="I478" s="18">
        <v>9.693332307692307</v>
      </c>
      <c r="J478" s="16"/>
      <c r="K478" s="49">
        <f>I478*J478</f>
        <v>0</v>
      </c>
      <c r="L478" s="36"/>
      <c r="N478" s="33" t="str">
        <f>IFERROR(IF($N$2*F478=0, "-", $N$2*F478), "-")</f>
        <v>-</v>
      </c>
      <c r="O478" s="33" t="str">
        <f>IF(J478&gt;0,I478+N478,"-")</f>
        <v>-</v>
      </c>
      <c r="P478" s="34" t="str">
        <f>IF(J478&gt;0,J478*F478, "-")</f>
        <v>-</v>
      </c>
      <c r="Q478" s="35" t="str">
        <f>IFERROR(IF($N$2&gt;0, $N$2*P478, "-"), "-")</f>
        <v>-</v>
      </c>
      <c r="S478" s="35" t="str">
        <f>IFERROR(IF(Q478+K478=0, "-", IF(Q478&gt;0, Q478+K478, "-")), "-")</f>
        <v>-</v>
      </c>
    </row>
    <row r="479" spans="1:19" x14ac:dyDescent="0.3">
      <c r="A479" s="48">
        <v>4548</v>
      </c>
      <c r="B479" s="22">
        <v>68958045481</v>
      </c>
      <c r="C479" s="11" t="s">
        <v>508</v>
      </c>
      <c r="D479" s="17">
        <v>120</v>
      </c>
      <c r="E479" s="17" t="s">
        <v>45</v>
      </c>
      <c r="F479" s="37">
        <v>0.11123000000000001</v>
      </c>
      <c r="G479" s="17">
        <v>24</v>
      </c>
      <c r="H479" s="43" t="s">
        <v>636</v>
      </c>
      <c r="I479" s="18">
        <v>32.110310769230772</v>
      </c>
      <c r="J479" s="16"/>
      <c r="K479" s="49">
        <f>I479*J479</f>
        <v>0</v>
      </c>
      <c r="L479" s="36"/>
      <c r="N479" s="33" t="str">
        <f>IFERROR(IF($N$2*F479=0, "-", $N$2*F479), "-")</f>
        <v>-</v>
      </c>
      <c r="O479" s="33" t="str">
        <f>IF(J479&gt;0,I479+N479,"-")</f>
        <v>-</v>
      </c>
      <c r="P479" s="34" t="str">
        <f>IF(J479&gt;0,J479*F479, "-")</f>
        <v>-</v>
      </c>
      <c r="Q479" s="35" t="str">
        <f>IFERROR(IF($N$2&gt;0, $N$2*P479, "-"), "-")</f>
        <v>-</v>
      </c>
      <c r="S479" s="35" t="str">
        <f>IFERROR(IF(Q479+K479=0, "-", IF(Q479&gt;0, Q479+K479, "-")), "-")</f>
        <v>-</v>
      </c>
    </row>
    <row r="480" spans="1:19" x14ac:dyDescent="0.3">
      <c r="A480" s="48">
        <v>4549</v>
      </c>
      <c r="B480" s="22">
        <v>68958045498</v>
      </c>
      <c r="C480" s="11" t="s">
        <v>509</v>
      </c>
      <c r="D480" s="17">
        <v>150</v>
      </c>
      <c r="E480" s="17" t="s">
        <v>130</v>
      </c>
      <c r="F480" s="37">
        <v>0.241755</v>
      </c>
      <c r="G480" s="17">
        <v>12</v>
      </c>
      <c r="H480" s="43" t="s">
        <v>636</v>
      </c>
      <c r="I480" s="18">
        <v>14.679484615384618</v>
      </c>
      <c r="J480" s="16"/>
      <c r="K480" s="49">
        <f>I480*J480</f>
        <v>0</v>
      </c>
      <c r="L480" s="36"/>
      <c r="N480" s="33" t="str">
        <f>IFERROR(IF($N$2*F480=0, "-", $N$2*F480), "-")</f>
        <v>-</v>
      </c>
      <c r="O480" s="33" t="str">
        <f>IF(J480&gt;0,I480+N480,"-")</f>
        <v>-</v>
      </c>
      <c r="P480" s="34" t="str">
        <f>IF(J480&gt;0,J480*F480, "-")</f>
        <v>-</v>
      </c>
      <c r="Q480" s="35" t="str">
        <f>IFERROR(IF($N$2&gt;0, $N$2*P480, "-"), "-")</f>
        <v>-</v>
      </c>
      <c r="S480" s="35" t="str">
        <f>IFERROR(IF(Q480+K480=0, "-", IF(Q480&gt;0, Q480+K480, "-")), "-")</f>
        <v>-</v>
      </c>
    </row>
    <row r="481" spans="1:19" x14ac:dyDescent="0.3">
      <c r="A481" s="48">
        <v>4552</v>
      </c>
      <c r="B481" s="22">
        <v>68958045528</v>
      </c>
      <c r="C481" s="11" t="s">
        <v>510</v>
      </c>
      <c r="D481" s="17">
        <v>90</v>
      </c>
      <c r="E481" s="17" t="s">
        <v>14</v>
      </c>
      <c r="F481" s="37">
        <v>0.103285</v>
      </c>
      <c r="G481" s="17">
        <v>24</v>
      </c>
      <c r="H481" s="43" t="s">
        <v>636</v>
      </c>
      <c r="I481" s="18">
        <v>14.507889230769234</v>
      </c>
      <c r="J481" s="16"/>
      <c r="K481" s="49">
        <f>I481*J481</f>
        <v>0</v>
      </c>
      <c r="L481" s="36"/>
      <c r="N481" s="33" t="str">
        <f>IFERROR(IF($N$2*F481=0, "-", $N$2*F481), "-")</f>
        <v>-</v>
      </c>
      <c r="O481" s="33" t="str">
        <f>IF(J481&gt;0,I481+N481,"-")</f>
        <v>-</v>
      </c>
      <c r="P481" s="34" t="str">
        <f>IF(J481&gt;0,J481*F481, "-")</f>
        <v>-</v>
      </c>
      <c r="Q481" s="35" t="str">
        <f>IFERROR(IF($N$2&gt;0, $N$2*P481, "-"), "-")</f>
        <v>-</v>
      </c>
      <c r="S481" s="35" t="str">
        <f>IFERROR(IF(Q481+K481=0, "-", IF(Q481&gt;0, Q481+K481, "-")), "-")</f>
        <v>-</v>
      </c>
    </row>
    <row r="482" spans="1:19" hidden="1" x14ac:dyDescent="0.3">
      <c r="A482" s="48">
        <v>4553</v>
      </c>
      <c r="B482" s="22">
        <v>68958045535</v>
      </c>
      <c r="C482" s="11" t="s">
        <v>511</v>
      </c>
      <c r="D482" s="17">
        <v>60</v>
      </c>
      <c r="E482" s="17" t="s">
        <v>45</v>
      </c>
      <c r="F482" s="37"/>
      <c r="G482" s="17">
        <v>12</v>
      </c>
      <c r="H482" s="43" t="s">
        <v>636</v>
      </c>
      <c r="I482" s="18">
        <v>31.435601538461537</v>
      </c>
      <c r="J482" s="16"/>
      <c r="K482" s="49">
        <f>I482*J482</f>
        <v>0</v>
      </c>
      <c r="L482" s="36"/>
      <c r="N482" s="33" t="str">
        <f>IFERROR(IF($N$2*F482=0, "-", $N$2*F482), "-")</f>
        <v>-</v>
      </c>
      <c r="O482" s="33" t="str">
        <f>IF(J482&gt;0,I482+N482,"-")</f>
        <v>-</v>
      </c>
      <c r="P482" s="34" t="str">
        <f>IF(J482&gt;0,J482*F482, "-")</f>
        <v>-</v>
      </c>
      <c r="Q482" s="35" t="str">
        <f>IFERROR(IF($N$2&gt;0, $N$2*P482, "-"), "-")</f>
        <v>-</v>
      </c>
      <c r="S482" s="35" t="str">
        <f>IFERROR(IF(Q482+K482=0, "-", IF(Q482&gt;0, Q482+K482, "-")), "-")</f>
        <v>-</v>
      </c>
    </row>
    <row r="483" spans="1:19" x14ac:dyDescent="0.3">
      <c r="A483" s="48">
        <v>4554</v>
      </c>
      <c r="B483" s="23">
        <v>68958045542</v>
      </c>
      <c r="C483" s="11" t="s">
        <v>512</v>
      </c>
      <c r="D483" s="17">
        <v>60</v>
      </c>
      <c r="E483" s="17" t="s">
        <v>45</v>
      </c>
      <c r="F483" s="37">
        <v>0.103285</v>
      </c>
      <c r="G483" s="17">
        <v>24</v>
      </c>
      <c r="H483" s="43" t="s">
        <v>636</v>
      </c>
      <c r="I483" s="18">
        <v>19.257791538461543</v>
      </c>
      <c r="J483" s="16"/>
      <c r="K483" s="49">
        <f>I483*J483</f>
        <v>0</v>
      </c>
      <c r="L483" s="36"/>
      <c r="N483" s="33" t="str">
        <f>IFERROR(IF($N$2*F483=0, "-", $N$2*F483), "-")</f>
        <v>-</v>
      </c>
      <c r="O483" s="33" t="str">
        <f>IF(J483&gt;0,I483+N483,"-")</f>
        <v>-</v>
      </c>
      <c r="P483" s="34" t="str">
        <f>IF(J483&gt;0,J483*F483, "-")</f>
        <v>-</v>
      </c>
      <c r="Q483" s="35" t="str">
        <f>IFERROR(IF($N$2&gt;0, $N$2*P483, "-"), "-")</f>
        <v>-</v>
      </c>
      <c r="S483" s="35" t="str">
        <f>IFERROR(IF(Q483+K483=0, "-", IF(Q483&gt;0, Q483+K483, "-")), "-")</f>
        <v>-</v>
      </c>
    </row>
    <row r="484" spans="1:19" x14ac:dyDescent="0.3">
      <c r="A484" s="48">
        <v>4558</v>
      </c>
      <c r="B484" s="23">
        <v>627765045581</v>
      </c>
      <c r="C484" s="11" t="s">
        <v>513</v>
      </c>
      <c r="D484" s="17">
        <v>60</v>
      </c>
      <c r="E484" s="17" t="s">
        <v>45</v>
      </c>
      <c r="F484" s="37">
        <v>6.8099999999999994E-2</v>
      </c>
      <c r="G484" s="17">
        <v>24</v>
      </c>
      <c r="H484" s="43" t="s">
        <v>636</v>
      </c>
      <c r="I484" s="18">
        <v>12.073486153846154</v>
      </c>
      <c r="J484" s="16"/>
      <c r="K484" s="49">
        <f>I484*J484</f>
        <v>0</v>
      </c>
      <c r="L484" s="36"/>
      <c r="N484" s="33" t="str">
        <f>IFERROR(IF($N$2*F484=0, "-", $N$2*F484), "-")</f>
        <v>-</v>
      </c>
      <c r="O484" s="33" t="str">
        <f>IF(J484&gt;0,I484+N484,"-")</f>
        <v>-</v>
      </c>
      <c r="P484" s="34" t="str">
        <f>IF(J484&gt;0,J484*F484, "-")</f>
        <v>-</v>
      </c>
      <c r="Q484" s="35" t="str">
        <f>IFERROR(IF($N$2&gt;0, $N$2*P484, "-"), "-")</f>
        <v>-</v>
      </c>
      <c r="S484" s="35" t="str">
        <f>IFERROR(IF(Q484+K484=0, "-", IF(Q484&gt;0, Q484+K484, "-")), "-")</f>
        <v>-</v>
      </c>
    </row>
    <row r="485" spans="1:19" x14ac:dyDescent="0.3">
      <c r="A485" s="48">
        <v>4559</v>
      </c>
      <c r="B485" s="23">
        <v>627765045598</v>
      </c>
      <c r="C485" s="11" t="s">
        <v>514</v>
      </c>
      <c r="D485" s="17">
        <v>90</v>
      </c>
      <c r="E485" s="17" t="s">
        <v>107</v>
      </c>
      <c r="F485" s="37">
        <v>0.24515999999999999</v>
      </c>
      <c r="G485" s="17">
        <v>24</v>
      </c>
      <c r="H485" s="43" t="s">
        <v>636</v>
      </c>
      <c r="I485" s="18">
        <v>12.751684615384617</v>
      </c>
      <c r="J485" s="16"/>
      <c r="K485" s="49">
        <f>I485*J485</f>
        <v>0</v>
      </c>
      <c r="L485" s="36"/>
      <c r="N485" s="33" t="str">
        <f>IFERROR(IF($N$2*F485=0, "-", $N$2*F485), "-")</f>
        <v>-</v>
      </c>
      <c r="O485" s="33" t="str">
        <f>IF(J485&gt;0,I485+N485,"-")</f>
        <v>-</v>
      </c>
      <c r="P485" s="34" t="str">
        <f>IF(J485&gt;0,J485*F485, "-")</f>
        <v>-</v>
      </c>
      <c r="Q485" s="35" t="str">
        <f>IFERROR(IF($N$2&gt;0, $N$2*P485, "-"), "-")</f>
        <v>-</v>
      </c>
      <c r="S485" s="35" t="str">
        <f>IFERROR(IF(Q485+K485=0, "-", IF(Q485&gt;0, Q485+K485, "-")), "-")</f>
        <v>-</v>
      </c>
    </row>
    <row r="486" spans="1:19" hidden="1" x14ac:dyDescent="0.3">
      <c r="A486" s="48" t="s">
        <v>12</v>
      </c>
      <c r="B486" s="23"/>
      <c r="C486" s="11" t="s">
        <v>515</v>
      </c>
      <c r="D486" s="17">
        <v>30</v>
      </c>
      <c r="E486" s="17" t="s">
        <v>107</v>
      </c>
      <c r="F486" s="37"/>
      <c r="G486" s="17">
        <v>12</v>
      </c>
      <c r="H486" s="43" t="s">
        <v>636</v>
      </c>
      <c r="I486" s="18">
        <v>6.1535284615384622</v>
      </c>
      <c r="J486" s="16"/>
      <c r="K486" s="49">
        <f>I486*J486</f>
        <v>0</v>
      </c>
      <c r="L486" s="36"/>
      <c r="N486" s="33" t="str">
        <f>IFERROR(IF($N$2*F486=0, "-", $N$2*F486), "-")</f>
        <v>-</v>
      </c>
      <c r="O486" s="33" t="str">
        <f>IF(J486&gt;0,I486+N486,"-")</f>
        <v>-</v>
      </c>
      <c r="P486" s="34" t="str">
        <f>IF(J486&gt;0,J486*F486, "-")</f>
        <v>-</v>
      </c>
      <c r="Q486" s="35" t="str">
        <f>IFERROR(IF($N$2&gt;0, $N$2*P486, "-"), "-")</f>
        <v>-</v>
      </c>
      <c r="S486" s="35" t="str">
        <f>IFERROR(IF(Q486+K486=0, "-", IF(Q486&gt;0, Q486+K486, "-")), "-")</f>
        <v>-</v>
      </c>
    </row>
    <row r="487" spans="1:19" x14ac:dyDescent="0.3">
      <c r="A487" s="48">
        <v>4565</v>
      </c>
      <c r="B487" s="23">
        <v>68958045658</v>
      </c>
      <c r="C487" s="11" t="s">
        <v>516</v>
      </c>
      <c r="D487" s="17">
        <v>90</v>
      </c>
      <c r="E487" s="17" t="s">
        <v>54</v>
      </c>
      <c r="F487" s="37">
        <v>7.3775000000000007E-2</v>
      </c>
      <c r="G487" s="17">
        <v>24</v>
      </c>
      <c r="H487" s="43" t="s">
        <v>636</v>
      </c>
      <c r="I487" s="18">
        <v>14.112630000000003</v>
      </c>
      <c r="J487" s="16"/>
      <c r="K487" s="49">
        <f>I487*J487</f>
        <v>0</v>
      </c>
      <c r="L487" s="36"/>
      <c r="N487" s="33" t="str">
        <f>IFERROR(IF($N$2*F487=0, "-", $N$2*F487), "-")</f>
        <v>-</v>
      </c>
      <c r="O487" s="33" t="str">
        <f>IF(J487&gt;0,I487+N487,"-")</f>
        <v>-</v>
      </c>
      <c r="P487" s="34" t="str">
        <f>IF(J487&gt;0,J487*F487, "-")</f>
        <v>-</v>
      </c>
      <c r="Q487" s="35" t="str">
        <f>IFERROR(IF($N$2&gt;0, $N$2*P487, "-"), "-")</f>
        <v>-</v>
      </c>
      <c r="S487" s="35" t="str">
        <f>IFERROR(IF(Q487+K487=0, "-", IF(Q487&gt;0, Q487+K487, "-")), "-")</f>
        <v>-</v>
      </c>
    </row>
    <row r="488" spans="1:19" x14ac:dyDescent="0.3">
      <c r="A488" s="48">
        <v>4570</v>
      </c>
      <c r="B488" s="22">
        <v>68958045702</v>
      </c>
      <c r="C488" s="11" t="s">
        <v>517</v>
      </c>
      <c r="D488" s="17">
        <v>90</v>
      </c>
      <c r="E488" s="17" t="s">
        <v>54</v>
      </c>
      <c r="F488" s="37">
        <v>0.12257999999999999</v>
      </c>
      <c r="G488" s="17">
        <v>24</v>
      </c>
      <c r="H488" s="43" t="s">
        <v>636</v>
      </c>
      <c r="I488" s="18">
        <v>7.0567823076923082</v>
      </c>
      <c r="J488" s="16"/>
      <c r="K488" s="49">
        <f>I488*J488</f>
        <v>0</v>
      </c>
      <c r="L488" s="36"/>
      <c r="N488" s="33" t="str">
        <f>IFERROR(IF($N$2*F488=0, "-", $N$2*F488), "-")</f>
        <v>-</v>
      </c>
      <c r="O488" s="33" t="str">
        <f>IF(J488&gt;0,I488+N488,"-")</f>
        <v>-</v>
      </c>
      <c r="P488" s="34" t="str">
        <f>IF(J488&gt;0,J488*F488, "-")</f>
        <v>-</v>
      </c>
      <c r="Q488" s="35" t="str">
        <f>IFERROR(IF($N$2&gt;0, $N$2*P488, "-"), "-")</f>
        <v>-</v>
      </c>
      <c r="S488" s="35" t="str">
        <f>IFERROR(IF(Q488+K488=0, "-", IF(Q488&gt;0, Q488+K488, "-")), "-")</f>
        <v>-</v>
      </c>
    </row>
    <row r="489" spans="1:19" x14ac:dyDescent="0.3">
      <c r="A489" s="48">
        <v>4571</v>
      </c>
      <c r="B489" s="22">
        <v>68958045719</v>
      </c>
      <c r="C489" s="11" t="s">
        <v>518</v>
      </c>
      <c r="D489" s="17" t="s">
        <v>519</v>
      </c>
      <c r="E489" s="17" t="s">
        <v>38</v>
      </c>
      <c r="F489" s="37">
        <v>8.8529999999999998E-2</v>
      </c>
      <c r="G489" s="17">
        <v>12</v>
      </c>
      <c r="H489" s="43" t="s">
        <v>636</v>
      </c>
      <c r="I489" s="18">
        <v>7.7639538461538464</v>
      </c>
      <c r="J489" s="16"/>
      <c r="K489" s="49">
        <f>I489*J489</f>
        <v>0</v>
      </c>
      <c r="L489" s="36"/>
      <c r="N489" s="33" t="str">
        <f>IFERROR(IF($N$2*F489=0, "-", $N$2*F489), "-")</f>
        <v>-</v>
      </c>
      <c r="O489" s="33" t="str">
        <f>IF(J489&gt;0,I489+N489,"-")</f>
        <v>-</v>
      </c>
      <c r="P489" s="34" t="str">
        <f>IF(J489&gt;0,J489*F489, "-")</f>
        <v>-</v>
      </c>
      <c r="Q489" s="35" t="str">
        <f>IFERROR(IF($N$2&gt;0, $N$2*P489, "-"), "-")</f>
        <v>-</v>
      </c>
      <c r="S489" s="35" t="str">
        <f>IFERROR(IF(Q489+K489=0, "-", IF(Q489&gt;0, Q489+K489, "-")), "-")</f>
        <v>-</v>
      </c>
    </row>
    <row r="490" spans="1:19" x14ac:dyDescent="0.3">
      <c r="A490" s="48">
        <v>4572</v>
      </c>
      <c r="B490" s="22">
        <v>68958045726</v>
      </c>
      <c r="C490" s="11" t="s">
        <v>520</v>
      </c>
      <c r="D490" s="17" t="s">
        <v>521</v>
      </c>
      <c r="E490" s="17" t="s">
        <v>38</v>
      </c>
      <c r="F490" s="37">
        <v>0.17024999999999998</v>
      </c>
      <c r="G490" s="17">
        <v>24</v>
      </c>
      <c r="H490" s="43" t="s">
        <v>636</v>
      </c>
      <c r="I490" s="18">
        <v>10.53753923076923</v>
      </c>
      <c r="J490" s="16"/>
      <c r="K490" s="49">
        <f>I490*J490</f>
        <v>0</v>
      </c>
      <c r="L490" s="36"/>
      <c r="N490" s="33" t="str">
        <f>IFERROR(IF($N$2*F490=0, "-", $N$2*F490), "-")</f>
        <v>-</v>
      </c>
      <c r="O490" s="33" t="str">
        <f>IF(J490&gt;0,I490+N490,"-")</f>
        <v>-</v>
      </c>
      <c r="P490" s="34" t="str">
        <f>IF(J490&gt;0,J490*F490, "-")</f>
        <v>-</v>
      </c>
      <c r="Q490" s="35" t="str">
        <f>IFERROR(IF($N$2&gt;0, $N$2*P490, "-"), "-")</f>
        <v>-</v>
      </c>
      <c r="S490" s="35" t="str">
        <f>IFERROR(IF(Q490+K490=0, "-", IF(Q490&gt;0, Q490+K490, "-")), "-")</f>
        <v>-</v>
      </c>
    </row>
    <row r="491" spans="1:19" x14ac:dyDescent="0.3">
      <c r="A491" s="48">
        <v>4573</v>
      </c>
      <c r="B491" s="23">
        <v>68958045733</v>
      </c>
      <c r="C491" s="11" t="s">
        <v>522</v>
      </c>
      <c r="D491" s="17">
        <v>30</v>
      </c>
      <c r="E491" s="17" t="s">
        <v>14</v>
      </c>
      <c r="F491" s="37">
        <v>4.1994999999999998E-2</v>
      </c>
      <c r="G491" s="17">
        <v>24</v>
      </c>
      <c r="H491" s="43" t="s">
        <v>636</v>
      </c>
      <c r="I491" s="18">
        <v>4.260641538461539</v>
      </c>
      <c r="J491" s="16"/>
      <c r="K491" s="49">
        <f>I491*J491</f>
        <v>0</v>
      </c>
      <c r="L491" s="36"/>
      <c r="N491" s="33" t="str">
        <f>IFERROR(IF($N$2*F491=0, "-", $N$2*F491), "-")</f>
        <v>-</v>
      </c>
      <c r="O491" s="33" t="str">
        <f>IF(J491&gt;0,I491+N491,"-")</f>
        <v>-</v>
      </c>
      <c r="P491" s="34" t="str">
        <f>IF(J491&gt;0,J491*F491, "-")</f>
        <v>-</v>
      </c>
      <c r="Q491" s="35" t="str">
        <f>IFERROR(IF($N$2&gt;0, $N$2*P491, "-"), "-")</f>
        <v>-</v>
      </c>
      <c r="S491" s="35" t="str">
        <f>IFERROR(IF(Q491+K491=0, "-", IF(Q491&gt;0, Q491+K491, "-")), "-")</f>
        <v>-</v>
      </c>
    </row>
    <row r="492" spans="1:19" x14ac:dyDescent="0.3">
      <c r="A492" s="48">
        <v>4575</v>
      </c>
      <c r="B492" s="23">
        <v>627765045758</v>
      </c>
      <c r="C492" s="11" t="s">
        <v>524</v>
      </c>
      <c r="D492" s="17">
        <v>15</v>
      </c>
      <c r="E492" s="17" t="s">
        <v>38</v>
      </c>
      <c r="F492" s="37">
        <v>4.9939999999999998E-2</v>
      </c>
      <c r="G492" s="17">
        <v>12</v>
      </c>
      <c r="H492" s="43" t="s">
        <v>636</v>
      </c>
      <c r="I492" s="18">
        <v>6.4783176923076935</v>
      </c>
      <c r="J492" s="16"/>
      <c r="K492" s="49">
        <f>I492*J492</f>
        <v>0</v>
      </c>
      <c r="L492" s="36"/>
      <c r="N492" s="33" t="str">
        <f>IFERROR(IF($N$2*F492=0, "-", $N$2*F492), "-")</f>
        <v>-</v>
      </c>
      <c r="O492" s="33" t="str">
        <f>IF(J492&gt;0,I492+N492,"-")</f>
        <v>-</v>
      </c>
      <c r="P492" s="34" t="str">
        <f>IF(J492&gt;0,J492*F492, "-")</f>
        <v>-</v>
      </c>
      <c r="Q492" s="35" t="str">
        <f>IFERROR(IF($N$2&gt;0, $N$2*P492, "-"), "-")</f>
        <v>-</v>
      </c>
      <c r="S492" s="35" t="str">
        <f>IFERROR(IF(Q492+K492=0, "-", IF(Q492&gt;0, Q492+K492, "-")), "-")</f>
        <v>-</v>
      </c>
    </row>
    <row r="493" spans="1:19" x14ac:dyDescent="0.3">
      <c r="A493" s="48">
        <v>4585</v>
      </c>
      <c r="B493" s="23">
        <v>627765045857</v>
      </c>
      <c r="C493" s="11" t="s">
        <v>526</v>
      </c>
      <c r="D493" s="17">
        <v>120</v>
      </c>
      <c r="E493" s="17" t="s">
        <v>14</v>
      </c>
      <c r="F493" s="37">
        <v>0.37001000000000001</v>
      </c>
      <c r="G493" s="17">
        <v>12</v>
      </c>
      <c r="H493" s="43" t="s">
        <v>636</v>
      </c>
      <c r="I493" s="18">
        <v>37.623419999999996</v>
      </c>
      <c r="J493" s="16"/>
      <c r="K493" s="49">
        <f>I493*J493</f>
        <v>0</v>
      </c>
      <c r="L493" s="36"/>
      <c r="N493" s="33" t="str">
        <f>IFERROR(IF($N$2*F493=0, "-", $N$2*F493), "-")</f>
        <v>-</v>
      </c>
      <c r="O493" s="33" t="str">
        <f>IF(J493&gt;0,I493+N493,"-")</f>
        <v>-</v>
      </c>
      <c r="P493" s="34" t="str">
        <f>IF(J493&gt;0,J493*F493, "-")</f>
        <v>-</v>
      </c>
      <c r="Q493" s="35" t="str">
        <f>IFERROR(IF($N$2&gt;0, $N$2*P493, "-"), "-")</f>
        <v>-</v>
      </c>
      <c r="S493" s="35" t="str">
        <f>IFERROR(IF(Q493+K493=0, "-", IF(Q493&gt;0, Q493+K493, "-")), "-")</f>
        <v>-</v>
      </c>
    </row>
    <row r="494" spans="1:19" x14ac:dyDescent="0.3">
      <c r="A494" s="48">
        <v>4590</v>
      </c>
      <c r="B494" s="23">
        <v>68958045900</v>
      </c>
      <c r="C494" s="11" t="s">
        <v>527</v>
      </c>
      <c r="D494" s="17">
        <v>60</v>
      </c>
      <c r="E494" s="17" t="s">
        <v>54</v>
      </c>
      <c r="F494" s="37">
        <v>6.8099999999999994E-2</v>
      </c>
      <c r="G494" s="17">
        <v>24</v>
      </c>
      <c r="H494" s="43" t="s">
        <v>636</v>
      </c>
      <c r="I494" s="18">
        <v>9.1774869230769234</v>
      </c>
      <c r="J494" s="16"/>
      <c r="K494" s="49">
        <f>I494*J494</f>
        <v>0</v>
      </c>
      <c r="L494" s="36"/>
      <c r="N494" s="33" t="str">
        <f>IFERROR(IF($N$2*F494=0, "-", $N$2*F494), "-")</f>
        <v>-</v>
      </c>
      <c r="O494" s="33" t="str">
        <f>IF(J494&gt;0,I494+N494,"-")</f>
        <v>-</v>
      </c>
      <c r="P494" s="34" t="str">
        <f>IF(J494&gt;0,J494*F494, "-")</f>
        <v>-</v>
      </c>
      <c r="Q494" s="35" t="str">
        <f>IFERROR(IF($N$2&gt;0, $N$2*P494, "-"), "-")</f>
        <v>-</v>
      </c>
      <c r="S494" s="35" t="str">
        <f>IFERROR(IF(Q494+K494=0, "-", IF(Q494&gt;0, Q494+K494, "-")), "-")</f>
        <v>-</v>
      </c>
    </row>
    <row r="495" spans="1:19" x14ac:dyDescent="0.3">
      <c r="A495" s="48">
        <v>4630</v>
      </c>
      <c r="B495" s="23">
        <v>68958046303</v>
      </c>
      <c r="C495" s="11" t="s">
        <v>528</v>
      </c>
      <c r="D495" s="17">
        <v>90</v>
      </c>
      <c r="E495" s="17" t="s">
        <v>54</v>
      </c>
      <c r="F495" s="37">
        <v>7.9450000000000007E-2</v>
      </c>
      <c r="G495" s="17">
        <v>24</v>
      </c>
      <c r="H495" s="43" t="s">
        <v>636</v>
      </c>
      <c r="I495" s="18">
        <v>8.6366146153846142</v>
      </c>
      <c r="J495" s="16"/>
      <c r="K495" s="49">
        <f>I495*J495</f>
        <v>0</v>
      </c>
      <c r="L495" s="36"/>
      <c r="N495" s="33" t="str">
        <f>IFERROR(IF($N$2*F495=0, "-", $N$2*F495), "-")</f>
        <v>-</v>
      </c>
      <c r="O495" s="33" t="str">
        <f>IF(J495&gt;0,I495+N495,"-")</f>
        <v>-</v>
      </c>
      <c r="P495" s="34" t="str">
        <f>IF(J495&gt;0,J495*F495, "-")</f>
        <v>-</v>
      </c>
      <c r="Q495" s="35" t="str">
        <f>IFERROR(IF($N$2&gt;0, $N$2*P495, "-"), "-")</f>
        <v>-</v>
      </c>
      <c r="S495" s="35" t="str">
        <f>IFERROR(IF(Q495+K495=0, "-", IF(Q495&gt;0, Q495+K495, "-")), "-")</f>
        <v>-</v>
      </c>
    </row>
    <row r="496" spans="1:19" x14ac:dyDescent="0.3">
      <c r="A496" s="48">
        <v>4635</v>
      </c>
      <c r="B496" s="23">
        <v>68958046358</v>
      </c>
      <c r="C496" s="11" t="s">
        <v>529</v>
      </c>
      <c r="D496" s="17">
        <v>90</v>
      </c>
      <c r="E496" s="17" t="s">
        <v>54</v>
      </c>
      <c r="F496" s="37">
        <v>6.583E-2</v>
      </c>
      <c r="G496" s="17">
        <v>24</v>
      </c>
      <c r="H496" s="43" t="s">
        <v>636</v>
      </c>
      <c r="I496" s="18">
        <v>9.5233569230769231</v>
      </c>
      <c r="J496" s="16"/>
      <c r="K496" s="49">
        <f>I496*J496</f>
        <v>0</v>
      </c>
      <c r="L496" s="36"/>
      <c r="N496" s="33" t="str">
        <f>IFERROR(IF($N$2*F496=0, "-", $N$2*F496), "-")</f>
        <v>-</v>
      </c>
      <c r="O496" s="33" t="str">
        <f>IF(J496&gt;0,I496+N496,"-")</f>
        <v>-</v>
      </c>
      <c r="P496" s="34" t="str">
        <f>IF(J496&gt;0,J496*F496, "-")</f>
        <v>-</v>
      </c>
      <c r="Q496" s="35" t="str">
        <f>IFERROR(IF($N$2&gt;0, $N$2*P496, "-"), "-")</f>
        <v>-</v>
      </c>
      <c r="S496" s="35" t="str">
        <f>IFERROR(IF(Q496+K496=0, "-", IF(Q496&gt;0, Q496+K496, "-")), "-")</f>
        <v>-</v>
      </c>
    </row>
    <row r="497" spans="1:19" x14ac:dyDescent="0.3">
      <c r="A497" s="48">
        <v>4645</v>
      </c>
      <c r="B497" s="23">
        <v>68958046457</v>
      </c>
      <c r="C497" s="11" t="s">
        <v>530</v>
      </c>
      <c r="D497" s="17">
        <v>90</v>
      </c>
      <c r="E497" s="17" t="s">
        <v>54</v>
      </c>
      <c r="F497" s="37">
        <v>6.4695000000000003E-2</v>
      </c>
      <c r="G497" s="17">
        <v>24</v>
      </c>
      <c r="H497" s="43" t="s">
        <v>636</v>
      </c>
      <c r="I497" s="18">
        <v>6.9611815384615401</v>
      </c>
      <c r="J497" s="16"/>
      <c r="K497" s="49">
        <f>I497*J497</f>
        <v>0</v>
      </c>
      <c r="L497" s="36"/>
      <c r="N497" s="33" t="str">
        <f>IFERROR(IF($N$2*F497=0, "-", $N$2*F497), "-")</f>
        <v>-</v>
      </c>
      <c r="O497" s="33" t="str">
        <f>IF(J497&gt;0,I497+N497,"-")</f>
        <v>-</v>
      </c>
      <c r="P497" s="34" t="str">
        <f>IF(J497&gt;0,J497*F497, "-")</f>
        <v>-</v>
      </c>
      <c r="Q497" s="35" t="str">
        <f>IFERROR(IF($N$2&gt;0, $N$2*P497, "-"), "-")</f>
        <v>-</v>
      </c>
      <c r="S497" s="35" t="str">
        <f>IFERROR(IF(Q497+K497=0, "-", IF(Q497&gt;0, Q497+K497, "-")), "-")</f>
        <v>-</v>
      </c>
    </row>
    <row r="498" spans="1:19" x14ac:dyDescent="0.3">
      <c r="A498" s="48">
        <v>4655</v>
      </c>
      <c r="B498" s="22">
        <v>68958046556</v>
      </c>
      <c r="C498" s="11" t="s">
        <v>531</v>
      </c>
      <c r="D498" s="17">
        <v>90</v>
      </c>
      <c r="E498" s="17" t="s">
        <v>54</v>
      </c>
      <c r="F498" s="37">
        <v>7.1504999999999999E-2</v>
      </c>
      <c r="G498" s="17">
        <v>24</v>
      </c>
      <c r="H498" s="43" t="s">
        <v>636</v>
      </c>
      <c r="I498" s="18">
        <v>10.470683076923077</v>
      </c>
      <c r="J498" s="16"/>
      <c r="K498" s="49">
        <f>I498*J498</f>
        <v>0</v>
      </c>
      <c r="L498" s="36"/>
      <c r="N498" s="33" t="str">
        <f>IFERROR(IF($N$2*F498=0, "-", $N$2*F498), "-")</f>
        <v>-</v>
      </c>
      <c r="O498" s="33" t="str">
        <f>IF(J498&gt;0,I498+N498,"-")</f>
        <v>-</v>
      </c>
      <c r="P498" s="34" t="str">
        <f>IF(J498&gt;0,J498*F498, "-")</f>
        <v>-</v>
      </c>
      <c r="Q498" s="35" t="str">
        <f>IFERROR(IF($N$2&gt;0, $N$2*P498, "-"), "-")</f>
        <v>-</v>
      </c>
      <c r="S498" s="35" t="str">
        <f>IFERROR(IF(Q498+K498=0, "-", IF(Q498&gt;0, Q498+K498, "-")), "-")</f>
        <v>-</v>
      </c>
    </row>
    <row r="499" spans="1:19" x14ac:dyDescent="0.3">
      <c r="A499" s="48">
        <v>4700</v>
      </c>
      <c r="B499" s="23">
        <v>68958047003</v>
      </c>
      <c r="C499" s="11" t="s">
        <v>532</v>
      </c>
      <c r="D499" s="17">
        <v>60</v>
      </c>
      <c r="E499" s="17" t="s">
        <v>14</v>
      </c>
      <c r="F499" s="37">
        <v>6.0155E-2</v>
      </c>
      <c r="G499" s="17">
        <v>24</v>
      </c>
      <c r="H499" s="43" t="s">
        <v>636</v>
      </c>
      <c r="I499" s="18">
        <v>8.2939430769230782</v>
      </c>
      <c r="J499" s="16"/>
      <c r="K499" s="49">
        <f>I499*J499</f>
        <v>0</v>
      </c>
      <c r="L499" s="36"/>
      <c r="N499" s="33" t="str">
        <f>IFERROR(IF($N$2*F499=0, "-", $N$2*F499), "-")</f>
        <v>-</v>
      </c>
      <c r="O499" s="33" t="str">
        <f>IF(J499&gt;0,I499+N499,"-")</f>
        <v>-</v>
      </c>
      <c r="P499" s="34" t="str">
        <f>IF(J499&gt;0,J499*F499, "-")</f>
        <v>-</v>
      </c>
      <c r="Q499" s="35" t="str">
        <f>IFERROR(IF($N$2&gt;0, $N$2*P499, "-"), "-")</f>
        <v>-</v>
      </c>
      <c r="S499" s="35" t="str">
        <f>IFERROR(IF(Q499+K499=0, "-", IF(Q499&gt;0, Q499+K499, "-")), "-")</f>
        <v>-</v>
      </c>
    </row>
    <row r="500" spans="1:19" x14ac:dyDescent="0.3">
      <c r="A500" s="48">
        <v>4701</v>
      </c>
      <c r="B500" s="23">
        <v>68958047010</v>
      </c>
      <c r="C500" s="11" t="s">
        <v>533</v>
      </c>
      <c r="D500" s="17">
        <v>120</v>
      </c>
      <c r="E500" s="17" t="s">
        <v>14</v>
      </c>
      <c r="F500" s="37">
        <v>0.103285</v>
      </c>
      <c r="G500" s="17">
        <v>24</v>
      </c>
      <c r="H500" s="43" t="s">
        <v>636</v>
      </c>
      <c r="I500" s="18">
        <v>13.994328461538462</v>
      </c>
      <c r="J500" s="16"/>
      <c r="K500" s="49">
        <f>I500*J500</f>
        <v>0</v>
      </c>
      <c r="L500" s="36"/>
      <c r="N500" s="33" t="str">
        <f>IFERROR(IF($N$2*F500=0, "-", $N$2*F500), "-")</f>
        <v>-</v>
      </c>
      <c r="O500" s="33" t="str">
        <f>IF(J500&gt;0,I500+N500,"-")</f>
        <v>-</v>
      </c>
      <c r="P500" s="34" t="str">
        <f>IF(J500&gt;0,J500*F500, "-")</f>
        <v>-</v>
      </c>
      <c r="Q500" s="35" t="str">
        <f>IFERROR(IF($N$2&gt;0, $N$2*P500, "-"), "-")</f>
        <v>-</v>
      </c>
      <c r="S500" s="35" t="str">
        <f>IFERROR(IF(Q500+K500=0, "-", IF(Q500&gt;0, Q500+K500, "-")), "-")</f>
        <v>-</v>
      </c>
    </row>
    <row r="501" spans="1:19" x14ac:dyDescent="0.3">
      <c r="A501" s="48">
        <v>4703</v>
      </c>
      <c r="B501" s="23">
        <v>68958047034</v>
      </c>
      <c r="C501" s="11" t="s">
        <v>534</v>
      </c>
      <c r="D501" s="17">
        <v>6</v>
      </c>
      <c r="E501" s="17" t="s">
        <v>284</v>
      </c>
      <c r="F501" s="37">
        <v>0.31666500000000003</v>
      </c>
      <c r="G501" s="17">
        <v>12</v>
      </c>
      <c r="H501" s="43" t="s">
        <v>636</v>
      </c>
      <c r="I501" s="18">
        <v>30.420837692307693</v>
      </c>
      <c r="J501" s="16"/>
      <c r="K501" s="49">
        <f>I501*J501</f>
        <v>0</v>
      </c>
      <c r="L501" s="36"/>
      <c r="N501" s="33" t="str">
        <f>IFERROR(IF($N$2*F501=0, "-", $N$2*F501), "-")</f>
        <v>-</v>
      </c>
      <c r="O501" s="33" t="str">
        <f>IF(J501&gt;0,I501+N501,"-")</f>
        <v>-</v>
      </c>
      <c r="P501" s="34" t="str">
        <f>IF(J501&gt;0,J501*F501, "-")</f>
        <v>-</v>
      </c>
      <c r="Q501" s="35" t="str">
        <f>IFERROR(IF($N$2&gt;0, $N$2*P501, "-"), "-")</f>
        <v>-</v>
      </c>
      <c r="S501" s="35" t="str">
        <f>IFERROR(IF(Q501+K501=0, "-", IF(Q501&gt;0, Q501+K501, "-")), "-")</f>
        <v>-</v>
      </c>
    </row>
    <row r="502" spans="1:19" x14ac:dyDescent="0.3">
      <c r="A502" s="48">
        <v>4706</v>
      </c>
      <c r="B502" s="22">
        <v>68958047065</v>
      </c>
      <c r="C502" s="11" t="s">
        <v>535</v>
      </c>
      <c r="D502" s="17">
        <v>60</v>
      </c>
      <c r="E502" s="17" t="s">
        <v>284</v>
      </c>
      <c r="F502" s="37">
        <v>5.5615000000000005E-2</v>
      </c>
      <c r="G502" s="17">
        <v>24</v>
      </c>
      <c r="H502" s="43" t="s">
        <v>636</v>
      </c>
      <c r="I502" s="18">
        <v>8.993533846153845</v>
      </c>
      <c r="J502" s="16"/>
      <c r="K502" s="49">
        <f>I502*J502</f>
        <v>0</v>
      </c>
      <c r="L502" s="36"/>
      <c r="N502" s="33" t="str">
        <f>IFERROR(IF($N$2*F502=0, "-", $N$2*F502), "-")</f>
        <v>-</v>
      </c>
      <c r="O502" s="33" t="str">
        <f>IF(J502&gt;0,I502+N502,"-")</f>
        <v>-</v>
      </c>
      <c r="P502" s="34" t="str">
        <f>IF(J502&gt;0,J502*F502, "-")</f>
        <v>-</v>
      </c>
      <c r="Q502" s="35" t="str">
        <f>IFERROR(IF($N$2&gt;0, $N$2*P502, "-"), "-")</f>
        <v>-</v>
      </c>
      <c r="S502" s="35" t="str">
        <f>IFERROR(IF(Q502+K502=0, "-", IF(Q502&gt;0, Q502+K502, "-")), "-")</f>
        <v>-</v>
      </c>
    </row>
    <row r="503" spans="1:19" x14ac:dyDescent="0.3">
      <c r="A503" s="48">
        <v>4707</v>
      </c>
      <c r="B503" s="22">
        <v>68958047072</v>
      </c>
      <c r="C503" s="11" t="s">
        <v>536</v>
      </c>
      <c r="D503" s="17">
        <v>120</v>
      </c>
      <c r="E503" s="17" t="s">
        <v>284</v>
      </c>
      <c r="F503" s="37">
        <v>9.5340000000000008E-2</v>
      </c>
      <c r="G503" s="17">
        <v>24</v>
      </c>
      <c r="H503" s="43" t="s">
        <v>636</v>
      </c>
      <c r="I503" s="18">
        <v>15.178569230769231</v>
      </c>
      <c r="J503" s="16"/>
      <c r="K503" s="49">
        <f>I503*J503</f>
        <v>0</v>
      </c>
      <c r="L503" s="36"/>
      <c r="N503" s="33" t="str">
        <f>IFERROR(IF($N$2*F503=0, "-", $N$2*F503), "-")</f>
        <v>-</v>
      </c>
      <c r="O503" s="33" t="str">
        <f>IF(J503&gt;0,I503+N503,"-")</f>
        <v>-</v>
      </c>
      <c r="P503" s="34" t="str">
        <f>IF(J503&gt;0,J503*F503, "-")</f>
        <v>-</v>
      </c>
      <c r="Q503" s="35" t="str">
        <f>IFERROR(IF($N$2&gt;0, $N$2*P503, "-"), "-")</f>
        <v>-</v>
      </c>
      <c r="S503" s="35" t="str">
        <f>IFERROR(IF(Q503+K503=0, "-", IF(Q503&gt;0, Q503+K503, "-")), "-")</f>
        <v>-</v>
      </c>
    </row>
    <row r="504" spans="1:19" x14ac:dyDescent="0.3">
      <c r="A504" s="48">
        <v>4721</v>
      </c>
      <c r="B504" s="22">
        <v>68958047218</v>
      </c>
      <c r="C504" s="11" t="s">
        <v>537</v>
      </c>
      <c r="D504" s="17" t="s">
        <v>476</v>
      </c>
      <c r="E504" s="17" t="s">
        <v>38</v>
      </c>
      <c r="F504" s="37">
        <v>0.13619999999999999</v>
      </c>
      <c r="G504" s="17">
        <v>24</v>
      </c>
      <c r="H504" s="43" t="s">
        <v>636</v>
      </c>
      <c r="I504" s="18">
        <v>7.5146607692307699</v>
      </c>
      <c r="J504" s="16"/>
      <c r="K504" s="49">
        <f>I504*J504</f>
        <v>0</v>
      </c>
      <c r="L504" s="36"/>
      <c r="N504" s="33" t="str">
        <f>IFERROR(IF($N$2*F504=0, "-", $N$2*F504), "-")</f>
        <v>-</v>
      </c>
      <c r="O504" s="33" t="str">
        <f>IF(J504&gt;0,I504+N504,"-")</f>
        <v>-</v>
      </c>
      <c r="P504" s="34" t="str">
        <f>IF(J504&gt;0,J504*F504, "-")</f>
        <v>-</v>
      </c>
      <c r="Q504" s="35" t="str">
        <f>IFERROR(IF($N$2&gt;0, $N$2*P504, "-"), "-")</f>
        <v>-</v>
      </c>
      <c r="S504" s="35" t="str">
        <f>IFERROR(IF(Q504+K504=0, "-", IF(Q504&gt;0, Q504+K504, "-")), "-")</f>
        <v>-</v>
      </c>
    </row>
    <row r="505" spans="1:19" x14ac:dyDescent="0.3">
      <c r="A505" s="48">
        <v>4722</v>
      </c>
      <c r="B505" s="22">
        <v>68958047225</v>
      </c>
      <c r="C505" s="11" t="s">
        <v>538</v>
      </c>
      <c r="D505" s="17" t="s">
        <v>478</v>
      </c>
      <c r="E505" s="17" t="s">
        <v>38</v>
      </c>
      <c r="F505" s="37">
        <v>0.22700000000000001</v>
      </c>
      <c r="G505" s="17">
        <v>24</v>
      </c>
      <c r="H505" s="43" t="s">
        <v>636</v>
      </c>
      <c r="I505" s="18">
        <v>8.7637223076923085</v>
      </c>
      <c r="J505" s="16"/>
      <c r="K505" s="49">
        <f>I505*J505</f>
        <v>0</v>
      </c>
      <c r="L505" s="36"/>
      <c r="N505" s="33" t="str">
        <f>IFERROR(IF($N$2*F505=0, "-", $N$2*F505), "-")</f>
        <v>-</v>
      </c>
      <c r="O505" s="33" t="str">
        <f>IF(J505&gt;0,I505+N505,"-")</f>
        <v>-</v>
      </c>
      <c r="P505" s="34" t="str">
        <f>IF(J505&gt;0,J505*F505, "-")</f>
        <v>-</v>
      </c>
      <c r="Q505" s="35" t="str">
        <f>IFERROR(IF($N$2&gt;0, $N$2*P505, "-"), "-")</f>
        <v>-</v>
      </c>
      <c r="S505" s="35" t="str">
        <f>IFERROR(IF(Q505+K505=0, "-", IF(Q505&gt;0, Q505+K505, "-")), "-")</f>
        <v>-</v>
      </c>
    </row>
    <row r="506" spans="1:19" x14ac:dyDescent="0.3">
      <c r="A506" s="48">
        <v>4728</v>
      </c>
      <c r="B506" s="22">
        <v>68958047287</v>
      </c>
      <c r="C506" s="11" t="s">
        <v>539</v>
      </c>
      <c r="D506" s="17" t="s">
        <v>476</v>
      </c>
      <c r="E506" s="17" t="s">
        <v>38</v>
      </c>
      <c r="F506" s="37">
        <v>0.14641500000000002</v>
      </c>
      <c r="G506" s="17">
        <v>48</v>
      </c>
      <c r="H506" s="43" t="s">
        <v>636</v>
      </c>
      <c r="I506" s="18">
        <v>7.6707000000000001</v>
      </c>
      <c r="J506" s="16"/>
      <c r="K506" s="49">
        <f>I506*J506</f>
        <v>0</v>
      </c>
      <c r="L506" s="36"/>
      <c r="N506" s="33" t="str">
        <f>IFERROR(IF($N$2*F506=0, "-", $N$2*F506), "-")</f>
        <v>-</v>
      </c>
      <c r="O506" s="33" t="str">
        <f>IF(J506&gt;0,I506+N506,"-")</f>
        <v>-</v>
      </c>
      <c r="P506" s="34" t="str">
        <f>IF(J506&gt;0,J506*F506, "-")</f>
        <v>-</v>
      </c>
      <c r="Q506" s="35" t="str">
        <f>IFERROR(IF($N$2&gt;0, $N$2*P506, "-"), "-")</f>
        <v>-</v>
      </c>
      <c r="S506" s="35" t="str">
        <f>IFERROR(IF(Q506+K506=0, "-", IF(Q506&gt;0, Q506+K506, "-")), "-")</f>
        <v>-</v>
      </c>
    </row>
    <row r="507" spans="1:19" x14ac:dyDescent="0.3">
      <c r="A507" s="48">
        <v>4729</v>
      </c>
      <c r="B507" s="23">
        <v>627765047295</v>
      </c>
      <c r="C507" s="11" t="s">
        <v>540</v>
      </c>
      <c r="D507" s="17" t="s">
        <v>476</v>
      </c>
      <c r="E507" s="17" t="s">
        <v>38</v>
      </c>
      <c r="F507" s="37">
        <v>0.16344</v>
      </c>
      <c r="G507" s="17">
        <v>24</v>
      </c>
      <c r="H507" s="43" t="s">
        <v>636</v>
      </c>
      <c r="I507" s="18">
        <v>11.324713846153845</v>
      </c>
      <c r="J507" s="16"/>
      <c r="K507" s="49">
        <f>I507*J507</f>
        <v>0</v>
      </c>
      <c r="L507" s="36"/>
      <c r="N507" s="33" t="str">
        <f>IFERROR(IF($N$2*F507=0, "-", $N$2*F507), "-")</f>
        <v>-</v>
      </c>
      <c r="O507" s="33" t="str">
        <f>IF(J507&gt;0,I507+N507,"-")</f>
        <v>-</v>
      </c>
      <c r="P507" s="34" t="str">
        <f>IF(J507&gt;0,J507*F507, "-")</f>
        <v>-</v>
      </c>
      <c r="Q507" s="35" t="str">
        <f>IFERROR(IF($N$2&gt;0, $N$2*P507, "-"), "-")</f>
        <v>-</v>
      </c>
      <c r="S507" s="35" t="str">
        <f>IFERROR(IF(Q507+K507=0, "-", IF(Q507&gt;0, Q507+K507, "-")), "-")</f>
        <v>-</v>
      </c>
    </row>
    <row r="508" spans="1:19" x14ac:dyDescent="0.3">
      <c r="A508" s="48">
        <v>4730</v>
      </c>
      <c r="B508" s="23">
        <v>68958047300</v>
      </c>
      <c r="C508" s="11" t="s">
        <v>541</v>
      </c>
      <c r="D508" s="17" t="s">
        <v>476</v>
      </c>
      <c r="E508" s="17" t="s">
        <v>38</v>
      </c>
      <c r="F508" s="37">
        <v>0.132795</v>
      </c>
      <c r="G508" s="17">
        <v>48</v>
      </c>
      <c r="H508" s="43" t="s">
        <v>636</v>
      </c>
      <c r="I508" s="18">
        <v>11.58027923076923</v>
      </c>
      <c r="J508" s="16"/>
      <c r="K508" s="49">
        <f>I508*J508</f>
        <v>0</v>
      </c>
      <c r="L508" s="36"/>
      <c r="N508" s="33" t="str">
        <f>IFERROR(IF($N$2*F508=0, "-", $N$2*F508), "-")</f>
        <v>-</v>
      </c>
      <c r="O508" s="33" t="str">
        <f>IF(J508&gt;0,I508+N508,"-")</f>
        <v>-</v>
      </c>
      <c r="P508" s="34" t="str">
        <f>IF(J508&gt;0,J508*F508, "-")</f>
        <v>-</v>
      </c>
      <c r="Q508" s="35" t="str">
        <f>IFERROR(IF($N$2&gt;0, $N$2*P508, "-"), "-")</f>
        <v>-</v>
      </c>
      <c r="S508" s="35" t="str">
        <f>IFERROR(IF(Q508+K508=0, "-", IF(Q508&gt;0, Q508+K508, "-")), "-")</f>
        <v>-</v>
      </c>
    </row>
    <row r="509" spans="1:19" x14ac:dyDescent="0.3">
      <c r="A509" s="48">
        <v>4731</v>
      </c>
      <c r="B509" s="23">
        <v>68958047317</v>
      </c>
      <c r="C509" s="11" t="s">
        <v>542</v>
      </c>
      <c r="D509" s="17" t="s">
        <v>478</v>
      </c>
      <c r="E509" s="17" t="s">
        <v>38</v>
      </c>
      <c r="F509" s="37">
        <v>0.22019</v>
      </c>
      <c r="G509" s="17">
        <v>24</v>
      </c>
      <c r="H509" s="43" t="s">
        <v>636</v>
      </c>
      <c r="I509" s="18">
        <v>17.503726153846156</v>
      </c>
      <c r="J509" s="16"/>
      <c r="K509" s="49">
        <f>I509*J509</f>
        <v>0</v>
      </c>
      <c r="L509" s="36"/>
      <c r="N509" s="33" t="str">
        <f>IFERROR(IF($N$2*F509=0, "-", $N$2*F509), "-")</f>
        <v>-</v>
      </c>
      <c r="O509" s="33" t="str">
        <f>IF(J509&gt;0,I509+N509,"-")</f>
        <v>-</v>
      </c>
      <c r="P509" s="34" t="str">
        <f>IF(J509&gt;0,J509*F509, "-")</f>
        <v>-</v>
      </c>
      <c r="Q509" s="35" t="str">
        <f>IFERROR(IF($N$2&gt;0, $N$2*P509, "-"), "-")</f>
        <v>-</v>
      </c>
      <c r="S509" s="35" t="str">
        <f>IFERROR(IF(Q509+K509=0, "-", IF(Q509&gt;0, Q509+K509, "-")), "-")</f>
        <v>-</v>
      </c>
    </row>
    <row r="510" spans="1:19" x14ac:dyDescent="0.3">
      <c r="A510" s="48">
        <v>4750</v>
      </c>
      <c r="B510" s="22">
        <v>68958047508</v>
      </c>
      <c r="C510" s="11" t="s">
        <v>543</v>
      </c>
      <c r="D510" s="17" t="s">
        <v>476</v>
      </c>
      <c r="E510" s="17" t="s">
        <v>38</v>
      </c>
      <c r="F510" s="37">
        <v>0.12825500000000001</v>
      </c>
      <c r="G510" s="17">
        <v>24</v>
      </c>
      <c r="H510" s="43" t="s">
        <v>636</v>
      </c>
      <c r="I510" s="18">
        <v>9.9372461538461536</v>
      </c>
      <c r="J510" s="16"/>
      <c r="K510" s="49">
        <f>I510*J510</f>
        <v>0</v>
      </c>
      <c r="L510" s="36"/>
      <c r="N510" s="33" t="str">
        <f>IFERROR(IF($N$2*F510=0, "-", $N$2*F510), "-")</f>
        <v>-</v>
      </c>
      <c r="O510" s="33" t="str">
        <f>IF(J510&gt;0,I510+N510,"-")</f>
        <v>-</v>
      </c>
      <c r="P510" s="34" t="str">
        <f>IF(J510&gt;0,J510*F510, "-")</f>
        <v>-</v>
      </c>
      <c r="Q510" s="35" t="str">
        <f>IFERROR(IF($N$2&gt;0, $N$2*P510, "-"), "-")</f>
        <v>-</v>
      </c>
      <c r="S510" s="35" t="str">
        <f>IFERROR(IF(Q510+K510=0, "-", IF(Q510&gt;0, Q510+K510, "-")), "-")</f>
        <v>-</v>
      </c>
    </row>
    <row r="511" spans="1:19" x14ac:dyDescent="0.3">
      <c r="A511" s="48">
        <v>4751</v>
      </c>
      <c r="B511" s="22">
        <v>68958047515</v>
      </c>
      <c r="C511" s="11" t="s">
        <v>544</v>
      </c>
      <c r="D511" s="17" t="s">
        <v>478</v>
      </c>
      <c r="E511" s="17" t="s">
        <v>38</v>
      </c>
      <c r="F511" s="37">
        <v>0.22700000000000001</v>
      </c>
      <c r="G511" s="17">
        <v>24</v>
      </c>
      <c r="H511" s="43" t="s">
        <v>636</v>
      </c>
      <c r="I511" s="18">
        <v>14.185633846153847</v>
      </c>
      <c r="J511" s="16"/>
      <c r="K511" s="49">
        <f>I511*J511</f>
        <v>0</v>
      </c>
      <c r="L511" s="36"/>
      <c r="N511" s="33" t="str">
        <f>IFERROR(IF($N$2*F511=0, "-", $N$2*F511), "-")</f>
        <v>-</v>
      </c>
      <c r="O511" s="33" t="str">
        <f>IF(J511&gt;0,I511+N511,"-")</f>
        <v>-</v>
      </c>
      <c r="P511" s="34" t="str">
        <f>IF(J511&gt;0,J511*F511, "-")</f>
        <v>-</v>
      </c>
      <c r="Q511" s="35" t="str">
        <f>IFERROR(IF($N$2&gt;0, $N$2*P511, "-"), "-")</f>
        <v>-</v>
      </c>
      <c r="S511" s="35" t="str">
        <f>IFERROR(IF(Q511+K511=0, "-", IF(Q511&gt;0, Q511+K511, "-")), "-")</f>
        <v>-</v>
      </c>
    </row>
    <row r="512" spans="1:19" x14ac:dyDescent="0.3">
      <c r="A512" s="48">
        <v>4760</v>
      </c>
      <c r="B512" s="23">
        <v>68958047607</v>
      </c>
      <c r="C512" s="11" t="s">
        <v>545</v>
      </c>
      <c r="D512" s="17" t="s">
        <v>546</v>
      </c>
      <c r="E512" s="17" t="s">
        <v>38</v>
      </c>
      <c r="F512" s="37">
        <v>0.33709499999999998</v>
      </c>
      <c r="G512" s="17">
        <v>12</v>
      </c>
      <c r="H512" s="43" t="s">
        <v>636</v>
      </c>
      <c r="I512" s="18">
        <v>16.203281538461539</v>
      </c>
      <c r="J512" s="16"/>
      <c r="K512" s="49">
        <f>I512*J512</f>
        <v>0</v>
      </c>
      <c r="L512" s="36"/>
      <c r="N512" s="33" t="str">
        <f>IFERROR(IF($N$2*F512=0, "-", $N$2*F512), "-")</f>
        <v>-</v>
      </c>
      <c r="O512" s="33" t="str">
        <f>IF(J512&gt;0,I512+N512,"-")</f>
        <v>-</v>
      </c>
      <c r="P512" s="34" t="str">
        <f>IF(J512&gt;0,J512*F512, "-")</f>
        <v>-</v>
      </c>
      <c r="Q512" s="35" t="str">
        <f>IFERROR(IF($N$2&gt;0, $N$2*P512, "-"), "-")</f>
        <v>-</v>
      </c>
      <c r="S512" s="35" t="str">
        <f>IFERROR(IF(Q512+K512=0, "-", IF(Q512&gt;0, Q512+K512, "-")), "-")</f>
        <v>-</v>
      </c>
    </row>
    <row r="513" spans="1:19" hidden="1" x14ac:dyDescent="0.3">
      <c r="A513" s="48">
        <v>4761</v>
      </c>
      <c r="B513" s="23"/>
      <c r="C513" s="11" t="s">
        <v>547</v>
      </c>
      <c r="D513" s="17" t="s">
        <v>546</v>
      </c>
      <c r="E513" s="17" t="s">
        <v>38</v>
      </c>
      <c r="F513" s="37"/>
      <c r="G513" s="17">
        <v>12</v>
      </c>
      <c r="H513" s="43" t="s">
        <v>636</v>
      </c>
      <c r="I513" s="18">
        <v>12.771124615384617</v>
      </c>
      <c r="J513" s="16"/>
      <c r="K513" s="49">
        <f>I513*J513</f>
        <v>0</v>
      </c>
      <c r="L513" s="36"/>
      <c r="N513" s="33" t="str">
        <f>IFERROR(IF($N$2*F513=0, "-", $N$2*F513), "-")</f>
        <v>-</v>
      </c>
      <c r="O513" s="33" t="str">
        <f>IF(J513&gt;0,I513+N513,"-")</f>
        <v>-</v>
      </c>
      <c r="P513" s="34" t="str">
        <f>IF(J513&gt;0,J513*F513, "-")</f>
        <v>-</v>
      </c>
      <c r="Q513" s="35" t="str">
        <f>IFERROR(IF($N$2&gt;0, $N$2*P513, "-"), "-")</f>
        <v>-</v>
      </c>
      <c r="S513" s="35" t="str">
        <f>IFERROR(IF(Q513+K513=0, "-", IF(Q513&gt;0, Q513+K513, "-")), "-")</f>
        <v>-</v>
      </c>
    </row>
    <row r="514" spans="1:19" x14ac:dyDescent="0.3">
      <c r="A514" s="48">
        <v>4777</v>
      </c>
      <c r="B514" s="22">
        <v>627765047776</v>
      </c>
      <c r="C514" s="11" t="s">
        <v>548</v>
      </c>
      <c r="D514" s="17">
        <v>60</v>
      </c>
      <c r="E514" s="17" t="s">
        <v>45</v>
      </c>
      <c r="F514" s="37">
        <v>0.10669000000000001</v>
      </c>
      <c r="G514" s="17">
        <v>24</v>
      </c>
      <c r="H514" s="43" t="s">
        <v>636</v>
      </c>
      <c r="I514" s="18">
        <v>14.278721538461539</v>
      </c>
      <c r="J514" s="16"/>
      <c r="K514" s="49">
        <f>I514*J514</f>
        <v>0</v>
      </c>
      <c r="L514" s="36"/>
      <c r="N514" s="33" t="str">
        <f>IFERROR(IF($N$2*F514=0, "-", $N$2*F514), "-")</f>
        <v>-</v>
      </c>
      <c r="O514" s="33" t="str">
        <f>IF(J514&gt;0,I514+N514,"-")</f>
        <v>-</v>
      </c>
      <c r="P514" s="34" t="str">
        <f>IF(J514&gt;0,J514*F514, "-")</f>
        <v>-</v>
      </c>
      <c r="Q514" s="35" t="str">
        <f>IFERROR(IF($N$2&gt;0, $N$2*P514, "-"), "-")</f>
        <v>-</v>
      </c>
      <c r="S514" s="35" t="str">
        <f>IFERROR(IF(Q514+K514=0, "-", IF(Q514&gt;0, Q514+K514, "-")), "-")</f>
        <v>-</v>
      </c>
    </row>
    <row r="515" spans="1:19" x14ac:dyDescent="0.3">
      <c r="A515" s="48">
        <v>4800</v>
      </c>
      <c r="B515" s="22">
        <v>68958048000</v>
      </c>
      <c r="C515" s="11" t="s">
        <v>549</v>
      </c>
      <c r="D515" s="17">
        <v>90</v>
      </c>
      <c r="E515" s="17" t="s">
        <v>54</v>
      </c>
      <c r="F515" s="37">
        <v>6.6964999999999997E-2</v>
      </c>
      <c r="G515" s="17">
        <v>24</v>
      </c>
      <c r="H515" s="43" t="s">
        <v>636</v>
      </c>
      <c r="I515" s="18">
        <v>12.95086153846154</v>
      </c>
      <c r="J515" s="16"/>
      <c r="K515" s="49">
        <f>I515*J515</f>
        <v>0</v>
      </c>
      <c r="L515" s="36"/>
      <c r="N515" s="33" t="str">
        <f>IFERROR(IF($N$2*F515=0, "-", $N$2*F515), "-")</f>
        <v>-</v>
      </c>
      <c r="O515" s="33" t="str">
        <f>IF(J515&gt;0,I515+N515,"-")</f>
        <v>-</v>
      </c>
      <c r="P515" s="34" t="str">
        <f>IF(J515&gt;0,J515*F515, "-")</f>
        <v>-</v>
      </c>
      <c r="Q515" s="35" t="str">
        <f>IFERROR(IF($N$2&gt;0, $N$2*P515, "-"), "-")</f>
        <v>-</v>
      </c>
      <c r="S515" s="35" t="str">
        <f>IFERROR(IF(Q515+K515=0, "-", IF(Q515&gt;0, Q515+K515, "-")), "-")</f>
        <v>-</v>
      </c>
    </row>
    <row r="516" spans="1:19" x14ac:dyDescent="0.3">
      <c r="A516" s="48">
        <v>4805</v>
      </c>
      <c r="B516" s="23">
        <v>68958048055</v>
      </c>
      <c r="C516" s="11" t="s">
        <v>550</v>
      </c>
      <c r="D516" s="17">
        <v>60</v>
      </c>
      <c r="E516" s="17" t="s">
        <v>54</v>
      </c>
      <c r="F516" s="37">
        <v>6.1289999999999997E-2</v>
      </c>
      <c r="G516" s="17">
        <v>24</v>
      </c>
      <c r="H516" s="43" t="s">
        <v>636</v>
      </c>
      <c r="I516" s="18">
        <v>9.3588646153846149</v>
      </c>
      <c r="J516" s="16"/>
      <c r="K516" s="49">
        <f>I516*J516</f>
        <v>0</v>
      </c>
      <c r="L516" s="36"/>
      <c r="N516" s="33" t="str">
        <f>IFERROR(IF($N$2*F516=0, "-", $N$2*F516), "-")</f>
        <v>-</v>
      </c>
      <c r="O516" s="33" t="str">
        <f>IF(J516&gt;0,I516+N516,"-")</f>
        <v>-</v>
      </c>
      <c r="P516" s="34" t="str">
        <f>IF(J516&gt;0,J516*F516, "-")</f>
        <v>-</v>
      </c>
      <c r="Q516" s="35" t="str">
        <f>IFERROR(IF($N$2&gt;0, $N$2*P516, "-"), "-")</f>
        <v>-</v>
      </c>
      <c r="S516" s="35" t="str">
        <f>IFERROR(IF(Q516+K516=0, "-", IF(Q516&gt;0, Q516+K516, "-")), "-")</f>
        <v>-</v>
      </c>
    </row>
    <row r="517" spans="1:19" x14ac:dyDescent="0.3">
      <c r="A517" s="48">
        <v>4815</v>
      </c>
      <c r="B517" s="22">
        <v>68958048154</v>
      </c>
      <c r="C517" s="11" t="s">
        <v>551</v>
      </c>
      <c r="D517" s="17">
        <v>60</v>
      </c>
      <c r="E517" s="17" t="s">
        <v>45</v>
      </c>
      <c r="F517" s="37">
        <v>7.1504999999999999E-2</v>
      </c>
      <c r="G517" s="17">
        <v>24</v>
      </c>
      <c r="H517" s="43" t="s">
        <v>636</v>
      </c>
      <c r="I517" s="18">
        <v>11.974354615384618</v>
      </c>
      <c r="J517" s="16"/>
      <c r="K517" s="49">
        <f>I517*J517</f>
        <v>0</v>
      </c>
      <c r="L517" s="36"/>
      <c r="N517" s="33" t="str">
        <f>IFERROR(IF($N$2*F517=0, "-", $N$2*F517), "-")</f>
        <v>-</v>
      </c>
      <c r="O517" s="33" t="str">
        <f>IF(J517&gt;0,I517+N517,"-")</f>
        <v>-</v>
      </c>
      <c r="P517" s="34" t="str">
        <f>IF(J517&gt;0,J517*F517, "-")</f>
        <v>-</v>
      </c>
      <c r="Q517" s="35" t="str">
        <f>IFERROR(IF($N$2&gt;0, $N$2*P517, "-"), "-")</f>
        <v>-</v>
      </c>
      <c r="S517" s="35" t="str">
        <f>IFERROR(IF(Q517+K517=0, "-", IF(Q517&gt;0, Q517+K517, "-")), "-")</f>
        <v>-</v>
      </c>
    </row>
    <row r="518" spans="1:19" x14ac:dyDescent="0.3">
      <c r="A518" s="48">
        <v>4820</v>
      </c>
      <c r="B518" s="23">
        <v>68958048208</v>
      </c>
      <c r="C518" s="11" t="s">
        <v>552</v>
      </c>
      <c r="D518" s="17">
        <v>90</v>
      </c>
      <c r="E518" s="17" t="s">
        <v>54</v>
      </c>
      <c r="F518" s="37">
        <v>0.10669000000000001</v>
      </c>
      <c r="G518" s="17">
        <v>24</v>
      </c>
      <c r="H518" s="43" t="s">
        <v>636</v>
      </c>
      <c r="I518" s="18">
        <v>8.1186923076923083</v>
      </c>
      <c r="J518" s="16"/>
      <c r="K518" s="49">
        <f>I518*J518</f>
        <v>0</v>
      </c>
      <c r="L518" s="36"/>
      <c r="N518" s="33" t="str">
        <f>IFERROR(IF($N$2*F518=0, "-", $N$2*F518), "-")</f>
        <v>-</v>
      </c>
      <c r="O518" s="33" t="str">
        <f>IF(J518&gt;0,I518+N518,"-")</f>
        <v>-</v>
      </c>
      <c r="P518" s="34" t="str">
        <f>IF(J518&gt;0,J518*F518, "-")</f>
        <v>-</v>
      </c>
      <c r="Q518" s="35" t="str">
        <f>IFERROR(IF($N$2&gt;0, $N$2*P518, "-"), "-")</f>
        <v>-</v>
      </c>
      <c r="S518" s="35" t="str">
        <f>IFERROR(IF(Q518+K518=0, "-", IF(Q518&gt;0, Q518+K518, "-")), "-")</f>
        <v>-</v>
      </c>
    </row>
    <row r="519" spans="1:19" x14ac:dyDescent="0.3">
      <c r="A519" s="48">
        <v>4832</v>
      </c>
      <c r="B519" s="23">
        <v>68958048321</v>
      </c>
      <c r="C519" s="11" t="s">
        <v>554</v>
      </c>
      <c r="D519" s="17">
        <v>60</v>
      </c>
      <c r="E519" s="17" t="s">
        <v>54</v>
      </c>
      <c r="F519" s="37">
        <v>4.9939999999999998E-2</v>
      </c>
      <c r="G519" s="17">
        <v>24</v>
      </c>
      <c r="H519" s="43" t="s">
        <v>636</v>
      </c>
      <c r="I519" s="18">
        <v>12.743210769230771</v>
      </c>
      <c r="J519" s="16"/>
      <c r="K519" s="49">
        <f>I519*J519</f>
        <v>0</v>
      </c>
      <c r="L519" s="36"/>
      <c r="N519" s="33" t="str">
        <f>IFERROR(IF($N$2*F519=0, "-", $N$2*F519), "-")</f>
        <v>-</v>
      </c>
      <c r="O519" s="33" t="str">
        <f>IF(J519&gt;0,I519+N519,"-")</f>
        <v>-</v>
      </c>
      <c r="P519" s="34" t="str">
        <f>IF(J519&gt;0,J519*F519, "-")</f>
        <v>-</v>
      </c>
      <c r="Q519" s="35" t="str">
        <f>IFERROR(IF($N$2&gt;0, $N$2*P519, "-"), "-")</f>
        <v>-</v>
      </c>
      <c r="S519" s="35" t="str">
        <f>IFERROR(IF(Q519+K519=0, "-", IF(Q519&gt;0, Q519+K519, "-")), "-")</f>
        <v>-</v>
      </c>
    </row>
    <row r="520" spans="1:19" x14ac:dyDescent="0.3">
      <c r="A520" s="48">
        <v>4925</v>
      </c>
      <c r="B520" s="23">
        <v>68958049250</v>
      </c>
      <c r="C520" s="11" t="s">
        <v>555</v>
      </c>
      <c r="D520" s="17">
        <v>90</v>
      </c>
      <c r="E520" s="17" t="s">
        <v>54</v>
      </c>
      <c r="F520" s="37">
        <v>5.9019999999999996E-2</v>
      </c>
      <c r="G520" s="17">
        <v>24</v>
      </c>
      <c r="H520" s="43" t="s">
        <v>636</v>
      </c>
      <c r="I520" s="18">
        <v>6.2969607692307701</v>
      </c>
      <c r="J520" s="16"/>
      <c r="K520" s="49">
        <f>I520*J520</f>
        <v>0</v>
      </c>
      <c r="L520" s="36"/>
      <c r="N520" s="33" t="str">
        <f>IFERROR(IF($N$2*F520=0, "-", $N$2*F520), "-")</f>
        <v>-</v>
      </c>
      <c r="O520" s="33" t="str">
        <f>IF(J520&gt;0,I520+N520,"-")</f>
        <v>-</v>
      </c>
      <c r="P520" s="34" t="str">
        <f>IF(J520&gt;0,J520*F520, "-")</f>
        <v>-</v>
      </c>
      <c r="Q520" s="35" t="str">
        <f>IFERROR(IF($N$2&gt;0, $N$2*P520, "-"), "-")</f>
        <v>-</v>
      </c>
      <c r="S520" s="35" t="str">
        <f>IFERROR(IF(Q520+K520=0, "-", IF(Q520&gt;0, Q520+K520, "-")), "-")</f>
        <v>-</v>
      </c>
    </row>
    <row r="521" spans="1:19" x14ac:dyDescent="0.3">
      <c r="A521" s="48">
        <v>4930</v>
      </c>
      <c r="B521" s="23">
        <v>68958049304</v>
      </c>
      <c r="C521" s="11" t="s">
        <v>556</v>
      </c>
      <c r="D521" s="17">
        <v>90</v>
      </c>
      <c r="E521" s="17" t="s">
        <v>54</v>
      </c>
      <c r="F521" s="37">
        <v>6.2425000000000001E-2</v>
      </c>
      <c r="G521" s="17">
        <v>24</v>
      </c>
      <c r="H521" s="43" t="s">
        <v>636</v>
      </c>
      <c r="I521" s="18">
        <v>5.9142669230769238</v>
      </c>
      <c r="J521" s="16"/>
      <c r="K521" s="49">
        <f>I521*J521</f>
        <v>0</v>
      </c>
      <c r="L521" s="36"/>
      <c r="N521" s="33" t="str">
        <f>IFERROR(IF($N$2*F521=0, "-", $N$2*F521), "-")</f>
        <v>-</v>
      </c>
      <c r="O521" s="33" t="str">
        <f>IF(J521&gt;0,I521+N521,"-")</f>
        <v>-</v>
      </c>
      <c r="P521" s="34" t="str">
        <f>IF(J521&gt;0,J521*F521, "-")</f>
        <v>-</v>
      </c>
      <c r="Q521" s="35" t="str">
        <f>IFERROR(IF($N$2&gt;0, $N$2*P521, "-"), "-")</f>
        <v>-</v>
      </c>
      <c r="S521" s="35" t="str">
        <f>IFERROR(IF(Q521+K521=0, "-", IF(Q521&gt;0, Q521+K521, "-")), "-")</f>
        <v>-</v>
      </c>
    </row>
    <row r="522" spans="1:19" x14ac:dyDescent="0.3">
      <c r="A522" s="48">
        <v>4991</v>
      </c>
      <c r="B522" s="23">
        <v>68958049915</v>
      </c>
      <c r="C522" s="11" t="s">
        <v>557</v>
      </c>
      <c r="D522" s="17">
        <v>200</v>
      </c>
      <c r="E522" s="17" t="s">
        <v>130</v>
      </c>
      <c r="F522" s="37">
        <v>0.30418000000000001</v>
      </c>
      <c r="G522" s="17">
        <v>12</v>
      </c>
      <c r="H522" s="43" t="s">
        <v>636</v>
      </c>
      <c r="I522" s="18">
        <v>15.897953076923077</v>
      </c>
      <c r="J522" s="16"/>
      <c r="K522" s="49">
        <f>I522*J522</f>
        <v>0</v>
      </c>
      <c r="L522" s="36"/>
      <c r="N522" s="33" t="str">
        <f>IFERROR(IF($N$2*F522=0, "-", $N$2*F522), "-")</f>
        <v>-</v>
      </c>
      <c r="O522" s="33" t="str">
        <f>IF(J522&gt;0,I522+N522,"-")</f>
        <v>-</v>
      </c>
      <c r="P522" s="34" t="str">
        <f>IF(J522&gt;0,J522*F522, "-")</f>
        <v>-</v>
      </c>
      <c r="Q522" s="35" t="str">
        <f>IFERROR(IF($N$2&gt;0, $N$2*P522, "-"), "-")</f>
        <v>-</v>
      </c>
      <c r="S522" s="35" t="str">
        <f>IFERROR(IF(Q522+K522=0, "-", IF(Q522&gt;0, Q522+K522, "-")), "-")</f>
        <v>-</v>
      </c>
    </row>
    <row r="523" spans="1:19" x14ac:dyDescent="0.3">
      <c r="A523" s="48">
        <v>4992</v>
      </c>
      <c r="B523" s="22">
        <v>68958049922</v>
      </c>
      <c r="C523" s="11" t="s">
        <v>558</v>
      </c>
      <c r="D523" s="17">
        <v>268</v>
      </c>
      <c r="E523" s="17" t="s">
        <v>130</v>
      </c>
      <c r="F523" s="37">
        <v>0.38363000000000003</v>
      </c>
      <c r="G523" s="17">
        <v>12</v>
      </c>
      <c r="H523" s="43" t="s">
        <v>636</v>
      </c>
      <c r="I523" s="18">
        <v>27.327447692307693</v>
      </c>
      <c r="J523" s="16"/>
      <c r="K523" s="49">
        <f>I523*J523</f>
        <v>0</v>
      </c>
      <c r="L523" s="36"/>
      <c r="N523" s="33" t="str">
        <f>IFERROR(IF($N$2*F523=0, "-", $N$2*F523), "-")</f>
        <v>-</v>
      </c>
      <c r="O523" s="33" t="str">
        <f>IF(J523&gt;0,I523+N523,"-")</f>
        <v>-</v>
      </c>
      <c r="P523" s="34" t="str">
        <f>IF(J523&gt;0,J523*F523, "-")</f>
        <v>-</v>
      </c>
      <c r="Q523" s="35" t="str">
        <f>IFERROR(IF($N$2&gt;0, $N$2*P523, "-"), "-")</f>
        <v>-</v>
      </c>
      <c r="S523" s="35" t="str">
        <f>IFERROR(IF(Q523+K523=0, "-", IF(Q523&gt;0, Q523+K523, "-")), "-")</f>
        <v>-</v>
      </c>
    </row>
    <row r="524" spans="1:19" x14ac:dyDescent="0.3">
      <c r="A524" s="48">
        <v>7155</v>
      </c>
      <c r="B524" s="23">
        <v>68958071558</v>
      </c>
      <c r="C524" s="11" t="s">
        <v>559</v>
      </c>
      <c r="D524" s="17">
        <v>1</v>
      </c>
      <c r="E524" s="17" t="s">
        <v>560</v>
      </c>
      <c r="F524" s="37">
        <v>1.020365</v>
      </c>
      <c r="G524" s="17">
        <v>3</v>
      </c>
      <c r="H524" s="43" t="s">
        <v>636</v>
      </c>
      <c r="I524" s="18">
        <v>62.069095384615395</v>
      </c>
      <c r="J524" s="16"/>
      <c r="K524" s="49">
        <f>I524*J524</f>
        <v>0</v>
      </c>
      <c r="L524" s="36"/>
      <c r="N524" s="33" t="str">
        <f>IFERROR(IF($N$2*F524=0, "-", $N$2*F524), "-")</f>
        <v>-</v>
      </c>
      <c r="O524" s="33" t="str">
        <f>IF(J524&gt;0,I524+N524,"-")</f>
        <v>-</v>
      </c>
      <c r="P524" s="34" t="str">
        <f>IF(J524&gt;0,J524*F524, "-")</f>
        <v>-</v>
      </c>
      <c r="Q524" s="35" t="str">
        <f>IFERROR(IF($N$2&gt;0, $N$2*P524, "-"), "-")</f>
        <v>-</v>
      </c>
      <c r="S524" s="35" t="str">
        <f>IFERROR(IF(Q524+K524=0, "-", IF(Q524&gt;0, Q524+K524, "-")), "-")</f>
        <v>-</v>
      </c>
    </row>
    <row r="525" spans="1:19" x14ac:dyDescent="0.3">
      <c r="A525" s="48">
        <v>13491</v>
      </c>
      <c r="B525" s="22">
        <v>68958134918</v>
      </c>
      <c r="C525" s="11" t="s">
        <v>561</v>
      </c>
      <c r="D525" s="17">
        <v>180</v>
      </c>
      <c r="E525" s="17" t="s">
        <v>54</v>
      </c>
      <c r="F525" s="37">
        <v>0.28375</v>
      </c>
      <c r="G525" s="17">
        <v>12</v>
      </c>
      <c r="H525" s="43" t="s">
        <v>636</v>
      </c>
      <c r="I525" s="18">
        <v>12.160862307692309</v>
      </c>
      <c r="J525" s="16"/>
      <c r="K525" s="49">
        <f>I525*J525</f>
        <v>0</v>
      </c>
      <c r="L525" s="36"/>
      <c r="N525" s="33" t="str">
        <f>IFERROR(IF($N$2*F525=0, "-", $N$2*F525), "-")</f>
        <v>-</v>
      </c>
      <c r="O525" s="33" t="str">
        <f>IF(J525&gt;0,I525+N525,"-")</f>
        <v>-</v>
      </c>
      <c r="P525" s="34" t="str">
        <f>IF(J525&gt;0,J525*F525, "-")</f>
        <v>-</v>
      </c>
      <c r="Q525" s="35" t="str">
        <f>IFERROR(IF($N$2&gt;0, $N$2*P525, "-"), "-")</f>
        <v>-</v>
      </c>
      <c r="S525" s="35" t="str">
        <f>IFERROR(IF(Q525+K525=0, "-", IF(Q525&gt;0, Q525+K525, "-")), "-")</f>
        <v>-</v>
      </c>
    </row>
    <row r="526" spans="1:19" x14ac:dyDescent="0.3">
      <c r="A526" s="48">
        <v>20722</v>
      </c>
      <c r="B526" s="23">
        <v>68958207223</v>
      </c>
      <c r="C526" s="11" t="s">
        <v>562</v>
      </c>
      <c r="D526" s="17">
        <v>60</v>
      </c>
      <c r="E526" s="17" t="s">
        <v>14</v>
      </c>
      <c r="F526" s="37">
        <v>6.8099999999999994E-2</v>
      </c>
      <c r="G526" s="17">
        <v>24</v>
      </c>
      <c r="H526" s="43" t="s">
        <v>636</v>
      </c>
      <c r="I526" s="18">
        <v>10.257050769230769</v>
      </c>
      <c r="J526" s="16"/>
      <c r="K526" s="49">
        <f>I526*J526</f>
        <v>0</v>
      </c>
      <c r="L526" s="36"/>
      <c r="N526" s="33" t="str">
        <f>IFERROR(IF($N$2*F526=0, "-", $N$2*F526), "-")</f>
        <v>-</v>
      </c>
      <c r="O526" s="33" t="str">
        <f>IF(J526&gt;0,I526+N526,"-")</f>
        <v>-</v>
      </c>
      <c r="P526" s="34" t="str">
        <f>IF(J526&gt;0,J526*F526, "-")</f>
        <v>-</v>
      </c>
      <c r="Q526" s="35" t="str">
        <f>IFERROR(IF($N$2&gt;0, $N$2*P526, "-"), "-")</f>
        <v>-</v>
      </c>
      <c r="S526" s="35" t="str">
        <f>IFERROR(IF(Q526+K526=0, "-", IF(Q526&gt;0, Q526+K526, "-")), "-")</f>
        <v>-</v>
      </c>
    </row>
    <row r="527" spans="1:19" x14ac:dyDescent="0.3">
      <c r="A527" s="48">
        <v>20723</v>
      </c>
      <c r="B527" s="23">
        <v>627765207231</v>
      </c>
      <c r="C527" s="11" t="s">
        <v>563</v>
      </c>
      <c r="D527" s="17">
        <v>120</v>
      </c>
      <c r="E527" s="17" t="s">
        <v>14</v>
      </c>
      <c r="F527" s="37">
        <v>0.153225</v>
      </c>
      <c r="G527" s="17">
        <v>24</v>
      </c>
      <c r="H527" s="43" t="s">
        <v>636</v>
      </c>
      <c r="I527" s="18">
        <v>18.837713076923077</v>
      </c>
      <c r="J527" s="16"/>
      <c r="K527" s="49">
        <f>I527*J527</f>
        <v>0</v>
      </c>
      <c r="L527" s="36"/>
      <c r="N527" s="33" t="str">
        <f>IFERROR(IF($N$2*F527=0, "-", $N$2*F527), "-")</f>
        <v>-</v>
      </c>
      <c r="O527" s="33" t="str">
        <f>IF(J527&gt;0,I527+N527,"-")</f>
        <v>-</v>
      </c>
      <c r="P527" s="34" t="str">
        <f>IF(J527&gt;0,J527*F527, "-")</f>
        <v>-</v>
      </c>
      <c r="Q527" s="35" t="str">
        <f>IFERROR(IF($N$2&gt;0, $N$2*P527, "-"), "-")</f>
        <v>-</v>
      </c>
      <c r="S527" s="35" t="str">
        <f>IFERROR(IF(Q527+K527=0, "-", IF(Q527&gt;0, Q527+K527, "-")), "-")</f>
        <v>-</v>
      </c>
    </row>
    <row r="528" spans="1:19" x14ac:dyDescent="0.3">
      <c r="A528" s="48">
        <v>20725</v>
      </c>
      <c r="B528" s="23">
        <v>68958207254</v>
      </c>
      <c r="C528" s="11" t="s">
        <v>564</v>
      </c>
      <c r="D528" s="17">
        <v>60</v>
      </c>
      <c r="E528" s="17" t="s">
        <v>14</v>
      </c>
      <c r="F528" s="37">
        <v>0.12485</v>
      </c>
      <c r="G528" s="17">
        <v>24</v>
      </c>
      <c r="H528" s="43" t="s">
        <v>636</v>
      </c>
      <c r="I528" s="18">
        <v>18.353520000000003</v>
      </c>
      <c r="J528" s="16"/>
      <c r="K528" s="49">
        <f>I528*J528</f>
        <v>0</v>
      </c>
      <c r="L528" s="36"/>
      <c r="N528" s="33" t="str">
        <f>IFERROR(IF($N$2*F528=0, "-", $N$2*F528), "-")</f>
        <v>-</v>
      </c>
      <c r="O528" s="33" t="str">
        <f>IF(J528&gt;0,I528+N528,"-")</f>
        <v>-</v>
      </c>
      <c r="P528" s="34" t="str">
        <f>IF(J528&gt;0,J528*F528, "-")</f>
        <v>-</v>
      </c>
      <c r="Q528" s="35" t="str">
        <f>IFERROR(IF($N$2&gt;0, $N$2*P528, "-"), "-")</f>
        <v>-</v>
      </c>
      <c r="S528" s="35" t="str">
        <f>IFERROR(IF(Q528+K528=0, "-", IF(Q528&gt;0, Q528+K528, "-")), "-")</f>
        <v>-</v>
      </c>
    </row>
    <row r="529" spans="1:19" x14ac:dyDescent="0.3">
      <c r="A529" s="48">
        <v>20728</v>
      </c>
      <c r="B529" s="23">
        <v>68958207285</v>
      </c>
      <c r="C529" s="11" t="s">
        <v>566</v>
      </c>
      <c r="D529" s="17">
        <v>120</v>
      </c>
      <c r="E529" s="17" t="s">
        <v>14</v>
      </c>
      <c r="F529" s="37">
        <v>0.12939000000000001</v>
      </c>
      <c r="G529" s="17">
        <v>24</v>
      </c>
      <c r="H529" s="43" t="s">
        <v>636</v>
      </c>
      <c r="I529" s="18">
        <v>50.076173076923084</v>
      </c>
      <c r="J529" s="16"/>
      <c r="K529" s="49">
        <f>I529*J529</f>
        <v>0</v>
      </c>
      <c r="L529" s="36"/>
      <c r="N529" s="33" t="str">
        <f>IFERROR(IF($N$2*F529=0, "-", $N$2*F529), "-")</f>
        <v>-</v>
      </c>
      <c r="O529" s="33" t="str">
        <f>IF(J529&gt;0,I529+N529,"-")</f>
        <v>-</v>
      </c>
      <c r="P529" s="34" t="str">
        <f>IF(J529&gt;0,J529*F529, "-")</f>
        <v>-</v>
      </c>
      <c r="Q529" s="35" t="str">
        <f>IFERROR(IF($N$2&gt;0, $N$2*P529, "-"), "-")</f>
        <v>-</v>
      </c>
      <c r="S529" s="35" t="str">
        <f>IFERROR(IF(Q529+K529=0, "-", IF(Q529&gt;0, Q529+K529, "-")), "-")</f>
        <v>-</v>
      </c>
    </row>
    <row r="530" spans="1:19" x14ac:dyDescent="0.3">
      <c r="A530" s="48">
        <v>20729</v>
      </c>
      <c r="B530" s="23">
        <v>68958207292</v>
      </c>
      <c r="C530" s="11" t="s">
        <v>567</v>
      </c>
      <c r="D530" s="17">
        <v>30</v>
      </c>
      <c r="E530" s="17" t="s">
        <v>14</v>
      </c>
      <c r="F530" s="37">
        <v>5.6750000000000002E-2</v>
      </c>
      <c r="G530" s="17">
        <v>24</v>
      </c>
      <c r="H530" s="43" t="s">
        <v>636</v>
      </c>
      <c r="I530" s="18">
        <v>26.727632307692311</v>
      </c>
      <c r="J530" s="16"/>
      <c r="K530" s="49">
        <f>I530*J530</f>
        <v>0</v>
      </c>
      <c r="L530" s="36"/>
      <c r="N530" s="33" t="str">
        <f>IFERROR(IF($N$2*F530=0, "-", $N$2*F530), "-")</f>
        <v>-</v>
      </c>
      <c r="O530" s="33" t="str">
        <f>IF(J530&gt;0,I530+N530,"-")</f>
        <v>-</v>
      </c>
      <c r="P530" s="34" t="str">
        <f>IF(J530&gt;0,J530*F530, "-")</f>
        <v>-</v>
      </c>
      <c r="Q530" s="35" t="str">
        <f>IFERROR(IF($N$2&gt;0, $N$2*P530, "-"), "-")</f>
        <v>-</v>
      </c>
      <c r="S530" s="35" t="str">
        <f>IFERROR(IF(Q530+K530=0, "-", IF(Q530&gt;0, Q530+K530, "-")), "-")</f>
        <v>-</v>
      </c>
    </row>
    <row r="531" spans="1:19" x14ac:dyDescent="0.3">
      <c r="A531" s="48">
        <v>20730</v>
      </c>
      <c r="B531" s="22">
        <v>68958207308</v>
      </c>
      <c r="C531" s="11" t="s">
        <v>568</v>
      </c>
      <c r="D531" s="17">
        <v>60</v>
      </c>
      <c r="E531" s="17" t="s">
        <v>14</v>
      </c>
      <c r="F531" s="37">
        <v>8.8529999999999998E-2</v>
      </c>
      <c r="G531" s="17">
        <v>24</v>
      </c>
      <c r="H531" s="43" t="s">
        <v>636</v>
      </c>
      <c r="I531" s="18">
        <v>50.526138461538466</v>
      </c>
      <c r="J531" s="16"/>
      <c r="K531" s="49">
        <f>I531*J531</f>
        <v>0</v>
      </c>
      <c r="L531" s="36"/>
      <c r="N531" s="33" t="str">
        <f>IFERROR(IF($N$2*F531=0, "-", $N$2*F531), "-")</f>
        <v>-</v>
      </c>
      <c r="O531" s="33" t="str">
        <f>IF(J531&gt;0,I531+N531,"-")</f>
        <v>-</v>
      </c>
      <c r="P531" s="34" t="str">
        <f>IF(J531&gt;0,J531*F531, "-")</f>
        <v>-</v>
      </c>
      <c r="Q531" s="35" t="str">
        <f>IFERROR(IF($N$2&gt;0, $N$2*P531, "-"), "-")</f>
        <v>-</v>
      </c>
      <c r="S531" s="35" t="str">
        <f>IFERROR(IF(Q531+K531=0, "-", IF(Q531&gt;0, Q531+K531, "-")), "-")</f>
        <v>-</v>
      </c>
    </row>
    <row r="532" spans="1:19" x14ac:dyDescent="0.3">
      <c r="A532" s="48">
        <v>26592</v>
      </c>
      <c r="B532" s="23">
        <v>68958265926</v>
      </c>
      <c r="C532" s="11" t="s">
        <v>569</v>
      </c>
      <c r="D532" s="17">
        <v>500</v>
      </c>
      <c r="E532" s="17" t="s">
        <v>54</v>
      </c>
      <c r="F532" s="37">
        <v>0.51415500000000003</v>
      </c>
      <c r="G532" s="17">
        <v>12</v>
      </c>
      <c r="H532" s="43" t="s">
        <v>636</v>
      </c>
      <c r="I532" s="18">
        <v>21.895068461538461</v>
      </c>
      <c r="J532" s="16"/>
      <c r="K532" s="49">
        <f>I532*J532</f>
        <v>0</v>
      </c>
      <c r="L532" s="36"/>
      <c r="N532" s="33" t="str">
        <f>IFERROR(IF($N$2*F532=0, "-", $N$2*F532), "-")</f>
        <v>-</v>
      </c>
      <c r="O532" s="33" t="str">
        <f>IF(J532&gt;0,I532+N532,"-")</f>
        <v>-</v>
      </c>
      <c r="P532" s="34" t="str">
        <f>IF(J532&gt;0,J532*F532, "-")</f>
        <v>-</v>
      </c>
      <c r="Q532" s="35" t="str">
        <f>IFERROR(IF($N$2&gt;0, $N$2*P532, "-"), "-")</f>
        <v>-</v>
      </c>
      <c r="S532" s="35" t="str">
        <f>IFERROR(IF(Q532+K532=0, "-", IF(Q532&gt;0, Q532+K532, "-")), "-")</f>
        <v>-</v>
      </c>
    </row>
    <row r="533" spans="1:19" x14ac:dyDescent="0.3">
      <c r="A533" s="48">
        <v>26841</v>
      </c>
      <c r="B533" s="23">
        <v>68958268415</v>
      </c>
      <c r="C533" s="11" t="s">
        <v>570</v>
      </c>
      <c r="D533" s="17">
        <v>240</v>
      </c>
      <c r="E533" s="17" t="s">
        <v>32</v>
      </c>
      <c r="F533" s="37">
        <v>0.62652000000000008</v>
      </c>
      <c r="G533" s="17">
        <v>12</v>
      </c>
      <c r="H533" s="43" t="s">
        <v>636</v>
      </c>
      <c r="I533" s="18">
        <v>32.248737692307699</v>
      </c>
      <c r="J533" s="16"/>
      <c r="K533" s="49">
        <f>I533*J533</f>
        <v>0</v>
      </c>
      <c r="L533" s="36"/>
      <c r="N533" s="33" t="str">
        <f>IFERROR(IF($N$2*F533=0, "-", $N$2*F533), "-")</f>
        <v>-</v>
      </c>
      <c r="O533" s="33" t="str">
        <f>IF(J533&gt;0,I533+N533,"-")</f>
        <v>-</v>
      </c>
      <c r="P533" s="34" t="str">
        <f>IF(J533&gt;0,J533*F533, "-")</f>
        <v>-</v>
      </c>
      <c r="Q533" s="35" t="str">
        <f>IFERROR(IF($N$2&gt;0, $N$2*P533, "-"), "-")</f>
        <v>-</v>
      </c>
      <c r="S533" s="35" t="str">
        <f>IFERROR(IF(Q533+K533=0, "-", IF(Q533&gt;0, Q533+K533, "-")), "-")</f>
        <v>-</v>
      </c>
    </row>
    <row r="534" spans="1:19" x14ac:dyDescent="0.3">
      <c r="A534" s="48">
        <v>26842</v>
      </c>
      <c r="B534" s="22">
        <v>68958268422</v>
      </c>
      <c r="C534" s="11" t="s">
        <v>571</v>
      </c>
      <c r="D534" s="17">
        <v>60</v>
      </c>
      <c r="E534" s="17" t="s">
        <v>32</v>
      </c>
      <c r="F534" s="37">
        <v>0.17706</v>
      </c>
      <c r="G534" s="17">
        <v>24</v>
      </c>
      <c r="H534" s="43" t="s">
        <v>636</v>
      </c>
      <c r="I534" s="18">
        <v>9.8387376923076939</v>
      </c>
      <c r="J534" s="16"/>
      <c r="K534" s="49">
        <f>I534*J534</f>
        <v>0</v>
      </c>
      <c r="L534" s="36"/>
      <c r="N534" s="33" t="str">
        <f>IFERROR(IF($N$2*F534=0, "-", $N$2*F534), "-")</f>
        <v>-</v>
      </c>
      <c r="O534" s="33" t="str">
        <f>IF(J534&gt;0,I534+N534,"-")</f>
        <v>-</v>
      </c>
      <c r="P534" s="34" t="str">
        <f>IF(J534&gt;0,J534*F534, "-")</f>
        <v>-</v>
      </c>
      <c r="Q534" s="35" t="str">
        <f>IFERROR(IF($N$2&gt;0, $N$2*P534, "-"), "-")</f>
        <v>-</v>
      </c>
      <c r="S534" s="35" t="str">
        <f>IFERROR(IF(Q534+K534=0, "-", IF(Q534&gt;0, Q534+K534, "-")), "-")</f>
        <v>-</v>
      </c>
    </row>
    <row r="535" spans="1:19" x14ac:dyDescent="0.3">
      <c r="A535" s="48">
        <v>26871</v>
      </c>
      <c r="B535" s="23">
        <v>68958268712</v>
      </c>
      <c r="C535" s="11" t="s">
        <v>572</v>
      </c>
      <c r="D535" s="17">
        <v>240</v>
      </c>
      <c r="E535" s="17" t="s">
        <v>54</v>
      </c>
      <c r="F535" s="37">
        <v>0.34049999999999997</v>
      </c>
      <c r="G535" s="17">
        <v>12</v>
      </c>
      <c r="H535" s="43" t="s">
        <v>636</v>
      </c>
      <c r="I535" s="18">
        <v>23.992054615384617</v>
      </c>
      <c r="J535" s="16"/>
      <c r="K535" s="49">
        <f>I535*J535</f>
        <v>0</v>
      </c>
      <c r="L535" s="36"/>
      <c r="N535" s="33" t="str">
        <f>IFERROR(IF($N$2*F535=0, "-", $N$2*F535), "-")</f>
        <v>-</v>
      </c>
      <c r="O535" s="33" t="str">
        <f>IF(J535&gt;0,I535+N535,"-")</f>
        <v>-</v>
      </c>
      <c r="P535" s="34" t="str">
        <f>IF(J535&gt;0,J535*F535, "-")</f>
        <v>-</v>
      </c>
      <c r="Q535" s="35" t="str">
        <f>IFERROR(IF($N$2&gt;0, $N$2*P535, "-"), "-")</f>
        <v>-</v>
      </c>
      <c r="S535" s="35" t="str">
        <f>IFERROR(IF(Q535+K535=0, "-", IF(Q535&gt;0, Q535+K535, "-")), "-")</f>
        <v>-</v>
      </c>
    </row>
    <row r="536" spans="1:19" x14ac:dyDescent="0.3">
      <c r="A536" s="48">
        <v>35492</v>
      </c>
      <c r="B536" s="23">
        <v>68958354927</v>
      </c>
      <c r="C536" s="11" t="s">
        <v>448</v>
      </c>
      <c r="D536" s="17">
        <v>150</v>
      </c>
      <c r="E536" s="17" t="s">
        <v>14</v>
      </c>
      <c r="F536" s="37">
        <v>0.37795500000000004</v>
      </c>
      <c r="G536" s="17">
        <v>12</v>
      </c>
      <c r="H536" s="43" t="s">
        <v>636</v>
      </c>
      <c r="I536" s="18">
        <v>28.768790769230772</v>
      </c>
      <c r="J536" s="16"/>
      <c r="K536" s="49">
        <f>I536*J536</f>
        <v>0</v>
      </c>
      <c r="L536" s="36"/>
      <c r="N536" s="33" t="str">
        <f>IFERROR(IF($N$2*F536=0, "-", $N$2*F536), "-")</f>
        <v>-</v>
      </c>
      <c r="O536" s="33" t="str">
        <f>IF(J536&gt;0,I536+N536,"-")</f>
        <v>-</v>
      </c>
      <c r="P536" s="34" t="str">
        <f>IF(J536&gt;0,J536*F536, "-")</f>
        <v>-</v>
      </c>
      <c r="Q536" s="35" t="str">
        <f>IFERROR(IF($N$2&gt;0, $N$2*P536, "-"), "-")</f>
        <v>-</v>
      </c>
      <c r="S536" s="35" t="str">
        <f>IFERROR(IF(Q536+K536=0, "-", IF(Q536&gt;0, Q536+K536, "-")), "-")</f>
        <v>-</v>
      </c>
    </row>
    <row r="537" spans="1:19" x14ac:dyDescent="0.3">
      <c r="A537" s="48">
        <v>35493</v>
      </c>
      <c r="B537" s="23">
        <v>68958354934</v>
      </c>
      <c r="C537" s="11" t="s">
        <v>449</v>
      </c>
      <c r="D537" s="17">
        <v>150</v>
      </c>
      <c r="E537" s="17" t="s">
        <v>14</v>
      </c>
      <c r="F537" s="37">
        <v>0.38590000000000002</v>
      </c>
      <c r="G537" s="17">
        <v>12</v>
      </c>
      <c r="H537" s="43" t="s">
        <v>636</v>
      </c>
      <c r="I537" s="18">
        <v>27.280052307692312</v>
      </c>
      <c r="J537" s="16"/>
      <c r="K537" s="49">
        <f>I537*J537</f>
        <v>0</v>
      </c>
      <c r="L537" s="36"/>
      <c r="N537" s="33" t="str">
        <f>IFERROR(IF($N$2*F537=0, "-", $N$2*F537), "-")</f>
        <v>-</v>
      </c>
      <c r="O537" s="33" t="str">
        <f>IF(J537&gt;0,I537+N537,"-")</f>
        <v>-</v>
      </c>
      <c r="P537" s="34" t="str">
        <f>IF(J537&gt;0,J537*F537, "-")</f>
        <v>-</v>
      </c>
      <c r="Q537" s="35" t="str">
        <f>IFERROR(IF($N$2&gt;0, $N$2*P537, "-"), "-")</f>
        <v>-</v>
      </c>
      <c r="S537" s="35" t="str">
        <f>IFERROR(IF(Q537+K537=0, "-", IF(Q537&gt;0, Q537+K537, "-")), "-")</f>
        <v>-</v>
      </c>
    </row>
    <row r="538" spans="1:19" x14ac:dyDescent="0.3">
      <c r="A538" s="48">
        <v>35494</v>
      </c>
      <c r="B538" s="23">
        <v>68958354941</v>
      </c>
      <c r="C538" s="11" t="s">
        <v>450</v>
      </c>
      <c r="D538" s="17">
        <v>60</v>
      </c>
      <c r="E538" s="17" t="s">
        <v>14</v>
      </c>
      <c r="F538" s="37">
        <v>8.7395E-2</v>
      </c>
      <c r="G538" s="17">
        <v>24</v>
      </c>
      <c r="H538" s="43" t="s">
        <v>636</v>
      </c>
      <c r="I538" s="18">
        <v>10.776053076923077</v>
      </c>
      <c r="J538" s="16"/>
      <c r="K538" s="49">
        <f>I538*J538</f>
        <v>0</v>
      </c>
      <c r="L538" s="36"/>
      <c r="N538" s="33" t="str">
        <f>IFERROR(IF($N$2*F538=0, "-", $N$2*F538), "-")</f>
        <v>-</v>
      </c>
      <c r="O538" s="33" t="str">
        <f>IF(J538&gt;0,I538+N538,"-")</f>
        <v>-</v>
      </c>
      <c r="P538" s="34" t="str">
        <f>IF(J538&gt;0,J538*F538, "-")</f>
        <v>-</v>
      </c>
      <c r="Q538" s="35" t="str">
        <f>IFERROR(IF($N$2&gt;0, $N$2*P538, "-"), "-")</f>
        <v>-</v>
      </c>
      <c r="S538" s="35" t="str">
        <f>IFERROR(IF(Q538+K538=0, "-", IF(Q538&gt;0, Q538+K538, "-")), "-")</f>
        <v>-</v>
      </c>
    </row>
    <row r="539" spans="1:19" x14ac:dyDescent="0.3">
      <c r="A539" s="48">
        <v>35495</v>
      </c>
      <c r="B539" s="22">
        <v>68958354958</v>
      </c>
      <c r="C539" s="11" t="s">
        <v>573</v>
      </c>
      <c r="D539" s="17">
        <v>120</v>
      </c>
      <c r="E539" s="17" t="s">
        <v>14</v>
      </c>
      <c r="F539" s="37">
        <v>0.16003499999999998</v>
      </c>
      <c r="G539" s="17">
        <v>24</v>
      </c>
      <c r="H539" s="43" t="s">
        <v>636</v>
      </c>
      <c r="I539" s="18">
        <v>18.714073846153848</v>
      </c>
      <c r="J539" s="16"/>
      <c r="K539" s="49">
        <f>I539*J539</f>
        <v>0</v>
      </c>
      <c r="L539" s="36"/>
      <c r="N539" s="33" t="str">
        <f>IFERROR(IF($N$2*F539=0, "-", $N$2*F539), "-")</f>
        <v>-</v>
      </c>
      <c r="O539" s="33" t="str">
        <f>IF(J539&gt;0,I539+N539,"-")</f>
        <v>-</v>
      </c>
      <c r="P539" s="34" t="str">
        <f>IF(J539&gt;0,J539*F539, "-")</f>
        <v>-</v>
      </c>
      <c r="Q539" s="35" t="str">
        <f>IFERROR(IF($N$2&gt;0, $N$2*P539, "-"), "-")</f>
        <v>-</v>
      </c>
      <c r="S539" s="35" t="str">
        <f>IFERROR(IF(Q539+K539=0, "-", IF(Q539&gt;0, Q539+K539, "-")), "-")</f>
        <v>-</v>
      </c>
    </row>
    <row r="540" spans="1:19" x14ac:dyDescent="0.3">
      <c r="A540" s="48">
        <v>35497</v>
      </c>
      <c r="B540" s="23">
        <v>68958354972</v>
      </c>
      <c r="C540" s="11" t="s">
        <v>574</v>
      </c>
      <c r="D540" s="17">
        <v>60</v>
      </c>
      <c r="E540" s="17" t="s">
        <v>14</v>
      </c>
      <c r="F540" s="37">
        <v>0.29623500000000003</v>
      </c>
      <c r="G540" s="17">
        <v>12</v>
      </c>
      <c r="H540" s="43" t="s">
        <v>636</v>
      </c>
      <c r="I540" s="18">
        <v>37.992655384615389</v>
      </c>
      <c r="J540" s="16"/>
      <c r="K540" s="49">
        <f>I540*J540</f>
        <v>0</v>
      </c>
      <c r="L540" s="36"/>
      <c r="N540" s="33" t="str">
        <f>IFERROR(IF($N$2*F540=0, "-", $N$2*F540), "-")</f>
        <v>-</v>
      </c>
      <c r="O540" s="33" t="str">
        <f>IF(J540&gt;0,I540+N540,"-")</f>
        <v>-</v>
      </c>
      <c r="P540" s="34" t="str">
        <f>IF(J540&gt;0,J540*F540, "-")</f>
        <v>-</v>
      </c>
      <c r="Q540" s="35" t="str">
        <f>IFERROR(IF($N$2&gt;0, $N$2*P540, "-"), "-")</f>
        <v>-</v>
      </c>
      <c r="S540" s="35" t="str">
        <f>IFERROR(IF(Q540+K540=0, "-", IF(Q540&gt;0, Q540+K540, "-")), "-")</f>
        <v>-</v>
      </c>
    </row>
    <row r="541" spans="1:19" x14ac:dyDescent="0.3">
      <c r="A541" s="48">
        <v>35502</v>
      </c>
      <c r="B541" s="23">
        <v>68958355023</v>
      </c>
      <c r="C541" s="11" t="s">
        <v>575</v>
      </c>
      <c r="D541" s="17">
        <v>60</v>
      </c>
      <c r="E541" s="17" t="s">
        <v>32</v>
      </c>
      <c r="F541" s="37">
        <v>0.24515999999999999</v>
      </c>
      <c r="G541" s="17">
        <v>12</v>
      </c>
      <c r="H541" s="43" t="s">
        <v>636</v>
      </c>
      <c r="I541" s="18">
        <v>17.267517692307695</v>
      </c>
      <c r="J541" s="16"/>
      <c r="K541" s="49">
        <f>I541*J541</f>
        <v>0</v>
      </c>
      <c r="L541" s="36"/>
      <c r="N541" s="33" t="str">
        <f>IFERROR(IF($N$2*F541=0, "-", $N$2*F541), "-")</f>
        <v>-</v>
      </c>
      <c r="O541" s="33" t="str">
        <f>IF(J541&gt;0,I541+N541,"-")</f>
        <v>-</v>
      </c>
      <c r="P541" s="34" t="str">
        <f>IF(J541&gt;0,J541*F541, "-")</f>
        <v>-</v>
      </c>
      <c r="Q541" s="35" t="str">
        <f>IFERROR(IF($N$2&gt;0, $N$2*P541, "-"), "-")</f>
        <v>-</v>
      </c>
      <c r="S541" s="35" t="str">
        <f>IFERROR(IF(Q541+K541=0, "-", IF(Q541&gt;0, Q541+K541, "-")), "-")</f>
        <v>-</v>
      </c>
    </row>
    <row r="542" spans="1:19" x14ac:dyDescent="0.3">
      <c r="A542" s="48">
        <v>35503</v>
      </c>
      <c r="B542" s="23">
        <v>68958355030</v>
      </c>
      <c r="C542" s="11" t="s">
        <v>576</v>
      </c>
      <c r="D542" s="17">
        <v>60</v>
      </c>
      <c r="E542" s="17" t="s">
        <v>32</v>
      </c>
      <c r="F542" s="37">
        <v>0.24743000000000001</v>
      </c>
      <c r="G542" s="17">
        <v>12</v>
      </c>
      <c r="H542" s="43" t="s">
        <v>636</v>
      </c>
      <c r="I542" s="18">
        <v>16.857906923076929</v>
      </c>
      <c r="J542" s="16"/>
      <c r="K542" s="49">
        <f>I542*J542</f>
        <v>0</v>
      </c>
      <c r="L542" s="36"/>
      <c r="N542" s="33" t="str">
        <f>IFERROR(IF($N$2*F542=0, "-", $N$2*F542), "-")</f>
        <v>-</v>
      </c>
      <c r="O542" s="33" t="str">
        <f>IF(J542&gt;0,I542+N542,"-")</f>
        <v>-</v>
      </c>
      <c r="P542" s="34" t="str">
        <f>IF(J542&gt;0,J542*F542, "-")</f>
        <v>-</v>
      </c>
      <c r="Q542" s="35" t="str">
        <f>IFERROR(IF($N$2&gt;0, $N$2*P542, "-"), "-")</f>
        <v>-</v>
      </c>
      <c r="S542" s="35" t="str">
        <f>IFERROR(IF(Q542+K542=0, "-", IF(Q542&gt;0, Q542+K542, "-")), "-")</f>
        <v>-</v>
      </c>
    </row>
    <row r="543" spans="1:19" x14ac:dyDescent="0.3">
      <c r="A543" s="48">
        <v>35504</v>
      </c>
      <c r="B543" s="23">
        <v>68958355047</v>
      </c>
      <c r="C543" s="11" t="s">
        <v>577</v>
      </c>
      <c r="D543" s="17">
        <v>60</v>
      </c>
      <c r="E543" s="17" t="s">
        <v>32</v>
      </c>
      <c r="F543" s="37">
        <v>0.24402499999999999</v>
      </c>
      <c r="G543" s="17">
        <v>12</v>
      </c>
      <c r="H543" s="43" t="s">
        <v>636</v>
      </c>
      <c r="I543" s="18">
        <v>17.011370769230769</v>
      </c>
      <c r="J543" s="16"/>
      <c r="K543" s="49">
        <f>I543*J543</f>
        <v>0</v>
      </c>
      <c r="L543" s="36"/>
      <c r="N543" s="33" t="str">
        <f>IFERROR(IF($N$2*F543=0, "-", $N$2*F543), "-")</f>
        <v>-</v>
      </c>
      <c r="O543" s="33" t="str">
        <f>IF(J543&gt;0,I543+N543,"-")</f>
        <v>-</v>
      </c>
      <c r="P543" s="34" t="str">
        <f>IF(J543&gt;0,J543*F543, "-")</f>
        <v>-</v>
      </c>
      <c r="Q543" s="35" t="str">
        <f>IFERROR(IF($N$2&gt;0, $N$2*P543, "-"), "-")</f>
        <v>-</v>
      </c>
      <c r="S543" s="35" t="str">
        <f>IFERROR(IF(Q543+K543=0, "-", IF(Q543&gt;0, Q543+K543, "-")), "-")</f>
        <v>-</v>
      </c>
    </row>
    <row r="544" spans="1:19" x14ac:dyDescent="0.3">
      <c r="A544" s="48">
        <v>35505</v>
      </c>
      <c r="B544" s="22">
        <v>68958355054</v>
      </c>
      <c r="C544" s="11" t="s">
        <v>578</v>
      </c>
      <c r="D544" s="17">
        <v>60</v>
      </c>
      <c r="E544" s="17" t="s">
        <v>32</v>
      </c>
      <c r="F544" s="37">
        <v>0.24856500000000001</v>
      </c>
      <c r="G544" s="17">
        <v>12</v>
      </c>
      <c r="H544" s="43" t="s">
        <v>636</v>
      </c>
      <c r="I544" s="18">
        <v>16.235826923076925</v>
      </c>
      <c r="J544" s="16"/>
      <c r="K544" s="49">
        <f>I544*J544</f>
        <v>0</v>
      </c>
      <c r="L544" s="36"/>
      <c r="N544" s="33" t="str">
        <f>IFERROR(IF($N$2*F544=0, "-", $N$2*F544), "-")</f>
        <v>-</v>
      </c>
      <c r="O544" s="33" t="str">
        <f>IF(J544&gt;0,I544+N544,"-")</f>
        <v>-</v>
      </c>
      <c r="P544" s="34" t="str">
        <f>IF(J544&gt;0,J544*F544, "-")</f>
        <v>-</v>
      </c>
      <c r="Q544" s="35" t="str">
        <f>IFERROR(IF($N$2&gt;0, $N$2*P544, "-"), "-")</f>
        <v>-</v>
      </c>
      <c r="S544" s="35" t="str">
        <f>IFERROR(IF(Q544+K544=0, "-", IF(Q544&gt;0, Q544+K544, "-")), "-")</f>
        <v>-</v>
      </c>
    </row>
    <row r="545" spans="1:19" x14ac:dyDescent="0.3">
      <c r="A545" s="48">
        <v>35506</v>
      </c>
      <c r="B545" s="23">
        <v>627765355062</v>
      </c>
      <c r="C545" s="11" t="s">
        <v>579</v>
      </c>
      <c r="D545" s="17">
        <v>6</v>
      </c>
      <c r="E545" s="17" t="s">
        <v>580</v>
      </c>
      <c r="F545" s="37">
        <v>0.59701000000000004</v>
      </c>
      <c r="G545" s="17">
        <v>12</v>
      </c>
      <c r="H545" s="43" t="s">
        <v>636</v>
      </c>
      <c r="I545" s="18">
        <v>24.162923076923079</v>
      </c>
      <c r="J545" s="16"/>
      <c r="K545" s="49">
        <f>I545*J545</f>
        <v>0</v>
      </c>
      <c r="L545" s="36"/>
      <c r="N545" s="33" t="str">
        <f>IFERROR(IF($N$2*F545=0, "-", $N$2*F545), "-")</f>
        <v>-</v>
      </c>
      <c r="O545" s="33" t="str">
        <f>IF(J545&gt;0,I545+N545,"-")</f>
        <v>-</v>
      </c>
      <c r="P545" s="34" t="str">
        <f>IF(J545&gt;0,J545*F545, "-")</f>
        <v>-</v>
      </c>
      <c r="Q545" s="35" t="str">
        <f>IFERROR(IF($N$2&gt;0, $N$2*P545, "-"), "-")</f>
        <v>-</v>
      </c>
      <c r="S545" s="35" t="str">
        <f>IFERROR(IF(Q545+K545=0, "-", IF(Q545&gt;0, Q545+K545, "-")), "-")</f>
        <v>-</v>
      </c>
    </row>
    <row r="546" spans="1:19" x14ac:dyDescent="0.3">
      <c r="A546" s="48">
        <v>35509</v>
      </c>
      <c r="B546" s="23">
        <v>68958355092</v>
      </c>
      <c r="C546" s="11" t="s">
        <v>581</v>
      </c>
      <c r="D546" s="17">
        <v>60</v>
      </c>
      <c r="E546" s="17" t="s">
        <v>580</v>
      </c>
      <c r="F546" s="37">
        <v>1.1032200000000001</v>
      </c>
      <c r="G546" s="17">
        <v>12</v>
      </c>
      <c r="H546" s="43" t="s">
        <v>636</v>
      </c>
      <c r="I546" s="18">
        <v>43.150153846153849</v>
      </c>
      <c r="J546" s="16"/>
      <c r="K546" s="49">
        <f>I546*J546</f>
        <v>0</v>
      </c>
      <c r="L546" s="36"/>
      <c r="N546" s="33" t="str">
        <f>IFERROR(IF($N$2*F546=0, "-", $N$2*F546), "-")</f>
        <v>-</v>
      </c>
      <c r="O546" s="33" t="str">
        <f>IF(J546&gt;0,I546+N546,"-")</f>
        <v>-</v>
      </c>
      <c r="P546" s="34" t="str">
        <f>IF(J546&gt;0,J546*F546, "-")</f>
        <v>-</v>
      </c>
      <c r="Q546" s="35" t="str">
        <f>IFERROR(IF($N$2&gt;0, $N$2*P546, "-"), "-")</f>
        <v>-</v>
      </c>
      <c r="S546" s="35" t="str">
        <f>IFERROR(IF(Q546+K546=0, "-", IF(Q546&gt;0, Q546+K546, "-")), "-")</f>
        <v>-</v>
      </c>
    </row>
    <row r="547" spans="1:19" x14ac:dyDescent="0.3">
      <c r="A547" s="48">
        <v>35510</v>
      </c>
      <c r="B547" s="23">
        <v>68958355108</v>
      </c>
      <c r="C547" s="11" t="s">
        <v>582</v>
      </c>
      <c r="D547" s="17">
        <v>60</v>
      </c>
      <c r="E547" s="17" t="s">
        <v>45</v>
      </c>
      <c r="F547" s="37">
        <v>0.22246000000000002</v>
      </c>
      <c r="G547" s="17">
        <v>12</v>
      </c>
      <c r="H547" s="43" t="s">
        <v>636</v>
      </c>
      <c r="I547" s="18">
        <v>26.793616153846155</v>
      </c>
      <c r="J547" s="16"/>
      <c r="K547" s="49">
        <f>I547*J547</f>
        <v>0</v>
      </c>
      <c r="L547" s="36"/>
      <c r="N547" s="33" t="str">
        <f>IFERROR(IF($N$2*F547=0, "-", $N$2*F547), "-")</f>
        <v>-</v>
      </c>
      <c r="O547" s="33" t="str">
        <f>IF(J547&gt;0,I547+N547,"-")</f>
        <v>-</v>
      </c>
      <c r="P547" s="34" t="str">
        <f>IF(J547&gt;0,J547*F547, "-")</f>
        <v>-</v>
      </c>
      <c r="Q547" s="35" t="str">
        <f>IFERROR(IF($N$2&gt;0, $N$2*P547, "-"), "-")</f>
        <v>-</v>
      </c>
      <c r="S547" s="35" t="str">
        <f>IFERROR(IF(Q547+K547=0, "-", IF(Q547&gt;0, Q547+K547, "-")), "-")</f>
        <v>-</v>
      </c>
    </row>
    <row r="548" spans="1:19" x14ac:dyDescent="0.3">
      <c r="A548" s="48">
        <v>35512</v>
      </c>
      <c r="B548" s="23">
        <v>68958355122</v>
      </c>
      <c r="C548" s="11" t="s">
        <v>583</v>
      </c>
      <c r="D548" s="17">
        <v>90</v>
      </c>
      <c r="E548" s="17" t="s">
        <v>45</v>
      </c>
      <c r="F548" s="37">
        <v>0.19975999999999999</v>
      </c>
      <c r="G548" s="17">
        <v>12</v>
      </c>
      <c r="H548" s="43" t="s">
        <v>636</v>
      </c>
      <c r="I548" s="18">
        <v>10.586556734693881</v>
      </c>
      <c r="J548" s="16"/>
      <c r="K548" s="49">
        <f>I548*J548</f>
        <v>0</v>
      </c>
      <c r="L548" s="36"/>
      <c r="N548" s="33" t="str">
        <f>IFERROR(IF($N$2*F548=0, "-", $N$2*F548), "-")</f>
        <v>-</v>
      </c>
      <c r="O548" s="33" t="str">
        <f>IF(J548&gt;0,I548+N548,"-")</f>
        <v>-</v>
      </c>
      <c r="P548" s="34" t="str">
        <f>IF(J548&gt;0,J548*F548, "-")</f>
        <v>-</v>
      </c>
      <c r="Q548" s="35" t="str">
        <f>IFERROR(IF($N$2&gt;0, $N$2*P548, "-"), "-")</f>
        <v>-</v>
      </c>
      <c r="S548" s="35" t="str">
        <f>IFERROR(IF(Q548+K548=0, "-", IF(Q548&gt;0, Q548+K548, "-")), "-")</f>
        <v>-</v>
      </c>
    </row>
    <row r="549" spans="1:19" x14ac:dyDescent="0.3">
      <c r="A549" s="48">
        <v>35513</v>
      </c>
      <c r="B549" s="23">
        <v>68958355139</v>
      </c>
      <c r="C549" s="11" t="s">
        <v>584</v>
      </c>
      <c r="D549" s="17">
        <v>90</v>
      </c>
      <c r="E549" s="17" t="s">
        <v>14</v>
      </c>
      <c r="F549" s="37">
        <v>0.24288999999999999</v>
      </c>
      <c r="G549" s="17">
        <v>12</v>
      </c>
      <c r="H549" s="43" t="s">
        <v>636</v>
      </c>
      <c r="I549" s="18">
        <v>15.609240000000002</v>
      </c>
      <c r="J549" s="16"/>
      <c r="K549" s="49">
        <f>I549*J549</f>
        <v>0</v>
      </c>
      <c r="L549" s="36"/>
      <c r="N549" s="33" t="str">
        <f>IFERROR(IF($N$2*F549=0, "-", $N$2*F549), "-")</f>
        <v>-</v>
      </c>
      <c r="O549" s="33" t="str">
        <f>IF(J549&gt;0,I549+N549,"-")</f>
        <v>-</v>
      </c>
      <c r="P549" s="34" t="str">
        <f>IF(J549&gt;0,J549*F549, "-")</f>
        <v>-</v>
      </c>
      <c r="Q549" s="35" t="str">
        <f>IFERROR(IF($N$2&gt;0, $N$2*P549, "-"), "-")</f>
        <v>-</v>
      </c>
      <c r="S549" s="35" t="str">
        <f>IFERROR(IF(Q549+K549=0, "-", IF(Q549&gt;0, Q549+K549, "-")), "-")</f>
        <v>-</v>
      </c>
    </row>
    <row r="550" spans="1:19" x14ac:dyDescent="0.3">
      <c r="A550" s="48">
        <v>35514</v>
      </c>
      <c r="B550" s="23">
        <v>68958355146</v>
      </c>
      <c r="C550" s="11" t="s">
        <v>585</v>
      </c>
      <c r="D550" s="17">
        <v>90</v>
      </c>
      <c r="E550" s="17" t="s">
        <v>14</v>
      </c>
      <c r="F550" s="37">
        <v>0.26105</v>
      </c>
      <c r="G550" s="17">
        <v>12</v>
      </c>
      <c r="H550" s="43" t="s">
        <v>636</v>
      </c>
      <c r="I550" s="18">
        <v>27.626358461538462</v>
      </c>
      <c r="J550" s="16"/>
      <c r="K550" s="49">
        <f>I550*J550</f>
        <v>0</v>
      </c>
      <c r="L550" s="36"/>
      <c r="N550" s="33" t="str">
        <f>IFERROR(IF($N$2*F550=0, "-", $N$2*F550), "-")</f>
        <v>-</v>
      </c>
      <c r="O550" s="33" t="str">
        <f>IF(J550&gt;0,I550+N550,"-")</f>
        <v>-</v>
      </c>
      <c r="P550" s="34" t="str">
        <f>IF(J550&gt;0,J550*F550, "-")</f>
        <v>-</v>
      </c>
      <c r="Q550" s="35" t="str">
        <f>IFERROR(IF($N$2&gt;0, $N$2*P550, "-"), "-")</f>
        <v>-</v>
      </c>
      <c r="S550" s="35" t="str">
        <f>IFERROR(IF(Q550+K550=0, "-", IF(Q550&gt;0, Q550+K550, "-")), "-")</f>
        <v>-</v>
      </c>
    </row>
    <row r="551" spans="1:19" x14ac:dyDescent="0.3">
      <c r="A551" s="48">
        <v>35517</v>
      </c>
      <c r="B551" s="23">
        <v>68958355177</v>
      </c>
      <c r="C551" s="11" t="s">
        <v>586</v>
      </c>
      <c r="D551" s="17">
        <v>60</v>
      </c>
      <c r="E551" s="17" t="s">
        <v>14</v>
      </c>
      <c r="F551" s="37">
        <v>0.31893500000000002</v>
      </c>
      <c r="G551" s="17">
        <v>12</v>
      </c>
      <c r="H551" s="43" t="s">
        <v>636</v>
      </c>
      <c r="I551" s="18">
        <v>17.542107692307692</v>
      </c>
      <c r="J551" s="16"/>
      <c r="K551" s="49">
        <f>I551*J551</f>
        <v>0</v>
      </c>
      <c r="L551" s="36"/>
      <c r="N551" s="33" t="str">
        <f>IFERROR(IF($N$2*F551=0, "-", $N$2*F551), "-")</f>
        <v>-</v>
      </c>
      <c r="O551" s="33" t="str">
        <f>IF(J551&gt;0,I551+N551,"-")</f>
        <v>-</v>
      </c>
      <c r="P551" s="34" t="str">
        <f>IF(J551&gt;0,J551*F551, "-")</f>
        <v>-</v>
      </c>
      <c r="Q551" s="35" t="str">
        <f>IFERROR(IF($N$2&gt;0, $N$2*P551, "-"), "-")</f>
        <v>-</v>
      </c>
      <c r="S551" s="35" t="str">
        <f>IFERROR(IF(Q551+K551=0, "-", IF(Q551&gt;0, Q551+K551, "-")), "-")</f>
        <v>-</v>
      </c>
    </row>
    <row r="552" spans="1:19" x14ac:dyDescent="0.3">
      <c r="A552" s="48">
        <v>35519</v>
      </c>
      <c r="B552" s="23">
        <v>68958355191</v>
      </c>
      <c r="C552" s="11" t="s">
        <v>587</v>
      </c>
      <c r="D552" s="17">
        <v>120</v>
      </c>
      <c r="E552" s="17" t="s">
        <v>32</v>
      </c>
      <c r="F552" s="37">
        <v>0.35411999999999999</v>
      </c>
      <c r="G552" s="17">
        <v>12</v>
      </c>
      <c r="H552" s="43" t="s">
        <v>636</v>
      </c>
      <c r="I552" s="18">
        <v>31.439049230769239</v>
      </c>
      <c r="J552" s="16"/>
      <c r="K552" s="49">
        <f>I552*J552</f>
        <v>0</v>
      </c>
      <c r="L552" s="36"/>
      <c r="N552" s="33" t="str">
        <f>IFERROR(IF($N$2*F552=0, "-", $N$2*F552), "-")</f>
        <v>-</v>
      </c>
      <c r="O552" s="33" t="str">
        <f>IF(J552&gt;0,I552+N552,"-")</f>
        <v>-</v>
      </c>
      <c r="P552" s="34" t="str">
        <f>IF(J552&gt;0,J552*F552, "-")</f>
        <v>-</v>
      </c>
      <c r="Q552" s="35" t="str">
        <f>IFERROR(IF($N$2&gt;0, $N$2*P552, "-"), "-")</f>
        <v>-</v>
      </c>
      <c r="S552" s="35" t="str">
        <f>IFERROR(IF(Q552+K552=0, "-", IF(Q552&gt;0, Q552+K552, "-")), "-")</f>
        <v>-</v>
      </c>
    </row>
    <row r="553" spans="1:19" x14ac:dyDescent="0.3">
      <c r="A553" s="48">
        <v>35520</v>
      </c>
      <c r="B553" s="23">
        <v>68958355207</v>
      </c>
      <c r="C553" s="11" t="s">
        <v>588</v>
      </c>
      <c r="D553" s="17">
        <v>120</v>
      </c>
      <c r="E553" s="17" t="s">
        <v>32</v>
      </c>
      <c r="F553" s="37">
        <v>0.35638999999999998</v>
      </c>
      <c r="G553" s="17">
        <v>12</v>
      </c>
      <c r="H553" s="43" t="s">
        <v>636</v>
      </c>
      <c r="I553" s="18">
        <v>32.059384615384616</v>
      </c>
      <c r="J553" s="16"/>
      <c r="K553" s="49">
        <f>I553*J553</f>
        <v>0</v>
      </c>
      <c r="L553" s="36"/>
      <c r="N553" s="33" t="str">
        <f>IFERROR(IF($N$2*F553=0, "-", $N$2*F553), "-")</f>
        <v>-</v>
      </c>
      <c r="O553" s="33" t="str">
        <f>IF(J553&gt;0,I553+N553,"-")</f>
        <v>-</v>
      </c>
      <c r="P553" s="34" t="str">
        <f>IF(J553&gt;0,J553*F553, "-")</f>
        <v>-</v>
      </c>
      <c r="Q553" s="35" t="str">
        <f>IFERROR(IF($N$2&gt;0, $N$2*P553, "-"), "-")</f>
        <v>-</v>
      </c>
      <c r="S553" s="35" t="str">
        <f>IFERROR(IF(Q553+K553=0, "-", IF(Q553&gt;0, Q553+K553, "-")), "-")</f>
        <v>-</v>
      </c>
    </row>
    <row r="554" spans="1:19" x14ac:dyDescent="0.3">
      <c r="A554" s="48">
        <v>35521</v>
      </c>
      <c r="B554" s="23">
        <v>68958355214</v>
      </c>
      <c r="C554" s="11" t="s">
        <v>589</v>
      </c>
      <c r="D554" s="17">
        <v>120</v>
      </c>
      <c r="E554" s="17" t="s">
        <v>32</v>
      </c>
      <c r="F554" s="37">
        <v>0.34958</v>
      </c>
      <c r="G554" s="17">
        <v>12</v>
      </c>
      <c r="H554" s="43" t="s">
        <v>636</v>
      </c>
      <c r="I554" s="18">
        <v>31.558576153846158</v>
      </c>
      <c r="J554" s="16"/>
      <c r="K554" s="49">
        <f>I554*J554</f>
        <v>0</v>
      </c>
      <c r="L554" s="36"/>
      <c r="N554" s="33" t="str">
        <f>IFERROR(IF($N$2*F554=0, "-", $N$2*F554), "-")</f>
        <v>-</v>
      </c>
      <c r="O554" s="33" t="str">
        <f>IF(J554&gt;0,I554+N554,"-")</f>
        <v>-</v>
      </c>
      <c r="P554" s="34" t="str">
        <f>IF(J554&gt;0,J554*F554, "-")</f>
        <v>-</v>
      </c>
      <c r="Q554" s="35" t="str">
        <f>IFERROR(IF($N$2&gt;0, $N$2*P554, "-"), "-")</f>
        <v>-</v>
      </c>
      <c r="S554" s="35" t="str">
        <f>IFERROR(IF(Q554+K554=0, "-", IF(Q554&gt;0, Q554+K554, "-")), "-")</f>
        <v>-</v>
      </c>
    </row>
    <row r="555" spans="1:19" x14ac:dyDescent="0.3">
      <c r="A555" s="48">
        <v>35522</v>
      </c>
      <c r="B555" s="23">
        <v>68958355221</v>
      </c>
      <c r="C555" s="11" t="s">
        <v>590</v>
      </c>
      <c r="D555" s="17">
        <v>120</v>
      </c>
      <c r="E555" s="17" t="s">
        <v>32</v>
      </c>
      <c r="F555" s="37">
        <v>0.34731000000000001</v>
      </c>
      <c r="G555" s="17">
        <v>12</v>
      </c>
      <c r="H555" s="43" t="s">
        <v>636</v>
      </c>
      <c r="I555" s="18">
        <v>31.433379230769233</v>
      </c>
      <c r="J555" s="16"/>
      <c r="K555" s="49">
        <f>I555*J555</f>
        <v>0</v>
      </c>
      <c r="L555" s="36"/>
      <c r="N555" s="33" t="str">
        <f>IFERROR(IF($N$2*F555=0, "-", $N$2*F555), "-")</f>
        <v>-</v>
      </c>
      <c r="O555" s="33" t="str">
        <f>IF(J555&gt;0,I555+N555,"-")</f>
        <v>-</v>
      </c>
      <c r="P555" s="34" t="str">
        <f>IF(J555&gt;0,J555*F555, "-")</f>
        <v>-</v>
      </c>
      <c r="Q555" s="35" t="str">
        <f>IFERROR(IF($N$2&gt;0, $N$2*P555, "-"), "-")</f>
        <v>-</v>
      </c>
      <c r="S555" s="35" t="str">
        <f>IFERROR(IF(Q555+K555=0, "-", IF(Q555&gt;0, Q555+K555, "-")), "-")</f>
        <v>-</v>
      </c>
    </row>
    <row r="556" spans="1:19" x14ac:dyDescent="0.3">
      <c r="A556" s="48">
        <v>35523</v>
      </c>
      <c r="B556" s="23">
        <v>68958355238</v>
      </c>
      <c r="C556" s="11" t="s">
        <v>591</v>
      </c>
      <c r="D556" s="17">
        <v>660</v>
      </c>
      <c r="E556" s="17" t="s">
        <v>130</v>
      </c>
      <c r="F556" s="37">
        <v>0.91708000000000012</v>
      </c>
      <c r="G556" s="17">
        <v>6</v>
      </c>
      <c r="H556" s="43" t="s">
        <v>636</v>
      </c>
      <c r="I556" s="18">
        <v>39.115564615384613</v>
      </c>
      <c r="J556" s="16"/>
      <c r="K556" s="49">
        <f>I556*J556</f>
        <v>0</v>
      </c>
      <c r="L556" s="36"/>
      <c r="N556" s="33" t="str">
        <f>IFERROR(IF($N$2*F556=0, "-", $N$2*F556), "-")</f>
        <v>-</v>
      </c>
      <c r="O556" s="33" t="str">
        <f>IF(J556&gt;0,I556+N556,"-")</f>
        <v>-</v>
      </c>
      <c r="P556" s="34" t="str">
        <f>IF(J556&gt;0,J556*F556, "-")</f>
        <v>-</v>
      </c>
      <c r="Q556" s="35" t="str">
        <f>IFERROR(IF($N$2&gt;0, $N$2*P556, "-"), "-")</f>
        <v>-</v>
      </c>
      <c r="S556" s="35" t="str">
        <f>IFERROR(IF(Q556+K556=0, "-", IF(Q556&gt;0, Q556+K556, "-")), "-")</f>
        <v>-</v>
      </c>
    </row>
    <row r="557" spans="1:19" x14ac:dyDescent="0.3">
      <c r="A557" s="48">
        <v>35524</v>
      </c>
      <c r="B557" s="23">
        <v>68958355245</v>
      </c>
      <c r="C557" s="11" t="s">
        <v>592</v>
      </c>
      <c r="D557" s="17">
        <v>438</v>
      </c>
      <c r="E557" s="17" t="s">
        <v>130</v>
      </c>
      <c r="F557" s="37">
        <v>0.60609000000000002</v>
      </c>
      <c r="G557" s="17">
        <v>4</v>
      </c>
      <c r="H557" s="43" t="s">
        <v>636</v>
      </c>
      <c r="I557" s="18">
        <v>32.335470000000001</v>
      </c>
      <c r="J557" s="16"/>
      <c r="K557" s="49">
        <f>I557*J557</f>
        <v>0</v>
      </c>
      <c r="L557" s="36"/>
      <c r="N557" s="33" t="str">
        <f>IFERROR(IF($N$2*F557=0, "-", $N$2*F557), "-")</f>
        <v>-</v>
      </c>
      <c r="O557" s="33" t="str">
        <f>IF(J557&gt;0,I557+N557,"-")</f>
        <v>-</v>
      </c>
      <c r="P557" s="34" t="str">
        <f>IF(J557&gt;0,J557*F557, "-")</f>
        <v>-</v>
      </c>
      <c r="Q557" s="35" t="str">
        <f>IFERROR(IF($N$2&gt;0, $N$2*P557, "-"), "-")</f>
        <v>-</v>
      </c>
      <c r="S557" s="35" t="str">
        <f>IFERROR(IF(Q557+K557=0, "-", IF(Q557&gt;0, Q557+K557, "-")), "-")</f>
        <v>-</v>
      </c>
    </row>
    <row r="558" spans="1:19" x14ac:dyDescent="0.3">
      <c r="A558" s="48">
        <v>35525</v>
      </c>
      <c r="B558" s="23">
        <v>68958355252</v>
      </c>
      <c r="C558" s="11" t="s">
        <v>593</v>
      </c>
      <c r="D558" s="17">
        <v>405</v>
      </c>
      <c r="E558" s="17" t="s">
        <v>130</v>
      </c>
      <c r="F558" s="37">
        <v>0.58338999999999996</v>
      </c>
      <c r="G558" s="17">
        <v>4</v>
      </c>
      <c r="H558" s="43" t="s">
        <v>636</v>
      </c>
      <c r="I558" s="18">
        <v>30.650836153846154</v>
      </c>
      <c r="J558" s="16"/>
      <c r="K558" s="49">
        <f>I558*J558</f>
        <v>0</v>
      </c>
      <c r="L558" s="36"/>
      <c r="N558" s="33" t="str">
        <f>IFERROR(IF($N$2*F558=0, "-", $N$2*F558), "-")</f>
        <v>-</v>
      </c>
      <c r="O558" s="33" t="str">
        <f>IF(J558&gt;0,I558+N558,"-")</f>
        <v>-</v>
      </c>
      <c r="P558" s="34" t="str">
        <f>IF(J558&gt;0,J558*F558, "-")</f>
        <v>-</v>
      </c>
      <c r="Q558" s="35" t="str">
        <f>IFERROR(IF($N$2&gt;0, $N$2*P558, "-"), "-")</f>
        <v>-</v>
      </c>
      <c r="S558" s="35" t="str">
        <f>IFERROR(IF(Q558+K558=0, "-", IF(Q558&gt;0, Q558+K558, "-")), "-")</f>
        <v>-</v>
      </c>
    </row>
    <row r="559" spans="1:19" x14ac:dyDescent="0.3">
      <c r="A559" s="48">
        <v>35526</v>
      </c>
      <c r="B559" s="23">
        <v>68958355269</v>
      </c>
      <c r="C559" s="11" t="s">
        <v>594</v>
      </c>
      <c r="D559" s="17">
        <v>390</v>
      </c>
      <c r="E559" s="17" t="s">
        <v>130</v>
      </c>
      <c r="F559" s="37">
        <v>0.55388000000000004</v>
      </c>
      <c r="G559" s="17">
        <v>4</v>
      </c>
      <c r="H559" s="43" t="s">
        <v>636</v>
      </c>
      <c r="I559" s="18">
        <v>25.165391538461538</v>
      </c>
      <c r="J559" s="16"/>
      <c r="K559" s="49">
        <f>I559*J559</f>
        <v>0</v>
      </c>
      <c r="L559" s="36"/>
      <c r="N559" s="33" t="str">
        <f>IFERROR(IF($N$2*F559=0, "-", $N$2*F559), "-")</f>
        <v>-</v>
      </c>
      <c r="O559" s="33" t="str">
        <f>IF(J559&gt;0,I559+N559,"-")</f>
        <v>-</v>
      </c>
      <c r="P559" s="34" t="str">
        <f>IF(J559&gt;0,J559*F559, "-")</f>
        <v>-</v>
      </c>
      <c r="Q559" s="35" t="str">
        <f>IFERROR(IF($N$2&gt;0, $N$2*P559, "-"), "-")</f>
        <v>-</v>
      </c>
      <c r="S559" s="35" t="str">
        <f>IFERROR(IF(Q559+K559=0, "-", IF(Q559&gt;0, Q559+K559, "-")), "-")</f>
        <v>-</v>
      </c>
    </row>
    <row r="560" spans="1:19" x14ac:dyDescent="0.3">
      <c r="A560" s="48">
        <v>35535</v>
      </c>
      <c r="B560" s="23">
        <v>68958355351</v>
      </c>
      <c r="C560" s="11" t="s">
        <v>595</v>
      </c>
      <c r="D560" s="17">
        <v>710</v>
      </c>
      <c r="E560" s="17" t="s">
        <v>130</v>
      </c>
      <c r="F560" s="37">
        <v>0.97382999999999997</v>
      </c>
      <c r="G560" s="17">
        <v>6</v>
      </c>
      <c r="H560" s="43" t="s">
        <v>636</v>
      </c>
      <c r="I560" s="18">
        <v>40.671242307692317</v>
      </c>
      <c r="J560" s="16"/>
      <c r="K560" s="49">
        <f>I560*J560</f>
        <v>0</v>
      </c>
      <c r="L560" s="36"/>
      <c r="N560" s="33" t="str">
        <f>IFERROR(IF($N$2*F560=0, "-", $N$2*F560), "-")</f>
        <v>-</v>
      </c>
      <c r="O560" s="33" t="str">
        <f>IF(J560&gt;0,I560+N560,"-")</f>
        <v>-</v>
      </c>
      <c r="P560" s="34" t="str">
        <f>IF(J560&gt;0,J560*F560, "-")</f>
        <v>-</v>
      </c>
      <c r="Q560" s="35" t="str">
        <f>IFERROR(IF($N$2&gt;0, $N$2*P560, "-"), "-")</f>
        <v>-</v>
      </c>
      <c r="S560" s="35" t="str">
        <f>IFERROR(IF(Q560+K560=0, "-", IF(Q560&gt;0, Q560+K560, "-")), "-")</f>
        <v>-</v>
      </c>
    </row>
    <row r="561" spans="1:19" x14ac:dyDescent="0.3">
      <c r="A561" s="48">
        <v>35540</v>
      </c>
      <c r="B561" s="23">
        <v>68958355405</v>
      </c>
      <c r="C561" s="11" t="s">
        <v>596</v>
      </c>
      <c r="D561" s="17">
        <v>656</v>
      </c>
      <c r="E561" s="17" t="s">
        <v>130</v>
      </c>
      <c r="F561" s="37">
        <v>0.91708000000000012</v>
      </c>
      <c r="G561" s="17">
        <v>6</v>
      </c>
      <c r="H561" s="43" t="s">
        <v>636</v>
      </c>
      <c r="I561" s="18">
        <v>36.163260000000008</v>
      </c>
      <c r="J561" s="16"/>
      <c r="K561" s="49">
        <f>I561*J561</f>
        <v>0</v>
      </c>
      <c r="L561" s="36"/>
      <c r="N561" s="33" t="str">
        <f>IFERROR(IF($N$2*F561=0, "-", $N$2*F561), "-")</f>
        <v>-</v>
      </c>
      <c r="O561" s="33" t="str">
        <f>IF(J561&gt;0,I561+N561,"-")</f>
        <v>-</v>
      </c>
      <c r="P561" s="34" t="str">
        <f>IF(J561&gt;0,J561*F561, "-")</f>
        <v>-</v>
      </c>
      <c r="Q561" s="35" t="str">
        <f>IFERROR(IF($N$2&gt;0, $N$2*P561, "-"), "-")</f>
        <v>-</v>
      </c>
      <c r="S561" s="35" t="str">
        <f>IFERROR(IF(Q561+K561=0, "-", IF(Q561&gt;0, Q561+K561, "-")), "-")</f>
        <v>-</v>
      </c>
    </row>
    <row r="562" spans="1:19" x14ac:dyDescent="0.3">
      <c r="A562" s="48">
        <v>35541</v>
      </c>
      <c r="B562" s="23">
        <v>68958355412</v>
      </c>
      <c r="C562" s="11" t="s">
        <v>597</v>
      </c>
      <c r="D562" s="17">
        <v>640</v>
      </c>
      <c r="E562" s="17" t="s">
        <v>130</v>
      </c>
      <c r="F562" s="37">
        <v>0.89892000000000005</v>
      </c>
      <c r="G562" s="17">
        <v>6</v>
      </c>
      <c r="H562" s="43" t="s">
        <v>636</v>
      </c>
      <c r="I562" s="18">
        <v>33.503282307692317</v>
      </c>
      <c r="J562" s="16"/>
      <c r="K562" s="49">
        <f>I562*J562</f>
        <v>0</v>
      </c>
      <c r="L562" s="36"/>
      <c r="N562" s="33" t="str">
        <f>IFERROR(IF($N$2*F562=0, "-", $N$2*F562), "-")</f>
        <v>-</v>
      </c>
      <c r="O562" s="33" t="str">
        <f>IF(J562&gt;0,I562+N562,"-")</f>
        <v>-</v>
      </c>
      <c r="P562" s="34" t="str">
        <f>IF(J562&gt;0,J562*F562, "-")</f>
        <v>-</v>
      </c>
      <c r="Q562" s="35" t="str">
        <f>IFERROR(IF($N$2&gt;0, $N$2*P562, "-"), "-")</f>
        <v>-</v>
      </c>
      <c r="S562" s="35" t="str">
        <f>IFERROR(IF(Q562+K562=0, "-", IF(Q562&gt;0, Q562+K562, "-")), "-")</f>
        <v>-</v>
      </c>
    </row>
    <row r="563" spans="1:19" x14ac:dyDescent="0.3">
      <c r="A563" s="48">
        <v>35551</v>
      </c>
      <c r="B563" s="23">
        <v>68958355511</v>
      </c>
      <c r="C563" s="11" t="s">
        <v>598</v>
      </c>
      <c r="D563" s="17">
        <v>30</v>
      </c>
      <c r="E563" s="17" t="s">
        <v>14</v>
      </c>
      <c r="F563" s="37">
        <v>0.20429999999999998</v>
      </c>
      <c r="G563" s="17">
        <v>12</v>
      </c>
      <c r="H563" s="43" t="s">
        <v>636</v>
      </c>
      <c r="I563" s="18">
        <v>11.089668461538464</v>
      </c>
      <c r="J563" s="16"/>
      <c r="K563" s="49">
        <f>I563*J563</f>
        <v>0</v>
      </c>
      <c r="L563" s="36"/>
      <c r="N563" s="33" t="str">
        <f>IFERROR(IF($N$2*F563=0, "-", $N$2*F563), "-")</f>
        <v>-</v>
      </c>
      <c r="O563" s="33" t="str">
        <f>IF(J563&gt;0,I563+N563,"-")</f>
        <v>-</v>
      </c>
      <c r="P563" s="34" t="str">
        <f>IF(J563&gt;0,J563*F563, "-")</f>
        <v>-</v>
      </c>
      <c r="Q563" s="35" t="str">
        <f>IFERROR(IF($N$2&gt;0, $N$2*P563, "-"), "-")</f>
        <v>-</v>
      </c>
      <c r="S563" s="35" t="str">
        <f>IFERROR(IF(Q563+K563=0, "-", IF(Q563&gt;0, Q563+K563, "-")), "-")</f>
        <v>-</v>
      </c>
    </row>
    <row r="564" spans="1:19" x14ac:dyDescent="0.3">
      <c r="A564" s="48">
        <v>35552</v>
      </c>
      <c r="B564" s="23">
        <v>68958355528</v>
      </c>
      <c r="C564" s="11" t="s">
        <v>599</v>
      </c>
      <c r="D564" s="17">
        <v>188</v>
      </c>
      <c r="E564" s="17" t="s">
        <v>130</v>
      </c>
      <c r="F564" s="37">
        <v>0.27807500000000002</v>
      </c>
      <c r="G564" s="17">
        <v>12</v>
      </c>
      <c r="H564" s="43" t="s">
        <v>636</v>
      </c>
      <c r="I564" s="18">
        <v>24.308203846153852</v>
      </c>
      <c r="J564" s="16"/>
      <c r="K564" s="49">
        <f>I564*J564</f>
        <v>0</v>
      </c>
      <c r="L564" s="36"/>
      <c r="N564" s="33" t="str">
        <f>IFERROR(IF($N$2*F564=0, "-", $N$2*F564), "-")</f>
        <v>-</v>
      </c>
      <c r="O564" s="33" t="str">
        <f>IF(J564&gt;0,I564+N564,"-")</f>
        <v>-</v>
      </c>
      <c r="P564" s="34" t="str">
        <f>IF(J564&gt;0,J564*F564, "-")</f>
        <v>-</v>
      </c>
      <c r="Q564" s="35" t="str">
        <f>IFERROR(IF($N$2&gt;0, $N$2*P564, "-"), "-")</f>
        <v>-</v>
      </c>
      <c r="S564" s="35" t="str">
        <f>IFERROR(IF(Q564+K564=0, "-", IF(Q564&gt;0, Q564+K564, "-")), "-")</f>
        <v>-</v>
      </c>
    </row>
    <row r="565" spans="1:19" x14ac:dyDescent="0.3">
      <c r="A565" s="48">
        <v>35553</v>
      </c>
      <c r="B565" s="23">
        <v>68958355535</v>
      </c>
      <c r="C565" s="11" t="s">
        <v>600</v>
      </c>
      <c r="D565" s="17">
        <v>125</v>
      </c>
      <c r="E565" s="17" t="s">
        <v>130</v>
      </c>
      <c r="F565" s="37">
        <v>0.20316499999999998</v>
      </c>
      <c r="G565" s="17">
        <v>12</v>
      </c>
      <c r="H565" s="43" t="s">
        <v>636</v>
      </c>
      <c r="I565" s="18">
        <v>14.547973846153846</v>
      </c>
      <c r="J565" s="16"/>
      <c r="K565" s="49">
        <f>I565*J565</f>
        <v>0</v>
      </c>
      <c r="L565" s="36"/>
      <c r="N565" s="33" t="str">
        <f>IFERROR(IF($N$2*F565=0, "-", $N$2*F565), "-")</f>
        <v>-</v>
      </c>
      <c r="O565" s="33" t="str">
        <f>IF(J565&gt;0,I565+N565,"-")</f>
        <v>-</v>
      </c>
      <c r="P565" s="34" t="str">
        <f>IF(J565&gt;0,J565*F565, "-")</f>
        <v>-</v>
      </c>
      <c r="Q565" s="35" t="str">
        <f>IFERROR(IF($N$2&gt;0, $N$2*P565, "-"), "-")</f>
        <v>-</v>
      </c>
      <c r="S565" s="35" t="str">
        <f>IFERROR(IF(Q565+K565=0, "-", IF(Q565&gt;0, Q565+K565, "-")), "-")</f>
        <v>-</v>
      </c>
    </row>
    <row r="566" spans="1:19" x14ac:dyDescent="0.3">
      <c r="A566" s="48">
        <v>35554</v>
      </c>
      <c r="B566" s="23">
        <v>68958355542</v>
      </c>
      <c r="C566" s="11" t="s">
        <v>601</v>
      </c>
      <c r="D566" s="17">
        <v>175</v>
      </c>
      <c r="E566" s="17" t="s">
        <v>130</v>
      </c>
      <c r="F566" s="37">
        <v>0.26105</v>
      </c>
      <c r="G566" s="17">
        <v>12</v>
      </c>
      <c r="H566" s="43" t="s">
        <v>636</v>
      </c>
      <c r="I566" s="18">
        <v>26.874180000000003</v>
      </c>
      <c r="J566" s="16"/>
      <c r="K566" s="49">
        <f>I566*J566</f>
        <v>0</v>
      </c>
      <c r="L566" s="36"/>
      <c r="N566" s="33" t="str">
        <f>IFERROR(IF($N$2*F566=0, "-", $N$2*F566), "-")</f>
        <v>-</v>
      </c>
      <c r="O566" s="33" t="str">
        <f>IF(J566&gt;0,I566+N566,"-")</f>
        <v>-</v>
      </c>
      <c r="P566" s="34" t="str">
        <f>IF(J566&gt;0,J566*F566, "-")</f>
        <v>-</v>
      </c>
      <c r="Q566" s="35" t="str">
        <f>IFERROR(IF($N$2&gt;0, $N$2*P566, "-"), "-")</f>
        <v>-</v>
      </c>
      <c r="S566" s="35" t="str">
        <f>IFERROR(IF(Q566+K566=0, "-", IF(Q566&gt;0, Q566+K566, "-")), "-")</f>
        <v>-</v>
      </c>
    </row>
    <row r="567" spans="1:19" x14ac:dyDescent="0.3">
      <c r="A567" s="48">
        <v>35556</v>
      </c>
      <c r="B567" s="22">
        <v>68958355566</v>
      </c>
      <c r="C567" s="11" t="s">
        <v>602</v>
      </c>
      <c r="D567" s="17">
        <v>60</v>
      </c>
      <c r="E567" s="17" t="s">
        <v>45</v>
      </c>
      <c r="F567" s="37">
        <v>0.20657</v>
      </c>
      <c r="G567" s="17">
        <v>12</v>
      </c>
      <c r="H567" s="43" t="s">
        <v>636</v>
      </c>
      <c r="I567" s="18">
        <v>17.501358461538462</v>
      </c>
      <c r="J567" s="16"/>
      <c r="K567" s="49">
        <f>I567*J567</f>
        <v>0</v>
      </c>
      <c r="L567" s="36"/>
      <c r="N567" s="33" t="str">
        <f>IFERROR(IF($N$2*F567=0, "-", $N$2*F567), "-")</f>
        <v>-</v>
      </c>
      <c r="O567" s="33" t="str">
        <f>IF(J567&gt;0,I567+N567,"-")</f>
        <v>-</v>
      </c>
      <c r="P567" s="34" t="str">
        <f>IF(J567&gt;0,J567*F567, "-")</f>
        <v>-</v>
      </c>
      <c r="Q567" s="35" t="str">
        <f>IFERROR(IF($N$2&gt;0, $N$2*P567, "-"), "-")</f>
        <v>-</v>
      </c>
      <c r="S567" s="35" t="str">
        <f>IFERROR(IF(Q567+K567=0, "-", IF(Q567&gt;0, Q567+K567, "-")), "-")</f>
        <v>-</v>
      </c>
    </row>
    <row r="568" spans="1:19" x14ac:dyDescent="0.3">
      <c r="A568" s="48">
        <v>35747</v>
      </c>
      <c r="B568" s="22">
        <v>627765357479</v>
      </c>
      <c r="C568" s="11" t="s">
        <v>603</v>
      </c>
      <c r="D568" s="17">
        <v>15</v>
      </c>
      <c r="E568" s="17" t="s">
        <v>38</v>
      </c>
      <c r="F568" s="37">
        <v>6.6964999999999997E-2</v>
      </c>
      <c r="G568" s="17">
        <v>24</v>
      </c>
      <c r="H568" s="43" t="s">
        <v>636</v>
      </c>
      <c r="I568" s="18">
        <v>13.055102307692311</v>
      </c>
      <c r="J568" s="16"/>
      <c r="K568" s="49">
        <f>I568*J568</f>
        <v>0</v>
      </c>
      <c r="L568" s="36"/>
      <c r="N568" s="33" t="str">
        <f>IFERROR(IF($N$2*F568=0, "-", $N$2*F568), "-")</f>
        <v>-</v>
      </c>
      <c r="O568" s="33" t="str">
        <f>IF(J568&gt;0,I568+N568,"-")</f>
        <v>-</v>
      </c>
      <c r="P568" s="34" t="str">
        <f>IF(J568&gt;0,J568*F568, "-")</f>
        <v>-</v>
      </c>
      <c r="Q568" s="35" t="str">
        <f>IFERROR(IF($N$2&gt;0, $N$2*P568, "-"), "-")</f>
        <v>-</v>
      </c>
      <c r="S568" s="35" t="str">
        <f>IFERROR(IF(Q568+K568=0, "-", IF(Q568&gt;0, Q568+K568, "-")), "-")</f>
        <v>-</v>
      </c>
    </row>
    <row r="569" spans="1:19" x14ac:dyDescent="0.3">
      <c r="A569" s="48">
        <v>8000</v>
      </c>
      <c r="B569" s="22">
        <v>627765080001</v>
      </c>
      <c r="C569" s="11" t="s">
        <v>604</v>
      </c>
      <c r="D569" s="17">
        <v>180</v>
      </c>
      <c r="E569" s="17" t="s">
        <v>14</v>
      </c>
      <c r="F569" s="37">
        <v>0.10896</v>
      </c>
      <c r="G569" s="17">
        <v>12</v>
      </c>
      <c r="H569" s="43" t="s">
        <v>636</v>
      </c>
      <c r="I569" s="18">
        <v>8.2895730612244911</v>
      </c>
      <c r="J569" s="16"/>
      <c r="K569" s="49">
        <f>I569*J569</f>
        <v>0</v>
      </c>
      <c r="L569" s="36"/>
      <c r="N569" s="33" t="str">
        <f>IFERROR(IF($N$2*F569=0, "-", $N$2*F569), "-")</f>
        <v>-</v>
      </c>
      <c r="O569" s="33" t="str">
        <f>IF(J569&gt;0,I569+N569,"-")</f>
        <v>-</v>
      </c>
      <c r="P569" s="34" t="str">
        <f>IF(J569&gt;0,J569*F569, "-")</f>
        <v>-</v>
      </c>
      <c r="Q569" s="35" t="str">
        <f>IFERROR(IF($N$2&gt;0, $N$2*P569, "-"), "-")</f>
        <v>-</v>
      </c>
      <c r="S569" s="35" t="str">
        <f>IFERROR(IF(Q569+K569=0, "-", IF(Q569&gt;0, Q569+K569, "-")), "-")</f>
        <v>-</v>
      </c>
    </row>
    <row r="570" spans="1:19" x14ac:dyDescent="0.3">
      <c r="A570" s="48">
        <v>8001</v>
      </c>
      <c r="B570" s="22">
        <v>627765080018</v>
      </c>
      <c r="C570" s="11" t="s">
        <v>605</v>
      </c>
      <c r="D570" s="17">
        <v>180</v>
      </c>
      <c r="E570" s="17" t="s">
        <v>45</v>
      </c>
      <c r="F570" s="37">
        <v>0.10896</v>
      </c>
      <c r="G570" s="17">
        <v>24</v>
      </c>
      <c r="H570" s="43" t="s">
        <v>636</v>
      </c>
      <c r="I570" s="18">
        <v>14.145706666666667</v>
      </c>
      <c r="J570" s="16"/>
      <c r="K570" s="49">
        <f>I570*J570</f>
        <v>0</v>
      </c>
      <c r="L570" s="36"/>
      <c r="N570" s="33" t="str">
        <f>IFERROR(IF($N$2*F570=0, "-", $N$2*F570), "-")</f>
        <v>-</v>
      </c>
      <c r="O570" s="33" t="str">
        <f>IF(J570&gt;0,I570+N570,"-")</f>
        <v>-</v>
      </c>
      <c r="P570" s="34" t="str">
        <f>IF(J570&gt;0,J570*F570, "-")</f>
        <v>-</v>
      </c>
      <c r="Q570" s="35" t="str">
        <f>IFERROR(IF($N$2&gt;0, $N$2*P570, "-"), "-")</f>
        <v>-</v>
      </c>
      <c r="S570" s="35" t="str">
        <f>IFERROR(IF(Q570+K570=0, "-", IF(Q570&gt;0, Q570+K570, "-")), "-")</f>
        <v>-</v>
      </c>
    </row>
    <row r="571" spans="1:19" x14ac:dyDescent="0.3">
      <c r="A571" s="48">
        <v>8002</v>
      </c>
      <c r="B571" s="22">
        <v>627765080025</v>
      </c>
      <c r="C571" s="11" t="s">
        <v>606</v>
      </c>
      <c r="D571" s="17">
        <v>360</v>
      </c>
      <c r="E571" s="17" t="s">
        <v>45</v>
      </c>
      <c r="F571" s="37">
        <v>0.19749</v>
      </c>
      <c r="G571" s="17">
        <v>12</v>
      </c>
      <c r="H571" s="43" t="s">
        <v>636</v>
      </c>
      <c r="I571" s="18">
        <v>25.948400000000003</v>
      </c>
      <c r="J571" s="16"/>
      <c r="K571" s="49">
        <f>I571*J571</f>
        <v>0</v>
      </c>
      <c r="L571" s="36"/>
      <c r="N571" s="33" t="str">
        <f>IFERROR(IF($N$2*F571=0, "-", $N$2*F571), "-")</f>
        <v>-</v>
      </c>
      <c r="O571" s="33" t="str">
        <f>IF(J571&gt;0,I571+N571,"-")</f>
        <v>-</v>
      </c>
      <c r="P571" s="34" t="str">
        <f>IF(J571&gt;0,J571*F571, "-")</f>
        <v>-</v>
      </c>
      <c r="Q571" s="35" t="str">
        <f>IFERROR(IF($N$2&gt;0, $N$2*P571, "-"), "-")</f>
        <v>-</v>
      </c>
      <c r="S571" s="35" t="str">
        <f>IFERROR(IF(Q571+K571=0, "-", IF(Q571&gt;0, Q571+K571, "-")), "-")</f>
        <v>-</v>
      </c>
    </row>
    <row r="572" spans="1:19" x14ac:dyDescent="0.3">
      <c r="A572" s="48">
        <v>8033</v>
      </c>
      <c r="B572" s="22">
        <v>627765080339</v>
      </c>
      <c r="C572" s="11" t="s">
        <v>608</v>
      </c>
      <c r="D572" s="17">
        <v>150</v>
      </c>
      <c r="E572" s="17" t="s">
        <v>14</v>
      </c>
      <c r="F572" s="37">
        <v>9.307E-2</v>
      </c>
      <c r="G572" s="17">
        <v>24</v>
      </c>
      <c r="H572" s="43" t="s">
        <v>636</v>
      </c>
      <c r="I572" s="18">
        <v>10.079328461538463</v>
      </c>
      <c r="J572" s="16"/>
      <c r="K572" s="49">
        <f>I572*J572</f>
        <v>0</v>
      </c>
      <c r="L572" s="36"/>
      <c r="N572" s="33" t="str">
        <f>IFERROR(IF($N$2*F572=0, "-", $N$2*F572), "-")</f>
        <v>-</v>
      </c>
      <c r="O572" s="33" t="str">
        <f>IF(J572&gt;0,I572+N572,"-")</f>
        <v>-</v>
      </c>
      <c r="P572" s="34" t="str">
        <f>IF(J572&gt;0,J572*F572, "-")</f>
        <v>-</v>
      </c>
      <c r="Q572" s="35" t="str">
        <f>IFERROR(IF($N$2&gt;0, $N$2*P572, "-"), "-")</f>
        <v>-</v>
      </c>
      <c r="S572" s="35" t="str">
        <f>IFERROR(IF(Q572+K572=0, "-", IF(Q572&gt;0, Q572+K572, "-")), "-")</f>
        <v>-</v>
      </c>
    </row>
    <row r="573" spans="1:19" x14ac:dyDescent="0.3">
      <c r="A573" s="48">
        <v>8054</v>
      </c>
      <c r="B573" s="22">
        <v>627765080544</v>
      </c>
      <c r="C573" s="11" t="s">
        <v>609</v>
      </c>
      <c r="D573" s="17">
        <v>210</v>
      </c>
      <c r="E573" s="17" t="s">
        <v>14</v>
      </c>
      <c r="F573" s="37">
        <v>0.46875499999999998</v>
      </c>
      <c r="G573" s="17">
        <v>12</v>
      </c>
      <c r="H573" s="43" t="s">
        <v>636</v>
      </c>
      <c r="I573" s="18">
        <v>20.883897692307695</v>
      </c>
      <c r="J573" s="16"/>
      <c r="K573" s="49">
        <f>I573*J573</f>
        <v>0</v>
      </c>
      <c r="L573" s="36"/>
      <c r="N573" s="33" t="str">
        <f>IFERROR(IF($N$2*F573=0, "-", $N$2*F573), "-")</f>
        <v>-</v>
      </c>
      <c r="O573" s="33" t="str">
        <f>IF(J573&gt;0,I573+N573,"-")</f>
        <v>-</v>
      </c>
      <c r="P573" s="34" t="str">
        <f>IF(J573&gt;0,J573*F573, "-")</f>
        <v>-</v>
      </c>
      <c r="Q573" s="35" t="str">
        <f>IFERROR(IF($N$2&gt;0, $N$2*P573, "-"), "-")</f>
        <v>-</v>
      </c>
      <c r="S573" s="35" t="str">
        <f>IFERROR(IF(Q573+K573=0, "-", IF(Q573&gt;0, Q573+K573, "-")), "-")</f>
        <v>-</v>
      </c>
    </row>
    <row r="574" spans="1:19" x14ac:dyDescent="0.3">
      <c r="A574" s="48">
        <v>8112</v>
      </c>
      <c r="B574" s="22">
        <v>627765081121</v>
      </c>
      <c r="C574" s="11" t="s">
        <v>610</v>
      </c>
      <c r="D574" s="17">
        <v>210</v>
      </c>
      <c r="E574" s="17" t="s">
        <v>54</v>
      </c>
      <c r="F574" s="37">
        <v>0.22700000000000001</v>
      </c>
      <c r="G574" s="17">
        <v>12</v>
      </c>
      <c r="H574" s="43" t="s">
        <v>636</v>
      </c>
      <c r="I574" s="18">
        <v>12.506046923076923</v>
      </c>
      <c r="J574" s="16"/>
      <c r="K574" s="49">
        <f>I574*J574</f>
        <v>0</v>
      </c>
      <c r="L574" s="36"/>
      <c r="N574" s="33" t="str">
        <f>IFERROR(IF($N$2*F574=0, "-", $N$2*F574), "-")</f>
        <v>-</v>
      </c>
      <c r="O574" s="33" t="str">
        <f>IF(J574&gt;0,I574+N574,"-")</f>
        <v>-</v>
      </c>
      <c r="P574" s="34" t="str">
        <f>IF(J574&gt;0,J574*F574, "-")</f>
        <v>-</v>
      </c>
      <c r="Q574" s="35" t="str">
        <f>IFERROR(IF($N$2&gt;0, $N$2*P574, "-"), "-")</f>
        <v>-</v>
      </c>
      <c r="S574" s="35" t="str">
        <f>IFERROR(IF(Q574+K574=0, "-", IF(Q574&gt;0, Q574+K574, "-")), "-")</f>
        <v>-</v>
      </c>
    </row>
    <row r="575" spans="1:19" x14ac:dyDescent="0.3">
      <c r="A575" s="48">
        <v>8132</v>
      </c>
      <c r="B575" s="22">
        <v>627765081329</v>
      </c>
      <c r="C575" s="11" t="s">
        <v>611</v>
      </c>
      <c r="D575" s="17">
        <v>210</v>
      </c>
      <c r="E575" s="17" t="s">
        <v>32</v>
      </c>
      <c r="F575" s="37">
        <v>0.39838499999999999</v>
      </c>
      <c r="G575" s="17">
        <v>12</v>
      </c>
      <c r="H575" s="43" t="s">
        <v>636</v>
      </c>
      <c r="I575" s="18">
        <v>13.168253076923079</v>
      </c>
      <c r="J575" s="16"/>
      <c r="K575" s="49">
        <f>I575*J575</f>
        <v>0</v>
      </c>
      <c r="L575" s="36"/>
      <c r="N575" s="33" t="str">
        <f>IFERROR(IF($N$2*F575=0, "-", $N$2*F575), "-")</f>
        <v>-</v>
      </c>
      <c r="O575" s="33" t="str">
        <f>IF(J575&gt;0,I575+N575,"-")</f>
        <v>-</v>
      </c>
      <c r="P575" s="34" t="str">
        <f>IF(J575&gt;0,J575*F575, "-")</f>
        <v>-</v>
      </c>
      <c r="Q575" s="35" t="str">
        <f>IFERROR(IF($N$2&gt;0, $N$2*P575, "-"), "-")</f>
        <v>-</v>
      </c>
      <c r="S575" s="35" t="str">
        <f>IFERROR(IF(Q575+K575=0, "-", IF(Q575&gt;0, Q575+K575, "-")), "-")</f>
        <v>-</v>
      </c>
    </row>
    <row r="576" spans="1:19" x14ac:dyDescent="0.3">
      <c r="A576" s="48">
        <v>8134</v>
      </c>
      <c r="B576" s="22">
        <v>68958081342</v>
      </c>
      <c r="C576" s="11" t="s">
        <v>612</v>
      </c>
      <c r="D576" s="17">
        <v>210</v>
      </c>
      <c r="E576" s="17" t="s">
        <v>32</v>
      </c>
      <c r="F576" s="37">
        <v>0.35185</v>
      </c>
      <c r="G576" s="17">
        <v>12</v>
      </c>
      <c r="H576" s="43" t="s">
        <v>636</v>
      </c>
      <c r="I576" s="18">
        <v>13.568185384615385</v>
      </c>
      <c r="J576" s="16"/>
      <c r="K576" s="49">
        <f>I576*J576</f>
        <v>0</v>
      </c>
      <c r="L576" s="36"/>
      <c r="N576" s="33" t="str">
        <f>IFERROR(IF($N$2*F576=0, "-", $N$2*F576), "-")</f>
        <v>-</v>
      </c>
      <c r="O576" s="33" t="str">
        <f>IF(J576&gt;0,I576+N576,"-")</f>
        <v>-</v>
      </c>
      <c r="P576" s="34" t="str">
        <f>IF(J576&gt;0,J576*F576, "-")</f>
        <v>-</v>
      </c>
      <c r="Q576" s="35" t="str">
        <f>IFERROR(IF($N$2&gt;0, $N$2*P576, "-"), "-")</f>
        <v>-</v>
      </c>
      <c r="S576" s="35" t="str">
        <f>IFERROR(IF(Q576+K576=0, "-", IF(Q576&gt;0, Q576+K576, "-")), "-")</f>
        <v>-</v>
      </c>
    </row>
    <row r="577" spans="1:19" x14ac:dyDescent="0.3">
      <c r="A577" s="48">
        <v>8142</v>
      </c>
      <c r="B577" s="23">
        <v>68958081427</v>
      </c>
      <c r="C577" s="11" t="s">
        <v>613</v>
      </c>
      <c r="D577" s="17">
        <v>240</v>
      </c>
      <c r="E577" s="17" t="s">
        <v>14</v>
      </c>
      <c r="F577" s="37">
        <v>0.22019</v>
      </c>
      <c r="G577" s="17">
        <v>12</v>
      </c>
      <c r="H577" s="43" t="s">
        <v>636</v>
      </c>
      <c r="I577" s="18">
        <v>20.937274615384617</v>
      </c>
      <c r="J577" s="16"/>
      <c r="K577" s="49">
        <f>I577*J577</f>
        <v>0</v>
      </c>
      <c r="L577" s="36"/>
      <c r="N577" s="33" t="str">
        <f>IFERROR(IF($N$2*F577=0, "-", $N$2*F577), "-")</f>
        <v>-</v>
      </c>
      <c r="O577" s="33" t="str">
        <f>IF(J577&gt;0,I577+N577,"-")</f>
        <v>-</v>
      </c>
      <c r="P577" s="34" t="str">
        <f>IF(J577&gt;0,J577*F577, "-")</f>
        <v>-</v>
      </c>
      <c r="Q577" s="35" t="str">
        <f>IFERROR(IF($N$2&gt;0, $N$2*P577, "-"), "-")</f>
        <v>-</v>
      </c>
      <c r="S577" s="35" t="str">
        <f>IFERROR(IF(Q577+K577=0, "-", IF(Q577&gt;0, Q577+K577, "-")), "-")</f>
        <v>-</v>
      </c>
    </row>
    <row r="578" spans="1:19" x14ac:dyDescent="0.3">
      <c r="A578" s="48">
        <v>8160</v>
      </c>
      <c r="B578" s="22">
        <v>68958081601</v>
      </c>
      <c r="C578" s="11" t="s">
        <v>614</v>
      </c>
      <c r="D578" s="17">
        <v>210</v>
      </c>
      <c r="E578" s="17" t="s">
        <v>32</v>
      </c>
      <c r="F578" s="37">
        <v>0.64694999999999991</v>
      </c>
      <c r="G578" s="17">
        <v>12</v>
      </c>
      <c r="H578" s="43" t="s">
        <v>636</v>
      </c>
      <c r="I578" s="18">
        <v>15.971538461538463</v>
      </c>
      <c r="J578" s="16"/>
      <c r="K578" s="49">
        <f>I578*J578</f>
        <v>0</v>
      </c>
      <c r="L578" s="36"/>
      <c r="N578" s="33" t="str">
        <f>IFERROR(IF($N$2*F578=0, "-", $N$2*F578), "-")</f>
        <v>-</v>
      </c>
      <c r="O578" s="33" t="str">
        <f>IF(J578&gt;0,I578+N578,"-")</f>
        <v>-</v>
      </c>
      <c r="P578" s="34" t="str">
        <f>IF(J578&gt;0,J578*F578, "-")</f>
        <v>-</v>
      </c>
      <c r="Q578" s="35" t="str">
        <f>IFERROR(IF($N$2&gt;0, $N$2*P578, "-"), "-")</f>
        <v>-</v>
      </c>
      <c r="S578" s="35" t="str">
        <f>IFERROR(IF(Q578+K578=0, "-", IF(Q578&gt;0, Q578+K578, "-")), "-")</f>
        <v>-</v>
      </c>
    </row>
    <row r="579" spans="1:19" x14ac:dyDescent="0.3">
      <c r="A579" s="48">
        <v>8161</v>
      </c>
      <c r="B579" s="22">
        <v>68958081618</v>
      </c>
      <c r="C579" s="11" t="s">
        <v>615</v>
      </c>
      <c r="D579" s="17">
        <v>210</v>
      </c>
      <c r="E579" s="17" t="s">
        <v>54</v>
      </c>
      <c r="F579" s="37">
        <v>0.31212500000000004</v>
      </c>
      <c r="G579" s="17">
        <v>12</v>
      </c>
      <c r="H579" s="43" t="s">
        <v>636</v>
      </c>
      <c r="I579" s="18">
        <v>11.55001846153846</v>
      </c>
      <c r="J579" s="16"/>
      <c r="K579" s="49">
        <f>I579*J579</f>
        <v>0</v>
      </c>
      <c r="L579" s="36"/>
      <c r="N579" s="33" t="str">
        <f>IFERROR(IF($N$2*F579=0, "-", $N$2*F579), "-")</f>
        <v>-</v>
      </c>
      <c r="O579" s="33" t="str">
        <f>IF(J579&gt;0,I579+N579,"-")</f>
        <v>-</v>
      </c>
      <c r="P579" s="34" t="str">
        <f>IF(J579&gt;0,J579*F579, "-")</f>
        <v>-</v>
      </c>
      <c r="Q579" s="35" t="str">
        <f>IFERROR(IF($N$2&gt;0, $N$2*P579, "-"), "-")</f>
        <v>-</v>
      </c>
      <c r="S579" s="35" t="str">
        <f>IFERROR(IF(Q579+K579=0, "-", IF(Q579&gt;0, Q579+K579, "-")), "-")</f>
        <v>-</v>
      </c>
    </row>
    <row r="580" spans="1:19" x14ac:dyDescent="0.3">
      <c r="A580" s="48">
        <v>8181</v>
      </c>
      <c r="B580" s="22">
        <v>627765081817</v>
      </c>
      <c r="C580" s="11" t="s">
        <v>616</v>
      </c>
      <c r="D580" s="17">
        <v>120</v>
      </c>
      <c r="E580" s="17" t="s">
        <v>54</v>
      </c>
      <c r="F580" s="37">
        <v>9.9879999999999997E-2</v>
      </c>
      <c r="G580" s="17">
        <v>24</v>
      </c>
      <c r="H580" s="43" t="s">
        <v>636</v>
      </c>
      <c r="I580" s="18">
        <v>9.6865615384615396</v>
      </c>
      <c r="J580" s="16"/>
      <c r="K580" s="49">
        <f>I580*J580</f>
        <v>0</v>
      </c>
      <c r="L580" s="36"/>
      <c r="N580" s="33" t="str">
        <f>IFERROR(IF($N$2*F580=0, "-", $N$2*F580), "-")</f>
        <v>-</v>
      </c>
      <c r="O580" s="33" t="str">
        <f>IF(J580&gt;0,I580+N580,"-")</f>
        <v>-</v>
      </c>
      <c r="P580" s="34" t="str">
        <f>IF(J580&gt;0,J580*F580, "-")</f>
        <v>-</v>
      </c>
      <c r="Q580" s="35" t="str">
        <f>IFERROR(IF($N$2&gt;0, $N$2*P580, "-"), "-")</f>
        <v>-</v>
      </c>
      <c r="S580" s="35" t="str">
        <f>IFERROR(IF(Q580+K580=0, "-", IF(Q580&gt;0, Q580+K580, "-")), "-")</f>
        <v>-</v>
      </c>
    </row>
    <row r="581" spans="1:19" x14ac:dyDescent="0.3">
      <c r="A581" s="48">
        <v>8204</v>
      </c>
      <c r="B581" s="22">
        <v>68958082042</v>
      </c>
      <c r="C581" s="11" t="s">
        <v>617</v>
      </c>
      <c r="D581" s="17">
        <v>120</v>
      </c>
      <c r="E581" s="17" t="s">
        <v>14</v>
      </c>
      <c r="F581" s="37">
        <v>0.25424000000000002</v>
      </c>
      <c r="G581" s="17">
        <v>12</v>
      </c>
      <c r="H581" s="43" t="s">
        <v>636</v>
      </c>
      <c r="I581" s="18">
        <v>24.235656923076924</v>
      </c>
      <c r="J581" s="16"/>
      <c r="K581" s="49">
        <f>I581*J581</f>
        <v>0</v>
      </c>
      <c r="L581" s="36"/>
      <c r="N581" s="33" t="str">
        <f>IFERROR(IF($N$2*F581=0, "-", $N$2*F581), "-")</f>
        <v>-</v>
      </c>
      <c r="O581" s="33" t="str">
        <f>IF(J581&gt;0,I581+N581,"-")</f>
        <v>-</v>
      </c>
      <c r="P581" s="34" t="str">
        <f>IF(J581&gt;0,J581*F581, "-")</f>
        <v>-</v>
      </c>
      <c r="Q581" s="35" t="str">
        <f>IFERROR(IF($N$2&gt;0, $N$2*P581, "-"), "-")</f>
        <v>-</v>
      </c>
      <c r="S581" s="35" t="str">
        <f>IFERROR(IF(Q581+K581=0, "-", IF(Q581&gt;0, Q581+K581, "-")), "-")</f>
        <v>-</v>
      </c>
    </row>
    <row r="582" spans="1:19" x14ac:dyDescent="0.3">
      <c r="A582" s="48">
        <v>8225</v>
      </c>
      <c r="B582" s="22">
        <v>627765082258</v>
      </c>
      <c r="C582" s="11" t="s">
        <v>618</v>
      </c>
      <c r="D582" s="17">
        <v>210</v>
      </c>
      <c r="E582" s="17" t="s">
        <v>14</v>
      </c>
      <c r="F582" s="37">
        <v>0.42789500000000003</v>
      </c>
      <c r="G582" s="17">
        <v>12</v>
      </c>
      <c r="H582" s="43" t="s">
        <v>636</v>
      </c>
      <c r="I582" s="18">
        <v>13.681086923076926</v>
      </c>
      <c r="J582" s="16"/>
      <c r="K582" s="49">
        <f>I582*J582</f>
        <v>0</v>
      </c>
      <c r="L582" s="36"/>
      <c r="N582" s="33" t="str">
        <f>IFERROR(IF($N$2*F582=0, "-", $N$2*F582), "-")</f>
        <v>-</v>
      </c>
      <c r="O582" s="33" t="str">
        <f>IF(J582&gt;0,I582+N582,"-")</f>
        <v>-</v>
      </c>
      <c r="P582" s="34" t="str">
        <f>IF(J582&gt;0,J582*F582, "-")</f>
        <v>-</v>
      </c>
      <c r="Q582" s="35" t="str">
        <f>IFERROR(IF($N$2&gt;0, $N$2*P582, "-"), "-")</f>
        <v>-</v>
      </c>
      <c r="S582" s="35" t="str">
        <f>IFERROR(IF(Q582+K582=0, "-", IF(Q582&gt;0, Q582+K582, "-")), "-")</f>
        <v>-</v>
      </c>
    </row>
    <row r="583" spans="1:19" x14ac:dyDescent="0.3">
      <c r="A583" s="48">
        <v>8266</v>
      </c>
      <c r="B583" s="22">
        <v>68958082660</v>
      </c>
      <c r="C583" s="11" t="s">
        <v>619</v>
      </c>
      <c r="D583" s="17">
        <v>220</v>
      </c>
      <c r="E583" s="17" t="s">
        <v>14</v>
      </c>
      <c r="F583" s="37">
        <v>0.54025999999999996</v>
      </c>
      <c r="G583" s="17">
        <v>12</v>
      </c>
      <c r="H583" s="43" t="s">
        <v>636</v>
      </c>
      <c r="I583" s="18">
        <v>26.537718461538461</v>
      </c>
      <c r="J583" s="16"/>
      <c r="K583" s="49">
        <f>I583*J583</f>
        <v>0</v>
      </c>
      <c r="L583" s="36"/>
      <c r="N583" s="33" t="str">
        <f>IFERROR(IF($N$2*F583=0, "-", $N$2*F583), "-")</f>
        <v>-</v>
      </c>
      <c r="O583" s="33" t="str">
        <f>IF(J583&gt;0,I583+N583,"-")</f>
        <v>-</v>
      </c>
      <c r="P583" s="34" t="str">
        <f>IF(J583&gt;0,J583*F583, "-")</f>
        <v>-</v>
      </c>
      <c r="Q583" s="35" t="str">
        <f>IFERROR(IF($N$2&gt;0, $N$2*P583, "-"), "-")</f>
        <v>-</v>
      </c>
      <c r="S583" s="35" t="str">
        <f>IFERROR(IF(Q583+K583=0, "-", IF(Q583&gt;0, Q583+K583, "-")), "-")</f>
        <v>-</v>
      </c>
    </row>
    <row r="584" spans="1:19" x14ac:dyDescent="0.3">
      <c r="A584" s="48">
        <v>8269</v>
      </c>
      <c r="B584" s="22">
        <v>627765082692</v>
      </c>
      <c r="C584" s="11" t="s">
        <v>620</v>
      </c>
      <c r="D584" s="17">
        <v>240</v>
      </c>
      <c r="E584" s="17" t="s">
        <v>14</v>
      </c>
      <c r="F584" s="37">
        <v>0.35525499999999999</v>
      </c>
      <c r="G584" s="17">
        <v>12</v>
      </c>
      <c r="H584" s="43" t="s">
        <v>636</v>
      </c>
      <c r="I584" s="18">
        <v>18.462018461538463</v>
      </c>
      <c r="J584" s="16"/>
      <c r="K584" s="49">
        <f>I584*J584</f>
        <v>0</v>
      </c>
      <c r="L584" s="36"/>
      <c r="N584" s="33" t="str">
        <f>IFERROR(IF($N$2*F584=0, "-", $N$2*F584), "-")</f>
        <v>-</v>
      </c>
      <c r="O584" s="33" t="str">
        <f>IF(J584&gt;0,I584+N584,"-")</f>
        <v>-</v>
      </c>
      <c r="P584" s="34" t="str">
        <f>IF(J584&gt;0,J584*F584, "-")</f>
        <v>-</v>
      </c>
      <c r="Q584" s="35" t="str">
        <f>IFERROR(IF($N$2&gt;0, $N$2*P584, "-"), "-")</f>
        <v>-</v>
      </c>
      <c r="S584" s="35" t="str">
        <f>IFERROR(IF(Q584+K584=0, "-", IF(Q584&gt;0, Q584+K584, "-")), "-")</f>
        <v>-</v>
      </c>
    </row>
    <row r="585" spans="1:19" x14ac:dyDescent="0.3">
      <c r="A585" s="48">
        <v>8354</v>
      </c>
      <c r="B585" s="22">
        <v>68958083544</v>
      </c>
      <c r="C585" s="11" t="s">
        <v>621</v>
      </c>
      <c r="D585" s="17">
        <v>150</v>
      </c>
      <c r="E585" s="17" t="s">
        <v>14</v>
      </c>
      <c r="F585" s="37">
        <v>0.31439500000000004</v>
      </c>
      <c r="G585" s="17">
        <v>12</v>
      </c>
      <c r="H585" s="43" t="s">
        <v>636</v>
      </c>
      <c r="I585" s="18">
        <v>19.606735384615387</v>
      </c>
      <c r="J585" s="16"/>
      <c r="K585" s="49">
        <f>I585*J585</f>
        <v>0</v>
      </c>
      <c r="L585" s="36"/>
      <c r="N585" s="33" t="str">
        <f>IFERROR(IF($N$2*F585=0, "-", $N$2*F585), "-")</f>
        <v>-</v>
      </c>
      <c r="O585" s="33" t="str">
        <f>IF(J585&gt;0,I585+N585,"-")</f>
        <v>-</v>
      </c>
      <c r="P585" s="34" t="str">
        <f>IF(J585&gt;0,J585*F585, "-")</f>
        <v>-</v>
      </c>
      <c r="Q585" s="35" t="str">
        <f>IFERROR(IF($N$2&gt;0, $N$2*P585, "-"), "-")</f>
        <v>-</v>
      </c>
      <c r="S585" s="35" t="str">
        <f>IFERROR(IF(Q585+K585=0, "-", IF(Q585&gt;0, Q585+K585, "-")), "-")</f>
        <v>-</v>
      </c>
    </row>
    <row r="586" spans="1:19" x14ac:dyDescent="0.3">
      <c r="A586" s="48">
        <v>8653</v>
      </c>
      <c r="B586" s="22">
        <v>627765086539</v>
      </c>
      <c r="C586" s="11" t="s">
        <v>622</v>
      </c>
      <c r="D586" s="17">
        <v>240</v>
      </c>
      <c r="E586" s="17" t="s">
        <v>14</v>
      </c>
      <c r="F586" s="37">
        <v>0.35638999999999998</v>
      </c>
      <c r="G586" s="17">
        <v>12</v>
      </c>
      <c r="H586" s="43" t="s">
        <v>636</v>
      </c>
      <c r="I586" s="18">
        <v>16.257468461538465</v>
      </c>
      <c r="J586" s="16"/>
      <c r="K586" s="49">
        <f>I586*J586</f>
        <v>0</v>
      </c>
      <c r="L586" s="36"/>
      <c r="N586" s="33" t="str">
        <f>IFERROR(IF($N$2*F586=0, "-", $N$2*F586), "-")</f>
        <v>-</v>
      </c>
      <c r="O586" s="33" t="str">
        <f>IF(J586&gt;0,I586+N586,"-")</f>
        <v>-</v>
      </c>
      <c r="P586" s="34" t="str">
        <f>IF(J586&gt;0,J586*F586, "-")</f>
        <v>-</v>
      </c>
      <c r="Q586" s="35" t="str">
        <f>IFERROR(IF($N$2&gt;0, $N$2*P586, "-"), "-")</f>
        <v>-</v>
      </c>
      <c r="S586" s="35" t="str">
        <f>IFERROR(IF(Q586+K586=0, "-", IF(Q586&gt;0, Q586+K586, "-")), "-")</f>
        <v>-</v>
      </c>
    </row>
    <row r="587" spans="1:19" x14ac:dyDescent="0.3">
      <c r="A587" s="48">
        <v>8700</v>
      </c>
      <c r="B587" s="22">
        <v>627765087000</v>
      </c>
      <c r="C587" s="11" t="s">
        <v>623</v>
      </c>
      <c r="D587" s="17">
        <v>210</v>
      </c>
      <c r="E587" s="17" t="s">
        <v>32</v>
      </c>
      <c r="F587" s="37">
        <v>8.1720000000000001E-2</v>
      </c>
      <c r="G587" s="17">
        <v>24</v>
      </c>
      <c r="H587" s="43" t="s">
        <v>636</v>
      </c>
      <c r="I587" s="18">
        <v>6.1399575000000022</v>
      </c>
      <c r="J587" s="16"/>
      <c r="K587" s="49">
        <f>I587*J587</f>
        <v>0</v>
      </c>
      <c r="L587" s="36"/>
      <c r="N587" s="33" t="str">
        <f>IFERROR(IF($N$2*F587=0, "-", $N$2*F587), "-")</f>
        <v>-</v>
      </c>
      <c r="O587" s="33" t="str">
        <f>IF(J587&gt;0,I587+N587,"-")</f>
        <v>-</v>
      </c>
      <c r="P587" s="34" t="str">
        <f>IF(J587&gt;0,J587*F587, "-")</f>
        <v>-</v>
      </c>
      <c r="Q587" s="35" t="str">
        <f>IFERROR(IF($N$2&gt;0, $N$2*P587, "-"), "-")</f>
        <v>-</v>
      </c>
      <c r="S587" s="35" t="str">
        <f>IFERROR(IF(Q587+K587=0, "-", IF(Q587&gt;0, Q587+K587, "-")), "-")</f>
        <v>-</v>
      </c>
    </row>
    <row r="588" spans="1:19" ht="15" thickBot="1" x14ac:dyDescent="0.35">
      <c r="A588" s="50">
        <v>8701</v>
      </c>
      <c r="B588" s="51">
        <v>68958087016</v>
      </c>
      <c r="C588" s="52" t="s">
        <v>624</v>
      </c>
      <c r="D588" s="53">
        <v>210</v>
      </c>
      <c r="E588" s="53" t="s">
        <v>32</v>
      </c>
      <c r="F588" s="54">
        <v>7.2639999999999996E-2</v>
      </c>
      <c r="G588" s="53">
        <v>24</v>
      </c>
      <c r="H588" s="55" t="s">
        <v>636</v>
      </c>
      <c r="I588" s="56">
        <v>5.8068257142857149</v>
      </c>
      <c r="J588" s="57"/>
      <c r="K588" s="58">
        <f>I588*J588</f>
        <v>0</v>
      </c>
      <c r="L588" s="36"/>
      <c r="N588" s="33" t="str">
        <f>IFERROR(IF($N$2*F588=0, "-", $N$2*F588), "-")</f>
        <v>-</v>
      </c>
      <c r="O588" s="33" t="str">
        <f>IF(J588&gt;0,I588+N588,"-")</f>
        <v>-</v>
      </c>
      <c r="P588" s="34" t="str">
        <f>IF(J588&gt;0,J588*F588, "-")</f>
        <v>-</v>
      </c>
      <c r="Q588" s="35" t="str">
        <f>IFERROR(IF($N$2&gt;0, $N$2*P588, "-"), "-")</f>
        <v>-</v>
      </c>
      <c r="S588" s="35" t="str">
        <f>IFERROR(IF(Q588+K588=0, "-", IF(Q588&gt;0, Q588+K588, "-")), "-")</f>
        <v>-</v>
      </c>
    </row>
    <row r="589" spans="1:19" x14ac:dyDescent="0.3">
      <c r="N589" s="33"/>
      <c r="O589" s="33"/>
      <c r="P589" s="34"/>
      <c r="Q589" s="35"/>
      <c r="S589" s="35"/>
    </row>
    <row r="590" spans="1:19" ht="15" thickBot="1" x14ac:dyDescent="0.35">
      <c r="N590" s="33"/>
      <c r="O590" s="33"/>
      <c r="P590" s="34"/>
      <c r="Q590" s="35"/>
      <c r="S590" s="35"/>
    </row>
    <row r="591" spans="1:19" ht="30.6" customHeight="1" thickBot="1" x14ac:dyDescent="0.35">
      <c r="C591" s="1"/>
      <c r="N591" s="33"/>
      <c r="O591" s="33"/>
      <c r="P591" s="34"/>
      <c r="Q591" s="35"/>
      <c r="S591" s="35"/>
    </row>
    <row r="592" spans="1:19" x14ac:dyDescent="0.3">
      <c r="C592" s="2" t="s">
        <v>10</v>
      </c>
      <c r="N592" s="33"/>
      <c r="O592" s="33"/>
      <c r="P592" s="34"/>
      <c r="Q592" s="35"/>
      <c r="S592" s="35"/>
    </row>
    <row r="593" spans="3:19" x14ac:dyDescent="0.3">
      <c r="C593" s="3" t="s">
        <v>11</v>
      </c>
      <c r="N593" s="33"/>
      <c r="O593" s="33"/>
      <c r="P593" s="34"/>
      <c r="Q593" s="35"/>
      <c r="S593" s="35"/>
    </row>
    <row r="594" spans="3:19" ht="15" thickBot="1" x14ac:dyDescent="0.35">
      <c r="C594" s="4" t="s">
        <v>7</v>
      </c>
      <c r="N594" s="33"/>
      <c r="O594" s="33"/>
      <c r="P594" s="34"/>
      <c r="Q594" s="35"/>
      <c r="S594" s="35"/>
    </row>
    <row r="595" spans="3:19" x14ac:dyDescent="0.3">
      <c r="C595" s="5" t="s">
        <v>8</v>
      </c>
      <c r="N595" s="33"/>
      <c r="O595" s="33"/>
      <c r="P595" s="34"/>
      <c r="Q595" s="35"/>
      <c r="S595" s="35"/>
    </row>
    <row r="596" spans="3:19" ht="15" thickBot="1" x14ac:dyDescent="0.35">
      <c r="C596" s="6" t="s">
        <v>9</v>
      </c>
      <c r="N596" s="33"/>
      <c r="O596" s="33"/>
      <c r="P596" s="34"/>
      <c r="Q596" s="35"/>
      <c r="S596" s="35"/>
    </row>
    <row r="597" spans="3:19" x14ac:dyDescent="0.3">
      <c r="N597" s="33"/>
      <c r="O597" s="33"/>
      <c r="P597" s="34"/>
      <c r="Q597" s="35"/>
      <c r="S597" s="35"/>
    </row>
    <row r="598" spans="3:19" x14ac:dyDescent="0.3">
      <c r="N598" s="33"/>
      <c r="O598" s="33"/>
      <c r="P598" s="34"/>
      <c r="Q598" s="35"/>
      <c r="S598" s="35"/>
    </row>
    <row r="599" spans="3:19" x14ac:dyDescent="0.3">
      <c r="N599" s="33"/>
      <c r="O599" s="33"/>
      <c r="P599" s="34"/>
      <c r="Q599" s="35"/>
      <c r="S599" s="35"/>
    </row>
    <row r="600" spans="3:19" x14ac:dyDescent="0.3">
      <c r="N600" s="33"/>
      <c r="O600" s="33"/>
      <c r="P600" s="34"/>
      <c r="Q600" s="35"/>
      <c r="S600" s="35"/>
    </row>
    <row r="601" spans="3:19" x14ac:dyDescent="0.3">
      <c r="N601" s="33"/>
      <c r="O601" s="33"/>
      <c r="P601" s="34"/>
      <c r="Q601" s="35"/>
      <c r="S601" s="35"/>
    </row>
    <row r="602" spans="3:19" x14ac:dyDescent="0.3">
      <c r="N602" s="33"/>
      <c r="O602" s="33"/>
      <c r="P602" s="34"/>
      <c r="Q602" s="35"/>
      <c r="S602" s="35"/>
    </row>
    <row r="603" spans="3:19" x14ac:dyDescent="0.3">
      <c r="N603" s="33"/>
      <c r="O603" s="33"/>
      <c r="P603" s="34"/>
      <c r="Q603" s="35"/>
      <c r="S603" s="35"/>
    </row>
    <row r="604" spans="3:19" x14ac:dyDescent="0.3">
      <c r="N604" s="33"/>
      <c r="O604" s="33"/>
      <c r="P604" s="34"/>
      <c r="Q604" s="35"/>
      <c r="S604" s="35"/>
    </row>
    <row r="605" spans="3:19" x14ac:dyDescent="0.3">
      <c r="N605" s="33"/>
      <c r="O605" s="33"/>
      <c r="P605" s="34"/>
      <c r="Q605" s="35"/>
      <c r="S605" s="35"/>
    </row>
    <row r="606" spans="3:19" x14ac:dyDescent="0.3">
      <c r="N606" s="33"/>
      <c r="O606" s="33"/>
      <c r="P606" s="34"/>
      <c r="Q606" s="35"/>
      <c r="S606" s="35"/>
    </row>
    <row r="607" spans="3:19" x14ac:dyDescent="0.3">
      <c r="N607" s="33"/>
      <c r="O607" s="33"/>
      <c r="P607" s="34"/>
      <c r="Q607" s="35"/>
      <c r="S607" s="35"/>
    </row>
    <row r="608" spans="3:19" x14ac:dyDescent="0.3">
      <c r="N608" s="33"/>
      <c r="O608" s="33"/>
      <c r="P608" s="34"/>
      <c r="Q608" s="35"/>
      <c r="S608" s="35"/>
    </row>
    <row r="609" spans="14:19" x14ac:dyDescent="0.3">
      <c r="N609" s="33"/>
      <c r="O609" s="33"/>
      <c r="P609" s="34"/>
      <c r="Q609" s="35"/>
      <c r="S609" s="35"/>
    </row>
    <row r="610" spans="14:19" x14ac:dyDescent="0.3">
      <c r="N610" s="33"/>
      <c r="O610" s="33"/>
      <c r="P610" s="34"/>
      <c r="Q610" s="35"/>
      <c r="S610" s="35"/>
    </row>
    <row r="611" spans="14:19" x14ac:dyDescent="0.3">
      <c r="N611" s="33"/>
      <c r="O611" s="33"/>
      <c r="P611" s="34"/>
      <c r="Q611" s="35"/>
      <c r="S611" s="35"/>
    </row>
    <row r="612" spans="14:19" x14ac:dyDescent="0.3">
      <c r="N612" s="33"/>
      <c r="O612" s="33"/>
      <c r="P612" s="34"/>
      <c r="Q612" s="35"/>
      <c r="S612" s="35"/>
    </row>
    <row r="613" spans="14:19" x14ac:dyDescent="0.3">
      <c r="N613" s="33"/>
      <c r="O613" s="33"/>
      <c r="P613" s="34"/>
      <c r="Q613" s="35"/>
      <c r="S613" s="35"/>
    </row>
    <row r="614" spans="14:19" x14ac:dyDescent="0.3">
      <c r="N614" s="33"/>
      <c r="O614" s="33"/>
      <c r="P614" s="34"/>
      <c r="Q614" s="35"/>
      <c r="S614" s="35"/>
    </row>
    <row r="615" spans="14:19" x14ac:dyDescent="0.3">
      <c r="N615" s="33"/>
      <c r="O615" s="33"/>
      <c r="P615" s="34"/>
      <c r="Q615" s="35"/>
      <c r="S615" s="35"/>
    </row>
    <row r="616" spans="14:19" x14ac:dyDescent="0.3">
      <c r="N616" s="33"/>
      <c r="O616" s="33"/>
      <c r="P616" s="34"/>
      <c r="Q616" s="35"/>
      <c r="S616" s="35"/>
    </row>
    <row r="617" spans="14:19" x14ac:dyDescent="0.3">
      <c r="N617" s="33"/>
      <c r="O617" s="33"/>
      <c r="P617" s="34"/>
      <c r="Q617" s="35"/>
      <c r="S617" s="35"/>
    </row>
    <row r="618" spans="14:19" x14ac:dyDescent="0.3">
      <c r="N618" s="33"/>
      <c r="O618" s="33"/>
      <c r="P618" s="34"/>
      <c r="Q618" s="35"/>
      <c r="S618" s="35"/>
    </row>
    <row r="619" spans="14:19" x14ac:dyDescent="0.3">
      <c r="N619" s="33"/>
      <c r="O619" s="33"/>
      <c r="P619" s="34"/>
      <c r="Q619" s="35"/>
      <c r="S619" s="35"/>
    </row>
    <row r="620" spans="14:19" x14ac:dyDescent="0.3">
      <c r="N620" s="33"/>
      <c r="O620" s="33"/>
      <c r="P620" s="34"/>
      <c r="Q620" s="35"/>
      <c r="S620" s="35"/>
    </row>
    <row r="621" spans="14:19" x14ac:dyDescent="0.3">
      <c r="N621" s="33"/>
      <c r="O621" s="33"/>
      <c r="P621" s="34"/>
      <c r="Q621" s="35"/>
      <c r="S621" s="35"/>
    </row>
    <row r="622" spans="14:19" x14ac:dyDescent="0.3">
      <c r="N622" s="33"/>
      <c r="O622" s="33"/>
      <c r="P622" s="34"/>
      <c r="Q622" s="35"/>
      <c r="S622" s="35"/>
    </row>
    <row r="623" spans="14:19" x14ac:dyDescent="0.3">
      <c r="N623" s="33"/>
      <c r="O623" s="33"/>
      <c r="P623" s="34"/>
      <c r="Q623" s="35"/>
      <c r="S623" s="35"/>
    </row>
    <row r="624" spans="14:19" x14ac:dyDescent="0.3">
      <c r="N624" s="33"/>
      <c r="O624" s="33"/>
      <c r="P624" s="34"/>
      <c r="Q624" s="35"/>
      <c r="S624" s="35"/>
    </row>
    <row r="625" spans="14:19" x14ac:dyDescent="0.3">
      <c r="N625" s="33"/>
      <c r="O625" s="33"/>
      <c r="P625" s="34"/>
      <c r="Q625" s="35"/>
      <c r="S625" s="35"/>
    </row>
    <row r="626" spans="14:19" x14ac:dyDescent="0.3">
      <c r="N626" s="33"/>
      <c r="O626" s="33"/>
      <c r="P626" s="34"/>
      <c r="Q626" s="35"/>
      <c r="S626" s="35"/>
    </row>
    <row r="627" spans="14:19" x14ac:dyDescent="0.3">
      <c r="N627" s="33"/>
      <c r="O627" s="33"/>
      <c r="P627" s="34"/>
      <c r="Q627" s="35"/>
      <c r="S627" s="35"/>
    </row>
    <row r="628" spans="14:19" x14ac:dyDescent="0.3">
      <c r="N628" s="33"/>
      <c r="O628" s="33"/>
      <c r="P628" s="34"/>
      <c r="Q628" s="35"/>
      <c r="S628" s="35"/>
    </row>
    <row r="629" spans="14:19" x14ac:dyDescent="0.3">
      <c r="N629" s="33"/>
      <c r="O629" s="33"/>
      <c r="P629" s="34"/>
      <c r="Q629" s="35"/>
      <c r="S629" s="35"/>
    </row>
    <row r="630" spans="14:19" x14ac:dyDescent="0.3">
      <c r="N630" s="33"/>
      <c r="O630" s="33"/>
      <c r="P630" s="34"/>
      <c r="Q630" s="35"/>
      <c r="S630" s="35"/>
    </row>
    <row r="631" spans="14:19" x14ac:dyDescent="0.3">
      <c r="N631" s="33"/>
      <c r="O631" s="33"/>
      <c r="P631" s="34"/>
      <c r="Q631" s="35"/>
      <c r="S631" s="35"/>
    </row>
    <row r="632" spans="14:19" x14ac:dyDescent="0.3">
      <c r="N632" s="33"/>
      <c r="O632" s="33"/>
      <c r="P632" s="34"/>
      <c r="Q632" s="35"/>
      <c r="S632" s="35"/>
    </row>
    <row r="633" spans="14:19" x14ac:dyDescent="0.3">
      <c r="N633" s="33"/>
      <c r="O633" s="33"/>
      <c r="P633" s="34"/>
      <c r="Q633" s="35"/>
      <c r="S633" s="35"/>
    </row>
    <row r="634" spans="14:19" x14ac:dyDescent="0.3">
      <c r="N634" s="33"/>
      <c r="O634" s="33"/>
      <c r="P634" s="34"/>
      <c r="Q634" s="35"/>
      <c r="S634" s="35"/>
    </row>
    <row r="635" spans="14:19" x14ac:dyDescent="0.3">
      <c r="N635" s="33"/>
      <c r="O635" s="33"/>
      <c r="P635" s="34"/>
      <c r="Q635" s="35"/>
      <c r="S635" s="35"/>
    </row>
    <row r="636" spans="14:19" x14ac:dyDescent="0.3">
      <c r="N636" s="33"/>
      <c r="O636" s="33"/>
      <c r="P636" s="34"/>
      <c r="Q636" s="35"/>
      <c r="S636" s="35"/>
    </row>
    <row r="637" spans="14:19" x14ac:dyDescent="0.3">
      <c r="N637" s="33"/>
      <c r="O637" s="33"/>
      <c r="P637" s="34"/>
      <c r="Q637" s="35"/>
      <c r="S637" s="35"/>
    </row>
    <row r="638" spans="14:19" x14ac:dyDescent="0.3">
      <c r="N638" s="33"/>
      <c r="O638" s="33"/>
      <c r="P638" s="34"/>
      <c r="Q638" s="35"/>
      <c r="S638" s="35"/>
    </row>
    <row r="639" spans="14:19" x14ac:dyDescent="0.3">
      <c r="N639" s="33"/>
      <c r="O639" s="33"/>
      <c r="P639" s="34"/>
      <c r="Q639" s="35"/>
      <c r="S639" s="35"/>
    </row>
    <row r="640" spans="14:19" x14ac:dyDescent="0.3">
      <c r="N640" s="33"/>
      <c r="O640" s="33"/>
      <c r="P640" s="34"/>
      <c r="Q640" s="35"/>
      <c r="S640" s="35"/>
    </row>
    <row r="641" spans="14:19" x14ac:dyDescent="0.3">
      <c r="N641" s="33"/>
      <c r="O641" s="33"/>
      <c r="P641" s="34"/>
      <c r="Q641" s="35"/>
      <c r="S641" s="35"/>
    </row>
    <row r="642" spans="14:19" x14ac:dyDescent="0.3">
      <c r="N642" s="33"/>
      <c r="O642" s="33"/>
      <c r="P642" s="34"/>
      <c r="Q642" s="35"/>
      <c r="S642" s="35"/>
    </row>
    <row r="643" spans="14:19" x14ac:dyDescent="0.3">
      <c r="N643" s="33"/>
      <c r="O643" s="33"/>
      <c r="P643" s="34"/>
      <c r="Q643" s="35"/>
      <c r="S643" s="35"/>
    </row>
    <row r="644" spans="14:19" x14ac:dyDescent="0.3">
      <c r="N644" s="33"/>
      <c r="O644" s="33"/>
      <c r="P644" s="34"/>
      <c r="Q644" s="35"/>
      <c r="S644" s="35"/>
    </row>
    <row r="645" spans="14:19" x14ac:dyDescent="0.3">
      <c r="N645" s="33"/>
      <c r="O645" s="33"/>
      <c r="P645" s="34"/>
      <c r="Q645" s="35"/>
      <c r="S645" s="35"/>
    </row>
    <row r="646" spans="14:19" x14ac:dyDescent="0.3">
      <c r="N646" s="33"/>
      <c r="O646" s="33"/>
      <c r="P646" s="34"/>
      <c r="Q646" s="35"/>
      <c r="S646" s="35"/>
    </row>
    <row r="647" spans="14:19" x14ac:dyDescent="0.3">
      <c r="N647" s="33"/>
      <c r="O647" s="33"/>
      <c r="P647" s="34"/>
      <c r="Q647" s="35"/>
      <c r="S647" s="35"/>
    </row>
    <row r="648" spans="14:19" x14ac:dyDescent="0.3">
      <c r="N648" s="33"/>
      <c r="O648" s="33"/>
      <c r="P648" s="34"/>
      <c r="Q648" s="35"/>
      <c r="S648" s="35"/>
    </row>
    <row r="649" spans="14:19" x14ac:dyDescent="0.3">
      <c r="N649" s="33"/>
      <c r="O649" s="33"/>
      <c r="P649" s="34"/>
      <c r="Q649" s="35"/>
      <c r="S649" s="35"/>
    </row>
    <row r="650" spans="14:19" x14ac:dyDescent="0.3">
      <c r="N650" s="33"/>
      <c r="O650" s="33"/>
      <c r="P650" s="34"/>
      <c r="Q650" s="35"/>
      <c r="S650" s="35"/>
    </row>
    <row r="651" spans="14:19" x14ac:dyDescent="0.3">
      <c r="N651" s="33"/>
      <c r="O651" s="33"/>
      <c r="P651" s="34"/>
      <c r="Q651" s="35"/>
      <c r="S651" s="35"/>
    </row>
    <row r="652" spans="14:19" x14ac:dyDescent="0.3">
      <c r="N652" s="33"/>
      <c r="O652" s="33"/>
      <c r="P652" s="34"/>
      <c r="Q652" s="35"/>
      <c r="S652" s="35"/>
    </row>
    <row r="653" spans="14:19" x14ac:dyDescent="0.3">
      <c r="N653" s="33"/>
      <c r="O653" s="33"/>
      <c r="P653" s="34"/>
      <c r="Q653" s="35"/>
      <c r="S653" s="35"/>
    </row>
    <row r="654" spans="14:19" x14ac:dyDescent="0.3">
      <c r="N654" s="33"/>
      <c r="O654" s="33"/>
      <c r="P654" s="34"/>
      <c r="Q654" s="35"/>
      <c r="S654" s="35"/>
    </row>
    <row r="655" spans="14:19" x14ac:dyDescent="0.3">
      <c r="N655" s="33"/>
      <c r="O655" s="33"/>
      <c r="P655" s="34"/>
      <c r="Q655" s="35"/>
      <c r="S655" s="35"/>
    </row>
    <row r="656" spans="14:19" x14ac:dyDescent="0.3">
      <c r="N656" s="33"/>
      <c r="O656" s="33"/>
      <c r="P656" s="34"/>
      <c r="Q656" s="35"/>
      <c r="S656" s="35"/>
    </row>
    <row r="657" spans="14:19" x14ac:dyDescent="0.3">
      <c r="N657" s="33"/>
      <c r="O657" s="33"/>
      <c r="P657" s="34"/>
      <c r="Q657" s="35"/>
      <c r="S657" s="35"/>
    </row>
    <row r="658" spans="14:19" x14ac:dyDescent="0.3">
      <c r="N658" s="33"/>
      <c r="O658" s="33"/>
      <c r="P658" s="34"/>
      <c r="Q658" s="35"/>
      <c r="S658" s="35"/>
    </row>
    <row r="659" spans="14:19" x14ac:dyDescent="0.3">
      <c r="N659" s="33"/>
      <c r="O659" s="33"/>
      <c r="P659" s="34"/>
      <c r="Q659" s="35"/>
      <c r="S659" s="35"/>
    </row>
    <row r="660" spans="14:19" x14ac:dyDescent="0.3">
      <c r="N660" s="33"/>
      <c r="O660" s="33"/>
      <c r="P660" s="34"/>
      <c r="Q660" s="35"/>
      <c r="S660" s="35"/>
    </row>
    <row r="661" spans="14:19" x14ac:dyDescent="0.3">
      <c r="N661" s="33"/>
      <c r="O661" s="33"/>
      <c r="P661" s="34"/>
      <c r="Q661" s="35"/>
      <c r="S661" s="35"/>
    </row>
    <row r="662" spans="14:19" x14ac:dyDescent="0.3">
      <c r="N662" s="33"/>
      <c r="O662" s="33"/>
      <c r="P662" s="34"/>
      <c r="Q662" s="35"/>
      <c r="S662" s="35"/>
    </row>
    <row r="663" spans="14:19" x14ac:dyDescent="0.3">
      <c r="N663" s="33"/>
      <c r="O663" s="33"/>
      <c r="P663" s="34"/>
      <c r="Q663" s="35"/>
      <c r="S663" s="35"/>
    </row>
    <row r="664" spans="14:19" x14ac:dyDescent="0.3">
      <c r="N664" s="33"/>
      <c r="O664" s="33"/>
      <c r="P664" s="34"/>
      <c r="Q664" s="35"/>
      <c r="S664" s="35"/>
    </row>
    <row r="665" spans="14:19" x14ac:dyDescent="0.3">
      <c r="N665" s="33"/>
      <c r="O665" s="33"/>
      <c r="P665" s="34"/>
      <c r="Q665" s="35"/>
      <c r="S665" s="35"/>
    </row>
    <row r="666" spans="14:19" x14ac:dyDescent="0.3">
      <c r="N666" s="33"/>
      <c r="O666" s="33"/>
      <c r="P666" s="34"/>
      <c r="Q666" s="35"/>
      <c r="S666" s="35"/>
    </row>
    <row r="667" spans="14:19" x14ac:dyDescent="0.3">
      <c r="N667" s="33"/>
      <c r="O667" s="33"/>
      <c r="P667" s="34"/>
      <c r="Q667" s="35"/>
      <c r="S667" s="35"/>
    </row>
    <row r="668" spans="14:19" x14ac:dyDescent="0.3">
      <c r="N668" s="33"/>
      <c r="O668" s="33"/>
      <c r="P668" s="34"/>
      <c r="Q668" s="35"/>
      <c r="S668" s="35"/>
    </row>
    <row r="669" spans="14:19" x14ac:dyDescent="0.3">
      <c r="N669" s="33"/>
      <c r="O669" s="33"/>
      <c r="P669" s="34"/>
      <c r="Q669" s="35"/>
      <c r="S669" s="35"/>
    </row>
    <row r="670" spans="14:19" x14ac:dyDescent="0.3">
      <c r="N670" s="33"/>
      <c r="O670" s="33"/>
      <c r="P670" s="34"/>
      <c r="Q670" s="35"/>
      <c r="S670" s="35"/>
    </row>
    <row r="671" spans="14:19" x14ac:dyDescent="0.3">
      <c r="N671" s="33"/>
      <c r="O671" s="33"/>
      <c r="P671" s="34"/>
      <c r="Q671" s="35"/>
      <c r="S671" s="35"/>
    </row>
    <row r="672" spans="14:19" x14ac:dyDescent="0.3">
      <c r="N672" s="33"/>
      <c r="O672" s="33"/>
      <c r="P672" s="34"/>
      <c r="Q672" s="35"/>
      <c r="S672" s="35"/>
    </row>
    <row r="673" spans="14:19" x14ac:dyDescent="0.3">
      <c r="N673" s="33"/>
      <c r="O673" s="33"/>
      <c r="P673" s="34"/>
      <c r="Q673" s="35"/>
      <c r="S673" s="35"/>
    </row>
    <row r="674" spans="14:19" x14ac:dyDescent="0.3">
      <c r="N674" s="33"/>
      <c r="O674" s="33"/>
      <c r="P674" s="34"/>
      <c r="Q674" s="35"/>
      <c r="S674" s="35"/>
    </row>
    <row r="675" spans="14:19" x14ac:dyDescent="0.3">
      <c r="N675" s="33"/>
      <c r="O675" s="33"/>
      <c r="P675" s="34"/>
      <c r="Q675" s="35"/>
      <c r="S675" s="35"/>
    </row>
    <row r="676" spans="14:19" x14ac:dyDescent="0.3">
      <c r="N676" s="33"/>
      <c r="O676" s="33"/>
      <c r="P676" s="34"/>
      <c r="Q676" s="35"/>
      <c r="S676" s="35"/>
    </row>
    <row r="677" spans="14:19" x14ac:dyDescent="0.3">
      <c r="N677" s="33"/>
      <c r="O677" s="33"/>
      <c r="P677" s="34"/>
      <c r="Q677" s="35"/>
      <c r="S677" s="35"/>
    </row>
    <row r="678" spans="14:19" x14ac:dyDescent="0.3">
      <c r="N678" s="33"/>
      <c r="O678" s="33"/>
      <c r="P678" s="34"/>
      <c r="Q678" s="35"/>
      <c r="S678" s="35"/>
    </row>
    <row r="679" spans="14:19" x14ac:dyDescent="0.3">
      <c r="N679" s="33"/>
      <c r="O679" s="33"/>
      <c r="P679" s="34"/>
      <c r="Q679" s="35"/>
      <c r="S679" s="35"/>
    </row>
    <row r="680" spans="14:19" x14ac:dyDescent="0.3">
      <c r="N680" s="33"/>
      <c r="O680" s="33"/>
      <c r="P680" s="34"/>
      <c r="Q680" s="35"/>
      <c r="S680" s="35"/>
    </row>
    <row r="681" spans="14:19" x14ac:dyDescent="0.3">
      <c r="N681" s="33"/>
      <c r="O681" s="33"/>
      <c r="P681" s="34"/>
      <c r="Q681" s="35"/>
      <c r="S681" s="35"/>
    </row>
    <row r="682" spans="14:19" x14ac:dyDescent="0.3">
      <c r="N682" s="33"/>
      <c r="O682" s="33"/>
      <c r="P682" s="34"/>
      <c r="Q682" s="35"/>
      <c r="S682" s="35"/>
    </row>
    <row r="683" spans="14:19" x14ac:dyDescent="0.3">
      <c r="N683" s="33"/>
      <c r="O683" s="33"/>
      <c r="P683" s="34"/>
      <c r="Q683" s="35"/>
      <c r="S683" s="35"/>
    </row>
    <row r="684" spans="14:19" x14ac:dyDescent="0.3">
      <c r="N684" s="33"/>
      <c r="O684" s="33"/>
      <c r="P684" s="34"/>
      <c r="Q684" s="35"/>
      <c r="S684" s="35"/>
    </row>
    <row r="685" spans="14:19" x14ac:dyDescent="0.3">
      <c r="N685" s="33"/>
      <c r="O685" s="33"/>
      <c r="P685" s="34"/>
      <c r="Q685" s="35"/>
      <c r="S685" s="35"/>
    </row>
    <row r="686" spans="14:19" x14ac:dyDescent="0.3">
      <c r="N686" s="33"/>
      <c r="O686" s="33"/>
      <c r="P686" s="34"/>
      <c r="Q686" s="35"/>
      <c r="S686" s="35"/>
    </row>
    <row r="687" spans="14:19" x14ac:dyDescent="0.3">
      <c r="N687" s="33"/>
      <c r="O687" s="33"/>
      <c r="P687" s="34"/>
      <c r="Q687" s="35"/>
      <c r="S687" s="35"/>
    </row>
    <row r="688" spans="14:19" x14ac:dyDescent="0.3">
      <c r="N688" s="33"/>
      <c r="O688" s="33"/>
      <c r="P688" s="34"/>
      <c r="Q688" s="35"/>
      <c r="S688" s="35"/>
    </row>
    <row r="689" spans="14:19" x14ac:dyDescent="0.3">
      <c r="N689" s="33"/>
      <c r="O689" s="33"/>
      <c r="P689" s="34"/>
      <c r="Q689" s="35"/>
      <c r="S689" s="35"/>
    </row>
    <row r="690" spans="14:19" x14ac:dyDescent="0.3">
      <c r="N690" s="33"/>
      <c r="O690" s="33"/>
      <c r="P690" s="34"/>
      <c r="Q690" s="35"/>
      <c r="S690" s="35"/>
    </row>
    <row r="691" spans="14:19" x14ac:dyDescent="0.3">
      <c r="N691" s="33"/>
      <c r="O691" s="33"/>
      <c r="P691" s="34"/>
      <c r="Q691" s="35"/>
      <c r="S691" s="35"/>
    </row>
    <row r="692" spans="14:19" x14ac:dyDescent="0.3">
      <c r="N692" s="33"/>
      <c r="O692" s="33"/>
      <c r="P692" s="34"/>
      <c r="Q692" s="35"/>
      <c r="S692" s="35"/>
    </row>
    <row r="693" spans="14:19" x14ac:dyDescent="0.3">
      <c r="N693" s="33"/>
      <c r="O693" s="33"/>
      <c r="P693" s="34"/>
      <c r="Q693" s="35"/>
      <c r="S693" s="35"/>
    </row>
    <row r="694" spans="14:19" x14ac:dyDescent="0.3">
      <c r="N694" s="33"/>
      <c r="O694" s="33"/>
      <c r="P694" s="34"/>
      <c r="Q694" s="35"/>
      <c r="S694" s="35"/>
    </row>
    <row r="695" spans="14:19" x14ac:dyDescent="0.3">
      <c r="N695" s="33"/>
      <c r="O695" s="33"/>
      <c r="P695" s="34"/>
      <c r="Q695" s="35"/>
      <c r="S695" s="35"/>
    </row>
    <row r="696" spans="14:19" x14ac:dyDescent="0.3">
      <c r="N696" s="33"/>
      <c r="O696" s="33"/>
      <c r="P696" s="34"/>
      <c r="Q696" s="35"/>
      <c r="S696" s="35"/>
    </row>
    <row r="697" spans="14:19" x14ac:dyDescent="0.3">
      <c r="N697" s="33"/>
      <c r="O697" s="33"/>
      <c r="P697" s="34"/>
      <c r="Q697" s="35"/>
      <c r="S697" s="35"/>
    </row>
    <row r="698" spans="14:19" x14ac:dyDescent="0.3">
      <c r="N698" s="33"/>
      <c r="O698" s="33"/>
      <c r="P698" s="34"/>
      <c r="Q698" s="35"/>
      <c r="S698" s="35"/>
    </row>
    <row r="699" spans="14:19" x14ac:dyDescent="0.3">
      <c r="N699" s="33"/>
      <c r="O699" s="33"/>
      <c r="P699" s="34"/>
      <c r="Q699" s="35"/>
      <c r="S699" s="35"/>
    </row>
    <row r="700" spans="14:19" x14ac:dyDescent="0.3">
      <c r="N700" s="33"/>
      <c r="O700" s="33"/>
      <c r="P700" s="34"/>
      <c r="Q700" s="35"/>
      <c r="S700" s="35"/>
    </row>
    <row r="701" spans="14:19" x14ac:dyDescent="0.3">
      <c r="N701" s="33"/>
      <c r="O701" s="33"/>
      <c r="P701" s="34"/>
      <c r="Q701" s="35"/>
      <c r="S701" s="35"/>
    </row>
    <row r="702" spans="14:19" x14ac:dyDescent="0.3">
      <c r="N702" s="33"/>
      <c r="O702" s="33"/>
      <c r="P702" s="34"/>
      <c r="Q702" s="35"/>
      <c r="S702" s="35"/>
    </row>
    <row r="703" spans="14:19" x14ac:dyDescent="0.3">
      <c r="N703" s="33"/>
      <c r="O703" s="33"/>
      <c r="P703" s="34"/>
      <c r="Q703" s="35"/>
      <c r="S703" s="35"/>
    </row>
    <row r="704" spans="14:19" x14ac:dyDescent="0.3">
      <c r="N704" s="33"/>
      <c r="O704" s="33"/>
      <c r="P704" s="34"/>
      <c r="Q704" s="35"/>
      <c r="S704" s="35"/>
    </row>
    <row r="705" spans="14:19" x14ac:dyDescent="0.3">
      <c r="N705" s="33"/>
      <c r="O705" s="33"/>
      <c r="P705" s="34"/>
      <c r="Q705" s="35"/>
      <c r="S705" s="35"/>
    </row>
    <row r="706" spans="14:19" x14ac:dyDescent="0.3">
      <c r="N706" s="33"/>
      <c r="O706" s="33"/>
      <c r="P706" s="34"/>
      <c r="Q706" s="35"/>
      <c r="S706" s="35"/>
    </row>
    <row r="707" spans="14:19" x14ac:dyDescent="0.3">
      <c r="N707" s="33"/>
      <c r="O707" s="33"/>
      <c r="P707" s="34"/>
      <c r="Q707" s="35"/>
      <c r="S707" s="35"/>
    </row>
    <row r="708" spans="14:19" x14ac:dyDescent="0.3">
      <c r="N708" s="33"/>
      <c r="O708" s="33"/>
      <c r="P708" s="34"/>
      <c r="Q708" s="35"/>
      <c r="S708" s="35"/>
    </row>
    <row r="709" spans="14:19" x14ac:dyDescent="0.3">
      <c r="N709" s="33"/>
      <c r="O709" s="33"/>
      <c r="P709" s="34"/>
      <c r="Q709" s="35"/>
      <c r="S709" s="35"/>
    </row>
    <row r="710" spans="14:19" x14ac:dyDescent="0.3">
      <c r="N710" s="33"/>
      <c r="O710" s="33"/>
      <c r="P710" s="34"/>
      <c r="Q710" s="35"/>
      <c r="S710" s="35"/>
    </row>
    <row r="711" spans="14:19" x14ac:dyDescent="0.3">
      <c r="N711" s="33"/>
      <c r="O711" s="33"/>
      <c r="P711" s="34"/>
      <c r="Q711" s="35"/>
      <c r="S711" s="35"/>
    </row>
    <row r="712" spans="14:19" x14ac:dyDescent="0.3">
      <c r="N712" s="33"/>
      <c r="O712" s="33"/>
      <c r="P712" s="34"/>
      <c r="Q712" s="35"/>
      <c r="S712" s="35"/>
    </row>
    <row r="713" spans="14:19" x14ac:dyDescent="0.3">
      <c r="N713" s="33"/>
      <c r="O713" s="33"/>
      <c r="P713" s="34"/>
      <c r="Q713" s="35"/>
      <c r="S713" s="35"/>
    </row>
    <row r="714" spans="14:19" x14ac:dyDescent="0.3">
      <c r="N714" s="33"/>
      <c r="O714" s="33"/>
      <c r="P714" s="34"/>
      <c r="Q714" s="35"/>
      <c r="S714" s="35"/>
    </row>
    <row r="715" spans="14:19" x14ac:dyDescent="0.3">
      <c r="N715" s="33"/>
      <c r="O715" s="33"/>
      <c r="P715" s="34"/>
      <c r="Q715" s="35"/>
      <c r="S715" s="35"/>
    </row>
    <row r="716" spans="14:19" x14ac:dyDescent="0.3">
      <c r="N716" s="33"/>
      <c r="O716" s="33"/>
      <c r="P716" s="34"/>
      <c r="Q716" s="35"/>
      <c r="S716" s="35"/>
    </row>
  </sheetData>
  <sheetProtection algorithmName="SHA-512" hashValue="1pyasYzA3q6vRO68vDWjYoTkCINGe0O5uzC0tDpq+jsrOCoVAsGYdknP8NuEhvuRDsXP7t+bHgggufDGUbhQgg==" saltValue="h/vwkb4ljycgH/Ep2bI2Zw==" spinCount="100000" sheet="1" formatCells="0" formatColumns="0" formatRows="0" insertColumns="0" insertRows="0" insertHyperlinks="0" deleteColumns="0" deleteRows="0" sort="0" autoFilter="0" pivotTables="0"/>
  <autoFilter ref="A2:S588" xr:uid="{00000000-0001-0000-0000-000000000000}">
    <filterColumn colId="5">
      <customFilters>
        <customFilter operator="notEqual" val=" "/>
      </customFilters>
    </filterColumn>
  </autoFilter>
  <sortState xmlns:xlrd2="http://schemas.microsoft.com/office/spreadsheetml/2017/richdata2" ref="A3:S588">
    <sortCondition ref="H3:H588"/>
  </sortState>
  <mergeCells count="2">
    <mergeCell ref="A1:K1"/>
    <mergeCell ref="O1:O2"/>
  </mergeCells>
  <conditionalFormatting sqref="S1">
    <cfRule type="expression" dxfId="6" priority="5">
      <formula>"&gt;0"</formula>
    </cfRule>
  </conditionalFormatting>
  <conditionalFormatting sqref="H3:H588">
    <cfRule type="containsText" dxfId="2" priority="1" operator="containsText" text="В">
      <formula>NOT(ISERROR(SEARCH("В",H3)))</formula>
    </cfRule>
    <cfRule type="containsText" dxfId="1" priority="2" operator="containsText" text="А">
      <formula>NOT(ISERROR(SEARCH("А",H3)))</formula>
    </cfRule>
    <cfRule type="containsText" dxfId="0" priority="3" operator="containsText" text="С">
      <formula>NOT(ISERROR(SEARCH("С",H3)))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custom" allowBlank="1" showInputMessage="1" showErrorMessage="1" prompt="Order quantity must be a multiple of Sales per Unit Case (See Column G)." sqref="J3:J588" xr:uid="{2766AE79-63A0-423A-8174-B92B218A77AF}">
      <formula1>MOD(J3,G3)=0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(Natural Factors)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dcterms:created xsi:type="dcterms:W3CDTF">2023-01-04T16:57:38Z</dcterms:created>
  <dcterms:modified xsi:type="dcterms:W3CDTF">2026-03-23T09:17:46Z</dcterms:modified>
</cp:coreProperties>
</file>