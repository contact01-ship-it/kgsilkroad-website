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84962799-8C03-4399-A6D8-1DCD7BCB89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Dr. Mercola)" sheetId="3" r:id="rId1"/>
  </sheets>
  <definedNames>
    <definedName name="_xlnm._FilterDatabase" localSheetId="0" hidden="1">'DSN GROUP (Dr. Mercola)'!$A$2:$I$338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8" i="3" l="1"/>
  <c r="I337" i="3"/>
  <c r="I336" i="3"/>
  <c r="I335" i="3"/>
  <c r="I334" i="3"/>
  <c r="I333" i="3"/>
  <c r="L298" i="3" l="1"/>
  <c r="M298" i="3" s="1"/>
  <c r="L294" i="3"/>
  <c r="M294" i="3" s="1"/>
  <c r="L288" i="3"/>
  <c r="M288" i="3" s="1"/>
  <c r="L287" i="3"/>
  <c r="M287" i="3" s="1"/>
  <c r="L284" i="3"/>
  <c r="M284" i="3" s="1"/>
  <c r="L283" i="3"/>
  <c r="M283" i="3" s="1"/>
  <c r="L282" i="3"/>
  <c r="M282" i="3" s="1"/>
  <c r="L281" i="3"/>
  <c r="M281" i="3" s="1"/>
  <c r="L280" i="3"/>
  <c r="M280" i="3" s="1"/>
  <c r="L267" i="3"/>
  <c r="M267" i="3" s="1"/>
  <c r="L224" i="3"/>
  <c r="M224" i="3" s="1"/>
  <c r="L213" i="3"/>
  <c r="M213" i="3" s="1"/>
  <c r="L148" i="3"/>
  <c r="M148" i="3" s="1"/>
  <c r="L128" i="3"/>
  <c r="M128" i="3" s="1"/>
  <c r="L60" i="3"/>
  <c r="M60" i="3" s="1"/>
  <c r="L50" i="3"/>
  <c r="M50" i="3" s="1"/>
  <c r="L27" i="3"/>
  <c r="M27" i="3" s="1"/>
  <c r="L223" i="3"/>
  <c r="M223" i="3" s="1"/>
  <c r="L26" i="3"/>
  <c r="M26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  <c r="L104" i="3"/>
  <c r="M104" i="3" s="1"/>
  <c r="L105" i="3"/>
  <c r="M105" i="3" s="1"/>
  <c r="L106" i="3"/>
  <c r="M106" i="3" s="1"/>
  <c r="L107" i="3"/>
  <c r="M107" i="3" s="1"/>
  <c r="L108" i="3"/>
  <c r="M108" i="3" s="1"/>
  <c r="L109" i="3"/>
  <c r="M109" i="3" s="1"/>
  <c r="L110" i="3"/>
  <c r="M110" i="3" s="1"/>
  <c r="L111" i="3"/>
  <c r="M111" i="3" s="1"/>
  <c r="L112" i="3"/>
  <c r="M112" i="3" s="1"/>
  <c r="L113" i="3"/>
  <c r="M113" i="3" s="1"/>
  <c r="L114" i="3"/>
  <c r="M114" i="3" s="1"/>
  <c r="L115" i="3"/>
  <c r="M115" i="3" s="1"/>
  <c r="L116" i="3"/>
  <c r="M116" i="3" s="1"/>
  <c r="L120" i="3"/>
  <c r="M120" i="3" s="1"/>
  <c r="L121" i="3"/>
  <c r="M121" i="3" s="1"/>
  <c r="L122" i="3"/>
  <c r="M122" i="3" s="1"/>
  <c r="L123" i="3"/>
  <c r="M123" i="3" s="1"/>
  <c r="L124" i="3"/>
  <c r="M124" i="3" s="1"/>
  <c r="L125" i="3"/>
  <c r="M125" i="3" s="1"/>
  <c r="L126" i="3"/>
  <c r="M126" i="3" s="1"/>
  <c r="L127" i="3"/>
  <c r="M127" i="3" s="1"/>
  <c r="L129" i="3"/>
  <c r="M129" i="3" s="1"/>
  <c r="L130" i="3"/>
  <c r="M130" i="3" s="1"/>
  <c r="L131" i="3"/>
  <c r="M131" i="3" s="1"/>
  <c r="L132" i="3"/>
  <c r="M132" i="3" s="1"/>
  <c r="L133" i="3"/>
  <c r="M133" i="3" s="1"/>
  <c r="L134" i="3"/>
  <c r="M134" i="3" s="1"/>
  <c r="L135" i="3"/>
  <c r="M135" i="3" s="1"/>
  <c r="L136" i="3"/>
  <c r="M136" i="3" s="1"/>
  <c r="L137" i="3"/>
  <c r="M137" i="3" s="1"/>
  <c r="L138" i="3"/>
  <c r="M138" i="3" s="1"/>
  <c r="L139" i="3"/>
  <c r="M139" i="3" s="1"/>
  <c r="L140" i="3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9" i="3"/>
  <c r="M149" i="3" s="1"/>
  <c r="L150" i="3"/>
  <c r="M150" i="3" s="1"/>
  <c r="L151" i="3"/>
  <c r="M151" i="3" s="1"/>
  <c r="L152" i="3"/>
  <c r="M152" i="3" s="1"/>
  <c r="L153" i="3"/>
  <c r="M153" i="3" s="1"/>
  <c r="L154" i="3"/>
  <c r="M154" i="3" s="1"/>
  <c r="L155" i="3"/>
  <c r="M155" i="3" s="1"/>
  <c r="L156" i="3"/>
  <c r="M156" i="3" s="1"/>
  <c r="L157" i="3"/>
  <c r="M157" i="3" s="1"/>
  <c r="L158" i="3"/>
  <c r="M158" i="3" s="1"/>
  <c r="L159" i="3"/>
  <c r="M159" i="3" s="1"/>
  <c r="L160" i="3"/>
  <c r="M160" i="3" s="1"/>
  <c r="L161" i="3"/>
  <c r="M161" i="3" s="1"/>
  <c r="L162" i="3"/>
  <c r="M162" i="3" s="1"/>
  <c r="L163" i="3"/>
  <c r="M163" i="3" s="1"/>
  <c r="L164" i="3"/>
  <c r="M164" i="3" s="1"/>
  <c r="L165" i="3"/>
  <c r="M165" i="3" s="1"/>
  <c r="L166" i="3"/>
  <c r="M166" i="3" s="1"/>
  <c r="L167" i="3"/>
  <c r="M167" i="3" s="1"/>
  <c r="L168" i="3"/>
  <c r="M168" i="3" s="1"/>
  <c r="L169" i="3"/>
  <c r="M169" i="3" s="1"/>
  <c r="L170" i="3"/>
  <c r="M170" i="3" s="1"/>
  <c r="L171" i="3"/>
  <c r="M171" i="3" s="1"/>
  <c r="L172" i="3"/>
  <c r="M172" i="3" s="1"/>
  <c r="L173" i="3"/>
  <c r="M173" i="3" s="1"/>
  <c r="L174" i="3"/>
  <c r="M174" i="3" s="1"/>
  <c r="L175" i="3"/>
  <c r="M175" i="3" s="1"/>
  <c r="L176" i="3"/>
  <c r="M176" i="3" s="1"/>
  <c r="L177" i="3"/>
  <c r="M177" i="3" s="1"/>
  <c r="L178" i="3"/>
  <c r="M178" i="3" s="1"/>
  <c r="L179" i="3"/>
  <c r="M179" i="3" s="1"/>
  <c r="L180" i="3"/>
  <c r="M180" i="3" s="1"/>
  <c r="L181" i="3"/>
  <c r="M181" i="3" s="1"/>
  <c r="L182" i="3"/>
  <c r="M182" i="3" s="1"/>
  <c r="L183" i="3"/>
  <c r="M183" i="3" s="1"/>
  <c r="L184" i="3"/>
  <c r="M184" i="3" s="1"/>
  <c r="L185" i="3"/>
  <c r="M185" i="3" s="1"/>
  <c r="L186" i="3"/>
  <c r="M186" i="3" s="1"/>
  <c r="L187" i="3"/>
  <c r="M187" i="3" s="1"/>
  <c r="L188" i="3"/>
  <c r="M188" i="3" s="1"/>
  <c r="L189" i="3"/>
  <c r="M189" i="3" s="1"/>
  <c r="L190" i="3"/>
  <c r="M190" i="3" s="1"/>
  <c r="L191" i="3"/>
  <c r="M191" i="3" s="1"/>
  <c r="L192" i="3"/>
  <c r="M192" i="3" s="1"/>
  <c r="L193" i="3"/>
  <c r="M193" i="3" s="1"/>
  <c r="L194" i="3"/>
  <c r="M194" i="3" s="1"/>
  <c r="L195" i="3"/>
  <c r="M195" i="3" s="1"/>
  <c r="L196" i="3"/>
  <c r="M196" i="3" s="1"/>
  <c r="L197" i="3"/>
  <c r="M197" i="3" s="1"/>
  <c r="L198" i="3"/>
  <c r="M198" i="3" s="1"/>
  <c r="L199" i="3"/>
  <c r="M199" i="3" s="1"/>
  <c r="L200" i="3"/>
  <c r="M200" i="3" s="1"/>
  <c r="L201" i="3"/>
  <c r="M201" i="3" s="1"/>
  <c r="L202" i="3"/>
  <c r="M202" i="3" s="1"/>
  <c r="L203" i="3"/>
  <c r="M203" i="3" s="1"/>
  <c r="L204" i="3"/>
  <c r="M204" i="3" s="1"/>
  <c r="L205" i="3"/>
  <c r="M205" i="3" s="1"/>
  <c r="L206" i="3"/>
  <c r="M206" i="3" s="1"/>
  <c r="L207" i="3"/>
  <c r="M207" i="3" s="1"/>
  <c r="L208" i="3"/>
  <c r="M208" i="3" s="1"/>
  <c r="L209" i="3"/>
  <c r="M209" i="3" s="1"/>
  <c r="L210" i="3"/>
  <c r="M210" i="3" s="1"/>
  <c r="L211" i="3"/>
  <c r="M211" i="3" s="1"/>
  <c r="L212" i="3"/>
  <c r="M212" i="3" s="1"/>
  <c r="L214" i="3"/>
  <c r="M214" i="3" s="1"/>
  <c r="L215" i="3"/>
  <c r="M215" i="3" s="1"/>
  <c r="L217" i="3"/>
  <c r="M217" i="3" s="1"/>
  <c r="L218" i="3"/>
  <c r="M218" i="3" s="1"/>
  <c r="L219" i="3"/>
  <c r="M219" i="3" s="1"/>
  <c r="L220" i="3"/>
  <c r="M220" i="3" s="1"/>
  <c r="L221" i="3"/>
  <c r="M221" i="3" s="1"/>
  <c r="L222" i="3"/>
  <c r="M222" i="3" s="1"/>
  <c r="L225" i="3"/>
  <c r="M225" i="3" s="1"/>
  <c r="L226" i="3"/>
  <c r="M226" i="3" s="1"/>
  <c r="L227" i="3"/>
  <c r="M227" i="3" s="1"/>
  <c r="L228" i="3"/>
  <c r="M228" i="3" s="1"/>
  <c r="L229" i="3"/>
  <c r="M229" i="3" s="1"/>
  <c r="L230" i="3"/>
  <c r="M230" i="3" s="1"/>
  <c r="L231" i="3"/>
  <c r="M231" i="3" s="1"/>
  <c r="L232" i="3"/>
  <c r="M232" i="3" s="1"/>
  <c r="L233" i="3"/>
  <c r="M233" i="3" s="1"/>
  <c r="L235" i="3"/>
  <c r="M235" i="3" s="1"/>
  <c r="L236" i="3"/>
  <c r="M236" i="3" s="1"/>
  <c r="L237" i="3"/>
  <c r="M237" i="3" s="1"/>
  <c r="L238" i="3"/>
  <c r="M238" i="3" s="1"/>
  <c r="L239" i="3"/>
  <c r="M239" i="3" s="1"/>
  <c r="L240" i="3"/>
  <c r="M240" i="3" s="1"/>
  <c r="L241" i="3"/>
  <c r="M241" i="3" s="1"/>
  <c r="L242" i="3"/>
  <c r="M242" i="3" s="1"/>
  <c r="L243" i="3"/>
  <c r="M243" i="3" s="1"/>
  <c r="L244" i="3"/>
  <c r="M244" i="3" s="1"/>
  <c r="L245" i="3"/>
  <c r="M245" i="3" s="1"/>
  <c r="L246" i="3"/>
  <c r="M246" i="3" s="1"/>
  <c r="L247" i="3"/>
  <c r="M247" i="3" s="1"/>
  <c r="L248" i="3"/>
  <c r="M248" i="3" s="1"/>
  <c r="L249" i="3"/>
  <c r="M249" i="3" s="1"/>
  <c r="L250" i="3"/>
  <c r="M250" i="3" s="1"/>
  <c r="L251" i="3"/>
  <c r="M251" i="3" s="1"/>
  <c r="L252" i="3"/>
  <c r="M252" i="3" s="1"/>
  <c r="L253" i="3"/>
  <c r="M253" i="3" s="1"/>
  <c r="L254" i="3"/>
  <c r="M254" i="3" s="1"/>
  <c r="L255" i="3"/>
  <c r="M255" i="3" s="1"/>
  <c r="L256" i="3"/>
  <c r="M256" i="3" s="1"/>
  <c r="L257" i="3"/>
  <c r="M257" i="3" s="1"/>
  <c r="L258" i="3"/>
  <c r="M258" i="3" s="1"/>
  <c r="L259" i="3"/>
  <c r="M259" i="3" s="1"/>
  <c r="L260" i="3"/>
  <c r="M260" i="3" s="1"/>
  <c r="L261" i="3"/>
  <c r="M261" i="3" s="1"/>
  <c r="L262" i="3"/>
  <c r="M262" i="3" s="1"/>
  <c r="L263" i="3"/>
  <c r="M263" i="3" s="1"/>
  <c r="L264" i="3"/>
  <c r="M264" i="3" s="1"/>
  <c r="L265" i="3"/>
  <c r="M265" i="3" s="1"/>
  <c r="L266" i="3"/>
  <c r="M266" i="3" s="1"/>
  <c r="L268" i="3"/>
  <c r="M268" i="3" s="1"/>
  <c r="L269" i="3"/>
  <c r="M269" i="3" s="1"/>
  <c r="L270" i="3"/>
  <c r="M270" i="3" s="1"/>
  <c r="L271" i="3"/>
  <c r="M271" i="3" s="1"/>
  <c r="L272" i="3"/>
  <c r="M272" i="3" s="1"/>
  <c r="L273" i="3"/>
  <c r="M273" i="3" s="1"/>
  <c r="L274" i="3"/>
  <c r="M274" i="3" s="1"/>
  <c r="L275" i="3"/>
  <c r="M275" i="3" s="1"/>
  <c r="L277" i="3"/>
  <c r="M277" i="3" s="1"/>
  <c r="L278" i="3"/>
  <c r="M278" i="3" s="1"/>
  <c r="L279" i="3"/>
  <c r="M279" i="3" s="1"/>
  <c r="L285" i="3"/>
  <c r="M285" i="3" s="1"/>
  <c r="L286" i="3"/>
  <c r="M286" i="3" s="1"/>
  <c r="L290" i="3"/>
  <c r="M290" i="3" s="1"/>
  <c r="L291" i="3"/>
  <c r="M291" i="3" s="1"/>
  <c r="L292" i="3"/>
  <c r="M292" i="3" s="1"/>
  <c r="L293" i="3"/>
  <c r="M293" i="3" s="1"/>
  <c r="L295" i="3"/>
  <c r="M295" i="3" s="1"/>
  <c r="L296" i="3"/>
  <c r="M296" i="3" s="1"/>
  <c r="L297" i="3"/>
  <c r="M297" i="3" s="1"/>
  <c r="L299" i="3"/>
  <c r="M299" i="3" s="1"/>
  <c r="L300" i="3"/>
  <c r="M300" i="3" s="1"/>
  <c r="L301" i="3"/>
  <c r="M301" i="3" s="1"/>
  <c r="L302" i="3"/>
  <c r="M302" i="3" s="1"/>
  <c r="L303" i="3"/>
  <c r="M303" i="3" s="1"/>
  <c r="L304" i="3"/>
  <c r="M304" i="3" s="1"/>
  <c r="L305" i="3"/>
  <c r="M305" i="3" s="1"/>
  <c r="L306" i="3"/>
  <c r="M306" i="3" s="1"/>
  <c r="L307" i="3"/>
  <c r="M307" i="3" s="1"/>
  <c r="L308" i="3"/>
  <c r="M308" i="3" s="1"/>
  <c r="L309" i="3"/>
  <c r="M309" i="3" s="1"/>
  <c r="L310" i="3"/>
  <c r="M310" i="3" s="1"/>
  <c r="L311" i="3"/>
  <c r="M311" i="3" s="1"/>
  <c r="L312" i="3"/>
  <c r="M312" i="3" s="1"/>
  <c r="L313" i="3"/>
  <c r="M313" i="3" s="1"/>
  <c r="L314" i="3"/>
  <c r="M314" i="3" s="1"/>
  <c r="L315" i="3"/>
  <c r="M315" i="3" s="1"/>
  <c r="L316" i="3"/>
  <c r="M316" i="3" s="1"/>
  <c r="L317" i="3"/>
  <c r="M317" i="3" s="1"/>
  <c r="L318" i="3"/>
  <c r="M318" i="3" s="1"/>
  <c r="L320" i="3"/>
  <c r="M320" i="3" s="1"/>
  <c r="L321" i="3"/>
  <c r="M321" i="3" s="1"/>
  <c r="L322" i="3"/>
  <c r="M322" i="3" s="1"/>
  <c r="L323" i="3"/>
  <c r="M323" i="3" s="1"/>
  <c r="L324" i="3"/>
  <c r="M324" i="3" s="1"/>
  <c r="L325" i="3"/>
  <c r="M325" i="3" s="1"/>
  <c r="L326" i="3"/>
  <c r="M326" i="3" s="1"/>
  <c r="L327" i="3"/>
  <c r="M327" i="3" s="1"/>
  <c r="L328" i="3"/>
  <c r="M328" i="3" s="1"/>
  <c r="L329" i="3"/>
  <c r="M329" i="3" s="1"/>
  <c r="L330" i="3"/>
  <c r="M330" i="3" s="1"/>
  <c r="L331" i="3"/>
  <c r="M331" i="3" s="1"/>
  <c r="L332" i="3"/>
  <c r="M332" i="3" s="1"/>
  <c r="L333" i="3"/>
  <c r="M333" i="3" s="1"/>
  <c r="L334" i="3"/>
  <c r="M334" i="3" s="1"/>
  <c r="L335" i="3"/>
  <c r="M335" i="3" s="1"/>
  <c r="L336" i="3"/>
  <c r="M336" i="3" s="1"/>
  <c r="L337" i="3"/>
  <c r="M337" i="3" s="1"/>
  <c r="L338" i="3"/>
  <c r="M338" i="3" s="1"/>
  <c r="L234" i="3"/>
  <c r="M234" i="3" s="1"/>
  <c r="L216" i="3"/>
  <c r="M216" i="3" s="1"/>
  <c r="L119" i="3"/>
  <c r="M119" i="3" s="1"/>
  <c r="L118" i="3"/>
  <c r="M118" i="3" s="1"/>
  <c r="L117" i="3"/>
  <c r="M117" i="3" s="1"/>
  <c r="L25" i="3"/>
  <c r="M25" i="3" s="1"/>
  <c r="L319" i="3"/>
  <c r="M319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  <c r="N333" i="3"/>
  <c r="O333" i="3"/>
  <c r="Q333" i="3" s="1"/>
  <c r="N334" i="3"/>
  <c r="O334" i="3"/>
  <c r="Q334" i="3" s="1"/>
  <c r="N335" i="3"/>
  <c r="O335" i="3"/>
  <c r="Q335" i="3" s="1"/>
  <c r="N336" i="3"/>
  <c r="O336" i="3"/>
  <c r="Q336" i="3" s="1"/>
  <c r="N337" i="3"/>
  <c r="O337" i="3"/>
  <c r="Q337" i="3" s="1"/>
  <c r="N338" i="3"/>
  <c r="O338" i="3"/>
  <c r="Q338" i="3" s="1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O87" i="3"/>
  <c r="N88" i="3"/>
  <c r="O88" i="3"/>
  <c r="N89" i="3"/>
  <c r="O89" i="3"/>
  <c r="N90" i="3"/>
  <c r="O90" i="3"/>
  <c r="N91" i="3"/>
  <c r="O91" i="3"/>
  <c r="N92" i="3"/>
  <c r="O92" i="3"/>
  <c r="N93" i="3"/>
  <c r="O93" i="3"/>
  <c r="N94" i="3"/>
  <c r="O94" i="3"/>
  <c r="N95" i="3"/>
  <c r="O95" i="3"/>
  <c r="N96" i="3"/>
  <c r="O96" i="3"/>
  <c r="N97" i="3"/>
  <c r="O97" i="3"/>
  <c r="N98" i="3"/>
  <c r="O98" i="3"/>
  <c r="N99" i="3"/>
  <c r="O99" i="3"/>
  <c r="N100" i="3"/>
  <c r="O100" i="3"/>
  <c r="N101" i="3"/>
  <c r="O101" i="3"/>
  <c r="N102" i="3"/>
  <c r="O102" i="3"/>
  <c r="N103" i="3"/>
  <c r="O103" i="3"/>
  <c r="N104" i="3"/>
  <c r="O104" i="3"/>
  <c r="N105" i="3"/>
  <c r="O105" i="3"/>
  <c r="N106" i="3"/>
  <c r="O106" i="3"/>
  <c r="N107" i="3"/>
  <c r="O107" i="3"/>
  <c r="N108" i="3"/>
  <c r="O108" i="3"/>
  <c r="N109" i="3"/>
  <c r="O109" i="3"/>
  <c r="N110" i="3"/>
  <c r="O110" i="3"/>
  <c r="N111" i="3"/>
  <c r="O111" i="3"/>
  <c r="N112" i="3"/>
  <c r="O112" i="3"/>
  <c r="N113" i="3"/>
  <c r="O113" i="3"/>
  <c r="N114" i="3"/>
  <c r="O114" i="3"/>
  <c r="N115" i="3"/>
  <c r="O115" i="3"/>
  <c r="N116" i="3"/>
  <c r="O116" i="3"/>
  <c r="N117" i="3"/>
  <c r="O117" i="3"/>
  <c r="N118" i="3"/>
  <c r="O118" i="3"/>
  <c r="N119" i="3"/>
  <c r="O119" i="3"/>
  <c r="N120" i="3"/>
  <c r="O120" i="3"/>
  <c r="N121" i="3"/>
  <c r="O121" i="3"/>
  <c r="N122" i="3"/>
  <c r="O122" i="3"/>
  <c r="N123" i="3"/>
  <c r="O123" i="3"/>
  <c r="N124" i="3"/>
  <c r="O124" i="3"/>
  <c r="N125" i="3"/>
  <c r="O125" i="3"/>
  <c r="N126" i="3"/>
  <c r="O126" i="3"/>
  <c r="N127" i="3"/>
  <c r="O127" i="3"/>
  <c r="N128" i="3"/>
  <c r="O128" i="3"/>
  <c r="N129" i="3"/>
  <c r="O129" i="3"/>
  <c r="N130" i="3"/>
  <c r="O130" i="3"/>
  <c r="N131" i="3"/>
  <c r="O131" i="3"/>
  <c r="N132" i="3"/>
  <c r="O132" i="3"/>
  <c r="N133" i="3"/>
  <c r="O133" i="3"/>
  <c r="N134" i="3"/>
  <c r="O134" i="3"/>
  <c r="N135" i="3"/>
  <c r="O135" i="3"/>
  <c r="N136" i="3"/>
  <c r="O136" i="3"/>
  <c r="N137" i="3"/>
  <c r="O137" i="3"/>
  <c r="N138" i="3"/>
  <c r="O138" i="3"/>
  <c r="N139" i="3"/>
  <c r="O139" i="3"/>
  <c r="N140" i="3"/>
  <c r="O140" i="3"/>
  <c r="N141" i="3"/>
  <c r="O141" i="3"/>
  <c r="N142" i="3"/>
  <c r="O142" i="3"/>
  <c r="N143" i="3"/>
  <c r="O143" i="3"/>
  <c r="N144" i="3"/>
  <c r="O144" i="3"/>
  <c r="N145" i="3"/>
  <c r="O145" i="3"/>
  <c r="N146" i="3"/>
  <c r="O146" i="3"/>
  <c r="N147" i="3"/>
  <c r="O147" i="3"/>
  <c r="N148" i="3"/>
  <c r="O148" i="3"/>
  <c r="N149" i="3"/>
  <c r="O149" i="3"/>
  <c r="N150" i="3"/>
  <c r="O150" i="3"/>
  <c r="N151" i="3"/>
  <c r="O151" i="3"/>
  <c r="N152" i="3"/>
  <c r="O152" i="3"/>
  <c r="N153" i="3"/>
  <c r="O153" i="3"/>
  <c r="N154" i="3"/>
  <c r="O154" i="3"/>
  <c r="N155" i="3"/>
  <c r="O155" i="3"/>
  <c r="N156" i="3"/>
  <c r="O156" i="3"/>
  <c r="N157" i="3"/>
  <c r="O157" i="3"/>
  <c r="N158" i="3"/>
  <c r="O158" i="3"/>
  <c r="N159" i="3"/>
  <c r="O159" i="3"/>
  <c r="N160" i="3"/>
  <c r="O160" i="3"/>
  <c r="N161" i="3"/>
  <c r="O161" i="3"/>
  <c r="N162" i="3"/>
  <c r="O162" i="3"/>
  <c r="N163" i="3"/>
  <c r="O163" i="3"/>
  <c r="N164" i="3"/>
  <c r="O164" i="3"/>
  <c r="N165" i="3"/>
  <c r="O165" i="3"/>
  <c r="N166" i="3"/>
  <c r="O166" i="3"/>
  <c r="N167" i="3"/>
  <c r="O167" i="3"/>
  <c r="N168" i="3"/>
  <c r="O168" i="3"/>
  <c r="N169" i="3"/>
  <c r="O169" i="3"/>
  <c r="N170" i="3"/>
  <c r="O170" i="3"/>
  <c r="N171" i="3"/>
  <c r="O171" i="3"/>
  <c r="N172" i="3"/>
  <c r="O172" i="3"/>
  <c r="N173" i="3"/>
  <c r="O173" i="3"/>
  <c r="N174" i="3"/>
  <c r="O174" i="3"/>
  <c r="N175" i="3"/>
  <c r="O175" i="3"/>
  <c r="N176" i="3"/>
  <c r="O176" i="3"/>
  <c r="N177" i="3"/>
  <c r="O177" i="3"/>
  <c r="N178" i="3"/>
  <c r="O178" i="3"/>
  <c r="N179" i="3"/>
  <c r="O179" i="3"/>
  <c r="N180" i="3"/>
  <c r="O180" i="3"/>
  <c r="N181" i="3"/>
  <c r="O181" i="3"/>
  <c r="N182" i="3"/>
  <c r="O182" i="3"/>
  <c r="N183" i="3"/>
  <c r="O183" i="3"/>
  <c r="N184" i="3"/>
  <c r="O184" i="3"/>
  <c r="N185" i="3"/>
  <c r="O185" i="3"/>
  <c r="N186" i="3"/>
  <c r="O186" i="3"/>
  <c r="N187" i="3"/>
  <c r="O187" i="3"/>
  <c r="N188" i="3"/>
  <c r="O188" i="3"/>
  <c r="N189" i="3"/>
  <c r="O189" i="3"/>
  <c r="N190" i="3"/>
  <c r="O190" i="3"/>
  <c r="N191" i="3"/>
  <c r="O191" i="3"/>
  <c r="N192" i="3"/>
  <c r="O192" i="3"/>
  <c r="N193" i="3"/>
  <c r="O193" i="3"/>
  <c r="N194" i="3"/>
  <c r="O194" i="3"/>
  <c r="N195" i="3"/>
  <c r="O195" i="3"/>
  <c r="N196" i="3"/>
  <c r="O196" i="3"/>
  <c r="N197" i="3"/>
  <c r="O197" i="3"/>
  <c r="N198" i="3"/>
  <c r="O198" i="3"/>
  <c r="N199" i="3"/>
  <c r="O199" i="3"/>
  <c r="N200" i="3"/>
  <c r="O200" i="3"/>
  <c r="N201" i="3"/>
  <c r="O201" i="3"/>
  <c r="N202" i="3"/>
  <c r="O202" i="3"/>
  <c r="N203" i="3"/>
  <c r="O203" i="3"/>
  <c r="N204" i="3"/>
  <c r="O204" i="3"/>
  <c r="N205" i="3"/>
  <c r="O205" i="3"/>
  <c r="N206" i="3"/>
  <c r="O206" i="3"/>
  <c r="N207" i="3"/>
  <c r="O207" i="3"/>
  <c r="N208" i="3"/>
  <c r="O208" i="3"/>
  <c r="N209" i="3"/>
  <c r="O209" i="3"/>
  <c r="N210" i="3"/>
  <c r="O210" i="3"/>
  <c r="N211" i="3"/>
  <c r="O211" i="3"/>
  <c r="N212" i="3"/>
  <c r="O212" i="3"/>
  <c r="N213" i="3"/>
  <c r="O213" i="3"/>
  <c r="N214" i="3"/>
  <c r="O214" i="3"/>
  <c r="N215" i="3"/>
  <c r="O215" i="3"/>
  <c r="N216" i="3"/>
  <c r="O216" i="3"/>
  <c r="N217" i="3"/>
  <c r="O217" i="3"/>
  <c r="N218" i="3"/>
  <c r="O218" i="3"/>
  <c r="N219" i="3"/>
  <c r="O219" i="3"/>
  <c r="N220" i="3"/>
  <c r="O220" i="3"/>
  <c r="N221" i="3"/>
  <c r="O221" i="3"/>
  <c r="N222" i="3"/>
  <c r="O222" i="3"/>
  <c r="N223" i="3"/>
  <c r="O223" i="3"/>
  <c r="N224" i="3"/>
  <c r="O224" i="3"/>
  <c r="N225" i="3"/>
  <c r="O225" i="3"/>
  <c r="N226" i="3"/>
  <c r="O226" i="3"/>
  <c r="N227" i="3"/>
  <c r="O227" i="3"/>
  <c r="N228" i="3"/>
  <c r="O228" i="3"/>
  <c r="N229" i="3"/>
  <c r="O229" i="3"/>
  <c r="N230" i="3"/>
  <c r="O230" i="3"/>
  <c r="N231" i="3"/>
  <c r="O231" i="3"/>
  <c r="N232" i="3"/>
  <c r="O232" i="3"/>
  <c r="N233" i="3"/>
  <c r="O233" i="3"/>
  <c r="N234" i="3"/>
  <c r="O234" i="3"/>
  <c r="N235" i="3"/>
  <c r="O235" i="3"/>
  <c r="N236" i="3"/>
  <c r="O236" i="3"/>
  <c r="N237" i="3"/>
  <c r="O237" i="3"/>
  <c r="N238" i="3"/>
  <c r="O238" i="3"/>
  <c r="N239" i="3"/>
  <c r="O239" i="3"/>
  <c r="N240" i="3"/>
  <c r="O240" i="3"/>
  <c r="N241" i="3"/>
  <c r="O241" i="3"/>
  <c r="N242" i="3"/>
  <c r="O242" i="3"/>
  <c r="N243" i="3"/>
  <c r="O243" i="3"/>
  <c r="N244" i="3"/>
  <c r="O244" i="3"/>
  <c r="N245" i="3"/>
  <c r="O245" i="3"/>
  <c r="N246" i="3"/>
  <c r="O246" i="3"/>
  <c r="N247" i="3"/>
  <c r="O247" i="3"/>
  <c r="N248" i="3"/>
  <c r="O248" i="3"/>
  <c r="N249" i="3"/>
  <c r="O249" i="3"/>
  <c r="N250" i="3"/>
  <c r="O250" i="3"/>
  <c r="N251" i="3"/>
  <c r="O251" i="3"/>
  <c r="N252" i="3"/>
  <c r="O252" i="3"/>
  <c r="N253" i="3"/>
  <c r="O253" i="3"/>
  <c r="N254" i="3"/>
  <c r="O254" i="3"/>
  <c r="N255" i="3"/>
  <c r="O255" i="3"/>
  <c r="N256" i="3"/>
  <c r="O256" i="3"/>
  <c r="N257" i="3"/>
  <c r="O257" i="3"/>
  <c r="N258" i="3"/>
  <c r="O258" i="3"/>
  <c r="N259" i="3"/>
  <c r="O259" i="3"/>
  <c r="N260" i="3"/>
  <c r="O260" i="3"/>
  <c r="N261" i="3"/>
  <c r="O261" i="3"/>
  <c r="N262" i="3"/>
  <c r="O262" i="3"/>
  <c r="N263" i="3"/>
  <c r="O263" i="3"/>
  <c r="N264" i="3"/>
  <c r="O264" i="3"/>
  <c r="N265" i="3"/>
  <c r="O265" i="3"/>
  <c r="N266" i="3"/>
  <c r="O266" i="3"/>
  <c r="N267" i="3"/>
  <c r="O267" i="3"/>
  <c r="N268" i="3"/>
  <c r="O268" i="3"/>
  <c r="N269" i="3"/>
  <c r="O269" i="3"/>
  <c r="N270" i="3"/>
  <c r="O270" i="3"/>
  <c r="N271" i="3"/>
  <c r="O271" i="3"/>
  <c r="N272" i="3"/>
  <c r="O272" i="3"/>
  <c r="N273" i="3"/>
  <c r="O273" i="3"/>
  <c r="N274" i="3"/>
  <c r="O274" i="3"/>
  <c r="N275" i="3"/>
  <c r="O275" i="3"/>
  <c r="L276" i="3"/>
  <c r="M276" i="3" s="1"/>
  <c r="N276" i="3"/>
  <c r="O276" i="3"/>
  <c r="N277" i="3"/>
  <c r="O277" i="3"/>
  <c r="N278" i="3"/>
  <c r="O278" i="3"/>
  <c r="N279" i="3"/>
  <c r="O279" i="3"/>
  <c r="N280" i="3"/>
  <c r="O280" i="3"/>
  <c r="N281" i="3"/>
  <c r="O281" i="3"/>
  <c r="N282" i="3"/>
  <c r="O282" i="3"/>
  <c r="N283" i="3"/>
  <c r="O283" i="3"/>
  <c r="N284" i="3"/>
  <c r="O284" i="3"/>
  <c r="N285" i="3"/>
  <c r="O285" i="3"/>
  <c r="N286" i="3"/>
  <c r="O286" i="3"/>
  <c r="N287" i="3"/>
  <c r="O287" i="3"/>
  <c r="N288" i="3"/>
  <c r="O288" i="3"/>
  <c r="L289" i="3"/>
  <c r="M289" i="3" s="1"/>
  <c r="N289" i="3"/>
  <c r="O289" i="3"/>
  <c r="N290" i="3"/>
  <c r="O290" i="3"/>
  <c r="N291" i="3"/>
  <c r="O291" i="3"/>
  <c r="N292" i="3"/>
  <c r="O292" i="3"/>
  <c r="N293" i="3"/>
  <c r="O293" i="3"/>
  <c r="N294" i="3"/>
  <c r="O294" i="3"/>
  <c r="N295" i="3"/>
  <c r="O295" i="3"/>
  <c r="N296" i="3"/>
  <c r="O296" i="3"/>
  <c r="N297" i="3"/>
  <c r="O297" i="3"/>
  <c r="N298" i="3"/>
  <c r="O298" i="3"/>
  <c r="N299" i="3"/>
  <c r="O299" i="3"/>
  <c r="N300" i="3"/>
  <c r="O300" i="3"/>
  <c r="N301" i="3"/>
  <c r="O301" i="3"/>
  <c r="N302" i="3"/>
  <c r="O302" i="3"/>
  <c r="N303" i="3"/>
  <c r="O303" i="3"/>
  <c r="N304" i="3"/>
  <c r="O304" i="3"/>
  <c r="N305" i="3"/>
  <c r="O305" i="3"/>
  <c r="N306" i="3"/>
  <c r="O306" i="3"/>
  <c r="N307" i="3"/>
  <c r="O307" i="3"/>
  <c r="N308" i="3"/>
  <c r="O308" i="3"/>
  <c r="N309" i="3"/>
  <c r="O309" i="3"/>
  <c r="N310" i="3"/>
  <c r="O310" i="3"/>
  <c r="N311" i="3"/>
  <c r="O311" i="3"/>
  <c r="N312" i="3"/>
  <c r="O312" i="3"/>
  <c r="N313" i="3"/>
  <c r="O313" i="3"/>
  <c r="N314" i="3"/>
  <c r="O314" i="3"/>
  <c r="N315" i="3"/>
  <c r="O315" i="3"/>
  <c r="N316" i="3"/>
  <c r="O316" i="3"/>
  <c r="N317" i="3"/>
  <c r="O317" i="3"/>
  <c r="N318" i="3"/>
  <c r="O318" i="3"/>
  <c r="N319" i="3"/>
  <c r="O319" i="3"/>
  <c r="N320" i="3"/>
  <c r="O320" i="3"/>
  <c r="N321" i="3"/>
  <c r="O321" i="3"/>
  <c r="N322" i="3"/>
  <c r="O322" i="3"/>
  <c r="N323" i="3"/>
  <c r="O323" i="3"/>
  <c r="N324" i="3"/>
  <c r="O324" i="3"/>
  <c r="N325" i="3"/>
  <c r="O325" i="3"/>
  <c r="N326" i="3"/>
  <c r="O326" i="3"/>
  <c r="N327" i="3"/>
  <c r="O327" i="3"/>
  <c r="N328" i="3"/>
  <c r="O328" i="3"/>
  <c r="N329" i="3"/>
  <c r="O329" i="3"/>
  <c r="N330" i="3"/>
  <c r="O330" i="3"/>
  <c r="N331" i="3"/>
  <c r="O331" i="3"/>
  <c r="N332" i="3"/>
  <c r="O332" i="3"/>
  <c r="I61" i="3"/>
  <c r="I178" i="3"/>
  <c r="I177" i="3"/>
  <c r="I176" i="3"/>
  <c r="I175" i="3"/>
  <c r="I30" i="3"/>
  <c r="I173" i="3"/>
  <c r="I172" i="3"/>
  <c r="I180" i="3"/>
  <c r="I179" i="3"/>
  <c r="I121" i="3"/>
  <c r="I122" i="3"/>
  <c r="I125" i="3"/>
  <c r="I169" i="3"/>
  <c r="I168" i="3"/>
  <c r="I167" i="3"/>
  <c r="I155" i="3"/>
  <c r="I53" i="3"/>
  <c r="I150" i="3"/>
  <c r="I149" i="3"/>
  <c r="I52" i="3"/>
  <c r="I148" i="3"/>
  <c r="I51" i="3"/>
  <c r="I8" i="3"/>
  <c r="I147" i="3"/>
  <c r="I50" i="3"/>
  <c r="I146" i="3"/>
  <c r="I145" i="3"/>
  <c r="I140" i="3"/>
  <c r="I48" i="3"/>
  <c r="I23" i="3"/>
  <c r="I136" i="3"/>
  <c r="I135" i="3"/>
  <c r="I133" i="3"/>
  <c r="I131" i="3"/>
  <c r="I21" i="3"/>
  <c r="I127" i="3"/>
  <c r="I126" i="3"/>
  <c r="I45" i="3"/>
  <c r="I44" i="3"/>
  <c r="I28" i="3"/>
  <c r="I160" i="3"/>
  <c r="I159" i="3"/>
  <c r="I158" i="3"/>
  <c r="I27" i="3"/>
  <c r="I157" i="3"/>
  <c r="I156" i="3"/>
  <c r="I151" i="3"/>
  <c r="I25" i="3"/>
  <c r="I142" i="3"/>
  <c r="I141" i="3"/>
  <c r="I139" i="3"/>
  <c r="I24" i="3"/>
  <c r="I47" i="3"/>
  <c r="I138" i="3"/>
  <c r="I137" i="3"/>
  <c r="I22" i="3"/>
  <c r="I134" i="3"/>
  <c r="I123" i="3"/>
  <c r="I46" i="3"/>
  <c r="I130" i="3"/>
  <c r="I161" i="3"/>
  <c r="I162" i="3"/>
  <c r="I119" i="3"/>
  <c r="I117" i="3"/>
  <c r="I116" i="3"/>
  <c r="I115" i="3"/>
  <c r="I118" i="3"/>
  <c r="I124" i="3"/>
  <c r="I20" i="3"/>
  <c r="I43" i="3"/>
  <c r="N3" i="3"/>
  <c r="O3" i="3" s="1"/>
  <c r="I63" i="3"/>
  <c r="I64" i="3"/>
  <c r="I65" i="3"/>
  <c r="I35" i="3"/>
  <c r="I66" i="3"/>
  <c r="I67" i="3"/>
  <c r="I68" i="3"/>
  <c r="I69" i="3"/>
  <c r="I4" i="3"/>
  <c r="I36" i="3"/>
  <c r="I70" i="3"/>
  <c r="I37" i="3"/>
  <c r="I71" i="3"/>
  <c r="I72" i="3"/>
  <c r="I73" i="3"/>
  <c r="I74" i="3"/>
  <c r="I75" i="3"/>
  <c r="I76" i="3"/>
  <c r="I77" i="3"/>
  <c r="I78" i="3"/>
  <c r="I79" i="3"/>
  <c r="I38" i="3"/>
  <c r="I39" i="3"/>
  <c r="I80" i="3"/>
  <c r="I81" i="3"/>
  <c r="I82" i="3"/>
  <c r="I83" i="3"/>
  <c r="I84" i="3"/>
  <c r="I40" i="3"/>
  <c r="I5" i="3"/>
  <c r="I85" i="3"/>
  <c r="I86" i="3"/>
  <c r="I87" i="3"/>
  <c r="I6" i="3"/>
  <c r="I88" i="3"/>
  <c r="I41" i="3"/>
  <c r="I89" i="3"/>
  <c r="I90" i="3"/>
  <c r="I91" i="3"/>
  <c r="I92" i="3"/>
  <c r="I93" i="3"/>
  <c r="I42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8" i="3"/>
  <c r="I111" i="3"/>
  <c r="I19" i="3"/>
  <c r="I112" i="3"/>
  <c r="I113" i="3"/>
  <c r="I114" i="3"/>
  <c r="I120" i="3"/>
  <c r="I128" i="3"/>
  <c r="I7" i="3"/>
  <c r="I129" i="3"/>
  <c r="I132" i="3"/>
  <c r="I143" i="3"/>
  <c r="I144" i="3"/>
  <c r="I49" i="3"/>
  <c r="I152" i="3"/>
  <c r="I153" i="3"/>
  <c r="I154" i="3"/>
  <c r="I26" i="3"/>
  <c r="I163" i="3"/>
  <c r="I164" i="3"/>
  <c r="I165" i="3"/>
  <c r="I166" i="3"/>
  <c r="I170" i="3"/>
  <c r="I171" i="3"/>
  <c r="I29" i="3"/>
  <c r="I54" i="3"/>
  <c r="I174" i="3"/>
  <c r="I181" i="3"/>
  <c r="I182" i="3"/>
  <c r="I183" i="3"/>
  <c r="I184" i="3"/>
  <c r="I55" i="3"/>
  <c r="I185" i="3"/>
  <c r="I186" i="3"/>
  <c r="I9" i="3"/>
  <c r="I10" i="3"/>
  <c r="I11" i="3"/>
  <c r="I12" i="3"/>
  <c r="I187" i="3"/>
  <c r="I188" i="3"/>
  <c r="I31" i="3"/>
  <c r="I13" i="3"/>
  <c r="I189" i="3"/>
  <c r="I32" i="3"/>
  <c r="I33" i="3"/>
  <c r="I56" i="3"/>
  <c r="I14" i="3"/>
  <c r="I57" i="3"/>
  <c r="I190" i="3"/>
  <c r="I191" i="3"/>
  <c r="I192" i="3"/>
  <c r="I58" i="3"/>
  <c r="I193" i="3"/>
  <c r="I194" i="3"/>
  <c r="I195" i="3"/>
  <c r="I196" i="3"/>
  <c r="I197" i="3"/>
  <c r="I198" i="3"/>
  <c r="I199" i="3"/>
  <c r="I200" i="3"/>
  <c r="I201" i="3"/>
  <c r="I15" i="3"/>
  <c r="I16" i="3"/>
  <c r="I17" i="3"/>
  <c r="I202" i="3"/>
  <c r="I34" i="3"/>
  <c r="I203" i="3"/>
  <c r="I204" i="3"/>
  <c r="I205" i="3"/>
  <c r="I206" i="3"/>
  <c r="I207" i="3"/>
  <c r="I208" i="3"/>
  <c r="I209" i="3"/>
  <c r="I5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60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" i="3"/>
  <c r="I62" i="3"/>
  <c r="J2" i="3" l="1"/>
  <c r="O2" i="3"/>
  <c r="N2" i="3"/>
  <c r="Q37" i="3"/>
  <c r="Q6" i="3"/>
  <c r="Q67" i="3"/>
  <c r="Q167" i="3"/>
  <c r="Q53" i="3"/>
  <c r="Q21" i="3"/>
  <c r="Q276" i="3"/>
  <c r="Q233" i="3"/>
  <c r="Q16" i="3"/>
  <c r="Q175" i="3"/>
  <c r="Q191" i="3"/>
  <c r="Q207" i="3"/>
  <c r="Q17" i="3"/>
  <c r="Q289" i="3"/>
  <c r="Q116" i="3"/>
  <c r="Q45" i="3"/>
  <c r="Q60" i="3"/>
  <c r="Q183" i="3"/>
  <c r="Q199" i="3"/>
  <c r="Q8" i="3"/>
  <c r="Q151" i="3"/>
  <c r="Q159" i="3"/>
  <c r="Q97" i="3"/>
  <c r="Q128" i="3"/>
  <c r="Q143" i="3"/>
  <c r="Q89" i="3"/>
  <c r="Q120" i="3"/>
  <c r="Q135" i="3"/>
  <c r="Q81" i="3"/>
  <c r="Q12" i="3"/>
  <c r="Q25" i="3"/>
  <c r="Q70" i="3"/>
  <c r="Q78" i="3"/>
  <c r="Q108" i="3"/>
  <c r="Q115" i="3"/>
  <c r="Q28" i="3"/>
  <c r="Q35" i="3"/>
  <c r="Q43" i="3"/>
  <c r="Q51" i="3"/>
  <c r="Q58" i="3"/>
  <c r="Q65" i="3"/>
  <c r="Q87" i="3"/>
  <c r="Q95" i="3"/>
  <c r="Q103" i="3"/>
  <c r="Q111" i="3"/>
  <c r="Q10" i="3"/>
  <c r="Q23" i="3"/>
  <c r="Q76" i="3"/>
  <c r="Q26" i="3"/>
  <c r="Q33" i="3"/>
  <c r="Q41" i="3"/>
  <c r="Q49" i="3"/>
  <c r="Q56" i="3"/>
  <c r="Q63" i="3"/>
  <c r="Q79" i="3"/>
  <c r="Q314" i="3"/>
  <c r="Q320" i="3"/>
  <c r="Q325" i="3"/>
  <c r="Q331" i="3"/>
  <c r="Q102" i="3"/>
  <c r="Q284" i="3"/>
  <c r="Q296" i="3"/>
  <c r="Q303" i="3"/>
  <c r="Q24" i="3"/>
  <c r="Q69" i="3"/>
  <c r="Q83" i="3"/>
  <c r="Q91" i="3"/>
  <c r="Q99" i="3"/>
  <c r="Q122" i="3"/>
  <c r="Q130" i="3"/>
  <c r="Q137" i="3"/>
  <c r="Q145" i="3"/>
  <c r="Q153" i="3"/>
  <c r="Q161" i="3"/>
  <c r="Q169" i="3"/>
  <c r="Q177" i="3"/>
  <c r="Q185" i="3"/>
  <c r="Q193" i="3"/>
  <c r="Q201" i="3"/>
  <c r="Q209" i="3"/>
  <c r="Q239" i="3"/>
  <c r="Q248" i="3"/>
  <c r="Q305" i="3"/>
  <c r="Q214" i="3"/>
  <c r="Q220" i="3"/>
  <c r="Q225" i="3"/>
  <c r="Q241" i="3"/>
  <c r="Q250" i="3"/>
  <c r="Q260" i="3"/>
  <c r="Q267" i="3"/>
  <c r="Q273" i="3"/>
  <c r="Q278" i="3"/>
  <c r="Q286" i="3"/>
  <c r="Q291" i="3"/>
  <c r="Q297" i="3"/>
  <c r="Q304" i="3"/>
  <c r="Q308" i="3"/>
  <c r="Q321" i="3"/>
  <c r="Q327" i="3"/>
  <c r="Q110" i="3"/>
  <c r="Q3" i="3"/>
  <c r="Q13" i="3"/>
  <c r="Q18" i="3"/>
  <c r="Q30" i="3"/>
  <c r="Q38" i="3"/>
  <c r="Q46" i="3"/>
  <c r="Q54" i="3"/>
  <c r="Q68" i="3"/>
  <c r="Q73" i="3"/>
  <c r="Q84" i="3"/>
  <c r="Q92" i="3"/>
  <c r="Q100" i="3"/>
  <c r="Q105" i="3"/>
  <c r="Q113" i="3"/>
  <c r="Q117" i="3"/>
  <c r="Q125" i="3"/>
  <c r="Q132" i="3"/>
  <c r="Q140" i="3"/>
  <c r="Q148" i="3"/>
  <c r="Q156" i="3"/>
  <c r="Q164" i="3"/>
  <c r="Q172" i="3"/>
  <c r="Q180" i="3"/>
  <c r="Q188" i="3"/>
  <c r="Q196" i="3"/>
  <c r="Q204" i="3"/>
  <c r="Q216" i="3"/>
  <c r="Q222" i="3"/>
  <c r="Q228" i="3"/>
  <c r="Q236" i="3"/>
  <c r="Q246" i="3"/>
  <c r="Q253" i="3"/>
  <c r="Q256" i="3"/>
  <c r="Q263" i="3"/>
  <c r="Q269" i="3"/>
  <c r="Q281" i="3"/>
  <c r="Q294" i="3"/>
  <c r="Q300" i="3"/>
  <c r="Q311" i="3"/>
  <c r="Q318" i="3"/>
  <c r="Q322" i="3"/>
  <c r="Q329" i="3"/>
  <c r="Q212" i="3"/>
  <c r="Q44" i="3"/>
  <c r="Q66" i="3"/>
  <c r="Q123" i="3"/>
  <c r="Q131" i="3"/>
  <c r="Q138" i="3"/>
  <c r="Q146" i="3"/>
  <c r="Q154" i="3"/>
  <c r="Q162" i="3"/>
  <c r="Q170" i="3"/>
  <c r="Q178" i="3"/>
  <c r="Q186" i="3"/>
  <c r="Q194" i="3"/>
  <c r="Q202" i="3"/>
  <c r="Q215" i="3"/>
  <c r="Q226" i="3"/>
  <c r="Q234" i="3"/>
  <c r="Q242" i="3"/>
  <c r="Q251" i="3"/>
  <c r="Q261" i="3"/>
  <c r="Q268" i="3"/>
  <c r="Q274" i="3"/>
  <c r="Q279" i="3"/>
  <c r="Q287" i="3"/>
  <c r="Q292" i="3"/>
  <c r="Q298" i="3"/>
  <c r="Q309" i="3"/>
  <c r="Q316" i="3"/>
  <c r="Q219" i="3"/>
  <c r="Q52" i="3"/>
  <c r="Q71" i="3"/>
  <c r="Q82" i="3"/>
  <c r="Q98" i="3"/>
  <c r="Q14" i="3"/>
  <c r="Q19" i="3"/>
  <c r="Q31" i="3"/>
  <c r="Q39" i="3"/>
  <c r="Q47" i="3"/>
  <c r="Q55" i="3"/>
  <c r="Q61" i="3"/>
  <c r="Q74" i="3"/>
  <c r="Q85" i="3"/>
  <c r="Q93" i="3"/>
  <c r="Q101" i="3"/>
  <c r="Q106" i="3"/>
  <c r="Q118" i="3"/>
  <c r="Q126" i="3"/>
  <c r="Q133" i="3"/>
  <c r="Q141" i="3"/>
  <c r="Q149" i="3"/>
  <c r="Q157" i="3"/>
  <c r="Q165" i="3"/>
  <c r="Q173" i="3"/>
  <c r="Q181" i="3"/>
  <c r="Q189" i="3"/>
  <c r="Q197" i="3"/>
  <c r="Q205" i="3"/>
  <c r="Q210" i="3"/>
  <c r="Q217" i="3"/>
  <c r="Q229" i="3"/>
  <c r="Q237" i="3"/>
  <c r="Q243" i="3"/>
  <c r="Q254" i="3"/>
  <c r="Q257" i="3"/>
  <c r="Q264" i="3"/>
  <c r="Q270" i="3"/>
  <c r="Q282" i="3"/>
  <c r="Q301" i="3"/>
  <c r="Q312" i="3"/>
  <c r="Q323" i="3"/>
  <c r="Q231" i="3"/>
  <c r="Q266" i="3"/>
  <c r="Q11" i="3"/>
  <c r="Q29" i="3"/>
  <c r="Q36" i="3"/>
  <c r="Q59" i="3"/>
  <c r="Q90" i="3"/>
  <c r="Q4" i="3"/>
  <c r="Q9" i="3"/>
  <c r="Q22" i="3"/>
  <c r="Q27" i="3"/>
  <c r="Q34" i="3"/>
  <c r="Q42" i="3"/>
  <c r="Q50" i="3"/>
  <c r="Q57" i="3"/>
  <c r="Q64" i="3"/>
  <c r="Q77" i="3"/>
  <c r="Q80" i="3"/>
  <c r="Q88" i="3"/>
  <c r="Q96" i="3"/>
  <c r="Q109" i="3"/>
  <c r="Q121" i="3"/>
  <c r="Q129" i="3"/>
  <c r="Q136" i="3"/>
  <c r="Q144" i="3"/>
  <c r="Q152" i="3"/>
  <c r="Q160" i="3"/>
  <c r="Q168" i="3"/>
  <c r="Q176" i="3"/>
  <c r="Q184" i="3"/>
  <c r="Q192" i="3"/>
  <c r="Q200" i="3"/>
  <c r="Q208" i="3"/>
  <c r="Q213" i="3"/>
  <c r="Q224" i="3"/>
  <c r="Q232" i="3"/>
  <c r="Q240" i="3"/>
  <c r="Q244" i="3"/>
  <c r="Q249" i="3"/>
  <c r="Q272" i="3"/>
  <c r="Q277" i="3"/>
  <c r="Q285" i="3"/>
  <c r="Q290" i="3"/>
  <c r="Q307" i="3"/>
  <c r="Q315" i="3"/>
  <c r="Q326" i="3"/>
  <c r="Q332" i="3"/>
  <c r="Q223" i="3"/>
  <c r="Q259" i="3"/>
  <c r="Q104" i="3"/>
  <c r="Q124" i="3"/>
  <c r="Q139" i="3"/>
  <c r="Q147" i="3"/>
  <c r="Q155" i="3"/>
  <c r="Q163" i="3"/>
  <c r="Q171" i="3"/>
  <c r="Q179" i="3"/>
  <c r="Q187" i="3"/>
  <c r="Q195" i="3"/>
  <c r="Q203" i="3"/>
  <c r="Q221" i="3"/>
  <c r="Q227" i="3"/>
  <c r="Q235" i="3"/>
  <c r="Q245" i="3"/>
  <c r="Q252" i="3"/>
  <c r="Q262" i="3"/>
  <c r="Q275" i="3"/>
  <c r="Q280" i="3"/>
  <c r="Q288" i="3"/>
  <c r="Q293" i="3"/>
  <c r="Q299" i="3"/>
  <c r="Q310" i="3"/>
  <c r="Q317" i="3"/>
  <c r="Q328" i="3"/>
  <c r="Q271" i="3"/>
  <c r="Q72" i="3"/>
  <c r="Q112" i="3"/>
  <c r="Q7" i="3"/>
  <c r="Q15" i="3"/>
  <c r="Q20" i="3"/>
  <c r="Q32" i="3"/>
  <c r="Q40" i="3"/>
  <c r="Q48" i="3"/>
  <c r="Q62" i="3"/>
  <c r="Q75" i="3"/>
  <c r="Q86" i="3"/>
  <c r="Q94" i="3"/>
  <c r="Q107" i="3"/>
  <c r="Q114" i="3"/>
  <c r="Q119" i="3"/>
  <c r="Q127" i="3"/>
  <c r="Q134" i="3"/>
  <c r="Q142" i="3"/>
  <c r="Q150" i="3"/>
  <c r="Q158" i="3"/>
  <c r="Q166" i="3"/>
  <c r="Q174" i="3"/>
  <c r="Q182" i="3"/>
  <c r="Q190" i="3"/>
  <c r="Q198" i="3"/>
  <c r="Q206" i="3"/>
  <c r="Q211" i="3"/>
  <c r="Q218" i="3"/>
  <c r="Q230" i="3"/>
  <c r="Q238" i="3"/>
  <c r="Q247" i="3"/>
  <c r="Q255" i="3"/>
  <c r="Q258" i="3"/>
  <c r="Q265" i="3"/>
  <c r="Q283" i="3"/>
  <c r="Q295" i="3"/>
  <c r="Q302" i="3"/>
  <c r="Q306" i="3"/>
  <c r="Q313" i="3"/>
  <c r="Q319" i="3"/>
  <c r="Q324" i="3"/>
  <c r="Q330" i="3"/>
  <c r="Q5" i="3"/>
  <c r="Q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Sandoval</author>
  </authors>
  <commentList>
    <comment ref="B17" authorId="0" shapeId="0" xr:uid="{A6A13764-4058-458A-880C-1F868B6E4B3F}">
      <text>
        <r>
          <rPr>
            <b/>
            <sz val="9"/>
            <color indexed="81"/>
            <rFont val="Tahoma"/>
            <family val="2"/>
          </rPr>
          <t>813006018128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9" authorId="0" shapeId="0" xr:uid="{385E7592-19F4-4D97-AAD8-B1F376600E6D}">
      <text>
        <r>
          <rPr>
            <b/>
            <sz val="9"/>
            <color indexed="81"/>
            <rFont val="Tahoma"/>
            <family val="2"/>
          </rPr>
          <t>813006011426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4" authorId="0" shapeId="0" xr:uid="{DF5B2D21-5A4F-4863-86D4-FF92881F9CE8}">
      <text>
        <r>
          <rPr>
            <b/>
            <sz val="9"/>
            <color indexed="81"/>
            <rFont val="Tahoma"/>
            <family val="2"/>
          </rPr>
          <t xml:space="preserve">810487031424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5" authorId="0" shapeId="0" xr:uid="{DD57470D-5C9A-4862-A8F3-F6DF8D739521}">
      <text>
        <r>
          <rPr>
            <sz val="9"/>
            <color indexed="81"/>
            <rFont val="Tahoma"/>
            <family val="2"/>
          </rPr>
          <t xml:space="preserve">810487031875 
</t>
        </r>
      </text>
    </comment>
    <comment ref="B236" authorId="0" shapeId="0" xr:uid="{60022085-A9BA-42FD-B1C8-3D165758C9A5}">
      <text>
        <r>
          <rPr>
            <b/>
            <sz val="9"/>
            <color indexed="81"/>
            <rFont val="Tahoma"/>
            <family val="2"/>
          </rPr>
          <t xml:space="preserve">810487031882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7" authorId="0" shapeId="0" xr:uid="{CFC4F353-A090-49B8-AA99-4CEE148E94E2}">
      <text>
        <r>
          <rPr>
            <b/>
            <sz val="9"/>
            <color indexed="81"/>
            <rFont val="Tahoma"/>
            <family val="2"/>
          </rPr>
          <t xml:space="preserve">810487031813 </t>
        </r>
      </text>
    </comment>
    <comment ref="B238" authorId="0" shapeId="0" xr:uid="{A10B0B3F-D038-44C5-AE8A-88BD8ACC2216}">
      <text>
        <r>
          <rPr>
            <b/>
            <sz val="9"/>
            <color indexed="81"/>
            <rFont val="Tahoma"/>
            <family val="2"/>
          </rPr>
          <t xml:space="preserve">810487031837 </t>
        </r>
      </text>
    </comment>
    <comment ref="B239" authorId="0" shapeId="0" xr:uid="{4DBDDCE0-E220-404F-BCD9-00CE8E221E2A}">
      <text>
        <r>
          <rPr>
            <b/>
            <sz val="9"/>
            <color indexed="81"/>
            <rFont val="Tahoma"/>
            <family val="2"/>
          </rPr>
          <t xml:space="preserve">810487031844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0" authorId="0" shapeId="0" xr:uid="{3B1CE14E-F592-4A5E-9E52-01953088E190}">
      <text>
        <r>
          <rPr>
            <b/>
            <sz val="9"/>
            <color indexed="81"/>
            <rFont val="Tahoma"/>
            <family val="2"/>
          </rPr>
          <t>810487031868</t>
        </r>
      </text>
    </comment>
    <comment ref="B241" authorId="0" shapeId="0" xr:uid="{B393E57C-E58F-43E0-A388-45996AC6AD1B}">
      <text>
        <r>
          <rPr>
            <b/>
            <sz val="9"/>
            <color indexed="81"/>
            <rFont val="Tahoma"/>
            <family val="2"/>
          </rPr>
          <t xml:space="preserve">810487031578 </t>
        </r>
      </text>
    </comment>
    <comment ref="B242" authorId="0" shapeId="0" xr:uid="{28AD17D5-B704-458A-9174-E8C498679C9E}">
      <text>
        <r>
          <rPr>
            <b/>
            <sz val="9"/>
            <color indexed="81"/>
            <rFont val="Tahoma"/>
            <family val="2"/>
          </rPr>
          <t xml:space="preserve">810487031585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3" authorId="0" shapeId="0" xr:uid="{0776B090-9FAE-4DE5-8D5C-95F70C8DD594}">
      <text>
        <r>
          <rPr>
            <b/>
            <sz val="9"/>
            <color indexed="81"/>
            <rFont val="Tahoma"/>
            <family val="2"/>
          </rPr>
          <t xml:space="preserve">810487031592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4" authorId="0" shapeId="0" xr:uid="{3EB951D6-8AB7-45B1-8285-2816826B8CE2}">
      <text>
        <r>
          <rPr>
            <b/>
            <sz val="9"/>
            <color indexed="81"/>
            <rFont val="Tahoma"/>
            <family val="2"/>
          </rPr>
          <t>810487033695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0" authorId="0" shapeId="0" xr:uid="{1B2DECCB-ABC8-4345-956B-A41F3FD797A6}">
      <text>
        <r>
          <rPr>
            <b/>
            <sz val="9"/>
            <color indexed="81"/>
            <rFont val="Tahoma"/>
            <family val="2"/>
          </rPr>
          <t>810487032629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8" authorId="0" shapeId="0" xr:uid="{0BC72F30-DDCD-4836-8EEE-2881D00AC1A8}">
      <text>
        <r>
          <rPr>
            <b/>
            <sz val="9"/>
            <color indexed="81"/>
            <rFont val="Tahoma"/>
            <family val="2"/>
          </rPr>
          <t>810487030700</t>
        </r>
      </text>
    </comment>
    <comment ref="B299" authorId="0" shapeId="0" xr:uid="{681E1231-207D-4884-B880-56D12CD0FBB0}">
      <text>
        <r>
          <rPr>
            <b/>
            <sz val="9"/>
            <color indexed="81"/>
            <rFont val="Tahoma"/>
            <family val="2"/>
          </rPr>
          <t>810487030748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0" authorId="0" shapeId="0" xr:uid="{A5C12511-AD8A-46D4-99AA-E37041C3E935}">
      <text>
        <r>
          <rPr>
            <b/>
            <sz val="9"/>
            <color indexed="81"/>
            <rFont val="Tahoma"/>
            <family val="2"/>
          </rPr>
          <t>810487030724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1" authorId="0" shapeId="0" xr:uid="{55175032-44FA-439C-A672-5ED1CE543B15}">
      <text>
        <r>
          <rPr>
            <b/>
            <sz val="9"/>
            <color indexed="81"/>
            <rFont val="Tahoma"/>
            <family val="2"/>
          </rPr>
          <t>810487030762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<sst xmlns="http://schemas.openxmlformats.org/spreadsheetml/2006/main" count="1028" uniqueCount="460">
  <si>
    <t>SKU</t>
  </si>
  <si>
    <t>UPC</t>
  </si>
  <si>
    <t>Size</t>
  </si>
  <si>
    <t>Product</t>
  </si>
  <si>
    <t>Wholesale</t>
  </si>
  <si>
    <t>60 Caps</t>
  </si>
  <si>
    <t>180 Caps</t>
  </si>
  <si>
    <t>30 Caps</t>
  </si>
  <si>
    <t>90 Caps</t>
  </si>
  <si>
    <t>Berberine with MicroPQQ 90 Day</t>
  </si>
  <si>
    <t>90 Tablets</t>
  </si>
  <si>
    <t>1 fl.oz.</t>
  </si>
  <si>
    <t>60 Tablets</t>
  </si>
  <si>
    <t>270 Tablets</t>
  </si>
  <si>
    <t>Bone Support with Strontium &amp; Boron</t>
  </si>
  <si>
    <t>Calcium Vitamin D3 &amp; Vitamin K2 90 Day</t>
  </si>
  <si>
    <t>Carnitine Complex</t>
  </si>
  <si>
    <t>30 Tablets</t>
  </si>
  <si>
    <t>Collagen Complex</t>
  </si>
  <si>
    <t>Complete Probiotics 100 Billion CFU</t>
  </si>
  <si>
    <t>Complete Probiotics 70 Billion CFU 90 Day</t>
  </si>
  <si>
    <t>Complete Probiotics for Women 90 Day</t>
  </si>
  <si>
    <t>Complete Probiotics Powder Packets</t>
  </si>
  <si>
    <t>30 Packets</t>
  </si>
  <si>
    <t>Complete Probiotics Powder Packets for Kids</t>
  </si>
  <si>
    <t>Essential Mineral Complex</t>
  </si>
  <si>
    <t>Eye Support 90 Day</t>
  </si>
  <si>
    <t>450 Tablets</t>
  </si>
  <si>
    <t>Grass Fed Beef Organ Complex</t>
  </si>
  <si>
    <t>H2 Molecular Hydrogen 90 Day</t>
  </si>
  <si>
    <t>Hair, Skin and Nails</t>
  </si>
  <si>
    <t>Joint Formula 90 Day</t>
  </si>
  <si>
    <t>Krill Oil 90 Day</t>
  </si>
  <si>
    <t>270 Caps</t>
  </si>
  <si>
    <t>Lignans with Lycopene</t>
  </si>
  <si>
    <t>NAC with Milk Thistle 30 Day</t>
  </si>
  <si>
    <t>NAC with Milk Thistle 90 Day</t>
  </si>
  <si>
    <t>Lutein with Zeaxanthin</t>
  </si>
  <si>
    <t>Marine Collagen</t>
  </si>
  <si>
    <t>2.64 oz.</t>
  </si>
  <si>
    <t>9.52 oz.</t>
  </si>
  <si>
    <t>120 Tablets</t>
  </si>
  <si>
    <t>120 Caps</t>
  </si>
  <si>
    <t>Pau D'Arco</t>
  </si>
  <si>
    <t>Quercetin and Pterostilbene Advanced 90 Day</t>
  </si>
  <si>
    <t>Salmon Oil</t>
  </si>
  <si>
    <t>Saw Palmetto</t>
  </si>
  <si>
    <t>Silica Collagen Builder</t>
  </si>
  <si>
    <t>Ubiquinol 100mg 90 Day</t>
  </si>
  <si>
    <t>Ubiquinol 150mg 90 Day</t>
  </si>
  <si>
    <t>Ubiquinol 200mg 90 Day</t>
  </si>
  <si>
    <t>Vitamin B Complex 90 Day</t>
  </si>
  <si>
    <t>Vitamin D3 Spray</t>
  </si>
  <si>
    <t>Vitamin E 90 Day</t>
  </si>
  <si>
    <t>Vitamin K2 90 Day</t>
  </si>
  <si>
    <t>240 Tablets</t>
  </si>
  <si>
    <t>Zinc plus Selenium 90 Day</t>
  </si>
  <si>
    <t>1 Unit</t>
  </si>
  <si>
    <t>2 oz.</t>
  </si>
  <si>
    <t>4 oz.</t>
  </si>
  <si>
    <t>16 oz.</t>
  </si>
  <si>
    <t>3.17 oz.</t>
  </si>
  <si>
    <t>12 Bones</t>
  </si>
  <si>
    <t>2.9 oz.</t>
  </si>
  <si>
    <t>5 oz.</t>
  </si>
  <si>
    <t>8 oz.</t>
  </si>
  <si>
    <t>2.75 oz.</t>
  </si>
  <si>
    <t>Pet Stain and Odor Remover</t>
  </si>
  <si>
    <t>1 Bed</t>
  </si>
  <si>
    <t>Premium Pet Bed (Medium)</t>
  </si>
  <si>
    <t>Krill Oil Double Strength</t>
  </si>
  <si>
    <t>Herbal Throat Drops with Slippery Elm</t>
  </si>
  <si>
    <t xml:space="preserve">Sleep Support with Melatonin 5mg </t>
  </si>
  <si>
    <t xml:space="preserve">Sleep Support with Melatonin 10mg </t>
  </si>
  <si>
    <t>5.29 oz.</t>
  </si>
  <si>
    <t>12 per Box</t>
  </si>
  <si>
    <t>10.74 oz.</t>
  </si>
  <si>
    <t>9.50 oz.</t>
  </si>
  <si>
    <t>1 Jar (7 oz.)</t>
  </si>
  <si>
    <t>2.40 oz</t>
  </si>
  <si>
    <t>18 bags</t>
  </si>
  <si>
    <t>Line Total</t>
  </si>
  <si>
    <t>Respiratory Support</t>
  </si>
  <si>
    <t>Betaine HCL and Pepsin</t>
  </si>
  <si>
    <t>Herbal Adrenal Support 30 Day</t>
  </si>
  <si>
    <t>Herbal Adrenal Support 90 Day</t>
  </si>
  <si>
    <t>Herbal Immune Support</t>
  </si>
  <si>
    <t>Marine Collagen Powder Packets</t>
  </si>
  <si>
    <t>15 Packets</t>
  </si>
  <si>
    <t>6.34 oz.</t>
  </si>
  <si>
    <t>3.5 oz.</t>
  </si>
  <si>
    <t>1.29 oz.</t>
  </si>
  <si>
    <t>10.89 oz.</t>
  </si>
  <si>
    <t>Collagen Complex Powder Vanilla</t>
  </si>
  <si>
    <t>14.81 oz.</t>
  </si>
  <si>
    <t>Collagen Complex Powder Chocolate</t>
  </si>
  <si>
    <t>Methyl Folate</t>
  </si>
  <si>
    <t xml:space="preserve">L-Glycine </t>
  </si>
  <si>
    <t>13.50 oz.</t>
  </si>
  <si>
    <t>2.11 oz.</t>
  </si>
  <si>
    <t>3.17 oz</t>
  </si>
  <si>
    <t>5.71 oz.</t>
  </si>
  <si>
    <t>Flea and Tick Defense</t>
  </si>
  <si>
    <t>180 Tablets</t>
  </si>
  <si>
    <t>11.70 oz.</t>
  </si>
  <si>
    <t>H2-2-Go</t>
  </si>
  <si>
    <t>4 fl. oz.</t>
  </si>
  <si>
    <t>1.69 oz.</t>
  </si>
  <si>
    <t>30.1 oz.</t>
  </si>
  <si>
    <t>Cod Liver Oil</t>
  </si>
  <si>
    <t>Niacinamide Vitamin B3</t>
  </si>
  <si>
    <t>31 oz.</t>
  </si>
  <si>
    <t>4.23 oz.</t>
  </si>
  <si>
    <t>Grass Fed Beef Liver</t>
  </si>
  <si>
    <t>Niacin Vitamin B3</t>
  </si>
  <si>
    <t>3.96 oz.</t>
  </si>
  <si>
    <t>9.10 oz.</t>
  </si>
  <si>
    <t>20.60 oz.</t>
  </si>
  <si>
    <t>Copper Bisglycinate</t>
  </si>
  <si>
    <t>Humic Fulvic Acid Complex</t>
  </si>
  <si>
    <t>Ceramides for Skin Hydration</t>
  </si>
  <si>
    <t>17.6 oz.</t>
  </si>
  <si>
    <t>3.59 oz.</t>
  </si>
  <si>
    <t>8 fl. oz.</t>
  </si>
  <si>
    <t>1.45 fl. oz.</t>
  </si>
  <si>
    <t>8.12 fl. oz.</t>
  </si>
  <si>
    <t>12.3 oz.</t>
  </si>
  <si>
    <t>Vitamins ADK</t>
  </si>
  <si>
    <t>12 oz.</t>
  </si>
  <si>
    <t>Fisetin and Spermidine</t>
  </si>
  <si>
    <t>30 Gummies</t>
  </si>
  <si>
    <t>Blood Boost with Iron</t>
  </si>
  <si>
    <t>L-Lysine</t>
  </si>
  <si>
    <t>300 Tablets</t>
  </si>
  <si>
    <t>Multivitamin Mini-Tabs</t>
  </si>
  <si>
    <t>Lumbrokinase Enzymes 90 Day</t>
  </si>
  <si>
    <t>17.4 oz.</t>
  </si>
  <si>
    <t>.71 oz.</t>
  </si>
  <si>
    <t>Multivitamin Mini-Tabs for Women</t>
  </si>
  <si>
    <t>Magnesium Advanced 30 Day</t>
  </si>
  <si>
    <t>Magnesium Advanced 90 day</t>
  </si>
  <si>
    <t>1 fl. oz.</t>
  </si>
  <si>
    <t>Order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</si>
  <si>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</si>
  <si>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</si>
  <si>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</si>
  <si>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</si>
  <si>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USA → +13-322-093-910</t>
  </si>
  <si>
    <t>Poland → +48-459-568-603</t>
  </si>
  <si>
    <t>5-HTP with Valerian Root &amp; Lemon Balm, Organic</t>
  </si>
  <si>
    <t>Apple Peel Advanced, Organic</t>
  </si>
  <si>
    <t>Ashwagandha 30 Day, Organic</t>
  </si>
  <si>
    <t>Ashwagandha 90 Day, Organic</t>
  </si>
  <si>
    <t>Astaxanthin 12mg 30 Day, Organic</t>
  </si>
  <si>
    <t>Astaxanthin 12mg 90 Day, Organic</t>
  </si>
  <si>
    <t>Astaxanthin 4mg 30 Day, Organic</t>
  </si>
  <si>
    <t>Astaxanthin 4mg 90 Day, Organic</t>
  </si>
  <si>
    <t>Astaxanthin Gummies Cherry, Organic</t>
  </si>
  <si>
    <t>Astragalus Extract, Organic</t>
  </si>
  <si>
    <t>Bee Propolis, Organic</t>
  </si>
  <si>
    <t>Berberine with MicroPQQ 30 Day</t>
  </si>
  <si>
    <t>Beta Glucans, Fermented</t>
  </si>
  <si>
    <t>Black Garlic, Fermented</t>
  </si>
  <si>
    <t>Blood Pressure Support 30 Day, Organic</t>
  </si>
  <si>
    <t>Blood Pressure Support 90 Day, Organic</t>
  </si>
  <si>
    <t>Bone Broth Collagen 30 Day, Organic</t>
  </si>
  <si>
    <t>Bone Broth Collagen 90 Day, Organic</t>
  </si>
  <si>
    <t>Bone Broth Collagen Powder - Chocolate, Organic</t>
  </si>
  <si>
    <t>Bone Broth Collagen Powder - Vanilla, Organic</t>
  </si>
  <si>
    <t>Broccoli Sprouts, Organic Fermented</t>
  </si>
  <si>
    <t>Calcium Vitamin D3 &amp; Vitamin K2 30 Day</t>
  </si>
  <si>
    <t>Cannacalm Sleep Support</t>
  </si>
  <si>
    <t>Carnosine, Liposomal</t>
  </si>
  <si>
    <t>Chaga Mushroom, Organic</t>
  </si>
  <si>
    <t>Chewable Multivitamin for Kids</t>
  </si>
  <si>
    <t>Chewable Tart Cherry, Organic</t>
  </si>
  <si>
    <t>Chewable Vitamin B12, Organic</t>
  </si>
  <si>
    <t>Chlorella Powder with Chlorophyll, Fermented</t>
  </si>
  <si>
    <t>Chlorella, Fermented</t>
  </si>
  <si>
    <t>Cocoa Cassava Bars, Organic</t>
  </si>
  <si>
    <t>Cod Liver Oil, Liquid</t>
  </si>
  <si>
    <t>Complete Probiotics 70 Billion CFU 30 Day</t>
  </si>
  <si>
    <t>Complete Probiotics for Women 30 Day</t>
  </si>
  <si>
    <t>Complete Probiotics Gummies Gut Support</t>
  </si>
  <si>
    <t>Complete Probiotics Gummies for Kids Gut Support</t>
  </si>
  <si>
    <t>Complete Probiotics SBO 30 Day</t>
  </si>
  <si>
    <t>Complete Probiotics SBO 90 Day</t>
  </si>
  <si>
    <t>COQ10, Liposomal</t>
  </si>
  <si>
    <t>Cordyceps Mushroom Extract, Organic</t>
  </si>
  <si>
    <t>Curcumin Advanced 30 Day</t>
  </si>
  <si>
    <t>Curcumin Advanced 90 Day</t>
  </si>
  <si>
    <t>Curcumin Extract 30 Day, Organic</t>
  </si>
  <si>
    <t>Curcumin Extract 90 Day, Organic</t>
  </si>
  <si>
    <t>Digestive Bitters Liquid Drops, Organic</t>
  </si>
  <si>
    <t>Digestive Enzymes Original</t>
  </si>
  <si>
    <t>D-Mannose and Cranberry Extract</t>
  </si>
  <si>
    <t>Echinacea, Organic</t>
  </si>
  <si>
    <t>Elderberry, Organic Fermented</t>
  </si>
  <si>
    <t>Eye Support 30 Day</t>
  </si>
  <si>
    <t>Fermented Beets, Organic</t>
  </si>
  <si>
    <t>Fermented Beet Powder, Organic</t>
  </si>
  <si>
    <t>Fermented Fruits, Organic</t>
  </si>
  <si>
    <t>Fermented Fruits Powder, Organic</t>
  </si>
  <si>
    <t>Fermented Greens, Organic</t>
  </si>
  <si>
    <t>Fermented Greens Powder, Organic</t>
  </si>
  <si>
    <t>Full Spectrum Enzymes</t>
  </si>
  <si>
    <t>Full Spectrum Enzymes for Women</t>
  </si>
  <si>
    <t>Gallbladder Enzymes</t>
  </si>
  <si>
    <t>Ginger with Benegut, Fermented</t>
  </si>
  <si>
    <t>Ginkgo Biloba with Neurofactor, Organic</t>
  </si>
  <si>
    <t>Glutathione, Liposomal</t>
  </si>
  <si>
    <t>H2 Molecular Hydrogen 30 Day</t>
  </si>
  <si>
    <t>Hawthorn and Hibiscus Liquid Drops, Organic</t>
  </si>
  <si>
    <t>Hyaluronic Acid, Liposomal</t>
  </si>
  <si>
    <t>Joint Formula 30 Day</t>
  </si>
  <si>
    <t>Krill Oil 30 Day</t>
  </si>
  <si>
    <t>Krill Oil for Kids</t>
  </si>
  <si>
    <t>Krill Oil for Women 30 Day</t>
  </si>
  <si>
    <t>Krill Oil for Women 90 Day</t>
  </si>
  <si>
    <t>Lion's Mane Mushroom Extract, Organic</t>
  </si>
  <si>
    <t xml:space="preserve">L-Arginine Advanced </t>
  </si>
  <si>
    <t>L-Carnosine with R-ALA</t>
  </si>
  <si>
    <t>Lumbrokinase Enzymes 30 Day</t>
  </si>
  <si>
    <t>Maca, Organic</t>
  </si>
  <si>
    <t>Magnesium Advanced, Chewable</t>
  </si>
  <si>
    <t>Methyl B-12 Energy Boost</t>
  </si>
  <si>
    <t>MSM Sulfur Complex</t>
  </si>
  <si>
    <t>Mushroom Complex, Organic Fermented</t>
  </si>
  <si>
    <t>Nattokinase</t>
  </si>
  <si>
    <t>Pine Bark Extract with OPCs, Organic</t>
  </si>
  <si>
    <t>Pregnenolone plus DHEA, Liposomal</t>
  </si>
  <si>
    <t xml:space="preserve">Purple Defense </t>
  </si>
  <si>
    <t>Quercetin and Pterostilbene Advanced 30 Day</t>
  </si>
  <si>
    <t>Reishi Mushroom Extract, Organic</t>
  </si>
  <si>
    <t>Resistant Starch Complex, Organic</t>
  </si>
  <si>
    <t>Resveratrol, Organic</t>
  </si>
  <si>
    <t>Rhodiola Extract, Organic</t>
  </si>
  <si>
    <t>Saw Palmetto Liquid Drops, Organic</t>
  </si>
  <si>
    <t>Serrapeptase Enzymes</t>
  </si>
  <si>
    <t xml:space="preserve">Sleep Support with Melatonin 1.50mg </t>
  </si>
  <si>
    <t>Sleep Support with Melatonin Spray</t>
  </si>
  <si>
    <t>Spirulina, Organic</t>
  </si>
  <si>
    <t>Stinging Nettle, Organic</t>
  </si>
  <si>
    <t xml:space="preserve">Taurine Advanced </t>
  </si>
  <si>
    <t>Tumeric 30 Day, Organic Fermented</t>
  </si>
  <si>
    <t>Tumeric 90 Day, Organic Fermented</t>
  </si>
  <si>
    <t>Ubiquinol 100mg 30 Day</t>
  </si>
  <si>
    <t>Ubiquinol 150mg 30 Day</t>
  </si>
  <si>
    <t>Ubiquinol 200mg 30 Day</t>
  </si>
  <si>
    <t xml:space="preserve">Ubiquinol Liquid Pump </t>
  </si>
  <si>
    <t>Vitamin B Complex 30 Day</t>
  </si>
  <si>
    <t>Vitamin B Complex, Liquid</t>
  </si>
  <si>
    <t>Vitamin C 30 Day, Liposomal</t>
  </si>
  <si>
    <t>Vitamin C 90 Day, Liposomal</t>
  </si>
  <si>
    <t>Vitamin C for Kids, Liposomal</t>
  </si>
  <si>
    <t>Vitamin C, Liquid Liposomal</t>
  </si>
  <si>
    <t>Vitamin C-PAK</t>
  </si>
  <si>
    <t>Vitamins D3 &amp; K2 30 Day</t>
  </si>
  <si>
    <t>Vitamins D3 &amp; K2 90 Day</t>
  </si>
  <si>
    <t>Vitamin D3 1,000 IU, Liposomal</t>
  </si>
  <si>
    <t>Vitamin D3 10,000 IU 30 Day, Liposomal</t>
  </si>
  <si>
    <t>Vitamin D3 10,000 IU 90 Day, Liposomal</t>
  </si>
  <si>
    <t>Vitamin D3 5,000 IU 30 Day, Liposomal</t>
  </si>
  <si>
    <t>Vitamin D3 5000 IU 90 Day, Liposomal</t>
  </si>
  <si>
    <t>Vitamin D3 Gummies, Organic</t>
  </si>
  <si>
    <t>Vitamin D3 Gummies for Kids, Organic</t>
  </si>
  <si>
    <t>Vitamin E 30 Day</t>
  </si>
  <si>
    <t>Vitamin K2 30 Day</t>
  </si>
  <si>
    <t>Whole Husk Psyllium, Organic</t>
  </si>
  <si>
    <t>Whole-Food Complex with added Multivitamin plus Vital Minerals</t>
  </si>
  <si>
    <t>Whole-Food Complex with added Multivitamin plus Vital Minerals Daily Packs</t>
  </si>
  <si>
    <t>Whole-Food Complex with added Multivitamin plus Vital Minerals Daily Packs for Women</t>
  </si>
  <si>
    <t>Whole-Food Complex with added Multivitamin plus Vital Minerals for Women</t>
  </si>
  <si>
    <t>Zinc Liquid Drops</t>
  </si>
  <si>
    <t>Zinc plus Selenium 30 Day</t>
  </si>
  <si>
    <t>Apple Cider Vinegar and Fermented Cayenne, BIOTHIN® Organic</t>
  </si>
  <si>
    <t>Berberine with Chromium, BIOTHIN®</t>
  </si>
  <si>
    <t>Bergamot, BIOTHIN® Organic</t>
  </si>
  <si>
    <t>Bitter Melon and Goldenseal, BIOTHIN® Organic</t>
  </si>
  <si>
    <t>Herbal Autophagy Complex, BIOTHIN®</t>
  </si>
  <si>
    <t>KETO Creamer with Coconut Milk, MITOMIX</t>
  </si>
  <si>
    <t>Ketone Energy MCT Oil, BIOTHIN®</t>
  </si>
  <si>
    <t>MCT Oil, BIOTHIN® Organic</t>
  </si>
  <si>
    <t>Metabolic Pre + Post + Probiotics, BIOTHIN®</t>
  </si>
  <si>
    <t>Probiotic, BIOTHIN®</t>
  </si>
  <si>
    <t>Wildcrafted Apple Extract, BIOTHIN®</t>
  </si>
  <si>
    <t>Cinnamon 90 Day, Biodynamic® Organic Fermented</t>
  </si>
  <si>
    <t>Hemp Oil Concentrate, Biodynamic® Organic</t>
  </si>
  <si>
    <t>Iron from Organic Curry, Biodynamic®</t>
  </si>
  <si>
    <t>Moringa, Biodynamic® Organic Fermented</t>
  </si>
  <si>
    <t>Mushroom Instant Coffee with Lion's Mane Extract, Biodynamic® Organic</t>
  </si>
  <si>
    <t>Pomegranate Peel, Biodynamic® Organic</t>
  </si>
  <si>
    <t>A2 Dry Whole Milk, Solspring® Organic</t>
  </si>
  <si>
    <t>A2 Dry Whole Milk - Chocolate, Solspring® Organic</t>
  </si>
  <si>
    <t>Almond Butter, Solspring® Biodynamic® Organic</t>
  </si>
  <si>
    <t>Aloe Vera with Lemon Juice, Solspring® Biodynamic® Organic</t>
  </si>
  <si>
    <t>Basil Leaves, Solspring® Biodynamic® Organic</t>
  </si>
  <si>
    <t>Coconut Flour, Solspring® Biodynamic® Organic</t>
  </si>
  <si>
    <t>Dark Chocolate Bars with Himalayan Salt, Solspring® Biodynamic® Organic</t>
  </si>
  <si>
    <t>Dark Chocolate Bars, Solspring® Biodynamic® Organic</t>
  </si>
  <si>
    <t>Fermented Black Garlic - Peeled, Solspring® Organic</t>
  </si>
  <si>
    <t>Fermented Turmeric Powder, Solspring® Biodynamic® Organic</t>
  </si>
  <si>
    <t>Golden Milk, Solspring® Organic</t>
  </si>
  <si>
    <t>Hot Sauce - Extra Hot, Solspring® Biodynamic® Organic</t>
  </si>
  <si>
    <t>Hot Sauce - Medium, Solspring® Biodynamic® Organic</t>
  </si>
  <si>
    <t>Maple Syrup, Solspring® In-Conversion Biodynamic® Organic</t>
  </si>
  <si>
    <t>Tapioca Flour, Solspring® Biodynamic® Organic</t>
  </si>
  <si>
    <t>Tea - English Breakfast, Solspring® Biodynamic® Organic</t>
  </si>
  <si>
    <t>Tea - Himalayan White, Solspring® Biodynamic® Organic</t>
  </si>
  <si>
    <t>Tea - Imperial Green, Solspring® Biodynamic® Organic</t>
  </si>
  <si>
    <t>Tea - Matcha Ceremonial Green, Solspring® Organic</t>
  </si>
  <si>
    <t>Tea - Rooibos Spiced Chai, Solspring® Organic</t>
  </si>
  <si>
    <t>Tea - Tulsi Lemon Ginger, Solspring® Organic</t>
  </si>
  <si>
    <t>Tea - Tulsi, Solspring® Biodynamic® Organic</t>
  </si>
  <si>
    <t>Tea, Loose Leaf - English Breakfast, Solspring® Biodynamic® Organic</t>
  </si>
  <si>
    <t>Tea, Loose Leaf - Himalayan White, Solspring® Biodynamic® Organic</t>
  </si>
  <si>
    <t>Vinegar - Blueberry, Solspring® Organic</t>
  </si>
  <si>
    <t>Whole Almonds - Lightly Salted, Solspring® Biodynamic® Organic</t>
  </si>
  <si>
    <t>Whole Black Peppercorn, Solspring® Biodynamic® Organic</t>
  </si>
  <si>
    <t>BCAA + Beta-Alanine - Tropical Punch, Pure Power</t>
  </si>
  <si>
    <t>Creatine Monohydrate Powder - Unflavored, Pure Power</t>
  </si>
  <si>
    <t>Creatine Monohydrate, Pure Power</t>
  </si>
  <si>
    <t>Electrolytes - Lemon Lime, Pure Power</t>
  </si>
  <si>
    <t>Electrolytes - Watermelon Cucumber, Pure Power</t>
  </si>
  <si>
    <t>Endurance with Glycine + L-Arginine - Berry Blast, Pure Power</t>
  </si>
  <si>
    <t>Energy Boost with Ginseng + B12, Pure Power</t>
  </si>
  <si>
    <t>Essential Amino Acids + BCAA - Orange, Pure Power</t>
  </si>
  <si>
    <t>L-Glutamine - Unflavored, Pure Power</t>
  </si>
  <si>
    <t>Organic Vegan Protein - Bar, Pure Power</t>
  </si>
  <si>
    <t>Organic Whey Protein - Chocolate, Pure Power</t>
  </si>
  <si>
    <t>Organic Whey Protein - Original, Pure Power</t>
  </si>
  <si>
    <t>Organic Whey Protein - Vanilla, Pure Power</t>
  </si>
  <si>
    <t>Organic Whey Protein - Strawberry, Pure Power</t>
  </si>
  <si>
    <t>Whey Protein + Probiotics - Chocolate, Pure Power</t>
  </si>
  <si>
    <t>Whey Protein + Probiotics - Strawberry, Pure Power</t>
  </si>
  <si>
    <t>Whey Protein + Probiotics - Vanilla, Pure Power</t>
  </si>
  <si>
    <t>Aloe Vera Gel, Ola Botanicals®</t>
  </si>
  <si>
    <t>Argan Oil - Ola Botanicals® Organic</t>
  </si>
  <si>
    <t xml:space="preserve">Bar Soap - Unscented, Ola Botanicals® </t>
  </si>
  <si>
    <t xml:space="preserve">Castor Oil, Ola Botanicals® Organic </t>
  </si>
  <si>
    <t xml:space="preserve">Cleanser, Ola Botanicals® Organic </t>
  </si>
  <si>
    <t>Deodorant - Alpine Woods, Ola Botanicals®</t>
  </si>
  <si>
    <t>Deodorant - Lavender Sage, Ola Botanicals®</t>
  </si>
  <si>
    <t>Essentail Oil - Oregano, Ola Botanicals® Organic</t>
  </si>
  <si>
    <t>Essential Oil - Tea Tree, Ola Botanicals® Organic</t>
  </si>
  <si>
    <t xml:space="preserve">Essential Oil - Eucalyptus, Ola Botanicals® Organic </t>
  </si>
  <si>
    <t xml:space="preserve">Essential Oil - Lavender Ola Botanicals® Organic </t>
  </si>
  <si>
    <t xml:space="preserve">Essential Oil - Lemon Ola Botanicals® Organic </t>
  </si>
  <si>
    <t>Essential Oil - Lemongrass Ola Botanicals® Organic</t>
  </si>
  <si>
    <t xml:space="preserve">Essential Oil - Orange, Ola Botanicals® Organic </t>
  </si>
  <si>
    <t xml:space="preserve">Essential Oil - Peppermint Ola Botanicals® Organic </t>
  </si>
  <si>
    <t xml:space="preserve">Essential Oil - Rosemary, Ola Botanicals® Organic </t>
  </si>
  <si>
    <t>Essential Oil - Sage, Organic</t>
  </si>
  <si>
    <t xml:space="preserve">Essential Oil - Thyme, Organic </t>
  </si>
  <si>
    <t xml:space="preserve">Eye &amp; Line Cream, Ola Botanicals® Organic </t>
  </si>
  <si>
    <t xml:space="preserve">Foaming Hand Soap - Unscented, Ola Botanicals® </t>
  </si>
  <si>
    <t>Greener Cleaner Multi-Surface Household Spray - Unscented</t>
  </si>
  <si>
    <t xml:space="preserve">Marula Facial Oil, Ola Botanicals® Organic </t>
  </si>
  <si>
    <t xml:space="preserve">Oil Pulling Rinse, Ola Botanicals® Organic </t>
  </si>
  <si>
    <t xml:space="preserve">Serum, Ola Botanicals® Organic </t>
  </si>
  <si>
    <t>Sleep Mask with Lavender</t>
  </si>
  <si>
    <t xml:space="preserve">Toner, Ola Botanicals® Organic </t>
  </si>
  <si>
    <t xml:space="preserve">Whipped Body Butter - Soft Ylang Ylang, Ola Botanicals® </t>
  </si>
  <si>
    <t xml:space="preserve">Whipped Body Butter - Sweet Orange, Ola Botanicals® </t>
  </si>
  <si>
    <t>Whipped Body Butter - Warm Vanilla, Ola Botanicals®</t>
  </si>
  <si>
    <t>Astaxanthin Liquid Pump for Cats &amp; Dogs, Organic</t>
  </si>
  <si>
    <t>Beef Liver and Berry Chips, Bark &amp; Whiskers®</t>
  </si>
  <si>
    <t>Bladder Support, Bark &amp; Whiskers®</t>
  </si>
  <si>
    <t>Bone &amp; Joint Bites, Bark &amp; Whiskers®</t>
  </si>
  <si>
    <t>Collagen, Bark &amp; Whiskers® Organic</t>
  </si>
  <si>
    <t>Complete Probiotics, Bark &amp; Whiskers®</t>
  </si>
  <si>
    <t>Curcumin, Bark &amp; Whiskers® Organic</t>
  </si>
  <si>
    <t>Dehydrated Dog Food - Beef and Veggie Entrée, Bark &amp; Whiskers®</t>
  </si>
  <si>
    <t>Dehydrated Dog Food - Free Range Chicken Entrée, Bark &amp; Whiskers®</t>
  </si>
  <si>
    <t>Dental Chew Bones - Large, Bark &amp; Whiskers®</t>
  </si>
  <si>
    <t>Dental Chew Bones - Small, Bark &amp; Whiskers®</t>
  </si>
  <si>
    <t>Detox Support, Bark &amp; Whiskers®</t>
  </si>
  <si>
    <t>Digestive Enzymes - Kibble Diet, Bark &amp; Whiskers®</t>
  </si>
  <si>
    <t>Digestive Enzymes - Meat-Based Diet, Bark &amp; Whiskers®</t>
  </si>
  <si>
    <t>Eye Support, Bark &amp; Whiskers®</t>
  </si>
  <si>
    <t>Fermented Mushroom Blend, Bark &amp; Whiskers® Organic</t>
  </si>
  <si>
    <t>Fermented Superfoods, Bark &amp; Whiskers® Organic</t>
  </si>
  <si>
    <t>Gentle Dental Chew Bones - Large, Bark &amp; Whiskers®</t>
  </si>
  <si>
    <t>Gentle Dental Chew Bones - Small, Bark &amp; Whiskers®</t>
  </si>
  <si>
    <t>GI Support, Bark &amp; Whiskers®</t>
  </si>
  <si>
    <t>Glandular Support - Female, Bark &amp; Whiskers®</t>
  </si>
  <si>
    <t>Glandular Support - Male, Bark &amp; Whiskers®</t>
  </si>
  <si>
    <t>Heart Health, Bark &amp; Whiskers®</t>
  </si>
  <si>
    <t>Hemp Oil for Dogs, Bark &amp; Whiskers® Biodynamic® Organic</t>
  </si>
  <si>
    <t>Immune Support, Bark &amp; Whiskers®</t>
  </si>
  <si>
    <t>Joint Support, Bark &amp; Whiskers®</t>
  </si>
  <si>
    <t>Krill Bites, Bark &amp; Whiskers®</t>
  </si>
  <si>
    <t>Meal Mix for Adult Dogs, Bark &amp; Whiskers®</t>
  </si>
  <si>
    <t>Premium Pet Bed (Extra Large)</t>
  </si>
  <si>
    <t>Premium Pet Bed (Large)</t>
  </si>
  <si>
    <t>Probiotics + Enzymes, Bark &amp; Whiskers®</t>
  </si>
  <si>
    <t>Seasonal Support, Bark &amp; Whiskers®</t>
  </si>
  <si>
    <t>SpiruGreen for Cats &amp; Dogs</t>
  </si>
  <si>
    <t>Stress Support, Bark &amp; Whiskers®</t>
  </si>
  <si>
    <t>Ubiquinol Liquid Pump, Bark &amp; Whiskers®</t>
  </si>
  <si>
    <t>Vitamin B Complex, Bark &amp; Whiskers® Organic</t>
  </si>
  <si>
    <t>Wild Alaskan Cod Liver Oil, Bark &amp; Whiskers®</t>
  </si>
  <si>
    <t>Complete Afterbiotics®</t>
  </si>
  <si>
    <t>Adrenal Support, Bark &amp; Whiskers®</t>
  </si>
  <si>
    <t>8.46 oz.</t>
  </si>
  <si>
    <t>6.80 fl. oz.</t>
  </si>
  <si>
    <t>2 fl. oz.</t>
  </si>
  <si>
    <t>1 fl. oz</t>
  </si>
  <si>
    <t>1.6 fl. oz.</t>
  </si>
  <si>
    <t>9.8 fl. oz.</t>
  </si>
  <si>
    <t>15.2 fl. oz.</t>
  </si>
  <si>
    <t xml:space="preserve">12 oz. </t>
  </si>
  <si>
    <t>3.88 fl. oz.</t>
  </si>
  <si>
    <t>3.7 oz.</t>
  </si>
  <si>
    <t>10.58 oz.</t>
  </si>
  <si>
    <t>16 fl. oz.</t>
  </si>
  <si>
    <t>3.88 oz.</t>
  </si>
  <si>
    <t>23.6 fl. oz.</t>
  </si>
  <si>
    <t>12 Bars</t>
  </si>
  <si>
    <t>2.10 oz.</t>
  </si>
  <si>
    <t>1.05 oz.</t>
  </si>
  <si>
    <t>8.75 fl. oz.</t>
  </si>
  <si>
    <t>1 Bar (3 oz.)</t>
  </si>
  <si>
    <t>5 fl. oz.</t>
  </si>
  <si>
    <t>1 Stick (2.65 oz.)</t>
  </si>
  <si>
    <t>32 fl. oz.</t>
  </si>
  <si>
    <t>3.4 oz.</t>
  </si>
  <si>
    <t>5.07 oz.</t>
  </si>
  <si>
    <t>3 lbs.</t>
  </si>
  <si>
    <t>1.80 oz.</t>
  </si>
  <si>
    <t>2.60 oz.</t>
  </si>
  <si>
    <t>24 fl. oz.</t>
  </si>
  <si>
    <t>0.85 oz.</t>
  </si>
  <si>
    <t>6.8 fl. oz.</t>
  </si>
  <si>
    <t>Weight, kg</t>
  </si>
  <si>
    <t>Unіt Freight Cost</t>
  </si>
  <si>
    <t>unit, key</t>
  </si>
  <si>
    <t>Logistic Price</t>
  </si>
  <si>
    <t>Landed Cost</t>
  </si>
  <si>
    <t>0.98 fl.oz.</t>
  </si>
  <si>
    <t>0.98 fl. oz.</t>
  </si>
  <si>
    <t>0.96 fl. oz.</t>
  </si>
  <si>
    <t>2.40 oz.</t>
  </si>
  <si>
    <t>L-Theanine plus GABA 30 Day</t>
  </si>
  <si>
    <t xml:space="preserve">Vitamin C-PAK with Quercetin </t>
  </si>
  <si>
    <t>Vitamins D3 &amp; K2 Low Dose</t>
  </si>
  <si>
    <t xml:space="preserve">Fermented Black Garlic - Purée, Solspring® Organic </t>
  </si>
  <si>
    <t>Fermented Ginger Powder, Solspring® Biodynamic® Organic</t>
  </si>
  <si>
    <t>Fermented Licorice Powder, Solspring® Biodynamic® Organic</t>
  </si>
  <si>
    <t>Rating</t>
  </si>
  <si>
    <t>А</t>
  </si>
  <si>
    <t>С</t>
  </si>
  <si>
    <t>В</t>
  </si>
  <si>
    <t>Complete Probiotics, Prenatal</t>
  </si>
  <si>
    <t>New Zealand Colostrum</t>
  </si>
  <si>
    <t>Vitamin C Amla Extract, Biodynamic® Organic</t>
  </si>
  <si>
    <t>Gut Restore Bites, Bark &amp; Whiskers®</t>
  </si>
  <si>
    <t>Krill Oil Liquid Pump, Bark &amp; Whiskers®</t>
  </si>
  <si>
    <t>New Zealand Colostrum, Bark &amp; Whiskers®</t>
  </si>
  <si>
    <t>1.6 oz.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</si>
</sst>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  <numFmt numFmtId="167" formatCode="_-[$$-409]* #,##0.00_ ;_-[$$-409]* \-#,##0.00\ ;_-[$$-409]* &quot;-&quot;??_ ;_-@_ "/>
    <numFmt numFmtId="168" formatCode="[$$-409]#,##0.00"/>
    <numFmt numFmtId="169" formatCode="#,##0.00;[Red]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Futura PT Boo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Futura PT Book"/>
    </font>
    <font>
      <sz val="10"/>
      <color theme="1"/>
      <name val="Futura PT Book"/>
      <family val="2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2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5" fontId="0" fillId="0" borderId="0" xfId="1" applyFont="1" applyAlignment="1">
      <alignment horizontal="left"/>
    </xf>
    <xf numFmtId="1" fontId="0" fillId="0" borderId="0" xfId="1" applyNumberFormat="1" applyFont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center"/>
      <protection hidden="1"/>
    </xf>
    <xf numFmtId="0" fontId="13" fillId="0" borderId="10" xfId="2" applyFont="1" applyBorder="1" applyAlignment="1" applyProtection="1">
      <alignment horizontal="center"/>
      <protection hidden="1"/>
    </xf>
    <xf numFmtId="0" fontId="13" fillId="0" borderId="11" xfId="2" applyFont="1" applyBorder="1" applyAlignment="1" applyProtection="1">
      <alignment horizontal="center"/>
      <protection hidden="1"/>
    </xf>
    <xf numFmtId="0" fontId="13" fillId="0" borderId="12" xfId="2" applyFont="1" applyBorder="1" applyAlignment="1" applyProtection="1">
      <alignment horizontal="center"/>
      <protection hidden="1"/>
    </xf>
    <xf numFmtId="0" fontId="13" fillId="0" borderId="13" xfId="2" applyFont="1" applyBorder="1" applyAlignment="1" applyProtection="1">
      <alignment horizontal="center"/>
      <protection hidden="1"/>
    </xf>
    <xf numFmtId="0" fontId="13" fillId="0" borderId="14" xfId="2" applyFont="1" applyBorder="1" applyAlignment="1" applyProtection="1">
      <alignment horizontal="center"/>
      <protection hidden="1"/>
    </xf>
    <xf numFmtId="0" fontId="2" fillId="2" borderId="3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165" fontId="2" fillId="2" borderId="4" xfId="1" applyFont="1" applyFill="1" applyBorder="1" applyAlignment="1">
      <alignment horizontal="center"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165" fontId="2" fillId="2" borderId="5" xfId="1" applyFont="1" applyFill="1" applyBorder="1" applyAlignment="1">
      <alignment horizontal="center" vertical="center" wrapText="1"/>
    </xf>
    <xf numFmtId="165" fontId="2" fillId="2" borderId="6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5" fillId="3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7" fontId="14" fillId="3" borderId="9" xfId="0" applyNumberFormat="1" applyFont="1" applyFill="1" applyBorder="1" applyAlignment="1" applyProtection="1">
      <alignment horizontal="center" vertical="center" wrapText="1" readingOrder="1"/>
      <protection hidden="1"/>
    </xf>
    <xf numFmtId="168" fontId="5" fillId="3" borderId="9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 applyProtection="1">
      <alignment horizontal="center" vertical="center" wrapText="1" readingOrder="1"/>
      <protection locked="0"/>
    </xf>
    <xf numFmtId="4" fontId="5" fillId="2" borderId="29" xfId="0" applyNumberFormat="1" applyFont="1" applyFill="1" applyBorder="1" applyAlignment="1">
      <alignment horizontal="center" vertical="center"/>
    </xf>
    <xf numFmtId="167" fontId="14" fillId="0" borderId="0" xfId="0" applyNumberFormat="1" applyFont="1" applyAlignment="1" applyProtection="1">
      <alignment vertical="center" wrapText="1" readingOrder="1"/>
      <protection hidden="1"/>
    </xf>
    <xf numFmtId="0" fontId="5" fillId="4" borderId="9" xfId="0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" fontId="9" fillId="2" borderId="19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center" vertical="center"/>
    </xf>
    <xf numFmtId="4" fontId="9" fillId="2" borderId="13" xfId="0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64" fontId="9" fillId="2" borderId="25" xfId="1" applyNumberFormat="1" applyFont="1" applyFill="1" applyBorder="1" applyAlignment="1">
      <alignment horizontal="center" vertical="center"/>
    </xf>
    <xf numFmtId="1" fontId="9" fillId="2" borderId="19" xfId="1" applyNumberFormat="1" applyFont="1" applyFill="1" applyBorder="1" applyAlignment="1" applyProtection="1">
      <alignment horizontal="center" vertical="center"/>
      <protection locked="0"/>
    </xf>
    <xf numFmtId="166" fontId="10" fillId="0" borderId="20" xfId="1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center" vertical="center"/>
    </xf>
    <xf numFmtId="4" fontId="9" fillId="2" borderId="11" xfId="0" applyNumberFormat="1" applyFont="1" applyFill="1" applyBorder="1" applyAlignment="1">
      <alignment horizontal="center" vertical="center"/>
    </xf>
    <xf numFmtId="164" fontId="9" fillId="2" borderId="26" xfId="1" applyNumberFormat="1" applyFont="1" applyFill="1" applyBorder="1" applyAlignment="1">
      <alignment horizontal="center" vertical="center"/>
    </xf>
    <xf numFmtId="1" fontId="9" fillId="2" borderId="1" xfId="1" applyNumberFormat="1" applyFont="1" applyFill="1" applyBorder="1" applyAlignment="1" applyProtection="1">
      <alignment horizontal="center" vertical="center"/>
      <protection locked="0"/>
    </xf>
    <xf numFmtId="166" fontId="10" fillId="0" borderId="7" xfId="1" applyNumberFormat="1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1" fontId="9" fillId="2" borderId="16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24" xfId="0" applyFont="1" applyFill="1" applyBorder="1" applyAlignment="1">
      <alignment horizontal="center" vertical="center"/>
    </xf>
    <xf numFmtId="4" fontId="9" fillId="2" borderId="14" xfId="0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64" fontId="9" fillId="2" borderId="27" xfId="1" applyNumberFormat="1" applyFont="1" applyFill="1" applyBorder="1" applyAlignment="1">
      <alignment horizontal="center" vertical="center"/>
    </xf>
    <xf numFmtId="1" fontId="9" fillId="2" borderId="16" xfId="1" applyNumberFormat="1" applyFont="1" applyFill="1" applyBorder="1" applyAlignment="1" applyProtection="1">
      <alignment horizontal="center" vertical="center"/>
      <protection locked="0"/>
    </xf>
    <xf numFmtId="166" fontId="10" fillId="0" borderId="17" xfId="1" applyNumberFormat="1" applyFont="1" applyBorder="1" applyAlignment="1">
      <alignment horizontal="center" vertical="center"/>
    </xf>
    <xf numFmtId="4" fontId="0" fillId="0" borderId="0" xfId="0" applyNumberFormat="1"/>
    <xf numFmtId="0" fontId="8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14" fontId="5" fillId="3" borderId="28" xfId="0" applyNumberFormat="1" applyFont="1" applyFill="1" applyBorder="1" applyAlignment="1">
      <alignment horizontal="center" vertical="center" wrapText="1"/>
    </xf>
    <xf numFmtId="14" fontId="5" fillId="3" borderId="29" xfId="0" applyNumberFormat="1" applyFont="1" applyFill="1" applyBorder="1" applyAlignment="1">
      <alignment horizontal="center" vertical="center" wrapText="1"/>
    </xf>
    <xf numFmtId="169" fontId="0" fillId="0" borderId="0" xfId="0" applyNumberFormat="1"/>
  </cellXfs>
  <cellStyles count="3">
    <cellStyle name="Excel Built-in Normal" xfId="2" xr:uid="{E3E6E385-4E1C-4CD9-B249-815633E8165D}"/>
    <cellStyle name="Грошовий" xfId="1" builtinId="4"/>
    <cellStyle name="Звичайний" xfId="0" builtinId="0"/>
  </cellStyles>
  <dxfs count="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423903</xdr:colOff>
      <xdr:row>0</xdr:row>
      <xdr:rowOff>336817</xdr:rowOff>
    </xdr:from>
    <xdr:to>
      <xdr:col>6</xdr:col>
      <xdr:colOff>855554</xdr:colOff>
      <xdr:row>0</xdr:row>
      <xdr:rowOff>649237</xdr:rowOff>
    </xdr:to>
    <xdr:pic>
      <xdr:nvPicPr>
        <xdr:cNvPr id="29" name="Picture 4">
          <a:extLst>
            <a:ext uri="{FF2B5EF4-FFF2-40B4-BE49-F238E27FC236}">
              <a16:creationId xmlns:a16="http://schemas.microsoft.com/office/drawing/2014/main" id="{416C6244-9758-42B9-B904-B3B7ED0D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6844" y="336817"/>
          <a:ext cx="3354145" cy="31242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D7BF-0001-4C58-B3C7-B974CF55468C}">
  <dimension ref="A1:Q643"/>
  <sheetViews>
    <sheetView tabSelected="1" topLeftCell="C1" zoomScale="85" zoomScaleNormal="85" workbookViewId="0">
      <pane ySplit="2" topLeftCell="A3" activePane="bottomLeft" state="frozen"/>
      <selection pane="bottomLeft" activeCell="J3" sqref="J3"/>
    </sheetView>
  </sheetViews>
  <sheetFormatPr defaultRowHeight="14.4"/>
  <cols>
    <col min="1" max="1" width="7.6640625" style="1" bestFit="1" customWidth="1"/>
    <col min="2" max="2" width="16.6640625" style="2" bestFit="1" customWidth="1"/>
    <col min="3" max="3" width="57.21875" style="1" customWidth="1"/>
    <col min="4" max="4" width="21.109375" style="1" bestFit="1" customWidth="1"/>
    <col min="5" max="6" width="10.6640625" style="1" customWidth="1"/>
    <col min="7" max="7" width="13.109375" style="3" customWidth="1"/>
    <col min="8" max="8" width="11" style="4" bestFit="1" customWidth="1"/>
    <col min="9" max="9" width="16" style="3" customWidth="1"/>
    <col min="10" max="10" width="14.21875" bestFit="1" customWidth="1"/>
    <col min="12" max="12" width="10.21875" customWidth="1"/>
    <col min="13" max="15" width="13.88671875" customWidth="1"/>
    <col min="16" max="16" width="5.5546875" customWidth="1"/>
    <col min="17" max="17" width="13.88671875" customWidth="1"/>
  </cols>
  <sheetData>
    <row r="1" spans="1:17" ht="76.2" customHeight="1" thickBot="1">
      <c r="A1" s="59" t="s">
        <v>143</v>
      </c>
      <c r="B1" s="60"/>
      <c r="C1" s="60"/>
      <c r="D1" s="60"/>
      <c r="E1" s="60"/>
      <c r="F1" s="60"/>
      <c r="G1" s="60"/>
      <c r="H1" s="60"/>
      <c r="I1" s="60"/>
      <c r="J1" s="31">
        <v>46086</v>
      </c>
      <c r="L1" s="20" t="s">
        <v>435</v>
      </c>
      <c r="M1" s="61" t="s">
        <v>436</v>
      </c>
      <c r="N1" s="21" t="s">
        <v>434</v>
      </c>
      <c r="O1" s="22" t="s">
        <v>437</v>
      </c>
      <c r="Q1" s="23" t="str">
        <f>IFERROR(IF(SUM(Q3:Q338)=0, "-", J2+O2), "-")</f>
        <v>-</v>
      </c>
    </row>
    <row r="2" spans="1:17" s="19" customFormat="1" ht="38.4" customHeight="1" thickBot="1">
      <c r="A2" s="11" t="s">
        <v>0</v>
      </c>
      <c r="B2" s="12" t="s">
        <v>1</v>
      </c>
      <c r="C2" s="13" t="s">
        <v>3</v>
      </c>
      <c r="D2" s="13" t="s">
        <v>2</v>
      </c>
      <c r="E2" s="14" t="s">
        <v>434</v>
      </c>
      <c r="F2" s="14" t="s">
        <v>449</v>
      </c>
      <c r="G2" s="15" t="s">
        <v>4</v>
      </c>
      <c r="H2" s="16" t="s">
        <v>142</v>
      </c>
      <c r="I2" s="17" t="s">
        <v>81</v>
      </c>
      <c r="J2" s="18">
        <f>SUM(I3:I338)</f>
        <v>0</v>
      </c>
      <c r="L2" s="24"/>
      <c r="M2" s="62"/>
      <c r="N2" s="25" t="str">
        <f>IF(SUM(N3:N338)=0, "-", SUM(N3:N338))</f>
        <v>-</v>
      </c>
      <c r="O2" s="25" t="str">
        <f>IF(SUM(O3:O338)=0, "-", SUM(O3:O338))</f>
        <v>-</v>
      </c>
      <c r="P2" s="26"/>
      <c r="Q2" s="27" t="s">
        <v>438</v>
      </c>
    </row>
    <row r="3" spans="1:17">
      <c r="A3" s="32">
        <v>10223</v>
      </c>
      <c r="B3" s="33">
        <v>813006018487</v>
      </c>
      <c r="C3" s="34" t="s">
        <v>151</v>
      </c>
      <c r="D3" s="35" t="s">
        <v>5</v>
      </c>
      <c r="E3" s="36">
        <v>0.24025275864333334</v>
      </c>
      <c r="F3" s="37" t="s">
        <v>450</v>
      </c>
      <c r="G3" s="38">
        <v>9.9229000000000003</v>
      </c>
      <c r="H3" s="39"/>
      <c r="I3" s="40">
        <f t="shared" ref="I3:I66" si="0">H3*G3</f>
        <v>0</v>
      </c>
      <c r="K3" s="63"/>
      <c r="L3" s="28" t="str">
        <f>IFERROR(IF($L$2*E3=0, "-", $L$2*E3), "-")</f>
        <v>-</v>
      </c>
      <c r="M3" s="28" t="str">
        <f>IFERROR(IF(L3&gt;0,G3+L3,"-"),"-")</f>
        <v>-</v>
      </c>
      <c r="N3" s="29" t="str">
        <f>IF(H3&gt;0,H3*E3, "-")</f>
        <v>-</v>
      </c>
      <c r="O3" s="30" t="str">
        <f>IFERROR(IF($L$2&gt;0, $L$2*N3, "-"), "-")</f>
        <v>-</v>
      </c>
      <c r="Q3" s="30" t="str">
        <f>IFERROR(IF(O3+I3=0, "-", IF(O3&gt;0, O3+I3, "-")), "-")</f>
        <v>-</v>
      </c>
    </row>
    <row r="4" spans="1:17">
      <c r="A4" s="41">
        <v>10226</v>
      </c>
      <c r="B4" s="42">
        <v>813006018463</v>
      </c>
      <c r="C4" s="43" t="s">
        <v>160</v>
      </c>
      <c r="D4" s="44" t="s">
        <v>7</v>
      </c>
      <c r="E4" s="45">
        <v>0.34321822663333329</v>
      </c>
      <c r="F4" s="37" t="s">
        <v>450</v>
      </c>
      <c r="G4" s="46">
        <v>20.696650000000002</v>
      </c>
      <c r="H4" s="47"/>
      <c r="I4" s="48">
        <f t="shared" si="0"/>
        <v>0</v>
      </c>
      <c r="L4" s="28" t="str">
        <f t="shared" ref="L4:L67" si="1">IFERROR(IF($L$2*E4=0, "-", $L$2*E4), "-")</f>
        <v>-</v>
      </c>
      <c r="M4" s="28" t="str">
        <f t="shared" ref="M4:M67" si="2">IFERROR(IF(L4&gt;0,G4+L4,"-"),"-")</f>
        <v>-</v>
      </c>
      <c r="N4" s="29" t="str">
        <f t="shared" ref="N4:N67" si="3">IF(H4&gt;0,H4*E4, "-")</f>
        <v>-</v>
      </c>
      <c r="O4" s="30" t="str">
        <f t="shared" ref="O4:O67" si="4">IFERROR(IF($L$2&gt;0, $L$2*N4, "-"), "-")</f>
        <v>-</v>
      </c>
      <c r="Q4" s="30" t="str">
        <f t="shared" ref="Q4:Q64" si="5">IFERROR(IF(O4+I4=0, "-", IF(O4&gt;0, O4+I4, "-")), "-")</f>
        <v>-</v>
      </c>
    </row>
    <row r="5" spans="1:17">
      <c r="A5" s="41">
        <v>70001</v>
      </c>
      <c r="B5" s="42">
        <v>813006010108</v>
      </c>
      <c r="C5" s="43" t="s">
        <v>174</v>
      </c>
      <c r="D5" s="44" t="s">
        <v>12</v>
      </c>
      <c r="E5" s="45">
        <v>0.38612050496250006</v>
      </c>
      <c r="F5" s="37" t="s">
        <v>450</v>
      </c>
      <c r="G5" s="46">
        <v>14.066650000000001</v>
      </c>
      <c r="H5" s="47"/>
      <c r="I5" s="48">
        <f t="shared" si="0"/>
        <v>0</v>
      </c>
      <c r="L5" s="28" t="str">
        <f t="shared" si="1"/>
        <v>-</v>
      </c>
      <c r="M5" s="28" t="str">
        <f t="shared" si="2"/>
        <v>-</v>
      </c>
      <c r="N5" s="29" t="str">
        <f t="shared" si="3"/>
        <v>-</v>
      </c>
      <c r="O5" s="30" t="str">
        <f t="shared" si="4"/>
        <v>-</v>
      </c>
      <c r="Q5" s="30" t="str">
        <f t="shared" si="5"/>
        <v>-</v>
      </c>
    </row>
    <row r="6" spans="1:17">
      <c r="A6" s="41">
        <v>10097</v>
      </c>
      <c r="B6" s="42">
        <v>813006015851</v>
      </c>
      <c r="C6" s="43" t="s">
        <v>178</v>
      </c>
      <c r="D6" s="44" t="s">
        <v>27</v>
      </c>
      <c r="E6" s="45">
        <v>0.30889640396999996</v>
      </c>
      <c r="F6" s="37" t="s">
        <v>450</v>
      </c>
      <c r="G6" s="46">
        <v>12.420200000000001</v>
      </c>
      <c r="H6" s="47"/>
      <c r="I6" s="48">
        <f t="shared" si="0"/>
        <v>0</v>
      </c>
      <c r="L6" s="28" t="str">
        <f t="shared" si="1"/>
        <v>-</v>
      </c>
      <c r="M6" s="28" t="str">
        <f t="shared" si="2"/>
        <v>-</v>
      </c>
      <c r="N6" s="29" t="str">
        <f t="shared" si="3"/>
        <v>-</v>
      </c>
      <c r="O6" s="30" t="str">
        <f t="shared" si="4"/>
        <v>-</v>
      </c>
      <c r="Q6" s="30" t="str">
        <f t="shared" si="5"/>
        <v>-</v>
      </c>
    </row>
    <row r="7" spans="1:17">
      <c r="A7" s="41">
        <v>10298</v>
      </c>
      <c r="B7" s="42">
        <v>810487032940</v>
      </c>
      <c r="C7" s="43" t="s">
        <v>30</v>
      </c>
      <c r="D7" s="44" t="s">
        <v>7</v>
      </c>
      <c r="E7" s="45">
        <v>4.2902278329166661E-2</v>
      </c>
      <c r="F7" s="37" t="s">
        <v>450</v>
      </c>
      <c r="G7" s="46">
        <v>24.840400000000002</v>
      </c>
      <c r="H7" s="47"/>
      <c r="I7" s="48">
        <f t="shared" si="0"/>
        <v>0</v>
      </c>
      <c r="L7" s="28" t="str">
        <f t="shared" si="1"/>
        <v>-</v>
      </c>
      <c r="M7" s="28" t="str">
        <f t="shared" si="2"/>
        <v>-</v>
      </c>
      <c r="N7" s="29" t="str">
        <f t="shared" si="3"/>
        <v>-</v>
      </c>
      <c r="O7" s="30" t="str">
        <f t="shared" si="4"/>
        <v>-</v>
      </c>
      <c r="Q7" s="30" t="str">
        <f t="shared" si="5"/>
        <v>-</v>
      </c>
    </row>
    <row r="8" spans="1:17">
      <c r="A8" s="41">
        <v>10196</v>
      </c>
      <c r="B8" s="42">
        <v>813006017787</v>
      </c>
      <c r="C8" s="43" t="s">
        <v>139</v>
      </c>
      <c r="D8" s="44" t="s">
        <v>8</v>
      </c>
      <c r="E8" s="45">
        <v>0.38612050496250006</v>
      </c>
      <c r="F8" s="37" t="s">
        <v>450</v>
      </c>
      <c r="G8" s="46">
        <v>28.984150000000003</v>
      </c>
      <c r="H8" s="47"/>
      <c r="I8" s="48">
        <f t="shared" si="0"/>
        <v>0</v>
      </c>
      <c r="L8" s="28" t="str">
        <f t="shared" si="1"/>
        <v>-</v>
      </c>
      <c r="M8" s="28" t="str">
        <f t="shared" si="2"/>
        <v>-</v>
      </c>
      <c r="N8" s="29" t="str">
        <f t="shared" si="3"/>
        <v>-</v>
      </c>
      <c r="O8" s="30" t="str">
        <f t="shared" si="4"/>
        <v>-</v>
      </c>
      <c r="Q8" s="30" t="str">
        <f t="shared" si="5"/>
        <v>-</v>
      </c>
    </row>
    <row r="9" spans="1:17">
      <c r="A9" s="41">
        <v>10076</v>
      </c>
      <c r="B9" s="42">
        <v>813006014991</v>
      </c>
      <c r="C9" s="43" t="s">
        <v>252</v>
      </c>
      <c r="D9" s="44" t="s">
        <v>5</v>
      </c>
      <c r="E9" s="45">
        <v>0.30031594830416669</v>
      </c>
      <c r="F9" s="37" t="s">
        <v>450</v>
      </c>
      <c r="G9" s="46">
        <v>14.8954</v>
      </c>
      <c r="H9" s="47"/>
      <c r="I9" s="48">
        <f t="shared" si="0"/>
        <v>0</v>
      </c>
      <c r="L9" s="28" t="str">
        <f t="shared" si="1"/>
        <v>-</v>
      </c>
      <c r="M9" s="28" t="str">
        <f t="shared" si="2"/>
        <v>-</v>
      </c>
      <c r="N9" s="29" t="str">
        <f t="shared" si="3"/>
        <v>-</v>
      </c>
      <c r="O9" s="30" t="str">
        <f t="shared" si="4"/>
        <v>-</v>
      </c>
      <c r="Q9" s="30" t="str">
        <f t="shared" si="5"/>
        <v>-</v>
      </c>
    </row>
    <row r="10" spans="1:17">
      <c r="A10" s="41">
        <v>10088</v>
      </c>
      <c r="B10" s="42">
        <v>813006015592</v>
      </c>
      <c r="C10" s="43" t="s">
        <v>253</v>
      </c>
      <c r="D10" s="44" t="s">
        <v>6</v>
      </c>
      <c r="E10" s="45">
        <v>0.55772961827916667</v>
      </c>
      <c r="F10" s="37" t="s">
        <v>450</v>
      </c>
      <c r="G10" s="46">
        <v>33.127900000000004</v>
      </c>
      <c r="H10" s="47"/>
      <c r="I10" s="48">
        <f t="shared" si="0"/>
        <v>0</v>
      </c>
      <c r="L10" s="28" t="str">
        <f t="shared" si="1"/>
        <v>-</v>
      </c>
      <c r="M10" s="28" t="str">
        <f t="shared" si="2"/>
        <v>-</v>
      </c>
      <c r="N10" s="29" t="str">
        <f t="shared" si="3"/>
        <v>-</v>
      </c>
      <c r="O10" s="30" t="str">
        <f t="shared" si="4"/>
        <v>-</v>
      </c>
      <c r="Q10" s="30" t="str">
        <f t="shared" si="5"/>
        <v>-</v>
      </c>
    </row>
    <row r="11" spans="1:17">
      <c r="A11" s="41">
        <v>70009</v>
      </c>
      <c r="B11" s="42">
        <v>810487031493</v>
      </c>
      <c r="C11" s="43" t="s">
        <v>254</v>
      </c>
      <c r="D11" s="44" t="s">
        <v>7</v>
      </c>
      <c r="E11" s="45">
        <v>0.34321822663333329</v>
      </c>
      <c r="F11" s="37" t="s">
        <v>450</v>
      </c>
      <c r="G11" s="46">
        <v>8.2654000000000014</v>
      </c>
      <c r="H11" s="47"/>
      <c r="I11" s="48">
        <f t="shared" si="0"/>
        <v>0</v>
      </c>
      <c r="L11" s="28" t="str">
        <f t="shared" si="1"/>
        <v>-</v>
      </c>
      <c r="M11" s="28" t="str">
        <f t="shared" si="2"/>
        <v>-</v>
      </c>
      <c r="N11" s="29" t="str">
        <f t="shared" si="3"/>
        <v>-</v>
      </c>
      <c r="O11" s="30" t="str">
        <f t="shared" si="4"/>
        <v>-</v>
      </c>
      <c r="Q11" s="30" t="str">
        <f t="shared" si="5"/>
        <v>-</v>
      </c>
    </row>
    <row r="12" spans="1:17">
      <c r="A12" s="41">
        <v>10370</v>
      </c>
      <c r="B12" s="42">
        <v>810487039314</v>
      </c>
      <c r="C12" s="43" t="s">
        <v>255</v>
      </c>
      <c r="D12" s="44" t="s">
        <v>410</v>
      </c>
      <c r="E12" s="45">
        <v>0.56631007394499999</v>
      </c>
      <c r="F12" s="37" t="s">
        <v>450</v>
      </c>
      <c r="G12" s="46">
        <v>16.552900000000001</v>
      </c>
      <c r="H12" s="47"/>
      <c r="I12" s="48">
        <f t="shared" si="0"/>
        <v>0</v>
      </c>
      <c r="L12" s="28" t="str">
        <f t="shared" si="1"/>
        <v>-</v>
      </c>
      <c r="M12" s="28" t="str">
        <f t="shared" si="2"/>
        <v>-</v>
      </c>
      <c r="N12" s="29" t="str">
        <f t="shared" si="3"/>
        <v>-</v>
      </c>
      <c r="O12" s="30" t="str">
        <f t="shared" si="4"/>
        <v>-</v>
      </c>
      <c r="Q12" s="30" t="str">
        <f t="shared" si="5"/>
        <v>-</v>
      </c>
    </row>
    <row r="13" spans="1:17">
      <c r="A13" s="41">
        <v>10163</v>
      </c>
      <c r="B13" s="42">
        <v>813006016919</v>
      </c>
      <c r="C13" s="43" t="s">
        <v>257</v>
      </c>
      <c r="D13" s="44" t="s">
        <v>7</v>
      </c>
      <c r="E13" s="45">
        <v>0.13621473369510417</v>
      </c>
      <c r="F13" s="37" t="s">
        <v>450</v>
      </c>
      <c r="G13" s="46">
        <v>24.840400000000002</v>
      </c>
      <c r="H13" s="47"/>
      <c r="I13" s="48">
        <f t="shared" si="0"/>
        <v>0</v>
      </c>
      <c r="L13" s="28" t="str">
        <f t="shared" si="1"/>
        <v>-</v>
      </c>
      <c r="M13" s="28" t="str">
        <f t="shared" si="2"/>
        <v>-</v>
      </c>
      <c r="N13" s="29" t="str">
        <f t="shared" si="3"/>
        <v>-</v>
      </c>
      <c r="O13" s="30" t="str">
        <f t="shared" si="4"/>
        <v>-</v>
      </c>
      <c r="Q13" s="30" t="str">
        <f t="shared" si="5"/>
        <v>-</v>
      </c>
    </row>
    <row r="14" spans="1:17">
      <c r="A14" s="41">
        <v>10164</v>
      </c>
      <c r="B14" s="42">
        <v>813006016995</v>
      </c>
      <c r="C14" s="43" t="s">
        <v>262</v>
      </c>
      <c r="D14" s="44" t="s">
        <v>7</v>
      </c>
      <c r="E14" s="45">
        <v>0.34321822663333329</v>
      </c>
      <c r="F14" s="37" t="s">
        <v>450</v>
      </c>
      <c r="G14" s="46">
        <v>14.066650000000001</v>
      </c>
      <c r="H14" s="47"/>
      <c r="I14" s="48">
        <f t="shared" si="0"/>
        <v>0</v>
      </c>
      <c r="L14" s="28" t="str">
        <f t="shared" si="1"/>
        <v>-</v>
      </c>
      <c r="M14" s="28" t="str">
        <f t="shared" si="2"/>
        <v>-</v>
      </c>
      <c r="N14" s="29" t="str">
        <f t="shared" si="3"/>
        <v>-</v>
      </c>
      <c r="O14" s="30" t="str">
        <f t="shared" si="4"/>
        <v>-</v>
      </c>
      <c r="Q14" s="30" t="str">
        <f t="shared" si="5"/>
        <v>-</v>
      </c>
    </row>
    <row r="15" spans="1:17">
      <c r="A15" s="41">
        <v>10320</v>
      </c>
      <c r="B15" s="42">
        <v>810487033435</v>
      </c>
      <c r="C15" s="43" t="s">
        <v>273</v>
      </c>
      <c r="D15" s="44" t="s">
        <v>412</v>
      </c>
      <c r="E15" s="45">
        <v>0.30353361917885419</v>
      </c>
      <c r="F15" s="37" t="s">
        <v>450</v>
      </c>
      <c r="G15" s="46">
        <v>12.40915</v>
      </c>
      <c r="H15" s="47"/>
      <c r="I15" s="48">
        <f t="shared" si="0"/>
        <v>0</v>
      </c>
      <c r="L15" s="28" t="str">
        <f t="shared" si="1"/>
        <v>-</v>
      </c>
      <c r="M15" s="28" t="str">
        <f t="shared" si="2"/>
        <v>-</v>
      </c>
      <c r="N15" s="29" t="str">
        <f t="shared" si="3"/>
        <v>-</v>
      </c>
      <c r="O15" s="30" t="str">
        <f t="shared" si="4"/>
        <v>-</v>
      </c>
      <c r="Q15" s="30" t="str">
        <f t="shared" si="5"/>
        <v>-</v>
      </c>
    </row>
    <row r="16" spans="1:17">
      <c r="A16" s="41">
        <v>10235</v>
      </c>
      <c r="B16" s="42">
        <v>810487030656</v>
      </c>
      <c r="C16" s="43" t="s">
        <v>274</v>
      </c>
      <c r="D16" s="44" t="s">
        <v>7</v>
      </c>
      <c r="E16" s="45">
        <v>0.34321822663333329</v>
      </c>
      <c r="F16" s="37" t="s">
        <v>450</v>
      </c>
      <c r="G16" s="46">
        <v>8.2654000000000014</v>
      </c>
      <c r="H16" s="47"/>
      <c r="I16" s="48">
        <f t="shared" si="0"/>
        <v>0</v>
      </c>
      <c r="L16" s="28" t="str">
        <f t="shared" si="1"/>
        <v>-</v>
      </c>
      <c r="M16" s="28" t="str">
        <f t="shared" si="2"/>
        <v>-</v>
      </c>
      <c r="N16" s="29" t="str">
        <f t="shared" si="3"/>
        <v>-</v>
      </c>
      <c r="O16" s="30" t="str">
        <f t="shared" si="4"/>
        <v>-</v>
      </c>
      <c r="Q16" s="30" t="str">
        <f t="shared" si="5"/>
        <v>-</v>
      </c>
    </row>
    <row r="17" spans="1:17">
      <c r="A17" s="41">
        <v>10255</v>
      </c>
      <c r="B17" s="42">
        <v>810487031523</v>
      </c>
      <c r="C17" s="43" t="s">
        <v>56</v>
      </c>
      <c r="D17" s="44" t="s">
        <v>8</v>
      </c>
      <c r="E17" s="45">
        <v>0.34321822663333329</v>
      </c>
      <c r="F17" s="37" t="s">
        <v>450</v>
      </c>
      <c r="G17" s="46">
        <v>16.552900000000001</v>
      </c>
      <c r="H17" s="47"/>
      <c r="I17" s="48">
        <f t="shared" si="0"/>
        <v>0</v>
      </c>
      <c r="L17" s="28" t="str">
        <f t="shared" si="1"/>
        <v>-</v>
      </c>
      <c r="M17" s="28" t="str">
        <f t="shared" si="2"/>
        <v>-</v>
      </c>
      <c r="N17" s="29" t="str">
        <f t="shared" si="3"/>
        <v>-</v>
      </c>
      <c r="O17" s="30" t="str">
        <f t="shared" si="4"/>
        <v>-</v>
      </c>
      <c r="Q17" s="30" t="str">
        <f t="shared" si="5"/>
        <v>-</v>
      </c>
    </row>
    <row r="18" spans="1:17">
      <c r="A18" s="41">
        <v>10324</v>
      </c>
      <c r="B18" s="42">
        <v>810487033589</v>
      </c>
      <c r="C18" s="43" t="s">
        <v>193</v>
      </c>
      <c r="D18" s="44" t="s">
        <v>406</v>
      </c>
      <c r="E18" s="45">
        <v>7.9798237692250015E-2</v>
      </c>
      <c r="F18" s="37" t="s">
        <v>452</v>
      </c>
      <c r="G18" s="46">
        <v>16.552900000000001</v>
      </c>
      <c r="H18" s="47"/>
      <c r="I18" s="48">
        <f t="shared" si="0"/>
        <v>0</v>
      </c>
      <c r="L18" s="28" t="str">
        <f t="shared" si="1"/>
        <v>-</v>
      </c>
      <c r="M18" s="28" t="str">
        <f t="shared" si="2"/>
        <v>-</v>
      </c>
      <c r="N18" s="29" t="str">
        <f t="shared" si="3"/>
        <v>-</v>
      </c>
      <c r="O18" s="30" t="str">
        <f t="shared" si="4"/>
        <v>-</v>
      </c>
      <c r="Q18" s="30" t="str">
        <f t="shared" si="5"/>
        <v>-</v>
      </c>
    </row>
    <row r="19" spans="1:17">
      <c r="A19" s="41">
        <v>10019</v>
      </c>
      <c r="B19" s="42">
        <v>813006010528</v>
      </c>
      <c r="C19" s="43" t="s">
        <v>195</v>
      </c>
      <c r="D19" s="44" t="s">
        <v>5</v>
      </c>
      <c r="E19" s="45">
        <v>0.34321822663333329</v>
      </c>
      <c r="F19" s="37" t="s">
        <v>452</v>
      </c>
      <c r="G19" s="46">
        <v>16.552900000000001</v>
      </c>
      <c r="H19" s="47"/>
      <c r="I19" s="48">
        <f t="shared" si="0"/>
        <v>0</v>
      </c>
      <c r="L19" s="28" t="str">
        <f t="shared" si="1"/>
        <v>-</v>
      </c>
      <c r="M19" s="28" t="str">
        <f t="shared" si="2"/>
        <v>-</v>
      </c>
      <c r="N19" s="29" t="str">
        <f t="shared" si="3"/>
        <v>-</v>
      </c>
      <c r="O19" s="30" t="str">
        <f t="shared" si="4"/>
        <v>-</v>
      </c>
      <c r="Q19" s="30" t="str">
        <f t="shared" si="5"/>
        <v>-</v>
      </c>
    </row>
    <row r="20" spans="1:17">
      <c r="A20" s="41">
        <v>10244</v>
      </c>
      <c r="B20" s="42">
        <v>810487030953</v>
      </c>
      <c r="C20" s="43" t="s">
        <v>207</v>
      </c>
      <c r="D20" s="44" t="s">
        <v>7</v>
      </c>
      <c r="E20" s="45">
        <v>0.13943240456979167</v>
      </c>
      <c r="F20" s="37" t="s">
        <v>452</v>
      </c>
      <c r="G20" s="46">
        <v>12.40915</v>
      </c>
      <c r="H20" s="47"/>
      <c r="I20" s="48">
        <f t="shared" si="0"/>
        <v>0</v>
      </c>
      <c r="L20" s="28" t="str">
        <f t="shared" si="1"/>
        <v>-</v>
      </c>
      <c r="M20" s="28" t="str">
        <f t="shared" si="2"/>
        <v>-</v>
      </c>
      <c r="N20" s="29" t="str">
        <f t="shared" si="3"/>
        <v>-</v>
      </c>
      <c r="O20" s="30" t="str">
        <f t="shared" si="4"/>
        <v>-</v>
      </c>
      <c r="Q20" s="30" t="str">
        <f t="shared" si="5"/>
        <v>-</v>
      </c>
    </row>
    <row r="21" spans="1:17">
      <c r="A21" s="41">
        <v>10292</v>
      </c>
      <c r="B21" s="42">
        <v>810487032551</v>
      </c>
      <c r="C21" s="43" t="s">
        <v>211</v>
      </c>
      <c r="D21" s="44" t="s">
        <v>17</v>
      </c>
      <c r="E21" s="45">
        <v>0.17375422723312497</v>
      </c>
      <c r="F21" s="37" t="s">
        <v>452</v>
      </c>
      <c r="G21" s="46">
        <v>16.552900000000001</v>
      </c>
      <c r="H21" s="47"/>
      <c r="I21" s="48">
        <f t="shared" si="0"/>
        <v>0</v>
      </c>
      <c r="L21" s="28" t="str">
        <f t="shared" si="1"/>
        <v>-</v>
      </c>
      <c r="M21" s="28" t="str">
        <f t="shared" si="2"/>
        <v>-</v>
      </c>
      <c r="N21" s="29" t="str">
        <f t="shared" si="3"/>
        <v>-</v>
      </c>
      <c r="O21" s="30" t="str">
        <f t="shared" si="4"/>
        <v>-</v>
      </c>
      <c r="Q21" s="30" t="str">
        <f t="shared" si="5"/>
        <v>-</v>
      </c>
    </row>
    <row r="22" spans="1:17">
      <c r="A22" s="41">
        <v>10431</v>
      </c>
      <c r="B22" s="42">
        <v>810094213374</v>
      </c>
      <c r="C22" s="43" t="s">
        <v>213</v>
      </c>
      <c r="D22" s="44" t="s">
        <v>7</v>
      </c>
      <c r="E22" s="45">
        <v>0.16731888548375001</v>
      </c>
      <c r="F22" s="37" t="s">
        <v>452</v>
      </c>
      <c r="G22" s="46">
        <v>16.552900000000001</v>
      </c>
      <c r="H22" s="47"/>
      <c r="I22" s="48">
        <f t="shared" si="0"/>
        <v>0</v>
      </c>
      <c r="L22" s="28" t="str">
        <f t="shared" si="1"/>
        <v>-</v>
      </c>
      <c r="M22" s="28" t="str">
        <f t="shared" si="2"/>
        <v>-</v>
      </c>
      <c r="N22" s="29" t="str">
        <f t="shared" si="3"/>
        <v>-</v>
      </c>
      <c r="O22" s="30" t="str">
        <f t="shared" si="4"/>
        <v>-</v>
      </c>
      <c r="Q22" s="30" t="str">
        <f t="shared" si="5"/>
        <v>-</v>
      </c>
    </row>
    <row r="23" spans="1:17">
      <c r="A23" s="41">
        <v>100000</v>
      </c>
      <c r="B23" s="42">
        <v>813006010269</v>
      </c>
      <c r="C23" s="43" t="s">
        <v>215</v>
      </c>
      <c r="D23" s="44" t="s">
        <v>5</v>
      </c>
      <c r="E23" s="45">
        <v>0.20378582206354168</v>
      </c>
      <c r="F23" s="37" t="s">
        <v>452</v>
      </c>
      <c r="G23" s="46">
        <v>24.840400000000002</v>
      </c>
      <c r="H23" s="47"/>
      <c r="I23" s="48">
        <f t="shared" si="0"/>
        <v>0</v>
      </c>
      <c r="L23" s="28" t="str">
        <f t="shared" si="1"/>
        <v>-</v>
      </c>
      <c r="M23" s="28" t="str">
        <f t="shared" si="2"/>
        <v>-</v>
      </c>
      <c r="N23" s="29" t="str">
        <f t="shared" si="3"/>
        <v>-</v>
      </c>
      <c r="O23" s="30" t="str">
        <f t="shared" si="4"/>
        <v>-</v>
      </c>
      <c r="Q23" s="30" t="str">
        <f t="shared" si="5"/>
        <v>-</v>
      </c>
    </row>
    <row r="24" spans="1:17">
      <c r="A24" s="41">
        <v>100002</v>
      </c>
      <c r="B24" s="42">
        <v>813006010283</v>
      </c>
      <c r="C24" s="43" t="s">
        <v>217</v>
      </c>
      <c r="D24" s="44" t="s">
        <v>8</v>
      </c>
      <c r="E24" s="45">
        <v>0.20378582206354168</v>
      </c>
      <c r="F24" s="37" t="s">
        <v>452</v>
      </c>
      <c r="G24" s="46">
        <v>28.984150000000003</v>
      </c>
      <c r="H24" s="47"/>
      <c r="I24" s="48">
        <f t="shared" si="0"/>
        <v>0</v>
      </c>
      <c r="L24" s="28" t="str">
        <f t="shared" si="1"/>
        <v>-</v>
      </c>
      <c r="M24" s="28" t="str">
        <f t="shared" si="2"/>
        <v>-</v>
      </c>
      <c r="N24" s="29" t="str">
        <f t="shared" si="3"/>
        <v>-</v>
      </c>
      <c r="O24" s="30" t="str">
        <f t="shared" si="4"/>
        <v>-</v>
      </c>
      <c r="Q24" s="30" t="str">
        <f t="shared" si="5"/>
        <v>-</v>
      </c>
    </row>
    <row r="25" spans="1:17">
      <c r="A25" s="41">
        <v>10240</v>
      </c>
      <c r="B25" s="42">
        <v>810487030861</v>
      </c>
      <c r="C25" s="43" t="s">
        <v>96</v>
      </c>
      <c r="D25" s="44" t="s">
        <v>7</v>
      </c>
      <c r="E25" s="45">
        <v>0.1135</v>
      </c>
      <c r="F25" s="37" t="s">
        <v>452</v>
      </c>
      <c r="G25" s="46">
        <v>20.696650000000002</v>
      </c>
      <c r="H25" s="47"/>
      <c r="I25" s="48">
        <f t="shared" si="0"/>
        <v>0</v>
      </c>
      <c r="J25" s="58"/>
      <c r="K25" s="58"/>
      <c r="L25" s="28" t="str">
        <f t="shared" si="1"/>
        <v>-</v>
      </c>
      <c r="M25" s="28" t="str">
        <f t="shared" si="2"/>
        <v>-</v>
      </c>
      <c r="N25" s="29" t="str">
        <f t="shared" si="3"/>
        <v>-</v>
      </c>
      <c r="O25" s="30" t="str">
        <f t="shared" si="4"/>
        <v>-</v>
      </c>
      <c r="Q25" s="30" t="str">
        <f t="shared" si="5"/>
        <v>-</v>
      </c>
    </row>
    <row r="26" spans="1:17">
      <c r="A26" s="41">
        <v>10185</v>
      </c>
      <c r="B26" s="42">
        <v>813006017398</v>
      </c>
      <c r="C26" s="43" t="s">
        <v>35</v>
      </c>
      <c r="D26" s="44" t="s">
        <v>5</v>
      </c>
      <c r="E26" s="45">
        <v>0.22459342705318752</v>
      </c>
      <c r="F26" s="37" t="s">
        <v>452</v>
      </c>
      <c r="G26" s="46">
        <v>16.552900000000001</v>
      </c>
      <c r="H26" s="47"/>
      <c r="I26" s="48">
        <f t="shared" si="0"/>
        <v>0</v>
      </c>
      <c r="L26" s="28" t="str">
        <f t="shared" si="1"/>
        <v>-</v>
      </c>
      <c r="M26" s="28" t="str">
        <f t="shared" si="2"/>
        <v>-</v>
      </c>
      <c r="N26" s="29" t="str">
        <f t="shared" si="3"/>
        <v>-</v>
      </c>
      <c r="O26" s="30" t="str">
        <f t="shared" si="4"/>
        <v>-</v>
      </c>
      <c r="Q26" s="30" t="str">
        <f t="shared" si="5"/>
        <v>-</v>
      </c>
    </row>
    <row r="27" spans="1:17">
      <c r="A27" s="41">
        <v>10268</v>
      </c>
      <c r="B27" s="42">
        <v>810487031899</v>
      </c>
      <c r="C27" s="43" t="s">
        <v>43</v>
      </c>
      <c r="D27" s="44" t="s">
        <v>42</v>
      </c>
      <c r="E27" s="45">
        <v>0.29510000000000003</v>
      </c>
      <c r="F27" s="37" t="s">
        <v>452</v>
      </c>
      <c r="G27" s="46">
        <v>12.40915</v>
      </c>
      <c r="H27" s="47"/>
      <c r="I27" s="48">
        <f t="shared" si="0"/>
        <v>0</v>
      </c>
      <c r="J27" s="58"/>
      <c r="K27" s="58"/>
      <c r="L27" s="28" t="str">
        <f t="shared" si="1"/>
        <v>-</v>
      </c>
      <c r="M27" s="28" t="str">
        <f t="shared" si="2"/>
        <v>-</v>
      </c>
      <c r="N27" s="29" t="str">
        <f t="shared" si="3"/>
        <v>-</v>
      </c>
      <c r="O27" s="30" t="str">
        <f t="shared" si="4"/>
        <v>-</v>
      </c>
      <c r="Q27" s="30" t="str">
        <f t="shared" si="5"/>
        <v>-</v>
      </c>
    </row>
    <row r="28" spans="1:17">
      <c r="A28" s="41">
        <v>10261</v>
      </c>
      <c r="B28" s="42">
        <v>810487031721</v>
      </c>
      <c r="C28" s="43" t="s">
        <v>232</v>
      </c>
      <c r="D28" s="44" t="s">
        <v>5</v>
      </c>
      <c r="E28" s="45">
        <v>0.34321822663333329</v>
      </c>
      <c r="F28" s="37" t="s">
        <v>452</v>
      </c>
      <c r="G28" s="46">
        <v>24.840400000000002</v>
      </c>
      <c r="H28" s="47"/>
      <c r="I28" s="48">
        <f t="shared" si="0"/>
        <v>0</v>
      </c>
      <c r="L28" s="28" t="str">
        <f t="shared" si="1"/>
        <v>-</v>
      </c>
      <c r="M28" s="28" t="str">
        <f t="shared" si="2"/>
        <v>-</v>
      </c>
      <c r="N28" s="29" t="str">
        <f t="shared" si="3"/>
        <v>-</v>
      </c>
      <c r="O28" s="30" t="str">
        <f t="shared" si="4"/>
        <v>-</v>
      </c>
      <c r="Q28" s="30" t="str">
        <f t="shared" si="5"/>
        <v>-</v>
      </c>
    </row>
    <row r="29" spans="1:17">
      <c r="A29" s="41">
        <v>10387</v>
      </c>
      <c r="B29" s="42">
        <v>810094210472</v>
      </c>
      <c r="C29" s="43" t="s">
        <v>239</v>
      </c>
      <c r="D29" s="44" t="s">
        <v>7</v>
      </c>
      <c r="E29" s="45">
        <v>0.34321822663333329</v>
      </c>
      <c r="F29" s="37" t="s">
        <v>452</v>
      </c>
      <c r="G29" s="46">
        <v>12.40915</v>
      </c>
      <c r="H29" s="47"/>
      <c r="I29" s="48">
        <f t="shared" si="0"/>
        <v>0</v>
      </c>
      <c r="L29" s="28" t="str">
        <f t="shared" si="1"/>
        <v>-</v>
      </c>
      <c r="M29" s="28" t="str">
        <f t="shared" si="2"/>
        <v>-</v>
      </c>
      <c r="N29" s="29" t="str">
        <f t="shared" si="3"/>
        <v>-</v>
      </c>
      <c r="O29" s="30" t="str">
        <f t="shared" si="4"/>
        <v>-</v>
      </c>
      <c r="Q29" s="30" t="str">
        <f t="shared" si="5"/>
        <v>-</v>
      </c>
    </row>
    <row r="30" spans="1:17">
      <c r="A30" s="41">
        <v>10046</v>
      </c>
      <c r="B30" s="42">
        <v>813006011976</v>
      </c>
      <c r="C30" s="43" t="s">
        <v>240</v>
      </c>
      <c r="D30" s="44" t="s">
        <v>440</v>
      </c>
      <c r="E30" s="45">
        <v>9.1996785497176381E-2</v>
      </c>
      <c r="F30" s="37" t="s">
        <v>452</v>
      </c>
      <c r="G30" s="46">
        <v>12.40915</v>
      </c>
      <c r="H30" s="47"/>
      <c r="I30" s="48">
        <f t="shared" si="0"/>
        <v>0</v>
      </c>
      <c r="L30" s="28" t="str">
        <f t="shared" si="1"/>
        <v>-</v>
      </c>
      <c r="M30" s="28" t="str">
        <f t="shared" si="2"/>
        <v>-</v>
      </c>
      <c r="N30" s="29" t="str">
        <f t="shared" si="3"/>
        <v>-</v>
      </c>
      <c r="O30" s="30" t="str">
        <f t="shared" si="4"/>
        <v>-</v>
      </c>
      <c r="Q30" s="30" t="str">
        <f t="shared" si="5"/>
        <v>-</v>
      </c>
    </row>
    <row r="31" spans="1:17">
      <c r="A31" s="41">
        <v>10394</v>
      </c>
      <c r="B31" s="42">
        <v>810094210991</v>
      </c>
      <c r="C31" s="43" t="s">
        <v>445</v>
      </c>
      <c r="D31" s="44" t="s">
        <v>7</v>
      </c>
      <c r="E31" s="45">
        <v>0.1381453362199167</v>
      </c>
      <c r="F31" s="37" t="s">
        <v>452</v>
      </c>
      <c r="G31" s="46">
        <v>12.40915</v>
      </c>
      <c r="H31" s="47"/>
      <c r="I31" s="48">
        <f t="shared" si="0"/>
        <v>0</v>
      </c>
      <c r="L31" s="28" t="str">
        <f t="shared" si="1"/>
        <v>-</v>
      </c>
      <c r="M31" s="28" t="str">
        <f t="shared" si="2"/>
        <v>-</v>
      </c>
      <c r="N31" s="29" t="str">
        <f t="shared" si="3"/>
        <v>-</v>
      </c>
      <c r="O31" s="30" t="str">
        <f t="shared" si="4"/>
        <v>-</v>
      </c>
      <c r="Q31" s="30" t="str">
        <f t="shared" si="5"/>
        <v>-</v>
      </c>
    </row>
    <row r="32" spans="1:17">
      <c r="A32" s="41">
        <v>10184</v>
      </c>
      <c r="B32" s="42">
        <v>813006017329</v>
      </c>
      <c r="C32" s="43" t="s">
        <v>259</v>
      </c>
      <c r="D32" s="44" t="s">
        <v>7</v>
      </c>
      <c r="E32" s="45">
        <v>0.34321822663333329</v>
      </c>
      <c r="F32" s="37" t="s">
        <v>452</v>
      </c>
      <c r="G32" s="46">
        <v>8.2654000000000014</v>
      </c>
      <c r="H32" s="47"/>
      <c r="I32" s="48">
        <f t="shared" si="0"/>
        <v>0</v>
      </c>
      <c r="L32" s="28" t="str">
        <f t="shared" si="1"/>
        <v>-</v>
      </c>
      <c r="M32" s="28" t="str">
        <f t="shared" si="2"/>
        <v>-</v>
      </c>
      <c r="N32" s="29" t="str">
        <f t="shared" si="3"/>
        <v>-</v>
      </c>
      <c r="O32" s="30" t="str">
        <f t="shared" si="4"/>
        <v>-</v>
      </c>
      <c r="Q32" s="30" t="str">
        <f t="shared" si="5"/>
        <v>-</v>
      </c>
    </row>
    <row r="33" spans="1:17">
      <c r="A33" s="41">
        <v>10253</v>
      </c>
      <c r="B33" s="42">
        <v>810487031486</v>
      </c>
      <c r="C33" s="43" t="s">
        <v>260</v>
      </c>
      <c r="D33" s="44" t="s">
        <v>7</v>
      </c>
      <c r="E33" s="45">
        <v>0.34321822663333329</v>
      </c>
      <c r="F33" s="37" t="s">
        <v>452</v>
      </c>
      <c r="G33" s="46">
        <v>16.552900000000001</v>
      </c>
      <c r="H33" s="47"/>
      <c r="I33" s="48">
        <f t="shared" si="0"/>
        <v>0</v>
      </c>
      <c r="L33" s="28" t="str">
        <f t="shared" si="1"/>
        <v>-</v>
      </c>
      <c r="M33" s="28" t="str">
        <f t="shared" si="2"/>
        <v>-</v>
      </c>
      <c r="N33" s="29" t="str">
        <f t="shared" si="3"/>
        <v>-</v>
      </c>
      <c r="O33" s="30" t="str">
        <f t="shared" si="4"/>
        <v>-</v>
      </c>
      <c r="Q33" s="30" t="str">
        <f t="shared" si="5"/>
        <v>-</v>
      </c>
    </row>
    <row r="34" spans="1:17">
      <c r="A34" s="41">
        <v>10380</v>
      </c>
      <c r="B34" s="42">
        <v>810094210083</v>
      </c>
      <c r="C34" s="43" t="s">
        <v>276</v>
      </c>
      <c r="D34" s="44" t="s">
        <v>7</v>
      </c>
      <c r="E34" s="45">
        <v>0.34321822663333329</v>
      </c>
      <c r="F34" s="37" t="s">
        <v>452</v>
      </c>
      <c r="G34" s="46">
        <v>18.2104</v>
      </c>
      <c r="H34" s="47"/>
      <c r="I34" s="48">
        <f t="shared" si="0"/>
        <v>0</v>
      </c>
      <c r="L34" s="28" t="str">
        <f t="shared" si="1"/>
        <v>-</v>
      </c>
      <c r="M34" s="28" t="str">
        <f t="shared" si="2"/>
        <v>-</v>
      </c>
      <c r="N34" s="29" t="str">
        <f t="shared" si="3"/>
        <v>-</v>
      </c>
      <c r="O34" s="30" t="str">
        <f t="shared" si="4"/>
        <v>-</v>
      </c>
      <c r="Q34" s="30" t="str">
        <f t="shared" si="5"/>
        <v>-</v>
      </c>
    </row>
    <row r="35" spans="1:17">
      <c r="A35" s="41">
        <v>10344</v>
      </c>
      <c r="B35" s="42">
        <v>810487036221</v>
      </c>
      <c r="C35" s="43" t="s">
        <v>155</v>
      </c>
      <c r="D35" s="44" t="s">
        <v>7</v>
      </c>
      <c r="E35" s="45">
        <v>0.16088354373437502</v>
      </c>
      <c r="F35" s="37" t="s">
        <v>451</v>
      </c>
      <c r="G35" s="46">
        <v>12.40915</v>
      </c>
      <c r="H35" s="47"/>
      <c r="I35" s="48">
        <f t="shared" si="0"/>
        <v>0</v>
      </c>
      <c r="L35" s="28" t="str">
        <f t="shared" si="1"/>
        <v>-</v>
      </c>
      <c r="M35" s="28" t="str">
        <f t="shared" si="2"/>
        <v>-</v>
      </c>
      <c r="N35" s="29" t="str">
        <f t="shared" si="3"/>
        <v>-</v>
      </c>
      <c r="O35" s="30" t="str">
        <f t="shared" si="4"/>
        <v>-</v>
      </c>
      <c r="Q35" s="30" t="str">
        <f t="shared" si="5"/>
        <v>-</v>
      </c>
    </row>
    <row r="36" spans="1:17">
      <c r="A36" s="41">
        <v>10239</v>
      </c>
      <c r="B36" s="42">
        <v>813006019972</v>
      </c>
      <c r="C36" s="43" t="s">
        <v>9</v>
      </c>
      <c r="D36" s="44" t="s">
        <v>8</v>
      </c>
      <c r="E36" s="45">
        <v>0.38612050496250006</v>
      </c>
      <c r="F36" s="37" t="s">
        <v>451</v>
      </c>
      <c r="G36" s="46">
        <v>49.7029</v>
      </c>
      <c r="H36" s="47"/>
      <c r="I36" s="48">
        <f t="shared" si="0"/>
        <v>0</v>
      </c>
      <c r="L36" s="28" t="str">
        <f t="shared" si="1"/>
        <v>-</v>
      </c>
      <c r="M36" s="28" t="str">
        <f t="shared" si="2"/>
        <v>-</v>
      </c>
      <c r="N36" s="29" t="str">
        <f t="shared" si="3"/>
        <v>-</v>
      </c>
      <c r="O36" s="30" t="str">
        <f t="shared" si="4"/>
        <v>-</v>
      </c>
      <c r="Q36" s="30" t="str">
        <f t="shared" si="5"/>
        <v>-</v>
      </c>
    </row>
    <row r="37" spans="1:17">
      <c r="A37" s="41">
        <v>10400</v>
      </c>
      <c r="B37" s="42">
        <v>810094211745</v>
      </c>
      <c r="C37" s="43" t="s">
        <v>83</v>
      </c>
      <c r="D37" s="44" t="s">
        <v>8</v>
      </c>
      <c r="E37" s="45">
        <v>0.47192506162083336</v>
      </c>
      <c r="F37" s="37" t="s">
        <v>451</v>
      </c>
      <c r="G37" s="46">
        <v>16.552900000000001</v>
      </c>
      <c r="H37" s="47"/>
      <c r="I37" s="48">
        <f t="shared" si="0"/>
        <v>0</v>
      </c>
      <c r="L37" s="28" t="str">
        <f t="shared" si="1"/>
        <v>-</v>
      </c>
      <c r="M37" s="28" t="str">
        <f t="shared" si="2"/>
        <v>-</v>
      </c>
      <c r="N37" s="29" t="str">
        <f t="shared" si="3"/>
        <v>-</v>
      </c>
      <c r="O37" s="30" t="str">
        <f t="shared" si="4"/>
        <v>-</v>
      </c>
      <c r="Q37" s="30" t="str">
        <f t="shared" si="5"/>
        <v>-</v>
      </c>
    </row>
    <row r="38" spans="1:17">
      <c r="A38" s="41">
        <v>10187</v>
      </c>
      <c r="B38" s="42">
        <v>813006017763</v>
      </c>
      <c r="C38" s="43" t="s">
        <v>169</v>
      </c>
      <c r="D38" s="44" t="s">
        <v>7</v>
      </c>
      <c r="E38" s="45">
        <v>0.15187406528524999</v>
      </c>
      <c r="F38" s="37" t="s">
        <v>451</v>
      </c>
      <c r="G38" s="46">
        <v>22.354150000000001</v>
      </c>
      <c r="H38" s="47"/>
      <c r="I38" s="48">
        <f t="shared" si="0"/>
        <v>0</v>
      </c>
      <c r="L38" s="28" t="str">
        <f t="shared" si="1"/>
        <v>-</v>
      </c>
      <c r="M38" s="28" t="str">
        <f t="shared" si="2"/>
        <v>-</v>
      </c>
      <c r="N38" s="29" t="str">
        <f t="shared" si="3"/>
        <v>-</v>
      </c>
      <c r="O38" s="30" t="str">
        <f t="shared" si="4"/>
        <v>-</v>
      </c>
      <c r="Q38" s="30" t="str">
        <f t="shared" si="5"/>
        <v>-</v>
      </c>
    </row>
    <row r="39" spans="1:17">
      <c r="A39" s="41">
        <v>10236</v>
      </c>
      <c r="B39" s="42">
        <v>813006019941</v>
      </c>
      <c r="C39" s="43" t="s">
        <v>170</v>
      </c>
      <c r="D39" s="44" t="s">
        <v>7</v>
      </c>
      <c r="E39" s="45">
        <v>0.15080150832702083</v>
      </c>
      <c r="F39" s="37" t="s">
        <v>451</v>
      </c>
      <c r="G39" s="46">
        <v>26.497900000000001</v>
      </c>
      <c r="H39" s="47"/>
      <c r="I39" s="48">
        <f t="shared" si="0"/>
        <v>0</v>
      </c>
      <c r="L39" s="28" t="str">
        <f t="shared" si="1"/>
        <v>-</v>
      </c>
      <c r="M39" s="28" t="str">
        <f t="shared" si="2"/>
        <v>-</v>
      </c>
      <c r="N39" s="29" t="str">
        <f t="shared" si="3"/>
        <v>-</v>
      </c>
      <c r="O39" s="30" t="str">
        <f t="shared" si="4"/>
        <v>-</v>
      </c>
      <c r="Q39" s="30" t="str">
        <f t="shared" si="5"/>
        <v>-</v>
      </c>
    </row>
    <row r="40" spans="1:17">
      <c r="A40" s="41">
        <v>10412</v>
      </c>
      <c r="B40" s="42">
        <v>810094212377</v>
      </c>
      <c r="C40" s="43" t="s">
        <v>173</v>
      </c>
      <c r="D40" s="44" t="s">
        <v>7</v>
      </c>
      <c r="E40" s="45">
        <v>0.14586774631916669</v>
      </c>
      <c r="F40" s="37" t="s">
        <v>451</v>
      </c>
      <c r="G40" s="46">
        <v>24.840400000000002</v>
      </c>
      <c r="H40" s="47"/>
      <c r="I40" s="48">
        <f t="shared" si="0"/>
        <v>0</v>
      </c>
      <c r="L40" s="28" t="str">
        <f t="shared" si="1"/>
        <v>-</v>
      </c>
      <c r="M40" s="28" t="str">
        <f t="shared" si="2"/>
        <v>-</v>
      </c>
      <c r="N40" s="29" t="str">
        <f t="shared" si="3"/>
        <v>-</v>
      </c>
      <c r="O40" s="30" t="str">
        <f t="shared" si="4"/>
        <v>-</v>
      </c>
      <c r="Q40" s="30" t="str">
        <f t="shared" si="5"/>
        <v>-</v>
      </c>
    </row>
    <row r="41" spans="1:17">
      <c r="A41" s="41">
        <v>10421</v>
      </c>
      <c r="B41" s="42">
        <v>810094212667</v>
      </c>
      <c r="C41" s="43" t="s">
        <v>109</v>
      </c>
      <c r="D41" s="44" t="s">
        <v>5</v>
      </c>
      <c r="E41" s="45">
        <v>0.21451139164583335</v>
      </c>
      <c r="F41" s="37" t="s">
        <v>451</v>
      </c>
      <c r="G41" s="46">
        <v>16.552900000000001</v>
      </c>
      <c r="H41" s="47"/>
      <c r="I41" s="48">
        <f t="shared" si="0"/>
        <v>0</v>
      </c>
      <c r="L41" s="28" t="str">
        <f t="shared" si="1"/>
        <v>-</v>
      </c>
      <c r="M41" s="28" t="str">
        <f t="shared" si="2"/>
        <v>-</v>
      </c>
      <c r="N41" s="29" t="str">
        <f t="shared" si="3"/>
        <v>-</v>
      </c>
      <c r="O41" s="30" t="str">
        <f t="shared" si="4"/>
        <v>-</v>
      </c>
      <c r="Q41" s="30" t="str">
        <f t="shared" si="5"/>
        <v>-</v>
      </c>
    </row>
    <row r="42" spans="1:17">
      <c r="A42" s="41">
        <v>10166</v>
      </c>
      <c r="B42" s="42">
        <v>813006017152</v>
      </c>
      <c r="C42" s="43" t="s">
        <v>19</v>
      </c>
      <c r="D42" s="44" t="s">
        <v>7</v>
      </c>
      <c r="E42" s="45">
        <v>0.15015797415208335</v>
      </c>
      <c r="F42" s="37" t="s">
        <v>451</v>
      </c>
      <c r="G42" s="46">
        <v>43.072899999999997</v>
      </c>
      <c r="H42" s="47"/>
      <c r="I42" s="48">
        <f t="shared" si="0"/>
        <v>0</v>
      </c>
      <c r="L42" s="28" t="str">
        <f t="shared" si="1"/>
        <v>-</v>
      </c>
      <c r="M42" s="28" t="str">
        <f t="shared" si="2"/>
        <v>-</v>
      </c>
      <c r="N42" s="29" t="str">
        <f t="shared" si="3"/>
        <v>-</v>
      </c>
      <c r="O42" s="30" t="str">
        <f t="shared" si="4"/>
        <v>-</v>
      </c>
      <c r="Q42" s="30" t="str">
        <f t="shared" si="5"/>
        <v>-</v>
      </c>
    </row>
    <row r="43" spans="1:17">
      <c r="A43" s="41">
        <v>10050</v>
      </c>
      <c r="B43" s="42">
        <v>813006012355</v>
      </c>
      <c r="C43" s="43" t="s">
        <v>198</v>
      </c>
      <c r="D43" s="44" t="s">
        <v>7</v>
      </c>
      <c r="E43" s="45">
        <v>0.14758383745233336</v>
      </c>
      <c r="F43" s="37" t="s">
        <v>451</v>
      </c>
      <c r="G43" s="46">
        <v>20.696650000000002</v>
      </c>
      <c r="H43" s="47"/>
      <c r="I43" s="48">
        <f t="shared" si="0"/>
        <v>0</v>
      </c>
      <c r="L43" s="28" t="str">
        <f t="shared" si="1"/>
        <v>-</v>
      </c>
      <c r="M43" s="28" t="str">
        <f t="shared" si="2"/>
        <v>-</v>
      </c>
      <c r="N43" s="29" t="str">
        <f t="shared" si="3"/>
        <v>-</v>
      </c>
      <c r="O43" s="30" t="str">
        <f t="shared" si="4"/>
        <v>-</v>
      </c>
      <c r="Q43" s="30" t="str">
        <f t="shared" si="5"/>
        <v>-</v>
      </c>
    </row>
    <row r="44" spans="1:17">
      <c r="A44" s="41">
        <v>10352</v>
      </c>
      <c r="B44" s="42">
        <v>810487036559</v>
      </c>
      <c r="C44" s="43" t="s">
        <v>209</v>
      </c>
      <c r="D44" s="44" t="s">
        <v>7</v>
      </c>
      <c r="E44" s="45">
        <v>0.13728729065333334</v>
      </c>
      <c r="F44" s="37" t="s">
        <v>451</v>
      </c>
      <c r="G44" s="46">
        <v>16.552900000000001</v>
      </c>
      <c r="H44" s="47"/>
      <c r="I44" s="48">
        <f t="shared" si="0"/>
        <v>0</v>
      </c>
      <c r="L44" s="28" t="str">
        <f t="shared" si="1"/>
        <v>-</v>
      </c>
      <c r="M44" s="28" t="str">
        <f t="shared" si="2"/>
        <v>-</v>
      </c>
      <c r="N44" s="29" t="str">
        <f t="shared" si="3"/>
        <v>-</v>
      </c>
      <c r="O44" s="30" t="str">
        <f t="shared" si="4"/>
        <v>-</v>
      </c>
      <c r="Q44" s="30" t="str">
        <f t="shared" si="5"/>
        <v>-</v>
      </c>
    </row>
    <row r="45" spans="1:17">
      <c r="A45" s="41">
        <v>10410</v>
      </c>
      <c r="B45" s="42">
        <v>810094212179</v>
      </c>
      <c r="C45" s="43" t="s">
        <v>210</v>
      </c>
      <c r="D45" s="44" t="s">
        <v>5</v>
      </c>
      <c r="E45" s="45">
        <v>0.15101601971866668</v>
      </c>
      <c r="F45" s="37" t="s">
        <v>451</v>
      </c>
      <c r="G45" s="46">
        <v>33.127900000000004</v>
      </c>
      <c r="H45" s="47"/>
      <c r="I45" s="48">
        <f t="shared" si="0"/>
        <v>0</v>
      </c>
      <c r="L45" s="28" t="str">
        <f t="shared" si="1"/>
        <v>-</v>
      </c>
      <c r="M45" s="28" t="str">
        <f t="shared" si="2"/>
        <v>-</v>
      </c>
      <c r="N45" s="29" t="str">
        <f t="shared" si="3"/>
        <v>-</v>
      </c>
      <c r="O45" s="30" t="str">
        <f t="shared" si="4"/>
        <v>-</v>
      </c>
      <c r="Q45" s="30" t="str">
        <f t="shared" si="5"/>
        <v>-</v>
      </c>
    </row>
    <row r="46" spans="1:17">
      <c r="A46" s="41">
        <v>10293</v>
      </c>
      <c r="B46" s="42">
        <v>810487032568</v>
      </c>
      <c r="C46" s="43" t="s">
        <v>29</v>
      </c>
      <c r="D46" s="44" t="s">
        <v>10</v>
      </c>
      <c r="E46" s="45">
        <v>0.21837259669545833</v>
      </c>
      <c r="F46" s="37" t="s">
        <v>451</v>
      </c>
      <c r="G46" s="46">
        <v>41.415399999999998</v>
      </c>
      <c r="H46" s="47"/>
      <c r="I46" s="48">
        <f t="shared" si="0"/>
        <v>0</v>
      </c>
      <c r="L46" s="28" t="str">
        <f t="shared" si="1"/>
        <v>-</v>
      </c>
      <c r="M46" s="28" t="str">
        <f t="shared" si="2"/>
        <v>-</v>
      </c>
      <c r="N46" s="29" t="str">
        <f t="shared" si="3"/>
        <v>-</v>
      </c>
      <c r="O46" s="30" t="str">
        <f t="shared" si="4"/>
        <v>-</v>
      </c>
      <c r="Q46" s="30" t="str">
        <f t="shared" si="5"/>
        <v>-</v>
      </c>
    </row>
    <row r="47" spans="1:17">
      <c r="A47" s="41">
        <v>100007</v>
      </c>
      <c r="B47" s="42">
        <v>813006011495</v>
      </c>
      <c r="C47" s="43" t="s">
        <v>216</v>
      </c>
      <c r="D47" s="44" t="s">
        <v>5</v>
      </c>
      <c r="E47" s="45">
        <v>0.16088354373437502</v>
      </c>
      <c r="F47" s="37" t="s">
        <v>451</v>
      </c>
      <c r="G47" s="46">
        <v>21.525400000000001</v>
      </c>
      <c r="H47" s="47"/>
      <c r="I47" s="48">
        <f t="shared" si="0"/>
        <v>0</v>
      </c>
      <c r="L47" s="28" t="str">
        <f t="shared" si="1"/>
        <v>-</v>
      </c>
      <c r="M47" s="28" t="str">
        <f t="shared" si="2"/>
        <v>-</v>
      </c>
      <c r="N47" s="29" t="str">
        <f t="shared" si="3"/>
        <v>-</v>
      </c>
      <c r="O47" s="30" t="str">
        <f t="shared" si="4"/>
        <v>-</v>
      </c>
      <c r="Q47" s="30" t="str">
        <f t="shared" si="5"/>
        <v>-</v>
      </c>
    </row>
    <row r="48" spans="1:17">
      <c r="A48" s="41">
        <v>10448</v>
      </c>
      <c r="B48" s="42">
        <v>810094213855</v>
      </c>
      <c r="C48" s="43" t="s">
        <v>219</v>
      </c>
      <c r="D48" s="44" t="s">
        <v>7</v>
      </c>
      <c r="E48" s="45">
        <v>0.14608225771081251</v>
      </c>
      <c r="F48" s="37" t="s">
        <v>451</v>
      </c>
      <c r="G48" s="46">
        <v>24.840400000000002</v>
      </c>
      <c r="H48" s="47"/>
      <c r="I48" s="48">
        <f t="shared" si="0"/>
        <v>0</v>
      </c>
      <c r="L48" s="28" t="str">
        <f t="shared" si="1"/>
        <v>-</v>
      </c>
      <c r="M48" s="28" t="str">
        <f t="shared" si="2"/>
        <v>-</v>
      </c>
      <c r="N48" s="29" t="str">
        <f t="shared" si="3"/>
        <v>-</v>
      </c>
      <c r="O48" s="30" t="str">
        <f t="shared" si="4"/>
        <v>-</v>
      </c>
      <c r="Q48" s="30" t="str">
        <f t="shared" si="5"/>
        <v>-</v>
      </c>
    </row>
    <row r="49" spans="1:17">
      <c r="A49" s="41">
        <v>10440</v>
      </c>
      <c r="B49" s="42">
        <v>810094213503</v>
      </c>
      <c r="C49" s="43" t="s">
        <v>443</v>
      </c>
      <c r="D49" s="44" t="s">
        <v>5</v>
      </c>
      <c r="E49" s="45">
        <v>0.19443312538778335</v>
      </c>
      <c r="F49" s="37" t="s">
        <v>451</v>
      </c>
      <c r="G49" s="46">
        <v>24.840400000000002</v>
      </c>
      <c r="H49" s="47"/>
      <c r="I49" s="48">
        <f t="shared" si="0"/>
        <v>0</v>
      </c>
      <c r="L49" s="28" t="str">
        <f t="shared" si="1"/>
        <v>-</v>
      </c>
      <c r="M49" s="28" t="str">
        <f t="shared" si="2"/>
        <v>-</v>
      </c>
      <c r="N49" s="29" t="str">
        <f t="shared" si="3"/>
        <v>-</v>
      </c>
      <c r="O49" s="30" t="str">
        <f t="shared" si="4"/>
        <v>-</v>
      </c>
      <c r="Q49" s="30" t="str">
        <f t="shared" si="5"/>
        <v>-</v>
      </c>
    </row>
    <row r="50" spans="1:17">
      <c r="A50" s="41">
        <v>10349</v>
      </c>
      <c r="B50" s="42">
        <v>810487036610</v>
      </c>
      <c r="C50" s="43" t="s">
        <v>37</v>
      </c>
      <c r="D50" s="44" t="s">
        <v>7</v>
      </c>
      <c r="E50" s="45">
        <v>0.14755000000000001</v>
      </c>
      <c r="F50" s="37" t="s">
        <v>451</v>
      </c>
      <c r="G50" s="46">
        <v>24.840400000000002</v>
      </c>
      <c r="H50" s="47"/>
      <c r="I50" s="48">
        <f t="shared" si="0"/>
        <v>0</v>
      </c>
      <c r="J50" s="58"/>
      <c r="K50" s="58"/>
      <c r="L50" s="28" t="str">
        <f t="shared" si="1"/>
        <v>-</v>
      </c>
      <c r="M50" s="28" t="str">
        <f t="shared" si="2"/>
        <v>-</v>
      </c>
      <c r="N50" s="29" t="str">
        <f t="shared" si="3"/>
        <v>-</v>
      </c>
      <c r="O50" s="30" t="str">
        <f t="shared" si="4"/>
        <v>-</v>
      </c>
      <c r="Q50" s="30" t="str">
        <f t="shared" si="5"/>
        <v>-</v>
      </c>
    </row>
    <row r="51" spans="1:17">
      <c r="A51" s="41">
        <v>10238</v>
      </c>
      <c r="B51" s="42">
        <v>810487030694</v>
      </c>
      <c r="C51" s="43" t="s">
        <v>140</v>
      </c>
      <c r="D51" s="44" t="s">
        <v>33</v>
      </c>
      <c r="E51" s="45">
        <v>0.55772961827916667</v>
      </c>
      <c r="F51" s="37" t="s">
        <v>451</v>
      </c>
      <c r="G51" s="46">
        <v>72.079150000000013</v>
      </c>
      <c r="H51" s="47"/>
      <c r="I51" s="48">
        <f t="shared" si="0"/>
        <v>0</v>
      </c>
      <c r="L51" s="28" t="str">
        <f t="shared" si="1"/>
        <v>-</v>
      </c>
      <c r="M51" s="28" t="str">
        <f t="shared" si="2"/>
        <v>-</v>
      </c>
      <c r="N51" s="29" t="str">
        <f t="shared" si="3"/>
        <v>-</v>
      </c>
      <c r="O51" s="30" t="str">
        <f t="shared" si="4"/>
        <v>-</v>
      </c>
      <c r="Q51" s="30" t="str">
        <f t="shared" si="5"/>
        <v>-</v>
      </c>
    </row>
    <row r="52" spans="1:17">
      <c r="A52" s="41">
        <v>10330</v>
      </c>
      <c r="B52" s="42">
        <v>810487032735</v>
      </c>
      <c r="C52" s="43" t="s">
        <v>38</v>
      </c>
      <c r="D52" s="44" t="s">
        <v>10</v>
      </c>
      <c r="E52" s="45">
        <v>0.34321822663333329</v>
      </c>
      <c r="F52" s="37" t="s">
        <v>451</v>
      </c>
      <c r="G52" s="46">
        <v>18.2104</v>
      </c>
      <c r="H52" s="47"/>
      <c r="I52" s="48">
        <f t="shared" si="0"/>
        <v>0</v>
      </c>
      <c r="L52" s="28" t="str">
        <f t="shared" si="1"/>
        <v>-</v>
      </c>
      <c r="M52" s="28" t="str">
        <f t="shared" si="2"/>
        <v>-</v>
      </c>
      <c r="N52" s="29" t="str">
        <f t="shared" si="3"/>
        <v>-</v>
      </c>
      <c r="O52" s="30" t="str">
        <f t="shared" si="4"/>
        <v>-</v>
      </c>
      <c r="Q52" s="30" t="str">
        <f t="shared" si="5"/>
        <v>-</v>
      </c>
    </row>
    <row r="53" spans="1:17">
      <c r="A53" s="41">
        <v>10312</v>
      </c>
      <c r="B53" s="42">
        <v>810487039710</v>
      </c>
      <c r="C53" s="43" t="s">
        <v>36</v>
      </c>
      <c r="D53" s="44" t="s">
        <v>6</v>
      </c>
      <c r="E53" s="45">
        <v>0.44403858070687496</v>
      </c>
      <c r="F53" s="37" t="s">
        <v>451</v>
      </c>
      <c r="G53" s="46">
        <v>45.559149999999995</v>
      </c>
      <c r="H53" s="47"/>
      <c r="I53" s="48">
        <f t="shared" si="0"/>
        <v>0</v>
      </c>
      <c r="L53" s="28" t="str">
        <f t="shared" si="1"/>
        <v>-</v>
      </c>
      <c r="M53" s="28" t="str">
        <f t="shared" si="2"/>
        <v>-</v>
      </c>
      <c r="N53" s="29" t="str">
        <f t="shared" si="3"/>
        <v>-</v>
      </c>
      <c r="O53" s="30" t="str">
        <f t="shared" si="4"/>
        <v>-</v>
      </c>
      <c r="Q53" s="30" t="str">
        <f t="shared" si="5"/>
        <v>-</v>
      </c>
    </row>
    <row r="54" spans="1:17">
      <c r="A54" s="41">
        <v>10325</v>
      </c>
      <c r="B54" s="42">
        <v>810487034340</v>
      </c>
      <c r="C54" s="43" t="s">
        <v>241</v>
      </c>
      <c r="D54" s="44" t="s">
        <v>41</v>
      </c>
      <c r="E54" s="45">
        <v>0.2372495991602917</v>
      </c>
      <c r="F54" s="37" t="s">
        <v>451</v>
      </c>
      <c r="G54" s="46">
        <v>16.552900000000001</v>
      </c>
      <c r="H54" s="47"/>
      <c r="I54" s="48">
        <f t="shared" si="0"/>
        <v>0</v>
      </c>
      <c r="L54" s="28" t="str">
        <f t="shared" si="1"/>
        <v>-</v>
      </c>
      <c r="M54" s="28" t="str">
        <f t="shared" si="2"/>
        <v>-</v>
      </c>
      <c r="N54" s="29" t="str">
        <f t="shared" si="3"/>
        <v>-</v>
      </c>
      <c r="O54" s="30" t="str">
        <f t="shared" si="4"/>
        <v>-</v>
      </c>
      <c r="Q54" s="30" t="str">
        <f t="shared" si="5"/>
        <v>-</v>
      </c>
    </row>
    <row r="55" spans="1:17">
      <c r="A55" s="41">
        <v>10219</v>
      </c>
      <c r="B55" s="42">
        <v>813006018340</v>
      </c>
      <c r="C55" s="43" t="s">
        <v>250</v>
      </c>
      <c r="D55" s="44" t="s">
        <v>5</v>
      </c>
      <c r="E55" s="45">
        <v>0.34321822663333329</v>
      </c>
      <c r="F55" s="37" t="s">
        <v>451</v>
      </c>
      <c r="G55" s="46">
        <v>24.840400000000002</v>
      </c>
      <c r="H55" s="47"/>
      <c r="I55" s="48">
        <f t="shared" si="0"/>
        <v>0</v>
      </c>
      <c r="L55" s="28" t="str">
        <f t="shared" si="1"/>
        <v>-</v>
      </c>
      <c r="M55" s="28" t="str">
        <f t="shared" si="2"/>
        <v>-</v>
      </c>
      <c r="N55" s="29" t="str">
        <f t="shared" si="3"/>
        <v>-</v>
      </c>
      <c r="O55" s="30" t="str">
        <f t="shared" si="4"/>
        <v>-</v>
      </c>
      <c r="Q55" s="30" t="str">
        <f t="shared" si="5"/>
        <v>-</v>
      </c>
    </row>
    <row r="56" spans="1:17">
      <c r="A56" s="41">
        <v>10273</v>
      </c>
      <c r="B56" s="42">
        <v>810487032018</v>
      </c>
      <c r="C56" s="43" t="s">
        <v>261</v>
      </c>
      <c r="D56" s="44" t="s">
        <v>8</v>
      </c>
      <c r="E56" s="45">
        <v>0.34321822663333329</v>
      </c>
      <c r="F56" s="37" t="s">
        <v>451</v>
      </c>
      <c r="G56" s="46">
        <v>39.757899999999992</v>
      </c>
      <c r="H56" s="47"/>
      <c r="I56" s="48">
        <f t="shared" si="0"/>
        <v>0</v>
      </c>
      <c r="L56" s="28" t="str">
        <f t="shared" si="1"/>
        <v>-</v>
      </c>
      <c r="M56" s="28" t="str">
        <f t="shared" si="2"/>
        <v>-</v>
      </c>
      <c r="N56" s="29" t="str">
        <f t="shared" si="3"/>
        <v>-</v>
      </c>
      <c r="O56" s="30" t="str">
        <f t="shared" si="4"/>
        <v>-</v>
      </c>
      <c r="Q56" s="30" t="str">
        <f t="shared" si="5"/>
        <v>-</v>
      </c>
    </row>
    <row r="57" spans="1:17">
      <c r="A57" s="41">
        <v>10272</v>
      </c>
      <c r="B57" s="42">
        <v>810487032001</v>
      </c>
      <c r="C57" s="43" t="s">
        <v>263</v>
      </c>
      <c r="D57" s="44" t="s">
        <v>8</v>
      </c>
      <c r="E57" s="45">
        <v>0.34321822663333329</v>
      </c>
      <c r="F57" s="37" t="s">
        <v>451</v>
      </c>
      <c r="G57" s="46">
        <v>34.785400000000003</v>
      </c>
      <c r="H57" s="47"/>
      <c r="I57" s="48">
        <f t="shared" si="0"/>
        <v>0</v>
      </c>
      <c r="L57" s="28" t="str">
        <f t="shared" si="1"/>
        <v>-</v>
      </c>
      <c r="M57" s="28" t="str">
        <f t="shared" si="2"/>
        <v>-</v>
      </c>
      <c r="N57" s="29" t="str">
        <f t="shared" si="3"/>
        <v>-</v>
      </c>
      <c r="O57" s="30" t="str">
        <f t="shared" si="4"/>
        <v>-</v>
      </c>
      <c r="Q57" s="30" t="str">
        <f t="shared" si="5"/>
        <v>-</v>
      </c>
    </row>
    <row r="58" spans="1:17">
      <c r="A58" s="41">
        <v>10018</v>
      </c>
      <c r="B58" s="42">
        <v>813006015080</v>
      </c>
      <c r="C58" s="43" t="s">
        <v>266</v>
      </c>
      <c r="D58" s="44" t="s">
        <v>7</v>
      </c>
      <c r="E58" s="45">
        <v>0.34321822663333329</v>
      </c>
      <c r="F58" s="37" t="s">
        <v>451</v>
      </c>
      <c r="G58" s="46">
        <v>20.696650000000002</v>
      </c>
      <c r="H58" s="47"/>
      <c r="I58" s="48">
        <f t="shared" si="0"/>
        <v>0</v>
      </c>
      <c r="L58" s="28" t="str">
        <f t="shared" si="1"/>
        <v>-</v>
      </c>
      <c r="M58" s="28" t="str">
        <f t="shared" si="2"/>
        <v>-</v>
      </c>
      <c r="N58" s="29" t="str">
        <f t="shared" si="3"/>
        <v>-</v>
      </c>
      <c r="O58" s="30" t="str">
        <f t="shared" si="4"/>
        <v>-</v>
      </c>
      <c r="Q58" s="30" t="str">
        <f t="shared" si="5"/>
        <v>-</v>
      </c>
    </row>
    <row r="59" spans="1:17">
      <c r="A59" s="41">
        <v>10348</v>
      </c>
      <c r="B59" s="42">
        <v>810487036481</v>
      </c>
      <c r="C59" s="43" t="s">
        <v>284</v>
      </c>
      <c r="D59" s="44" t="s">
        <v>7</v>
      </c>
      <c r="E59" s="45">
        <v>6.0063189660833335E-2</v>
      </c>
      <c r="F59" s="37" t="s">
        <v>451</v>
      </c>
      <c r="G59" s="46">
        <v>24.840400000000002</v>
      </c>
      <c r="H59" s="47"/>
      <c r="I59" s="48">
        <f t="shared" si="0"/>
        <v>0</v>
      </c>
      <c r="L59" s="28" t="str">
        <f t="shared" si="1"/>
        <v>-</v>
      </c>
      <c r="M59" s="28" t="str">
        <f t="shared" si="2"/>
        <v>-</v>
      </c>
      <c r="N59" s="29" t="str">
        <f t="shared" si="3"/>
        <v>-</v>
      </c>
      <c r="O59" s="30" t="str">
        <f t="shared" si="4"/>
        <v>-</v>
      </c>
      <c r="Q59" s="30" t="str">
        <f t="shared" si="5"/>
        <v>-</v>
      </c>
    </row>
    <row r="60" spans="1:17">
      <c r="A60" s="41">
        <v>30389</v>
      </c>
      <c r="B60" s="42">
        <v>810487031530</v>
      </c>
      <c r="C60" s="43" t="s">
        <v>354</v>
      </c>
      <c r="D60" s="44" t="s">
        <v>141</v>
      </c>
      <c r="E60" s="45">
        <v>9.0800000000000006E-2</v>
      </c>
      <c r="F60" s="37" t="s">
        <v>451</v>
      </c>
      <c r="G60" s="46">
        <v>41.415399999999998</v>
      </c>
      <c r="H60" s="47"/>
      <c r="I60" s="48">
        <f t="shared" si="0"/>
        <v>0</v>
      </c>
      <c r="J60" s="58"/>
      <c r="K60" s="58"/>
      <c r="L60" s="28" t="str">
        <f t="shared" si="1"/>
        <v>-</v>
      </c>
      <c r="M60" s="28" t="str">
        <f t="shared" si="2"/>
        <v>-</v>
      </c>
      <c r="N60" s="29" t="str">
        <f t="shared" si="3"/>
        <v>-</v>
      </c>
      <c r="O60" s="30" t="str">
        <f t="shared" si="4"/>
        <v>-</v>
      </c>
      <c r="Q60" s="30" t="str">
        <f t="shared" si="5"/>
        <v>-</v>
      </c>
    </row>
    <row r="61" spans="1:17">
      <c r="A61" s="41">
        <v>10417</v>
      </c>
      <c r="B61" s="42">
        <v>810094212629</v>
      </c>
      <c r="C61" s="43" t="s">
        <v>149</v>
      </c>
      <c r="D61" s="44" t="s">
        <v>7</v>
      </c>
      <c r="E61" s="45">
        <v>6.5254365338662509E-2</v>
      </c>
      <c r="F61" s="37" t="s">
        <v>451</v>
      </c>
      <c r="G61" s="46">
        <v>18.2104</v>
      </c>
      <c r="H61" s="47"/>
      <c r="I61" s="48">
        <f t="shared" si="0"/>
        <v>0</v>
      </c>
      <c r="L61" s="28" t="str">
        <f t="shared" si="1"/>
        <v>-</v>
      </c>
      <c r="M61" s="28" t="str">
        <f t="shared" si="2"/>
        <v>-</v>
      </c>
      <c r="N61" s="29" t="str">
        <f t="shared" si="3"/>
        <v>-</v>
      </c>
      <c r="O61" s="30" t="str">
        <f t="shared" si="4"/>
        <v>-</v>
      </c>
      <c r="Q61" s="30" t="str">
        <f t="shared" si="5"/>
        <v>-</v>
      </c>
    </row>
    <row r="62" spans="1:17">
      <c r="A62" s="41">
        <v>10467</v>
      </c>
      <c r="B62" s="42">
        <v>810094214395</v>
      </c>
      <c r="C62" s="43" t="s">
        <v>150</v>
      </c>
      <c r="D62" s="44" t="s">
        <v>7</v>
      </c>
      <c r="E62" s="45">
        <v>0.14556743037086251</v>
      </c>
      <c r="F62" s="37" t="s">
        <v>451</v>
      </c>
      <c r="G62" s="46">
        <v>12.40915</v>
      </c>
      <c r="H62" s="47"/>
      <c r="I62" s="48">
        <f t="shared" si="0"/>
        <v>0</v>
      </c>
      <c r="L62" s="28" t="str">
        <f t="shared" si="1"/>
        <v>-</v>
      </c>
      <c r="M62" s="28" t="str">
        <f t="shared" si="2"/>
        <v>-</v>
      </c>
      <c r="N62" s="29" t="str">
        <f t="shared" si="3"/>
        <v>-</v>
      </c>
      <c r="O62" s="30" t="str">
        <f t="shared" si="4"/>
        <v>-</v>
      </c>
      <c r="Q62" s="30" t="str">
        <f t="shared" si="5"/>
        <v>-</v>
      </c>
    </row>
    <row r="63" spans="1:17">
      <c r="A63" s="41">
        <v>10304</v>
      </c>
      <c r="B63" s="42">
        <v>810487033077</v>
      </c>
      <c r="C63" s="43" t="s">
        <v>152</v>
      </c>
      <c r="D63" s="44" t="s">
        <v>6</v>
      </c>
      <c r="E63" s="45">
        <v>0.63666981040483328</v>
      </c>
      <c r="F63" s="37" t="s">
        <v>451</v>
      </c>
      <c r="G63" s="46">
        <v>26.497900000000001</v>
      </c>
      <c r="H63" s="47"/>
      <c r="I63" s="48">
        <f t="shared" si="0"/>
        <v>0</v>
      </c>
      <c r="L63" s="28" t="str">
        <f t="shared" si="1"/>
        <v>-</v>
      </c>
      <c r="M63" s="28" t="str">
        <f t="shared" si="2"/>
        <v>-</v>
      </c>
      <c r="N63" s="29" t="str">
        <f t="shared" si="3"/>
        <v>-</v>
      </c>
      <c r="O63" s="30" t="str">
        <f t="shared" si="4"/>
        <v>-</v>
      </c>
      <c r="Q63" s="30" t="str">
        <f t="shared" si="5"/>
        <v>-</v>
      </c>
    </row>
    <row r="64" spans="1:17">
      <c r="A64" s="41">
        <v>10248</v>
      </c>
      <c r="B64" s="42">
        <v>810487031301</v>
      </c>
      <c r="C64" s="43" t="s">
        <v>153</v>
      </c>
      <c r="D64" s="44" t="s">
        <v>7</v>
      </c>
      <c r="E64" s="45">
        <v>0.16088354373437502</v>
      </c>
      <c r="F64" s="37" t="s">
        <v>451</v>
      </c>
      <c r="G64" s="46">
        <v>33.127900000000004</v>
      </c>
      <c r="H64" s="47"/>
      <c r="I64" s="48">
        <f t="shared" si="0"/>
        <v>0</v>
      </c>
      <c r="L64" s="28" t="str">
        <f t="shared" si="1"/>
        <v>-</v>
      </c>
      <c r="M64" s="28" t="str">
        <f t="shared" si="2"/>
        <v>-</v>
      </c>
      <c r="N64" s="29" t="str">
        <f t="shared" si="3"/>
        <v>-</v>
      </c>
      <c r="O64" s="30" t="str">
        <f t="shared" si="4"/>
        <v>-</v>
      </c>
      <c r="Q64" s="30" t="str">
        <f t="shared" si="5"/>
        <v>-</v>
      </c>
    </row>
    <row r="65" spans="1:17">
      <c r="A65" s="41">
        <v>10249</v>
      </c>
      <c r="B65" s="42">
        <v>810487031295</v>
      </c>
      <c r="C65" s="43" t="s">
        <v>154</v>
      </c>
      <c r="D65" s="44" t="s">
        <v>8</v>
      </c>
      <c r="E65" s="45">
        <v>0.20378582206354168</v>
      </c>
      <c r="F65" s="37" t="s">
        <v>451</v>
      </c>
      <c r="G65" s="46">
        <v>78.709150000000008</v>
      </c>
      <c r="H65" s="47"/>
      <c r="I65" s="48">
        <f t="shared" si="0"/>
        <v>0</v>
      </c>
      <c r="L65" s="28" t="str">
        <f t="shared" si="1"/>
        <v>-</v>
      </c>
      <c r="M65" s="28" t="str">
        <f t="shared" si="2"/>
        <v>-</v>
      </c>
      <c r="N65" s="29" t="str">
        <f t="shared" si="3"/>
        <v>-</v>
      </c>
      <c r="O65" s="30" t="str">
        <f t="shared" si="4"/>
        <v>-</v>
      </c>
      <c r="Q65" s="30" t="str">
        <f t="shared" ref="Q65:Q125" si="6">IFERROR(IF(O65+I65=0, "-", IF(O65&gt;0, O65+I65, "-")), "-")</f>
        <v>-</v>
      </c>
    </row>
    <row r="66" spans="1:17">
      <c r="A66" s="41">
        <v>10345</v>
      </c>
      <c r="B66" s="42">
        <v>810487036245</v>
      </c>
      <c r="C66" s="43" t="s">
        <v>156</v>
      </c>
      <c r="D66" s="44" t="s">
        <v>8</v>
      </c>
      <c r="E66" s="45">
        <v>0.20378582206354168</v>
      </c>
      <c r="F66" s="37" t="s">
        <v>451</v>
      </c>
      <c r="G66" s="46">
        <v>33.127900000000004</v>
      </c>
      <c r="H66" s="47"/>
      <c r="I66" s="48">
        <f t="shared" si="0"/>
        <v>0</v>
      </c>
      <c r="L66" s="28" t="str">
        <f t="shared" si="1"/>
        <v>-</v>
      </c>
      <c r="M66" s="28" t="str">
        <f t="shared" si="2"/>
        <v>-</v>
      </c>
      <c r="N66" s="29" t="str">
        <f t="shared" si="3"/>
        <v>-</v>
      </c>
      <c r="O66" s="30" t="str">
        <f t="shared" si="4"/>
        <v>-</v>
      </c>
      <c r="Q66" s="30" t="str">
        <f t="shared" si="6"/>
        <v>-</v>
      </c>
    </row>
    <row r="67" spans="1:17">
      <c r="A67" s="41">
        <v>10424</v>
      </c>
      <c r="B67" s="42">
        <v>810094212926</v>
      </c>
      <c r="C67" s="43" t="s">
        <v>157</v>
      </c>
      <c r="D67" s="44" t="s">
        <v>130</v>
      </c>
      <c r="E67" s="45">
        <v>0.40757164412708335</v>
      </c>
      <c r="F67" s="37" t="s">
        <v>451</v>
      </c>
      <c r="G67" s="46">
        <v>16.552900000000001</v>
      </c>
      <c r="H67" s="47"/>
      <c r="I67" s="48">
        <f t="shared" ref="I67:I130" si="7">H67*G67</f>
        <v>0</v>
      </c>
      <c r="L67" s="28" t="str">
        <f t="shared" si="1"/>
        <v>-</v>
      </c>
      <c r="M67" s="28" t="str">
        <f t="shared" si="2"/>
        <v>-</v>
      </c>
      <c r="N67" s="29" t="str">
        <f t="shared" si="3"/>
        <v>-</v>
      </c>
      <c r="O67" s="30" t="str">
        <f t="shared" si="4"/>
        <v>-</v>
      </c>
      <c r="Q67" s="30" t="str">
        <f t="shared" si="6"/>
        <v>-</v>
      </c>
    </row>
    <row r="68" spans="1:17">
      <c r="A68" s="41">
        <v>10315</v>
      </c>
      <c r="B68" s="42">
        <v>810487033497</v>
      </c>
      <c r="C68" s="43" t="s">
        <v>158</v>
      </c>
      <c r="D68" s="44" t="s">
        <v>12</v>
      </c>
      <c r="E68" s="45">
        <v>0.19005709299820833</v>
      </c>
      <c r="F68" s="37" t="s">
        <v>451</v>
      </c>
      <c r="G68" s="46">
        <v>16.552900000000001</v>
      </c>
      <c r="H68" s="47"/>
      <c r="I68" s="48">
        <f t="shared" si="7"/>
        <v>0</v>
      </c>
      <c r="L68" s="28" t="str">
        <f t="shared" ref="L68:L131" si="8">IFERROR(IF($L$2*E68=0, "-", $L$2*E68), "-")</f>
        <v>-</v>
      </c>
      <c r="M68" s="28" t="str">
        <f t="shared" ref="M68:M131" si="9">IFERROR(IF(L68&gt;0,G68+L68,"-"),"-")</f>
        <v>-</v>
      </c>
      <c r="N68" s="29" t="str">
        <f t="shared" ref="N68:N131" si="10">IF(H68&gt;0,H68*E68, "-")</f>
        <v>-</v>
      </c>
      <c r="O68" s="30" t="str">
        <f t="shared" ref="O68:O131" si="11">IFERROR(IF($L$2&gt;0, $L$2*N68, "-"), "-")</f>
        <v>-</v>
      </c>
      <c r="Q68" s="30" t="str">
        <f t="shared" si="6"/>
        <v>-</v>
      </c>
    </row>
    <row r="69" spans="1:17">
      <c r="A69" s="41">
        <v>10416</v>
      </c>
      <c r="B69" s="42">
        <v>810094212643</v>
      </c>
      <c r="C69" s="43" t="s">
        <v>159</v>
      </c>
      <c r="D69" s="44" t="s">
        <v>7</v>
      </c>
      <c r="E69" s="45">
        <v>0.15015797415208335</v>
      </c>
      <c r="F69" s="37" t="s">
        <v>451</v>
      </c>
      <c r="G69" s="46">
        <v>24.840400000000002</v>
      </c>
      <c r="H69" s="47"/>
      <c r="I69" s="48">
        <f t="shared" si="7"/>
        <v>0</v>
      </c>
      <c r="L69" s="28" t="str">
        <f t="shared" si="8"/>
        <v>-</v>
      </c>
      <c r="M69" s="28" t="str">
        <f t="shared" si="9"/>
        <v>-</v>
      </c>
      <c r="N69" s="29" t="str">
        <f t="shared" si="10"/>
        <v>-</v>
      </c>
      <c r="O69" s="30" t="str">
        <f t="shared" si="11"/>
        <v>-</v>
      </c>
      <c r="Q69" s="30" t="str">
        <f t="shared" si="6"/>
        <v>-</v>
      </c>
    </row>
    <row r="70" spans="1:17">
      <c r="A70" s="41">
        <v>10260</v>
      </c>
      <c r="B70" s="42">
        <v>810487031547</v>
      </c>
      <c r="C70" s="43" t="s">
        <v>161</v>
      </c>
      <c r="D70" s="44" t="s">
        <v>5</v>
      </c>
      <c r="E70" s="45">
        <v>0.30031594830416669</v>
      </c>
      <c r="F70" s="37" t="s">
        <v>451</v>
      </c>
      <c r="G70" s="46">
        <v>20.696650000000002</v>
      </c>
      <c r="H70" s="47"/>
      <c r="I70" s="48">
        <f t="shared" si="7"/>
        <v>0</v>
      </c>
      <c r="L70" s="28" t="str">
        <f t="shared" si="8"/>
        <v>-</v>
      </c>
      <c r="M70" s="28" t="str">
        <f t="shared" si="9"/>
        <v>-</v>
      </c>
      <c r="N70" s="29" t="str">
        <f t="shared" si="10"/>
        <v>-</v>
      </c>
      <c r="O70" s="30" t="str">
        <f t="shared" si="11"/>
        <v>-</v>
      </c>
      <c r="Q70" s="30" t="str">
        <f t="shared" si="6"/>
        <v>-</v>
      </c>
    </row>
    <row r="71" spans="1:17">
      <c r="A71" s="41">
        <v>10092</v>
      </c>
      <c r="B71" s="42">
        <v>813006015820</v>
      </c>
      <c r="C71" s="43" t="s">
        <v>162</v>
      </c>
      <c r="D71" s="44" t="s">
        <v>5</v>
      </c>
      <c r="E71" s="45">
        <v>0.24046727003497917</v>
      </c>
      <c r="F71" s="37" t="s">
        <v>451</v>
      </c>
      <c r="G71" s="46">
        <v>16.552900000000001</v>
      </c>
      <c r="H71" s="47"/>
      <c r="I71" s="48">
        <f t="shared" si="7"/>
        <v>0</v>
      </c>
      <c r="L71" s="28" t="str">
        <f t="shared" si="8"/>
        <v>-</v>
      </c>
      <c r="M71" s="28" t="str">
        <f t="shared" si="9"/>
        <v>-</v>
      </c>
      <c r="N71" s="29" t="str">
        <f t="shared" si="10"/>
        <v>-</v>
      </c>
      <c r="O71" s="30" t="str">
        <f t="shared" si="11"/>
        <v>-</v>
      </c>
      <c r="Q71" s="30" t="str">
        <f t="shared" si="6"/>
        <v>-</v>
      </c>
    </row>
    <row r="72" spans="1:17">
      <c r="A72" s="41">
        <v>10449</v>
      </c>
      <c r="B72" s="42">
        <v>810094213930</v>
      </c>
      <c r="C72" s="43" t="s">
        <v>131</v>
      </c>
      <c r="D72" s="44" t="s">
        <v>7</v>
      </c>
      <c r="E72" s="45">
        <v>0.17160911331666664</v>
      </c>
      <c r="F72" s="37" t="s">
        <v>451</v>
      </c>
      <c r="G72" s="46">
        <v>24.840400000000002</v>
      </c>
      <c r="H72" s="47"/>
      <c r="I72" s="48">
        <f t="shared" si="7"/>
        <v>0</v>
      </c>
      <c r="L72" s="28" t="str">
        <f t="shared" si="8"/>
        <v>-</v>
      </c>
      <c r="M72" s="28" t="str">
        <f t="shared" si="9"/>
        <v>-</v>
      </c>
      <c r="N72" s="29" t="str">
        <f t="shared" si="10"/>
        <v>-</v>
      </c>
      <c r="O72" s="30" t="str">
        <f t="shared" si="11"/>
        <v>-</v>
      </c>
      <c r="Q72" s="30" t="str">
        <f t="shared" si="6"/>
        <v>-</v>
      </c>
    </row>
    <row r="73" spans="1:17">
      <c r="A73" s="41">
        <v>10137</v>
      </c>
      <c r="B73" s="42">
        <v>813006016728</v>
      </c>
      <c r="C73" s="43" t="s">
        <v>163</v>
      </c>
      <c r="D73" s="44" t="s">
        <v>7</v>
      </c>
      <c r="E73" s="45">
        <v>0.13728729065333334</v>
      </c>
      <c r="F73" s="37" t="s">
        <v>451</v>
      </c>
      <c r="G73" s="46">
        <v>16.552900000000001</v>
      </c>
      <c r="H73" s="47"/>
      <c r="I73" s="48">
        <f t="shared" si="7"/>
        <v>0</v>
      </c>
      <c r="L73" s="28" t="str">
        <f t="shared" si="8"/>
        <v>-</v>
      </c>
      <c r="M73" s="28" t="str">
        <f t="shared" si="9"/>
        <v>-</v>
      </c>
      <c r="N73" s="29" t="str">
        <f t="shared" si="10"/>
        <v>-</v>
      </c>
      <c r="O73" s="30" t="str">
        <f t="shared" si="11"/>
        <v>-</v>
      </c>
      <c r="Q73" s="30" t="str">
        <f t="shared" si="6"/>
        <v>-</v>
      </c>
    </row>
    <row r="74" spans="1:17">
      <c r="A74" s="41">
        <v>10271</v>
      </c>
      <c r="B74" s="42">
        <v>810487032025</v>
      </c>
      <c r="C74" s="43" t="s">
        <v>164</v>
      </c>
      <c r="D74" s="44" t="s">
        <v>8</v>
      </c>
      <c r="E74" s="45">
        <v>0.21451139164583335</v>
      </c>
      <c r="F74" s="37" t="s">
        <v>451</v>
      </c>
      <c r="G74" s="46">
        <v>39.757899999999992</v>
      </c>
      <c r="H74" s="47"/>
      <c r="I74" s="48">
        <f t="shared" si="7"/>
        <v>0</v>
      </c>
      <c r="L74" s="28" t="str">
        <f t="shared" si="8"/>
        <v>-</v>
      </c>
      <c r="M74" s="28" t="str">
        <f t="shared" si="9"/>
        <v>-</v>
      </c>
      <c r="N74" s="29" t="str">
        <f t="shared" si="10"/>
        <v>-</v>
      </c>
      <c r="O74" s="30" t="str">
        <f t="shared" si="11"/>
        <v>-</v>
      </c>
      <c r="Q74" s="30" t="str">
        <f t="shared" si="6"/>
        <v>-</v>
      </c>
    </row>
    <row r="75" spans="1:17">
      <c r="A75" s="41">
        <v>10251</v>
      </c>
      <c r="B75" s="42">
        <v>810487031455</v>
      </c>
      <c r="C75" s="43" t="s">
        <v>165</v>
      </c>
      <c r="D75" s="44" t="s">
        <v>10</v>
      </c>
      <c r="E75" s="45">
        <v>0.30031594830416669</v>
      </c>
      <c r="F75" s="37" t="s">
        <v>451</v>
      </c>
      <c r="G75" s="46">
        <v>30.641649999999998</v>
      </c>
      <c r="H75" s="47"/>
      <c r="I75" s="48">
        <f t="shared" si="7"/>
        <v>0</v>
      </c>
      <c r="L75" s="28" t="str">
        <f t="shared" si="8"/>
        <v>-</v>
      </c>
      <c r="M75" s="28" t="str">
        <f t="shared" si="9"/>
        <v>-</v>
      </c>
      <c r="N75" s="29" t="str">
        <f t="shared" si="10"/>
        <v>-</v>
      </c>
      <c r="O75" s="30" t="str">
        <f t="shared" si="11"/>
        <v>-</v>
      </c>
      <c r="Q75" s="30" t="str">
        <f t="shared" si="6"/>
        <v>-</v>
      </c>
    </row>
    <row r="76" spans="1:17">
      <c r="A76" s="41">
        <v>10252</v>
      </c>
      <c r="B76" s="42">
        <v>810487031462</v>
      </c>
      <c r="C76" s="43" t="s">
        <v>166</v>
      </c>
      <c r="D76" s="44" t="s">
        <v>13</v>
      </c>
      <c r="E76" s="45">
        <v>0.8494651109175001</v>
      </c>
      <c r="F76" s="37" t="s">
        <v>451</v>
      </c>
      <c r="G76" s="46">
        <v>82.852900000000005</v>
      </c>
      <c r="H76" s="47"/>
      <c r="I76" s="48">
        <f t="shared" si="7"/>
        <v>0</v>
      </c>
      <c r="L76" s="28" t="str">
        <f t="shared" si="8"/>
        <v>-</v>
      </c>
      <c r="M76" s="28" t="str">
        <f t="shared" si="9"/>
        <v>-</v>
      </c>
      <c r="N76" s="29" t="str">
        <f t="shared" si="10"/>
        <v>-</v>
      </c>
      <c r="O76" s="30" t="str">
        <f t="shared" si="11"/>
        <v>-</v>
      </c>
      <c r="Q76" s="30" t="str">
        <f t="shared" si="6"/>
        <v>-</v>
      </c>
    </row>
    <row r="77" spans="1:17">
      <c r="A77" s="41">
        <v>10285</v>
      </c>
      <c r="B77" s="42">
        <v>810487032483</v>
      </c>
      <c r="C77" s="43" t="s">
        <v>167</v>
      </c>
      <c r="D77" s="44" t="s">
        <v>76</v>
      </c>
      <c r="E77" s="45">
        <v>0.52916895870574998</v>
      </c>
      <c r="F77" s="37" t="s">
        <v>451</v>
      </c>
      <c r="G77" s="46">
        <v>49.7029</v>
      </c>
      <c r="H77" s="47"/>
      <c r="I77" s="48">
        <f t="shared" si="7"/>
        <v>0</v>
      </c>
      <c r="L77" s="28" t="str">
        <f t="shared" si="8"/>
        <v>-</v>
      </c>
      <c r="M77" s="28" t="str">
        <f t="shared" si="9"/>
        <v>-</v>
      </c>
      <c r="N77" s="29" t="str">
        <f t="shared" si="10"/>
        <v>-</v>
      </c>
      <c r="O77" s="30" t="str">
        <f t="shared" si="11"/>
        <v>-</v>
      </c>
      <c r="Q77" s="30" t="str">
        <f t="shared" si="6"/>
        <v>-</v>
      </c>
    </row>
    <row r="78" spans="1:17">
      <c r="A78" s="41">
        <v>10284</v>
      </c>
      <c r="B78" s="42">
        <v>810487032476</v>
      </c>
      <c r="C78" s="43" t="s">
        <v>168</v>
      </c>
      <c r="D78" s="44" t="s">
        <v>76</v>
      </c>
      <c r="E78" s="45">
        <v>0.44128057709999996</v>
      </c>
      <c r="F78" s="37" t="s">
        <v>451</v>
      </c>
      <c r="G78" s="46">
        <v>49.7029</v>
      </c>
      <c r="H78" s="47"/>
      <c r="I78" s="48">
        <f t="shared" si="7"/>
        <v>0</v>
      </c>
      <c r="L78" s="28" t="str">
        <f t="shared" si="8"/>
        <v>-</v>
      </c>
      <c r="M78" s="28" t="str">
        <f t="shared" si="9"/>
        <v>-</v>
      </c>
      <c r="N78" s="29" t="str">
        <f t="shared" si="10"/>
        <v>-</v>
      </c>
      <c r="O78" s="30" t="str">
        <f t="shared" si="11"/>
        <v>-</v>
      </c>
      <c r="Q78" s="30" t="str">
        <f t="shared" si="6"/>
        <v>-</v>
      </c>
    </row>
    <row r="79" spans="1:17">
      <c r="A79" s="41">
        <v>10341</v>
      </c>
      <c r="B79" s="42">
        <v>810487034944</v>
      </c>
      <c r="C79" s="43" t="s">
        <v>14</v>
      </c>
      <c r="D79" s="44" t="s">
        <v>5</v>
      </c>
      <c r="E79" s="45">
        <v>0.24025275864333334</v>
      </c>
      <c r="F79" s="37" t="s">
        <v>451</v>
      </c>
      <c r="G79" s="46">
        <v>12.40915</v>
      </c>
      <c r="H79" s="47"/>
      <c r="I79" s="48">
        <f t="shared" si="7"/>
        <v>0</v>
      </c>
      <c r="L79" s="28" t="str">
        <f t="shared" si="8"/>
        <v>-</v>
      </c>
      <c r="M79" s="28" t="str">
        <f t="shared" si="9"/>
        <v>-</v>
      </c>
      <c r="N79" s="29" t="str">
        <f t="shared" si="10"/>
        <v>-</v>
      </c>
      <c r="O79" s="30" t="str">
        <f t="shared" si="11"/>
        <v>-</v>
      </c>
      <c r="Q79" s="30" t="str">
        <f t="shared" si="6"/>
        <v>-</v>
      </c>
    </row>
    <row r="80" spans="1:17">
      <c r="A80" s="41">
        <v>10237</v>
      </c>
      <c r="B80" s="42">
        <v>813006019958</v>
      </c>
      <c r="C80" s="43" t="s">
        <v>15</v>
      </c>
      <c r="D80" s="44" t="s">
        <v>8</v>
      </c>
      <c r="E80" s="45">
        <v>0.25719915858335418</v>
      </c>
      <c r="F80" s="37" t="s">
        <v>451</v>
      </c>
      <c r="G80" s="46">
        <v>70.42165</v>
      </c>
      <c r="H80" s="47"/>
      <c r="I80" s="48">
        <f t="shared" si="7"/>
        <v>0</v>
      </c>
      <c r="L80" s="28" t="str">
        <f t="shared" si="8"/>
        <v>-</v>
      </c>
      <c r="M80" s="28" t="str">
        <f t="shared" si="9"/>
        <v>-</v>
      </c>
      <c r="N80" s="29" t="str">
        <f t="shared" si="10"/>
        <v>-</v>
      </c>
      <c r="O80" s="30" t="str">
        <f t="shared" si="11"/>
        <v>-</v>
      </c>
      <c r="Q80" s="30" t="str">
        <f t="shared" si="6"/>
        <v>-</v>
      </c>
    </row>
    <row r="81" spans="1:17">
      <c r="A81" s="41">
        <v>10296</v>
      </c>
      <c r="B81" s="42">
        <v>810487032704</v>
      </c>
      <c r="C81" s="43" t="s">
        <v>171</v>
      </c>
      <c r="D81" s="44" t="s">
        <v>404</v>
      </c>
      <c r="E81" s="45">
        <v>0.3031761001927778</v>
      </c>
      <c r="F81" s="37" t="s">
        <v>451</v>
      </c>
      <c r="G81" s="46">
        <v>41.415399999999998</v>
      </c>
      <c r="H81" s="47"/>
      <c r="I81" s="48">
        <f t="shared" si="7"/>
        <v>0</v>
      </c>
      <c r="L81" s="28" t="str">
        <f t="shared" si="8"/>
        <v>-</v>
      </c>
      <c r="M81" s="28" t="str">
        <f t="shared" si="9"/>
        <v>-</v>
      </c>
      <c r="N81" s="29" t="str">
        <f t="shared" si="10"/>
        <v>-</v>
      </c>
      <c r="O81" s="30" t="str">
        <f t="shared" si="11"/>
        <v>-</v>
      </c>
      <c r="Q81" s="30" t="str">
        <f t="shared" si="6"/>
        <v>-</v>
      </c>
    </row>
    <row r="82" spans="1:17">
      <c r="A82" s="41">
        <v>10314</v>
      </c>
      <c r="B82" s="42">
        <v>810487033374</v>
      </c>
      <c r="C82" s="43" t="s">
        <v>16</v>
      </c>
      <c r="D82" s="44" t="s">
        <v>5</v>
      </c>
      <c r="E82" s="45">
        <v>0.38612050496250006</v>
      </c>
      <c r="F82" s="37" t="s">
        <v>451</v>
      </c>
      <c r="G82" s="46">
        <v>20.696650000000002</v>
      </c>
      <c r="H82" s="47"/>
      <c r="I82" s="48">
        <f t="shared" si="7"/>
        <v>0</v>
      </c>
      <c r="L82" s="28" t="str">
        <f t="shared" si="8"/>
        <v>-</v>
      </c>
      <c r="M82" s="28" t="str">
        <f t="shared" si="9"/>
        <v>-</v>
      </c>
      <c r="N82" s="29" t="str">
        <f t="shared" si="10"/>
        <v>-</v>
      </c>
      <c r="O82" s="30" t="str">
        <f t="shared" si="11"/>
        <v>-</v>
      </c>
      <c r="Q82" s="30" t="str">
        <f t="shared" si="6"/>
        <v>-</v>
      </c>
    </row>
    <row r="83" spans="1:17">
      <c r="A83" s="41">
        <v>10411</v>
      </c>
      <c r="B83" s="42">
        <v>810094212339</v>
      </c>
      <c r="C83" s="43" t="s">
        <v>172</v>
      </c>
      <c r="D83" s="44" t="s">
        <v>7</v>
      </c>
      <c r="E83" s="45">
        <v>0.14511695644840625</v>
      </c>
      <c r="F83" s="37" t="s">
        <v>451</v>
      </c>
      <c r="G83" s="46">
        <v>33.127900000000004</v>
      </c>
      <c r="H83" s="47"/>
      <c r="I83" s="48">
        <f t="shared" si="7"/>
        <v>0</v>
      </c>
      <c r="L83" s="28" t="str">
        <f t="shared" si="8"/>
        <v>-</v>
      </c>
      <c r="M83" s="28" t="str">
        <f t="shared" si="9"/>
        <v>-</v>
      </c>
      <c r="N83" s="29" t="str">
        <f t="shared" si="10"/>
        <v>-</v>
      </c>
      <c r="O83" s="30" t="str">
        <f t="shared" si="11"/>
        <v>-</v>
      </c>
      <c r="Q83" s="30" t="str">
        <f t="shared" si="6"/>
        <v>-</v>
      </c>
    </row>
    <row r="84" spans="1:17">
      <c r="A84" s="41">
        <v>10425</v>
      </c>
      <c r="B84" s="42">
        <v>810094212803</v>
      </c>
      <c r="C84" s="43" t="s">
        <v>120</v>
      </c>
      <c r="D84" s="44" t="s">
        <v>7</v>
      </c>
      <c r="E84" s="45">
        <v>0.34321822663333329</v>
      </c>
      <c r="F84" s="37" t="s">
        <v>451</v>
      </c>
      <c r="G84" s="46">
        <v>24.840400000000002</v>
      </c>
      <c r="H84" s="47"/>
      <c r="I84" s="48">
        <f t="shared" si="7"/>
        <v>0</v>
      </c>
      <c r="L84" s="28" t="str">
        <f t="shared" si="8"/>
        <v>-</v>
      </c>
      <c r="M84" s="28" t="str">
        <f t="shared" si="9"/>
        <v>-</v>
      </c>
      <c r="N84" s="29" t="str">
        <f t="shared" si="10"/>
        <v>-</v>
      </c>
      <c r="O84" s="30" t="str">
        <f t="shared" si="11"/>
        <v>-</v>
      </c>
      <c r="Q84" s="30" t="str">
        <f t="shared" si="6"/>
        <v>-</v>
      </c>
    </row>
    <row r="85" spans="1:17">
      <c r="A85" s="41">
        <v>10436</v>
      </c>
      <c r="B85" s="42">
        <v>810094213480</v>
      </c>
      <c r="C85" s="43" t="s">
        <v>175</v>
      </c>
      <c r="D85" s="44" t="s">
        <v>17</v>
      </c>
      <c r="E85" s="45">
        <v>0.21451139164583335</v>
      </c>
      <c r="F85" s="37" t="s">
        <v>451</v>
      </c>
      <c r="G85" s="46">
        <v>24.840400000000002</v>
      </c>
      <c r="H85" s="47"/>
      <c r="I85" s="48">
        <f t="shared" si="7"/>
        <v>0</v>
      </c>
      <c r="L85" s="28" t="str">
        <f t="shared" si="8"/>
        <v>-</v>
      </c>
      <c r="M85" s="28" t="str">
        <f t="shared" si="9"/>
        <v>-</v>
      </c>
      <c r="N85" s="29" t="str">
        <f t="shared" si="10"/>
        <v>-</v>
      </c>
      <c r="O85" s="30" t="str">
        <f t="shared" si="11"/>
        <v>-</v>
      </c>
      <c r="Q85" s="30" t="str">
        <f t="shared" si="6"/>
        <v>-</v>
      </c>
    </row>
    <row r="86" spans="1:17">
      <c r="A86" s="41">
        <v>10354</v>
      </c>
      <c r="B86" s="42">
        <v>810487036634</v>
      </c>
      <c r="C86" s="43" t="s">
        <v>176</v>
      </c>
      <c r="D86" s="44" t="s">
        <v>17</v>
      </c>
      <c r="E86" s="45">
        <v>0.22738207514458336</v>
      </c>
      <c r="F86" s="37" t="s">
        <v>451</v>
      </c>
      <c r="G86" s="46">
        <v>16.552900000000001</v>
      </c>
      <c r="H86" s="47"/>
      <c r="I86" s="48">
        <f t="shared" si="7"/>
        <v>0</v>
      </c>
      <c r="L86" s="28" t="str">
        <f t="shared" si="8"/>
        <v>-</v>
      </c>
      <c r="M86" s="28" t="str">
        <f t="shared" si="9"/>
        <v>-</v>
      </c>
      <c r="N86" s="29" t="str">
        <f t="shared" si="10"/>
        <v>-</v>
      </c>
      <c r="O86" s="30" t="str">
        <f t="shared" si="11"/>
        <v>-</v>
      </c>
      <c r="Q86" s="30" t="str">
        <f t="shared" si="6"/>
        <v>-</v>
      </c>
    </row>
    <row r="87" spans="1:17">
      <c r="A87" s="41">
        <v>10420</v>
      </c>
      <c r="B87" s="42">
        <v>810094212728</v>
      </c>
      <c r="C87" s="43" t="s">
        <v>177</v>
      </c>
      <c r="D87" s="44" t="s">
        <v>115</v>
      </c>
      <c r="E87" s="45">
        <v>0.15015797415208335</v>
      </c>
      <c r="F87" s="37" t="s">
        <v>451</v>
      </c>
      <c r="G87" s="46">
        <v>16.552900000000001</v>
      </c>
      <c r="H87" s="47"/>
      <c r="I87" s="48">
        <f t="shared" si="7"/>
        <v>0</v>
      </c>
      <c r="L87" s="28" t="str">
        <f t="shared" si="8"/>
        <v>-</v>
      </c>
      <c r="M87" s="28" t="str">
        <f t="shared" si="9"/>
        <v>-</v>
      </c>
      <c r="N87" s="29" t="str">
        <f t="shared" si="10"/>
        <v>-</v>
      </c>
      <c r="O87" s="30" t="str">
        <f t="shared" si="11"/>
        <v>-</v>
      </c>
      <c r="Q87" s="30" t="str">
        <f t="shared" si="6"/>
        <v>-</v>
      </c>
    </row>
    <row r="88" spans="1:17">
      <c r="A88" s="41">
        <v>40034</v>
      </c>
      <c r="B88" s="42">
        <v>813006017824</v>
      </c>
      <c r="C88" s="43" t="s">
        <v>179</v>
      </c>
      <c r="D88" s="44" t="s">
        <v>75</v>
      </c>
      <c r="E88" s="45">
        <v>0.54442991199712498</v>
      </c>
      <c r="F88" s="37" t="s">
        <v>451</v>
      </c>
      <c r="G88" s="46">
        <v>28.984150000000003</v>
      </c>
      <c r="H88" s="47"/>
      <c r="I88" s="48">
        <f t="shared" si="7"/>
        <v>0</v>
      </c>
      <c r="L88" s="28" t="str">
        <f t="shared" si="8"/>
        <v>-</v>
      </c>
      <c r="M88" s="28" t="str">
        <f t="shared" si="9"/>
        <v>-</v>
      </c>
      <c r="N88" s="29" t="str">
        <f t="shared" si="10"/>
        <v>-</v>
      </c>
      <c r="O88" s="30" t="str">
        <f t="shared" si="11"/>
        <v>-</v>
      </c>
      <c r="Q88" s="30" t="str">
        <f t="shared" si="6"/>
        <v>-</v>
      </c>
    </row>
    <row r="89" spans="1:17">
      <c r="A89" s="41">
        <v>10403</v>
      </c>
      <c r="B89" s="42">
        <v>810094211943</v>
      </c>
      <c r="C89" s="43" t="s">
        <v>180</v>
      </c>
      <c r="D89" s="44" t="s">
        <v>405</v>
      </c>
      <c r="E89" s="45">
        <v>0.42902278329166671</v>
      </c>
      <c r="F89" s="37" t="s">
        <v>451</v>
      </c>
      <c r="G89" s="46">
        <v>22.354150000000001</v>
      </c>
      <c r="H89" s="47"/>
      <c r="I89" s="48">
        <f t="shared" si="7"/>
        <v>0</v>
      </c>
      <c r="L89" s="28" t="str">
        <f t="shared" si="8"/>
        <v>-</v>
      </c>
      <c r="M89" s="28" t="str">
        <f t="shared" si="9"/>
        <v>-</v>
      </c>
      <c r="N89" s="29" t="str">
        <f t="shared" si="10"/>
        <v>-</v>
      </c>
      <c r="O89" s="30" t="str">
        <f t="shared" si="11"/>
        <v>-</v>
      </c>
      <c r="Q89" s="30" t="str">
        <f t="shared" si="6"/>
        <v>-</v>
      </c>
    </row>
    <row r="90" spans="1:17">
      <c r="A90" s="41">
        <v>10360</v>
      </c>
      <c r="B90" s="42">
        <v>810487038386</v>
      </c>
      <c r="C90" s="43" t="s">
        <v>18</v>
      </c>
      <c r="D90" s="44" t="s">
        <v>10</v>
      </c>
      <c r="E90" s="45">
        <v>0.21451139164583335</v>
      </c>
      <c r="F90" s="37" t="s">
        <v>451</v>
      </c>
      <c r="G90" s="46">
        <v>33.127900000000004</v>
      </c>
      <c r="H90" s="47"/>
      <c r="I90" s="48">
        <f t="shared" si="7"/>
        <v>0</v>
      </c>
      <c r="L90" s="28" t="str">
        <f t="shared" si="8"/>
        <v>-</v>
      </c>
      <c r="M90" s="28" t="str">
        <f t="shared" si="9"/>
        <v>-</v>
      </c>
      <c r="N90" s="29" t="str">
        <f t="shared" si="10"/>
        <v>-</v>
      </c>
      <c r="O90" s="30" t="str">
        <f t="shared" si="11"/>
        <v>-</v>
      </c>
      <c r="Q90" s="30" t="str">
        <f t="shared" si="6"/>
        <v>-</v>
      </c>
    </row>
    <row r="91" spans="1:17">
      <c r="A91" s="41">
        <v>10381</v>
      </c>
      <c r="B91" s="42">
        <v>810094210144</v>
      </c>
      <c r="C91" s="43" t="s">
        <v>95</v>
      </c>
      <c r="D91" s="44" t="s">
        <v>94</v>
      </c>
      <c r="E91" s="45">
        <v>0.52953669252000013</v>
      </c>
      <c r="F91" s="37" t="s">
        <v>451</v>
      </c>
      <c r="G91" s="46">
        <v>41.415399999999998</v>
      </c>
      <c r="H91" s="47"/>
      <c r="I91" s="48">
        <f t="shared" si="7"/>
        <v>0</v>
      </c>
      <c r="L91" s="28" t="str">
        <f t="shared" si="8"/>
        <v>-</v>
      </c>
      <c r="M91" s="28" t="str">
        <f t="shared" si="9"/>
        <v>-</v>
      </c>
      <c r="N91" s="29" t="str">
        <f t="shared" si="10"/>
        <v>-</v>
      </c>
      <c r="O91" s="30" t="str">
        <f t="shared" si="11"/>
        <v>-</v>
      </c>
      <c r="Q91" s="30" t="str">
        <f t="shared" si="6"/>
        <v>-</v>
      </c>
    </row>
    <row r="92" spans="1:17">
      <c r="A92" s="41">
        <v>10382</v>
      </c>
      <c r="B92" s="42">
        <v>810094210168</v>
      </c>
      <c r="C92" s="43" t="s">
        <v>93</v>
      </c>
      <c r="D92" s="44" t="s">
        <v>92</v>
      </c>
      <c r="E92" s="45">
        <v>0.40450719567500004</v>
      </c>
      <c r="F92" s="37" t="s">
        <v>451</v>
      </c>
      <c r="G92" s="46">
        <v>41.415399999999998</v>
      </c>
      <c r="H92" s="47"/>
      <c r="I92" s="48">
        <f t="shared" si="7"/>
        <v>0</v>
      </c>
      <c r="L92" s="28" t="str">
        <f t="shared" si="8"/>
        <v>-</v>
      </c>
      <c r="M92" s="28" t="str">
        <f t="shared" si="9"/>
        <v>-</v>
      </c>
      <c r="N92" s="29" t="str">
        <f t="shared" si="10"/>
        <v>-</v>
      </c>
      <c r="O92" s="30" t="str">
        <f t="shared" si="11"/>
        <v>-</v>
      </c>
      <c r="Q92" s="30" t="str">
        <f t="shared" si="6"/>
        <v>-</v>
      </c>
    </row>
    <row r="93" spans="1:17">
      <c r="A93" s="41">
        <v>10323</v>
      </c>
      <c r="B93" s="42">
        <v>810487033596</v>
      </c>
      <c r="C93" s="43" t="s">
        <v>402</v>
      </c>
      <c r="D93" s="44" t="s">
        <v>7</v>
      </c>
      <c r="E93" s="45">
        <v>0.14586774631916669</v>
      </c>
      <c r="F93" s="37" t="s">
        <v>451</v>
      </c>
      <c r="G93" s="46">
        <v>24.840400000000002</v>
      </c>
      <c r="H93" s="47"/>
      <c r="I93" s="48">
        <f t="shared" si="7"/>
        <v>0</v>
      </c>
      <c r="L93" s="28" t="str">
        <f t="shared" si="8"/>
        <v>-</v>
      </c>
      <c r="M93" s="28" t="str">
        <f t="shared" si="9"/>
        <v>-</v>
      </c>
      <c r="N93" s="29" t="str">
        <f t="shared" si="10"/>
        <v>-</v>
      </c>
      <c r="O93" s="30" t="str">
        <f t="shared" si="11"/>
        <v>-</v>
      </c>
      <c r="Q93" s="30" t="str">
        <f t="shared" si="6"/>
        <v>-</v>
      </c>
    </row>
    <row r="94" spans="1:17">
      <c r="A94" s="41">
        <v>10065</v>
      </c>
      <c r="B94" s="42">
        <v>813006013185</v>
      </c>
      <c r="C94" s="43" t="s">
        <v>181</v>
      </c>
      <c r="D94" s="44" t="s">
        <v>7</v>
      </c>
      <c r="E94" s="45">
        <v>0.14157751848625</v>
      </c>
      <c r="F94" s="37" t="s">
        <v>451</v>
      </c>
      <c r="G94" s="46">
        <v>24.840400000000002</v>
      </c>
      <c r="H94" s="47"/>
      <c r="I94" s="48">
        <f t="shared" si="7"/>
        <v>0</v>
      </c>
      <c r="L94" s="28" t="str">
        <f t="shared" si="8"/>
        <v>-</v>
      </c>
      <c r="M94" s="28" t="str">
        <f t="shared" si="9"/>
        <v>-</v>
      </c>
      <c r="N94" s="29" t="str">
        <f t="shared" si="10"/>
        <v>-</v>
      </c>
      <c r="O94" s="30" t="str">
        <f t="shared" si="11"/>
        <v>-</v>
      </c>
      <c r="Q94" s="30" t="str">
        <f t="shared" si="6"/>
        <v>-</v>
      </c>
    </row>
    <row r="95" spans="1:17">
      <c r="A95" s="41">
        <v>10066</v>
      </c>
      <c r="B95" s="42">
        <v>813006013178</v>
      </c>
      <c r="C95" s="43" t="s">
        <v>20</v>
      </c>
      <c r="D95" s="44" t="s">
        <v>8</v>
      </c>
      <c r="E95" s="45">
        <v>0.27457458130666668</v>
      </c>
      <c r="F95" s="37" t="s">
        <v>451</v>
      </c>
      <c r="G95" s="46">
        <v>62.134149999999998</v>
      </c>
      <c r="H95" s="47"/>
      <c r="I95" s="48">
        <f t="shared" si="7"/>
        <v>0</v>
      </c>
      <c r="L95" s="28" t="str">
        <f t="shared" si="8"/>
        <v>-</v>
      </c>
      <c r="M95" s="28" t="str">
        <f t="shared" si="9"/>
        <v>-</v>
      </c>
      <c r="N95" s="29" t="str">
        <f t="shared" si="10"/>
        <v>-</v>
      </c>
      <c r="O95" s="30" t="str">
        <f t="shared" si="11"/>
        <v>-</v>
      </c>
      <c r="Q95" s="30" t="str">
        <f t="shared" si="6"/>
        <v>-</v>
      </c>
    </row>
    <row r="96" spans="1:17">
      <c r="A96" s="41">
        <v>10231</v>
      </c>
      <c r="B96" s="42">
        <v>813006019125</v>
      </c>
      <c r="C96" s="43" t="s">
        <v>182</v>
      </c>
      <c r="D96" s="44" t="s">
        <v>7</v>
      </c>
      <c r="E96" s="45">
        <v>0.14586774631916669</v>
      </c>
      <c r="F96" s="37" t="s">
        <v>451</v>
      </c>
      <c r="G96" s="46">
        <v>27.326649999999997</v>
      </c>
      <c r="H96" s="47"/>
      <c r="I96" s="48">
        <f t="shared" si="7"/>
        <v>0</v>
      </c>
      <c r="L96" s="28" t="str">
        <f t="shared" si="8"/>
        <v>-</v>
      </c>
      <c r="M96" s="28" t="str">
        <f t="shared" si="9"/>
        <v>-</v>
      </c>
      <c r="N96" s="29" t="str">
        <f t="shared" si="10"/>
        <v>-</v>
      </c>
      <c r="O96" s="30" t="str">
        <f t="shared" si="11"/>
        <v>-</v>
      </c>
      <c r="Q96" s="30" t="str">
        <f t="shared" si="6"/>
        <v>-</v>
      </c>
    </row>
    <row r="97" spans="1:17">
      <c r="A97" s="41">
        <v>10232</v>
      </c>
      <c r="B97" s="42">
        <v>813006019132</v>
      </c>
      <c r="C97" s="43" t="s">
        <v>21</v>
      </c>
      <c r="D97" s="44" t="s">
        <v>8</v>
      </c>
      <c r="E97" s="45">
        <v>0.2831550369725</v>
      </c>
      <c r="F97" s="37" t="s">
        <v>451</v>
      </c>
      <c r="G97" s="46">
        <v>72.079150000000013</v>
      </c>
      <c r="H97" s="47"/>
      <c r="I97" s="48">
        <f t="shared" si="7"/>
        <v>0</v>
      </c>
      <c r="L97" s="28" t="str">
        <f t="shared" si="8"/>
        <v>-</v>
      </c>
      <c r="M97" s="28" t="str">
        <f t="shared" si="9"/>
        <v>-</v>
      </c>
      <c r="N97" s="29" t="str">
        <f t="shared" si="10"/>
        <v>-</v>
      </c>
      <c r="O97" s="30" t="str">
        <f t="shared" si="11"/>
        <v>-</v>
      </c>
      <c r="Q97" s="30" t="str">
        <f t="shared" si="6"/>
        <v>-</v>
      </c>
    </row>
    <row r="98" spans="1:17">
      <c r="A98" s="41">
        <v>10454</v>
      </c>
      <c r="B98" s="42">
        <v>810094214098</v>
      </c>
      <c r="C98" s="43" t="s">
        <v>183</v>
      </c>
      <c r="D98" s="44" t="s">
        <v>130</v>
      </c>
      <c r="E98" s="45">
        <v>0.34965356838270839</v>
      </c>
      <c r="F98" s="37" t="s">
        <v>451</v>
      </c>
      <c r="G98" s="46">
        <v>16.552900000000001</v>
      </c>
      <c r="H98" s="47"/>
      <c r="I98" s="48">
        <f t="shared" si="7"/>
        <v>0</v>
      </c>
      <c r="L98" s="28" t="str">
        <f t="shared" si="8"/>
        <v>-</v>
      </c>
      <c r="M98" s="28" t="str">
        <f t="shared" si="9"/>
        <v>-</v>
      </c>
      <c r="N98" s="29" t="str">
        <f t="shared" si="10"/>
        <v>-</v>
      </c>
      <c r="O98" s="30" t="str">
        <f t="shared" si="11"/>
        <v>-</v>
      </c>
      <c r="Q98" s="30" t="str">
        <f t="shared" si="6"/>
        <v>-</v>
      </c>
    </row>
    <row r="99" spans="1:17">
      <c r="A99" s="41">
        <v>70010</v>
      </c>
      <c r="B99" s="42">
        <v>810094214081</v>
      </c>
      <c r="C99" s="43" t="s">
        <v>184</v>
      </c>
      <c r="D99" s="44" t="s">
        <v>130</v>
      </c>
      <c r="E99" s="45">
        <v>0.34965356838270839</v>
      </c>
      <c r="F99" s="37" t="s">
        <v>451</v>
      </c>
      <c r="G99" s="46">
        <v>12.40915</v>
      </c>
      <c r="H99" s="47"/>
      <c r="I99" s="48">
        <f t="shared" si="7"/>
        <v>0</v>
      </c>
      <c r="L99" s="28" t="str">
        <f t="shared" si="8"/>
        <v>-</v>
      </c>
      <c r="M99" s="28" t="str">
        <f t="shared" si="9"/>
        <v>-</v>
      </c>
      <c r="N99" s="29" t="str">
        <f t="shared" si="10"/>
        <v>-</v>
      </c>
      <c r="O99" s="30" t="str">
        <f t="shared" si="11"/>
        <v>-</v>
      </c>
      <c r="Q99" s="30" t="str">
        <f t="shared" si="6"/>
        <v>-</v>
      </c>
    </row>
    <row r="100" spans="1:17">
      <c r="A100" s="41">
        <v>10165</v>
      </c>
      <c r="B100" s="42">
        <v>813006017145</v>
      </c>
      <c r="C100" s="43" t="s">
        <v>22</v>
      </c>
      <c r="D100" s="44" t="s">
        <v>23</v>
      </c>
      <c r="E100" s="45">
        <v>0.13797372710659997</v>
      </c>
      <c r="F100" s="37" t="s">
        <v>451</v>
      </c>
      <c r="G100" s="46">
        <v>34.785400000000003</v>
      </c>
      <c r="H100" s="47"/>
      <c r="I100" s="48">
        <f t="shared" si="7"/>
        <v>0</v>
      </c>
      <c r="L100" s="28" t="str">
        <f t="shared" si="8"/>
        <v>-</v>
      </c>
      <c r="M100" s="28" t="str">
        <f t="shared" si="9"/>
        <v>-</v>
      </c>
      <c r="N100" s="29" t="str">
        <f t="shared" si="10"/>
        <v>-</v>
      </c>
      <c r="O100" s="30" t="str">
        <f t="shared" si="11"/>
        <v>-</v>
      </c>
      <c r="Q100" s="30" t="str">
        <f t="shared" si="6"/>
        <v>-</v>
      </c>
    </row>
    <row r="101" spans="1:17">
      <c r="A101" s="41">
        <v>70007</v>
      </c>
      <c r="B101" s="42">
        <v>813006011983</v>
      </c>
      <c r="C101" s="43" t="s">
        <v>24</v>
      </c>
      <c r="D101" s="44" t="s">
        <v>23</v>
      </c>
      <c r="E101" s="45">
        <v>0.13728729065333334</v>
      </c>
      <c r="F101" s="37" t="s">
        <v>451</v>
      </c>
      <c r="G101" s="46">
        <v>24.840400000000002</v>
      </c>
      <c r="H101" s="47"/>
      <c r="I101" s="48">
        <f t="shared" si="7"/>
        <v>0</v>
      </c>
      <c r="L101" s="28" t="str">
        <f t="shared" si="8"/>
        <v>-</v>
      </c>
      <c r="M101" s="28" t="str">
        <f t="shared" si="9"/>
        <v>-</v>
      </c>
      <c r="N101" s="29" t="str">
        <f t="shared" si="10"/>
        <v>-</v>
      </c>
      <c r="O101" s="30" t="str">
        <f t="shared" si="11"/>
        <v>-</v>
      </c>
      <c r="Q101" s="30" t="str">
        <f t="shared" si="6"/>
        <v>-</v>
      </c>
    </row>
    <row r="102" spans="1:17">
      <c r="A102" s="41">
        <v>10230</v>
      </c>
      <c r="B102" s="42">
        <v>813006018852</v>
      </c>
      <c r="C102" s="43" t="s">
        <v>185</v>
      </c>
      <c r="D102" s="44" t="s">
        <v>7</v>
      </c>
      <c r="E102" s="45">
        <v>0.13728729065333334</v>
      </c>
      <c r="F102" s="37" t="s">
        <v>451</v>
      </c>
      <c r="G102" s="46">
        <v>24.840400000000002</v>
      </c>
      <c r="H102" s="47"/>
      <c r="I102" s="48">
        <f t="shared" si="7"/>
        <v>0</v>
      </c>
      <c r="L102" s="28" t="str">
        <f t="shared" si="8"/>
        <v>-</v>
      </c>
      <c r="M102" s="28" t="str">
        <f t="shared" si="9"/>
        <v>-</v>
      </c>
      <c r="N102" s="29" t="str">
        <f t="shared" si="10"/>
        <v>-</v>
      </c>
      <c r="O102" s="30" t="str">
        <f t="shared" si="11"/>
        <v>-</v>
      </c>
      <c r="Q102" s="30" t="str">
        <f t="shared" si="6"/>
        <v>-</v>
      </c>
    </row>
    <row r="103" spans="1:17">
      <c r="A103" s="41">
        <v>10258</v>
      </c>
      <c r="B103" s="42">
        <v>810487031516</v>
      </c>
      <c r="C103" s="43" t="s">
        <v>186</v>
      </c>
      <c r="D103" s="44" t="s">
        <v>8</v>
      </c>
      <c r="E103" s="45">
        <v>0.21451139164583335</v>
      </c>
      <c r="F103" s="37" t="s">
        <v>451</v>
      </c>
      <c r="G103" s="46">
        <v>60.476649999999999</v>
      </c>
      <c r="H103" s="47"/>
      <c r="I103" s="48">
        <f t="shared" si="7"/>
        <v>0</v>
      </c>
      <c r="L103" s="28" t="str">
        <f t="shared" si="8"/>
        <v>-</v>
      </c>
      <c r="M103" s="28" t="str">
        <f t="shared" si="9"/>
        <v>-</v>
      </c>
      <c r="N103" s="29" t="str">
        <f t="shared" si="10"/>
        <v>-</v>
      </c>
      <c r="O103" s="30" t="str">
        <f t="shared" si="11"/>
        <v>-</v>
      </c>
      <c r="Q103" s="30" t="str">
        <f t="shared" si="6"/>
        <v>-</v>
      </c>
    </row>
    <row r="104" spans="1:17">
      <c r="A104" s="41">
        <v>10434</v>
      </c>
      <c r="B104" s="42">
        <v>810094213398</v>
      </c>
      <c r="C104" s="43" t="s">
        <v>118</v>
      </c>
      <c r="D104" s="44" t="s">
        <v>103</v>
      </c>
      <c r="E104" s="45">
        <v>0.15444820198499998</v>
      </c>
      <c r="F104" s="37" t="s">
        <v>451</v>
      </c>
      <c r="G104" s="46">
        <v>16.552900000000001</v>
      </c>
      <c r="H104" s="47"/>
      <c r="I104" s="48">
        <f t="shared" si="7"/>
        <v>0</v>
      </c>
      <c r="L104" s="28" t="str">
        <f t="shared" si="8"/>
        <v>-</v>
      </c>
      <c r="M104" s="28" t="str">
        <f t="shared" si="9"/>
        <v>-</v>
      </c>
      <c r="N104" s="29" t="str">
        <f t="shared" si="10"/>
        <v>-</v>
      </c>
      <c r="O104" s="30" t="str">
        <f t="shared" si="11"/>
        <v>-</v>
      </c>
      <c r="Q104" s="30" t="str">
        <f t="shared" si="6"/>
        <v>-</v>
      </c>
    </row>
    <row r="105" spans="1:17">
      <c r="A105" s="41">
        <v>10016</v>
      </c>
      <c r="B105" s="42">
        <v>813006014984</v>
      </c>
      <c r="C105" s="43" t="s">
        <v>187</v>
      </c>
      <c r="D105" s="44" t="s">
        <v>7</v>
      </c>
      <c r="E105" s="45">
        <v>0.34321822663333329</v>
      </c>
      <c r="F105" s="37" t="s">
        <v>451</v>
      </c>
      <c r="G105" s="46">
        <v>14.066650000000001</v>
      </c>
      <c r="H105" s="47"/>
      <c r="I105" s="48">
        <f t="shared" si="7"/>
        <v>0</v>
      </c>
      <c r="L105" s="28" t="str">
        <f t="shared" si="8"/>
        <v>-</v>
      </c>
      <c r="M105" s="28" t="str">
        <f t="shared" si="9"/>
        <v>-</v>
      </c>
      <c r="N105" s="29" t="str">
        <f t="shared" si="10"/>
        <v>-</v>
      </c>
      <c r="O105" s="30" t="str">
        <f t="shared" si="11"/>
        <v>-</v>
      </c>
      <c r="Q105" s="30" t="str">
        <f t="shared" si="6"/>
        <v>-</v>
      </c>
    </row>
    <row r="106" spans="1:17">
      <c r="A106" s="41">
        <v>10437</v>
      </c>
      <c r="B106" s="42">
        <v>810094213671</v>
      </c>
      <c r="C106" s="43" t="s">
        <v>188</v>
      </c>
      <c r="D106" s="44" t="s">
        <v>7</v>
      </c>
      <c r="E106" s="45">
        <v>0.14565323492752083</v>
      </c>
      <c r="F106" s="37" t="s">
        <v>451</v>
      </c>
      <c r="G106" s="46">
        <v>24.840400000000002</v>
      </c>
      <c r="H106" s="47"/>
      <c r="I106" s="48">
        <f t="shared" si="7"/>
        <v>0</v>
      </c>
      <c r="L106" s="28" t="str">
        <f t="shared" si="8"/>
        <v>-</v>
      </c>
      <c r="M106" s="28" t="str">
        <f t="shared" si="9"/>
        <v>-</v>
      </c>
      <c r="N106" s="29" t="str">
        <f t="shared" si="10"/>
        <v>-</v>
      </c>
      <c r="O106" s="30" t="str">
        <f t="shared" si="11"/>
        <v>-</v>
      </c>
      <c r="Q106" s="30" t="str">
        <f t="shared" si="6"/>
        <v>-</v>
      </c>
    </row>
    <row r="107" spans="1:17">
      <c r="A107" s="41">
        <v>10083</v>
      </c>
      <c r="B107" s="42">
        <v>813006015394</v>
      </c>
      <c r="C107" s="43" t="s">
        <v>189</v>
      </c>
      <c r="D107" s="44" t="s">
        <v>7</v>
      </c>
      <c r="E107" s="45">
        <v>0.14801286023562502</v>
      </c>
      <c r="F107" s="37" t="s">
        <v>451</v>
      </c>
      <c r="G107" s="46">
        <v>24.840400000000002</v>
      </c>
      <c r="H107" s="47"/>
      <c r="I107" s="48">
        <f t="shared" si="7"/>
        <v>0</v>
      </c>
      <c r="L107" s="28" t="str">
        <f t="shared" si="8"/>
        <v>-</v>
      </c>
      <c r="M107" s="28" t="str">
        <f t="shared" si="9"/>
        <v>-</v>
      </c>
      <c r="N107" s="29" t="str">
        <f t="shared" si="10"/>
        <v>-</v>
      </c>
      <c r="O107" s="30" t="str">
        <f t="shared" si="11"/>
        <v>-</v>
      </c>
      <c r="Q107" s="30" t="str">
        <f t="shared" si="6"/>
        <v>-</v>
      </c>
    </row>
    <row r="108" spans="1:17">
      <c r="A108" s="41">
        <v>10139</v>
      </c>
      <c r="B108" s="42">
        <v>813006016810</v>
      </c>
      <c r="C108" s="43" t="s">
        <v>190</v>
      </c>
      <c r="D108" s="44" t="s">
        <v>8</v>
      </c>
      <c r="E108" s="45">
        <v>0.28165345723097918</v>
      </c>
      <c r="F108" s="37" t="s">
        <v>451</v>
      </c>
      <c r="G108" s="46">
        <v>60.476649999999999</v>
      </c>
      <c r="H108" s="47"/>
      <c r="I108" s="48">
        <f t="shared" si="7"/>
        <v>0</v>
      </c>
      <c r="L108" s="28" t="str">
        <f t="shared" si="8"/>
        <v>-</v>
      </c>
      <c r="M108" s="28" t="str">
        <f t="shared" si="9"/>
        <v>-</v>
      </c>
      <c r="N108" s="29" t="str">
        <f t="shared" si="10"/>
        <v>-</v>
      </c>
      <c r="O108" s="30" t="str">
        <f t="shared" si="11"/>
        <v>-</v>
      </c>
      <c r="Q108" s="30" t="str">
        <f t="shared" si="6"/>
        <v>-</v>
      </c>
    </row>
    <row r="109" spans="1:17">
      <c r="A109" s="41">
        <v>10310</v>
      </c>
      <c r="B109" s="42">
        <v>810487033527</v>
      </c>
      <c r="C109" s="43" t="s">
        <v>191</v>
      </c>
      <c r="D109" s="44" t="s">
        <v>17</v>
      </c>
      <c r="E109" s="45">
        <v>0.34321822663333329</v>
      </c>
      <c r="F109" s="37" t="s">
        <v>451</v>
      </c>
      <c r="G109" s="46">
        <v>24.840400000000002</v>
      </c>
      <c r="H109" s="47"/>
      <c r="I109" s="48">
        <f t="shared" si="7"/>
        <v>0</v>
      </c>
      <c r="L109" s="28" t="str">
        <f t="shared" si="8"/>
        <v>-</v>
      </c>
      <c r="M109" s="28" t="str">
        <f t="shared" si="9"/>
        <v>-</v>
      </c>
      <c r="N109" s="29" t="str">
        <f t="shared" si="10"/>
        <v>-</v>
      </c>
      <c r="O109" s="30" t="str">
        <f t="shared" si="11"/>
        <v>-</v>
      </c>
      <c r="Q109" s="30" t="str">
        <f t="shared" si="6"/>
        <v>-</v>
      </c>
    </row>
    <row r="110" spans="1:17">
      <c r="A110" s="41">
        <v>10311</v>
      </c>
      <c r="B110" s="42">
        <v>810487033558</v>
      </c>
      <c r="C110" s="43" t="s">
        <v>192</v>
      </c>
      <c r="D110" s="44" t="s">
        <v>10</v>
      </c>
      <c r="E110" s="45">
        <v>0.34321822663333329</v>
      </c>
      <c r="F110" s="37" t="s">
        <v>451</v>
      </c>
      <c r="G110" s="46">
        <v>60.476649999999999</v>
      </c>
      <c r="H110" s="47"/>
      <c r="I110" s="48">
        <f t="shared" si="7"/>
        <v>0</v>
      </c>
      <c r="L110" s="28" t="str">
        <f t="shared" si="8"/>
        <v>-</v>
      </c>
      <c r="M110" s="28" t="str">
        <f t="shared" si="9"/>
        <v>-</v>
      </c>
      <c r="N110" s="29" t="str">
        <f t="shared" si="10"/>
        <v>-</v>
      </c>
      <c r="O110" s="30" t="str">
        <f t="shared" si="11"/>
        <v>-</v>
      </c>
      <c r="Q110" s="30" t="str">
        <f t="shared" si="6"/>
        <v>-</v>
      </c>
    </row>
    <row r="111" spans="1:17">
      <c r="A111" s="41">
        <v>10035</v>
      </c>
      <c r="B111" s="42">
        <v>813006010238</v>
      </c>
      <c r="C111" s="43" t="s">
        <v>194</v>
      </c>
      <c r="D111" s="44" t="s">
        <v>7</v>
      </c>
      <c r="E111" s="45">
        <v>0.14586774631916669</v>
      </c>
      <c r="F111" s="37" t="s">
        <v>451</v>
      </c>
      <c r="G111" s="46">
        <v>12.40915</v>
      </c>
      <c r="H111" s="47"/>
      <c r="I111" s="48">
        <f t="shared" si="7"/>
        <v>0</v>
      </c>
      <c r="L111" s="28" t="str">
        <f t="shared" si="8"/>
        <v>-</v>
      </c>
      <c r="M111" s="28" t="str">
        <f t="shared" si="9"/>
        <v>-</v>
      </c>
      <c r="N111" s="29" t="str">
        <f t="shared" si="10"/>
        <v>-</v>
      </c>
      <c r="O111" s="30" t="str">
        <f t="shared" si="11"/>
        <v>-</v>
      </c>
      <c r="Q111" s="30" t="str">
        <f t="shared" si="6"/>
        <v>-</v>
      </c>
    </row>
    <row r="112" spans="1:17">
      <c r="A112" s="41">
        <v>10332</v>
      </c>
      <c r="B112" s="42">
        <v>810487034166</v>
      </c>
      <c r="C112" s="43" t="s">
        <v>196</v>
      </c>
      <c r="D112" s="44" t="s">
        <v>5</v>
      </c>
      <c r="E112" s="45">
        <v>0.21665650556229168</v>
      </c>
      <c r="F112" s="37" t="s">
        <v>451</v>
      </c>
      <c r="G112" s="46">
        <v>12.40915</v>
      </c>
      <c r="H112" s="47"/>
      <c r="I112" s="48">
        <f t="shared" si="7"/>
        <v>0</v>
      </c>
      <c r="L112" s="28" t="str">
        <f t="shared" si="8"/>
        <v>-</v>
      </c>
      <c r="M112" s="28" t="str">
        <f t="shared" si="9"/>
        <v>-</v>
      </c>
      <c r="N112" s="29" t="str">
        <f t="shared" si="10"/>
        <v>-</v>
      </c>
      <c r="O112" s="30" t="str">
        <f t="shared" si="11"/>
        <v>-</v>
      </c>
      <c r="Q112" s="30" t="str">
        <f t="shared" si="6"/>
        <v>-</v>
      </c>
    </row>
    <row r="113" spans="1:17">
      <c r="A113" s="41">
        <v>10276</v>
      </c>
      <c r="B113" s="42">
        <v>810487032254</v>
      </c>
      <c r="C113" s="43" t="s">
        <v>197</v>
      </c>
      <c r="D113" s="44" t="s">
        <v>5</v>
      </c>
      <c r="E113" s="45">
        <v>0.21043567520456252</v>
      </c>
      <c r="F113" s="37" t="s">
        <v>451</v>
      </c>
      <c r="G113" s="46">
        <v>16.552900000000001</v>
      </c>
      <c r="H113" s="47"/>
      <c r="I113" s="48">
        <f t="shared" si="7"/>
        <v>0</v>
      </c>
      <c r="L113" s="28" t="str">
        <f t="shared" si="8"/>
        <v>-</v>
      </c>
      <c r="M113" s="28" t="str">
        <f t="shared" si="9"/>
        <v>-</v>
      </c>
      <c r="N113" s="29" t="str">
        <f t="shared" si="10"/>
        <v>-</v>
      </c>
      <c r="O113" s="30" t="str">
        <f t="shared" si="11"/>
        <v>-</v>
      </c>
      <c r="Q113" s="30" t="str">
        <f t="shared" si="6"/>
        <v>-</v>
      </c>
    </row>
    <row r="114" spans="1:17">
      <c r="A114" s="41">
        <v>10409</v>
      </c>
      <c r="B114" s="42">
        <v>810094212148</v>
      </c>
      <c r="C114" s="43" t="s">
        <v>25</v>
      </c>
      <c r="D114" s="44" t="s">
        <v>7</v>
      </c>
      <c r="E114" s="45">
        <v>0.12870683498750002</v>
      </c>
      <c r="F114" s="37" t="s">
        <v>451</v>
      </c>
      <c r="G114" s="46">
        <v>12.40915</v>
      </c>
      <c r="H114" s="47"/>
      <c r="I114" s="48">
        <f t="shared" si="7"/>
        <v>0</v>
      </c>
      <c r="L114" s="28" t="str">
        <f t="shared" si="8"/>
        <v>-</v>
      </c>
      <c r="M114" s="28" t="str">
        <f t="shared" si="9"/>
        <v>-</v>
      </c>
      <c r="N114" s="29" t="str">
        <f t="shared" si="10"/>
        <v>-</v>
      </c>
      <c r="O114" s="30" t="str">
        <f t="shared" si="11"/>
        <v>-</v>
      </c>
      <c r="Q114" s="30" t="str">
        <f t="shared" si="6"/>
        <v>-</v>
      </c>
    </row>
    <row r="115" spans="1:17">
      <c r="A115" s="41">
        <v>10299</v>
      </c>
      <c r="B115" s="42">
        <v>810487032957</v>
      </c>
      <c r="C115" s="43" t="s">
        <v>26</v>
      </c>
      <c r="D115" s="44" t="s">
        <v>8</v>
      </c>
      <c r="E115" s="45">
        <v>0.28058090027275007</v>
      </c>
      <c r="F115" s="37" t="s">
        <v>451</v>
      </c>
      <c r="G115" s="46">
        <v>49.713950000000004</v>
      </c>
      <c r="H115" s="47"/>
      <c r="I115" s="48">
        <f t="shared" si="7"/>
        <v>0</v>
      </c>
      <c r="L115" s="28" t="str">
        <f t="shared" si="8"/>
        <v>-</v>
      </c>
      <c r="M115" s="28" t="str">
        <f t="shared" si="9"/>
        <v>-</v>
      </c>
      <c r="N115" s="29" t="str">
        <f t="shared" si="10"/>
        <v>-</v>
      </c>
      <c r="O115" s="30" t="str">
        <f t="shared" si="11"/>
        <v>-</v>
      </c>
      <c r="Q115" s="30" t="str">
        <f t="shared" si="6"/>
        <v>-</v>
      </c>
    </row>
    <row r="116" spans="1:17">
      <c r="A116" s="41">
        <v>10305</v>
      </c>
      <c r="B116" s="42">
        <v>810487033268</v>
      </c>
      <c r="C116" s="43" t="s">
        <v>199</v>
      </c>
      <c r="D116" s="44" t="s">
        <v>5</v>
      </c>
      <c r="E116" s="45">
        <v>0.24025275864333334</v>
      </c>
      <c r="F116" s="37" t="s">
        <v>451</v>
      </c>
      <c r="G116" s="46">
        <v>14.8954</v>
      </c>
      <c r="H116" s="47"/>
      <c r="I116" s="48">
        <f t="shared" si="7"/>
        <v>0</v>
      </c>
      <c r="L116" s="28" t="str">
        <f t="shared" si="8"/>
        <v>-</v>
      </c>
      <c r="M116" s="28" t="str">
        <f t="shared" si="9"/>
        <v>-</v>
      </c>
      <c r="N116" s="29" t="str">
        <f t="shared" si="10"/>
        <v>-</v>
      </c>
      <c r="O116" s="30" t="str">
        <f t="shared" si="11"/>
        <v>-</v>
      </c>
      <c r="Q116" s="30" t="str">
        <f t="shared" si="6"/>
        <v>-</v>
      </c>
    </row>
    <row r="117" spans="1:17">
      <c r="A117" s="41">
        <v>10221</v>
      </c>
      <c r="B117" s="42">
        <v>813006018401</v>
      </c>
      <c r="C117" s="43" t="s">
        <v>200</v>
      </c>
      <c r="D117" s="44" t="s">
        <v>74</v>
      </c>
      <c r="E117" s="45">
        <v>0.19735048031416669</v>
      </c>
      <c r="F117" s="37" t="s">
        <v>451</v>
      </c>
      <c r="G117" s="46">
        <v>16.552900000000001</v>
      </c>
      <c r="H117" s="47"/>
      <c r="I117" s="48">
        <f t="shared" si="7"/>
        <v>0</v>
      </c>
      <c r="L117" s="28" t="str">
        <f t="shared" si="8"/>
        <v>-</v>
      </c>
      <c r="M117" s="28" t="str">
        <f t="shared" si="9"/>
        <v>-</v>
      </c>
      <c r="N117" s="29" t="str">
        <f t="shared" si="10"/>
        <v>-</v>
      </c>
      <c r="O117" s="30" t="str">
        <f t="shared" si="11"/>
        <v>-</v>
      </c>
      <c r="Q117" s="30" t="str">
        <f t="shared" si="6"/>
        <v>-</v>
      </c>
    </row>
    <row r="118" spans="1:17">
      <c r="A118" s="41">
        <v>10407</v>
      </c>
      <c r="B118" s="42">
        <v>810094212193</v>
      </c>
      <c r="C118" s="43" t="s">
        <v>201</v>
      </c>
      <c r="D118" s="44" t="s">
        <v>6</v>
      </c>
      <c r="E118" s="45">
        <v>0.41743916814279175</v>
      </c>
      <c r="F118" s="37" t="s">
        <v>451</v>
      </c>
      <c r="G118" s="46">
        <v>33.127900000000004</v>
      </c>
      <c r="H118" s="47"/>
      <c r="I118" s="48">
        <f t="shared" si="7"/>
        <v>0</v>
      </c>
      <c r="L118" s="28" t="str">
        <f t="shared" si="8"/>
        <v>-</v>
      </c>
      <c r="M118" s="28" t="str">
        <f t="shared" si="9"/>
        <v>-</v>
      </c>
      <c r="N118" s="29" t="str">
        <f t="shared" si="10"/>
        <v>-</v>
      </c>
      <c r="O118" s="30" t="str">
        <f t="shared" si="11"/>
        <v>-</v>
      </c>
      <c r="Q118" s="30" t="str">
        <f t="shared" si="6"/>
        <v>-</v>
      </c>
    </row>
    <row r="119" spans="1:17">
      <c r="A119" s="41">
        <v>10259</v>
      </c>
      <c r="B119" s="42">
        <v>810487032056</v>
      </c>
      <c r="C119" s="43" t="s">
        <v>202</v>
      </c>
      <c r="D119" s="44" t="s">
        <v>77</v>
      </c>
      <c r="E119" s="45">
        <v>0.33349371021205559</v>
      </c>
      <c r="F119" s="37" t="s">
        <v>451</v>
      </c>
      <c r="G119" s="46">
        <v>33.127900000000004</v>
      </c>
      <c r="H119" s="47"/>
      <c r="I119" s="48">
        <f t="shared" si="7"/>
        <v>0</v>
      </c>
      <c r="L119" s="28" t="str">
        <f t="shared" si="8"/>
        <v>-</v>
      </c>
      <c r="M119" s="28" t="str">
        <f t="shared" si="9"/>
        <v>-</v>
      </c>
      <c r="N119" s="29" t="str">
        <f t="shared" si="10"/>
        <v>-</v>
      </c>
      <c r="O119" s="30" t="str">
        <f t="shared" si="11"/>
        <v>-</v>
      </c>
      <c r="Q119" s="30" t="str">
        <f t="shared" si="6"/>
        <v>-</v>
      </c>
    </row>
    <row r="120" spans="1:17">
      <c r="A120" s="41">
        <v>10408</v>
      </c>
      <c r="B120" s="42">
        <v>810094212216</v>
      </c>
      <c r="C120" s="43" t="s">
        <v>203</v>
      </c>
      <c r="D120" s="44" t="s">
        <v>6</v>
      </c>
      <c r="E120" s="45">
        <v>0.41271991752658332</v>
      </c>
      <c r="F120" s="37" t="s">
        <v>451</v>
      </c>
      <c r="G120" s="46">
        <v>33.127900000000004</v>
      </c>
      <c r="H120" s="47"/>
      <c r="I120" s="48">
        <f t="shared" si="7"/>
        <v>0</v>
      </c>
      <c r="L120" s="28" t="str">
        <f t="shared" si="8"/>
        <v>-</v>
      </c>
      <c r="M120" s="28" t="str">
        <f t="shared" si="9"/>
        <v>-</v>
      </c>
      <c r="N120" s="29" t="str">
        <f t="shared" si="10"/>
        <v>-</v>
      </c>
      <c r="O120" s="30" t="str">
        <f t="shared" si="11"/>
        <v>-</v>
      </c>
      <c r="Q120" s="30" t="str">
        <f t="shared" si="6"/>
        <v>-</v>
      </c>
    </row>
    <row r="121" spans="1:17">
      <c r="A121" s="41">
        <v>10264</v>
      </c>
      <c r="B121" s="42">
        <v>810487032049</v>
      </c>
      <c r="C121" s="43" t="s">
        <v>204</v>
      </c>
      <c r="D121" s="44" t="s">
        <v>77</v>
      </c>
      <c r="E121" s="45">
        <v>0.33349371021205559</v>
      </c>
      <c r="F121" s="37" t="s">
        <v>451</v>
      </c>
      <c r="G121" s="46">
        <v>33.127900000000004</v>
      </c>
      <c r="H121" s="47"/>
      <c r="I121" s="48">
        <f t="shared" si="7"/>
        <v>0</v>
      </c>
      <c r="L121" s="28" t="str">
        <f t="shared" si="8"/>
        <v>-</v>
      </c>
      <c r="M121" s="28" t="str">
        <f t="shared" si="9"/>
        <v>-</v>
      </c>
      <c r="N121" s="29" t="str">
        <f t="shared" si="10"/>
        <v>-</v>
      </c>
      <c r="O121" s="30" t="str">
        <f t="shared" si="11"/>
        <v>-</v>
      </c>
      <c r="Q121" s="30" t="str">
        <f t="shared" si="6"/>
        <v>-</v>
      </c>
    </row>
    <row r="122" spans="1:17">
      <c r="A122" s="41">
        <v>10453</v>
      </c>
      <c r="B122" s="42">
        <v>810094214012</v>
      </c>
      <c r="C122" s="43" t="s">
        <v>129</v>
      </c>
      <c r="D122" s="44" t="s">
        <v>7</v>
      </c>
      <c r="E122" s="45">
        <v>0.13943240456979167</v>
      </c>
      <c r="F122" s="37" t="s">
        <v>451</v>
      </c>
      <c r="G122" s="46">
        <v>41.415399999999998</v>
      </c>
      <c r="H122" s="47"/>
      <c r="I122" s="48">
        <f t="shared" si="7"/>
        <v>0</v>
      </c>
      <c r="L122" s="28" t="str">
        <f t="shared" si="8"/>
        <v>-</v>
      </c>
      <c r="M122" s="28" t="str">
        <f t="shared" si="9"/>
        <v>-</v>
      </c>
      <c r="N122" s="29" t="str">
        <f t="shared" si="10"/>
        <v>-</v>
      </c>
      <c r="O122" s="30" t="str">
        <f t="shared" si="11"/>
        <v>-</v>
      </c>
      <c r="Q122" s="30" t="str">
        <f t="shared" si="6"/>
        <v>-</v>
      </c>
    </row>
    <row r="123" spans="1:17">
      <c r="A123" s="41">
        <v>10242</v>
      </c>
      <c r="B123" s="42">
        <v>810487030908</v>
      </c>
      <c r="C123" s="43" t="s">
        <v>205</v>
      </c>
      <c r="D123" s="44" t="s">
        <v>8</v>
      </c>
      <c r="E123" s="45">
        <v>0.19735048031416669</v>
      </c>
      <c r="F123" s="37" t="s">
        <v>451</v>
      </c>
      <c r="G123" s="46">
        <v>24.840400000000002</v>
      </c>
      <c r="H123" s="47"/>
      <c r="I123" s="48">
        <f t="shared" si="7"/>
        <v>0</v>
      </c>
      <c r="L123" s="28" t="str">
        <f t="shared" si="8"/>
        <v>-</v>
      </c>
      <c r="M123" s="28" t="str">
        <f t="shared" si="9"/>
        <v>-</v>
      </c>
      <c r="N123" s="29" t="str">
        <f t="shared" si="10"/>
        <v>-</v>
      </c>
      <c r="O123" s="30" t="str">
        <f t="shared" si="11"/>
        <v>-</v>
      </c>
      <c r="Q123" s="30" t="str">
        <f t="shared" si="6"/>
        <v>-</v>
      </c>
    </row>
    <row r="124" spans="1:17">
      <c r="A124" s="41">
        <v>10243</v>
      </c>
      <c r="B124" s="42">
        <v>810487030915</v>
      </c>
      <c r="C124" s="43" t="s">
        <v>206</v>
      </c>
      <c r="D124" s="44" t="s">
        <v>8</v>
      </c>
      <c r="E124" s="45">
        <v>0.19735048031416669</v>
      </c>
      <c r="F124" s="37" t="s">
        <v>451</v>
      </c>
      <c r="G124" s="46">
        <v>24.840400000000002</v>
      </c>
      <c r="H124" s="47"/>
      <c r="I124" s="48">
        <f t="shared" si="7"/>
        <v>0</v>
      </c>
      <c r="L124" s="28" t="str">
        <f t="shared" si="8"/>
        <v>-</v>
      </c>
      <c r="M124" s="28" t="str">
        <f t="shared" si="9"/>
        <v>-</v>
      </c>
      <c r="N124" s="29" t="str">
        <f t="shared" si="10"/>
        <v>-</v>
      </c>
      <c r="O124" s="30" t="str">
        <f t="shared" si="11"/>
        <v>-</v>
      </c>
      <c r="Q124" s="30" t="str">
        <f t="shared" si="6"/>
        <v>-</v>
      </c>
    </row>
    <row r="125" spans="1:17">
      <c r="A125" s="41">
        <v>10186</v>
      </c>
      <c r="B125" s="42">
        <v>813006017701</v>
      </c>
      <c r="C125" s="43" t="s">
        <v>208</v>
      </c>
      <c r="D125" s="44" t="s">
        <v>5</v>
      </c>
      <c r="E125" s="45">
        <v>0.15359015641841667</v>
      </c>
      <c r="F125" s="37" t="s">
        <v>451</v>
      </c>
      <c r="G125" s="46">
        <v>24.840400000000002</v>
      </c>
      <c r="H125" s="47"/>
      <c r="I125" s="48">
        <f t="shared" si="7"/>
        <v>0</v>
      </c>
      <c r="L125" s="28" t="str">
        <f t="shared" si="8"/>
        <v>-</v>
      </c>
      <c r="M125" s="28" t="str">
        <f t="shared" si="9"/>
        <v>-</v>
      </c>
      <c r="N125" s="29" t="str">
        <f t="shared" si="10"/>
        <v>-</v>
      </c>
      <c r="O125" s="30" t="str">
        <f t="shared" si="11"/>
        <v>-</v>
      </c>
      <c r="Q125" s="30" t="str">
        <f t="shared" si="6"/>
        <v>-</v>
      </c>
    </row>
    <row r="126" spans="1:17">
      <c r="A126" s="41">
        <v>10428</v>
      </c>
      <c r="B126" s="42">
        <v>810094213046</v>
      </c>
      <c r="C126" s="43" t="s">
        <v>113</v>
      </c>
      <c r="D126" s="44" t="s">
        <v>6</v>
      </c>
      <c r="E126" s="45">
        <v>0.42473255545875005</v>
      </c>
      <c r="F126" s="37" t="s">
        <v>451</v>
      </c>
      <c r="G126" s="46">
        <v>33.127900000000004</v>
      </c>
      <c r="H126" s="47"/>
      <c r="I126" s="48">
        <f t="shared" si="7"/>
        <v>0</v>
      </c>
      <c r="L126" s="28" t="str">
        <f t="shared" si="8"/>
        <v>-</v>
      </c>
      <c r="M126" s="28" t="str">
        <f t="shared" si="9"/>
        <v>-</v>
      </c>
      <c r="N126" s="29" t="str">
        <f t="shared" si="10"/>
        <v>-</v>
      </c>
      <c r="O126" s="30" t="str">
        <f t="shared" si="11"/>
        <v>-</v>
      </c>
      <c r="Q126" s="30" t="str">
        <f t="shared" ref="Q126:Q188" si="12">IFERROR(IF(O126+I126=0, "-", IF(O126&gt;0, O126+I126, "-")), "-")</f>
        <v>-</v>
      </c>
    </row>
    <row r="127" spans="1:17">
      <c r="A127" s="41">
        <v>10368</v>
      </c>
      <c r="B127" s="42">
        <v>810487038799</v>
      </c>
      <c r="C127" s="43" t="s">
        <v>28</v>
      </c>
      <c r="D127" s="44" t="s">
        <v>6</v>
      </c>
      <c r="E127" s="45">
        <v>0.42344548710887497</v>
      </c>
      <c r="F127" s="37" t="s">
        <v>451</v>
      </c>
      <c r="G127" s="46">
        <v>41.415399999999998</v>
      </c>
      <c r="H127" s="47"/>
      <c r="I127" s="48">
        <f t="shared" si="7"/>
        <v>0</v>
      </c>
      <c r="L127" s="28" t="str">
        <f t="shared" si="8"/>
        <v>-</v>
      </c>
      <c r="M127" s="28" t="str">
        <f t="shared" si="9"/>
        <v>-</v>
      </c>
      <c r="N127" s="29" t="str">
        <f t="shared" si="10"/>
        <v>-</v>
      </c>
      <c r="O127" s="30" t="str">
        <f t="shared" si="11"/>
        <v>-</v>
      </c>
      <c r="Q127" s="30" t="str">
        <f t="shared" si="12"/>
        <v>-</v>
      </c>
    </row>
    <row r="128" spans="1:17">
      <c r="A128" s="41">
        <v>10343</v>
      </c>
      <c r="B128" s="42">
        <v>810487034272</v>
      </c>
      <c r="C128" s="43" t="s">
        <v>105</v>
      </c>
      <c r="D128" s="44" t="s">
        <v>12</v>
      </c>
      <c r="E128" s="45">
        <v>0.77180000000000004</v>
      </c>
      <c r="F128" s="37" t="s">
        <v>451</v>
      </c>
      <c r="G128" s="46">
        <v>33.127900000000004</v>
      </c>
      <c r="H128" s="47"/>
      <c r="I128" s="48">
        <f t="shared" si="7"/>
        <v>0</v>
      </c>
      <c r="J128" s="58"/>
      <c r="K128" s="58"/>
      <c r="L128" s="28" t="str">
        <f t="shared" si="8"/>
        <v>-</v>
      </c>
      <c r="M128" s="28" t="str">
        <f t="shared" si="9"/>
        <v>-</v>
      </c>
      <c r="N128" s="29" t="str">
        <f t="shared" si="10"/>
        <v>-</v>
      </c>
      <c r="O128" s="30" t="str">
        <f t="shared" si="11"/>
        <v>-</v>
      </c>
      <c r="Q128" s="30" t="str">
        <f t="shared" si="12"/>
        <v>-</v>
      </c>
    </row>
    <row r="129" spans="1:17">
      <c r="A129" s="41">
        <v>10375</v>
      </c>
      <c r="B129" s="42">
        <v>810487039697</v>
      </c>
      <c r="C129" s="43" t="s">
        <v>212</v>
      </c>
      <c r="D129" s="44" t="s">
        <v>407</v>
      </c>
      <c r="E129" s="45">
        <v>0.10725569582291668</v>
      </c>
      <c r="F129" s="37" t="s">
        <v>451</v>
      </c>
      <c r="G129" s="46">
        <v>16.552900000000001</v>
      </c>
      <c r="H129" s="47"/>
      <c r="I129" s="48">
        <f t="shared" si="7"/>
        <v>0</v>
      </c>
      <c r="L129" s="28" t="str">
        <f t="shared" si="8"/>
        <v>-</v>
      </c>
      <c r="M129" s="28" t="str">
        <f t="shared" si="9"/>
        <v>-</v>
      </c>
      <c r="N129" s="29" t="str">
        <f t="shared" si="10"/>
        <v>-</v>
      </c>
      <c r="O129" s="30" t="str">
        <f t="shared" si="11"/>
        <v>-</v>
      </c>
      <c r="Q129" s="30" t="str">
        <f t="shared" si="12"/>
        <v>-</v>
      </c>
    </row>
    <row r="130" spans="1:17">
      <c r="A130" s="41">
        <v>10318</v>
      </c>
      <c r="B130" s="42">
        <v>810487033411</v>
      </c>
      <c r="C130" s="43" t="s">
        <v>84</v>
      </c>
      <c r="D130" s="44" t="s">
        <v>5</v>
      </c>
      <c r="E130" s="45">
        <v>0.34321822663333329</v>
      </c>
      <c r="F130" s="37" t="s">
        <v>451</v>
      </c>
      <c r="G130" s="46">
        <v>20.696650000000002</v>
      </c>
      <c r="H130" s="47"/>
      <c r="I130" s="48">
        <f t="shared" si="7"/>
        <v>0</v>
      </c>
      <c r="L130" s="28" t="str">
        <f t="shared" si="8"/>
        <v>-</v>
      </c>
      <c r="M130" s="28" t="str">
        <f t="shared" si="9"/>
        <v>-</v>
      </c>
      <c r="N130" s="29" t="str">
        <f t="shared" si="10"/>
        <v>-</v>
      </c>
      <c r="O130" s="30" t="str">
        <f t="shared" si="11"/>
        <v>-</v>
      </c>
      <c r="Q130" s="30" t="str">
        <f t="shared" si="12"/>
        <v>-</v>
      </c>
    </row>
    <row r="131" spans="1:17">
      <c r="A131" s="41">
        <v>10319</v>
      </c>
      <c r="B131" s="42">
        <v>810487033428</v>
      </c>
      <c r="C131" s="43" t="s">
        <v>85</v>
      </c>
      <c r="D131" s="44" t="s">
        <v>6</v>
      </c>
      <c r="E131" s="45">
        <v>0.51482733995000007</v>
      </c>
      <c r="F131" s="37" t="s">
        <v>451</v>
      </c>
      <c r="G131" s="46">
        <v>57.990400000000001</v>
      </c>
      <c r="H131" s="47"/>
      <c r="I131" s="48">
        <f t="shared" ref="I131:I194" si="13">H131*G131</f>
        <v>0</v>
      </c>
      <c r="L131" s="28" t="str">
        <f t="shared" si="8"/>
        <v>-</v>
      </c>
      <c r="M131" s="28" t="str">
        <f t="shared" si="9"/>
        <v>-</v>
      </c>
      <c r="N131" s="29" t="str">
        <f t="shared" si="10"/>
        <v>-</v>
      </c>
      <c r="O131" s="30" t="str">
        <f t="shared" si="11"/>
        <v>-</v>
      </c>
      <c r="Q131" s="30" t="str">
        <f t="shared" si="12"/>
        <v>-</v>
      </c>
    </row>
    <row r="132" spans="1:17">
      <c r="A132" s="41">
        <v>10391</v>
      </c>
      <c r="B132" s="42">
        <v>810094210908</v>
      </c>
      <c r="C132" s="43" t="s">
        <v>86</v>
      </c>
      <c r="D132" s="44" t="s">
        <v>8</v>
      </c>
      <c r="E132" s="45">
        <v>0.27886480913958334</v>
      </c>
      <c r="F132" s="37" t="s">
        <v>451</v>
      </c>
      <c r="G132" s="46">
        <v>16.552900000000001</v>
      </c>
      <c r="H132" s="47"/>
      <c r="I132" s="48">
        <f t="shared" si="13"/>
        <v>0</v>
      </c>
      <c r="L132" s="28" t="str">
        <f t="shared" ref="L132:L195" si="14">IFERROR(IF($L$2*E132=0, "-", $L$2*E132), "-")</f>
        <v>-</v>
      </c>
      <c r="M132" s="28" t="str">
        <f t="shared" ref="M132:M195" si="15">IFERROR(IF(L132&gt;0,G132+L132,"-"),"-")</f>
        <v>-</v>
      </c>
      <c r="N132" s="29" t="str">
        <f t="shared" ref="N132:N195" si="16">IF(H132&gt;0,H132*E132, "-")</f>
        <v>-</v>
      </c>
      <c r="O132" s="30" t="str">
        <f t="shared" ref="O132:O195" si="17">IFERROR(IF($L$2&gt;0, $L$2*N132, "-"), "-")</f>
        <v>-</v>
      </c>
      <c r="Q132" s="30" t="str">
        <f t="shared" si="12"/>
        <v>-</v>
      </c>
    </row>
    <row r="133" spans="1:17">
      <c r="A133" s="41">
        <v>10384</v>
      </c>
      <c r="B133" s="42">
        <v>810094210182</v>
      </c>
      <c r="C133" s="43" t="s">
        <v>71</v>
      </c>
      <c r="D133" s="44" t="s">
        <v>406</v>
      </c>
      <c r="E133" s="45">
        <v>0.14844188301891667</v>
      </c>
      <c r="F133" s="37" t="s">
        <v>451</v>
      </c>
      <c r="G133" s="46">
        <v>20.696650000000002</v>
      </c>
      <c r="H133" s="47"/>
      <c r="I133" s="48">
        <f t="shared" si="13"/>
        <v>0</v>
      </c>
      <c r="L133" s="28" t="str">
        <f t="shared" si="14"/>
        <v>-</v>
      </c>
      <c r="M133" s="28" t="str">
        <f t="shared" si="15"/>
        <v>-</v>
      </c>
      <c r="N133" s="29" t="str">
        <f t="shared" si="16"/>
        <v>-</v>
      </c>
      <c r="O133" s="30" t="str">
        <f t="shared" si="17"/>
        <v>-</v>
      </c>
      <c r="Q133" s="30" t="str">
        <f t="shared" si="12"/>
        <v>-</v>
      </c>
    </row>
    <row r="134" spans="1:17">
      <c r="A134" s="41">
        <v>10443</v>
      </c>
      <c r="B134" s="42">
        <v>810094213657</v>
      </c>
      <c r="C134" s="43" t="s">
        <v>119</v>
      </c>
      <c r="D134" s="44" t="s">
        <v>7</v>
      </c>
      <c r="E134" s="45">
        <v>0.17160911331666664</v>
      </c>
      <c r="F134" s="37" t="s">
        <v>451</v>
      </c>
      <c r="G134" s="46">
        <v>16.552900000000001</v>
      </c>
      <c r="H134" s="47"/>
      <c r="I134" s="48">
        <f t="shared" si="13"/>
        <v>0</v>
      </c>
      <c r="L134" s="28" t="str">
        <f t="shared" si="14"/>
        <v>-</v>
      </c>
      <c r="M134" s="28" t="str">
        <f t="shared" si="15"/>
        <v>-</v>
      </c>
      <c r="N134" s="29" t="str">
        <f t="shared" si="16"/>
        <v>-</v>
      </c>
      <c r="O134" s="30" t="str">
        <f t="shared" si="17"/>
        <v>-</v>
      </c>
      <c r="Q134" s="30" t="str">
        <f t="shared" si="12"/>
        <v>-</v>
      </c>
    </row>
    <row r="135" spans="1:17">
      <c r="A135" s="41">
        <v>10414</v>
      </c>
      <c r="B135" s="42">
        <v>810094212414</v>
      </c>
      <c r="C135" s="43" t="s">
        <v>214</v>
      </c>
      <c r="D135" s="44" t="s">
        <v>7</v>
      </c>
      <c r="E135" s="45">
        <v>0.15015797415208335</v>
      </c>
      <c r="F135" s="37" t="s">
        <v>451</v>
      </c>
      <c r="G135" s="46">
        <v>16.552900000000001</v>
      </c>
      <c r="H135" s="47"/>
      <c r="I135" s="48">
        <f t="shared" si="13"/>
        <v>0</v>
      </c>
      <c r="L135" s="28" t="str">
        <f t="shared" si="14"/>
        <v>-</v>
      </c>
      <c r="M135" s="28" t="str">
        <f t="shared" si="15"/>
        <v>-</v>
      </c>
      <c r="N135" s="29" t="str">
        <f t="shared" si="16"/>
        <v>-</v>
      </c>
      <c r="O135" s="30" t="str">
        <f t="shared" si="17"/>
        <v>-</v>
      </c>
      <c r="Q135" s="30" t="str">
        <f t="shared" si="12"/>
        <v>-</v>
      </c>
    </row>
    <row r="136" spans="1:17">
      <c r="A136" s="41">
        <v>10415</v>
      </c>
      <c r="B136" s="42">
        <v>810094212438</v>
      </c>
      <c r="C136" s="43" t="s">
        <v>31</v>
      </c>
      <c r="D136" s="44" t="s">
        <v>8</v>
      </c>
      <c r="E136" s="45">
        <v>0.30031594830416669</v>
      </c>
      <c r="F136" s="37" t="s">
        <v>451</v>
      </c>
      <c r="G136" s="46">
        <v>43.901649999999997</v>
      </c>
      <c r="H136" s="47"/>
      <c r="I136" s="48">
        <f t="shared" si="13"/>
        <v>0</v>
      </c>
      <c r="L136" s="28" t="str">
        <f t="shared" si="14"/>
        <v>-</v>
      </c>
      <c r="M136" s="28" t="str">
        <f t="shared" si="15"/>
        <v>-</v>
      </c>
      <c r="N136" s="29" t="str">
        <f t="shared" si="16"/>
        <v>-</v>
      </c>
      <c r="O136" s="30" t="str">
        <f t="shared" si="17"/>
        <v>-</v>
      </c>
      <c r="Q136" s="30" t="str">
        <f t="shared" si="12"/>
        <v>-</v>
      </c>
    </row>
    <row r="137" spans="1:17">
      <c r="A137" s="41">
        <v>100001</v>
      </c>
      <c r="B137" s="42">
        <v>813006010276</v>
      </c>
      <c r="C137" s="43" t="s">
        <v>32</v>
      </c>
      <c r="D137" s="44" t="s">
        <v>6</v>
      </c>
      <c r="E137" s="45">
        <v>0.48265063120312501</v>
      </c>
      <c r="F137" s="37" t="s">
        <v>451</v>
      </c>
      <c r="G137" s="46">
        <v>65.449149999999989</v>
      </c>
      <c r="H137" s="47"/>
      <c r="I137" s="48">
        <f t="shared" si="13"/>
        <v>0</v>
      </c>
      <c r="L137" s="28" t="str">
        <f t="shared" si="14"/>
        <v>-</v>
      </c>
      <c r="M137" s="28" t="str">
        <f t="shared" si="15"/>
        <v>-</v>
      </c>
      <c r="N137" s="29" t="str">
        <f t="shared" si="16"/>
        <v>-</v>
      </c>
      <c r="O137" s="30" t="str">
        <f t="shared" si="17"/>
        <v>-</v>
      </c>
      <c r="Q137" s="30" t="str">
        <f t="shared" si="12"/>
        <v>-</v>
      </c>
    </row>
    <row r="138" spans="1:17">
      <c r="A138" s="41">
        <v>10359</v>
      </c>
      <c r="B138" s="42">
        <v>810487038416</v>
      </c>
      <c r="C138" s="43" t="s">
        <v>70</v>
      </c>
      <c r="D138" s="44" t="s">
        <v>8</v>
      </c>
      <c r="E138" s="45">
        <v>0.32176708746875005</v>
      </c>
      <c r="F138" s="37" t="s">
        <v>451</v>
      </c>
      <c r="G138" s="46">
        <v>41.415399999999998</v>
      </c>
      <c r="H138" s="47"/>
      <c r="I138" s="48">
        <f t="shared" si="13"/>
        <v>0</v>
      </c>
      <c r="L138" s="28" t="str">
        <f t="shared" si="14"/>
        <v>-</v>
      </c>
      <c r="M138" s="28" t="str">
        <f t="shared" si="15"/>
        <v>-</v>
      </c>
      <c r="N138" s="29" t="str">
        <f t="shared" si="16"/>
        <v>-</v>
      </c>
      <c r="O138" s="30" t="str">
        <f t="shared" si="17"/>
        <v>-</v>
      </c>
      <c r="Q138" s="30" t="str">
        <f t="shared" si="12"/>
        <v>-</v>
      </c>
    </row>
    <row r="139" spans="1:17">
      <c r="A139" s="41">
        <v>100003</v>
      </c>
      <c r="B139" s="42">
        <v>813006010290</v>
      </c>
      <c r="C139" s="43" t="s">
        <v>218</v>
      </c>
      <c r="D139" s="44" t="s">
        <v>33</v>
      </c>
      <c r="E139" s="45">
        <v>0.48265063120312501</v>
      </c>
      <c r="F139" s="37" t="s">
        <v>451</v>
      </c>
      <c r="G139" s="46">
        <v>72.907899999999998</v>
      </c>
      <c r="H139" s="47"/>
      <c r="I139" s="48">
        <f t="shared" si="13"/>
        <v>0</v>
      </c>
      <c r="L139" s="28" t="str">
        <f t="shared" si="14"/>
        <v>-</v>
      </c>
      <c r="M139" s="28" t="str">
        <f t="shared" si="15"/>
        <v>-</v>
      </c>
      <c r="N139" s="29" t="str">
        <f t="shared" si="16"/>
        <v>-</v>
      </c>
      <c r="O139" s="30" t="str">
        <f t="shared" si="17"/>
        <v>-</v>
      </c>
      <c r="Q139" s="30" t="str">
        <f t="shared" si="12"/>
        <v>-</v>
      </c>
    </row>
    <row r="140" spans="1:17">
      <c r="A140" s="41">
        <v>10286</v>
      </c>
      <c r="B140" s="42">
        <v>810487032261</v>
      </c>
      <c r="C140" s="43" t="s">
        <v>220</v>
      </c>
      <c r="D140" s="44" t="s">
        <v>8</v>
      </c>
      <c r="E140" s="45">
        <v>0.2831550369725</v>
      </c>
      <c r="F140" s="37" t="s">
        <v>451</v>
      </c>
      <c r="G140" s="46">
        <v>32.299150000000004</v>
      </c>
      <c r="H140" s="47"/>
      <c r="I140" s="48">
        <f t="shared" si="13"/>
        <v>0</v>
      </c>
      <c r="L140" s="28" t="str">
        <f t="shared" si="14"/>
        <v>-</v>
      </c>
      <c r="M140" s="28" t="str">
        <f t="shared" si="15"/>
        <v>-</v>
      </c>
      <c r="N140" s="29" t="str">
        <f t="shared" si="16"/>
        <v>-</v>
      </c>
      <c r="O140" s="30" t="str">
        <f t="shared" si="17"/>
        <v>-</v>
      </c>
      <c r="Q140" s="30" t="str">
        <f t="shared" si="12"/>
        <v>-</v>
      </c>
    </row>
    <row r="141" spans="1:17">
      <c r="A141" s="41">
        <v>10355</v>
      </c>
      <c r="B141" s="42">
        <v>810487036849</v>
      </c>
      <c r="C141" s="43" t="s">
        <v>221</v>
      </c>
      <c r="D141" s="44" t="s">
        <v>5</v>
      </c>
      <c r="E141" s="45">
        <v>0.21129372077114583</v>
      </c>
      <c r="F141" s="37" t="s">
        <v>451</v>
      </c>
      <c r="G141" s="46">
        <v>33.127900000000004</v>
      </c>
      <c r="H141" s="47"/>
      <c r="I141" s="48">
        <f t="shared" si="13"/>
        <v>0</v>
      </c>
      <c r="L141" s="28" t="str">
        <f t="shared" si="14"/>
        <v>-</v>
      </c>
      <c r="M141" s="28" t="str">
        <f t="shared" si="15"/>
        <v>-</v>
      </c>
      <c r="N141" s="29" t="str">
        <f t="shared" si="16"/>
        <v>-</v>
      </c>
      <c r="O141" s="30" t="str">
        <f t="shared" si="17"/>
        <v>-</v>
      </c>
      <c r="Q141" s="30" t="str">
        <f t="shared" si="12"/>
        <v>-</v>
      </c>
    </row>
    <row r="142" spans="1:17">
      <c r="A142" s="41">
        <v>10405</v>
      </c>
      <c r="B142" s="42">
        <v>810094211998</v>
      </c>
      <c r="C142" s="43" t="s">
        <v>97</v>
      </c>
      <c r="D142" s="44" t="s">
        <v>6</v>
      </c>
      <c r="E142" s="45">
        <v>0.42902278329166671</v>
      </c>
      <c r="F142" s="37" t="s">
        <v>451</v>
      </c>
      <c r="G142" s="46">
        <v>16.552900000000001</v>
      </c>
      <c r="H142" s="47"/>
      <c r="I142" s="48">
        <f t="shared" si="13"/>
        <v>0</v>
      </c>
      <c r="L142" s="28" t="str">
        <f t="shared" si="14"/>
        <v>-</v>
      </c>
      <c r="M142" s="28" t="str">
        <f t="shared" si="15"/>
        <v>-</v>
      </c>
      <c r="N142" s="29" t="str">
        <f t="shared" si="16"/>
        <v>-</v>
      </c>
      <c r="O142" s="30" t="str">
        <f t="shared" si="17"/>
        <v>-</v>
      </c>
      <c r="Q142" s="30" t="str">
        <f t="shared" si="12"/>
        <v>-</v>
      </c>
    </row>
    <row r="143" spans="1:17">
      <c r="A143" s="41">
        <v>10199</v>
      </c>
      <c r="B143" s="42">
        <v>813006017800</v>
      </c>
      <c r="C143" s="43" t="s">
        <v>34</v>
      </c>
      <c r="D143" s="44" t="s">
        <v>7</v>
      </c>
      <c r="E143" s="45">
        <v>0.17160911331666664</v>
      </c>
      <c r="F143" s="37" t="s">
        <v>451</v>
      </c>
      <c r="G143" s="46">
        <v>20.696650000000002</v>
      </c>
      <c r="H143" s="47"/>
      <c r="I143" s="48">
        <f t="shared" si="13"/>
        <v>0</v>
      </c>
      <c r="L143" s="28" t="str">
        <f t="shared" si="14"/>
        <v>-</v>
      </c>
      <c r="M143" s="28" t="str">
        <f t="shared" si="15"/>
        <v>-</v>
      </c>
      <c r="N143" s="29" t="str">
        <f t="shared" si="16"/>
        <v>-</v>
      </c>
      <c r="O143" s="30" t="str">
        <f t="shared" si="17"/>
        <v>-</v>
      </c>
      <c r="Q143" s="30" t="str">
        <f t="shared" si="12"/>
        <v>-</v>
      </c>
    </row>
    <row r="144" spans="1:17">
      <c r="A144" s="41">
        <v>10456</v>
      </c>
      <c r="B144" s="42">
        <v>810094213817</v>
      </c>
      <c r="C144" s="43" t="s">
        <v>132</v>
      </c>
      <c r="D144" s="44" t="s">
        <v>8</v>
      </c>
      <c r="E144" s="45">
        <v>0.2617038978079167</v>
      </c>
      <c r="F144" s="37" t="s">
        <v>451</v>
      </c>
      <c r="G144" s="46">
        <v>12.40915</v>
      </c>
      <c r="H144" s="47"/>
      <c r="I144" s="48">
        <f t="shared" si="13"/>
        <v>0</v>
      </c>
      <c r="L144" s="28" t="str">
        <f t="shared" si="14"/>
        <v>-</v>
      </c>
      <c r="M144" s="28" t="str">
        <f t="shared" si="15"/>
        <v>-</v>
      </c>
      <c r="N144" s="29" t="str">
        <f t="shared" si="16"/>
        <v>-</v>
      </c>
      <c r="O144" s="30" t="str">
        <f t="shared" si="17"/>
        <v>-</v>
      </c>
      <c r="Q144" s="30" t="str">
        <f t="shared" si="12"/>
        <v>-</v>
      </c>
    </row>
    <row r="145" spans="1:17">
      <c r="A145" s="41">
        <v>10265</v>
      </c>
      <c r="B145" s="42">
        <v>810487031998</v>
      </c>
      <c r="C145" s="43" t="s">
        <v>222</v>
      </c>
      <c r="D145" s="44" t="s">
        <v>7</v>
      </c>
      <c r="E145" s="45">
        <v>0.34321822663333329</v>
      </c>
      <c r="F145" s="37" t="s">
        <v>451</v>
      </c>
      <c r="G145" s="46">
        <v>33.127900000000004</v>
      </c>
      <c r="H145" s="47"/>
      <c r="I145" s="48">
        <f t="shared" si="13"/>
        <v>0</v>
      </c>
      <c r="L145" s="28" t="str">
        <f t="shared" si="14"/>
        <v>-</v>
      </c>
      <c r="M145" s="28" t="str">
        <f t="shared" si="15"/>
        <v>-</v>
      </c>
      <c r="N145" s="29" t="str">
        <f t="shared" si="16"/>
        <v>-</v>
      </c>
      <c r="O145" s="30" t="str">
        <f t="shared" si="17"/>
        <v>-</v>
      </c>
      <c r="Q145" s="30" t="str">
        <f t="shared" si="12"/>
        <v>-</v>
      </c>
    </row>
    <row r="146" spans="1:17">
      <c r="A146" s="41">
        <v>10433</v>
      </c>
      <c r="B146" s="42">
        <v>810094213336</v>
      </c>
      <c r="C146" s="43" t="s">
        <v>135</v>
      </c>
      <c r="D146" s="44" t="s">
        <v>8</v>
      </c>
      <c r="E146" s="45">
        <v>0.25741366997500004</v>
      </c>
      <c r="F146" s="37" t="s">
        <v>451</v>
      </c>
      <c r="G146" s="46">
        <v>91.140400000000014</v>
      </c>
      <c r="H146" s="47"/>
      <c r="I146" s="48">
        <f t="shared" si="13"/>
        <v>0</v>
      </c>
      <c r="L146" s="28" t="str">
        <f t="shared" si="14"/>
        <v>-</v>
      </c>
      <c r="M146" s="28" t="str">
        <f t="shared" si="15"/>
        <v>-</v>
      </c>
      <c r="N146" s="29" t="str">
        <f t="shared" si="16"/>
        <v>-</v>
      </c>
      <c r="O146" s="30" t="str">
        <f t="shared" si="17"/>
        <v>-</v>
      </c>
      <c r="Q146" s="30" t="str">
        <f t="shared" si="12"/>
        <v>-</v>
      </c>
    </row>
    <row r="147" spans="1:17">
      <c r="A147" s="41">
        <v>10376</v>
      </c>
      <c r="B147" s="42">
        <v>810487039802</v>
      </c>
      <c r="C147" s="43" t="s">
        <v>223</v>
      </c>
      <c r="D147" s="44" t="s">
        <v>5</v>
      </c>
      <c r="E147" s="45">
        <v>0.22952718906104164</v>
      </c>
      <c r="F147" s="37" t="s">
        <v>451</v>
      </c>
      <c r="G147" s="46">
        <v>10.751650000000001</v>
      </c>
      <c r="H147" s="47"/>
      <c r="I147" s="48">
        <f t="shared" si="13"/>
        <v>0</v>
      </c>
      <c r="L147" s="28" t="str">
        <f t="shared" si="14"/>
        <v>-</v>
      </c>
      <c r="M147" s="28" t="str">
        <f t="shared" si="15"/>
        <v>-</v>
      </c>
      <c r="N147" s="29" t="str">
        <f t="shared" si="16"/>
        <v>-</v>
      </c>
      <c r="O147" s="30" t="str">
        <f t="shared" si="17"/>
        <v>-</v>
      </c>
      <c r="Q147" s="30" t="str">
        <f t="shared" si="12"/>
        <v>-</v>
      </c>
    </row>
    <row r="148" spans="1:17">
      <c r="A148" s="41">
        <v>10460</v>
      </c>
      <c r="B148" s="42">
        <v>810094214166</v>
      </c>
      <c r="C148" s="43" t="s">
        <v>224</v>
      </c>
      <c r="D148" s="44" t="s">
        <v>12</v>
      </c>
      <c r="E148" s="45">
        <v>0.32915</v>
      </c>
      <c r="F148" s="37" t="s">
        <v>451</v>
      </c>
      <c r="G148" s="46">
        <v>33.127900000000004</v>
      </c>
      <c r="H148" s="47"/>
      <c r="I148" s="48">
        <f t="shared" si="13"/>
        <v>0</v>
      </c>
      <c r="J148" s="58"/>
      <c r="K148" s="58"/>
      <c r="L148" s="28" t="str">
        <f t="shared" si="14"/>
        <v>-</v>
      </c>
      <c r="M148" s="28" t="str">
        <f t="shared" si="15"/>
        <v>-</v>
      </c>
      <c r="N148" s="29" t="str">
        <f t="shared" si="16"/>
        <v>-</v>
      </c>
      <c r="O148" s="30" t="str">
        <f t="shared" si="17"/>
        <v>-</v>
      </c>
      <c r="Q148" s="30" t="str">
        <f t="shared" si="12"/>
        <v>-</v>
      </c>
    </row>
    <row r="149" spans="1:17">
      <c r="A149" s="41">
        <v>10404</v>
      </c>
      <c r="B149" s="42">
        <v>810094211967</v>
      </c>
      <c r="C149" s="43" t="s">
        <v>87</v>
      </c>
      <c r="D149" s="44" t="s">
        <v>88</v>
      </c>
      <c r="E149" s="45">
        <v>0.23596253081041668</v>
      </c>
      <c r="F149" s="37" t="s">
        <v>451</v>
      </c>
      <c r="G149" s="46">
        <v>33.127900000000004</v>
      </c>
      <c r="H149" s="47"/>
      <c r="I149" s="48">
        <f t="shared" si="13"/>
        <v>0</v>
      </c>
      <c r="L149" s="28" t="str">
        <f t="shared" si="14"/>
        <v>-</v>
      </c>
      <c r="M149" s="28" t="str">
        <f t="shared" si="15"/>
        <v>-</v>
      </c>
      <c r="N149" s="29" t="str">
        <f t="shared" si="16"/>
        <v>-</v>
      </c>
      <c r="O149" s="30" t="str">
        <f t="shared" si="17"/>
        <v>-</v>
      </c>
      <c r="Q149" s="30" t="str">
        <f t="shared" si="12"/>
        <v>-</v>
      </c>
    </row>
    <row r="150" spans="1:17">
      <c r="A150" s="41">
        <v>10048</v>
      </c>
      <c r="B150" s="42">
        <v>813006010443</v>
      </c>
      <c r="C150" s="43" t="s">
        <v>225</v>
      </c>
      <c r="D150" s="44" t="s">
        <v>439</v>
      </c>
      <c r="E150" s="45">
        <v>9.1996785497176381E-2</v>
      </c>
      <c r="F150" s="37" t="s">
        <v>451</v>
      </c>
      <c r="G150" s="46">
        <v>14.066650000000001</v>
      </c>
      <c r="H150" s="47"/>
      <c r="I150" s="48">
        <f t="shared" si="13"/>
        <v>0</v>
      </c>
      <c r="L150" s="28" t="str">
        <f t="shared" si="14"/>
        <v>-</v>
      </c>
      <c r="M150" s="28" t="str">
        <f t="shared" si="15"/>
        <v>-</v>
      </c>
      <c r="N150" s="29" t="str">
        <f t="shared" si="16"/>
        <v>-</v>
      </c>
      <c r="O150" s="30" t="str">
        <f t="shared" si="17"/>
        <v>-</v>
      </c>
      <c r="Q150" s="30" t="str">
        <f t="shared" si="12"/>
        <v>-</v>
      </c>
    </row>
    <row r="151" spans="1:17">
      <c r="A151" s="41">
        <v>10075</v>
      </c>
      <c r="B151" s="42">
        <v>813006015004</v>
      </c>
      <c r="C151" s="43" t="s">
        <v>226</v>
      </c>
      <c r="D151" s="44" t="s">
        <v>5</v>
      </c>
      <c r="E151" s="45">
        <v>0.34321822663333329</v>
      </c>
      <c r="F151" s="37" t="s">
        <v>451</v>
      </c>
      <c r="G151" s="46">
        <v>14.066650000000001</v>
      </c>
      <c r="H151" s="47"/>
      <c r="I151" s="48">
        <f t="shared" si="13"/>
        <v>0</v>
      </c>
      <c r="L151" s="28" t="str">
        <f t="shared" si="14"/>
        <v>-</v>
      </c>
      <c r="M151" s="28" t="str">
        <f t="shared" si="15"/>
        <v>-</v>
      </c>
      <c r="N151" s="29" t="str">
        <f t="shared" si="16"/>
        <v>-</v>
      </c>
      <c r="O151" s="30" t="str">
        <f t="shared" si="17"/>
        <v>-</v>
      </c>
      <c r="Q151" s="30" t="str">
        <f t="shared" si="12"/>
        <v>-</v>
      </c>
    </row>
    <row r="152" spans="1:17">
      <c r="A152" s="41">
        <v>10441</v>
      </c>
      <c r="B152" s="42">
        <v>810094213619</v>
      </c>
      <c r="C152" s="43" t="s">
        <v>134</v>
      </c>
      <c r="D152" s="44" t="s">
        <v>133</v>
      </c>
      <c r="E152" s="45">
        <v>0.27886480913958334</v>
      </c>
      <c r="F152" s="37" t="s">
        <v>451</v>
      </c>
      <c r="G152" s="46">
        <v>33.127900000000004</v>
      </c>
      <c r="H152" s="47"/>
      <c r="I152" s="48">
        <f t="shared" si="13"/>
        <v>0</v>
      </c>
      <c r="L152" s="28" t="str">
        <f t="shared" si="14"/>
        <v>-</v>
      </c>
      <c r="M152" s="28" t="str">
        <f t="shared" si="15"/>
        <v>-</v>
      </c>
      <c r="N152" s="29" t="str">
        <f t="shared" si="16"/>
        <v>-</v>
      </c>
      <c r="O152" s="30" t="str">
        <f t="shared" si="17"/>
        <v>-</v>
      </c>
      <c r="Q152" s="30" t="str">
        <f t="shared" si="12"/>
        <v>-</v>
      </c>
    </row>
    <row r="153" spans="1:17">
      <c r="A153" s="41">
        <v>10442</v>
      </c>
      <c r="B153" s="42">
        <v>810094213633</v>
      </c>
      <c r="C153" s="43" t="s">
        <v>138</v>
      </c>
      <c r="D153" s="44" t="s">
        <v>133</v>
      </c>
      <c r="E153" s="45">
        <v>0.27886480913958334</v>
      </c>
      <c r="F153" s="37" t="s">
        <v>451</v>
      </c>
      <c r="G153" s="46">
        <v>33.127900000000004</v>
      </c>
      <c r="H153" s="47"/>
      <c r="I153" s="48">
        <f t="shared" si="13"/>
        <v>0</v>
      </c>
      <c r="L153" s="28" t="str">
        <f t="shared" si="14"/>
        <v>-</v>
      </c>
      <c r="M153" s="28" t="str">
        <f t="shared" si="15"/>
        <v>-</v>
      </c>
      <c r="N153" s="29" t="str">
        <f t="shared" si="16"/>
        <v>-</v>
      </c>
      <c r="O153" s="30" t="str">
        <f t="shared" si="17"/>
        <v>-</v>
      </c>
      <c r="Q153" s="30" t="str">
        <f t="shared" si="12"/>
        <v>-</v>
      </c>
    </row>
    <row r="154" spans="1:17">
      <c r="A154" s="41">
        <v>10069</v>
      </c>
      <c r="B154" s="42">
        <v>813006014588</v>
      </c>
      <c r="C154" s="43" t="s">
        <v>227</v>
      </c>
      <c r="D154" s="44" t="s">
        <v>8</v>
      </c>
      <c r="E154" s="45">
        <v>0.28937586733022919</v>
      </c>
      <c r="F154" s="37" t="s">
        <v>451</v>
      </c>
      <c r="G154" s="46">
        <v>18.2104</v>
      </c>
      <c r="H154" s="47"/>
      <c r="I154" s="48">
        <f t="shared" si="13"/>
        <v>0</v>
      </c>
      <c r="L154" s="28" t="str">
        <f t="shared" si="14"/>
        <v>-</v>
      </c>
      <c r="M154" s="28" t="str">
        <f t="shared" si="15"/>
        <v>-</v>
      </c>
      <c r="N154" s="29" t="str">
        <f t="shared" si="16"/>
        <v>-</v>
      </c>
      <c r="O154" s="30" t="str">
        <f t="shared" si="17"/>
        <v>-</v>
      </c>
      <c r="Q154" s="30" t="str">
        <f t="shared" si="12"/>
        <v>-</v>
      </c>
    </row>
    <row r="155" spans="1:17">
      <c r="A155" s="41">
        <v>10462</v>
      </c>
      <c r="B155" s="42">
        <v>810094214142</v>
      </c>
      <c r="C155" s="43" t="s">
        <v>228</v>
      </c>
      <c r="D155" s="44" t="s">
        <v>5</v>
      </c>
      <c r="E155" s="45">
        <v>0.17160911331666664</v>
      </c>
      <c r="F155" s="37" t="s">
        <v>451</v>
      </c>
      <c r="G155" s="46">
        <v>24.840400000000002</v>
      </c>
      <c r="H155" s="47"/>
      <c r="I155" s="48">
        <f t="shared" si="13"/>
        <v>0</v>
      </c>
      <c r="L155" s="28" t="str">
        <f t="shared" si="14"/>
        <v>-</v>
      </c>
      <c r="M155" s="28" t="str">
        <f t="shared" si="15"/>
        <v>-</v>
      </c>
      <c r="N155" s="29" t="str">
        <f t="shared" si="16"/>
        <v>-</v>
      </c>
      <c r="O155" s="30" t="str">
        <f t="shared" si="17"/>
        <v>-</v>
      </c>
      <c r="Q155" s="30" t="str">
        <f t="shared" si="12"/>
        <v>-</v>
      </c>
    </row>
    <row r="156" spans="1:17">
      <c r="A156" s="41">
        <v>10427</v>
      </c>
      <c r="B156" s="42">
        <v>810094212964</v>
      </c>
      <c r="C156" s="43" t="s">
        <v>114</v>
      </c>
      <c r="D156" s="44" t="s">
        <v>13</v>
      </c>
      <c r="E156" s="45">
        <v>0.19735048031416669</v>
      </c>
      <c r="F156" s="37" t="s">
        <v>451</v>
      </c>
      <c r="G156" s="46">
        <v>16.552900000000001</v>
      </c>
      <c r="H156" s="47"/>
      <c r="I156" s="48">
        <f t="shared" si="13"/>
        <v>0</v>
      </c>
      <c r="L156" s="28" t="str">
        <f t="shared" si="14"/>
        <v>-</v>
      </c>
      <c r="M156" s="28" t="str">
        <f t="shared" si="15"/>
        <v>-</v>
      </c>
      <c r="N156" s="29" t="str">
        <f t="shared" si="16"/>
        <v>-</v>
      </c>
      <c r="O156" s="30" t="str">
        <f t="shared" si="17"/>
        <v>-</v>
      </c>
      <c r="Q156" s="30" t="str">
        <f t="shared" si="12"/>
        <v>-</v>
      </c>
    </row>
    <row r="157" spans="1:17">
      <c r="A157" s="41">
        <v>10418</v>
      </c>
      <c r="B157" s="42">
        <v>810094212681</v>
      </c>
      <c r="C157" s="43" t="s">
        <v>110</v>
      </c>
      <c r="D157" s="44" t="s">
        <v>13</v>
      </c>
      <c r="E157" s="45">
        <v>0.19306025248125003</v>
      </c>
      <c r="F157" s="37" t="s">
        <v>451</v>
      </c>
      <c r="G157" s="46">
        <v>20.696650000000002</v>
      </c>
      <c r="H157" s="47"/>
      <c r="I157" s="48">
        <f t="shared" si="13"/>
        <v>0</v>
      </c>
      <c r="L157" s="28" t="str">
        <f t="shared" si="14"/>
        <v>-</v>
      </c>
      <c r="M157" s="28" t="str">
        <f t="shared" si="15"/>
        <v>-</v>
      </c>
      <c r="N157" s="29" t="str">
        <f t="shared" si="16"/>
        <v>-</v>
      </c>
      <c r="O157" s="30" t="str">
        <f t="shared" si="17"/>
        <v>-</v>
      </c>
      <c r="Q157" s="30" t="str">
        <f t="shared" si="12"/>
        <v>-</v>
      </c>
    </row>
    <row r="158" spans="1:17">
      <c r="A158" s="41">
        <v>10369</v>
      </c>
      <c r="B158" s="42">
        <v>810487039260</v>
      </c>
      <c r="C158" s="43" t="s">
        <v>229</v>
      </c>
      <c r="D158" s="44" t="s">
        <v>12</v>
      </c>
      <c r="E158" s="45">
        <v>0.19005709299820833</v>
      </c>
      <c r="F158" s="37" t="s">
        <v>451</v>
      </c>
      <c r="G158" s="46">
        <v>33.127900000000004</v>
      </c>
      <c r="H158" s="47"/>
      <c r="I158" s="48">
        <f t="shared" si="13"/>
        <v>0</v>
      </c>
      <c r="L158" s="28" t="str">
        <f t="shared" si="14"/>
        <v>-</v>
      </c>
      <c r="M158" s="28" t="str">
        <f t="shared" si="15"/>
        <v>-</v>
      </c>
      <c r="N158" s="29" t="str">
        <f t="shared" si="16"/>
        <v>-</v>
      </c>
      <c r="O158" s="30" t="str">
        <f t="shared" si="17"/>
        <v>-</v>
      </c>
      <c r="Q158" s="30" t="str">
        <f t="shared" si="12"/>
        <v>-</v>
      </c>
    </row>
    <row r="159" spans="1:17">
      <c r="A159" s="41">
        <v>10464</v>
      </c>
      <c r="B159" s="42">
        <v>810094214159</v>
      </c>
      <c r="C159" s="43" t="s">
        <v>230</v>
      </c>
      <c r="D159" s="44" t="s">
        <v>7</v>
      </c>
      <c r="E159" s="45">
        <v>0.17160911331666664</v>
      </c>
      <c r="F159" s="37" t="s">
        <v>451</v>
      </c>
      <c r="G159" s="46">
        <v>20.696650000000002</v>
      </c>
      <c r="H159" s="47"/>
      <c r="I159" s="48">
        <f t="shared" si="13"/>
        <v>0</v>
      </c>
      <c r="L159" s="28" t="str">
        <f t="shared" si="14"/>
        <v>-</v>
      </c>
      <c r="M159" s="28" t="str">
        <f t="shared" si="15"/>
        <v>-</v>
      </c>
      <c r="N159" s="29" t="str">
        <f t="shared" si="16"/>
        <v>-</v>
      </c>
      <c r="O159" s="30" t="str">
        <f t="shared" si="17"/>
        <v>-</v>
      </c>
      <c r="Q159" s="30" t="str">
        <f t="shared" si="12"/>
        <v>-</v>
      </c>
    </row>
    <row r="160" spans="1:17">
      <c r="A160" s="41">
        <v>10038</v>
      </c>
      <c r="B160" s="42">
        <v>813006011334</v>
      </c>
      <c r="C160" s="43" t="s">
        <v>231</v>
      </c>
      <c r="D160" s="44" t="s">
        <v>8</v>
      </c>
      <c r="E160" s="45">
        <v>0.22952718906104164</v>
      </c>
      <c r="F160" s="37" t="s">
        <v>451</v>
      </c>
      <c r="G160" s="46">
        <v>38.929149999999993</v>
      </c>
      <c r="H160" s="47"/>
      <c r="I160" s="48">
        <f t="shared" si="13"/>
        <v>0</v>
      </c>
      <c r="L160" s="28" t="str">
        <f t="shared" si="14"/>
        <v>-</v>
      </c>
      <c r="M160" s="28" t="str">
        <f t="shared" si="15"/>
        <v>-</v>
      </c>
      <c r="N160" s="29" t="str">
        <f t="shared" si="16"/>
        <v>-</v>
      </c>
      <c r="O160" s="30" t="str">
        <f t="shared" si="17"/>
        <v>-</v>
      </c>
      <c r="Q160" s="30" t="str">
        <f t="shared" si="12"/>
        <v>-</v>
      </c>
    </row>
    <row r="161" spans="1:17">
      <c r="A161" s="41">
        <v>10346</v>
      </c>
      <c r="B161" s="42">
        <v>810487036580</v>
      </c>
      <c r="C161" s="43" t="s">
        <v>44</v>
      </c>
      <c r="D161" s="44" t="s">
        <v>6</v>
      </c>
      <c r="E161" s="45">
        <v>0.47192506162083336</v>
      </c>
      <c r="F161" s="37" t="s">
        <v>451</v>
      </c>
      <c r="G161" s="46">
        <v>67.106649999999988</v>
      </c>
      <c r="H161" s="47"/>
      <c r="I161" s="48">
        <f t="shared" si="13"/>
        <v>0</v>
      </c>
      <c r="L161" s="28" t="str">
        <f t="shared" si="14"/>
        <v>-</v>
      </c>
      <c r="M161" s="28" t="str">
        <f t="shared" si="15"/>
        <v>-</v>
      </c>
      <c r="N161" s="29" t="str">
        <f t="shared" si="16"/>
        <v>-</v>
      </c>
      <c r="O161" s="30" t="str">
        <f t="shared" si="17"/>
        <v>-</v>
      </c>
      <c r="Q161" s="30" t="str">
        <f t="shared" si="12"/>
        <v>-</v>
      </c>
    </row>
    <row r="162" spans="1:17">
      <c r="A162" s="41">
        <v>10461</v>
      </c>
      <c r="B162" s="42">
        <v>810094214135</v>
      </c>
      <c r="C162" s="43" t="s">
        <v>233</v>
      </c>
      <c r="D162" s="44" t="s">
        <v>7</v>
      </c>
      <c r="E162" s="45">
        <v>0.14629676910245837</v>
      </c>
      <c r="F162" s="37" t="s">
        <v>451</v>
      </c>
      <c r="G162" s="46">
        <v>24.840400000000002</v>
      </c>
      <c r="H162" s="47"/>
      <c r="I162" s="48">
        <f t="shared" si="13"/>
        <v>0</v>
      </c>
      <c r="L162" s="28" t="str">
        <f t="shared" si="14"/>
        <v>-</v>
      </c>
      <c r="M162" s="28" t="str">
        <f t="shared" si="15"/>
        <v>-</v>
      </c>
      <c r="N162" s="29" t="str">
        <f t="shared" si="16"/>
        <v>-</v>
      </c>
      <c r="O162" s="30" t="str">
        <f t="shared" si="17"/>
        <v>-</v>
      </c>
      <c r="Q162" s="30" t="str">
        <f t="shared" si="12"/>
        <v>-</v>
      </c>
    </row>
    <row r="163" spans="1:17">
      <c r="A163" s="41">
        <v>10362</v>
      </c>
      <c r="B163" s="42">
        <v>810487038713</v>
      </c>
      <c r="C163" s="43" t="s">
        <v>234</v>
      </c>
      <c r="D163" s="44" t="s">
        <v>40</v>
      </c>
      <c r="E163" s="45">
        <v>0.32033701152444449</v>
      </c>
      <c r="F163" s="37" t="s">
        <v>451</v>
      </c>
      <c r="G163" s="46">
        <v>24.840400000000002</v>
      </c>
      <c r="H163" s="47"/>
      <c r="I163" s="48">
        <f t="shared" si="13"/>
        <v>0</v>
      </c>
      <c r="L163" s="28" t="str">
        <f t="shared" si="14"/>
        <v>-</v>
      </c>
      <c r="M163" s="28" t="str">
        <f t="shared" si="15"/>
        <v>-</v>
      </c>
      <c r="N163" s="29" t="str">
        <f t="shared" si="16"/>
        <v>-</v>
      </c>
      <c r="O163" s="30" t="str">
        <f t="shared" si="17"/>
        <v>-</v>
      </c>
      <c r="Q163" s="30" t="str">
        <f t="shared" si="12"/>
        <v>-</v>
      </c>
    </row>
    <row r="164" spans="1:17">
      <c r="A164" s="41">
        <v>10377</v>
      </c>
      <c r="B164" s="42">
        <v>810487039826</v>
      </c>
      <c r="C164" s="43" t="s">
        <v>82</v>
      </c>
      <c r="D164" s="44" t="s">
        <v>5</v>
      </c>
      <c r="E164" s="45">
        <v>0.21730003973722917</v>
      </c>
      <c r="F164" s="37" t="s">
        <v>451</v>
      </c>
      <c r="G164" s="46">
        <v>16.552900000000001</v>
      </c>
      <c r="H164" s="47"/>
      <c r="I164" s="48">
        <f t="shared" si="13"/>
        <v>0</v>
      </c>
      <c r="L164" s="28" t="str">
        <f t="shared" si="14"/>
        <v>-</v>
      </c>
      <c r="M164" s="28" t="str">
        <f t="shared" si="15"/>
        <v>-</v>
      </c>
      <c r="N164" s="29" t="str">
        <f t="shared" si="16"/>
        <v>-</v>
      </c>
      <c r="O164" s="30" t="str">
        <f t="shared" si="17"/>
        <v>-</v>
      </c>
      <c r="Q164" s="30" t="str">
        <f t="shared" si="12"/>
        <v>-</v>
      </c>
    </row>
    <row r="165" spans="1:17">
      <c r="A165" s="41">
        <v>10390</v>
      </c>
      <c r="B165" s="42">
        <v>810094210885</v>
      </c>
      <c r="C165" s="43" t="s">
        <v>235</v>
      </c>
      <c r="D165" s="44" t="s">
        <v>7</v>
      </c>
      <c r="E165" s="45">
        <v>0.14887090580220833</v>
      </c>
      <c r="F165" s="37" t="s">
        <v>451</v>
      </c>
      <c r="G165" s="46">
        <v>16.552900000000001</v>
      </c>
      <c r="H165" s="47"/>
      <c r="I165" s="48">
        <f t="shared" si="13"/>
        <v>0</v>
      </c>
      <c r="L165" s="28" t="str">
        <f t="shared" si="14"/>
        <v>-</v>
      </c>
      <c r="M165" s="28" t="str">
        <f t="shared" si="15"/>
        <v>-</v>
      </c>
      <c r="N165" s="29" t="str">
        <f t="shared" si="16"/>
        <v>-</v>
      </c>
      <c r="O165" s="30" t="str">
        <f t="shared" si="17"/>
        <v>-</v>
      </c>
      <c r="Q165" s="30" t="str">
        <f t="shared" si="12"/>
        <v>-</v>
      </c>
    </row>
    <row r="166" spans="1:17">
      <c r="A166" s="41">
        <v>10393</v>
      </c>
      <c r="B166" s="42">
        <v>810094210946</v>
      </c>
      <c r="C166" s="43" t="s">
        <v>236</v>
      </c>
      <c r="D166" s="44" t="s">
        <v>7</v>
      </c>
      <c r="E166" s="45">
        <v>0.14458067796929167</v>
      </c>
      <c r="F166" s="37" t="s">
        <v>451</v>
      </c>
      <c r="G166" s="46">
        <v>14.8954</v>
      </c>
      <c r="H166" s="47"/>
      <c r="I166" s="48">
        <f t="shared" si="13"/>
        <v>0</v>
      </c>
      <c r="L166" s="28" t="str">
        <f t="shared" si="14"/>
        <v>-</v>
      </c>
      <c r="M166" s="28" t="str">
        <f t="shared" si="15"/>
        <v>-</v>
      </c>
      <c r="N166" s="29" t="str">
        <f t="shared" si="16"/>
        <v>-</v>
      </c>
      <c r="O166" s="30" t="str">
        <f t="shared" si="17"/>
        <v>-</v>
      </c>
      <c r="Q166" s="30" t="str">
        <f t="shared" si="12"/>
        <v>-</v>
      </c>
    </row>
    <row r="167" spans="1:17">
      <c r="A167" s="41">
        <v>10224</v>
      </c>
      <c r="B167" s="42">
        <v>813006018456</v>
      </c>
      <c r="C167" s="43" t="s">
        <v>45</v>
      </c>
      <c r="D167" s="44" t="s">
        <v>8</v>
      </c>
      <c r="E167" s="45">
        <v>0.55772961827916667</v>
      </c>
      <c r="F167" s="37" t="s">
        <v>451</v>
      </c>
      <c r="G167" s="46">
        <v>19.039149999999999</v>
      </c>
      <c r="H167" s="47"/>
      <c r="I167" s="48">
        <f t="shared" si="13"/>
        <v>0</v>
      </c>
      <c r="L167" s="28" t="str">
        <f t="shared" si="14"/>
        <v>-</v>
      </c>
      <c r="M167" s="28" t="str">
        <f t="shared" si="15"/>
        <v>-</v>
      </c>
      <c r="N167" s="29" t="str">
        <f t="shared" si="16"/>
        <v>-</v>
      </c>
      <c r="O167" s="30" t="str">
        <f t="shared" si="17"/>
        <v>-</v>
      </c>
      <c r="Q167" s="30" t="str">
        <f t="shared" si="12"/>
        <v>-</v>
      </c>
    </row>
    <row r="168" spans="1:17">
      <c r="A168" s="41">
        <v>10378</v>
      </c>
      <c r="B168" s="42">
        <v>810487039840</v>
      </c>
      <c r="C168" s="43" t="s">
        <v>46</v>
      </c>
      <c r="D168" s="44" t="s">
        <v>7</v>
      </c>
      <c r="E168" s="45">
        <v>0.21451139164583335</v>
      </c>
      <c r="F168" s="37" t="s">
        <v>451</v>
      </c>
      <c r="G168" s="46">
        <v>18.2104</v>
      </c>
      <c r="H168" s="47"/>
      <c r="I168" s="48">
        <f t="shared" si="13"/>
        <v>0</v>
      </c>
      <c r="L168" s="28" t="str">
        <f t="shared" si="14"/>
        <v>-</v>
      </c>
      <c r="M168" s="28" t="str">
        <f t="shared" si="15"/>
        <v>-</v>
      </c>
      <c r="N168" s="29" t="str">
        <f t="shared" si="16"/>
        <v>-</v>
      </c>
      <c r="O168" s="30" t="str">
        <f t="shared" si="17"/>
        <v>-</v>
      </c>
      <c r="Q168" s="30" t="str">
        <f t="shared" si="12"/>
        <v>-</v>
      </c>
    </row>
    <row r="169" spans="1:17">
      <c r="A169" s="41">
        <v>10363</v>
      </c>
      <c r="B169" s="42">
        <v>810487038751</v>
      </c>
      <c r="C169" s="43" t="s">
        <v>237</v>
      </c>
      <c r="D169" s="44" t="s">
        <v>406</v>
      </c>
      <c r="E169" s="45">
        <v>0.17160911331666664</v>
      </c>
      <c r="F169" s="37" t="s">
        <v>451</v>
      </c>
      <c r="G169" s="46">
        <v>12.40915</v>
      </c>
      <c r="H169" s="47"/>
      <c r="I169" s="48">
        <f t="shared" si="13"/>
        <v>0</v>
      </c>
      <c r="L169" s="28" t="str">
        <f t="shared" si="14"/>
        <v>-</v>
      </c>
      <c r="M169" s="28" t="str">
        <f t="shared" si="15"/>
        <v>-</v>
      </c>
      <c r="N169" s="29" t="str">
        <f t="shared" si="16"/>
        <v>-</v>
      </c>
      <c r="O169" s="30" t="str">
        <f t="shared" si="17"/>
        <v>-</v>
      </c>
      <c r="Q169" s="30" t="str">
        <f t="shared" si="12"/>
        <v>-</v>
      </c>
    </row>
    <row r="170" spans="1:17">
      <c r="A170" s="41">
        <v>10392</v>
      </c>
      <c r="B170" s="42">
        <v>810094210915</v>
      </c>
      <c r="C170" s="43" t="s">
        <v>238</v>
      </c>
      <c r="D170" s="44" t="s">
        <v>5</v>
      </c>
      <c r="E170" s="45">
        <v>0.34321822663333329</v>
      </c>
      <c r="F170" s="37" t="s">
        <v>451</v>
      </c>
      <c r="G170" s="46">
        <v>33.127900000000004</v>
      </c>
      <c r="H170" s="47"/>
      <c r="I170" s="48">
        <f t="shared" si="13"/>
        <v>0</v>
      </c>
      <c r="L170" s="28" t="str">
        <f t="shared" si="14"/>
        <v>-</v>
      </c>
      <c r="M170" s="28" t="str">
        <f t="shared" si="15"/>
        <v>-</v>
      </c>
      <c r="N170" s="29" t="str">
        <f t="shared" si="16"/>
        <v>-</v>
      </c>
      <c r="O170" s="30" t="str">
        <f t="shared" si="17"/>
        <v>-</v>
      </c>
      <c r="Q170" s="30" t="str">
        <f t="shared" si="12"/>
        <v>-</v>
      </c>
    </row>
    <row r="171" spans="1:17">
      <c r="A171" s="41">
        <v>10350</v>
      </c>
      <c r="B171" s="42">
        <v>810487036443</v>
      </c>
      <c r="C171" s="43" t="s">
        <v>47</v>
      </c>
      <c r="D171" s="44" t="s">
        <v>5</v>
      </c>
      <c r="E171" s="45">
        <v>0.15444820198499998</v>
      </c>
      <c r="F171" s="37" t="s">
        <v>451</v>
      </c>
      <c r="G171" s="46">
        <v>16.552900000000001</v>
      </c>
      <c r="H171" s="47"/>
      <c r="I171" s="48">
        <f t="shared" si="13"/>
        <v>0</v>
      </c>
      <c r="L171" s="28" t="str">
        <f t="shared" si="14"/>
        <v>-</v>
      </c>
      <c r="M171" s="28" t="str">
        <f t="shared" si="15"/>
        <v>-</v>
      </c>
      <c r="N171" s="29" t="str">
        <f t="shared" si="16"/>
        <v>-</v>
      </c>
      <c r="O171" s="30" t="str">
        <f t="shared" si="17"/>
        <v>-</v>
      </c>
      <c r="Q171" s="30" t="str">
        <f t="shared" si="12"/>
        <v>-</v>
      </c>
    </row>
    <row r="172" spans="1:17">
      <c r="A172" s="41">
        <v>10389</v>
      </c>
      <c r="B172" s="42">
        <v>810094210458</v>
      </c>
      <c r="C172" s="43" t="s">
        <v>73</v>
      </c>
      <c r="D172" s="44" t="s">
        <v>7</v>
      </c>
      <c r="E172" s="45">
        <v>0.34321822663333329</v>
      </c>
      <c r="F172" s="37" t="s">
        <v>451</v>
      </c>
      <c r="G172" s="46">
        <v>20.696650000000002</v>
      </c>
      <c r="H172" s="47"/>
      <c r="I172" s="48">
        <f t="shared" si="13"/>
        <v>0</v>
      </c>
      <c r="L172" s="28" t="str">
        <f t="shared" si="14"/>
        <v>-</v>
      </c>
      <c r="M172" s="28" t="str">
        <f t="shared" si="15"/>
        <v>-</v>
      </c>
      <c r="N172" s="29" t="str">
        <f t="shared" si="16"/>
        <v>-</v>
      </c>
      <c r="O172" s="30" t="str">
        <f t="shared" si="17"/>
        <v>-</v>
      </c>
      <c r="Q172" s="30" t="str">
        <f t="shared" si="12"/>
        <v>-</v>
      </c>
    </row>
    <row r="173" spans="1:17">
      <c r="A173" s="41">
        <v>10388</v>
      </c>
      <c r="B173" s="42">
        <v>810094210434</v>
      </c>
      <c r="C173" s="43" t="s">
        <v>72</v>
      </c>
      <c r="D173" s="44" t="s">
        <v>7</v>
      </c>
      <c r="E173" s="45">
        <v>0.34321822663333329</v>
      </c>
      <c r="F173" s="37" t="s">
        <v>451</v>
      </c>
      <c r="G173" s="46">
        <v>16.552900000000001</v>
      </c>
      <c r="H173" s="47"/>
      <c r="I173" s="48">
        <f t="shared" si="13"/>
        <v>0</v>
      </c>
      <c r="L173" s="28" t="str">
        <f t="shared" si="14"/>
        <v>-</v>
      </c>
      <c r="M173" s="28" t="str">
        <f t="shared" si="15"/>
        <v>-</v>
      </c>
      <c r="N173" s="29" t="str">
        <f t="shared" si="16"/>
        <v>-</v>
      </c>
      <c r="O173" s="30" t="str">
        <f t="shared" si="17"/>
        <v>-</v>
      </c>
      <c r="Q173" s="30" t="str">
        <f t="shared" si="12"/>
        <v>-</v>
      </c>
    </row>
    <row r="174" spans="1:17">
      <c r="A174" s="41">
        <v>10342</v>
      </c>
      <c r="B174" s="42">
        <v>810487034920</v>
      </c>
      <c r="C174" s="43" t="s">
        <v>242</v>
      </c>
      <c r="D174" s="44" t="s">
        <v>12</v>
      </c>
      <c r="E174" s="45">
        <v>0.19005709299820833</v>
      </c>
      <c r="F174" s="37" t="s">
        <v>451</v>
      </c>
      <c r="G174" s="46">
        <v>16.552900000000001</v>
      </c>
      <c r="H174" s="47"/>
      <c r="I174" s="48">
        <f t="shared" si="13"/>
        <v>0</v>
      </c>
      <c r="L174" s="28" t="str">
        <f t="shared" si="14"/>
        <v>-</v>
      </c>
      <c r="M174" s="28" t="str">
        <f t="shared" si="15"/>
        <v>-</v>
      </c>
      <c r="N174" s="29" t="str">
        <f t="shared" si="16"/>
        <v>-</v>
      </c>
      <c r="O174" s="30" t="str">
        <f t="shared" si="17"/>
        <v>-</v>
      </c>
      <c r="Q174" s="30" t="str">
        <f t="shared" si="12"/>
        <v>-</v>
      </c>
    </row>
    <row r="175" spans="1:17">
      <c r="A175" s="41">
        <v>10463</v>
      </c>
      <c r="B175" s="42">
        <v>810094214210</v>
      </c>
      <c r="C175" s="43" t="s">
        <v>243</v>
      </c>
      <c r="D175" s="44" t="s">
        <v>5</v>
      </c>
      <c r="E175" s="45">
        <v>0.25741366997500004</v>
      </c>
      <c r="F175" s="37" t="s">
        <v>451</v>
      </c>
      <c r="G175" s="46">
        <v>20.696650000000002</v>
      </c>
      <c r="H175" s="47"/>
      <c r="I175" s="48">
        <f t="shared" si="13"/>
        <v>0</v>
      </c>
      <c r="L175" s="28" t="str">
        <f t="shared" si="14"/>
        <v>-</v>
      </c>
      <c r="M175" s="28" t="str">
        <f t="shared" si="15"/>
        <v>-</v>
      </c>
      <c r="N175" s="29" t="str">
        <f t="shared" si="16"/>
        <v>-</v>
      </c>
      <c r="O175" s="30" t="str">
        <f t="shared" si="17"/>
        <v>-</v>
      </c>
      <c r="Q175" s="30" t="str">
        <f t="shared" si="12"/>
        <v>-</v>
      </c>
    </row>
    <row r="176" spans="1:17">
      <c r="A176" s="41">
        <v>10280</v>
      </c>
      <c r="B176" s="42">
        <v>810487032360</v>
      </c>
      <c r="C176" s="43" t="s">
        <v>244</v>
      </c>
      <c r="D176" s="44" t="s">
        <v>5</v>
      </c>
      <c r="E176" s="45">
        <v>0.24046727003497917</v>
      </c>
      <c r="F176" s="37" t="s">
        <v>451</v>
      </c>
      <c r="G176" s="46">
        <v>14.8954</v>
      </c>
      <c r="H176" s="47"/>
      <c r="I176" s="48">
        <f t="shared" si="13"/>
        <v>0</v>
      </c>
      <c r="L176" s="28" t="str">
        <f t="shared" si="14"/>
        <v>-</v>
      </c>
      <c r="M176" s="28" t="str">
        <f t="shared" si="15"/>
        <v>-</v>
      </c>
      <c r="N176" s="29" t="str">
        <f t="shared" si="16"/>
        <v>-</v>
      </c>
      <c r="O176" s="30" t="str">
        <f t="shared" si="17"/>
        <v>-</v>
      </c>
      <c r="Q176" s="30" t="str">
        <f t="shared" si="12"/>
        <v>-</v>
      </c>
    </row>
    <row r="177" spans="1:17">
      <c r="A177" s="41">
        <v>10281</v>
      </c>
      <c r="B177" s="42">
        <v>810487032377</v>
      </c>
      <c r="C177" s="43" t="s">
        <v>245</v>
      </c>
      <c r="D177" s="44" t="s">
        <v>6</v>
      </c>
      <c r="E177" s="45">
        <v>0.45047392245625001</v>
      </c>
      <c r="F177" s="37" t="s">
        <v>451</v>
      </c>
      <c r="G177" s="46">
        <v>41.415399999999998</v>
      </c>
      <c r="H177" s="47"/>
      <c r="I177" s="48">
        <f t="shared" si="13"/>
        <v>0</v>
      </c>
      <c r="L177" s="28" t="str">
        <f t="shared" si="14"/>
        <v>-</v>
      </c>
      <c r="M177" s="28" t="str">
        <f t="shared" si="15"/>
        <v>-</v>
      </c>
      <c r="N177" s="29" t="str">
        <f t="shared" si="16"/>
        <v>-</v>
      </c>
      <c r="O177" s="30" t="str">
        <f t="shared" si="17"/>
        <v>-</v>
      </c>
      <c r="Q177" s="30" t="str">
        <f t="shared" si="12"/>
        <v>-</v>
      </c>
    </row>
    <row r="178" spans="1:17">
      <c r="A178" s="41">
        <v>10040</v>
      </c>
      <c r="B178" s="42">
        <v>813006011624</v>
      </c>
      <c r="C178" s="43" t="s">
        <v>246</v>
      </c>
      <c r="D178" s="44" t="s">
        <v>7</v>
      </c>
      <c r="E178" s="45">
        <v>0.32176708746875005</v>
      </c>
      <c r="F178" s="37" t="s">
        <v>451</v>
      </c>
      <c r="G178" s="46">
        <v>19.425899999999999</v>
      </c>
      <c r="H178" s="47"/>
      <c r="I178" s="48">
        <f t="shared" si="13"/>
        <v>0</v>
      </c>
      <c r="L178" s="28" t="str">
        <f t="shared" si="14"/>
        <v>-</v>
      </c>
      <c r="M178" s="28" t="str">
        <f t="shared" si="15"/>
        <v>-</v>
      </c>
      <c r="N178" s="29" t="str">
        <f t="shared" si="16"/>
        <v>-</v>
      </c>
      <c r="O178" s="30" t="str">
        <f t="shared" si="17"/>
        <v>-</v>
      </c>
      <c r="Q178" s="30" t="str">
        <f t="shared" si="12"/>
        <v>-</v>
      </c>
    </row>
    <row r="179" spans="1:17">
      <c r="A179" s="41">
        <v>10041</v>
      </c>
      <c r="B179" s="42">
        <v>813006011631</v>
      </c>
      <c r="C179" s="43" t="s">
        <v>48</v>
      </c>
      <c r="D179" s="44" t="s">
        <v>8</v>
      </c>
      <c r="E179" s="45">
        <v>0.45047392245625001</v>
      </c>
      <c r="F179" s="37" t="s">
        <v>451</v>
      </c>
      <c r="G179" s="46">
        <v>51.249900000000004</v>
      </c>
      <c r="H179" s="47"/>
      <c r="I179" s="48">
        <f t="shared" si="13"/>
        <v>0</v>
      </c>
      <c r="L179" s="28" t="str">
        <f t="shared" si="14"/>
        <v>-</v>
      </c>
      <c r="M179" s="28" t="str">
        <f t="shared" si="15"/>
        <v>-</v>
      </c>
      <c r="N179" s="29" t="str">
        <f t="shared" si="16"/>
        <v>-</v>
      </c>
      <c r="O179" s="30" t="str">
        <f t="shared" si="17"/>
        <v>-</v>
      </c>
      <c r="Q179" s="30" t="str">
        <f t="shared" si="12"/>
        <v>-</v>
      </c>
    </row>
    <row r="180" spans="1:17">
      <c r="A180" s="41">
        <v>10200</v>
      </c>
      <c r="B180" s="42">
        <v>813006017992</v>
      </c>
      <c r="C180" s="43" t="s">
        <v>247</v>
      </c>
      <c r="D180" s="44" t="s">
        <v>7</v>
      </c>
      <c r="E180" s="45">
        <v>0.34321822663333329</v>
      </c>
      <c r="F180" s="37" t="s">
        <v>451</v>
      </c>
      <c r="G180" s="46">
        <v>24.840400000000002</v>
      </c>
      <c r="H180" s="47"/>
      <c r="I180" s="48">
        <f t="shared" si="13"/>
        <v>0</v>
      </c>
      <c r="L180" s="28" t="str">
        <f t="shared" si="14"/>
        <v>-</v>
      </c>
      <c r="M180" s="28" t="str">
        <f t="shared" si="15"/>
        <v>-</v>
      </c>
      <c r="N180" s="29" t="str">
        <f t="shared" si="16"/>
        <v>-</v>
      </c>
      <c r="O180" s="30" t="str">
        <f t="shared" si="17"/>
        <v>-</v>
      </c>
      <c r="Q180" s="30" t="str">
        <f t="shared" si="12"/>
        <v>-</v>
      </c>
    </row>
    <row r="181" spans="1:17">
      <c r="A181" s="41">
        <v>10201</v>
      </c>
      <c r="B181" s="42">
        <v>813006018005</v>
      </c>
      <c r="C181" s="43" t="s">
        <v>49</v>
      </c>
      <c r="D181" s="44" t="s">
        <v>8</v>
      </c>
      <c r="E181" s="45">
        <v>0.47192506162083336</v>
      </c>
      <c r="F181" s="37" t="s">
        <v>451</v>
      </c>
      <c r="G181" s="46">
        <v>66.277900000000002</v>
      </c>
      <c r="H181" s="47"/>
      <c r="I181" s="48">
        <f t="shared" si="13"/>
        <v>0</v>
      </c>
      <c r="L181" s="28" t="str">
        <f t="shared" si="14"/>
        <v>-</v>
      </c>
      <c r="M181" s="28" t="str">
        <f t="shared" si="15"/>
        <v>-</v>
      </c>
      <c r="N181" s="29" t="str">
        <f t="shared" si="16"/>
        <v>-</v>
      </c>
      <c r="O181" s="30" t="str">
        <f t="shared" si="17"/>
        <v>-</v>
      </c>
      <c r="Q181" s="30" t="str">
        <f t="shared" si="12"/>
        <v>-</v>
      </c>
    </row>
    <row r="182" spans="1:17">
      <c r="A182" s="41">
        <v>10302</v>
      </c>
      <c r="B182" s="42">
        <v>810487032995</v>
      </c>
      <c r="C182" s="43" t="s">
        <v>248</v>
      </c>
      <c r="D182" s="44" t="s">
        <v>7</v>
      </c>
      <c r="E182" s="45">
        <v>0.34321822663333329</v>
      </c>
      <c r="F182" s="37" t="s">
        <v>451</v>
      </c>
      <c r="G182" s="46">
        <v>36.442900000000002</v>
      </c>
      <c r="H182" s="47"/>
      <c r="I182" s="48">
        <f t="shared" si="13"/>
        <v>0</v>
      </c>
      <c r="L182" s="28" t="str">
        <f t="shared" si="14"/>
        <v>-</v>
      </c>
      <c r="M182" s="28" t="str">
        <f t="shared" si="15"/>
        <v>-</v>
      </c>
      <c r="N182" s="29" t="str">
        <f t="shared" si="16"/>
        <v>-</v>
      </c>
      <c r="O182" s="30" t="str">
        <f t="shared" si="17"/>
        <v>-</v>
      </c>
      <c r="Q182" s="30" t="str">
        <f t="shared" si="12"/>
        <v>-</v>
      </c>
    </row>
    <row r="183" spans="1:17">
      <c r="A183" s="41">
        <v>10303</v>
      </c>
      <c r="B183" s="42">
        <v>810487033008</v>
      </c>
      <c r="C183" s="43" t="s">
        <v>50</v>
      </c>
      <c r="D183" s="44" t="s">
        <v>8</v>
      </c>
      <c r="E183" s="45">
        <v>0.47192506162083336</v>
      </c>
      <c r="F183" s="37" t="s">
        <v>451</v>
      </c>
      <c r="G183" s="46">
        <v>86.167900000000003</v>
      </c>
      <c r="H183" s="47"/>
      <c r="I183" s="48">
        <f t="shared" si="13"/>
        <v>0</v>
      </c>
      <c r="L183" s="28" t="str">
        <f t="shared" si="14"/>
        <v>-</v>
      </c>
      <c r="M183" s="28" t="str">
        <f t="shared" si="15"/>
        <v>-</v>
      </c>
      <c r="N183" s="29" t="str">
        <f t="shared" si="16"/>
        <v>-</v>
      </c>
      <c r="O183" s="30" t="str">
        <f t="shared" si="17"/>
        <v>-</v>
      </c>
      <c r="Q183" s="30" t="str">
        <f t="shared" si="12"/>
        <v>-</v>
      </c>
    </row>
    <row r="184" spans="1:17">
      <c r="A184" s="41">
        <v>10331</v>
      </c>
      <c r="B184" s="42">
        <v>810487034104</v>
      </c>
      <c r="C184" s="43" t="s">
        <v>249</v>
      </c>
      <c r="D184" s="44" t="s">
        <v>408</v>
      </c>
      <c r="E184" s="45">
        <v>5.5772961827916676E-2</v>
      </c>
      <c r="F184" s="37" t="s">
        <v>451</v>
      </c>
      <c r="G184" s="46">
        <v>19.039149999999999</v>
      </c>
      <c r="H184" s="47"/>
      <c r="I184" s="48">
        <f t="shared" si="13"/>
        <v>0</v>
      </c>
      <c r="L184" s="28" t="str">
        <f t="shared" si="14"/>
        <v>-</v>
      </c>
      <c r="M184" s="28" t="str">
        <f t="shared" si="15"/>
        <v>-</v>
      </c>
      <c r="N184" s="29" t="str">
        <f t="shared" si="16"/>
        <v>-</v>
      </c>
      <c r="O184" s="30" t="str">
        <f t="shared" si="17"/>
        <v>-</v>
      </c>
      <c r="Q184" s="30" t="str">
        <f t="shared" si="12"/>
        <v>-</v>
      </c>
    </row>
    <row r="185" spans="1:17">
      <c r="A185" s="41">
        <v>10270</v>
      </c>
      <c r="B185" s="42">
        <v>810487031806</v>
      </c>
      <c r="C185" s="43" t="s">
        <v>51</v>
      </c>
      <c r="D185" s="44" t="s">
        <v>6</v>
      </c>
      <c r="E185" s="45">
        <v>0.51482733995000007</v>
      </c>
      <c r="F185" s="37" t="s">
        <v>451</v>
      </c>
      <c r="G185" s="46">
        <v>67.106649999999988</v>
      </c>
      <c r="H185" s="47"/>
      <c r="I185" s="48">
        <f t="shared" si="13"/>
        <v>0</v>
      </c>
      <c r="L185" s="28" t="str">
        <f t="shared" si="14"/>
        <v>-</v>
      </c>
      <c r="M185" s="28" t="str">
        <f t="shared" si="15"/>
        <v>-</v>
      </c>
      <c r="N185" s="29" t="str">
        <f t="shared" si="16"/>
        <v>-</v>
      </c>
      <c r="O185" s="30" t="str">
        <f t="shared" si="17"/>
        <v>-</v>
      </c>
      <c r="Q185" s="30" t="str">
        <f t="shared" si="12"/>
        <v>-</v>
      </c>
    </row>
    <row r="186" spans="1:17">
      <c r="A186" s="41">
        <v>10386</v>
      </c>
      <c r="B186" s="42">
        <v>810094210298</v>
      </c>
      <c r="C186" s="43" t="s">
        <v>251</v>
      </c>
      <c r="D186" s="44" t="s">
        <v>409</v>
      </c>
      <c r="E186" s="45">
        <v>0.57918075744374997</v>
      </c>
      <c r="F186" s="37" t="s">
        <v>451</v>
      </c>
      <c r="G186" s="46">
        <v>16.552900000000001</v>
      </c>
      <c r="H186" s="47"/>
      <c r="I186" s="48">
        <f t="shared" si="13"/>
        <v>0</v>
      </c>
      <c r="L186" s="28" t="str">
        <f t="shared" si="14"/>
        <v>-</v>
      </c>
      <c r="M186" s="28" t="str">
        <f t="shared" si="15"/>
        <v>-</v>
      </c>
      <c r="N186" s="29" t="str">
        <f t="shared" si="16"/>
        <v>-</v>
      </c>
      <c r="O186" s="30" t="str">
        <f t="shared" si="17"/>
        <v>-</v>
      </c>
      <c r="Q186" s="30" t="str">
        <f t="shared" si="12"/>
        <v>-</v>
      </c>
    </row>
    <row r="187" spans="1:17">
      <c r="A187" s="41">
        <v>10383</v>
      </c>
      <c r="B187" s="42">
        <v>810094210205</v>
      </c>
      <c r="C187" s="43" t="s">
        <v>256</v>
      </c>
      <c r="D187" s="44" t="s">
        <v>23</v>
      </c>
      <c r="E187" s="45">
        <v>0.21451139164583335</v>
      </c>
      <c r="F187" s="37" t="s">
        <v>451</v>
      </c>
      <c r="G187" s="46">
        <v>16.552900000000001</v>
      </c>
      <c r="H187" s="47"/>
      <c r="I187" s="48">
        <f t="shared" si="13"/>
        <v>0</v>
      </c>
      <c r="L187" s="28" t="str">
        <f t="shared" si="14"/>
        <v>-</v>
      </c>
      <c r="M187" s="28" t="str">
        <f t="shared" si="15"/>
        <v>-</v>
      </c>
      <c r="N187" s="29" t="str">
        <f t="shared" si="16"/>
        <v>-</v>
      </c>
      <c r="O187" s="30" t="str">
        <f t="shared" si="17"/>
        <v>-</v>
      </c>
      <c r="Q187" s="30" t="str">
        <f t="shared" si="12"/>
        <v>-</v>
      </c>
    </row>
    <row r="188" spans="1:17">
      <c r="A188" s="41">
        <v>10385</v>
      </c>
      <c r="B188" s="42">
        <v>810094210229</v>
      </c>
      <c r="C188" s="43" t="s">
        <v>444</v>
      </c>
      <c r="D188" s="44" t="s">
        <v>23</v>
      </c>
      <c r="E188" s="45">
        <v>0.2230918473116667</v>
      </c>
      <c r="F188" s="37" t="s">
        <v>451</v>
      </c>
      <c r="G188" s="46">
        <v>33.127900000000004</v>
      </c>
      <c r="H188" s="47"/>
      <c r="I188" s="48">
        <f t="shared" si="13"/>
        <v>0</v>
      </c>
      <c r="L188" s="28" t="str">
        <f t="shared" si="14"/>
        <v>-</v>
      </c>
      <c r="M188" s="28" t="str">
        <f t="shared" si="15"/>
        <v>-</v>
      </c>
      <c r="N188" s="29" t="str">
        <f t="shared" si="16"/>
        <v>-</v>
      </c>
      <c r="O188" s="30" t="str">
        <f t="shared" si="17"/>
        <v>-</v>
      </c>
      <c r="Q188" s="30" t="str">
        <f t="shared" si="12"/>
        <v>-</v>
      </c>
    </row>
    <row r="189" spans="1:17">
      <c r="A189" s="41">
        <v>10234</v>
      </c>
      <c r="B189" s="42">
        <v>813006019965</v>
      </c>
      <c r="C189" s="43" t="s">
        <v>258</v>
      </c>
      <c r="D189" s="44" t="s">
        <v>8</v>
      </c>
      <c r="E189" s="45">
        <v>0.21322432329595833</v>
      </c>
      <c r="F189" s="37" t="s">
        <v>451</v>
      </c>
      <c r="G189" s="46">
        <v>66.277900000000002</v>
      </c>
      <c r="H189" s="47"/>
      <c r="I189" s="48">
        <f t="shared" si="13"/>
        <v>0</v>
      </c>
      <c r="L189" s="28" t="str">
        <f t="shared" si="14"/>
        <v>-</v>
      </c>
      <c r="M189" s="28" t="str">
        <f t="shared" si="15"/>
        <v>-</v>
      </c>
      <c r="N189" s="29" t="str">
        <f t="shared" si="16"/>
        <v>-</v>
      </c>
      <c r="O189" s="30" t="str">
        <f t="shared" si="17"/>
        <v>-</v>
      </c>
      <c r="Q189" s="30" t="str">
        <f t="shared" ref="Q189:Q234" si="18">IFERROR(IF(O189+I189=0, "-", IF(O189&gt;0, O189+I189, "-")), "-")</f>
        <v>-</v>
      </c>
    </row>
    <row r="190" spans="1:17">
      <c r="A190" s="41">
        <v>10455</v>
      </c>
      <c r="B190" s="42">
        <v>810094214074</v>
      </c>
      <c r="C190" s="43" t="s">
        <v>264</v>
      </c>
      <c r="D190" s="44" t="s">
        <v>130</v>
      </c>
      <c r="E190" s="45">
        <v>0.34965356838270839</v>
      </c>
      <c r="F190" s="37" t="s">
        <v>451</v>
      </c>
      <c r="G190" s="46">
        <v>16.552900000000001</v>
      </c>
      <c r="H190" s="47"/>
      <c r="I190" s="48">
        <f t="shared" si="13"/>
        <v>0</v>
      </c>
      <c r="L190" s="28" t="str">
        <f t="shared" si="14"/>
        <v>-</v>
      </c>
      <c r="M190" s="28" t="str">
        <f t="shared" si="15"/>
        <v>-</v>
      </c>
      <c r="N190" s="29" t="str">
        <f t="shared" si="16"/>
        <v>-</v>
      </c>
      <c r="O190" s="30" t="str">
        <f t="shared" si="17"/>
        <v>-</v>
      </c>
      <c r="Q190" s="30" t="str">
        <f t="shared" si="18"/>
        <v>-</v>
      </c>
    </row>
    <row r="191" spans="1:17">
      <c r="A191" s="41">
        <v>70011</v>
      </c>
      <c r="B191" s="42">
        <v>810094214067</v>
      </c>
      <c r="C191" s="43" t="s">
        <v>265</v>
      </c>
      <c r="D191" s="44" t="s">
        <v>130</v>
      </c>
      <c r="E191" s="45">
        <v>0.34965356838270839</v>
      </c>
      <c r="F191" s="37" t="s">
        <v>451</v>
      </c>
      <c r="G191" s="46">
        <v>12.40915</v>
      </c>
      <c r="H191" s="47"/>
      <c r="I191" s="48">
        <f t="shared" si="13"/>
        <v>0</v>
      </c>
      <c r="L191" s="28" t="str">
        <f t="shared" si="14"/>
        <v>-</v>
      </c>
      <c r="M191" s="28" t="str">
        <f t="shared" si="15"/>
        <v>-</v>
      </c>
      <c r="N191" s="29" t="str">
        <f t="shared" si="16"/>
        <v>-</v>
      </c>
      <c r="O191" s="30" t="str">
        <f t="shared" si="17"/>
        <v>-</v>
      </c>
      <c r="Q191" s="30" t="str">
        <f t="shared" si="18"/>
        <v>-</v>
      </c>
    </row>
    <row r="192" spans="1:17">
      <c r="A192" s="41">
        <v>10047</v>
      </c>
      <c r="B192" s="42">
        <v>813006014670</v>
      </c>
      <c r="C192" s="43" t="s">
        <v>52</v>
      </c>
      <c r="D192" s="44" t="s">
        <v>441</v>
      </c>
      <c r="E192" s="45">
        <v>0.10249354292837916</v>
      </c>
      <c r="F192" s="37" t="s">
        <v>451</v>
      </c>
      <c r="G192" s="46">
        <v>13.2379</v>
      </c>
      <c r="H192" s="47"/>
      <c r="I192" s="48">
        <f t="shared" si="13"/>
        <v>0</v>
      </c>
      <c r="L192" s="28" t="str">
        <f t="shared" si="14"/>
        <v>-</v>
      </c>
      <c r="M192" s="28" t="str">
        <f t="shared" si="15"/>
        <v>-</v>
      </c>
      <c r="N192" s="29" t="str">
        <f t="shared" si="16"/>
        <v>-</v>
      </c>
      <c r="O192" s="30" t="str">
        <f t="shared" si="17"/>
        <v>-</v>
      </c>
      <c r="Q192" s="30" t="str">
        <f t="shared" si="18"/>
        <v>-</v>
      </c>
    </row>
    <row r="193" spans="1:17">
      <c r="A193" s="41">
        <v>10313</v>
      </c>
      <c r="B193" s="42">
        <v>810487033336</v>
      </c>
      <c r="C193" s="43" t="s">
        <v>53</v>
      </c>
      <c r="D193" s="44" t="s">
        <v>8</v>
      </c>
      <c r="E193" s="45">
        <v>0.38612050496250006</v>
      </c>
      <c r="F193" s="37" t="s">
        <v>451</v>
      </c>
      <c r="G193" s="46">
        <v>49.7029</v>
      </c>
      <c r="H193" s="47"/>
      <c r="I193" s="48">
        <f t="shared" si="13"/>
        <v>0</v>
      </c>
      <c r="L193" s="28" t="str">
        <f t="shared" si="14"/>
        <v>-</v>
      </c>
      <c r="M193" s="28" t="str">
        <f t="shared" si="15"/>
        <v>-</v>
      </c>
      <c r="N193" s="29" t="str">
        <f t="shared" si="16"/>
        <v>-</v>
      </c>
      <c r="O193" s="30" t="str">
        <f t="shared" si="17"/>
        <v>-</v>
      </c>
      <c r="Q193" s="30" t="str">
        <f t="shared" si="18"/>
        <v>-</v>
      </c>
    </row>
    <row r="194" spans="1:17">
      <c r="A194" s="41">
        <v>10009</v>
      </c>
      <c r="B194" s="42">
        <v>813006011945</v>
      </c>
      <c r="C194" s="43" t="s">
        <v>267</v>
      </c>
      <c r="D194" s="44" t="s">
        <v>7</v>
      </c>
      <c r="E194" s="45">
        <v>0.13621473369510417</v>
      </c>
      <c r="F194" s="37" t="s">
        <v>451</v>
      </c>
      <c r="G194" s="46">
        <v>23.1829</v>
      </c>
      <c r="H194" s="47"/>
      <c r="I194" s="48">
        <f t="shared" si="13"/>
        <v>0</v>
      </c>
      <c r="L194" s="28" t="str">
        <f t="shared" si="14"/>
        <v>-</v>
      </c>
      <c r="M194" s="28" t="str">
        <f t="shared" si="15"/>
        <v>-</v>
      </c>
      <c r="N194" s="29" t="str">
        <f t="shared" si="16"/>
        <v>-</v>
      </c>
      <c r="O194" s="30" t="str">
        <f t="shared" si="17"/>
        <v>-</v>
      </c>
      <c r="Q194" s="30" t="str">
        <f t="shared" si="18"/>
        <v>-</v>
      </c>
    </row>
    <row r="195" spans="1:17">
      <c r="A195" s="41">
        <v>10081</v>
      </c>
      <c r="B195" s="42">
        <v>813006015325</v>
      </c>
      <c r="C195" s="43" t="s">
        <v>54</v>
      </c>
      <c r="D195" s="44" t="s">
        <v>8</v>
      </c>
      <c r="E195" s="45">
        <v>0.16217061208425002</v>
      </c>
      <c r="F195" s="37" t="s">
        <v>451</v>
      </c>
      <c r="G195" s="46">
        <v>57.990400000000001</v>
      </c>
      <c r="H195" s="47"/>
      <c r="I195" s="48">
        <f t="shared" ref="I195:I258" si="19">H195*G195</f>
        <v>0</v>
      </c>
      <c r="L195" s="28" t="str">
        <f t="shared" si="14"/>
        <v>-</v>
      </c>
      <c r="M195" s="28" t="str">
        <f t="shared" si="15"/>
        <v>-</v>
      </c>
      <c r="N195" s="29" t="str">
        <f t="shared" si="16"/>
        <v>-</v>
      </c>
      <c r="O195" s="30" t="str">
        <f t="shared" si="17"/>
        <v>-</v>
      </c>
      <c r="Q195" s="30" t="str">
        <f t="shared" si="18"/>
        <v>-</v>
      </c>
    </row>
    <row r="196" spans="1:17">
      <c r="A196" s="41">
        <v>10439</v>
      </c>
      <c r="B196" s="42">
        <v>810094213732</v>
      </c>
      <c r="C196" s="43" t="s">
        <v>127</v>
      </c>
      <c r="D196" s="44" t="s">
        <v>7</v>
      </c>
      <c r="E196" s="45">
        <v>0.13728729065333334</v>
      </c>
      <c r="F196" s="37" t="s">
        <v>451</v>
      </c>
      <c r="G196" s="46">
        <v>26.497900000000001</v>
      </c>
      <c r="H196" s="47"/>
      <c r="I196" s="48">
        <f t="shared" si="19"/>
        <v>0</v>
      </c>
      <c r="L196" s="28" t="str">
        <f t="shared" ref="L196:L252" si="20">IFERROR(IF($L$2*E196=0, "-", $L$2*E196), "-")</f>
        <v>-</v>
      </c>
      <c r="M196" s="28" t="str">
        <f t="shared" ref="M196:M252" si="21">IFERROR(IF(L196&gt;0,G196+L196,"-"),"-")</f>
        <v>-</v>
      </c>
      <c r="N196" s="29" t="str">
        <f t="shared" ref="N196:N252" si="22">IF(H196&gt;0,H196*E196, "-")</f>
        <v>-</v>
      </c>
      <c r="O196" s="30" t="str">
        <f t="shared" ref="O196:O252" si="23">IFERROR(IF($L$2&gt;0, $L$2*N196, "-"), "-")</f>
        <v>-</v>
      </c>
      <c r="Q196" s="30" t="str">
        <f t="shared" si="18"/>
        <v>-</v>
      </c>
    </row>
    <row r="197" spans="1:17">
      <c r="A197" s="41">
        <v>10222</v>
      </c>
      <c r="B197" s="42">
        <v>813006018425</v>
      </c>
      <c r="C197" s="43" t="s">
        <v>268</v>
      </c>
      <c r="D197" s="44" t="s">
        <v>411</v>
      </c>
      <c r="E197" s="45">
        <v>0.45476415028916672</v>
      </c>
      <c r="F197" s="37" t="s">
        <v>451</v>
      </c>
      <c r="G197" s="46">
        <v>10.751650000000001</v>
      </c>
      <c r="H197" s="47"/>
      <c r="I197" s="48">
        <f t="shared" si="19"/>
        <v>0</v>
      </c>
      <c r="L197" s="28" t="str">
        <f t="shared" si="20"/>
        <v>-</v>
      </c>
      <c r="M197" s="28" t="str">
        <f t="shared" si="21"/>
        <v>-</v>
      </c>
      <c r="N197" s="29" t="str">
        <f t="shared" si="22"/>
        <v>-</v>
      </c>
      <c r="O197" s="30" t="str">
        <f t="shared" si="23"/>
        <v>-</v>
      </c>
      <c r="Q197" s="30" t="str">
        <f t="shared" si="18"/>
        <v>-</v>
      </c>
    </row>
    <row r="198" spans="1:17">
      <c r="A198" s="41">
        <v>10013</v>
      </c>
      <c r="B198" s="42">
        <v>813006010351</v>
      </c>
      <c r="C198" s="43" t="s">
        <v>269</v>
      </c>
      <c r="D198" s="44" t="s">
        <v>55</v>
      </c>
      <c r="E198" s="45">
        <v>0.81085306042124994</v>
      </c>
      <c r="F198" s="37" t="s">
        <v>451</v>
      </c>
      <c r="G198" s="46">
        <v>39.757899999999992</v>
      </c>
      <c r="H198" s="47"/>
      <c r="I198" s="48">
        <f t="shared" si="19"/>
        <v>0</v>
      </c>
      <c r="L198" s="28" t="str">
        <f t="shared" si="20"/>
        <v>-</v>
      </c>
      <c r="M198" s="28" t="str">
        <f t="shared" si="21"/>
        <v>-</v>
      </c>
      <c r="N198" s="29" t="str">
        <f t="shared" si="22"/>
        <v>-</v>
      </c>
      <c r="O198" s="30" t="str">
        <f t="shared" si="23"/>
        <v>-</v>
      </c>
      <c r="Q198" s="30" t="str">
        <f t="shared" si="18"/>
        <v>-</v>
      </c>
    </row>
    <row r="199" spans="1:17">
      <c r="A199" s="41">
        <v>10277</v>
      </c>
      <c r="B199" s="42">
        <v>810487032230</v>
      </c>
      <c r="C199" s="43" t="s">
        <v>270</v>
      </c>
      <c r="D199" s="44" t="s">
        <v>55</v>
      </c>
      <c r="E199" s="45">
        <v>0.58837410279999991</v>
      </c>
      <c r="F199" s="37" t="s">
        <v>451</v>
      </c>
      <c r="G199" s="46">
        <v>41.415399999999998</v>
      </c>
      <c r="H199" s="47"/>
      <c r="I199" s="48">
        <f t="shared" si="19"/>
        <v>0</v>
      </c>
      <c r="L199" s="28" t="str">
        <f t="shared" si="20"/>
        <v>-</v>
      </c>
      <c r="M199" s="28" t="str">
        <f t="shared" si="21"/>
        <v>-</v>
      </c>
      <c r="N199" s="29" t="str">
        <f t="shared" si="22"/>
        <v>-</v>
      </c>
      <c r="O199" s="30" t="str">
        <f t="shared" si="23"/>
        <v>-</v>
      </c>
      <c r="Q199" s="30" t="str">
        <f t="shared" si="18"/>
        <v>-</v>
      </c>
    </row>
    <row r="200" spans="1:17">
      <c r="A200" s="41">
        <v>10278</v>
      </c>
      <c r="B200" s="42">
        <v>810487032247</v>
      </c>
      <c r="C200" s="43" t="s">
        <v>271</v>
      </c>
      <c r="D200" s="44" t="s">
        <v>55</v>
      </c>
      <c r="E200" s="45">
        <v>0.58837410279999991</v>
      </c>
      <c r="F200" s="37" t="s">
        <v>451</v>
      </c>
      <c r="G200" s="46">
        <v>43.901649999999997</v>
      </c>
      <c r="H200" s="47"/>
      <c r="I200" s="48">
        <f t="shared" si="19"/>
        <v>0</v>
      </c>
      <c r="L200" s="28" t="str">
        <f t="shared" si="20"/>
        <v>-</v>
      </c>
      <c r="M200" s="28" t="str">
        <f t="shared" si="21"/>
        <v>-</v>
      </c>
      <c r="N200" s="29" t="str">
        <f t="shared" si="22"/>
        <v>-</v>
      </c>
      <c r="O200" s="30" t="str">
        <f t="shared" si="23"/>
        <v>-</v>
      </c>
      <c r="Q200" s="30" t="str">
        <f t="shared" si="18"/>
        <v>-</v>
      </c>
    </row>
    <row r="201" spans="1:17">
      <c r="A201" s="41">
        <v>10229</v>
      </c>
      <c r="B201" s="42">
        <v>813006019392</v>
      </c>
      <c r="C201" s="43" t="s">
        <v>272</v>
      </c>
      <c r="D201" s="44" t="s">
        <v>55</v>
      </c>
      <c r="E201" s="45">
        <v>0.81085306042124994</v>
      </c>
      <c r="F201" s="37" t="s">
        <v>451</v>
      </c>
      <c r="G201" s="46">
        <v>41.415399999999998</v>
      </c>
      <c r="H201" s="47"/>
      <c r="I201" s="48">
        <f t="shared" si="19"/>
        <v>0</v>
      </c>
      <c r="L201" s="28" t="str">
        <f t="shared" si="20"/>
        <v>-</v>
      </c>
      <c r="M201" s="28" t="str">
        <f t="shared" si="21"/>
        <v>-</v>
      </c>
      <c r="N201" s="29" t="str">
        <f t="shared" si="22"/>
        <v>-</v>
      </c>
      <c r="O201" s="30" t="str">
        <f t="shared" si="23"/>
        <v>-</v>
      </c>
      <c r="Q201" s="30" t="str">
        <f t="shared" si="18"/>
        <v>-</v>
      </c>
    </row>
    <row r="202" spans="1:17">
      <c r="A202" s="41">
        <v>10220</v>
      </c>
      <c r="B202" s="42">
        <v>813006018869</v>
      </c>
      <c r="C202" s="43" t="s">
        <v>275</v>
      </c>
      <c r="D202" s="44" t="s">
        <v>7</v>
      </c>
      <c r="E202" s="45">
        <v>0.15015797415208335</v>
      </c>
      <c r="F202" s="37" t="s">
        <v>451</v>
      </c>
      <c r="G202" s="46">
        <v>10.751650000000001</v>
      </c>
      <c r="H202" s="47"/>
      <c r="I202" s="48">
        <f t="shared" si="19"/>
        <v>0</v>
      </c>
      <c r="L202" s="28" t="str">
        <f t="shared" si="20"/>
        <v>-</v>
      </c>
      <c r="M202" s="28" t="str">
        <f t="shared" si="21"/>
        <v>-</v>
      </c>
      <c r="N202" s="29" t="str">
        <f t="shared" si="22"/>
        <v>-</v>
      </c>
      <c r="O202" s="30" t="str">
        <f t="shared" si="23"/>
        <v>-</v>
      </c>
      <c r="Q202" s="30" t="str">
        <f t="shared" si="18"/>
        <v>-</v>
      </c>
    </row>
    <row r="203" spans="1:17">
      <c r="A203" s="41">
        <v>10429</v>
      </c>
      <c r="B203" s="42">
        <v>810094213107</v>
      </c>
      <c r="C203" s="43" t="s">
        <v>277</v>
      </c>
      <c r="D203" s="44" t="s">
        <v>7</v>
      </c>
      <c r="E203" s="45">
        <v>0.14917122175051251</v>
      </c>
      <c r="F203" s="37" t="s">
        <v>451</v>
      </c>
      <c r="G203" s="46">
        <v>24.840400000000002</v>
      </c>
      <c r="H203" s="47"/>
      <c r="I203" s="48">
        <f t="shared" si="19"/>
        <v>0</v>
      </c>
      <c r="L203" s="28" t="str">
        <f t="shared" si="20"/>
        <v>-</v>
      </c>
      <c r="M203" s="28" t="str">
        <f t="shared" si="21"/>
        <v>-</v>
      </c>
      <c r="N203" s="29" t="str">
        <f t="shared" si="22"/>
        <v>-</v>
      </c>
      <c r="O203" s="30" t="str">
        <f t="shared" si="23"/>
        <v>-</v>
      </c>
      <c r="Q203" s="30" t="str">
        <f t="shared" si="18"/>
        <v>-</v>
      </c>
    </row>
    <row r="204" spans="1:17">
      <c r="A204" s="41">
        <v>10379</v>
      </c>
      <c r="B204" s="42">
        <v>810094210120</v>
      </c>
      <c r="C204" s="43" t="s">
        <v>278</v>
      </c>
      <c r="D204" s="44" t="s">
        <v>42</v>
      </c>
      <c r="E204" s="45">
        <v>0.34321822663333329</v>
      </c>
      <c r="F204" s="37" t="s">
        <v>451</v>
      </c>
      <c r="G204" s="46">
        <v>24.840400000000002</v>
      </c>
      <c r="H204" s="47"/>
      <c r="I204" s="48">
        <f t="shared" si="19"/>
        <v>0</v>
      </c>
      <c r="L204" s="28" t="str">
        <f t="shared" si="20"/>
        <v>-</v>
      </c>
      <c r="M204" s="28" t="str">
        <f t="shared" si="21"/>
        <v>-</v>
      </c>
      <c r="N204" s="29" t="str">
        <f t="shared" si="22"/>
        <v>-</v>
      </c>
      <c r="O204" s="30" t="str">
        <f t="shared" si="23"/>
        <v>-</v>
      </c>
      <c r="Q204" s="30" t="str">
        <f t="shared" si="18"/>
        <v>-</v>
      </c>
    </row>
    <row r="205" spans="1:17">
      <c r="A205" s="41">
        <v>40138</v>
      </c>
      <c r="B205" s="42">
        <v>810487030670</v>
      </c>
      <c r="C205" s="43" t="s">
        <v>279</v>
      </c>
      <c r="D205" s="44" t="s">
        <v>413</v>
      </c>
      <c r="E205" s="45">
        <v>0.14565323492752083</v>
      </c>
      <c r="F205" s="37" t="s">
        <v>451</v>
      </c>
      <c r="G205" s="46">
        <v>20.696650000000002</v>
      </c>
      <c r="H205" s="47"/>
      <c r="I205" s="48">
        <f t="shared" si="19"/>
        <v>0</v>
      </c>
      <c r="L205" s="28" t="str">
        <f t="shared" si="20"/>
        <v>-</v>
      </c>
      <c r="M205" s="28" t="str">
        <f t="shared" si="21"/>
        <v>-</v>
      </c>
      <c r="N205" s="29" t="str">
        <f t="shared" si="22"/>
        <v>-</v>
      </c>
      <c r="O205" s="30" t="str">
        <f t="shared" si="23"/>
        <v>-</v>
      </c>
      <c r="Q205" s="30" t="str">
        <f t="shared" si="18"/>
        <v>-</v>
      </c>
    </row>
    <row r="206" spans="1:17">
      <c r="A206" s="41">
        <v>40182</v>
      </c>
      <c r="B206" s="42">
        <v>810487032537</v>
      </c>
      <c r="C206" s="43" t="s">
        <v>280</v>
      </c>
      <c r="D206" s="44" t="s">
        <v>414</v>
      </c>
      <c r="E206" s="45">
        <v>0.34321822663333329</v>
      </c>
      <c r="F206" s="37" t="s">
        <v>451</v>
      </c>
      <c r="G206" s="46">
        <v>24.840400000000002</v>
      </c>
      <c r="H206" s="47"/>
      <c r="I206" s="48">
        <f t="shared" si="19"/>
        <v>0</v>
      </c>
      <c r="L206" s="28" t="str">
        <f t="shared" si="20"/>
        <v>-</v>
      </c>
      <c r="M206" s="28" t="str">
        <f t="shared" si="21"/>
        <v>-</v>
      </c>
      <c r="N206" s="29" t="str">
        <f t="shared" si="22"/>
        <v>-</v>
      </c>
      <c r="O206" s="30" t="str">
        <f t="shared" si="23"/>
        <v>-</v>
      </c>
      <c r="Q206" s="30" t="str">
        <f t="shared" si="18"/>
        <v>-</v>
      </c>
    </row>
    <row r="207" spans="1:17">
      <c r="A207" s="41">
        <v>30176</v>
      </c>
      <c r="B207" s="42">
        <v>813006018142</v>
      </c>
      <c r="C207" s="43" t="s">
        <v>281</v>
      </c>
      <c r="D207" s="44" t="s">
        <v>415</v>
      </c>
      <c r="E207" s="45">
        <v>0.85804556658333342</v>
      </c>
      <c r="F207" s="37" t="s">
        <v>451</v>
      </c>
      <c r="G207" s="46">
        <v>20.696650000000002</v>
      </c>
      <c r="H207" s="47"/>
      <c r="I207" s="48">
        <f t="shared" si="19"/>
        <v>0</v>
      </c>
      <c r="L207" s="28" t="str">
        <f t="shared" si="20"/>
        <v>-</v>
      </c>
      <c r="M207" s="28" t="str">
        <f t="shared" si="21"/>
        <v>-</v>
      </c>
      <c r="N207" s="29" t="str">
        <f t="shared" si="22"/>
        <v>-</v>
      </c>
      <c r="O207" s="30" t="str">
        <f t="shared" si="23"/>
        <v>-</v>
      </c>
      <c r="Q207" s="30" t="str">
        <f t="shared" si="18"/>
        <v>-</v>
      </c>
    </row>
    <row r="208" spans="1:17">
      <c r="A208" s="41">
        <v>30398</v>
      </c>
      <c r="B208" s="42">
        <v>810487031745</v>
      </c>
      <c r="C208" s="43" t="s">
        <v>282</v>
      </c>
      <c r="D208" s="44" t="s">
        <v>415</v>
      </c>
      <c r="E208" s="45">
        <v>0.85804556658333342</v>
      </c>
      <c r="F208" s="37" t="s">
        <v>451</v>
      </c>
      <c r="G208" s="46">
        <v>19.039149999999999</v>
      </c>
      <c r="H208" s="47"/>
      <c r="I208" s="48">
        <f t="shared" si="19"/>
        <v>0</v>
      </c>
      <c r="L208" s="28" t="str">
        <f t="shared" si="20"/>
        <v>-</v>
      </c>
      <c r="M208" s="28" t="str">
        <f t="shared" si="21"/>
        <v>-</v>
      </c>
      <c r="N208" s="29" t="str">
        <f t="shared" si="22"/>
        <v>-</v>
      </c>
      <c r="O208" s="30" t="str">
        <f t="shared" si="23"/>
        <v>-</v>
      </c>
      <c r="Q208" s="30" t="str">
        <f t="shared" si="18"/>
        <v>-</v>
      </c>
    </row>
    <row r="209" spans="1:17">
      <c r="A209" s="41">
        <v>10430</v>
      </c>
      <c r="B209" s="42">
        <v>810094213121</v>
      </c>
      <c r="C209" s="43" t="s">
        <v>283</v>
      </c>
      <c r="D209" s="44" t="s">
        <v>23</v>
      </c>
      <c r="E209" s="45">
        <v>0.29418705139999995</v>
      </c>
      <c r="F209" s="37" t="s">
        <v>451</v>
      </c>
      <c r="G209" s="46">
        <v>33.127900000000004</v>
      </c>
      <c r="H209" s="47"/>
      <c r="I209" s="48">
        <f t="shared" si="19"/>
        <v>0</v>
      </c>
      <c r="L209" s="28" t="str">
        <f t="shared" si="20"/>
        <v>-</v>
      </c>
      <c r="M209" s="28" t="str">
        <f t="shared" si="21"/>
        <v>-</v>
      </c>
      <c r="N209" s="29" t="str">
        <f t="shared" si="22"/>
        <v>-</v>
      </c>
      <c r="O209" s="30" t="str">
        <f t="shared" si="23"/>
        <v>-</v>
      </c>
      <c r="Q209" s="30" t="str">
        <f t="shared" si="18"/>
        <v>-</v>
      </c>
    </row>
    <row r="210" spans="1:17">
      <c r="A210" s="41">
        <v>10406</v>
      </c>
      <c r="B210" s="42">
        <v>810094212094</v>
      </c>
      <c r="C210" s="43" t="s">
        <v>285</v>
      </c>
      <c r="D210" s="44" t="s">
        <v>5</v>
      </c>
      <c r="E210" s="45">
        <v>0.15616429311816668</v>
      </c>
      <c r="F210" s="37" t="s">
        <v>451</v>
      </c>
      <c r="G210" s="46">
        <v>20.696650000000002</v>
      </c>
      <c r="H210" s="47"/>
      <c r="I210" s="48">
        <f t="shared" si="19"/>
        <v>0</v>
      </c>
      <c r="L210" s="28" t="str">
        <f t="shared" si="20"/>
        <v>-</v>
      </c>
      <c r="M210" s="28" t="str">
        <f t="shared" si="21"/>
        <v>-</v>
      </c>
      <c r="N210" s="29" t="str">
        <f t="shared" si="22"/>
        <v>-</v>
      </c>
      <c r="O210" s="30" t="str">
        <f t="shared" si="23"/>
        <v>-</v>
      </c>
      <c r="Q210" s="30" t="str">
        <f t="shared" si="18"/>
        <v>-</v>
      </c>
    </row>
    <row r="211" spans="1:17">
      <c r="A211" s="41">
        <v>10309</v>
      </c>
      <c r="B211" s="42">
        <v>810487033350</v>
      </c>
      <c r="C211" s="43" t="s">
        <v>286</v>
      </c>
      <c r="D211" s="44" t="s">
        <v>103</v>
      </c>
      <c r="E211" s="45">
        <v>0.38612050496250006</v>
      </c>
      <c r="F211" s="37" t="s">
        <v>451</v>
      </c>
      <c r="G211" s="46">
        <v>57.990400000000001</v>
      </c>
      <c r="H211" s="47"/>
      <c r="I211" s="48">
        <f t="shared" si="19"/>
        <v>0</v>
      </c>
      <c r="L211" s="28" t="str">
        <f t="shared" si="20"/>
        <v>-</v>
      </c>
      <c r="M211" s="28" t="str">
        <f t="shared" si="21"/>
        <v>-</v>
      </c>
      <c r="N211" s="29" t="str">
        <f t="shared" si="22"/>
        <v>-</v>
      </c>
      <c r="O211" s="30" t="str">
        <f t="shared" si="23"/>
        <v>-</v>
      </c>
      <c r="Q211" s="30" t="str">
        <f t="shared" si="18"/>
        <v>-</v>
      </c>
    </row>
    <row r="212" spans="1:17">
      <c r="A212" s="41">
        <v>10322</v>
      </c>
      <c r="B212" s="42">
        <v>810487033572</v>
      </c>
      <c r="C212" s="43" t="s">
        <v>287</v>
      </c>
      <c r="D212" s="44" t="s">
        <v>11</v>
      </c>
      <c r="E212" s="45">
        <v>9.4385012324166684E-2</v>
      </c>
      <c r="F212" s="37" t="s">
        <v>451</v>
      </c>
      <c r="G212" s="46">
        <v>16.552900000000001</v>
      </c>
      <c r="H212" s="47"/>
      <c r="I212" s="48">
        <f t="shared" si="19"/>
        <v>0</v>
      </c>
      <c r="L212" s="28" t="str">
        <f t="shared" si="20"/>
        <v>-</v>
      </c>
      <c r="M212" s="28" t="str">
        <f t="shared" si="21"/>
        <v>-</v>
      </c>
      <c r="N212" s="29" t="str">
        <f t="shared" si="22"/>
        <v>-</v>
      </c>
      <c r="O212" s="30" t="str">
        <f t="shared" si="23"/>
        <v>-</v>
      </c>
      <c r="Q212" s="30" t="str">
        <f t="shared" si="18"/>
        <v>-</v>
      </c>
    </row>
    <row r="213" spans="1:17">
      <c r="A213" s="41">
        <v>10435</v>
      </c>
      <c r="B213" s="42">
        <v>810094213466</v>
      </c>
      <c r="C213" s="43" t="s">
        <v>288</v>
      </c>
      <c r="D213" s="44" t="s">
        <v>17</v>
      </c>
      <c r="E213" s="45">
        <v>0.13619999999999999</v>
      </c>
      <c r="F213" s="37" t="s">
        <v>451</v>
      </c>
      <c r="G213" s="46">
        <v>16.552900000000001</v>
      </c>
      <c r="H213" s="47"/>
      <c r="I213" s="48">
        <f t="shared" si="19"/>
        <v>0</v>
      </c>
      <c r="J213" s="58"/>
      <c r="K213" s="58"/>
      <c r="L213" s="28" t="str">
        <f t="shared" si="20"/>
        <v>-</v>
      </c>
      <c r="M213" s="28" t="str">
        <f t="shared" si="21"/>
        <v>-</v>
      </c>
      <c r="N213" s="29" t="str">
        <f t="shared" si="22"/>
        <v>-</v>
      </c>
      <c r="O213" s="30" t="str">
        <f t="shared" si="23"/>
        <v>-</v>
      </c>
      <c r="Q213" s="30" t="str">
        <f t="shared" si="18"/>
        <v>-</v>
      </c>
    </row>
    <row r="214" spans="1:17">
      <c r="A214" s="41">
        <v>10297</v>
      </c>
      <c r="B214" s="42">
        <v>810487032834</v>
      </c>
      <c r="C214" s="43" t="s">
        <v>289</v>
      </c>
      <c r="D214" s="44" t="s">
        <v>13</v>
      </c>
      <c r="E214" s="45">
        <v>0.42902278329166671</v>
      </c>
      <c r="F214" s="37" t="s">
        <v>451</v>
      </c>
      <c r="G214" s="46">
        <v>24.011650000000003</v>
      </c>
      <c r="H214" s="47"/>
      <c r="I214" s="48">
        <f t="shared" si="19"/>
        <v>0</v>
      </c>
      <c r="L214" s="28" t="str">
        <f t="shared" si="20"/>
        <v>-</v>
      </c>
      <c r="M214" s="28" t="str">
        <f t="shared" si="21"/>
        <v>-</v>
      </c>
      <c r="N214" s="29" t="str">
        <f t="shared" si="22"/>
        <v>-</v>
      </c>
      <c r="O214" s="30" t="str">
        <f t="shared" si="23"/>
        <v>-</v>
      </c>
      <c r="Q214" s="30" t="str">
        <f t="shared" si="18"/>
        <v>-</v>
      </c>
    </row>
    <row r="215" spans="1:17">
      <c r="A215" s="41">
        <v>10458</v>
      </c>
      <c r="B215" s="42">
        <v>810094214043</v>
      </c>
      <c r="C215" s="43" t="s">
        <v>290</v>
      </c>
      <c r="D215" s="44" t="s">
        <v>416</v>
      </c>
      <c r="E215" s="45">
        <v>0.49466326913529174</v>
      </c>
      <c r="F215" s="37" t="s">
        <v>451</v>
      </c>
      <c r="G215" s="46">
        <v>28.984150000000003</v>
      </c>
      <c r="H215" s="47"/>
      <c r="I215" s="48">
        <f t="shared" si="19"/>
        <v>0</v>
      </c>
      <c r="L215" s="28" t="str">
        <f t="shared" si="20"/>
        <v>-</v>
      </c>
      <c r="M215" s="28" t="str">
        <f t="shared" si="21"/>
        <v>-</v>
      </c>
      <c r="N215" s="29" t="str">
        <f t="shared" si="22"/>
        <v>-</v>
      </c>
      <c r="O215" s="30" t="str">
        <f t="shared" si="23"/>
        <v>-</v>
      </c>
      <c r="Q215" s="30" t="str">
        <f t="shared" si="18"/>
        <v>-</v>
      </c>
    </row>
    <row r="216" spans="1:17">
      <c r="A216" s="41">
        <v>10307</v>
      </c>
      <c r="B216" s="42">
        <v>810487033626</v>
      </c>
      <c r="C216" s="43" t="s">
        <v>291</v>
      </c>
      <c r="D216" s="44" t="s">
        <v>12</v>
      </c>
      <c r="E216" s="45">
        <v>0.15444820198499998</v>
      </c>
      <c r="F216" s="37" t="s">
        <v>451</v>
      </c>
      <c r="G216" s="46">
        <v>16.552900000000001</v>
      </c>
      <c r="H216" s="47"/>
      <c r="I216" s="48">
        <f t="shared" si="19"/>
        <v>0</v>
      </c>
      <c r="L216" s="28" t="str">
        <f t="shared" si="20"/>
        <v>-</v>
      </c>
      <c r="M216" s="28" t="str">
        <f t="shared" si="21"/>
        <v>-</v>
      </c>
      <c r="N216" s="29" t="str">
        <f t="shared" si="22"/>
        <v>-</v>
      </c>
      <c r="O216" s="30" t="str">
        <f t="shared" si="23"/>
        <v>-</v>
      </c>
      <c r="Q216" s="30" t="str">
        <f t="shared" si="18"/>
        <v>-</v>
      </c>
    </row>
    <row r="217" spans="1:17">
      <c r="A217" s="41">
        <v>40236</v>
      </c>
      <c r="B217" s="42">
        <v>810487038812</v>
      </c>
      <c r="C217" s="43" t="s">
        <v>292</v>
      </c>
      <c r="D217" s="44" t="s">
        <v>136</v>
      </c>
      <c r="E217" s="45">
        <v>0.65962252931093757</v>
      </c>
      <c r="F217" s="37" t="s">
        <v>451</v>
      </c>
      <c r="G217" s="46">
        <v>33.127900000000004</v>
      </c>
      <c r="H217" s="47"/>
      <c r="I217" s="48">
        <f t="shared" si="19"/>
        <v>0</v>
      </c>
      <c r="L217" s="28" t="str">
        <f t="shared" si="20"/>
        <v>-</v>
      </c>
      <c r="M217" s="28" t="str">
        <f t="shared" si="21"/>
        <v>-</v>
      </c>
      <c r="N217" s="29" t="str">
        <f t="shared" si="22"/>
        <v>-</v>
      </c>
      <c r="O217" s="30" t="str">
        <f t="shared" si="23"/>
        <v>-</v>
      </c>
      <c r="Q217" s="30" t="str">
        <f t="shared" si="18"/>
        <v>-</v>
      </c>
    </row>
    <row r="218" spans="1:17">
      <c r="A218" s="41">
        <v>40257</v>
      </c>
      <c r="B218" s="42">
        <v>810094212353</v>
      </c>
      <c r="C218" s="43" t="s">
        <v>293</v>
      </c>
      <c r="D218" s="44" t="s">
        <v>108</v>
      </c>
      <c r="E218" s="45">
        <v>0.65962252931093757</v>
      </c>
      <c r="F218" s="37" t="s">
        <v>451</v>
      </c>
      <c r="G218" s="46">
        <v>33.127900000000004</v>
      </c>
      <c r="H218" s="47"/>
      <c r="I218" s="48">
        <f t="shared" si="19"/>
        <v>0</v>
      </c>
      <c r="L218" s="28" t="str">
        <f t="shared" si="20"/>
        <v>-</v>
      </c>
      <c r="M218" s="28" t="str">
        <f t="shared" si="21"/>
        <v>-</v>
      </c>
      <c r="N218" s="29" t="str">
        <f t="shared" si="22"/>
        <v>-</v>
      </c>
      <c r="O218" s="30" t="str">
        <f t="shared" si="23"/>
        <v>-</v>
      </c>
      <c r="Q218" s="30" t="str">
        <f t="shared" si="18"/>
        <v>-</v>
      </c>
    </row>
    <row r="219" spans="1:17">
      <c r="A219" s="41">
        <v>40264</v>
      </c>
      <c r="B219" s="42">
        <v>810094213084</v>
      </c>
      <c r="C219" s="43" t="s">
        <v>294</v>
      </c>
      <c r="D219" s="44" t="s">
        <v>128</v>
      </c>
      <c r="E219" s="45">
        <v>0.67785599760083337</v>
      </c>
      <c r="F219" s="37" t="s">
        <v>451</v>
      </c>
      <c r="G219" s="46">
        <v>16.552900000000001</v>
      </c>
      <c r="H219" s="47"/>
      <c r="I219" s="48">
        <f t="shared" si="19"/>
        <v>0</v>
      </c>
      <c r="L219" s="28" t="str">
        <f t="shared" si="20"/>
        <v>-</v>
      </c>
      <c r="M219" s="28" t="str">
        <f t="shared" si="21"/>
        <v>-</v>
      </c>
      <c r="N219" s="29" t="str">
        <f t="shared" si="22"/>
        <v>-</v>
      </c>
      <c r="O219" s="30" t="str">
        <f t="shared" si="23"/>
        <v>-</v>
      </c>
      <c r="Q219" s="30" t="str">
        <f t="shared" si="18"/>
        <v>-</v>
      </c>
    </row>
    <row r="220" spans="1:17">
      <c r="A220" s="41">
        <v>10371</v>
      </c>
      <c r="B220" s="42">
        <v>810487039383</v>
      </c>
      <c r="C220" s="43" t="s">
        <v>295</v>
      </c>
      <c r="D220" s="44" t="s">
        <v>417</v>
      </c>
      <c r="E220" s="45">
        <v>1.4586774631916668</v>
      </c>
      <c r="F220" s="37" t="s">
        <v>451</v>
      </c>
      <c r="G220" s="46">
        <v>24.840400000000002</v>
      </c>
      <c r="H220" s="47"/>
      <c r="I220" s="48">
        <f t="shared" si="19"/>
        <v>0</v>
      </c>
      <c r="L220" s="28" t="str">
        <f t="shared" si="20"/>
        <v>-</v>
      </c>
      <c r="M220" s="28" t="str">
        <f t="shared" si="21"/>
        <v>-</v>
      </c>
      <c r="N220" s="29" t="str">
        <f t="shared" si="22"/>
        <v>-</v>
      </c>
      <c r="O220" s="30" t="str">
        <f t="shared" si="23"/>
        <v>-</v>
      </c>
      <c r="Q220" s="30" t="str">
        <f t="shared" si="18"/>
        <v>-</v>
      </c>
    </row>
    <row r="221" spans="1:17">
      <c r="A221" s="41">
        <v>40246</v>
      </c>
      <c r="B221" s="42">
        <v>810094211837</v>
      </c>
      <c r="C221" s="43" t="s">
        <v>296</v>
      </c>
      <c r="D221" s="44" t="s">
        <v>137</v>
      </c>
      <c r="E221" s="45">
        <v>2.7580036068749997E-2</v>
      </c>
      <c r="F221" s="37" t="s">
        <v>451</v>
      </c>
      <c r="G221" s="46">
        <v>8.2654000000000014</v>
      </c>
      <c r="H221" s="47"/>
      <c r="I221" s="48">
        <f t="shared" si="19"/>
        <v>0</v>
      </c>
      <c r="L221" s="28" t="str">
        <f t="shared" si="20"/>
        <v>-</v>
      </c>
      <c r="M221" s="28" t="str">
        <f t="shared" si="21"/>
        <v>-</v>
      </c>
      <c r="N221" s="29" t="str">
        <f t="shared" si="22"/>
        <v>-</v>
      </c>
      <c r="O221" s="30" t="str">
        <f t="shared" si="23"/>
        <v>-</v>
      </c>
      <c r="Q221" s="30" t="str">
        <f t="shared" si="18"/>
        <v>-</v>
      </c>
    </row>
    <row r="222" spans="1:17">
      <c r="A222" s="41">
        <v>40251</v>
      </c>
      <c r="B222" s="42">
        <v>810094212032</v>
      </c>
      <c r="C222" s="43" t="s">
        <v>297</v>
      </c>
      <c r="D222" s="44" t="s">
        <v>60</v>
      </c>
      <c r="E222" s="45">
        <v>0.61350258010708336</v>
      </c>
      <c r="F222" s="37" t="s">
        <v>451</v>
      </c>
      <c r="G222" s="46">
        <v>7.4366500000000011</v>
      </c>
      <c r="H222" s="47"/>
      <c r="I222" s="48">
        <f t="shared" si="19"/>
        <v>0</v>
      </c>
      <c r="L222" s="28" t="str">
        <f t="shared" si="20"/>
        <v>-</v>
      </c>
      <c r="M222" s="28" t="str">
        <f t="shared" si="21"/>
        <v>-</v>
      </c>
      <c r="N222" s="29" t="str">
        <f t="shared" si="22"/>
        <v>-</v>
      </c>
      <c r="O222" s="30" t="str">
        <f t="shared" si="23"/>
        <v>-</v>
      </c>
      <c r="Q222" s="30" t="str">
        <f t="shared" si="18"/>
        <v>-</v>
      </c>
    </row>
    <row r="223" spans="1:17">
      <c r="A223" s="41">
        <v>40243</v>
      </c>
      <c r="B223" s="42">
        <v>810094211752</v>
      </c>
      <c r="C223" s="43" t="s">
        <v>298</v>
      </c>
      <c r="D223" s="44" t="s">
        <v>418</v>
      </c>
      <c r="E223" s="45">
        <v>0.6129</v>
      </c>
      <c r="F223" s="37" t="s">
        <v>451</v>
      </c>
      <c r="G223" s="46">
        <v>28.984150000000003</v>
      </c>
      <c r="H223" s="47"/>
      <c r="I223" s="48">
        <f t="shared" si="19"/>
        <v>0</v>
      </c>
      <c r="J223" s="58"/>
      <c r="K223" s="58"/>
      <c r="L223" s="28" t="str">
        <f t="shared" si="20"/>
        <v>-</v>
      </c>
      <c r="M223" s="28" t="str">
        <f t="shared" si="21"/>
        <v>-</v>
      </c>
      <c r="N223" s="29" t="str">
        <f t="shared" si="22"/>
        <v>-</v>
      </c>
      <c r="O223" s="30" t="str">
        <f t="shared" si="23"/>
        <v>-</v>
      </c>
      <c r="Q223" s="30" t="str">
        <f t="shared" si="18"/>
        <v>-</v>
      </c>
    </row>
    <row r="224" spans="1:17">
      <c r="A224" s="41">
        <v>40230</v>
      </c>
      <c r="B224" s="42">
        <v>810487034357</v>
      </c>
      <c r="C224" s="43" t="s">
        <v>299</v>
      </c>
      <c r="D224" s="44" t="s">
        <v>418</v>
      </c>
      <c r="E224" s="45">
        <v>0.6129</v>
      </c>
      <c r="F224" s="37" t="s">
        <v>451</v>
      </c>
      <c r="G224" s="46">
        <v>28.984150000000003</v>
      </c>
      <c r="H224" s="47"/>
      <c r="I224" s="48">
        <f t="shared" si="19"/>
        <v>0</v>
      </c>
      <c r="J224" s="58"/>
      <c r="K224" s="58"/>
      <c r="L224" s="28" t="str">
        <f t="shared" si="20"/>
        <v>-</v>
      </c>
      <c r="M224" s="28" t="str">
        <f t="shared" si="21"/>
        <v>-</v>
      </c>
      <c r="N224" s="29" t="str">
        <f t="shared" si="22"/>
        <v>-</v>
      </c>
      <c r="O224" s="30" t="str">
        <f t="shared" si="23"/>
        <v>-</v>
      </c>
      <c r="Q224" s="30" t="str">
        <f t="shared" si="18"/>
        <v>-</v>
      </c>
    </row>
    <row r="225" spans="1:17">
      <c r="A225" s="41">
        <v>40255</v>
      </c>
      <c r="B225" s="42">
        <v>810094212230</v>
      </c>
      <c r="C225" s="43" t="s">
        <v>300</v>
      </c>
      <c r="D225" s="44" t="s">
        <v>64</v>
      </c>
      <c r="E225" s="45">
        <v>0.38612050496250006</v>
      </c>
      <c r="F225" s="37" t="s">
        <v>451</v>
      </c>
      <c r="G225" s="46">
        <v>16.552900000000001</v>
      </c>
      <c r="H225" s="47"/>
      <c r="I225" s="48">
        <f t="shared" si="19"/>
        <v>0</v>
      </c>
      <c r="L225" s="28" t="str">
        <f t="shared" si="20"/>
        <v>-</v>
      </c>
      <c r="M225" s="28" t="str">
        <f t="shared" si="21"/>
        <v>-</v>
      </c>
      <c r="N225" s="29" t="str">
        <f t="shared" si="22"/>
        <v>-</v>
      </c>
      <c r="O225" s="30" t="str">
        <f t="shared" si="23"/>
        <v>-</v>
      </c>
      <c r="Q225" s="30" t="str">
        <f t="shared" si="18"/>
        <v>-</v>
      </c>
    </row>
    <row r="226" spans="1:17">
      <c r="A226" s="41">
        <v>40137</v>
      </c>
      <c r="B226" s="42">
        <v>810487031448</v>
      </c>
      <c r="C226" s="43" t="s">
        <v>446</v>
      </c>
      <c r="D226" s="44" t="s">
        <v>78</v>
      </c>
      <c r="E226" s="45">
        <v>0.41615209979291667</v>
      </c>
      <c r="F226" s="37" t="s">
        <v>451</v>
      </c>
      <c r="G226" s="46">
        <v>16.552900000000001</v>
      </c>
      <c r="H226" s="47"/>
      <c r="I226" s="48">
        <f t="shared" si="19"/>
        <v>0</v>
      </c>
      <c r="L226" s="28" t="str">
        <f t="shared" si="20"/>
        <v>-</v>
      </c>
      <c r="M226" s="28" t="str">
        <f t="shared" si="21"/>
        <v>-</v>
      </c>
      <c r="N226" s="29" t="str">
        <f t="shared" si="22"/>
        <v>-</v>
      </c>
      <c r="O226" s="30" t="str">
        <f t="shared" si="23"/>
        <v>-</v>
      </c>
      <c r="Q226" s="30" t="str">
        <f t="shared" si="18"/>
        <v>-</v>
      </c>
    </row>
    <row r="227" spans="1:17">
      <c r="A227" s="41">
        <v>10291</v>
      </c>
      <c r="B227" s="42">
        <v>810487032506</v>
      </c>
      <c r="C227" s="43" t="s">
        <v>447</v>
      </c>
      <c r="D227" s="44" t="s">
        <v>79</v>
      </c>
      <c r="E227" s="45">
        <v>0.26599412564083336</v>
      </c>
      <c r="F227" s="37" t="s">
        <v>451</v>
      </c>
      <c r="G227" s="46">
        <v>16.552900000000001</v>
      </c>
      <c r="H227" s="47"/>
      <c r="I227" s="48">
        <f t="shared" si="19"/>
        <v>0</v>
      </c>
      <c r="L227" s="28" t="str">
        <f t="shared" si="20"/>
        <v>-</v>
      </c>
      <c r="M227" s="28" t="str">
        <f t="shared" si="21"/>
        <v>-</v>
      </c>
      <c r="N227" s="29" t="str">
        <f t="shared" si="22"/>
        <v>-</v>
      </c>
      <c r="O227" s="30" t="str">
        <f t="shared" si="23"/>
        <v>-</v>
      </c>
      <c r="Q227" s="30" t="str">
        <f t="shared" si="18"/>
        <v>-</v>
      </c>
    </row>
    <row r="228" spans="1:17">
      <c r="A228" s="41">
        <v>40184</v>
      </c>
      <c r="B228" s="42">
        <v>810487032803</v>
      </c>
      <c r="C228" s="43" t="s">
        <v>448</v>
      </c>
      <c r="D228" s="44" t="s">
        <v>419</v>
      </c>
      <c r="E228" s="45">
        <v>0.25741366997500004</v>
      </c>
      <c r="F228" s="37" t="s">
        <v>451</v>
      </c>
      <c r="G228" s="46">
        <v>12.40915</v>
      </c>
      <c r="H228" s="47"/>
      <c r="I228" s="48">
        <f t="shared" si="19"/>
        <v>0</v>
      </c>
      <c r="L228" s="28" t="str">
        <f t="shared" si="20"/>
        <v>-</v>
      </c>
      <c r="M228" s="28" t="str">
        <f t="shared" si="21"/>
        <v>-</v>
      </c>
      <c r="N228" s="29" t="str">
        <f t="shared" si="22"/>
        <v>-</v>
      </c>
      <c r="O228" s="30" t="str">
        <f t="shared" si="23"/>
        <v>-</v>
      </c>
      <c r="Q228" s="30" t="str">
        <f t="shared" si="18"/>
        <v>-</v>
      </c>
    </row>
    <row r="229" spans="1:17">
      <c r="A229" s="41">
        <v>10290</v>
      </c>
      <c r="B229" s="42">
        <v>810487032490</v>
      </c>
      <c r="C229" s="43" t="s">
        <v>301</v>
      </c>
      <c r="D229" s="44" t="s">
        <v>442</v>
      </c>
      <c r="E229" s="45">
        <v>0.26599412564083336</v>
      </c>
      <c r="F229" s="37" t="s">
        <v>451</v>
      </c>
      <c r="G229" s="46">
        <v>16.552900000000001</v>
      </c>
      <c r="H229" s="47"/>
      <c r="I229" s="48">
        <f t="shared" si="19"/>
        <v>0</v>
      </c>
      <c r="L229" s="28" t="str">
        <f t="shared" si="20"/>
        <v>-</v>
      </c>
      <c r="M229" s="28" t="str">
        <f t="shared" si="21"/>
        <v>-</v>
      </c>
      <c r="N229" s="29" t="str">
        <f t="shared" si="22"/>
        <v>-</v>
      </c>
      <c r="O229" s="30" t="str">
        <f t="shared" si="23"/>
        <v>-</v>
      </c>
      <c r="Q229" s="30" t="str">
        <f t="shared" si="18"/>
        <v>-</v>
      </c>
    </row>
    <row r="230" spans="1:17">
      <c r="A230" s="41">
        <v>40208</v>
      </c>
      <c r="B230" s="42">
        <v>810487033138</v>
      </c>
      <c r="C230" s="43" t="s">
        <v>302</v>
      </c>
      <c r="D230" s="44" t="s">
        <v>39</v>
      </c>
      <c r="E230" s="45">
        <v>0.34364724941662506</v>
      </c>
      <c r="F230" s="37" t="s">
        <v>451</v>
      </c>
      <c r="G230" s="46">
        <v>16.552900000000001</v>
      </c>
      <c r="H230" s="47"/>
      <c r="I230" s="48">
        <f t="shared" si="19"/>
        <v>0</v>
      </c>
      <c r="L230" s="28" t="str">
        <f t="shared" si="20"/>
        <v>-</v>
      </c>
      <c r="M230" s="28" t="str">
        <f t="shared" si="21"/>
        <v>-</v>
      </c>
      <c r="N230" s="29" t="str">
        <f t="shared" si="22"/>
        <v>-</v>
      </c>
      <c r="O230" s="30" t="str">
        <f t="shared" si="23"/>
        <v>-</v>
      </c>
      <c r="Q230" s="30" t="str">
        <f t="shared" si="18"/>
        <v>-</v>
      </c>
    </row>
    <row r="231" spans="1:17">
      <c r="A231" s="41">
        <v>40278</v>
      </c>
      <c r="B231" s="42">
        <v>810094214258</v>
      </c>
      <c r="C231" s="43" t="s">
        <v>303</v>
      </c>
      <c r="D231" s="44" t="s">
        <v>426</v>
      </c>
      <c r="E231" s="45">
        <v>0.2831550369725</v>
      </c>
      <c r="F231" s="37" t="s">
        <v>451</v>
      </c>
      <c r="G231" s="46">
        <v>8.2654000000000014</v>
      </c>
      <c r="H231" s="47"/>
      <c r="I231" s="48">
        <f t="shared" si="19"/>
        <v>0</v>
      </c>
      <c r="L231" s="28" t="str">
        <f t="shared" si="20"/>
        <v>-</v>
      </c>
      <c r="M231" s="28" t="str">
        <f t="shared" si="21"/>
        <v>-</v>
      </c>
      <c r="N231" s="29" t="str">
        <f t="shared" si="22"/>
        <v>-</v>
      </c>
      <c r="O231" s="30" t="str">
        <f t="shared" si="23"/>
        <v>-</v>
      </c>
      <c r="Q231" s="30" t="str">
        <f t="shared" si="18"/>
        <v>-</v>
      </c>
    </row>
    <row r="232" spans="1:17">
      <c r="A232" s="41">
        <v>40254</v>
      </c>
      <c r="B232" s="42">
        <v>810094212124</v>
      </c>
      <c r="C232" s="43" t="s">
        <v>304</v>
      </c>
      <c r="D232" s="44" t="s">
        <v>426</v>
      </c>
      <c r="E232" s="45">
        <v>0.2831550369725</v>
      </c>
      <c r="F232" s="37" t="s">
        <v>451</v>
      </c>
      <c r="G232" s="46">
        <v>8.2654000000000014</v>
      </c>
      <c r="H232" s="47"/>
      <c r="I232" s="48">
        <f t="shared" si="19"/>
        <v>0</v>
      </c>
      <c r="L232" s="28" t="str">
        <f t="shared" si="20"/>
        <v>-</v>
      </c>
      <c r="M232" s="28" t="str">
        <f t="shared" si="21"/>
        <v>-</v>
      </c>
      <c r="N232" s="29" t="str">
        <f t="shared" si="22"/>
        <v>-</v>
      </c>
      <c r="O232" s="30" t="str">
        <f t="shared" si="23"/>
        <v>-</v>
      </c>
      <c r="Q232" s="30" t="str">
        <f t="shared" si="18"/>
        <v>-</v>
      </c>
    </row>
    <row r="233" spans="1:17">
      <c r="A233" s="41">
        <v>40262</v>
      </c>
      <c r="B233" s="42">
        <v>810094212520</v>
      </c>
      <c r="C233" s="43" t="s">
        <v>305</v>
      </c>
      <c r="D233" s="44" t="s">
        <v>415</v>
      </c>
      <c r="E233" s="45">
        <v>1.0811374138950001</v>
      </c>
      <c r="F233" s="37" t="s">
        <v>451</v>
      </c>
      <c r="G233" s="46">
        <v>20.696650000000002</v>
      </c>
      <c r="H233" s="47"/>
      <c r="I233" s="48">
        <f t="shared" si="19"/>
        <v>0</v>
      </c>
      <c r="L233" s="28" t="str">
        <f t="shared" si="20"/>
        <v>-</v>
      </c>
      <c r="M233" s="28" t="str">
        <f t="shared" si="21"/>
        <v>-</v>
      </c>
      <c r="N233" s="29" t="str">
        <f t="shared" si="22"/>
        <v>-</v>
      </c>
      <c r="O233" s="30" t="str">
        <f t="shared" si="23"/>
        <v>-</v>
      </c>
      <c r="Q233" s="30" t="str">
        <f t="shared" si="18"/>
        <v>-</v>
      </c>
    </row>
    <row r="234" spans="1:17">
      <c r="A234" s="41">
        <v>40252</v>
      </c>
      <c r="B234" s="42">
        <v>810094212056</v>
      </c>
      <c r="C234" s="43" t="s">
        <v>306</v>
      </c>
      <c r="D234" s="44" t="s">
        <v>60</v>
      </c>
      <c r="E234" s="45">
        <v>0.61350258010708336</v>
      </c>
      <c r="F234" s="37" t="s">
        <v>451</v>
      </c>
      <c r="G234" s="46">
        <v>7.4366500000000011</v>
      </c>
      <c r="H234" s="47"/>
      <c r="I234" s="48">
        <f t="shared" si="19"/>
        <v>0</v>
      </c>
      <c r="L234" s="28" t="str">
        <f t="shared" si="20"/>
        <v>-</v>
      </c>
      <c r="M234" s="28" t="str">
        <f t="shared" si="21"/>
        <v>-</v>
      </c>
      <c r="N234" s="29" t="str">
        <f t="shared" si="22"/>
        <v>-</v>
      </c>
      <c r="O234" s="30" t="str">
        <f t="shared" si="23"/>
        <v>-</v>
      </c>
      <c r="Q234" s="30" t="str">
        <f t="shared" si="18"/>
        <v>-</v>
      </c>
    </row>
    <row r="235" spans="1:17">
      <c r="A235" s="41">
        <v>40209</v>
      </c>
      <c r="B235" s="42">
        <v>810487033145</v>
      </c>
      <c r="C235" s="43" t="s">
        <v>307</v>
      </c>
      <c r="D235" s="44" t="s">
        <v>80</v>
      </c>
      <c r="E235" s="45">
        <v>0.10725569582291668</v>
      </c>
      <c r="F235" s="37" t="s">
        <v>451</v>
      </c>
      <c r="G235" s="46">
        <v>5.7791500000000005</v>
      </c>
      <c r="H235" s="47"/>
      <c r="I235" s="48">
        <f t="shared" si="19"/>
        <v>0</v>
      </c>
      <c r="L235" s="28" t="str">
        <f t="shared" si="20"/>
        <v>-</v>
      </c>
      <c r="M235" s="28" t="str">
        <f t="shared" si="21"/>
        <v>-</v>
      </c>
      <c r="N235" s="29" t="str">
        <f t="shared" si="22"/>
        <v>-</v>
      </c>
      <c r="O235" s="30" t="str">
        <f t="shared" si="23"/>
        <v>-</v>
      </c>
      <c r="Q235" s="30" t="str">
        <f t="shared" ref="Q235:Q285" si="24">IFERROR(IF(O235+I235=0, "-", IF(O235&gt;0, O235+I235, "-")), "-")</f>
        <v>-</v>
      </c>
    </row>
    <row r="236" spans="1:17">
      <c r="A236" s="41">
        <v>40211</v>
      </c>
      <c r="B236" s="42">
        <v>810487033169</v>
      </c>
      <c r="C236" s="43" t="s">
        <v>308</v>
      </c>
      <c r="D236" s="44" t="s">
        <v>80</v>
      </c>
      <c r="E236" s="45">
        <v>0.10725569582291668</v>
      </c>
      <c r="F236" s="37" t="s">
        <v>451</v>
      </c>
      <c r="G236" s="46">
        <v>5.7791500000000005</v>
      </c>
      <c r="H236" s="47"/>
      <c r="I236" s="48">
        <f t="shared" si="19"/>
        <v>0</v>
      </c>
      <c r="L236" s="28" t="str">
        <f t="shared" si="20"/>
        <v>-</v>
      </c>
      <c r="M236" s="28" t="str">
        <f t="shared" si="21"/>
        <v>-</v>
      </c>
      <c r="N236" s="29" t="str">
        <f t="shared" si="22"/>
        <v>-</v>
      </c>
      <c r="O236" s="30" t="str">
        <f t="shared" si="23"/>
        <v>-</v>
      </c>
      <c r="Q236" s="30" t="str">
        <f t="shared" si="24"/>
        <v>-</v>
      </c>
    </row>
    <row r="237" spans="1:17">
      <c r="A237" s="41">
        <v>40210</v>
      </c>
      <c r="B237" s="42">
        <v>810487033152</v>
      </c>
      <c r="C237" s="43" t="s">
        <v>309</v>
      </c>
      <c r="D237" s="44" t="s">
        <v>80</v>
      </c>
      <c r="E237" s="45">
        <v>0.10725569582291668</v>
      </c>
      <c r="F237" s="37" t="s">
        <v>451</v>
      </c>
      <c r="G237" s="46">
        <v>5.7791500000000005</v>
      </c>
      <c r="H237" s="47"/>
      <c r="I237" s="48">
        <f t="shared" si="19"/>
        <v>0</v>
      </c>
      <c r="L237" s="28" t="str">
        <f t="shared" si="20"/>
        <v>-</v>
      </c>
      <c r="M237" s="28" t="str">
        <f t="shared" si="21"/>
        <v>-</v>
      </c>
      <c r="N237" s="29" t="str">
        <f t="shared" si="22"/>
        <v>-</v>
      </c>
      <c r="O237" s="30" t="str">
        <f t="shared" si="23"/>
        <v>-</v>
      </c>
      <c r="Q237" s="30" t="str">
        <f t="shared" si="24"/>
        <v>-</v>
      </c>
    </row>
    <row r="238" spans="1:17">
      <c r="A238" s="41">
        <v>40006</v>
      </c>
      <c r="B238" s="42">
        <v>813006010221</v>
      </c>
      <c r="C238" s="43" t="s">
        <v>310</v>
      </c>
      <c r="D238" s="44" t="s">
        <v>420</v>
      </c>
      <c r="E238" s="45">
        <v>9.0094784491249996E-2</v>
      </c>
      <c r="F238" s="37" t="s">
        <v>451</v>
      </c>
      <c r="G238" s="46">
        <v>23.083449999999999</v>
      </c>
      <c r="H238" s="47"/>
      <c r="I238" s="48">
        <f t="shared" si="19"/>
        <v>0</v>
      </c>
      <c r="L238" s="28" t="str">
        <f t="shared" si="20"/>
        <v>-</v>
      </c>
      <c r="M238" s="28" t="str">
        <f t="shared" si="21"/>
        <v>-</v>
      </c>
      <c r="N238" s="29" t="str">
        <f t="shared" si="22"/>
        <v>-</v>
      </c>
      <c r="O238" s="30" t="str">
        <f t="shared" si="23"/>
        <v>-</v>
      </c>
      <c r="Q238" s="30" t="str">
        <f t="shared" si="24"/>
        <v>-</v>
      </c>
    </row>
    <row r="239" spans="1:17">
      <c r="A239" s="41">
        <v>40129</v>
      </c>
      <c r="B239" s="42">
        <v>813006019033</v>
      </c>
      <c r="C239" s="43" t="s">
        <v>311</v>
      </c>
      <c r="D239" s="44" t="s">
        <v>80</v>
      </c>
      <c r="E239" s="45">
        <v>0.10725569582291668</v>
      </c>
      <c r="F239" s="37" t="s">
        <v>451</v>
      </c>
      <c r="G239" s="46">
        <v>5.7791500000000005</v>
      </c>
      <c r="H239" s="47"/>
      <c r="I239" s="48">
        <f t="shared" si="19"/>
        <v>0</v>
      </c>
      <c r="L239" s="28" t="str">
        <f t="shared" si="20"/>
        <v>-</v>
      </c>
      <c r="M239" s="28" t="str">
        <f t="shared" si="21"/>
        <v>-</v>
      </c>
      <c r="N239" s="29" t="str">
        <f t="shared" si="22"/>
        <v>-</v>
      </c>
      <c r="O239" s="30" t="str">
        <f t="shared" si="23"/>
        <v>-</v>
      </c>
      <c r="Q239" s="30" t="str">
        <f t="shared" si="24"/>
        <v>-</v>
      </c>
    </row>
    <row r="240" spans="1:17">
      <c r="A240" s="41">
        <v>40126</v>
      </c>
      <c r="B240" s="42">
        <v>813006019002</v>
      </c>
      <c r="C240" s="43" t="s">
        <v>312</v>
      </c>
      <c r="D240" s="44" t="s">
        <v>80</v>
      </c>
      <c r="E240" s="45">
        <v>0.10725569582291668</v>
      </c>
      <c r="F240" s="37" t="s">
        <v>451</v>
      </c>
      <c r="G240" s="46">
        <v>5.7791500000000005</v>
      </c>
      <c r="H240" s="47"/>
      <c r="I240" s="48">
        <f t="shared" si="19"/>
        <v>0</v>
      </c>
      <c r="L240" s="28" t="str">
        <f t="shared" si="20"/>
        <v>-</v>
      </c>
      <c r="M240" s="28" t="str">
        <f t="shared" si="21"/>
        <v>-</v>
      </c>
      <c r="N240" s="29" t="str">
        <f t="shared" si="22"/>
        <v>-</v>
      </c>
      <c r="O240" s="30" t="str">
        <f t="shared" si="23"/>
        <v>-</v>
      </c>
      <c r="Q240" s="30" t="str">
        <f t="shared" si="24"/>
        <v>-</v>
      </c>
    </row>
    <row r="241" spans="1:17">
      <c r="A241" s="41">
        <v>40212</v>
      </c>
      <c r="B241" s="42">
        <v>810487033176</v>
      </c>
      <c r="C241" s="43" t="s">
        <v>313</v>
      </c>
      <c r="D241" s="44" t="s">
        <v>80</v>
      </c>
      <c r="E241" s="45">
        <v>0.10725569582291668</v>
      </c>
      <c r="F241" s="37" t="s">
        <v>451</v>
      </c>
      <c r="G241" s="46">
        <v>5.7791500000000005</v>
      </c>
      <c r="H241" s="47"/>
      <c r="I241" s="48">
        <f t="shared" si="19"/>
        <v>0</v>
      </c>
      <c r="L241" s="28" t="str">
        <f t="shared" si="20"/>
        <v>-</v>
      </c>
      <c r="M241" s="28" t="str">
        <f t="shared" si="21"/>
        <v>-</v>
      </c>
      <c r="N241" s="29" t="str">
        <f t="shared" si="22"/>
        <v>-</v>
      </c>
      <c r="O241" s="30" t="str">
        <f t="shared" si="23"/>
        <v>-</v>
      </c>
      <c r="Q241" s="30" t="str">
        <f t="shared" si="24"/>
        <v>-</v>
      </c>
    </row>
    <row r="242" spans="1:17">
      <c r="A242" s="41">
        <v>40214</v>
      </c>
      <c r="B242" s="42">
        <v>810487033206</v>
      </c>
      <c r="C242" s="43" t="s">
        <v>314</v>
      </c>
      <c r="D242" s="44" t="s">
        <v>59</v>
      </c>
      <c r="E242" s="45">
        <v>0.16088354373437502</v>
      </c>
      <c r="F242" s="37" t="s">
        <v>451</v>
      </c>
      <c r="G242" s="46">
        <v>9.0941500000000008</v>
      </c>
      <c r="H242" s="47"/>
      <c r="I242" s="48">
        <f t="shared" si="19"/>
        <v>0</v>
      </c>
      <c r="L242" s="28" t="str">
        <f t="shared" si="20"/>
        <v>-</v>
      </c>
      <c r="M242" s="28" t="str">
        <f t="shared" si="21"/>
        <v>-</v>
      </c>
      <c r="N242" s="29" t="str">
        <f t="shared" si="22"/>
        <v>-</v>
      </c>
      <c r="O242" s="30" t="str">
        <f t="shared" si="23"/>
        <v>-</v>
      </c>
      <c r="Q242" s="30" t="str">
        <f t="shared" si="24"/>
        <v>-</v>
      </c>
    </row>
    <row r="243" spans="1:17">
      <c r="A243" s="41">
        <v>40216</v>
      </c>
      <c r="B243" s="42">
        <v>810487033220</v>
      </c>
      <c r="C243" s="43" t="s">
        <v>315</v>
      </c>
      <c r="D243" s="44" t="s">
        <v>59</v>
      </c>
      <c r="E243" s="45">
        <v>0.16088354373437502</v>
      </c>
      <c r="F243" s="37" t="s">
        <v>451</v>
      </c>
      <c r="G243" s="46">
        <v>9.0941500000000008</v>
      </c>
      <c r="H243" s="47"/>
      <c r="I243" s="48">
        <f t="shared" si="19"/>
        <v>0</v>
      </c>
      <c r="L243" s="28" t="str">
        <f t="shared" si="20"/>
        <v>-</v>
      </c>
      <c r="M243" s="28" t="str">
        <f t="shared" si="21"/>
        <v>-</v>
      </c>
      <c r="N243" s="29" t="str">
        <f t="shared" si="22"/>
        <v>-</v>
      </c>
      <c r="O243" s="30" t="str">
        <f t="shared" si="23"/>
        <v>-</v>
      </c>
      <c r="Q243" s="30" t="str">
        <f t="shared" si="24"/>
        <v>-</v>
      </c>
    </row>
    <row r="244" spans="1:17">
      <c r="A244" s="41">
        <v>40218</v>
      </c>
      <c r="B244" s="42">
        <v>810487033367</v>
      </c>
      <c r="C244" s="43" t="s">
        <v>316</v>
      </c>
      <c r="D244" s="44" t="s">
        <v>415</v>
      </c>
      <c r="E244" s="45">
        <v>0.94385012324166673</v>
      </c>
      <c r="F244" s="37" t="s">
        <v>451</v>
      </c>
      <c r="G244" s="46">
        <v>15.72415</v>
      </c>
      <c r="H244" s="47"/>
      <c r="I244" s="48">
        <f t="shared" si="19"/>
        <v>0</v>
      </c>
      <c r="L244" s="28" t="str">
        <f t="shared" si="20"/>
        <v>-</v>
      </c>
      <c r="M244" s="28" t="str">
        <f t="shared" si="21"/>
        <v>-</v>
      </c>
      <c r="N244" s="29" t="str">
        <f t="shared" si="22"/>
        <v>-</v>
      </c>
      <c r="O244" s="30" t="str">
        <f t="shared" si="23"/>
        <v>-</v>
      </c>
      <c r="Q244" s="30" t="str">
        <f t="shared" si="24"/>
        <v>-</v>
      </c>
    </row>
    <row r="245" spans="1:17">
      <c r="A245" s="41">
        <v>40263</v>
      </c>
      <c r="B245" s="42">
        <v>810094213060</v>
      </c>
      <c r="C245" s="43" t="s">
        <v>317</v>
      </c>
      <c r="D245" s="44" t="s">
        <v>128</v>
      </c>
      <c r="E245" s="45">
        <v>0.41186187196000013</v>
      </c>
      <c r="F245" s="37" t="s">
        <v>451</v>
      </c>
      <c r="G245" s="46">
        <v>16.552900000000001</v>
      </c>
      <c r="H245" s="47"/>
      <c r="I245" s="48">
        <f t="shared" si="19"/>
        <v>0</v>
      </c>
      <c r="L245" s="28" t="str">
        <f t="shared" si="20"/>
        <v>-</v>
      </c>
      <c r="M245" s="28" t="str">
        <f t="shared" si="21"/>
        <v>-</v>
      </c>
      <c r="N245" s="29" t="str">
        <f t="shared" si="22"/>
        <v>-</v>
      </c>
      <c r="O245" s="30" t="str">
        <f t="shared" si="23"/>
        <v>-</v>
      </c>
      <c r="Q245" s="30" t="str">
        <f t="shared" si="24"/>
        <v>-</v>
      </c>
    </row>
    <row r="246" spans="1:17">
      <c r="A246" s="41">
        <v>40234</v>
      </c>
      <c r="B246" s="42">
        <v>810487038096</v>
      </c>
      <c r="C246" s="43" t="s">
        <v>318</v>
      </c>
      <c r="D246" s="44" t="s">
        <v>65</v>
      </c>
      <c r="E246" s="45">
        <v>0.30031594830416669</v>
      </c>
      <c r="F246" s="37" t="s">
        <v>451</v>
      </c>
      <c r="G246" s="46">
        <v>10.751650000000001</v>
      </c>
      <c r="H246" s="47"/>
      <c r="I246" s="48">
        <f t="shared" si="19"/>
        <v>0</v>
      </c>
      <c r="L246" s="28" t="str">
        <f t="shared" si="20"/>
        <v>-</v>
      </c>
      <c r="M246" s="28" t="str">
        <f t="shared" si="21"/>
        <v>-</v>
      </c>
      <c r="N246" s="29" t="str">
        <f t="shared" si="22"/>
        <v>-</v>
      </c>
      <c r="O246" s="30" t="str">
        <f t="shared" si="23"/>
        <v>-</v>
      </c>
      <c r="Q246" s="30" t="str">
        <f t="shared" si="24"/>
        <v>-</v>
      </c>
    </row>
    <row r="247" spans="1:17">
      <c r="A247" s="41">
        <v>10401</v>
      </c>
      <c r="B247" s="42">
        <v>810094211875</v>
      </c>
      <c r="C247" s="43" t="s">
        <v>319</v>
      </c>
      <c r="D247" s="44" t="s">
        <v>104</v>
      </c>
      <c r="E247" s="45">
        <v>0.47750235780362504</v>
      </c>
      <c r="F247" s="37" t="s">
        <v>451</v>
      </c>
      <c r="G247" s="46">
        <v>41.415399999999998</v>
      </c>
      <c r="H247" s="47"/>
      <c r="I247" s="48">
        <f t="shared" si="19"/>
        <v>0</v>
      </c>
      <c r="L247" s="28" t="str">
        <f t="shared" si="20"/>
        <v>-</v>
      </c>
      <c r="M247" s="28" t="str">
        <f t="shared" si="21"/>
        <v>-</v>
      </c>
      <c r="N247" s="29" t="str">
        <f t="shared" si="22"/>
        <v>-</v>
      </c>
      <c r="O247" s="30" t="str">
        <f t="shared" si="23"/>
        <v>-</v>
      </c>
      <c r="Q247" s="30" t="str">
        <f t="shared" si="24"/>
        <v>-</v>
      </c>
    </row>
    <row r="248" spans="1:17">
      <c r="A248" s="41">
        <v>10446</v>
      </c>
      <c r="B248" s="42">
        <v>810094213787</v>
      </c>
      <c r="C248" s="43" t="s">
        <v>320</v>
      </c>
      <c r="D248" s="44" t="s">
        <v>121</v>
      </c>
      <c r="E248" s="45">
        <v>0.77224100992500011</v>
      </c>
      <c r="F248" s="37" t="s">
        <v>451</v>
      </c>
      <c r="G248" s="46">
        <v>33.127900000000004</v>
      </c>
      <c r="H248" s="47"/>
      <c r="I248" s="48">
        <f t="shared" si="19"/>
        <v>0</v>
      </c>
      <c r="L248" s="28" t="str">
        <f t="shared" si="20"/>
        <v>-</v>
      </c>
      <c r="M248" s="28" t="str">
        <f t="shared" si="21"/>
        <v>-</v>
      </c>
      <c r="N248" s="29" t="str">
        <f t="shared" si="22"/>
        <v>-</v>
      </c>
      <c r="O248" s="30" t="str">
        <f t="shared" si="23"/>
        <v>-</v>
      </c>
      <c r="Q248" s="30" t="str">
        <f t="shared" si="24"/>
        <v>-</v>
      </c>
    </row>
    <row r="249" spans="1:17">
      <c r="A249" s="41">
        <v>10457</v>
      </c>
      <c r="B249" s="42">
        <v>810094214050</v>
      </c>
      <c r="C249" s="43" t="s">
        <v>321</v>
      </c>
      <c r="D249" s="44" t="s">
        <v>42</v>
      </c>
      <c r="E249" s="45">
        <v>0.51482733995000007</v>
      </c>
      <c r="F249" s="37" t="s">
        <v>451</v>
      </c>
      <c r="G249" s="46">
        <v>24.840400000000002</v>
      </c>
      <c r="H249" s="47"/>
      <c r="I249" s="48">
        <f t="shared" si="19"/>
        <v>0</v>
      </c>
      <c r="L249" s="28" t="str">
        <f t="shared" si="20"/>
        <v>-</v>
      </c>
      <c r="M249" s="28" t="str">
        <f t="shared" si="21"/>
        <v>-</v>
      </c>
      <c r="N249" s="29" t="str">
        <f t="shared" si="22"/>
        <v>-</v>
      </c>
      <c r="O249" s="30" t="str">
        <f t="shared" si="23"/>
        <v>-</v>
      </c>
      <c r="Q249" s="30" t="str">
        <f t="shared" si="24"/>
        <v>-</v>
      </c>
    </row>
    <row r="250" spans="1:17">
      <c r="A250" s="41">
        <v>10432</v>
      </c>
      <c r="B250" s="42">
        <v>810094213305</v>
      </c>
      <c r="C250" s="43" t="s">
        <v>322</v>
      </c>
      <c r="D250" s="44" t="s">
        <v>23</v>
      </c>
      <c r="E250" s="45">
        <v>0.21451139164583335</v>
      </c>
      <c r="F250" s="37" t="s">
        <v>451</v>
      </c>
      <c r="G250" s="46">
        <v>33.127900000000004</v>
      </c>
      <c r="H250" s="47"/>
      <c r="I250" s="48">
        <f t="shared" si="19"/>
        <v>0</v>
      </c>
      <c r="L250" s="28" t="str">
        <f t="shared" si="20"/>
        <v>-</v>
      </c>
      <c r="M250" s="28" t="str">
        <f t="shared" si="21"/>
        <v>-</v>
      </c>
      <c r="N250" s="29" t="str">
        <f t="shared" si="22"/>
        <v>-</v>
      </c>
      <c r="O250" s="30" t="str">
        <f t="shared" si="23"/>
        <v>-</v>
      </c>
      <c r="Q250" s="30" t="str">
        <f t="shared" si="24"/>
        <v>-</v>
      </c>
    </row>
    <row r="251" spans="1:17">
      <c r="A251" s="41">
        <v>10373</v>
      </c>
      <c r="B251" s="42">
        <v>810487039611</v>
      </c>
      <c r="C251" s="43" t="s">
        <v>323</v>
      </c>
      <c r="D251" s="44" t="s">
        <v>23</v>
      </c>
      <c r="E251" s="45">
        <v>0.21451139164583335</v>
      </c>
      <c r="F251" s="37" t="s">
        <v>451</v>
      </c>
      <c r="G251" s="46">
        <v>33.127900000000004</v>
      </c>
      <c r="H251" s="47"/>
      <c r="I251" s="48">
        <f t="shared" si="19"/>
        <v>0</v>
      </c>
      <c r="L251" s="28" t="str">
        <f t="shared" si="20"/>
        <v>-</v>
      </c>
      <c r="M251" s="28" t="str">
        <f t="shared" si="21"/>
        <v>-</v>
      </c>
      <c r="N251" s="29" t="str">
        <f t="shared" si="22"/>
        <v>-</v>
      </c>
      <c r="O251" s="30" t="str">
        <f t="shared" si="23"/>
        <v>-</v>
      </c>
      <c r="Q251" s="30" t="str">
        <f t="shared" si="24"/>
        <v>-</v>
      </c>
    </row>
    <row r="252" spans="1:17">
      <c r="A252" s="41">
        <v>10426</v>
      </c>
      <c r="B252" s="42">
        <v>810094212940</v>
      </c>
      <c r="C252" s="43" t="s">
        <v>324</v>
      </c>
      <c r="D252" s="44" t="s">
        <v>116</v>
      </c>
      <c r="E252" s="45">
        <v>0.400278256811125</v>
      </c>
      <c r="F252" s="37" t="s">
        <v>451</v>
      </c>
      <c r="G252" s="46">
        <v>41.415399999999998</v>
      </c>
      <c r="H252" s="47"/>
      <c r="I252" s="48">
        <f t="shared" si="19"/>
        <v>0</v>
      </c>
      <c r="L252" s="28" t="str">
        <f t="shared" si="20"/>
        <v>-</v>
      </c>
      <c r="M252" s="28" t="str">
        <f t="shared" si="21"/>
        <v>-</v>
      </c>
      <c r="N252" s="29" t="str">
        <f t="shared" si="22"/>
        <v>-</v>
      </c>
      <c r="O252" s="30" t="str">
        <f t="shared" si="23"/>
        <v>-</v>
      </c>
      <c r="Q252" s="30" t="str">
        <f t="shared" si="24"/>
        <v>-</v>
      </c>
    </row>
    <row r="253" spans="1:17">
      <c r="A253" s="41">
        <v>10419</v>
      </c>
      <c r="B253" s="42">
        <v>810094212704</v>
      </c>
      <c r="C253" s="43" t="s">
        <v>325</v>
      </c>
      <c r="D253" s="44" t="s">
        <v>7</v>
      </c>
      <c r="E253" s="45">
        <v>0.15015797415208335</v>
      </c>
      <c r="F253" s="37" t="s">
        <v>451</v>
      </c>
      <c r="G253" s="46">
        <v>21.525400000000001</v>
      </c>
      <c r="H253" s="47"/>
      <c r="I253" s="48">
        <f t="shared" si="19"/>
        <v>0</v>
      </c>
      <c r="L253" s="28" t="str">
        <f t="shared" ref="L253:L311" si="25">IFERROR(IF($L$2*E253=0, "-", $L$2*E253), "-")</f>
        <v>-</v>
      </c>
      <c r="M253" s="28" t="str">
        <f t="shared" ref="M253:M311" si="26">IFERROR(IF(L253&gt;0,G253+L253,"-"),"-")</f>
        <v>-</v>
      </c>
      <c r="N253" s="29" t="str">
        <f t="shared" ref="N253:N311" si="27">IF(H253&gt;0,H253*E253, "-")</f>
        <v>-</v>
      </c>
      <c r="O253" s="30" t="str">
        <f t="shared" ref="O253:O311" si="28">IFERROR(IF($L$2&gt;0, $L$2*N253, "-"), "-")</f>
        <v>-</v>
      </c>
      <c r="Q253" s="30" t="str">
        <f t="shared" si="24"/>
        <v>-</v>
      </c>
    </row>
    <row r="254" spans="1:17">
      <c r="A254" s="41">
        <v>10438</v>
      </c>
      <c r="B254" s="42">
        <v>810094213411</v>
      </c>
      <c r="C254" s="43" t="s">
        <v>326</v>
      </c>
      <c r="D254" s="44" t="s">
        <v>126</v>
      </c>
      <c r="E254" s="45">
        <v>0.56631007394499999</v>
      </c>
      <c r="F254" s="37" t="s">
        <v>451</v>
      </c>
      <c r="G254" s="46">
        <v>41.415399999999998</v>
      </c>
      <c r="H254" s="47"/>
      <c r="I254" s="48">
        <f t="shared" si="19"/>
        <v>0</v>
      </c>
      <c r="L254" s="28" t="str">
        <f t="shared" si="25"/>
        <v>-</v>
      </c>
      <c r="M254" s="28" t="str">
        <f t="shared" si="26"/>
        <v>-</v>
      </c>
      <c r="N254" s="29" t="str">
        <f t="shared" si="27"/>
        <v>-</v>
      </c>
      <c r="O254" s="30" t="str">
        <f t="shared" si="28"/>
        <v>-</v>
      </c>
      <c r="Q254" s="30" t="str">
        <f t="shared" si="24"/>
        <v>-</v>
      </c>
    </row>
    <row r="255" spans="1:17">
      <c r="A255" s="41">
        <v>10447</v>
      </c>
      <c r="B255" s="42">
        <v>810094213794</v>
      </c>
      <c r="C255" s="43" t="s">
        <v>327</v>
      </c>
      <c r="D255" s="44" t="s">
        <v>121</v>
      </c>
      <c r="E255" s="45">
        <v>0.81514328825416671</v>
      </c>
      <c r="F255" s="37" t="s">
        <v>451</v>
      </c>
      <c r="G255" s="46">
        <v>41.415399999999998</v>
      </c>
      <c r="H255" s="47"/>
      <c r="I255" s="48">
        <f t="shared" si="19"/>
        <v>0</v>
      </c>
      <c r="L255" s="28" t="str">
        <f t="shared" si="25"/>
        <v>-</v>
      </c>
      <c r="M255" s="28" t="str">
        <f t="shared" si="26"/>
        <v>-</v>
      </c>
      <c r="N255" s="29" t="str">
        <f t="shared" si="27"/>
        <v>-</v>
      </c>
      <c r="O255" s="30" t="str">
        <f t="shared" si="28"/>
        <v>-</v>
      </c>
      <c r="Q255" s="30" t="str">
        <f t="shared" si="24"/>
        <v>-</v>
      </c>
    </row>
    <row r="256" spans="1:17">
      <c r="A256" s="41">
        <v>40183</v>
      </c>
      <c r="B256" s="42">
        <v>810487032629</v>
      </c>
      <c r="C256" s="43" t="s">
        <v>328</v>
      </c>
      <c r="D256" s="44" t="s">
        <v>75</v>
      </c>
      <c r="E256" s="45">
        <v>0.54442991199712498</v>
      </c>
      <c r="F256" s="37" t="s">
        <v>451</v>
      </c>
      <c r="G256" s="46">
        <v>28.984150000000003</v>
      </c>
      <c r="H256" s="47"/>
      <c r="I256" s="48">
        <f t="shared" si="19"/>
        <v>0</v>
      </c>
      <c r="L256" s="28" t="str">
        <f t="shared" si="25"/>
        <v>-</v>
      </c>
      <c r="M256" s="28" t="str">
        <f t="shared" si="26"/>
        <v>-</v>
      </c>
      <c r="N256" s="29" t="str">
        <f t="shared" si="27"/>
        <v>-</v>
      </c>
      <c r="O256" s="30" t="str">
        <f t="shared" si="28"/>
        <v>-</v>
      </c>
      <c r="Q256" s="30" t="str">
        <f t="shared" si="24"/>
        <v>-</v>
      </c>
    </row>
    <row r="257" spans="1:17">
      <c r="A257" s="41">
        <v>10334</v>
      </c>
      <c r="B257" s="42">
        <v>810487034289</v>
      </c>
      <c r="C257" s="43" t="s">
        <v>329</v>
      </c>
      <c r="D257" s="44" t="s">
        <v>117</v>
      </c>
      <c r="E257" s="45">
        <v>0.66361244119555007</v>
      </c>
      <c r="F257" s="37" t="s">
        <v>451</v>
      </c>
      <c r="G257" s="46">
        <v>33.127900000000004</v>
      </c>
      <c r="H257" s="47"/>
      <c r="I257" s="48">
        <f t="shared" si="19"/>
        <v>0</v>
      </c>
      <c r="L257" s="28" t="str">
        <f t="shared" si="25"/>
        <v>-</v>
      </c>
      <c r="M257" s="28" t="str">
        <f t="shared" si="26"/>
        <v>-</v>
      </c>
      <c r="N257" s="29" t="str">
        <f t="shared" si="27"/>
        <v>-</v>
      </c>
      <c r="O257" s="30" t="str">
        <f t="shared" si="28"/>
        <v>-</v>
      </c>
      <c r="Q257" s="30" t="str">
        <f t="shared" si="24"/>
        <v>-</v>
      </c>
    </row>
    <row r="258" spans="1:17">
      <c r="A258" s="41">
        <v>10295</v>
      </c>
      <c r="B258" s="42">
        <v>810487032810</v>
      </c>
      <c r="C258" s="43" t="s">
        <v>330</v>
      </c>
      <c r="D258" s="44" t="s">
        <v>98</v>
      </c>
      <c r="E258" s="45">
        <v>0.43399944757785003</v>
      </c>
      <c r="F258" s="37" t="s">
        <v>451</v>
      </c>
      <c r="G258" s="46">
        <v>33.127900000000004</v>
      </c>
      <c r="H258" s="47"/>
      <c r="I258" s="48">
        <f t="shared" si="19"/>
        <v>0</v>
      </c>
      <c r="L258" s="28" t="str">
        <f t="shared" si="25"/>
        <v>-</v>
      </c>
      <c r="M258" s="28" t="str">
        <f t="shared" si="26"/>
        <v>-</v>
      </c>
      <c r="N258" s="29" t="str">
        <f t="shared" si="27"/>
        <v>-</v>
      </c>
      <c r="O258" s="30" t="str">
        <f t="shared" si="28"/>
        <v>-</v>
      </c>
      <c r="Q258" s="30" t="str">
        <f t="shared" si="24"/>
        <v>-</v>
      </c>
    </row>
    <row r="259" spans="1:17">
      <c r="A259" s="41">
        <v>10335</v>
      </c>
      <c r="B259" s="42">
        <v>810487034296</v>
      </c>
      <c r="C259" s="43" t="s">
        <v>331</v>
      </c>
      <c r="D259" s="44" t="s">
        <v>117</v>
      </c>
      <c r="E259" s="45">
        <v>0.66361244119555007</v>
      </c>
      <c r="F259" s="37" t="s">
        <v>451</v>
      </c>
      <c r="G259" s="46">
        <v>33.127900000000004</v>
      </c>
      <c r="H259" s="47"/>
      <c r="I259" s="48">
        <f t="shared" ref="I259:I322" si="29">H259*G259</f>
        <v>0</v>
      </c>
      <c r="L259" s="28" t="str">
        <f t="shared" si="25"/>
        <v>-</v>
      </c>
      <c r="M259" s="28" t="str">
        <f t="shared" si="26"/>
        <v>-</v>
      </c>
      <c r="N259" s="29" t="str">
        <f t="shared" si="27"/>
        <v>-</v>
      </c>
      <c r="O259" s="30" t="str">
        <f t="shared" si="28"/>
        <v>-</v>
      </c>
      <c r="Q259" s="30" t="str">
        <f t="shared" si="24"/>
        <v>-</v>
      </c>
    </row>
    <row r="260" spans="1:17">
      <c r="A260" s="41">
        <v>10336</v>
      </c>
      <c r="B260" s="42">
        <v>810487034302</v>
      </c>
      <c r="C260" s="43" t="s">
        <v>332</v>
      </c>
      <c r="D260" s="44" t="s">
        <v>117</v>
      </c>
      <c r="E260" s="45">
        <v>0.66361244119555007</v>
      </c>
      <c r="F260" s="37" t="s">
        <v>451</v>
      </c>
      <c r="G260" s="46">
        <v>33.127900000000004</v>
      </c>
      <c r="H260" s="47"/>
      <c r="I260" s="48">
        <f t="shared" si="29"/>
        <v>0</v>
      </c>
      <c r="L260" s="28" t="str">
        <f t="shared" si="25"/>
        <v>-</v>
      </c>
      <c r="M260" s="28" t="str">
        <f t="shared" si="26"/>
        <v>-</v>
      </c>
      <c r="N260" s="29" t="str">
        <f t="shared" si="27"/>
        <v>-</v>
      </c>
      <c r="O260" s="30" t="str">
        <f t="shared" si="28"/>
        <v>-</v>
      </c>
      <c r="Q260" s="30" t="str">
        <f t="shared" si="24"/>
        <v>-</v>
      </c>
    </row>
    <row r="261" spans="1:17">
      <c r="A261" s="41">
        <v>10100</v>
      </c>
      <c r="B261" s="42">
        <v>813006016049</v>
      </c>
      <c r="C261" s="43" t="s">
        <v>333</v>
      </c>
      <c r="D261" s="44" t="s">
        <v>111</v>
      </c>
      <c r="E261" s="45">
        <v>0.99876503950300011</v>
      </c>
      <c r="F261" s="37" t="s">
        <v>451</v>
      </c>
      <c r="G261" s="46">
        <v>38.929149999999993</v>
      </c>
      <c r="H261" s="47"/>
      <c r="I261" s="48">
        <f t="shared" si="29"/>
        <v>0</v>
      </c>
      <c r="L261" s="28" t="str">
        <f t="shared" si="25"/>
        <v>-</v>
      </c>
      <c r="M261" s="28" t="str">
        <f t="shared" si="26"/>
        <v>-</v>
      </c>
      <c r="N261" s="29" t="str">
        <f t="shared" si="27"/>
        <v>-</v>
      </c>
      <c r="O261" s="30" t="str">
        <f t="shared" si="28"/>
        <v>-</v>
      </c>
      <c r="Q261" s="30" t="str">
        <f t="shared" si="24"/>
        <v>-</v>
      </c>
    </row>
    <row r="262" spans="1:17">
      <c r="A262" s="41">
        <v>10102</v>
      </c>
      <c r="B262" s="42">
        <v>813006016063</v>
      </c>
      <c r="C262" s="43" t="s">
        <v>334</v>
      </c>
      <c r="D262" s="44" t="s">
        <v>111</v>
      </c>
      <c r="E262" s="45">
        <v>0.99876503950300011</v>
      </c>
      <c r="F262" s="37" t="s">
        <v>451</v>
      </c>
      <c r="G262" s="46">
        <v>38.929149999999993</v>
      </c>
      <c r="H262" s="47"/>
      <c r="I262" s="48">
        <f t="shared" si="29"/>
        <v>0</v>
      </c>
      <c r="L262" s="28" t="str">
        <f t="shared" si="25"/>
        <v>-</v>
      </c>
      <c r="M262" s="28" t="str">
        <f t="shared" si="26"/>
        <v>-</v>
      </c>
      <c r="N262" s="29" t="str">
        <f t="shared" si="27"/>
        <v>-</v>
      </c>
      <c r="O262" s="30" t="str">
        <f t="shared" si="28"/>
        <v>-</v>
      </c>
      <c r="Q262" s="30" t="str">
        <f t="shared" si="24"/>
        <v>-</v>
      </c>
    </row>
    <row r="263" spans="1:17">
      <c r="A263" s="41">
        <v>10099</v>
      </c>
      <c r="B263" s="42">
        <v>813006016032</v>
      </c>
      <c r="C263" s="43" t="s">
        <v>335</v>
      </c>
      <c r="D263" s="44" t="s">
        <v>111</v>
      </c>
      <c r="E263" s="45">
        <v>0.99876503950300011</v>
      </c>
      <c r="F263" s="37" t="s">
        <v>451</v>
      </c>
      <c r="G263" s="46">
        <v>38.929149999999993</v>
      </c>
      <c r="H263" s="47"/>
      <c r="I263" s="48">
        <f t="shared" si="29"/>
        <v>0</v>
      </c>
      <c r="L263" s="28" t="str">
        <f t="shared" si="25"/>
        <v>-</v>
      </c>
      <c r="M263" s="28" t="str">
        <f t="shared" si="26"/>
        <v>-</v>
      </c>
      <c r="N263" s="29" t="str">
        <f t="shared" si="27"/>
        <v>-</v>
      </c>
      <c r="O263" s="30" t="str">
        <f t="shared" si="28"/>
        <v>-</v>
      </c>
      <c r="Q263" s="30" t="str">
        <f t="shared" si="24"/>
        <v>-</v>
      </c>
    </row>
    <row r="264" spans="1:17">
      <c r="A264" s="41">
        <v>30466</v>
      </c>
      <c r="B264" s="42">
        <v>810094213541</v>
      </c>
      <c r="C264" s="43" t="s">
        <v>336</v>
      </c>
      <c r="D264" s="44" t="s">
        <v>421</v>
      </c>
      <c r="E264" s="45">
        <v>0.51482733995000007</v>
      </c>
      <c r="F264" s="37" t="s">
        <v>451</v>
      </c>
      <c r="G264" s="46">
        <v>18.2104</v>
      </c>
      <c r="H264" s="47"/>
      <c r="I264" s="48">
        <f t="shared" si="29"/>
        <v>0</v>
      </c>
      <c r="L264" s="28" t="str">
        <f t="shared" si="25"/>
        <v>-</v>
      </c>
      <c r="M264" s="28" t="str">
        <f t="shared" si="26"/>
        <v>-</v>
      </c>
      <c r="N264" s="29" t="str">
        <f t="shared" si="27"/>
        <v>-</v>
      </c>
      <c r="O264" s="30" t="str">
        <f t="shared" si="28"/>
        <v>-</v>
      </c>
      <c r="Q264" s="30" t="str">
        <f t="shared" si="24"/>
        <v>-</v>
      </c>
    </row>
    <row r="265" spans="1:17">
      <c r="A265" s="41">
        <v>20320</v>
      </c>
      <c r="B265" s="42">
        <v>810487033312</v>
      </c>
      <c r="C265" s="43" t="s">
        <v>337</v>
      </c>
      <c r="D265" s="44" t="s">
        <v>58</v>
      </c>
      <c r="E265" s="45">
        <v>0.14562259044300002</v>
      </c>
      <c r="F265" s="37" t="s">
        <v>451</v>
      </c>
      <c r="G265" s="46">
        <v>16.530800000000003</v>
      </c>
      <c r="H265" s="47"/>
      <c r="I265" s="48">
        <f t="shared" si="29"/>
        <v>0</v>
      </c>
      <c r="L265" s="28" t="str">
        <f t="shared" si="25"/>
        <v>-</v>
      </c>
      <c r="M265" s="28" t="str">
        <f t="shared" si="26"/>
        <v>-</v>
      </c>
      <c r="N265" s="29" t="str">
        <f t="shared" si="27"/>
        <v>-</v>
      </c>
      <c r="O265" s="30" t="str">
        <f t="shared" si="28"/>
        <v>-</v>
      </c>
      <c r="Q265" s="30" t="str">
        <f t="shared" si="24"/>
        <v>-</v>
      </c>
    </row>
    <row r="266" spans="1:17">
      <c r="A266" s="41">
        <v>30030</v>
      </c>
      <c r="B266" s="42">
        <v>813006012478</v>
      </c>
      <c r="C266" s="43" t="s">
        <v>338</v>
      </c>
      <c r="D266" s="44" t="s">
        <v>422</v>
      </c>
      <c r="E266" s="45">
        <v>0.16088354373437502</v>
      </c>
      <c r="F266" s="37" t="s">
        <v>451</v>
      </c>
      <c r="G266" s="46">
        <v>4.9504000000000001</v>
      </c>
      <c r="H266" s="47"/>
      <c r="I266" s="48">
        <f t="shared" si="29"/>
        <v>0</v>
      </c>
      <c r="L266" s="28" t="str">
        <f t="shared" si="25"/>
        <v>-</v>
      </c>
      <c r="M266" s="28" t="str">
        <f t="shared" si="26"/>
        <v>-</v>
      </c>
      <c r="N266" s="29" t="str">
        <f t="shared" si="27"/>
        <v>-</v>
      </c>
      <c r="O266" s="30" t="str">
        <f t="shared" si="28"/>
        <v>-</v>
      </c>
      <c r="Q266" s="30" t="str">
        <f t="shared" si="24"/>
        <v>-</v>
      </c>
    </row>
    <row r="267" spans="1:17">
      <c r="A267" s="41">
        <v>30467</v>
      </c>
      <c r="B267" s="42">
        <v>810094214036</v>
      </c>
      <c r="C267" s="43" t="s">
        <v>339</v>
      </c>
      <c r="D267" s="44" t="s">
        <v>106</v>
      </c>
      <c r="E267" s="45">
        <v>0.26105</v>
      </c>
      <c r="F267" s="37" t="s">
        <v>451</v>
      </c>
      <c r="G267" s="46">
        <v>13.2379</v>
      </c>
      <c r="H267" s="47"/>
      <c r="I267" s="48">
        <f t="shared" si="29"/>
        <v>0</v>
      </c>
      <c r="J267" s="58"/>
      <c r="K267" s="58"/>
      <c r="L267" s="28" t="str">
        <f t="shared" si="25"/>
        <v>-</v>
      </c>
      <c r="M267" s="28" t="str">
        <f t="shared" si="26"/>
        <v>-</v>
      </c>
      <c r="N267" s="29" t="str">
        <f t="shared" si="27"/>
        <v>-</v>
      </c>
      <c r="O267" s="30" t="str">
        <f t="shared" si="28"/>
        <v>-</v>
      </c>
      <c r="Q267" s="30" t="str">
        <f t="shared" si="24"/>
        <v>-</v>
      </c>
    </row>
    <row r="268" spans="1:17">
      <c r="A268" s="41">
        <v>30406</v>
      </c>
      <c r="B268" s="42">
        <v>810094210106</v>
      </c>
      <c r="C268" s="43" t="s">
        <v>340</v>
      </c>
      <c r="D268" s="44" t="s">
        <v>423</v>
      </c>
      <c r="E268" s="45">
        <v>0.25741366997500004</v>
      </c>
      <c r="F268" s="37" t="s">
        <v>451</v>
      </c>
      <c r="G268" s="46">
        <v>13.2379</v>
      </c>
      <c r="H268" s="47"/>
      <c r="I268" s="48">
        <f t="shared" si="29"/>
        <v>0</v>
      </c>
      <c r="L268" s="28" t="str">
        <f t="shared" si="25"/>
        <v>-</v>
      </c>
      <c r="M268" s="28" t="str">
        <f t="shared" si="26"/>
        <v>-</v>
      </c>
      <c r="N268" s="29" t="str">
        <f t="shared" si="27"/>
        <v>-</v>
      </c>
      <c r="O268" s="30" t="str">
        <f t="shared" si="28"/>
        <v>-</v>
      </c>
      <c r="Q268" s="30" t="str">
        <f t="shared" si="24"/>
        <v>-</v>
      </c>
    </row>
    <row r="269" spans="1:17">
      <c r="A269" s="41">
        <v>30468</v>
      </c>
      <c r="B269" s="42">
        <v>810094214289</v>
      </c>
      <c r="C269" s="43" t="s">
        <v>341</v>
      </c>
      <c r="D269" s="44" t="s">
        <v>424</v>
      </c>
      <c r="E269" s="45">
        <v>0.12895199086366668</v>
      </c>
      <c r="F269" s="37" t="s">
        <v>451</v>
      </c>
      <c r="G269" s="46">
        <v>12.40915</v>
      </c>
      <c r="H269" s="47"/>
      <c r="I269" s="48">
        <f t="shared" si="29"/>
        <v>0</v>
      </c>
      <c r="L269" s="28" t="str">
        <f t="shared" si="25"/>
        <v>-</v>
      </c>
      <c r="M269" s="28" t="str">
        <f t="shared" si="26"/>
        <v>-</v>
      </c>
      <c r="N269" s="29" t="str">
        <f t="shared" si="27"/>
        <v>-</v>
      </c>
      <c r="O269" s="30" t="str">
        <f t="shared" si="28"/>
        <v>-</v>
      </c>
      <c r="Q269" s="30" t="str">
        <f t="shared" si="24"/>
        <v>-</v>
      </c>
    </row>
    <row r="270" spans="1:17">
      <c r="A270" s="41">
        <v>30469</v>
      </c>
      <c r="B270" s="42">
        <v>810094214272</v>
      </c>
      <c r="C270" s="43" t="s">
        <v>342</v>
      </c>
      <c r="D270" s="44" t="s">
        <v>424</v>
      </c>
      <c r="E270" s="45">
        <v>0.12895199086366668</v>
      </c>
      <c r="F270" s="37" t="s">
        <v>451</v>
      </c>
      <c r="G270" s="46">
        <v>12.40915</v>
      </c>
      <c r="H270" s="47"/>
      <c r="I270" s="48">
        <f t="shared" si="29"/>
        <v>0</v>
      </c>
      <c r="L270" s="28" t="str">
        <f t="shared" si="25"/>
        <v>-</v>
      </c>
      <c r="M270" s="28" t="str">
        <f t="shared" si="26"/>
        <v>-</v>
      </c>
      <c r="N270" s="29" t="str">
        <f t="shared" si="27"/>
        <v>-</v>
      </c>
      <c r="O270" s="30" t="str">
        <f t="shared" si="28"/>
        <v>-</v>
      </c>
      <c r="Q270" s="30" t="str">
        <f t="shared" si="24"/>
        <v>-</v>
      </c>
    </row>
    <row r="271" spans="1:17">
      <c r="A271" s="41">
        <v>20361</v>
      </c>
      <c r="B271" s="42">
        <v>810487038119</v>
      </c>
      <c r="C271" s="43" t="s">
        <v>343</v>
      </c>
      <c r="D271" s="44" t="s">
        <v>141</v>
      </c>
      <c r="E271" s="45">
        <v>9.4385012324166684E-2</v>
      </c>
      <c r="F271" s="37" t="s">
        <v>451</v>
      </c>
      <c r="G271" s="46">
        <v>24.840400000000002</v>
      </c>
      <c r="H271" s="47"/>
      <c r="I271" s="48">
        <f t="shared" si="29"/>
        <v>0</v>
      </c>
      <c r="L271" s="28" t="str">
        <f t="shared" si="25"/>
        <v>-</v>
      </c>
      <c r="M271" s="28" t="str">
        <f t="shared" si="26"/>
        <v>-</v>
      </c>
      <c r="N271" s="29" t="str">
        <f t="shared" si="27"/>
        <v>-</v>
      </c>
      <c r="O271" s="30" t="str">
        <f t="shared" si="28"/>
        <v>-</v>
      </c>
      <c r="Q271" s="30" t="str">
        <f t="shared" si="24"/>
        <v>-</v>
      </c>
    </row>
    <row r="272" spans="1:17">
      <c r="A272" s="41">
        <v>20322</v>
      </c>
      <c r="B272" s="42">
        <v>810487033404</v>
      </c>
      <c r="C272" s="43" t="s">
        <v>344</v>
      </c>
      <c r="D272" s="44" t="s">
        <v>141</v>
      </c>
      <c r="E272" s="45">
        <v>9.4385012324166684E-2</v>
      </c>
      <c r="F272" s="37" t="s">
        <v>451</v>
      </c>
      <c r="G272" s="46">
        <v>10.751650000000001</v>
      </c>
      <c r="H272" s="47"/>
      <c r="I272" s="48">
        <f t="shared" si="29"/>
        <v>0</v>
      </c>
      <c r="L272" s="28" t="str">
        <f t="shared" si="25"/>
        <v>-</v>
      </c>
      <c r="M272" s="28" t="str">
        <f t="shared" si="26"/>
        <v>-</v>
      </c>
      <c r="N272" s="29" t="str">
        <f t="shared" si="27"/>
        <v>-</v>
      </c>
      <c r="O272" s="30" t="str">
        <f t="shared" si="28"/>
        <v>-</v>
      </c>
      <c r="Q272" s="30" t="str">
        <f t="shared" si="24"/>
        <v>-</v>
      </c>
    </row>
    <row r="273" spans="1:17">
      <c r="A273" s="41">
        <v>20317</v>
      </c>
      <c r="B273" s="42">
        <v>810487033282</v>
      </c>
      <c r="C273" s="43" t="s">
        <v>345</v>
      </c>
      <c r="D273" s="44" t="s">
        <v>141</v>
      </c>
      <c r="E273" s="45">
        <v>9.4385012324166684E-2</v>
      </c>
      <c r="F273" s="37" t="s">
        <v>451</v>
      </c>
      <c r="G273" s="46">
        <v>10.751650000000001</v>
      </c>
      <c r="H273" s="47"/>
      <c r="I273" s="48">
        <f t="shared" si="29"/>
        <v>0</v>
      </c>
      <c r="L273" s="28" t="str">
        <f t="shared" si="25"/>
        <v>-</v>
      </c>
      <c r="M273" s="28" t="str">
        <f t="shared" si="26"/>
        <v>-</v>
      </c>
      <c r="N273" s="29" t="str">
        <f t="shared" si="27"/>
        <v>-</v>
      </c>
      <c r="O273" s="30" t="str">
        <f t="shared" si="28"/>
        <v>-</v>
      </c>
      <c r="Q273" s="30" t="str">
        <f t="shared" si="24"/>
        <v>-</v>
      </c>
    </row>
    <row r="274" spans="1:17">
      <c r="A274" s="41">
        <v>20360</v>
      </c>
      <c r="B274" s="42">
        <v>810487034159</v>
      </c>
      <c r="C274" s="43" t="s">
        <v>346</v>
      </c>
      <c r="D274" s="44" t="s">
        <v>141</v>
      </c>
      <c r="E274" s="45">
        <v>9.4385012324166684E-2</v>
      </c>
      <c r="F274" s="37" t="s">
        <v>451</v>
      </c>
      <c r="G274" s="46">
        <v>18.2104</v>
      </c>
      <c r="H274" s="47"/>
      <c r="I274" s="48">
        <f t="shared" si="29"/>
        <v>0</v>
      </c>
      <c r="L274" s="28" t="str">
        <f t="shared" si="25"/>
        <v>-</v>
      </c>
      <c r="M274" s="28" t="str">
        <f t="shared" si="26"/>
        <v>-</v>
      </c>
      <c r="N274" s="29" t="str">
        <f t="shared" si="27"/>
        <v>-</v>
      </c>
      <c r="O274" s="30" t="str">
        <f t="shared" si="28"/>
        <v>-</v>
      </c>
      <c r="Q274" s="30" t="str">
        <f t="shared" si="24"/>
        <v>-</v>
      </c>
    </row>
    <row r="275" spans="1:17">
      <c r="A275" s="41">
        <v>20323</v>
      </c>
      <c r="B275" s="42">
        <v>810487033473</v>
      </c>
      <c r="C275" s="43" t="s">
        <v>347</v>
      </c>
      <c r="D275" s="44" t="s">
        <v>141</v>
      </c>
      <c r="E275" s="45">
        <v>9.4385012324166684E-2</v>
      </c>
      <c r="F275" s="37" t="s">
        <v>451</v>
      </c>
      <c r="G275" s="46">
        <v>10.751650000000001</v>
      </c>
      <c r="H275" s="47"/>
      <c r="I275" s="48">
        <f t="shared" si="29"/>
        <v>0</v>
      </c>
      <c r="L275" s="28" t="str">
        <f t="shared" si="25"/>
        <v>-</v>
      </c>
      <c r="M275" s="28" t="str">
        <f t="shared" si="26"/>
        <v>-</v>
      </c>
      <c r="N275" s="29" t="str">
        <f t="shared" si="27"/>
        <v>-</v>
      </c>
      <c r="O275" s="30" t="str">
        <f t="shared" si="28"/>
        <v>-</v>
      </c>
      <c r="Q275" s="30" t="str">
        <f t="shared" si="24"/>
        <v>-</v>
      </c>
    </row>
    <row r="276" spans="1:17">
      <c r="A276" s="41">
        <v>20325</v>
      </c>
      <c r="B276" s="42">
        <v>810487033657</v>
      </c>
      <c r="C276" s="43" t="s">
        <v>348</v>
      </c>
      <c r="D276" s="44" t="s">
        <v>141</v>
      </c>
      <c r="E276" s="45">
        <v>9.4385012324166684E-2</v>
      </c>
      <c r="F276" s="37" t="s">
        <v>451</v>
      </c>
      <c r="G276" s="46">
        <v>9.9229000000000003</v>
      </c>
      <c r="H276" s="47"/>
      <c r="I276" s="48">
        <f t="shared" si="29"/>
        <v>0</v>
      </c>
      <c r="L276" s="28" t="str">
        <f t="shared" si="25"/>
        <v>-</v>
      </c>
      <c r="M276" s="28" t="str">
        <f t="shared" si="26"/>
        <v>-</v>
      </c>
      <c r="N276" s="29" t="str">
        <f t="shared" si="27"/>
        <v>-</v>
      </c>
      <c r="O276" s="30" t="str">
        <f t="shared" si="28"/>
        <v>-</v>
      </c>
      <c r="Q276" s="30" t="str">
        <f t="shared" si="24"/>
        <v>-</v>
      </c>
    </row>
    <row r="277" spans="1:17">
      <c r="A277" s="41">
        <v>20316</v>
      </c>
      <c r="B277" s="42">
        <v>810487033275</v>
      </c>
      <c r="C277" s="43" t="s">
        <v>349</v>
      </c>
      <c r="D277" s="44" t="s">
        <v>141</v>
      </c>
      <c r="E277" s="45">
        <v>9.4385012324166684E-2</v>
      </c>
      <c r="F277" s="37" t="s">
        <v>451</v>
      </c>
      <c r="G277" s="46">
        <v>8.2654000000000014</v>
      </c>
      <c r="H277" s="47"/>
      <c r="I277" s="48">
        <f t="shared" si="29"/>
        <v>0</v>
      </c>
      <c r="L277" s="28" t="str">
        <f t="shared" si="25"/>
        <v>-</v>
      </c>
      <c r="M277" s="28" t="str">
        <f t="shared" si="26"/>
        <v>-</v>
      </c>
      <c r="N277" s="29" t="str">
        <f t="shared" si="27"/>
        <v>-</v>
      </c>
      <c r="O277" s="30" t="str">
        <f t="shared" si="28"/>
        <v>-</v>
      </c>
      <c r="Q277" s="30" t="str">
        <f t="shared" si="24"/>
        <v>-</v>
      </c>
    </row>
    <row r="278" spans="1:17">
      <c r="A278" s="41">
        <v>20318</v>
      </c>
      <c r="B278" s="42">
        <v>810487033299</v>
      </c>
      <c r="C278" s="43" t="s">
        <v>350</v>
      </c>
      <c r="D278" s="44" t="s">
        <v>141</v>
      </c>
      <c r="E278" s="45">
        <v>9.4385012324166684E-2</v>
      </c>
      <c r="F278" s="37" t="s">
        <v>451</v>
      </c>
      <c r="G278" s="46">
        <v>12.40915</v>
      </c>
      <c r="H278" s="47"/>
      <c r="I278" s="48">
        <f t="shared" si="29"/>
        <v>0</v>
      </c>
      <c r="L278" s="28" t="str">
        <f t="shared" si="25"/>
        <v>-</v>
      </c>
      <c r="M278" s="28" t="str">
        <f t="shared" si="26"/>
        <v>-</v>
      </c>
      <c r="N278" s="29" t="str">
        <f t="shared" si="27"/>
        <v>-</v>
      </c>
      <c r="O278" s="30" t="str">
        <f t="shared" si="28"/>
        <v>-</v>
      </c>
      <c r="Q278" s="30" t="str">
        <f t="shared" si="24"/>
        <v>-</v>
      </c>
    </row>
    <row r="279" spans="1:17">
      <c r="A279" s="41">
        <v>20319</v>
      </c>
      <c r="B279" s="42">
        <v>810487033305</v>
      </c>
      <c r="C279" s="43" t="s">
        <v>351</v>
      </c>
      <c r="D279" s="44" t="s">
        <v>141</v>
      </c>
      <c r="E279" s="45">
        <v>9.4385012324166684E-2</v>
      </c>
      <c r="F279" s="37" t="s">
        <v>451</v>
      </c>
      <c r="G279" s="46">
        <v>12.40915</v>
      </c>
      <c r="H279" s="47"/>
      <c r="I279" s="48">
        <f t="shared" si="29"/>
        <v>0</v>
      </c>
      <c r="L279" s="28" t="str">
        <f t="shared" si="25"/>
        <v>-</v>
      </c>
      <c r="M279" s="28" t="str">
        <f t="shared" si="26"/>
        <v>-</v>
      </c>
      <c r="N279" s="29" t="str">
        <f t="shared" si="27"/>
        <v>-</v>
      </c>
      <c r="O279" s="30" t="str">
        <f t="shared" si="28"/>
        <v>-</v>
      </c>
      <c r="Q279" s="30" t="str">
        <f t="shared" si="24"/>
        <v>-</v>
      </c>
    </row>
    <row r="280" spans="1:17">
      <c r="A280" s="41">
        <v>20282</v>
      </c>
      <c r="B280" s="42">
        <v>813006018036</v>
      </c>
      <c r="C280" s="43" t="s">
        <v>352</v>
      </c>
      <c r="D280" s="44" t="s">
        <v>141</v>
      </c>
      <c r="E280" s="45">
        <v>9.0800000000000006E-2</v>
      </c>
      <c r="F280" s="37" t="s">
        <v>451</v>
      </c>
      <c r="G280" s="46">
        <v>28.155400000000004</v>
      </c>
      <c r="H280" s="47"/>
      <c r="I280" s="48">
        <f t="shared" si="29"/>
        <v>0</v>
      </c>
      <c r="J280" s="58"/>
      <c r="K280" s="58"/>
      <c r="L280" s="28" t="str">
        <f t="shared" si="25"/>
        <v>-</v>
      </c>
      <c r="M280" s="28" t="str">
        <f t="shared" si="26"/>
        <v>-</v>
      </c>
      <c r="N280" s="29" t="str">
        <f t="shared" si="27"/>
        <v>-</v>
      </c>
      <c r="O280" s="30" t="str">
        <f t="shared" si="28"/>
        <v>-</v>
      </c>
      <c r="Q280" s="30" t="str">
        <f t="shared" si="24"/>
        <v>-</v>
      </c>
    </row>
    <row r="281" spans="1:17">
      <c r="A281" s="41">
        <v>20283</v>
      </c>
      <c r="B281" s="42">
        <v>813006018043</v>
      </c>
      <c r="C281" s="43" t="s">
        <v>353</v>
      </c>
      <c r="D281" s="44" t="s">
        <v>141</v>
      </c>
      <c r="E281" s="45">
        <v>9.0800000000000006E-2</v>
      </c>
      <c r="F281" s="37" t="s">
        <v>451</v>
      </c>
      <c r="G281" s="46">
        <v>37.271649999999994</v>
      </c>
      <c r="H281" s="47"/>
      <c r="I281" s="48">
        <f t="shared" si="29"/>
        <v>0</v>
      </c>
      <c r="J281" s="58"/>
      <c r="K281" s="58"/>
      <c r="L281" s="28" t="str">
        <f t="shared" si="25"/>
        <v>-</v>
      </c>
      <c r="M281" s="28" t="str">
        <f t="shared" si="26"/>
        <v>-</v>
      </c>
      <c r="N281" s="29" t="str">
        <f t="shared" si="27"/>
        <v>-</v>
      </c>
      <c r="O281" s="30" t="str">
        <f t="shared" si="28"/>
        <v>-</v>
      </c>
      <c r="Q281" s="30" t="str">
        <f t="shared" si="24"/>
        <v>-</v>
      </c>
    </row>
    <row r="282" spans="1:17">
      <c r="A282" s="41">
        <v>30029</v>
      </c>
      <c r="B282" s="42">
        <v>813006012461</v>
      </c>
      <c r="C282" s="43" t="s">
        <v>355</v>
      </c>
      <c r="D282" s="44" t="s">
        <v>123</v>
      </c>
      <c r="E282" s="45">
        <v>0.32915</v>
      </c>
      <c r="F282" s="37" t="s">
        <v>451</v>
      </c>
      <c r="G282" s="46">
        <v>6.6079000000000008</v>
      </c>
      <c r="H282" s="47"/>
      <c r="I282" s="48">
        <f t="shared" si="29"/>
        <v>0</v>
      </c>
      <c r="J282" s="58"/>
      <c r="K282" s="58"/>
      <c r="L282" s="28" t="str">
        <f t="shared" si="25"/>
        <v>-</v>
      </c>
      <c r="M282" s="28" t="str">
        <f t="shared" si="26"/>
        <v>-</v>
      </c>
      <c r="N282" s="29" t="str">
        <f t="shared" si="27"/>
        <v>-</v>
      </c>
      <c r="O282" s="30" t="str">
        <f t="shared" si="28"/>
        <v>-</v>
      </c>
      <c r="Q282" s="30" t="str">
        <f t="shared" si="24"/>
        <v>-</v>
      </c>
    </row>
    <row r="283" spans="1:17">
      <c r="A283" s="41">
        <v>20289</v>
      </c>
      <c r="B283" s="42">
        <v>813006018432</v>
      </c>
      <c r="C283" s="43" t="s">
        <v>356</v>
      </c>
      <c r="D283" s="44" t="s">
        <v>425</v>
      </c>
      <c r="E283" s="45">
        <v>1.1804000000000001</v>
      </c>
      <c r="F283" s="37" t="s">
        <v>451</v>
      </c>
      <c r="G283" s="46">
        <v>4.9504000000000001</v>
      </c>
      <c r="H283" s="47"/>
      <c r="I283" s="48">
        <f t="shared" si="29"/>
        <v>0</v>
      </c>
      <c r="J283" s="58"/>
      <c r="K283" s="58"/>
      <c r="L283" s="28" t="str">
        <f t="shared" si="25"/>
        <v>-</v>
      </c>
      <c r="M283" s="28" t="str">
        <f t="shared" si="26"/>
        <v>-</v>
      </c>
      <c r="N283" s="29" t="str">
        <f t="shared" si="27"/>
        <v>-</v>
      </c>
      <c r="O283" s="30" t="str">
        <f t="shared" si="28"/>
        <v>-</v>
      </c>
      <c r="Q283" s="30" t="str">
        <f t="shared" si="24"/>
        <v>-</v>
      </c>
    </row>
    <row r="284" spans="1:17">
      <c r="A284" s="41">
        <v>30408</v>
      </c>
      <c r="B284" s="42">
        <v>810094210960</v>
      </c>
      <c r="C284" s="43" t="s">
        <v>357</v>
      </c>
      <c r="D284" s="44" t="s">
        <v>141</v>
      </c>
      <c r="E284" s="45">
        <v>0.10214999999999999</v>
      </c>
      <c r="F284" s="37" t="s">
        <v>451</v>
      </c>
      <c r="G284" s="46">
        <v>41.415399999999998</v>
      </c>
      <c r="H284" s="47"/>
      <c r="I284" s="48">
        <f t="shared" si="29"/>
        <v>0</v>
      </c>
      <c r="J284" s="58"/>
      <c r="K284" s="58"/>
      <c r="L284" s="28" t="str">
        <f t="shared" si="25"/>
        <v>-</v>
      </c>
      <c r="M284" s="28" t="str">
        <f t="shared" si="26"/>
        <v>-</v>
      </c>
      <c r="N284" s="29" t="str">
        <f t="shared" si="27"/>
        <v>-</v>
      </c>
      <c r="O284" s="30" t="str">
        <f t="shared" si="28"/>
        <v>-</v>
      </c>
      <c r="Q284" s="30" t="str">
        <f t="shared" si="24"/>
        <v>-</v>
      </c>
    </row>
    <row r="285" spans="1:17">
      <c r="A285" s="41">
        <v>30174</v>
      </c>
      <c r="B285" s="42">
        <v>813006017251</v>
      </c>
      <c r="C285" s="43" t="s">
        <v>358</v>
      </c>
      <c r="D285" s="44" t="s">
        <v>125</v>
      </c>
      <c r="E285" s="45">
        <v>0.35179868229916661</v>
      </c>
      <c r="F285" s="37" t="s">
        <v>451</v>
      </c>
      <c r="G285" s="46">
        <v>9.9229000000000003</v>
      </c>
      <c r="H285" s="47"/>
      <c r="I285" s="48">
        <f t="shared" si="29"/>
        <v>0</v>
      </c>
      <c r="L285" s="28" t="str">
        <f t="shared" si="25"/>
        <v>-</v>
      </c>
      <c r="M285" s="28" t="str">
        <f t="shared" si="26"/>
        <v>-</v>
      </c>
      <c r="N285" s="29" t="str">
        <f t="shared" si="27"/>
        <v>-</v>
      </c>
      <c r="O285" s="30" t="str">
        <f t="shared" si="28"/>
        <v>-</v>
      </c>
      <c r="Q285" s="30" t="str">
        <f t="shared" si="24"/>
        <v>-</v>
      </c>
    </row>
    <row r="286" spans="1:17">
      <c r="A286" s="41">
        <v>30407</v>
      </c>
      <c r="B286" s="42">
        <v>810094210427</v>
      </c>
      <c r="C286" s="43" t="s">
        <v>359</v>
      </c>
      <c r="D286" s="44" t="s">
        <v>141</v>
      </c>
      <c r="E286" s="45">
        <v>0.12870683498750002</v>
      </c>
      <c r="F286" s="37" t="s">
        <v>451</v>
      </c>
      <c r="G286" s="46">
        <v>33.127900000000004</v>
      </c>
      <c r="H286" s="47"/>
      <c r="I286" s="48">
        <f t="shared" si="29"/>
        <v>0</v>
      </c>
      <c r="L286" s="28" t="str">
        <f t="shared" si="25"/>
        <v>-</v>
      </c>
      <c r="M286" s="28" t="str">
        <f t="shared" si="26"/>
        <v>-</v>
      </c>
      <c r="N286" s="29" t="str">
        <f t="shared" si="27"/>
        <v>-</v>
      </c>
      <c r="O286" s="30" t="str">
        <f t="shared" si="28"/>
        <v>-</v>
      </c>
      <c r="Q286" s="30" t="str">
        <f t="shared" ref="Q286:Q332" si="30">IFERROR(IF(O286+I286=0, "-", IF(O286&gt;0, O286+I286, "-")), "-")</f>
        <v>-</v>
      </c>
    </row>
    <row r="287" spans="1:17">
      <c r="A287" s="41">
        <v>30024</v>
      </c>
      <c r="B287" s="42">
        <v>813006013079</v>
      </c>
      <c r="C287" s="43" t="s">
        <v>360</v>
      </c>
      <c r="D287" s="44" t="s">
        <v>57</v>
      </c>
      <c r="E287" s="45">
        <v>9.0800000000000006E-2</v>
      </c>
      <c r="F287" s="37" t="s">
        <v>451</v>
      </c>
      <c r="G287" s="46">
        <v>9.9339499999999994</v>
      </c>
      <c r="H287" s="47"/>
      <c r="I287" s="48">
        <f t="shared" si="29"/>
        <v>0</v>
      </c>
      <c r="J287" s="58"/>
      <c r="K287" s="58"/>
      <c r="L287" s="28" t="str">
        <f t="shared" si="25"/>
        <v>-</v>
      </c>
      <c r="M287" s="28" t="str">
        <f t="shared" si="26"/>
        <v>-</v>
      </c>
      <c r="N287" s="29" t="str">
        <f t="shared" si="27"/>
        <v>-</v>
      </c>
      <c r="O287" s="30" t="str">
        <f t="shared" si="28"/>
        <v>-</v>
      </c>
      <c r="Q287" s="30" t="str">
        <f t="shared" si="30"/>
        <v>-</v>
      </c>
    </row>
    <row r="288" spans="1:17">
      <c r="A288" s="41">
        <v>30463</v>
      </c>
      <c r="B288" s="42">
        <v>810094212780</v>
      </c>
      <c r="C288" s="43" t="s">
        <v>361</v>
      </c>
      <c r="D288" s="44" t="s">
        <v>426</v>
      </c>
      <c r="E288" s="45">
        <v>0.28375</v>
      </c>
      <c r="F288" s="37" t="s">
        <v>451</v>
      </c>
      <c r="G288" s="46">
        <v>24.840400000000002</v>
      </c>
      <c r="H288" s="47"/>
      <c r="I288" s="48">
        <f t="shared" si="29"/>
        <v>0</v>
      </c>
      <c r="J288" s="58"/>
      <c r="K288" s="58"/>
      <c r="L288" s="28" t="str">
        <f t="shared" si="25"/>
        <v>-</v>
      </c>
      <c r="M288" s="28" t="str">
        <f t="shared" si="26"/>
        <v>-</v>
      </c>
      <c r="N288" s="29" t="str">
        <f t="shared" si="27"/>
        <v>-</v>
      </c>
      <c r="O288" s="30" t="str">
        <f t="shared" si="28"/>
        <v>-</v>
      </c>
      <c r="Q288" s="30" t="str">
        <f t="shared" si="30"/>
        <v>-</v>
      </c>
    </row>
    <row r="289" spans="1:17">
      <c r="A289" s="41">
        <v>30411</v>
      </c>
      <c r="B289" s="42">
        <v>810094212292</v>
      </c>
      <c r="C289" s="43" t="s">
        <v>362</v>
      </c>
      <c r="D289" s="44" t="s">
        <v>59</v>
      </c>
      <c r="E289" s="45">
        <v>0.2110792093795</v>
      </c>
      <c r="F289" s="37" t="s">
        <v>451</v>
      </c>
      <c r="G289" s="46">
        <v>16.552900000000001</v>
      </c>
      <c r="H289" s="47"/>
      <c r="I289" s="48">
        <f t="shared" si="29"/>
        <v>0</v>
      </c>
      <c r="L289" s="28" t="str">
        <f t="shared" si="25"/>
        <v>-</v>
      </c>
      <c r="M289" s="28" t="str">
        <f t="shared" si="26"/>
        <v>-</v>
      </c>
      <c r="N289" s="29" t="str">
        <f t="shared" si="27"/>
        <v>-</v>
      </c>
      <c r="O289" s="30" t="str">
        <f t="shared" si="28"/>
        <v>-</v>
      </c>
      <c r="Q289" s="30" t="str">
        <f t="shared" si="30"/>
        <v>-</v>
      </c>
    </row>
    <row r="290" spans="1:17">
      <c r="A290" s="41">
        <v>30409</v>
      </c>
      <c r="B290" s="42">
        <v>810094212254</v>
      </c>
      <c r="C290" s="43" t="s">
        <v>363</v>
      </c>
      <c r="D290" s="44" t="s">
        <v>59</v>
      </c>
      <c r="E290" s="45">
        <v>0.2110792093795</v>
      </c>
      <c r="F290" s="37" t="s">
        <v>451</v>
      </c>
      <c r="G290" s="46">
        <v>16.552900000000001</v>
      </c>
      <c r="H290" s="47"/>
      <c r="I290" s="48">
        <f t="shared" si="29"/>
        <v>0</v>
      </c>
      <c r="L290" s="28" t="str">
        <f t="shared" si="25"/>
        <v>-</v>
      </c>
      <c r="M290" s="28" t="str">
        <f t="shared" si="26"/>
        <v>-</v>
      </c>
      <c r="N290" s="29" t="str">
        <f t="shared" si="27"/>
        <v>-</v>
      </c>
      <c r="O290" s="30" t="str">
        <f t="shared" si="28"/>
        <v>-</v>
      </c>
      <c r="Q290" s="30" t="str">
        <f t="shared" si="30"/>
        <v>-</v>
      </c>
    </row>
    <row r="291" spans="1:17">
      <c r="A291" s="41">
        <v>30410</v>
      </c>
      <c r="B291" s="42">
        <v>810094212278</v>
      </c>
      <c r="C291" s="43" t="s">
        <v>364</v>
      </c>
      <c r="D291" s="44" t="s">
        <v>59</v>
      </c>
      <c r="E291" s="45">
        <v>0.2110792093795</v>
      </c>
      <c r="F291" s="37" t="s">
        <v>451</v>
      </c>
      <c r="G291" s="46">
        <v>16.552900000000001</v>
      </c>
      <c r="H291" s="47"/>
      <c r="I291" s="48">
        <f t="shared" si="29"/>
        <v>0</v>
      </c>
      <c r="L291" s="28" t="str">
        <f t="shared" si="25"/>
        <v>-</v>
      </c>
      <c r="M291" s="28" t="str">
        <f t="shared" si="26"/>
        <v>-</v>
      </c>
      <c r="N291" s="29" t="str">
        <f t="shared" si="27"/>
        <v>-</v>
      </c>
      <c r="O291" s="30" t="str">
        <f t="shared" si="28"/>
        <v>-</v>
      </c>
      <c r="Q291" s="30" t="str">
        <f t="shared" si="30"/>
        <v>-</v>
      </c>
    </row>
    <row r="292" spans="1:17">
      <c r="A292" s="41">
        <v>60106</v>
      </c>
      <c r="B292" s="42">
        <v>810094212476</v>
      </c>
      <c r="C292" s="43" t="s">
        <v>403</v>
      </c>
      <c r="D292" s="44" t="s">
        <v>100</v>
      </c>
      <c r="E292" s="45">
        <v>0.32048001911887497</v>
      </c>
      <c r="F292" s="37" t="s">
        <v>451</v>
      </c>
      <c r="G292" s="46">
        <v>20.696650000000002</v>
      </c>
      <c r="H292" s="47"/>
      <c r="I292" s="48">
        <f t="shared" si="29"/>
        <v>0</v>
      </c>
      <c r="L292" s="28" t="str">
        <f t="shared" si="25"/>
        <v>-</v>
      </c>
      <c r="M292" s="28" t="str">
        <f t="shared" si="26"/>
        <v>-</v>
      </c>
      <c r="N292" s="29" t="str">
        <f t="shared" si="27"/>
        <v>-</v>
      </c>
      <c r="O292" s="30" t="str">
        <f t="shared" si="28"/>
        <v>-</v>
      </c>
      <c r="Q292" s="30" t="str">
        <f t="shared" si="30"/>
        <v>-</v>
      </c>
    </row>
    <row r="293" spans="1:17">
      <c r="A293" s="41">
        <v>60096</v>
      </c>
      <c r="B293" s="42">
        <v>810487038041</v>
      </c>
      <c r="C293" s="43" t="s">
        <v>365</v>
      </c>
      <c r="D293" s="44" t="s">
        <v>124</v>
      </c>
      <c r="E293" s="45">
        <v>5.5772961827916676E-2</v>
      </c>
      <c r="F293" s="37" t="s">
        <v>451</v>
      </c>
      <c r="G293" s="46">
        <v>24.840400000000002</v>
      </c>
      <c r="H293" s="47"/>
      <c r="I293" s="48">
        <f t="shared" si="29"/>
        <v>0</v>
      </c>
      <c r="L293" s="28" t="str">
        <f t="shared" si="25"/>
        <v>-</v>
      </c>
      <c r="M293" s="28" t="str">
        <f t="shared" si="26"/>
        <v>-</v>
      </c>
      <c r="N293" s="29" t="str">
        <f t="shared" si="27"/>
        <v>-</v>
      </c>
      <c r="O293" s="30" t="str">
        <f t="shared" si="28"/>
        <v>-</v>
      </c>
      <c r="Q293" s="30" t="str">
        <f t="shared" si="30"/>
        <v>-</v>
      </c>
    </row>
    <row r="294" spans="1:17">
      <c r="A294" s="41">
        <v>60044</v>
      </c>
      <c r="B294" s="42">
        <v>813006016377</v>
      </c>
      <c r="C294" s="43" t="s">
        <v>366</v>
      </c>
      <c r="D294" s="44" t="s">
        <v>64</v>
      </c>
      <c r="E294" s="45">
        <v>0.47670000000000001</v>
      </c>
      <c r="F294" s="37" t="s">
        <v>451</v>
      </c>
      <c r="G294" s="46">
        <v>16.552900000000001</v>
      </c>
      <c r="H294" s="47"/>
      <c r="I294" s="48">
        <f t="shared" si="29"/>
        <v>0</v>
      </c>
      <c r="J294" s="58"/>
      <c r="K294" s="58"/>
      <c r="L294" s="28" t="str">
        <f t="shared" si="25"/>
        <v>-</v>
      </c>
      <c r="M294" s="28" t="str">
        <f t="shared" si="26"/>
        <v>-</v>
      </c>
      <c r="N294" s="29" t="str">
        <f t="shared" si="27"/>
        <v>-</v>
      </c>
      <c r="O294" s="30" t="str">
        <f t="shared" si="28"/>
        <v>-</v>
      </c>
      <c r="Q294" s="30" t="str">
        <f t="shared" si="30"/>
        <v>-</v>
      </c>
    </row>
    <row r="295" spans="1:17">
      <c r="A295" s="41">
        <v>60102</v>
      </c>
      <c r="B295" s="42">
        <v>810094210496</v>
      </c>
      <c r="C295" s="43" t="s">
        <v>367</v>
      </c>
      <c r="D295" s="44" t="s">
        <v>61</v>
      </c>
      <c r="E295" s="45">
        <v>0.30031594830416669</v>
      </c>
      <c r="F295" s="37" t="s">
        <v>451</v>
      </c>
      <c r="G295" s="46">
        <v>16.552900000000001</v>
      </c>
      <c r="H295" s="47"/>
      <c r="I295" s="48">
        <f t="shared" si="29"/>
        <v>0</v>
      </c>
      <c r="L295" s="28" t="str">
        <f t="shared" si="25"/>
        <v>-</v>
      </c>
      <c r="M295" s="28" t="str">
        <f t="shared" si="26"/>
        <v>-</v>
      </c>
      <c r="N295" s="29" t="str">
        <f t="shared" si="27"/>
        <v>-</v>
      </c>
      <c r="O295" s="30" t="str">
        <f t="shared" si="28"/>
        <v>-</v>
      </c>
      <c r="Q295" s="30" t="str">
        <f t="shared" si="30"/>
        <v>-</v>
      </c>
    </row>
    <row r="296" spans="1:17">
      <c r="A296" s="41">
        <v>60111</v>
      </c>
      <c r="B296" s="42">
        <v>810094213527</v>
      </c>
      <c r="C296" s="43" t="s">
        <v>368</v>
      </c>
      <c r="D296" s="44" t="s">
        <v>89</v>
      </c>
      <c r="E296" s="45">
        <v>0.25741366997500004</v>
      </c>
      <c r="F296" s="37" t="s">
        <v>451</v>
      </c>
      <c r="G296" s="46">
        <v>16.552900000000001</v>
      </c>
      <c r="H296" s="47"/>
      <c r="I296" s="48">
        <f t="shared" si="29"/>
        <v>0</v>
      </c>
      <c r="L296" s="28" t="str">
        <f t="shared" si="25"/>
        <v>-</v>
      </c>
      <c r="M296" s="28" t="str">
        <f t="shared" si="26"/>
        <v>-</v>
      </c>
      <c r="N296" s="29" t="str">
        <f t="shared" si="27"/>
        <v>-</v>
      </c>
      <c r="O296" s="30" t="str">
        <f t="shared" si="28"/>
        <v>-</v>
      </c>
      <c r="Q296" s="30" t="str">
        <f t="shared" si="30"/>
        <v>-</v>
      </c>
    </row>
    <row r="297" spans="1:17">
      <c r="A297" s="41">
        <v>60083</v>
      </c>
      <c r="B297" s="42">
        <v>810487032797</v>
      </c>
      <c r="C297" s="43" t="s">
        <v>369</v>
      </c>
      <c r="D297" s="44" t="s">
        <v>427</v>
      </c>
      <c r="E297" s="45">
        <v>0.20593093598000001</v>
      </c>
      <c r="F297" s="37" t="s">
        <v>451</v>
      </c>
      <c r="G297" s="46">
        <v>29.812899999999999</v>
      </c>
      <c r="H297" s="47"/>
      <c r="I297" s="48">
        <f t="shared" si="29"/>
        <v>0</v>
      </c>
      <c r="L297" s="28" t="str">
        <f t="shared" si="25"/>
        <v>-</v>
      </c>
      <c r="M297" s="28" t="str">
        <f t="shared" si="26"/>
        <v>-</v>
      </c>
      <c r="N297" s="29" t="str">
        <f t="shared" si="27"/>
        <v>-</v>
      </c>
      <c r="O297" s="30" t="str">
        <f t="shared" si="28"/>
        <v>-</v>
      </c>
      <c r="Q297" s="30" t="str">
        <f t="shared" si="30"/>
        <v>-</v>
      </c>
    </row>
    <row r="298" spans="1:17">
      <c r="A298" s="41">
        <v>60005</v>
      </c>
      <c r="B298" s="42">
        <v>813006010313</v>
      </c>
      <c r="C298" s="43" t="s">
        <v>370</v>
      </c>
      <c r="D298" s="44" t="s">
        <v>61</v>
      </c>
      <c r="E298" s="45">
        <v>0.36320000000000002</v>
      </c>
      <c r="F298" s="37" t="s">
        <v>451</v>
      </c>
      <c r="G298" s="46">
        <v>24.840400000000002</v>
      </c>
      <c r="H298" s="47"/>
      <c r="I298" s="48">
        <f t="shared" si="29"/>
        <v>0</v>
      </c>
      <c r="J298" s="58"/>
      <c r="K298" s="58"/>
      <c r="L298" s="28" t="str">
        <f t="shared" si="25"/>
        <v>-</v>
      </c>
      <c r="M298" s="28" t="str">
        <f t="shared" si="26"/>
        <v>-</v>
      </c>
      <c r="N298" s="29" t="str">
        <f t="shared" si="27"/>
        <v>-</v>
      </c>
      <c r="O298" s="30" t="str">
        <f t="shared" si="28"/>
        <v>-</v>
      </c>
      <c r="Q298" s="30" t="str">
        <f t="shared" si="30"/>
        <v>-</v>
      </c>
    </row>
    <row r="299" spans="1:17">
      <c r="A299" s="41">
        <v>60091</v>
      </c>
      <c r="B299" s="42">
        <v>810487033961</v>
      </c>
      <c r="C299" s="43" t="s">
        <v>371</v>
      </c>
      <c r="D299" s="44" t="s">
        <v>39</v>
      </c>
      <c r="E299" s="45">
        <v>0.42902278329166671</v>
      </c>
      <c r="F299" s="37" t="s">
        <v>451</v>
      </c>
      <c r="G299" s="46">
        <v>24.840400000000002</v>
      </c>
      <c r="H299" s="47"/>
      <c r="I299" s="48">
        <f t="shared" si="29"/>
        <v>0</v>
      </c>
      <c r="L299" s="28" t="str">
        <f t="shared" si="25"/>
        <v>-</v>
      </c>
      <c r="M299" s="28" t="str">
        <f t="shared" si="26"/>
        <v>-</v>
      </c>
      <c r="N299" s="29" t="str">
        <f t="shared" si="27"/>
        <v>-</v>
      </c>
      <c r="O299" s="30" t="str">
        <f t="shared" si="28"/>
        <v>-</v>
      </c>
      <c r="Q299" s="30" t="str">
        <f t="shared" si="30"/>
        <v>-</v>
      </c>
    </row>
    <row r="300" spans="1:17">
      <c r="A300" s="41">
        <v>60074</v>
      </c>
      <c r="B300" s="42">
        <v>810487032780</v>
      </c>
      <c r="C300" s="43" t="s">
        <v>372</v>
      </c>
      <c r="D300" s="44" t="s">
        <v>428</v>
      </c>
      <c r="E300" s="45">
        <v>1.5444820198500002</v>
      </c>
      <c r="F300" s="37" t="s">
        <v>451</v>
      </c>
      <c r="G300" s="46">
        <v>66.277900000000002</v>
      </c>
      <c r="H300" s="47"/>
      <c r="I300" s="48">
        <f t="shared" si="29"/>
        <v>0</v>
      </c>
      <c r="L300" s="28" t="str">
        <f t="shared" si="25"/>
        <v>-</v>
      </c>
      <c r="M300" s="28" t="str">
        <f t="shared" si="26"/>
        <v>-</v>
      </c>
      <c r="N300" s="29" t="str">
        <f t="shared" si="27"/>
        <v>-</v>
      </c>
      <c r="O300" s="30" t="str">
        <f t="shared" si="28"/>
        <v>-</v>
      </c>
      <c r="Q300" s="30" t="str">
        <f t="shared" si="30"/>
        <v>-</v>
      </c>
    </row>
    <row r="301" spans="1:17">
      <c r="A301" s="41">
        <v>60075</v>
      </c>
      <c r="B301" s="42">
        <v>810487036788</v>
      </c>
      <c r="C301" s="43" t="s">
        <v>373</v>
      </c>
      <c r="D301" s="44" t="s">
        <v>428</v>
      </c>
      <c r="E301" s="45">
        <v>1.5444820198500002</v>
      </c>
      <c r="F301" s="37" t="s">
        <v>451</v>
      </c>
      <c r="G301" s="46">
        <v>66.277900000000002</v>
      </c>
      <c r="H301" s="47"/>
      <c r="I301" s="48">
        <f t="shared" si="29"/>
        <v>0</v>
      </c>
      <c r="L301" s="28" t="str">
        <f t="shared" si="25"/>
        <v>-</v>
      </c>
      <c r="M301" s="28" t="str">
        <f t="shared" si="26"/>
        <v>-</v>
      </c>
      <c r="N301" s="29" t="str">
        <f t="shared" si="27"/>
        <v>-</v>
      </c>
      <c r="O301" s="30" t="str">
        <f t="shared" si="28"/>
        <v>-</v>
      </c>
      <c r="Q301" s="30" t="str">
        <f t="shared" si="30"/>
        <v>-</v>
      </c>
    </row>
    <row r="302" spans="1:17">
      <c r="A302" s="41">
        <v>60064</v>
      </c>
      <c r="B302" s="42">
        <v>810487030731</v>
      </c>
      <c r="C302" s="43" t="s">
        <v>374</v>
      </c>
      <c r="D302" s="44" t="s">
        <v>62</v>
      </c>
      <c r="E302" s="45">
        <v>1.0296546799000001</v>
      </c>
      <c r="F302" s="37" t="s">
        <v>451</v>
      </c>
      <c r="G302" s="46">
        <v>20.696650000000002</v>
      </c>
      <c r="H302" s="47"/>
      <c r="I302" s="48">
        <f t="shared" si="29"/>
        <v>0</v>
      </c>
      <c r="L302" s="28" t="str">
        <f t="shared" si="25"/>
        <v>-</v>
      </c>
      <c r="M302" s="28" t="str">
        <f t="shared" si="26"/>
        <v>-</v>
      </c>
      <c r="N302" s="29" t="str">
        <f t="shared" si="27"/>
        <v>-</v>
      </c>
      <c r="O302" s="30" t="str">
        <f t="shared" si="28"/>
        <v>-</v>
      </c>
      <c r="Q302" s="30" t="str">
        <f t="shared" si="30"/>
        <v>-</v>
      </c>
    </row>
    <row r="303" spans="1:17">
      <c r="A303" s="41">
        <v>60063</v>
      </c>
      <c r="B303" s="42">
        <v>810487030717</v>
      </c>
      <c r="C303" s="43" t="s">
        <v>375</v>
      </c>
      <c r="D303" s="44" t="s">
        <v>62</v>
      </c>
      <c r="E303" s="45">
        <v>0.41186187196000013</v>
      </c>
      <c r="F303" s="37" t="s">
        <v>451</v>
      </c>
      <c r="G303" s="46">
        <v>12.40915</v>
      </c>
      <c r="H303" s="47"/>
      <c r="I303" s="48">
        <f t="shared" si="29"/>
        <v>0</v>
      </c>
      <c r="L303" s="28" t="str">
        <f t="shared" si="25"/>
        <v>-</v>
      </c>
      <c r="M303" s="28" t="str">
        <f t="shared" si="26"/>
        <v>-</v>
      </c>
      <c r="N303" s="29" t="str">
        <f t="shared" si="27"/>
        <v>-</v>
      </c>
      <c r="O303" s="30" t="str">
        <f t="shared" si="28"/>
        <v>-</v>
      </c>
      <c r="Q303" s="30" t="str">
        <f t="shared" si="30"/>
        <v>-</v>
      </c>
    </row>
    <row r="304" spans="1:17">
      <c r="A304" s="41">
        <v>60085</v>
      </c>
      <c r="B304" s="42">
        <v>810487032933</v>
      </c>
      <c r="C304" s="43" t="s">
        <v>376</v>
      </c>
      <c r="D304" s="44" t="s">
        <v>429</v>
      </c>
      <c r="E304" s="45">
        <v>0.26256194337450006</v>
      </c>
      <c r="F304" s="37" t="s">
        <v>451</v>
      </c>
      <c r="G304" s="46">
        <v>20.696650000000002</v>
      </c>
      <c r="H304" s="47"/>
      <c r="I304" s="48">
        <f t="shared" si="29"/>
        <v>0</v>
      </c>
      <c r="L304" s="28" t="str">
        <f t="shared" si="25"/>
        <v>-</v>
      </c>
      <c r="M304" s="28" t="str">
        <f t="shared" si="26"/>
        <v>-</v>
      </c>
      <c r="N304" s="29" t="str">
        <f t="shared" si="27"/>
        <v>-</v>
      </c>
      <c r="O304" s="30" t="str">
        <f t="shared" si="28"/>
        <v>-</v>
      </c>
      <c r="Q304" s="30" t="str">
        <f t="shared" si="30"/>
        <v>-</v>
      </c>
    </row>
    <row r="305" spans="1:17">
      <c r="A305" s="41">
        <v>60098</v>
      </c>
      <c r="B305" s="42">
        <v>810487033534</v>
      </c>
      <c r="C305" s="43" t="s">
        <v>377</v>
      </c>
      <c r="D305" s="44" t="s">
        <v>112</v>
      </c>
      <c r="E305" s="45">
        <v>0.48908597295250011</v>
      </c>
      <c r="F305" s="37" t="s">
        <v>451</v>
      </c>
      <c r="G305" s="46">
        <v>16.552900000000001</v>
      </c>
      <c r="H305" s="47"/>
      <c r="I305" s="48">
        <f t="shared" si="29"/>
        <v>0</v>
      </c>
      <c r="L305" s="28" t="str">
        <f t="shared" si="25"/>
        <v>-</v>
      </c>
      <c r="M305" s="28" t="str">
        <f t="shared" si="26"/>
        <v>-</v>
      </c>
      <c r="N305" s="29" t="str">
        <f t="shared" si="27"/>
        <v>-</v>
      </c>
      <c r="O305" s="30" t="str">
        <f t="shared" si="28"/>
        <v>-</v>
      </c>
      <c r="Q305" s="30" t="str">
        <f t="shared" si="30"/>
        <v>-</v>
      </c>
    </row>
    <row r="306" spans="1:17">
      <c r="A306" s="41">
        <v>60109</v>
      </c>
      <c r="B306" s="42">
        <v>810094212988</v>
      </c>
      <c r="C306" s="43" t="s">
        <v>378</v>
      </c>
      <c r="D306" s="44" t="s">
        <v>430</v>
      </c>
      <c r="E306" s="45">
        <v>0.31576076850266671</v>
      </c>
      <c r="F306" s="37" t="s">
        <v>451</v>
      </c>
      <c r="G306" s="46">
        <v>20.696650000000002</v>
      </c>
      <c r="H306" s="47"/>
      <c r="I306" s="48">
        <f t="shared" si="29"/>
        <v>0</v>
      </c>
      <c r="L306" s="28" t="str">
        <f t="shared" si="25"/>
        <v>-</v>
      </c>
      <c r="M306" s="28" t="str">
        <f t="shared" si="26"/>
        <v>-</v>
      </c>
      <c r="N306" s="29" t="str">
        <f t="shared" si="27"/>
        <v>-</v>
      </c>
      <c r="O306" s="30" t="str">
        <f t="shared" si="28"/>
        <v>-</v>
      </c>
      <c r="Q306" s="30" t="str">
        <f t="shared" si="30"/>
        <v>-</v>
      </c>
    </row>
    <row r="307" spans="1:17">
      <c r="A307" s="41">
        <v>60104</v>
      </c>
      <c r="B307" s="42">
        <v>810094212391</v>
      </c>
      <c r="C307" s="43" t="s">
        <v>379</v>
      </c>
      <c r="D307" s="44" t="s">
        <v>101</v>
      </c>
      <c r="E307" s="45">
        <v>0.55772961827916667</v>
      </c>
      <c r="F307" s="37" t="s">
        <v>451</v>
      </c>
      <c r="G307" s="46">
        <v>20.696650000000002</v>
      </c>
      <c r="H307" s="47"/>
      <c r="I307" s="48">
        <f t="shared" si="29"/>
        <v>0</v>
      </c>
      <c r="L307" s="28" t="str">
        <f t="shared" si="25"/>
        <v>-</v>
      </c>
      <c r="M307" s="28" t="str">
        <f t="shared" si="26"/>
        <v>-</v>
      </c>
      <c r="N307" s="29" t="str">
        <f t="shared" si="27"/>
        <v>-</v>
      </c>
      <c r="O307" s="30" t="str">
        <f t="shared" si="28"/>
        <v>-</v>
      </c>
      <c r="Q307" s="30" t="str">
        <f t="shared" si="30"/>
        <v>-</v>
      </c>
    </row>
    <row r="308" spans="1:17">
      <c r="A308" s="41">
        <v>60024</v>
      </c>
      <c r="B308" s="42">
        <v>813006015141</v>
      </c>
      <c r="C308" s="43" t="s">
        <v>380</v>
      </c>
      <c r="D308" s="44" t="s">
        <v>99</v>
      </c>
      <c r="E308" s="45">
        <v>0.31661881406925002</v>
      </c>
      <c r="F308" s="37" t="s">
        <v>451</v>
      </c>
      <c r="G308" s="46">
        <v>16.552900000000001</v>
      </c>
      <c r="H308" s="47"/>
      <c r="I308" s="48">
        <f t="shared" si="29"/>
        <v>0</v>
      </c>
      <c r="L308" s="28" t="str">
        <f t="shared" si="25"/>
        <v>-</v>
      </c>
      <c r="M308" s="28" t="str">
        <f t="shared" si="26"/>
        <v>-</v>
      </c>
      <c r="N308" s="29" t="str">
        <f t="shared" si="27"/>
        <v>-</v>
      </c>
      <c r="O308" s="30" t="str">
        <f t="shared" si="28"/>
        <v>-</v>
      </c>
      <c r="Q308" s="30" t="str">
        <f t="shared" si="30"/>
        <v>-</v>
      </c>
    </row>
    <row r="309" spans="1:17">
      <c r="A309" s="41">
        <v>60082</v>
      </c>
      <c r="B309" s="42">
        <v>810487032667</v>
      </c>
      <c r="C309" s="43" t="s">
        <v>381</v>
      </c>
      <c r="D309" s="44" t="s">
        <v>66</v>
      </c>
      <c r="E309" s="45">
        <v>0.33892799880041669</v>
      </c>
      <c r="F309" s="37" t="s">
        <v>451</v>
      </c>
      <c r="G309" s="46">
        <v>14.8954</v>
      </c>
      <c r="H309" s="47"/>
      <c r="I309" s="48">
        <f t="shared" si="29"/>
        <v>0</v>
      </c>
      <c r="L309" s="28" t="str">
        <f t="shared" si="25"/>
        <v>-</v>
      </c>
      <c r="M309" s="28" t="str">
        <f t="shared" si="26"/>
        <v>-</v>
      </c>
      <c r="N309" s="29" t="str">
        <f t="shared" si="27"/>
        <v>-</v>
      </c>
      <c r="O309" s="30" t="str">
        <f t="shared" si="28"/>
        <v>-</v>
      </c>
      <c r="Q309" s="30" t="str">
        <f t="shared" si="30"/>
        <v>-</v>
      </c>
    </row>
    <row r="310" spans="1:17">
      <c r="A310" s="41">
        <v>60008</v>
      </c>
      <c r="B310" s="42">
        <v>813006012140</v>
      </c>
      <c r="C310" s="43" t="s">
        <v>102</v>
      </c>
      <c r="D310" s="44" t="s">
        <v>123</v>
      </c>
      <c r="E310" s="45">
        <v>0.33214667093548389</v>
      </c>
      <c r="F310" s="37" t="s">
        <v>451</v>
      </c>
      <c r="G310" s="46">
        <v>14.873300000000002</v>
      </c>
      <c r="H310" s="47"/>
      <c r="I310" s="48">
        <f t="shared" si="29"/>
        <v>0</v>
      </c>
      <c r="L310" s="28" t="str">
        <f t="shared" si="25"/>
        <v>-</v>
      </c>
      <c r="M310" s="28" t="str">
        <f t="shared" si="26"/>
        <v>-</v>
      </c>
      <c r="N310" s="29" t="str">
        <f t="shared" si="27"/>
        <v>-</v>
      </c>
      <c r="O310" s="30" t="str">
        <f t="shared" si="28"/>
        <v>-</v>
      </c>
      <c r="Q310" s="30" t="str">
        <f t="shared" si="30"/>
        <v>-</v>
      </c>
    </row>
    <row r="311" spans="1:17">
      <c r="A311" s="41">
        <v>60066</v>
      </c>
      <c r="B311" s="42">
        <v>810487030779</v>
      </c>
      <c r="C311" s="43" t="s">
        <v>382</v>
      </c>
      <c r="D311" s="44" t="s">
        <v>62</v>
      </c>
      <c r="E311" s="45">
        <v>1.0296546799000001</v>
      </c>
      <c r="F311" s="37" t="s">
        <v>451</v>
      </c>
      <c r="G311" s="46">
        <v>20.696650000000002</v>
      </c>
      <c r="H311" s="47"/>
      <c r="I311" s="48">
        <f t="shared" si="29"/>
        <v>0</v>
      </c>
      <c r="L311" s="28" t="str">
        <f t="shared" si="25"/>
        <v>-</v>
      </c>
      <c r="M311" s="28" t="str">
        <f t="shared" si="26"/>
        <v>-</v>
      </c>
      <c r="N311" s="29" t="str">
        <f t="shared" si="27"/>
        <v>-</v>
      </c>
      <c r="O311" s="30" t="str">
        <f t="shared" si="28"/>
        <v>-</v>
      </c>
      <c r="Q311" s="30" t="str">
        <f t="shared" si="30"/>
        <v>-</v>
      </c>
    </row>
    <row r="312" spans="1:17">
      <c r="A312" s="41">
        <v>60065</v>
      </c>
      <c r="B312" s="42">
        <v>810487030755</v>
      </c>
      <c r="C312" s="43" t="s">
        <v>383</v>
      </c>
      <c r="D312" s="44" t="s">
        <v>62</v>
      </c>
      <c r="E312" s="45">
        <v>0.41186187196000013</v>
      </c>
      <c r="F312" s="37" t="s">
        <v>451</v>
      </c>
      <c r="G312" s="46">
        <v>12.40915</v>
      </c>
      <c r="H312" s="47"/>
      <c r="I312" s="48">
        <f t="shared" si="29"/>
        <v>0</v>
      </c>
      <c r="L312" s="28" t="str">
        <f t="shared" ref="L312:L332" si="31">IFERROR(IF($L$2*E312=0, "-", $L$2*E312), "-")</f>
        <v>-</v>
      </c>
      <c r="M312" s="28" t="str">
        <f t="shared" ref="M312:M332" si="32">IFERROR(IF(L312&gt;0,G312+L312,"-"),"-")</f>
        <v>-</v>
      </c>
      <c r="N312" s="29" t="str">
        <f t="shared" ref="N312:N332" si="33">IF(H312&gt;0,H312*E312, "-")</f>
        <v>-</v>
      </c>
      <c r="O312" s="30" t="str">
        <f t="shared" ref="O312:O332" si="34">IFERROR(IF($L$2&gt;0, $L$2*N312, "-"), "-")</f>
        <v>-</v>
      </c>
      <c r="Q312" s="30" t="str">
        <f t="shared" si="30"/>
        <v>-</v>
      </c>
    </row>
    <row r="313" spans="1:17">
      <c r="A313" s="41">
        <v>60072</v>
      </c>
      <c r="B313" s="42">
        <v>810487032063</v>
      </c>
      <c r="C313" s="43" t="s">
        <v>384</v>
      </c>
      <c r="D313" s="44" t="s">
        <v>63</v>
      </c>
      <c r="E313" s="45">
        <v>0.14929992858550001</v>
      </c>
      <c r="F313" s="37" t="s">
        <v>451</v>
      </c>
      <c r="G313" s="46">
        <v>20.696650000000002</v>
      </c>
      <c r="H313" s="47"/>
      <c r="I313" s="48">
        <f t="shared" si="29"/>
        <v>0</v>
      </c>
      <c r="L313" s="28" t="str">
        <f t="shared" si="31"/>
        <v>-</v>
      </c>
      <c r="M313" s="28" t="str">
        <f t="shared" si="32"/>
        <v>-</v>
      </c>
      <c r="N313" s="29" t="str">
        <f t="shared" si="33"/>
        <v>-</v>
      </c>
      <c r="O313" s="30" t="str">
        <f t="shared" si="34"/>
        <v>-</v>
      </c>
      <c r="Q313" s="30" t="str">
        <f t="shared" si="30"/>
        <v>-</v>
      </c>
    </row>
    <row r="314" spans="1:17">
      <c r="A314" s="41">
        <v>60057</v>
      </c>
      <c r="B314" s="42">
        <v>813006018081</v>
      </c>
      <c r="C314" s="43" t="s">
        <v>385</v>
      </c>
      <c r="D314" s="44" t="s">
        <v>59</v>
      </c>
      <c r="E314" s="45">
        <v>0.21451139164583335</v>
      </c>
      <c r="F314" s="37" t="s">
        <v>451</v>
      </c>
      <c r="G314" s="46">
        <v>17.403749999999999</v>
      </c>
      <c r="H314" s="47"/>
      <c r="I314" s="48">
        <f t="shared" si="29"/>
        <v>0</v>
      </c>
      <c r="L314" s="28" t="str">
        <f t="shared" si="31"/>
        <v>-</v>
      </c>
      <c r="M314" s="28" t="str">
        <f t="shared" si="32"/>
        <v>-</v>
      </c>
      <c r="N314" s="29" t="str">
        <f t="shared" si="33"/>
        <v>-</v>
      </c>
      <c r="O314" s="30" t="str">
        <f t="shared" si="34"/>
        <v>-</v>
      </c>
      <c r="Q314" s="30" t="str">
        <f t="shared" si="30"/>
        <v>-</v>
      </c>
    </row>
    <row r="315" spans="1:17">
      <c r="A315" s="41">
        <v>60056</v>
      </c>
      <c r="B315" s="42">
        <v>813006018074</v>
      </c>
      <c r="C315" s="43" t="s">
        <v>386</v>
      </c>
      <c r="D315" s="44" t="s">
        <v>59</v>
      </c>
      <c r="E315" s="45">
        <v>0.21451139164583335</v>
      </c>
      <c r="F315" s="37" t="s">
        <v>451</v>
      </c>
      <c r="G315" s="46">
        <v>17.403749999999999</v>
      </c>
      <c r="H315" s="47"/>
      <c r="I315" s="48">
        <f t="shared" si="29"/>
        <v>0</v>
      </c>
      <c r="L315" s="28" t="str">
        <f t="shared" si="31"/>
        <v>-</v>
      </c>
      <c r="M315" s="28" t="str">
        <f t="shared" si="32"/>
        <v>-</v>
      </c>
      <c r="N315" s="29" t="str">
        <f t="shared" si="33"/>
        <v>-</v>
      </c>
      <c r="O315" s="30" t="str">
        <f t="shared" si="34"/>
        <v>-</v>
      </c>
      <c r="Q315" s="30" t="str">
        <f t="shared" si="30"/>
        <v>-</v>
      </c>
    </row>
    <row r="316" spans="1:17">
      <c r="A316" s="41">
        <v>60084</v>
      </c>
      <c r="B316" s="42">
        <v>810487032919</v>
      </c>
      <c r="C316" s="43" t="s">
        <v>387</v>
      </c>
      <c r="D316" s="44" t="s">
        <v>61</v>
      </c>
      <c r="E316" s="45">
        <v>0.34922454559941668</v>
      </c>
      <c r="F316" s="37" t="s">
        <v>451</v>
      </c>
      <c r="G316" s="46">
        <v>33.127900000000004</v>
      </c>
      <c r="H316" s="47"/>
      <c r="I316" s="48">
        <f t="shared" si="29"/>
        <v>0</v>
      </c>
      <c r="L316" s="28" t="str">
        <f t="shared" si="31"/>
        <v>-</v>
      </c>
      <c r="M316" s="28" t="str">
        <f t="shared" si="32"/>
        <v>-</v>
      </c>
      <c r="N316" s="29" t="str">
        <f t="shared" si="33"/>
        <v>-</v>
      </c>
      <c r="O316" s="30" t="str">
        <f t="shared" si="34"/>
        <v>-</v>
      </c>
      <c r="Q316" s="30" t="str">
        <f t="shared" si="30"/>
        <v>-</v>
      </c>
    </row>
    <row r="317" spans="1:17">
      <c r="A317" s="41">
        <v>60090</v>
      </c>
      <c r="B317" s="42">
        <v>810487033565</v>
      </c>
      <c r="C317" s="43" t="s">
        <v>388</v>
      </c>
      <c r="D317" s="44" t="s">
        <v>141</v>
      </c>
      <c r="E317" s="45">
        <v>9.4385012324166684E-2</v>
      </c>
      <c r="F317" s="37" t="s">
        <v>451</v>
      </c>
      <c r="G317" s="46">
        <v>16.552900000000001</v>
      </c>
      <c r="H317" s="47"/>
      <c r="I317" s="48">
        <f t="shared" si="29"/>
        <v>0</v>
      </c>
      <c r="L317" s="28" t="str">
        <f t="shared" si="31"/>
        <v>-</v>
      </c>
      <c r="M317" s="28" t="str">
        <f t="shared" si="32"/>
        <v>-</v>
      </c>
      <c r="N317" s="29" t="str">
        <f t="shared" si="33"/>
        <v>-</v>
      </c>
      <c r="O317" s="30" t="str">
        <f t="shared" si="34"/>
        <v>-</v>
      </c>
      <c r="Q317" s="30" t="str">
        <f t="shared" si="30"/>
        <v>-</v>
      </c>
    </row>
    <row r="318" spans="1:17">
      <c r="A318" s="41">
        <v>60061</v>
      </c>
      <c r="B318" s="42">
        <v>813006019989</v>
      </c>
      <c r="C318" s="43" t="s">
        <v>389</v>
      </c>
      <c r="D318" s="44" t="s">
        <v>90</v>
      </c>
      <c r="E318" s="45">
        <v>0.48393769955300003</v>
      </c>
      <c r="F318" s="37" t="s">
        <v>451</v>
      </c>
      <c r="G318" s="46">
        <v>28.984150000000003</v>
      </c>
      <c r="H318" s="47"/>
      <c r="I318" s="48">
        <f t="shared" si="29"/>
        <v>0</v>
      </c>
      <c r="L318" s="28" t="str">
        <f t="shared" si="31"/>
        <v>-</v>
      </c>
      <c r="M318" s="28" t="str">
        <f t="shared" si="32"/>
        <v>-</v>
      </c>
      <c r="N318" s="29" t="str">
        <f t="shared" si="33"/>
        <v>-</v>
      </c>
      <c r="O318" s="30" t="str">
        <f t="shared" si="34"/>
        <v>-</v>
      </c>
      <c r="Q318" s="30" t="str">
        <f t="shared" si="30"/>
        <v>-</v>
      </c>
    </row>
    <row r="319" spans="1:17">
      <c r="A319" s="41">
        <v>60105</v>
      </c>
      <c r="B319" s="42">
        <v>810094212506</v>
      </c>
      <c r="C319" s="43" t="s">
        <v>390</v>
      </c>
      <c r="D319" s="44" t="s">
        <v>107</v>
      </c>
      <c r="E319" s="45">
        <v>0.27328751295679171</v>
      </c>
      <c r="F319" s="37" t="s">
        <v>451</v>
      </c>
      <c r="G319" s="46">
        <v>24.840400000000002</v>
      </c>
      <c r="H319" s="47"/>
      <c r="I319" s="48">
        <f t="shared" si="29"/>
        <v>0</v>
      </c>
      <c r="L319" s="28" t="str">
        <f t="shared" si="31"/>
        <v>-</v>
      </c>
      <c r="M319" s="28" t="str">
        <f t="shared" si="32"/>
        <v>-</v>
      </c>
      <c r="N319" s="29" t="str">
        <f t="shared" si="33"/>
        <v>-</v>
      </c>
      <c r="O319" s="30" t="str">
        <f t="shared" si="34"/>
        <v>-</v>
      </c>
      <c r="Q319" s="30" t="str">
        <f t="shared" si="30"/>
        <v>-</v>
      </c>
    </row>
    <row r="320" spans="1:17">
      <c r="A320" s="41">
        <v>60097</v>
      </c>
      <c r="B320" s="42">
        <v>810487038430</v>
      </c>
      <c r="C320" s="43" t="s">
        <v>391</v>
      </c>
      <c r="D320" s="44" t="s">
        <v>89</v>
      </c>
      <c r="E320" s="45">
        <v>0.21451139164583335</v>
      </c>
      <c r="F320" s="37" t="s">
        <v>451</v>
      </c>
      <c r="G320" s="46">
        <v>16.552900000000001</v>
      </c>
      <c r="H320" s="47"/>
      <c r="I320" s="48">
        <f t="shared" si="29"/>
        <v>0</v>
      </c>
      <c r="L320" s="28" t="str">
        <f t="shared" si="31"/>
        <v>-</v>
      </c>
      <c r="M320" s="28" t="str">
        <f t="shared" si="32"/>
        <v>-</v>
      </c>
      <c r="N320" s="29" t="str">
        <f t="shared" si="33"/>
        <v>-</v>
      </c>
      <c r="O320" s="30" t="str">
        <f t="shared" si="34"/>
        <v>-</v>
      </c>
      <c r="Q320" s="30" t="str">
        <f t="shared" si="30"/>
        <v>-</v>
      </c>
    </row>
    <row r="321" spans="1:17">
      <c r="A321" s="41">
        <v>60062</v>
      </c>
      <c r="B321" s="42">
        <v>810487031226</v>
      </c>
      <c r="C321" s="43" t="s">
        <v>392</v>
      </c>
      <c r="D321" s="44" t="s">
        <v>23</v>
      </c>
      <c r="E321" s="45">
        <v>0.42902278329166671</v>
      </c>
      <c r="F321" s="37" t="s">
        <v>451</v>
      </c>
      <c r="G321" s="46">
        <v>24.840400000000002</v>
      </c>
      <c r="H321" s="47"/>
      <c r="I321" s="48">
        <f t="shared" si="29"/>
        <v>0</v>
      </c>
      <c r="L321" s="28" t="str">
        <f t="shared" si="31"/>
        <v>-</v>
      </c>
      <c r="M321" s="28" t="str">
        <f t="shared" si="32"/>
        <v>-</v>
      </c>
      <c r="N321" s="29" t="str">
        <f t="shared" si="33"/>
        <v>-</v>
      </c>
      <c r="O321" s="30" t="str">
        <f t="shared" si="34"/>
        <v>-</v>
      </c>
      <c r="Q321" s="30" t="str">
        <f t="shared" si="30"/>
        <v>-</v>
      </c>
    </row>
    <row r="322" spans="1:17">
      <c r="A322" s="41">
        <v>60049</v>
      </c>
      <c r="B322" s="42">
        <v>813006016803</v>
      </c>
      <c r="C322" s="43" t="s">
        <v>67</v>
      </c>
      <c r="D322" s="44" t="s">
        <v>431</v>
      </c>
      <c r="E322" s="45">
        <v>0.94385012324166673</v>
      </c>
      <c r="F322" s="37" t="s">
        <v>451</v>
      </c>
      <c r="G322" s="46">
        <v>12.40915</v>
      </c>
      <c r="H322" s="47"/>
      <c r="I322" s="48">
        <f t="shared" si="29"/>
        <v>0</v>
      </c>
      <c r="L322" s="28" t="str">
        <f t="shared" si="31"/>
        <v>-</v>
      </c>
      <c r="M322" s="28" t="str">
        <f t="shared" si="32"/>
        <v>-</v>
      </c>
      <c r="N322" s="29" t="str">
        <f t="shared" si="33"/>
        <v>-</v>
      </c>
      <c r="O322" s="30" t="str">
        <f t="shared" si="34"/>
        <v>-</v>
      </c>
      <c r="Q322" s="30" t="str">
        <f t="shared" si="30"/>
        <v>-</v>
      </c>
    </row>
    <row r="323" spans="1:17">
      <c r="A323" s="41">
        <v>60036</v>
      </c>
      <c r="B323" s="42">
        <v>813006016261</v>
      </c>
      <c r="C323" s="43" t="s">
        <v>393</v>
      </c>
      <c r="D323" s="44" t="s">
        <v>68</v>
      </c>
      <c r="E323" s="45">
        <v>4.0328141629416665</v>
      </c>
      <c r="F323" s="37" t="s">
        <v>451</v>
      </c>
      <c r="G323" s="46">
        <v>99.427900000000008</v>
      </c>
      <c r="H323" s="47"/>
      <c r="I323" s="48">
        <f t="shared" ref="I323:I386" si="35">H323*G323</f>
        <v>0</v>
      </c>
      <c r="L323" s="28" t="str">
        <f t="shared" si="31"/>
        <v>-</v>
      </c>
      <c r="M323" s="28" t="str">
        <f t="shared" si="32"/>
        <v>-</v>
      </c>
      <c r="N323" s="29" t="str">
        <f t="shared" si="33"/>
        <v>-</v>
      </c>
      <c r="O323" s="30" t="str">
        <f t="shared" si="34"/>
        <v>-</v>
      </c>
      <c r="Q323" s="30" t="str">
        <f t="shared" si="30"/>
        <v>-</v>
      </c>
    </row>
    <row r="324" spans="1:17">
      <c r="A324" s="41">
        <v>60035</v>
      </c>
      <c r="B324" s="42">
        <v>813006016254</v>
      </c>
      <c r="C324" s="43" t="s">
        <v>394</v>
      </c>
      <c r="D324" s="44" t="s">
        <v>68</v>
      </c>
      <c r="E324" s="45">
        <v>2.5455351808638893</v>
      </c>
      <c r="F324" s="37" t="s">
        <v>451</v>
      </c>
      <c r="G324" s="46">
        <v>82.852900000000005</v>
      </c>
      <c r="H324" s="47"/>
      <c r="I324" s="48">
        <f t="shared" si="35"/>
        <v>0</v>
      </c>
      <c r="L324" s="28" t="str">
        <f t="shared" si="31"/>
        <v>-</v>
      </c>
      <c r="M324" s="28" t="str">
        <f t="shared" si="32"/>
        <v>-</v>
      </c>
      <c r="N324" s="29" t="str">
        <f t="shared" si="33"/>
        <v>-</v>
      </c>
      <c r="O324" s="30" t="str">
        <f t="shared" si="34"/>
        <v>-</v>
      </c>
      <c r="Q324" s="30" t="str">
        <f t="shared" si="30"/>
        <v>-</v>
      </c>
    </row>
    <row r="325" spans="1:17">
      <c r="A325" s="41">
        <v>60034</v>
      </c>
      <c r="B325" s="42">
        <v>813006016247</v>
      </c>
      <c r="C325" s="43" t="s">
        <v>69</v>
      </c>
      <c r="D325" s="44" t="s">
        <v>68</v>
      </c>
      <c r="E325" s="45">
        <v>1.6431572600070832</v>
      </c>
      <c r="F325" s="37" t="s">
        <v>451</v>
      </c>
      <c r="G325" s="46">
        <v>66.277900000000002</v>
      </c>
      <c r="H325" s="47"/>
      <c r="I325" s="48">
        <f t="shared" si="35"/>
        <v>0</v>
      </c>
      <c r="L325" s="28" t="str">
        <f t="shared" si="31"/>
        <v>-</v>
      </c>
      <c r="M325" s="28" t="str">
        <f t="shared" si="32"/>
        <v>-</v>
      </c>
      <c r="N325" s="29" t="str">
        <f t="shared" si="33"/>
        <v>-</v>
      </c>
      <c r="O325" s="30" t="str">
        <f t="shared" si="34"/>
        <v>-</v>
      </c>
      <c r="Q325" s="30" t="str">
        <f t="shared" si="30"/>
        <v>-</v>
      </c>
    </row>
    <row r="326" spans="1:17">
      <c r="A326" s="41">
        <v>60059</v>
      </c>
      <c r="B326" s="42">
        <v>813006018371</v>
      </c>
      <c r="C326" s="43" t="s">
        <v>395</v>
      </c>
      <c r="D326" s="44" t="s">
        <v>122</v>
      </c>
      <c r="E326" s="45">
        <v>0.50624688428416675</v>
      </c>
      <c r="F326" s="37" t="s">
        <v>451</v>
      </c>
      <c r="G326" s="46">
        <v>33.127900000000004</v>
      </c>
      <c r="H326" s="47"/>
      <c r="I326" s="48">
        <f t="shared" si="35"/>
        <v>0</v>
      </c>
      <c r="L326" s="28" t="str">
        <f t="shared" si="31"/>
        <v>-</v>
      </c>
      <c r="M326" s="28" t="str">
        <f t="shared" si="32"/>
        <v>-</v>
      </c>
      <c r="N326" s="29" t="str">
        <f t="shared" si="33"/>
        <v>-</v>
      </c>
      <c r="O326" s="30" t="str">
        <f t="shared" si="34"/>
        <v>-</v>
      </c>
      <c r="Q326" s="30" t="str">
        <f t="shared" si="30"/>
        <v>-</v>
      </c>
    </row>
    <row r="327" spans="1:17">
      <c r="A327" s="41">
        <v>60033</v>
      </c>
      <c r="B327" s="42">
        <v>813006017756</v>
      </c>
      <c r="C327" s="43" t="s">
        <v>396</v>
      </c>
      <c r="D327" s="44" t="s">
        <v>61</v>
      </c>
      <c r="E327" s="45">
        <v>0.47407017553729169</v>
      </c>
      <c r="F327" s="37" t="s">
        <v>451</v>
      </c>
      <c r="G327" s="46">
        <v>24.85145</v>
      </c>
      <c r="H327" s="47"/>
      <c r="I327" s="48">
        <f t="shared" si="35"/>
        <v>0</v>
      </c>
      <c r="L327" s="28" t="str">
        <f t="shared" si="31"/>
        <v>-</v>
      </c>
      <c r="M327" s="28" t="str">
        <f t="shared" si="32"/>
        <v>-</v>
      </c>
      <c r="N327" s="29" t="str">
        <f t="shared" si="33"/>
        <v>-</v>
      </c>
      <c r="O327" s="30" t="str">
        <f t="shared" si="34"/>
        <v>-</v>
      </c>
      <c r="Q327" s="30" t="str">
        <f t="shared" si="30"/>
        <v>-</v>
      </c>
    </row>
    <row r="328" spans="1:17">
      <c r="A328" s="41">
        <v>60009</v>
      </c>
      <c r="B328" s="42">
        <v>813006012379</v>
      </c>
      <c r="C328" s="43" t="s">
        <v>397</v>
      </c>
      <c r="D328" s="44" t="s">
        <v>103</v>
      </c>
      <c r="E328" s="45">
        <v>0.21451139164583335</v>
      </c>
      <c r="F328" s="37" t="s">
        <v>451</v>
      </c>
      <c r="G328" s="46">
        <v>16.552900000000001</v>
      </c>
      <c r="H328" s="47"/>
      <c r="I328" s="48">
        <f t="shared" si="35"/>
        <v>0</v>
      </c>
      <c r="L328" s="28" t="str">
        <f t="shared" si="31"/>
        <v>-</v>
      </c>
      <c r="M328" s="28" t="str">
        <f t="shared" si="32"/>
        <v>-</v>
      </c>
      <c r="N328" s="29" t="str">
        <f t="shared" si="33"/>
        <v>-</v>
      </c>
      <c r="O328" s="30" t="str">
        <f t="shared" si="34"/>
        <v>-</v>
      </c>
      <c r="Q328" s="30" t="str">
        <f t="shared" si="30"/>
        <v>-</v>
      </c>
    </row>
    <row r="329" spans="1:17">
      <c r="A329" s="41">
        <v>60028</v>
      </c>
      <c r="B329" s="42">
        <v>810487034173</v>
      </c>
      <c r="C329" s="43" t="s">
        <v>398</v>
      </c>
      <c r="D329" s="44" t="s">
        <v>91</v>
      </c>
      <c r="E329" s="45">
        <v>0.25569757884183331</v>
      </c>
      <c r="F329" s="37" t="s">
        <v>451</v>
      </c>
      <c r="G329" s="46">
        <v>14.331849999999999</v>
      </c>
      <c r="H329" s="47"/>
      <c r="I329" s="48">
        <f t="shared" si="35"/>
        <v>0</v>
      </c>
      <c r="L329" s="28" t="str">
        <f t="shared" si="31"/>
        <v>-</v>
      </c>
      <c r="M329" s="28" t="str">
        <f t="shared" si="32"/>
        <v>-</v>
      </c>
      <c r="N329" s="29" t="str">
        <f t="shared" si="33"/>
        <v>-</v>
      </c>
      <c r="O329" s="30" t="str">
        <f t="shared" si="34"/>
        <v>-</v>
      </c>
      <c r="Q329" s="30" t="str">
        <f t="shared" si="30"/>
        <v>-</v>
      </c>
    </row>
    <row r="330" spans="1:17">
      <c r="A330" s="41">
        <v>60093</v>
      </c>
      <c r="B330" s="42">
        <v>810487034111</v>
      </c>
      <c r="C330" s="43" t="s">
        <v>399</v>
      </c>
      <c r="D330" s="44" t="s">
        <v>124</v>
      </c>
      <c r="E330" s="45">
        <v>5.5772961827916676E-2</v>
      </c>
      <c r="F330" s="37" t="s">
        <v>451</v>
      </c>
      <c r="G330" s="46">
        <v>19.039149999999999</v>
      </c>
      <c r="H330" s="47"/>
      <c r="I330" s="48">
        <f t="shared" si="35"/>
        <v>0</v>
      </c>
      <c r="L330" s="28" t="str">
        <f t="shared" si="31"/>
        <v>-</v>
      </c>
      <c r="M330" s="28" t="str">
        <f t="shared" si="32"/>
        <v>-</v>
      </c>
      <c r="N330" s="29" t="str">
        <f t="shared" si="33"/>
        <v>-</v>
      </c>
      <c r="O330" s="30" t="str">
        <f t="shared" si="34"/>
        <v>-</v>
      </c>
      <c r="Q330" s="30" t="str">
        <f t="shared" si="30"/>
        <v>-</v>
      </c>
    </row>
    <row r="331" spans="1:17">
      <c r="A331" s="41">
        <v>60058</v>
      </c>
      <c r="B331" s="42">
        <v>813006018357</v>
      </c>
      <c r="C331" s="43" t="s">
        <v>400</v>
      </c>
      <c r="D331" s="44" t="s">
        <v>432</v>
      </c>
      <c r="E331" s="45">
        <v>0.2321013257607917</v>
      </c>
      <c r="F331" s="37" t="s">
        <v>451</v>
      </c>
      <c r="G331" s="46">
        <v>14.066650000000001</v>
      </c>
      <c r="H331" s="47"/>
      <c r="I331" s="48">
        <f t="shared" si="35"/>
        <v>0</v>
      </c>
      <c r="L331" s="28" t="str">
        <f t="shared" si="31"/>
        <v>-</v>
      </c>
      <c r="M331" s="28" t="str">
        <f t="shared" si="32"/>
        <v>-</v>
      </c>
      <c r="N331" s="29" t="str">
        <f t="shared" si="33"/>
        <v>-</v>
      </c>
      <c r="O331" s="30" t="str">
        <f t="shared" si="34"/>
        <v>-</v>
      </c>
      <c r="Q331" s="30" t="str">
        <f t="shared" si="30"/>
        <v>-</v>
      </c>
    </row>
    <row r="332" spans="1:17">
      <c r="A332" s="41">
        <v>60110</v>
      </c>
      <c r="B332" s="42">
        <v>810094213831</v>
      </c>
      <c r="C332" s="43" t="s">
        <v>401</v>
      </c>
      <c r="D332" s="44" t="s">
        <v>433</v>
      </c>
      <c r="E332" s="45">
        <v>0.42902278329166671</v>
      </c>
      <c r="F332" s="37" t="s">
        <v>451</v>
      </c>
      <c r="G332" s="46">
        <v>22.354150000000001</v>
      </c>
      <c r="H332" s="47"/>
      <c r="I332" s="48">
        <f t="shared" si="35"/>
        <v>0</v>
      </c>
      <c r="L332" s="28" t="str">
        <f t="shared" si="31"/>
        <v>-</v>
      </c>
      <c r="M332" s="28" t="str">
        <f t="shared" si="32"/>
        <v>-</v>
      </c>
      <c r="N332" s="29" t="str">
        <f t="shared" si="33"/>
        <v>-</v>
      </c>
      <c r="O332" s="30" t="str">
        <f t="shared" si="34"/>
        <v>-</v>
      </c>
      <c r="Q332" s="30" t="str">
        <f t="shared" si="30"/>
        <v>-</v>
      </c>
    </row>
    <row r="333" spans="1:17">
      <c r="A333" s="41">
        <v>10459</v>
      </c>
      <c r="B333" s="42">
        <v>810094214203</v>
      </c>
      <c r="C333" s="43" t="s">
        <v>453</v>
      </c>
      <c r="D333" s="44" t="s">
        <v>7</v>
      </c>
      <c r="E333" s="45">
        <v>0.15015797415208335</v>
      </c>
      <c r="F333" s="37" t="s">
        <v>451</v>
      </c>
      <c r="G333" s="46">
        <v>24.840400000000002</v>
      </c>
      <c r="H333" s="47"/>
      <c r="I333" s="48">
        <f t="shared" si="35"/>
        <v>0</v>
      </c>
      <c r="L333" s="28" t="str">
        <f t="shared" ref="L333:L338" si="36">IFERROR(IF($L$2*E333=0, "-", $L$2*E333), "-")</f>
        <v>-</v>
      </c>
      <c r="M333" s="28" t="str">
        <f t="shared" ref="M333:M338" si="37">IFERROR(IF(L333&gt;0,G333+L333,"-"),"-")</f>
        <v>-</v>
      </c>
      <c r="N333" s="29" t="str">
        <f t="shared" ref="N333:N338" si="38">IF(H333&gt;0,H333*E333, "-")</f>
        <v>-</v>
      </c>
      <c r="O333" s="30" t="str">
        <f t="shared" ref="O333:O338" si="39">IFERROR(IF($L$2&gt;0, $L$2*N333, "-"), "-")</f>
        <v>-</v>
      </c>
      <c r="Q333" s="30" t="str">
        <f t="shared" ref="Q333:Q338" si="40">IFERROR(IF(O333+I333=0, "-", IF(O333&gt;0, O333+I333, "-")), "-")</f>
        <v>-</v>
      </c>
    </row>
    <row r="334" spans="1:17">
      <c r="A334" s="41">
        <v>10468</v>
      </c>
      <c r="B334" s="42">
        <v>810094214401</v>
      </c>
      <c r="C334" s="43" t="s">
        <v>454</v>
      </c>
      <c r="D334" s="44" t="s">
        <v>6</v>
      </c>
      <c r="E334" s="45">
        <v>0.46334460595500004</v>
      </c>
      <c r="F334" s="37" t="s">
        <v>451</v>
      </c>
      <c r="G334" s="46">
        <v>53.846649999999997</v>
      </c>
      <c r="H334" s="47"/>
      <c r="I334" s="48">
        <f t="shared" si="35"/>
        <v>0</v>
      </c>
      <c r="L334" s="28" t="str">
        <f t="shared" si="36"/>
        <v>-</v>
      </c>
      <c r="M334" s="28" t="str">
        <f t="shared" si="37"/>
        <v>-</v>
      </c>
      <c r="N334" s="29" t="str">
        <f t="shared" si="38"/>
        <v>-</v>
      </c>
      <c r="O334" s="30" t="str">
        <f t="shared" si="39"/>
        <v>-</v>
      </c>
      <c r="Q334" s="30" t="str">
        <f t="shared" si="40"/>
        <v>-</v>
      </c>
    </row>
    <row r="335" spans="1:17">
      <c r="A335" s="41">
        <v>10423</v>
      </c>
      <c r="B335" s="42">
        <v>810094212766</v>
      </c>
      <c r="C335" s="43" t="s">
        <v>455</v>
      </c>
      <c r="D335" s="44" t="s">
        <v>12</v>
      </c>
      <c r="E335" s="45">
        <v>0.17160911331666664</v>
      </c>
      <c r="F335" s="37" t="s">
        <v>451</v>
      </c>
      <c r="G335" s="46">
        <v>33.127900000000004</v>
      </c>
      <c r="H335" s="47"/>
      <c r="I335" s="48">
        <f t="shared" si="35"/>
        <v>0</v>
      </c>
      <c r="L335" s="28" t="str">
        <f t="shared" si="36"/>
        <v>-</v>
      </c>
      <c r="M335" s="28" t="str">
        <f t="shared" si="37"/>
        <v>-</v>
      </c>
      <c r="N335" s="29" t="str">
        <f t="shared" si="38"/>
        <v>-</v>
      </c>
      <c r="O335" s="30" t="str">
        <f t="shared" si="39"/>
        <v>-</v>
      </c>
      <c r="Q335" s="30" t="str">
        <f t="shared" si="40"/>
        <v>-</v>
      </c>
    </row>
    <row r="336" spans="1:17">
      <c r="A336" s="41">
        <v>60115</v>
      </c>
      <c r="B336" s="42">
        <v>810094214371</v>
      </c>
      <c r="C336" s="43" t="s">
        <v>456</v>
      </c>
      <c r="D336" s="44" t="s">
        <v>89</v>
      </c>
      <c r="E336" s="45">
        <v>0.23596253081041668</v>
      </c>
      <c r="F336" s="37" t="s">
        <v>451</v>
      </c>
      <c r="G336" s="46">
        <v>24.840400000000002</v>
      </c>
      <c r="H336" s="47"/>
      <c r="I336" s="48">
        <f t="shared" si="35"/>
        <v>0</v>
      </c>
      <c r="L336" s="28" t="str">
        <f t="shared" si="36"/>
        <v>-</v>
      </c>
      <c r="M336" s="28" t="str">
        <f t="shared" si="37"/>
        <v>-</v>
      </c>
      <c r="N336" s="29" t="str">
        <f t="shared" si="38"/>
        <v>-</v>
      </c>
      <c r="O336" s="30" t="str">
        <f t="shared" si="39"/>
        <v>-</v>
      </c>
      <c r="Q336" s="30" t="str">
        <f t="shared" si="40"/>
        <v>-</v>
      </c>
    </row>
    <row r="337" spans="1:17">
      <c r="A337" s="41">
        <v>60092</v>
      </c>
      <c r="B337" s="42">
        <v>810487034128</v>
      </c>
      <c r="C337" s="43" t="s">
        <v>457</v>
      </c>
      <c r="D337" s="44" t="s">
        <v>124</v>
      </c>
      <c r="E337" s="45">
        <v>5.5772961827916676E-2</v>
      </c>
      <c r="F337" s="37" t="s">
        <v>451</v>
      </c>
      <c r="G337" s="46">
        <v>24.011650000000003</v>
      </c>
      <c r="H337" s="47"/>
      <c r="I337" s="48">
        <f t="shared" si="35"/>
        <v>0</v>
      </c>
      <c r="L337" s="28" t="str">
        <f t="shared" si="36"/>
        <v>-</v>
      </c>
      <c r="M337" s="28" t="str">
        <f t="shared" si="37"/>
        <v>-</v>
      </c>
      <c r="N337" s="29" t="str">
        <f t="shared" si="38"/>
        <v>-</v>
      </c>
      <c r="O337" s="30" t="str">
        <f t="shared" si="39"/>
        <v>-</v>
      </c>
      <c r="Q337" s="30" t="str">
        <f t="shared" si="40"/>
        <v>-</v>
      </c>
    </row>
    <row r="338" spans="1:17" ht="15" thickBot="1">
      <c r="A338" s="49">
        <v>60116</v>
      </c>
      <c r="B338" s="50">
        <v>810094214388</v>
      </c>
      <c r="C338" s="51" t="s">
        <v>458</v>
      </c>
      <c r="D338" s="52" t="s">
        <v>459</v>
      </c>
      <c r="E338" s="53">
        <v>0.26599412564083336</v>
      </c>
      <c r="F338" s="54" t="s">
        <v>451</v>
      </c>
      <c r="G338" s="55">
        <v>28.984150000000003</v>
      </c>
      <c r="H338" s="56"/>
      <c r="I338" s="57">
        <f t="shared" si="35"/>
        <v>0</v>
      </c>
      <c r="L338" s="28" t="str">
        <f t="shared" si="36"/>
        <v>-</v>
      </c>
      <c r="M338" s="28" t="str">
        <f t="shared" si="37"/>
        <v>-</v>
      </c>
      <c r="N338" s="29" t="str">
        <f t="shared" si="38"/>
        <v>-</v>
      </c>
      <c r="O338" s="30" t="str">
        <f t="shared" si="39"/>
        <v>-</v>
      </c>
      <c r="Q338" s="30" t="str">
        <f t="shared" si="40"/>
        <v>-</v>
      </c>
    </row>
    <row r="339" spans="1:17">
      <c r="L339" s="28"/>
      <c r="M339" s="28"/>
      <c r="N339" s="29"/>
      <c r="O339" s="30"/>
      <c r="Q339" s="30"/>
    </row>
    <row r="340" spans="1:17">
      <c r="L340" s="28"/>
      <c r="M340" s="28"/>
      <c r="N340" s="29"/>
      <c r="O340" s="30"/>
      <c r="Q340" s="30"/>
    </row>
    <row r="341" spans="1:17" ht="15" thickBot="1">
      <c r="L341" s="28"/>
      <c r="M341" s="28"/>
      <c r="N341" s="29"/>
      <c r="O341" s="30"/>
      <c r="Q341" s="30"/>
    </row>
    <row r="342" spans="1:17" ht="28.8" customHeight="1" thickBot="1">
      <c r="C342" s="5" t="e" vm="1">
        <v>#VALUE!</v>
      </c>
      <c r="L342" s="28"/>
      <c r="M342" s="28"/>
      <c r="N342" s="29"/>
      <c r="O342" s="30"/>
      <c r="Q342" s="30"/>
    </row>
    <row r="343" spans="1:17">
      <c r="C343" s="6" t="s">
        <v>147</v>
      </c>
      <c r="L343" s="28"/>
      <c r="M343" s="28"/>
      <c r="N343" s="29"/>
      <c r="O343" s="30"/>
      <c r="Q343" s="30"/>
    </row>
    <row r="344" spans="1:17">
      <c r="C344" s="7" t="s">
        <v>148</v>
      </c>
      <c r="L344" s="28"/>
      <c r="M344" s="28"/>
      <c r="N344" s="29"/>
      <c r="O344" s="30"/>
      <c r="Q344" s="30"/>
    </row>
    <row r="345" spans="1:17" ht="15" thickBot="1">
      <c r="C345" s="8" t="s">
        <v>144</v>
      </c>
      <c r="L345" s="28"/>
      <c r="M345" s="28"/>
      <c r="N345" s="29"/>
      <c r="O345" s="30"/>
      <c r="Q345" s="30"/>
    </row>
    <row r="346" spans="1:17">
      <c r="C346" s="9" t="s">
        <v>145</v>
      </c>
      <c r="L346" s="28"/>
      <c r="M346" s="28"/>
      <c r="N346" s="29"/>
      <c r="O346" s="30"/>
      <c r="Q346" s="30"/>
    </row>
    <row r="347" spans="1:17" ht="15" thickBot="1">
      <c r="C347" s="10" t="s">
        <v>146</v>
      </c>
      <c r="L347" s="28"/>
      <c r="M347" s="28"/>
      <c r="N347" s="29"/>
      <c r="O347" s="30"/>
      <c r="Q347" s="30"/>
    </row>
    <row r="348" spans="1:17">
      <c r="L348" s="28"/>
      <c r="M348" s="28"/>
      <c r="N348" s="29"/>
      <c r="O348" s="30"/>
      <c r="Q348" s="30"/>
    </row>
    <row r="349" spans="1:17">
      <c r="L349" s="28"/>
      <c r="M349" s="28"/>
      <c r="N349" s="29"/>
      <c r="O349" s="30"/>
      <c r="Q349" s="30"/>
    </row>
    <row r="350" spans="1:17">
      <c r="L350" s="28"/>
      <c r="M350" s="28"/>
      <c r="N350" s="29"/>
      <c r="O350" s="30"/>
      <c r="Q350" s="30"/>
    </row>
    <row r="351" spans="1:17">
      <c r="L351" s="28"/>
      <c r="M351" s="28"/>
      <c r="N351" s="29"/>
      <c r="O351" s="30"/>
      <c r="Q351" s="30"/>
    </row>
    <row r="352" spans="1:17">
      <c r="L352" s="28"/>
      <c r="M352" s="28"/>
      <c r="N352" s="29"/>
      <c r="O352" s="30"/>
      <c r="Q352" s="30"/>
    </row>
    <row r="353" spans="12:17">
      <c r="L353" s="28"/>
      <c r="M353" s="28"/>
      <c r="N353" s="29"/>
      <c r="O353" s="30"/>
      <c r="Q353" s="30"/>
    </row>
    <row r="354" spans="12:17">
      <c r="L354" s="28"/>
      <c r="M354" s="28"/>
      <c r="N354" s="29"/>
      <c r="O354" s="30"/>
      <c r="Q354" s="30"/>
    </row>
    <row r="355" spans="12:17">
      <c r="L355" s="28"/>
      <c r="M355" s="28"/>
      <c r="N355" s="29"/>
      <c r="O355" s="30"/>
      <c r="Q355" s="30"/>
    </row>
    <row r="356" spans="12:17">
      <c r="L356" s="28"/>
      <c r="M356" s="28"/>
      <c r="N356" s="29"/>
      <c r="O356" s="30"/>
      <c r="Q356" s="30"/>
    </row>
    <row r="357" spans="12:17">
      <c r="L357" s="28"/>
      <c r="M357" s="28"/>
      <c r="N357" s="29"/>
      <c r="O357" s="30"/>
      <c r="Q357" s="30"/>
    </row>
    <row r="358" spans="12:17">
      <c r="L358" s="28"/>
      <c r="M358" s="28"/>
      <c r="N358" s="29"/>
      <c r="O358" s="30"/>
      <c r="Q358" s="30"/>
    </row>
    <row r="359" spans="12:17">
      <c r="L359" s="28"/>
      <c r="M359" s="28"/>
      <c r="N359" s="29"/>
      <c r="O359" s="30"/>
      <c r="Q359" s="30"/>
    </row>
    <row r="360" spans="12:17">
      <c r="L360" s="28"/>
      <c r="M360" s="28"/>
      <c r="N360" s="29"/>
      <c r="O360" s="30"/>
      <c r="Q360" s="30"/>
    </row>
    <row r="361" spans="12:17">
      <c r="L361" s="28"/>
      <c r="M361" s="28"/>
      <c r="N361" s="29"/>
      <c r="O361" s="30"/>
      <c r="Q361" s="30"/>
    </row>
    <row r="362" spans="12:17">
      <c r="L362" s="28"/>
      <c r="M362" s="28"/>
      <c r="N362" s="29"/>
      <c r="O362" s="30"/>
      <c r="Q362" s="30"/>
    </row>
    <row r="363" spans="12:17">
      <c r="L363" s="28"/>
      <c r="M363" s="28"/>
      <c r="N363" s="29"/>
      <c r="O363" s="30"/>
      <c r="Q363" s="30"/>
    </row>
    <row r="364" spans="12:17">
      <c r="L364" s="28"/>
      <c r="M364" s="28"/>
      <c r="N364" s="29"/>
      <c r="O364" s="30"/>
      <c r="Q364" s="30"/>
    </row>
    <row r="365" spans="12:17">
      <c r="L365" s="28"/>
      <c r="M365" s="28"/>
      <c r="N365" s="29"/>
      <c r="O365" s="30"/>
      <c r="Q365" s="30"/>
    </row>
    <row r="366" spans="12:17">
      <c r="L366" s="28"/>
      <c r="M366" s="28"/>
      <c r="N366" s="29"/>
      <c r="O366" s="30"/>
      <c r="Q366" s="30"/>
    </row>
    <row r="367" spans="12:17">
      <c r="L367" s="28"/>
      <c r="M367" s="28"/>
      <c r="N367" s="29"/>
      <c r="O367" s="30"/>
      <c r="Q367" s="30"/>
    </row>
    <row r="368" spans="12:17">
      <c r="L368" s="28"/>
      <c r="M368" s="28"/>
      <c r="N368" s="29"/>
      <c r="O368" s="30"/>
      <c r="Q368" s="30"/>
    </row>
    <row r="369" spans="12:17">
      <c r="L369" s="28"/>
      <c r="M369" s="28"/>
      <c r="N369" s="29"/>
      <c r="O369" s="30"/>
      <c r="Q369" s="30"/>
    </row>
    <row r="370" spans="12:17">
      <c r="L370" s="28"/>
      <c r="M370" s="28"/>
      <c r="N370" s="29"/>
      <c r="O370" s="30"/>
      <c r="Q370" s="30"/>
    </row>
    <row r="371" spans="12:17">
      <c r="L371" s="28"/>
      <c r="M371" s="28"/>
      <c r="N371" s="29"/>
      <c r="O371" s="30"/>
      <c r="Q371" s="30"/>
    </row>
    <row r="372" spans="12:17">
      <c r="L372" s="28"/>
      <c r="M372" s="28"/>
      <c r="N372" s="29"/>
      <c r="O372" s="30"/>
      <c r="Q372" s="30"/>
    </row>
    <row r="373" spans="12:17">
      <c r="L373" s="28"/>
      <c r="M373" s="28"/>
      <c r="N373" s="29"/>
      <c r="O373" s="30"/>
      <c r="Q373" s="30"/>
    </row>
    <row r="374" spans="12:17">
      <c r="L374" s="28"/>
      <c r="M374" s="28"/>
      <c r="N374" s="29"/>
      <c r="O374" s="30"/>
      <c r="Q374" s="30"/>
    </row>
    <row r="375" spans="12:17">
      <c r="L375" s="28"/>
      <c r="M375" s="28"/>
      <c r="N375" s="29"/>
      <c r="O375" s="30"/>
      <c r="Q375" s="30"/>
    </row>
    <row r="376" spans="12:17">
      <c r="L376" s="28"/>
      <c r="M376" s="28"/>
      <c r="N376" s="29"/>
      <c r="O376" s="30"/>
      <c r="Q376" s="30"/>
    </row>
    <row r="377" spans="12:17">
      <c r="L377" s="28"/>
      <c r="M377" s="28"/>
      <c r="N377" s="29"/>
      <c r="O377" s="30"/>
      <c r="Q377" s="30"/>
    </row>
    <row r="378" spans="12:17">
      <c r="L378" s="28"/>
      <c r="M378" s="28"/>
      <c r="N378" s="29"/>
      <c r="O378" s="30"/>
      <c r="Q378" s="30"/>
    </row>
    <row r="379" spans="12:17">
      <c r="L379" s="28"/>
      <c r="M379" s="28"/>
      <c r="N379" s="29"/>
      <c r="O379" s="30"/>
      <c r="Q379" s="30"/>
    </row>
    <row r="380" spans="12:17">
      <c r="L380" s="28"/>
      <c r="M380" s="28"/>
      <c r="N380" s="29"/>
      <c r="O380" s="30"/>
      <c r="Q380" s="30"/>
    </row>
    <row r="381" spans="12:17">
      <c r="L381" s="28"/>
      <c r="M381" s="28"/>
      <c r="N381" s="29"/>
      <c r="O381" s="30"/>
      <c r="Q381" s="30"/>
    </row>
    <row r="382" spans="12:17">
      <c r="L382" s="28"/>
      <c r="M382" s="28"/>
      <c r="N382" s="29"/>
      <c r="O382" s="30"/>
      <c r="Q382" s="30"/>
    </row>
    <row r="383" spans="12:17">
      <c r="L383" s="28"/>
      <c r="M383" s="28"/>
      <c r="N383" s="29"/>
      <c r="O383" s="30"/>
      <c r="Q383" s="30"/>
    </row>
    <row r="384" spans="12:17">
      <c r="L384" s="28"/>
      <c r="M384" s="28"/>
      <c r="N384" s="29"/>
      <c r="O384" s="30"/>
      <c r="Q384" s="30"/>
    </row>
    <row r="385" spans="12:17">
      <c r="L385" s="28"/>
      <c r="M385" s="28"/>
      <c r="N385" s="29"/>
      <c r="O385" s="30"/>
      <c r="Q385" s="30"/>
    </row>
    <row r="386" spans="12:17">
      <c r="L386" s="28"/>
      <c r="M386" s="28"/>
      <c r="N386" s="29"/>
      <c r="O386" s="30"/>
      <c r="Q386" s="30"/>
    </row>
    <row r="387" spans="12:17">
      <c r="L387" s="28"/>
      <c r="M387" s="28"/>
      <c r="N387" s="29"/>
      <c r="O387" s="30"/>
      <c r="Q387" s="30"/>
    </row>
    <row r="388" spans="12:17">
      <c r="L388" s="28"/>
      <c r="M388" s="28"/>
      <c r="N388" s="29"/>
      <c r="O388" s="30"/>
      <c r="Q388" s="30"/>
    </row>
    <row r="389" spans="12:17">
      <c r="L389" s="28"/>
      <c r="M389" s="28"/>
      <c r="N389" s="29"/>
      <c r="O389" s="30"/>
      <c r="Q389" s="30"/>
    </row>
    <row r="390" spans="12:17">
      <c r="L390" s="28"/>
      <c r="M390" s="28"/>
      <c r="N390" s="29"/>
      <c r="O390" s="30"/>
      <c r="Q390" s="30"/>
    </row>
    <row r="391" spans="12:17">
      <c r="L391" s="28"/>
      <c r="M391" s="28"/>
      <c r="N391" s="29"/>
      <c r="O391" s="30"/>
      <c r="Q391" s="30"/>
    </row>
    <row r="392" spans="12:17">
      <c r="L392" s="28"/>
      <c r="M392" s="28"/>
      <c r="N392" s="29"/>
      <c r="O392" s="30"/>
      <c r="Q392" s="30"/>
    </row>
    <row r="393" spans="12:17">
      <c r="L393" s="28"/>
      <c r="M393" s="28"/>
      <c r="N393" s="29"/>
      <c r="O393" s="30"/>
      <c r="Q393" s="30"/>
    </row>
    <row r="394" spans="12:17">
      <c r="L394" s="28"/>
      <c r="M394" s="28"/>
      <c r="N394" s="29"/>
      <c r="O394" s="30"/>
      <c r="Q394" s="30"/>
    </row>
    <row r="395" spans="12:17">
      <c r="L395" s="28"/>
      <c r="M395" s="28"/>
      <c r="N395" s="29"/>
      <c r="O395" s="30"/>
      <c r="Q395" s="30"/>
    </row>
    <row r="396" spans="12:17">
      <c r="L396" s="28"/>
      <c r="M396" s="28"/>
      <c r="N396" s="29"/>
      <c r="O396" s="30"/>
      <c r="Q396" s="30"/>
    </row>
    <row r="397" spans="12:17">
      <c r="L397" s="28"/>
      <c r="M397" s="28"/>
      <c r="N397" s="29"/>
      <c r="O397" s="30"/>
      <c r="Q397" s="30"/>
    </row>
    <row r="398" spans="12:17">
      <c r="L398" s="28"/>
      <c r="M398" s="28"/>
      <c r="N398" s="29"/>
      <c r="O398" s="30"/>
      <c r="Q398" s="30"/>
    </row>
    <row r="399" spans="12:17">
      <c r="L399" s="28"/>
      <c r="M399" s="28"/>
      <c r="N399" s="29"/>
      <c r="O399" s="30"/>
      <c r="Q399" s="30"/>
    </row>
    <row r="400" spans="12:17">
      <c r="L400" s="28"/>
      <c r="M400" s="28"/>
      <c r="N400" s="29"/>
      <c r="O400" s="30"/>
      <c r="Q400" s="30"/>
    </row>
    <row r="401" spans="12:17">
      <c r="L401" s="28"/>
      <c r="M401" s="28"/>
      <c r="N401" s="29"/>
      <c r="O401" s="30"/>
      <c r="Q401" s="30"/>
    </row>
    <row r="402" spans="12:17">
      <c r="L402" s="28"/>
      <c r="M402" s="28"/>
      <c r="N402" s="29"/>
      <c r="O402" s="30"/>
      <c r="Q402" s="30"/>
    </row>
    <row r="403" spans="12:17">
      <c r="L403" s="28"/>
      <c r="M403" s="28"/>
      <c r="N403" s="29"/>
      <c r="O403" s="30"/>
      <c r="Q403" s="30"/>
    </row>
    <row r="404" spans="12:17">
      <c r="L404" s="28"/>
      <c r="M404" s="28"/>
      <c r="N404" s="29"/>
      <c r="O404" s="30"/>
      <c r="Q404" s="30"/>
    </row>
    <row r="405" spans="12:17">
      <c r="L405" s="28"/>
      <c r="M405" s="28"/>
      <c r="N405" s="29"/>
      <c r="O405" s="30"/>
      <c r="Q405" s="30"/>
    </row>
    <row r="406" spans="12:17">
      <c r="L406" s="28"/>
      <c r="M406" s="28"/>
      <c r="N406" s="29"/>
      <c r="O406" s="30"/>
      <c r="Q406" s="30"/>
    </row>
    <row r="407" spans="12:17">
      <c r="L407" s="28"/>
      <c r="M407" s="28"/>
      <c r="N407" s="29"/>
      <c r="O407" s="30"/>
      <c r="Q407" s="30"/>
    </row>
    <row r="408" spans="12:17">
      <c r="L408" s="28"/>
      <c r="M408" s="28"/>
      <c r="N408" s="29"/>
      <c r="O408" s="30"/>
      <c r="Q408" s="30"/>
    </row>
    <row r="409" spans="12:17">
      <c r="L409" s="28"/>
      <c r="M409" s="28"/>
      <c r="N409" s="29"/>
      <c r="O409" s="30"/>
      <c r="Q409" s="30"/>
    </row>
    <row r="410" spans="12:17">
      <c r="L410" s="28"/>
      <c r="M410" s="28"/>
      <c r="N410" s="29"/>
      <c r="O410" s="30"/>
      <c r="Q410" s="30"/>
    </row>
    <row r="411" spans="12:17">
      <c r="L411" s="28"/>
      <c r="M411" s="28"/>
      <c r="N411" s="29"/>
      <c r="O411" s="30"/>
      <c r="Q411" s="30"/>
    </row>
    <row r="412" spans="12:17">
      <c r="L412" s="28"/>
      <c r="M412" s="28"/>
      <c r="N412" s="29"/>
      <c r="O412" s="30"/>
      <c r="Q412" s="30"/>
    </row>
    <row r="413" spans="12:17">
      <c r="L413" s="28"/>
      <c r="M413" s="28"/>
      <c r="N413" s="29"/>
      <c r="O413" s="30"/>
      <c r="Q413" s="30"/>
    </row>
    <row r="414" spans="12:17">
      <c r="L414" s="28"/>
      <c r="M414" s="28"/>
      <c r="N414" s="29"/>
      <c r="O414" s="30"/>
      <c r="Q414" s="30"/>
    </row>
    <row r="415" spans="12:17">
      <c r="L415" s="28"/>
      <c r="M415" s="28"/>
      <c r="N415" s="29"/>
      <c r="O415" s="30"/>
      <c r="Q415" s="30"/>
    </row>
    <row r="416" spans="12:17">
      <c r="L416" s="28"/>
      <c r="M416" s="28"/>
      <c r="N416" s="29"/>
      <c r="O416" s="30"/>
      <c r="Q416" s="30"/>
    </row>
    <row r="417" spans="12:17">
      <c r="L417" s="28"/>
      <c r="M417" s="28"/>
      <c r="N417" s="29"/>
      <c r="O417" s="30"/>
      <c r="Q417" s="30"/>
    </row>
    <row r="418" spans="12:17">
      <c r="L418" s="28"/>
      <c r="M418" s="28"/>
      <c r="N418" s="29"/>
      <c r="O418" s="30"/>
      <c r="Q418" s="30"/>
    </row>
    <row r="419" spans="12:17">
      <c r="L419" s="28"/>
      <c r="M419" s="28"/>
      <c r="N419" s="29"/>
      <c r="O419" s="30"/>
      <c r="Q419" s="30"/>
    </row>
    <row r="420" spans="12:17">
      <c r="L420" s="28"/>
      <c r="M420" s="28"/>
      <c r="N420" s="29"/>
      <c r="O420" s="30"/>
      <c r="Q420" s="30"/>
    </row>
    <row r="421" spans="12:17">
      <c r="L421" s="28"/>
      <c r="M421" s="28"/>
      <c r="N421" s="29"/>
      <c r="O421" s="30"/>
      <c r="Q421" s="30"/>
    </row>
    <row r="422" spans="12:17">
      <c r="L422" s="28"/>
      <c r="M422" s="28"/>
      <c r="N422" s="29"/>
      <c r="O422" s="30"/>
      <c r="Q422" s="30"/>
    </row>
    <row r="423" spans="12:17">
      <c r="L423" s="28"/>
      <c r="M423" s="28"/>
      <c r="N423" s="29"/>
      <c r="O423" s="30"/>
      <c r="Q423" s="30"/>
    </row>
    <row r="424" spans="12:17">
      <c r="L424" s="28"/>
      <c r="M424" s="28"/>
      <c r="N424" s="29"/>
      <c r="O424" s="30"/>
      <c r="Q424" s="30"/>
    </row>
    <row r="425" spans="12:17">
      <c r="L425" s="28"/>
      <c r="M425" s="28"/>
      <c r="N425" s="29"/>
      <c r="O425" s="30"/>
      <c r="Q425" s="30"/>
    </row>
    <row r="426" spans="12:17">
      <c r="L426" s="28"/>
      <c r="M426" s="28"/>
      <c r="N426" s="29"/>
      <c r="O426" s="30"/>
      <c r="Q426" s="30"/>
    </row>
    <row r="427" spans="12:17">
      <c r="L427" s="28"/>
      <c r="M427" s="28"/>
      <c r="N427" s="29"/>
      <c r="O427" s="30"/>
      <c r="Q427" s="30"/>
    </row>
    <row r="428" spans="12:17">
      <c r="L428" s="28"/>
      <c r="M428" s="28"/>
      <c r="N428" s="29"/>
      <c r="O428" s="30"/>
      <c r="Q428" s="30"/>
    </row>
    <row r="429" spans="12:17">
      <c r="L429" s="28"/>
      <c r="M429" s="28"/>
      <c r="N429" s="29"/>
      <c r="O429" s="30"/>
      <c r="Q429" s="30"/>
    </row>
    <row r="430" spans="12:17">
      <c r="L430" s="28"/>
      <c r="M430" s="28"/>
      <c r="N430" s="29"/>
      <c r="O430" s="30"/>
      <c r="Q430" s="30"/>
    </row>
    <row r="431" spans="12:17">
      <c r="L431" s="28"/>
      <c r="M431" s="28"/>
      <c r="N431" s="29"/>
      <c r="O431" s="30"/>
      <c r="Q431" s="30"/>
    </row>
    <row r="432" spans="12:17">
      <c r="L432" s="28"/>
      <c r="M432" s="28"/>
      <c r="N432" s="29"/>
      <c r="O432" s="30"/>
      <c r="Q432" s="30"/>
    </row>
    <row r="433" spans="12:17">
      <c r="L433" s="28"/>
      <c r="M433" s="28"/>
      <c r="N433" s="29"/>
      <c r="O433" s="30"/>
      <c r="Q433" s="30"/>
    </row>
    <row r="434" spans="12:17">
      <c r="L434" s="28"/>
      <c r="M434" s="28"/>
      <c r="N434" s="29"/>
      <c r="O434" s="30"/>
      <c r="Q434" s="30"/>
    </row>
    <row r="435" spans="12:17">
      <c r="L435" s="28"/>
      <c r="M435" s="28"/>
      <c r="N435" s="29"/>
      <c r="O435" s="30"/>
      <c r="Q435" s="30"/>
    </row>
    <row r="436" spans="12:17">
      <c r="L436" s="28"/>
      <c r="M436" s="28"/>
      <c r="N436" s="29"/>
      <c r="O436" s="30"/>
      <c r="Q436" s="30"/>
    </row>
    <row r="437" spans="12:17">
      <c r="L437" s="28"/>
      <c r="M437" s="28"/>
      <c r="N437" s="29"/>
      <c r="O437" s="30"/>
      <c r="Q437" s="30"/>
    </row>
    <row r="438" spans="12:17">
      <c r="L438" s="28"/>
      <c r="M438" s="28"/>
      <c r="N438" s="29"/>
      <c r="O438" s="30"/>
      <c r="Q438" s="30"/>
    </row>
    <row r="439" spans="12:17">
      <c r="L439" s="28"/>
      <c r="M439" s="28"/>
      <c r="N439" s="29"/>
      <c r="O439" s="30"/>
      <c r="Q439" s="30"/>
    </row>
    <row r="440" spans="12:17">
      <c r="L440" s="28"/>
      <c r="M440" s="28"/>
      <c r="N440" s="29"/>
      <c r="O440" s="30"/>
      <c r="Q440" s="30"/>
    </row>
    <row r="441" spans="12:17">
      <c r="L441" s="28"/>
      <c r="M441" s="28"/>
      <c r="N441" s="29"/>
      <c r="O441" s="30"/>
      <c r="Q441" s="30"/>
    </row>
    <row r="442" spans="12:17">
      <c r="L442" s="28"/>
      <c r="M442" s="28"/>
      <c r="N442" s="29"/>
      <c r="O442" s="30"/>
      <c r="Q442" s="30"/>
    </row>
    <row r="443" spans="12:17">
      <c r="L443" s="28"/>
      <c r="M443" s="28"/>
      <c r="N443" s="29"/>
      <c r="O443" s="30"/>
      <c r="Q443" s="30"/>
    </row>
    <row r="444" spans="12:17">
      <c r="L444" s="28"/>
      <c r="M444" s="28"/>
      <c r="N444" s="29"/>
      <c r="O444" s="30"/>
      <c r="Q444" s="30"/>
    </row>
    <row r="445" spans="12:17">
      <c r="L445" s="28"/>
      <c r="M445" s="28"/>
      <c r="N445" s="29"/>
      <c r="O445" s="30"/>
      <c r="Q445" s="30"/>
    </row>
    <row r="446" spans="12:17">
      <c r="L446" s="28"/>
      <c r="M446" s="28"/>
      <c r="N446" s="29"/>
      <c r="O446" s="30"/>
      <c r="Q446" s="30"/>
    </row>
    <row r="447" spans="12:17">
      <c r="L447" s="28"/>
      <c r="M447" s="28"/>
      <c r="N447" s="29"/>
      <c r="O447" s="30"/>
      <c r="Q447" s="30"/>
    </row>
    <row r="448" spans="12:17">
      <c r="L448" s="28"/>
      <c r="M448" s="28"/>
      <c r="N448" s="29"/>
      <c r="O448" s="30"/>
      <c r="Q448" s="30"/>
    </row>
    <row r="449" spans="12:17">
      <c r="L449" s="28"/>
      <c r="M449" s="28"/>
      <c r="N449" s="29"/>
      <c r="O449" s="30"/>
      <c r="Q449" s="30"/>
    </row>
    <row r="450" spans="12:17">
      <c r="L450" s="28"/>
      <c r="M450" s="28"/>
      <c r="N450" s="29"/>
      <c r="O450" s="30"/>
      <c r="Q450" s="30"/>
    </row>
    <row r="451" spans="12:17">
      <c r="L451" s="28"/>
      <c r="M451" s="28"/>
      <c r="N451" s="29"/>
      <c r="O451" s="30"/>
      <c r="Q451" s="30"/>
    </row>
    <row r="452" spans="12:17">
      <c r="L452" s="28"/>
      <c r="M452" s="28"/>
      <c r="N452" s="29"/>
      <c r="O452" s="30"/>
      <c r="Q452" s="30"/>
    </row>
    <row r="453" spans="12:17">
      <c r="L453" s="28"/>
      <c r="M453" s="28"/>
      <c r="N453" s="29"/>
      <c r="O453" s="30"/>
      <c r="Q453" s="30"/>
    </row>
    <row r="454" spans="12:17">
      <c r="L454" s="28"/>
      <c r="M454" s="28"/>
      <c r="N454" s="29"/>
      <c r="O454" s="30"/>
      <c r="Q454" s="30"/>
    </row>
    <row r="455" spans="12:17">
      <c r="L455" s="28"/>
      <c r="M455" s="28"/>
      <c r="N455" s="29"/>
      <c r="O455" s="30"/>
      <c r="Q455" s="30"/>
    </row>
    <row r="456" spans="12:17">
      <c r="L456" s="28"/>
      <c r="M456" s="28"/>
      <c r="N456" s="29"/>
      <c r="O456" s="30"/>
      <c r="Q456" s="30"/>
    </row>
    <row r="457" spans="12:17">
      <c r="L457" s="28"/>
      <c r="M457" s="28"/>
      <c r="N457" s="29"/>
      <c r="O457" s="30"/>
      <c r="Q457" s="30"/>
    </row>
    <row r="458" spans="12:17">
      <c r="L458" s="28"/>
      <c r="M458" s="28"/>
      <c r="N458" s="29"/>
      <c r="O458" s="30"/>
      <c r="Q458" s="30"/>
    </row>
    <row r="459" spans="12:17">
      <c r="L459" s="28"/>
      <c r="M459" s="28"/>
      <c r="N459" s="29"/>
      <c r="O459" s="30"/>
      <c r="Q459" s="30"/>
    </row>
    <row r="460" spans="12:17">
      <c r="L460" s="28"/>
      <c r="M460" s="28"/>
      <c r="N460" s="29"/>
      <c r="O460" s="30"/>
      <c r="Q460" s="30"/>
    </row>
    <row r="461" spans="12:17">
      <c r="L461" s="28"/>
      <c r="M461" s="28"/>
      <c r="N461" s="29"/>
      <c r="O461" s="30"/>
      <c r="Q461" s="30"/>
    </row>
    <row r="462" spans="12:17">
      <c r="L462" s="28"/>
      <c r="M462" s="28"/>
      <c r="N462" s="29"/>
      <c r="O462" s="30"/>
      <c r="Q462" s="30"/>
    </row>
    <row r="463" spans="12:17">
      <c r="L463" s="28"/>
      <c r="M463" s="28"/>
      <c r="N463" s="29"/>
      <c r="O463" s="30"/>
      <c r="Q463" s="30"/>
    </row>
    <row r="464" spans="12:17">
      <c r="L464" s="28"/>
      <c r="M464" s="28"/>
      <c r="N464" s="29"/>
      <c r="O464" s="30"/>
      <c r="Q464" s="30"/>
    </row>
    <row r="465" spans="12:17">
      <c r="L465" s="28"/>
      <c r="M465" s="28"/>
      <c r="N465" s="29"/>
      <c r="O465" s="30"/>
      <c r="Q465" s="30"/>
    </row>
    <row r="466" spans="12:17">
      <c r="L466" s="28"/>
      <c r="M466" s="28"/>
      <c r="N466" s="29"/>
      <c r="O466" s="30"/>
      <c r="Q466" s="30"/>
    </row>
    <row r="467" spans="12:17">
      <c r="L467" s="28"/>
      <c r="M467" s="28"/>
      <c r="N467" s="29"/>
      <c r="O467" s="30"/>
      <c r="Q467" s="30"/>
    </row>
    <row r="468" spans="12:17">
      <c r="L468" s="28"/>
      <c r="M468" s="28"/>
      <c r="N468" s="29"/>
      <c r="O468" s="30"/>
      <c r="Q468" s="30"/>
    </row>
    <row r="469" spans="12:17">
      <c r="L469" s="28"/>
      <c r="M469" s="28"/>
      <c r="N469" s="29"/>
      <c r="O469" s="30"/>
      <c r="Q469" s="30"/>
    </row>
    <row r="470" spans="12:17">
      <c r="L470" s="28"/>
      <c r="M470" s="28"/>
      <c r="N470" s="29"/>
      <c r="O470" s="30"/>
      <c r="Q470" s="30"/>
    </row>
    <row r="471" spans="12:17">
      <c r="L471" s="28"/>
      <c r="M471" s="28"/>
      <c r="N471" s="29"/>
      <c r="O471" s="30"/>
      <c r="Q471" s="30"/>
    </row>
    <row r="472" spans="12:17">
      <c r="L472" s="28"/>
      <c r="M472" s="28"/>
      <c r="N472" s="29"/>
      <c r="O472" s="30"/>
      <c r="Q472" s="30"/>
    </row>
    <row r="473" spans="12:17">
      <c r="L473" s="28"/>
      <c r="M473" s="28"/>
      <c r="N473" s="29"/>
      <c r="O473" s="30"/>
      <c r="Q473" s="30"/>
    </row>
    <row r="474" spans="12:17">
      <c r="L474" s="28"/>
      <c r="M474" s="28"/>
      <c r="N474" s="29"/>
      <c r="O474" s="30"/>
      <c r="Q474" s="30"/>
    </row>
    <row r="475" spans="12:17">
      <c r="L475" s="28"/>
      <c r="M475" s="28"/>
      <c r="N475" s="29"/>
      <c r="O475" s="30"/>
      <c r="Q475" s="30"/>
    </row>
    <row r="476" spans="12:17">
      <c r="L476" s="28"/>
      <c r="M476" s="28"/>
      <c r="N476" s="29"/>
      <c r="O476" s="30"/>
      <c r="Q476" s="30"/>
    </row>
    <row r="477" spans="12:17">
      <c r="L477" s="28"/>
      <c r="M477" s="28"/>
      <c r="N477" s="29"/>
      <c r="O477" s="30"/>
      <c r="Q477" s="30"/>
    </row>
    <row r="478" spans="12:17">
      <c r="L478" s="28"/>
      <c r="M478" s="28"/>
      <c r="N478" s="29"/>
      <c r="O478" s="30"/>
      <c r="Q478" s="30"/>
    </row>
    <row r="479" spans="12:17">
      <c r="L479" s="28"/>
      <c r="M479" s="28"/>
      <c r="N479" s="29"/>
      <c r="O479" s="30"/>
      <c r="Q479" s="30"/>
    </row>
    <row r="480" spans="12:17">
      <c r="L480" s="28"/>
      <c r="M480" s="28"/>
      <c r="N480" s="29"/>
      <c r="O480" s="30"/>
      <c r="Q480" s="30"/>
    </row>
    <row r="481" spans="12:17">
      <c r="L481" s="28"/>
      <c r="M481" s="28"/>
      <c r="N481" s="29"/>
      <c r="O481" s="30"/>
      <c r="Q481" s="30"/>
    </row>
    <row r="482" spans="12:17">
      <c r="L482" s="28"/>
      <c r="M482" s="28"/>
      <c r="N482" s="29"/>
      <c r="O482" s="30"/>
      <c r="Q482" s="30"/>
    </row>
    <row r="483" spans="12:17">
      <c r="L483" s="28"/>
      <c r="M483" s="28"/>
      <c r="N483" s="29"/>
      <c r="O483" s="30"/>
      <c r="Q483" s="30"/>
    </row>
    <row r="484" spans="12:17">
      <c r="L484" s="28"/>
      <c r="M484" s="28"/>
      <c r="N484" s="29"/>
      <c r="O484" s="30"/>
      <c r="Q484" s="30"/>
    </row>
    <row r="485" spans="12:17">
      <c r="L485" s="28"/>
      <c r="M485" s="28"/>
      <c r="N485" s="29"/>
      <c r="O485" s="30"/>
      <c r="Q485" s="30"/>
    </row>
    <row r="486" spans="12:17">
      <c r="L486" s="28"/>
      <c r="M486" s="28"/>
      <c r="N486" s="29"/>
      <c r="O486" s="30"/>
      <c r="Q486" s="30"/>
    </row>
    <row r="487" spans="12:17">
      <c r="L487" s="28"/>
      <c r="M487" s="28"/>
      <c r="N487" s="29"/>
      <c r="O487" s="30"/>
      <c r="Q487" s="30"/>
    </row>
    <row r="488" spans="12:17">
      <c r="L488" s="28"/>
      <c r="M488" s="28"/>
      <c r="N488" s="29"/>
      <c r="O488" s="30"/>
      <c r="Q488" s="30"/>
    </row>
    <row r="489" spans="12:17">
      <c r="L489" s="28"/>
      <c r="M489" s="28"/>
      <c r="N489" s="29"/>
      <c r="O489" s="30"/>
      <c r="Q489" s="30"/>
    </row>
    <row r="490" spans="12:17">
      <c r="L490" s="28"/>
      <c r="M490" s="28"/>
      <c r="N490" s="29"/>
      <c r="O490" s="30"/>
      <c r="Q490" s="30"/>
    </row>
    <row r="491" spans="12:17">
      <c r="L491" s="28"/>
      <c r="M491" s="28"/>
      <c r="N491" s="29"/>
      <c r="O491" s="30"/>
      <c r="Q491" s="30"/>
    </row>
    <row r="492" spans="12:17">
      <c r="L492" s="28"/>
      <c r="M492" s="28"/>
      <c r="N492" s="29"/>
      <c r="O492" s="30"/>
      <c r="Q492" s="30"/>
    </row>
    <row r="493" spans="12:17">
      <c r="L493" s="28"/>
      <c r="M493" s="28"/>
      <c r="N493" s="29"/>
      <c r="O493" s="30"/>
      <c r="Q493" s="30"/>
    </row>
    <row r="494" spans="12:17">
      <c r="L494" s="28"/>
      <c r="M494" s="28"/>
      <c r="N494" s="29"/>
      <c r="O494" s="30"/>
      <c r="Q494" s="30"/>
    </row>
    <row r="495" spans="12:17">
      <c r="L495" s="28"/>
      <c r="M495" s="28"/>
      <c r="N495" s="29"/>
      <c r="O495" s="30"/>
      <c r="Q495" s="30"/>
    </row>
    <row r="496" spans="12:17">
      <c r="L496" s="28"/>
      <c r="M496" s="28"/>
      <c r="N496" s="29"/>
      <c r="O496" s="30"/>
      <c r="Q496" s="30"/>
    </row>
    <row r="497" spans="12:17">
      <c r="L497" s="28"/>
      <c r="M497" s="28"/>
      <c r="N497" s="29"/>
      <c r="O497" s="30"/>
      <c r="Q497" s="30"/>
    </row>
    <row r="498" spans="12:17">
      <c r="L498" s="28"/>
      <c r="M498" s="28"/>
      <c r="N498" s="29"/>
      <c r="O498" s="30"/>
      <c r="Q498" s="30"/>
    </row>
    <row r="499" spans="12:17">
      <c r="L499" s="28"/>
      <c r="M499" s="28"/>
      <c r="N499" s="29"/>
      <c r="O499" s="30"/>
      <c r="Q499" s="30"/>
    </row>
    <row r="500" spans="12:17">
      <c r="L500" s="28"/>
      <c r="M500" s="28"/>
      <c r="N500" s="29"/>
      <c r="O500" s="30"/>
      <c r="Q500" s="30"/>
    </row>
    <row r="501" spans="12:17">
      <c r="L501" s="28"/>
      <c r="M501" s="28"/>
      <c r="N501" s="29"/>
      <c r="O501" s="30"/>
      <c r="Q501" s="30"/>
    </row>
    <row r="502" spans="12:17">
      <c r="L502" s="28"/>
      <c r="M502" s="28"/>
      <c r="N502" s="29"/>
      <c r="O502" s="30"/>
      <c r="Q502" s="30"/>
    </row>
    <row r="503" spans="12:17">
      <c r="L503" s="28"/>
      <c r="M503" s="28"/>
      <c r="N503" s="29"/>
      <c r="O503" s="30"/>
      <c r="Q503" s="30"/>
    </row>
    <row r="504" spans="12:17">
      <c r="L504" s="28"/>
      <c r="M504" s="28"/>
      <c r="N504" s="29"/>
      <c r="O504" s="30"/>
      <c r="Q504" s="30"/>
    </row>
    <row r="505" spans="12:17">
      <c r="L505" s="28"/>
      <c r="M505" s="28"/>
      <c r="N505" s="29"/>
      <c r="O505" s="30"/>
      <c r="Q505" s="30"/>
    </row>
    <row r="506" spans="12:17">
      <c r="L506" s="28"/>
      <c r="M506" s="28"/>
      <c r="N506" s="29"/>
      <c r="O506" s="30"/>
      <c r="Q506" s="30"/>
    </row>
    <row r="507" spans="12:17">
      <c r="L507" s="28"/>
      <c r="M507" s="28"/>
      <c r="N507" s="29"/>
      <c r="O507" s="30"/>
      <c r="Q507" s="30"/>
    </row>
    <row r="508" spans="12:17">
      <c r="L508" s="28"/>
      <c r="M508" s="28"/>
      <c r="N508" s="29"/>
      <c r="O508" s="30"/>
      <c r="Q508" s="30"/>
    </row>
    <row r="509" spans="12:17">
      <c r="L509" s="28"/>
      <c r="M509" s="28"/>
      <c r="N509" s="29"/>
      <c r="O509" s="30"/>
      <c r="Q509" s="30"/>
    </row>
    <row r="510" spans="12:17">
      <c r="L510" s="28"/>
      <c r="M510" s="28"/>
      <c r="N510" s="29"/>
      <c r="O510" s="30"/>
      <c r="Q510" s="30"/>
    </row>
    <row r="511" spans="12:17">
      <c r="L511" s="28"/>
      <c r="M511" s="28"/>
      <c r="N511" s="29"/>
      <c r="O511" s="30"/>
      <c r="Q511" s="30"/>
    </row>
    <row r="512" spans="12:17">
      <c r="L512" s="28"/>
      <c r="M512" s="28"/>
      <c r="N512" s="29"/>
      <c r="O512" s="30"/>
      <c r="Q512" s="30"/>
    </row>
    <row r="513" spans="12:17">
      <c r="L513" s="28"/>
      <c r="M513" s="28"/>
      <c r="N513" s="29"/>
      <c r="O513" s="30"/>
      <c r="Q513" s="30"/>
    </row>
    <row r="514" spans="12:17">
      <c r="L514" s="28"/>
      <c r="M514" s="28"/>
      <c r="N514" s="29"/>
      <c r="O514" s="30"/>
      <c r="Q514" s="30"/>
    </row>
    <row r="515" spans="12:17">
      <c r="L515" s="28"/>
      <c r="M515" s="28"/>
      <c r="N515" s="29"/>
      <c r="O515" s="30"/>
      <c r="Q515" s="30"/>
    </row>
    <row r="516" spans="12:17">
      <c r="L516" s="28"/>
      <c r="M516" s="28"/>
      <c r="N516" s="29"/>
      <c r="O516" s="30"/>
      <c r="Q516" s="30"/>
    </row>
    <row r="517" spans="12:17">
      <c r="L517" s="28"/>
      <c r="M517" s="28"/>
      <c r="N517" s="29"/>
      <c r="O517" s="30"/>
      <c r="Q517" s="30"/>
    </row>
    <row r="518" spans="12:17">
      <c r="L518" s="28"/>
      <c r="M518" s="28"/>
      <c r="N518" s="29"/>
      <c r="O518" s="30"/>
      <c r="Q518" s="30"/>
    </row>
    <row r="519" spans="12:17">
      <c r="L519" s="28"/>
      <c r="M519" s="28"/>
      <c r="N519" s="29"/>
      <c r="O519" s="30"/>
      <c r="Q519" s="30"/>
    </row>
    <row r="520" spans="12:17">
      <c r="L520" s="28"/>
      <c r="M520" s="28"/>
      <c r="N520" s="29"/>
      <c r="O520" s="30"/>
      <c r="Q520" s="30"/>
    </row>
    <row r="521" spans="12:17">
      <c r="L521" s="28"/>
      <c r="M521" s="28"/>
      <c r="N521" s="29"/>
      <c r="O521" s="30"/>
      <c r="Q521" s="30"/>
    </row>
    <row r="522" spans="12:17">
      <c r="L522" s="28"/>
      <c r="M522" s="28"/>
      <c r="N522" s="29"/>
      <c r="O522" s="30"/>
      <c r="Q522" s="30"/>
    </row>
    <row r="523" spans="12:17">
      <c r="L523" s="28"/>
      <c r="M523" s="28"/>
      <c r="N523" s="29"/>
      <c r="O523" s="30"/>
      <c r="Q523" s="30"/>
    </row>
    <row r="524" spans="12:17">
      <c r="L524" s="28"/>
      <c r="M524" s="28"/>
      <c r="N524" s="29"/>
      <c r="O524" s="30"/>
      <c r="Q524" s="30"/>
    </row>
    <row r="525" spans="12:17">
      <c r="L525" s="28"/>
      <c r="M525" s="28"/>
      <c r="N525" s="29"/>
      <c r="O525" s="30"/>
      <c r="Q525" s="30"/>
    </row>
    <row r="526" spans="12:17">
      <c r="L526" s="28"/>
      <c r="M526" s="28"/>
      <c r="N526" s="29"/>
      <c r="O526" s="30"/>
      <c r="Q526" s="30"/>
    </row>
    <row r="527" spans="12:17">
      <c r="L527" s="28"/>
      <c r="M527" s="28"/>
      <c r="N527" s="29"/>
      <c r="O527" s="30"/>
      <c r="Q527" s="30"/>
    </row>
    <row r="528" spans="12:17">
      <c r="L528" s="28"/>
      <c r="M528" s="28"/>
      <c r="N528" s="29"/>
      <c r="O528" s="30"/>
      <c r="Q528" s="30"/>
    </row>
    <row r="529" spans="12:17">
      <c r="L529" s="28"/>
      <c r="M529" s="28"/>
      <c r="N529" s="29"/>
      <c r="O529" s="30"/>
      <c r="Q529" s="30"/>
    </row>
    <row r="530" spans="12:17">
      <c r="L530" s="28"/>
      <c r="M530" s="28"/>
      <c r="N530" s="29"/>
      <c r="O530" s="30"/>
      <c r="Q530" s="30"/>
    </row>
    <row r="531" spans="12:17">
      <c r="L531" s="28"/>
      <c r="M531" s="28"/>
      <c r="N531" s="29"/>
      <c r="O531" s="30"/>
      <c r="Q531" s="30"/>
    </row>
    <row r="532" spans="12:17">
      <c r="L532" s="28"/>
      <c r="M532" s="28"/>
      <c r="N532" s="29"/>
      <c r="O532" s="30"/>
      <c r="Q532" s="30"/>
    </row>
    <row r="533" spans="12:17">
      <c r="L533" s="28"/>
      <c r="M533" s="28"/>
      <c r="N533" s="29"/>
      <c r="O533" s="30"/>
      <c r="Q533" s="30"/>
    </row>
    <row r="534" spans="12:17">
      <c r="L534" s="28"/>
      <c r="M534" s="28"/>
      <c r="N534" s="29"/>
      <c r="O534" s="30"/>
      <c r="Q534" s="30"/>
    </row>
    <row r="535" spans="12:17">
      <c r="L535" s="28"/>
      <c r="M535" s="28"/>
      <c r="N535" s="29"/>
      <c r="O535" s="30"/>
      <c r="Q535" s="30"/>
    </row>
    <row r="536" spans="12:17">
      <c r="L536" s="28"/>
      <c r="M536" s="28"/>
      <c r="N536" s="29"/>
      <c r="O536" s="30"/>
      <c r="Q536" s="30"/>
    </row>
    <row r="537" spans="12:17">
      <c r="L537" s="28"/>
      <c r="M537" s="28"/>
      <c r="N537" s="29"/>
      <c r="O537" s="30"/>
      <c r="Q537" s="30"/>
    </row>
    <row r="538" spans="12:17">
      <c r="L538" s="28"/>
      <c r="M538" s="28"/>
      <c r="N538" s="29"/>
      <c r="O538" s="30"/>
      <c r="Q538" s="30"/>
    </row>
    <row r="539" spans="12:17">
      <c r="L539" s="28"/>
      <c r="M539" s="28"/>
      <c r="N539" s="29"/>
      <c r="O539" s="30"/>
      <c r="Q539" s="30"/>
    </row>
    <row r="540" spans="12:17">
      <c r="L540" s="28"/>
      <c r="M540" s="28"/>
      <c r="N540" s="29"/>
      <c r="O540" s="30"/>
      <c r="Q540" s="30"/>
    </row>
    <row r="541" spans="12:17">
      <c r="L541" s="28"/>
      <c r="M541" s="28"/>
      <c r="N541" s="29"/>
      <c r="O541" s="30"/>
      <c r="Q541" s="30"/>
    </row>
    <row r="542" spans="12:17">
      <c r="L542" s="28"/>
      <c r="M542" s="28"/>
      <c r="N542" s="29"/>
      <c r="O542" s="30"/>
      <c r="Q542" s="30"/>
    </row>
    <row r="543" spans="12:17">
      <c r="L543" s="28"/>
      <c r="M543" s="28"/>
      <c r="N543" s="29"/>
      <c r="O543" s="30"/>
      <c r="Q543" s="30"/>
    </row>
    <row r="544" spans="12:17">
      <c r="L544" s="28"/>
      <c r="M544" s="28"/>
      <c r="N544" s="29"/>
      <c r="O544" s="30"/>
      <c r="Q544" s="30"/>
    </row>
    <row r="545" spans="12:17">
      <c r="L545" s="28"/>
      <c r="M545" s="28"/>
      <c r="N545" s="29"/>
      <c r="O545" s="30"/>
      <c r="Q545" s="30"/>
    </row>
    <row r="546" spans="12:17">
      <c r="L546" s="28"/>
      <c r="M546" s="28"/>
      <c r="N546" s="29"/>
      <c r="O546" s="30"/>
      <c r="Q546" s="30"/>
    </row>
    <row r="547" spans="12:17">
      <c r="L547" s="28"/>
      <c r="M547" s="28"/>
      <c r="N547" s="29"/>
      <c r="O547" s="30"/>
      <c r="Q547" s="30"/>
    </row>
    <row r="548" spans="12:17">
      <c r="L548" s="28"/>
      <c r="M548" s="28"/>
      <c r="N548" s="29"/>
      <c r="O548" s="30"/>
      <c r="Q548" s="30"/>
    </row>
    <row r="549" spans="12:17">
      <c r="L549" s="28"/>
      <c r="M549" s="28"/>
      <c r="N549" s="29"/>
      <c r="O549" s="30"/>
      <c r="Q549" s="30"/>
    </row>
    <row r="550" spans="12:17">
      <c r="L550" s="28"/>
      <c r="M550" s="28"/>
      <c r="N550" s="29"/>
      <c r="O550" s="30"/>
      <c r="Q550" s="30"/>
    </row>
    <row r="551" spans="12:17">
      <c r="L551" s="28"/>
      <c r="M551" s="28"/>
      <c r="N551" s="29"/>
      <c r="O551" s="30"/>
      <c r="Q551" s="30"/>
    </row>
    <row r="552" spans="12:17">
      <c r="L552" s="28"/>
      <c r="M552" s="28"/>
      <c r="N552" s="29"/>
      <c r="O552" s="30"/>
      <c r="Q552" s="30"/>
    </row>
    <row r="553" spans="12:17">
      <c r="L553" s="28"/>
      <c r="M553" s="28"/>
      <c r="N553" s="29"/>
      <c r="O553" s="30"/>
      <c r="Q553" s="30"/>
    </row>
    <row r="554" spans="12:17">
      <c r="L554" s="28"/>
      <c r="M554" s="28"/>
      <c r="N554" s="29"/>
      <c r="O554" s="30"/>
      <c r="Q554" s="30"/>
    </row>
    <row r="555" spans="12:17">
      <c r="L555" s="28"/>
      <c r="M555" s="28"/>
      <c r="N555" s="29"/>
      <c r="O555" s="30"/>
      <c r="Q555" s="30"/>
    </row>
    <row r="556" spans="12:17">
      <c r="L556" s="28"/>
      <c r="M556" s="28"/>
      <c r="N556" s="29"/>
      <c r="O556" s="30"/>
      <c r="Q556" s="30"/>
    </row>
    <row r="557" spans="12:17">
      <c r="L557" s="28"/>
      <c r="M557" s="28"/>
      <c r="N557" s="29"/>
      <c r="O557" s="30"/>
      <c r="Q557" s="30"/>
    </row>
    <row r="558" spans="12:17">
      <c r="L558" s="28"/>
      <c r="M558" s="28"/>
      <c r="N558" s="29"/>
      <c r="O558" s="30"/>
      <c r="Q558" s="30"/>
    </row>
    <row r="559" spans="12:17">
      <c r="L559" s="28"/>
      <c r="M559" s="28"/>
      <c r="N559" s="29"/>
      <c r="O559" s="30"/>
      <c r="Q559" s="30"/>
    </row>
    <row r="560" spans="12:17">
      <c r="L560" s="28"/>
      <c r="M560" s="28"/>
      <c r="N560" s="29"/>
      <c r="O560" s="30"/>
      <c r="Q560" s="30"/>
    </row>
    <row r="561" spans="12:17">
      <c r="L561" s="28"/>
      <c r="M561" s="28"/>
      <c r="N561" s="29"/>
      <c r="O561" s="30"/>
      <c r="Q561" s="30"/>
    </row>
    <row r="562" spans="12:17">
      <c r="L562" s="28"/>
      <c r="M562" s="28"/>
      <c r="N562" s="29"/>
      <c r="O562" s="30"/>
      <c r="Q562" s="30"/>
    </row>
    <row r="563" spans="12:17">
      <c r="L563" s="28"/>
      <c r="M563" s="28"/>
      <c r="N563" s="29"/>
      <c r="O563" s="30"/>
      <c r="Q563" s="30"/>
    </row>
    <row r="564" spans="12:17">
      <c r="L564" s="28"/>
      <c r="M564" s="28"/>
      <c r="N564" s="29"/>
      <c r="O564" s="30"/>
      <c r="Q564" s="30"/>
    </row>
    <row r="565" spans="12:17">
      <c r="L565" s="28"/>
      <c r="M565" s="28"/>
      <c r="N565" s="29"/>
      <c r="O565" s="30"/>
      <c r="Q565" s="30"/>
    </row>
    <row r="566" spans="12:17">
      <c r="L566" s="28"/>
      <c r="M566" s="28"/>
      <c r="N566" s="29"/>
      <c r="O566" s="30"/>
      <c r="Q566" s="30"/>
    </row>
    <row r="567" spans="12:17">
      <c r="L567" s="28"/>
      <c r="M567" s="28"/>
      <c r="N567" s="29"/>
      <c r="O567" s="30"/>
      <c r="Q567" s="30"/>
    </row>
    <row r="568" spans="12:17">
      <c r="L568" s="28"/>
      <c r="M568" s="28"/>
      <c r="N568" s="29"/>
      <c r="O568" s="30"/>
      <c r="Q568" s="30"/>
    </row>
    <row r="569" spans="12:17">
      <c r="L569" s="28"/>
      <c r="M569" s="28"/>
      <c r="N569" s="29"/>
      <c r="O569" s="30"/>
      <c r="Q569" s="30"/>
    </row>
    <row r="570" spans="12:17">
      <c r="L570" s="28"/>
      <c r="M570" s="28"/>
      <c r="N570" s="29"/>
      <c r="O570" s="30"/>
      <c r="Q570" s="30"/>
    </row>
    <row r="571" spans="12:17">
      <c r="L571" s="28"/>
      <c r="M571" s="28"/>
      <c r="N571" s="29"/>
      <c r="O571" s="30"/>
      <c r="Q571" s="30"/>
    </row>
    <row r="572" spans="12:17">
      <c r="L572" s="28"/>
      <c r="M572" s="28"/>
      <c r="N572" s="29"/>
      <c r="O572" s="30"/>
      <c r="Q572" s="30"/>
    </row>
    <row r="573" spans="12:17">
      <c r="L573" s="28"/>
      <c r="M573" s="28"/>
      <c r="N573" s="29"/>
      <c r="O573" s="30"/>
      <c r="Q573" s="30"/>
    </row>
    <row r="574" spans="12:17">
      <c r="L574" s="28"/>
      <c r="M574" s="28"/>
      <c r="N574" s="29"/>
      <c r="O574" s="30"/>
      <c r="Q574" s="30"/>
    </row>
    <row r="575" spans="12:17">
      <c r="L575" s="28"/>
      <c r="M575" s="28"/>
      <c r="N575" s="29"/>
      <c r="O575" s="30"/>
      <c r="Q575" s="30"/>
    </row>
    <row r="576" spans="12:17">
      <c r="L576" s="28"/>
      <c r="M576" s="28"/>
      <c r="N576" s="29"/>
      <c r="O576" s="30"/>
      <c r="Q576" s="30"/>
    </row>
    <row r="577" spans="12:17">
      <c r="L577" s="28"/>
      <c r="M577" s="28"/>
      <c r="N577" s="29"/>
      <c r="O577" s="30"/>
      <c r="Q577" s="30"/>
    </row>
    <row r="578" spans="12:17">
      <c r="L578" s="28"/>
      <c r="M578" s="28"/>
      <c r="N578" s="29"/>
      <c r="O578" s="30"/>
      <c r="Q578" s="30"/>
    </row>
    <row r="579" spans="12:17">
      <c r="L579" s="28"/>
      <c r="M579" s="28"/>
      <c r="N579" s="29"/>
      <c r="O579" s="30"/>
      <c r="Q579" s="30"/>
    </row>
    <row r="580" spans="12:17">
      <c r="L580" s="28"/>
      <c r="M580" s="28"/>
      <c r="N580" s="29"/>
      <c r="O580" s="30"/>
      <c r="Q580" s="30"/>
    </row>
    <row r="581" spans="12:17">
      <c r="L581" s="28"/>
      <c r="M581" s="28"/>
      <c r="N581" s="29"/>
      <c r="O581" s="30"/>
      <c r="Q581" s="30"/>
    </row>
    <row r="582" spans="12:17">
      <c r="L582" s="28"/>
      <c r="M582" s="28"/>
      <c r="N582" s="29"/>
      <c r="O582" s="30"/>
      <c r="Q582" s="30"/>
    </row>
    <row r="583" spans="12:17">
      <c r="L583" s="28"/>
      <c r="M583" s="28"/>
      <c r="N583" s="29"/>
      <c r="O583" s="30"/>
      <c r="Q583" s="30"/>
    </row>
    <row r="584" spans="12:17">
      <c r="L584" s="28"/>
      <c r="M584" s="28"/>
      <c r="N584" s="29"/>
      <c r="O584" s="30"/>
      <c r="Q584" s="30"/>
    </row>
    <row r="585" spans="12:17">
      <c r="L585" s="28"/>
      <c r="M585" s="28"/>
      <c r="N585" s="29"/>
      <c r="O585" s="30"/>
      <c r="Q585" s="30"/>
    </row>
    <row r="586" spans="12:17">
      <c r="L586" s="28"/>
      <c r="M586" s="28"/>
      <c r="N586" s="29"/>
      <c r="O586" s="30"/>
      <c r="Q586" s="30"/>
    </row>
    <row r="587" spans="12:17">
      <c r="L587" s="28"/>
      <c r="M587" s="28"/>
      <c r="N587" s="29"/>
      <c r="O587" s="30"/>
      <c r="Q587" s="30"/>
    </row>
    <row r="588" spans="12:17">
      <c r="L588" s="28"/>
      <c r="M588" s="28"/>
      <c r="N588" s="29"/>
      <c r="O588" s="30"/>
      <c r="Q588" s="30"/>
    </row>
    <row r="589" spans="12:17">
      <c r="L589" s="28"/>
      <c r="M589" s="28"/>
      <c r="N589" s="29"/>
      <c r="O589" s="30"/>
      <c r="Q589" s="30"/>
    </row>
    <row r="590" spans="12:17">
      <c r="L590" s="28"/>
      <c r="M590" s="28"/>
      <c r="N590" s="29"/>
      <c r="O590" s="30"/>
      <c r="Q590" s="30"/>
    </row>
    <row r="591" spans="12:17">
      <c r="L591" s="28"/>
      <c r="M591" s="28"/>
      <c r="N591" s="29"/>
      <c r="O591" s="30"/>
      <c r="Q591" s="30"/>
    </row>
    <row r="592" spans="12:17">
      <c r="L592" s="28"/>
      <c r="M592" s="28"/>
      <c r="N592" s="29"/>
      <c r="O592" s="30"/>
      <c r="Q592" s="30"/>
    </row>
    <row r="593" spans="12:17">
      <c r="L593" s="28"/>
      <c r="M593" s="28"/>
      <c r="N593" s="29"/>
      <c r="O593" s="30"/>
      <c r="Q593" s="30"/>
    </row>
    <row r="594" spans="12:17">
      <c r="L594" s="28"/>
      <c r="M594" s="28"/>
      <c r="N594" s="29"/>
      <c r="O594" s="30"/>
      <c r="Q594" s="30"/>
    </row>
    <row r="595" spans="12:17">
      <c r="L595" s="28"/>
      <c r="M595" s="28"/>
      <c r="N595" s="29"/>
      <c r="O595" s="30"/>
      <c r="Q595" s="30"/>
    </row>
    <row r="596" spans="12:17">
      <c r="L596" s="28"/>
      <c r="M596" s="28"/>
      <c r="N596" s="29"/>
      <c r="O596" s="30"/>
      <c r="Q596" s="30"/>
    </row>
    <row r="597" spans="12:17">
      <c r="L597" s="28"/>
      <c r="M597" s="28"/>
      <c r="N597" s="29"/>
      <c r="O597" s="30"/>
      <c r="Q597" s="30"/>
    </row>
    <row r="598" spans="12:17">
      <c r="L598" s="28"/>
      <c r="M598" s="28"/>
      <c r="N598" s="29"/>
      <c r="O598" s="30"/>
      <c r="Q598" s="30"/>
    </row>
    <row r="599" spans="12:17">
      <c r="L599" s="28"/>
      <c r="M599" s="28"/>
      <c r="N599" s="29"/>
      <c r="O599" s="30"/>
      <c r="Q599" s="30"/>
    </row>
    <row r="600" spans="12:17">
      <c r="L600" s="28"/>
      <c r="M600" s="28"/>
      <c r="N600" s="29"/>
      <c r="O600" s="30"/>
      <c r="Q600" s="30"/>
    </row>
    <row r="601" spans="12:17">
      <c r="L601" s="28"/>
      <c r="M601" s="28"/>
      <c r="N601" s="29"/>
      <c r="O601" s="30"/>
      <c r="Q601" s="30"/>
    </row>
    <row r="602" spans="12:17">
      <c r="L602" s="28"/>
      <c r="M602" s="28"/>
      <c r="N602" s="29"/>
      <c r="O602" s="30"/>
      <c r="Q602" s="30"/>
    </row>
    <row r="603" spans="12:17">
      <c r="L603" s="28"/>
      <c r="M603" s="28"/>
      <c r="N603" s="29"/>
      <c r="O603" s="30"/>
      <c r="Q603" s="30"/>
    </row>
    <row r="604" spans="12:17">
      <c r="L604" s="28"/>
      <c r="M604" s="28"/>
      <c r="N604" s="29"/>
      <c r="O604" s="30"/>
      <c r="Q604" s="30"/>
    </row>
    <row r="605" spans="12:17">
      <c r="L605" s="28"/>
      <c r="M605" s="28"/>
      <c r="N605" s="29"/>
      <c r="O605" s="30"/>
      <c r="Q605" s="30"/>
    </row>
    <row r="606" spans="12:17">
      <c r="L606" s="28"/>
      <c r="M606" s="28"/>
      <c r="N606" s="29"/>
      <c r="O606" s="30"/>
      <c r="Q606" s="30"/>
    </row>
    <row r="607" spans="12:17">
      <c r="L607" s="28"/>
      <c r="M607" s="28"/>
      <c r="N607" s="29"/>
      <c r="O607" s="30"/>
      <c r="Q607" s="30"/>
    </row>
    <row r="608" spans="12:17">
      <c r="L608" s="28"/>
      <c r="M608" s="28"/>
      <c r="N608" s="29"/>
      <c r="O608" s="30"/>
      <c r="Q608" s="30"/>
    </row>
    <row r="609" spans="12:17">
      <c r="L609" s="28"/>
      <c r="M609" s="28"/>
      <c r="N609" s="29"/>
      <c r="O609" s="30"/>
      <c r="Q609" s="30"/>
    </row>
    <row r="610" spans="12:17">
      <c r="L610" s="28"/>
      <c r="M610" s="28"/>
      <c r="N610" s="29"/>
      <c r="O610" s="30"/>
      <c r="Q610" s="30"/>
    </row>
    <row r="611" spans="12:17">
      <c r="L611" s="28"/>
      <c r="M611" s="28"/>
      <c r="N611" s="29"/>
      <c r="O611" s="30"/>
      <c r="Q611" s="30"/>
    </row>
    <row r="612" spans="12:17">
      <c r="L612" s="28"/>
      <c r="M612" s="28"/>
      <c r="N612" s="29"/>
      <c r="O612" s="30"/>
      <c r="Q612" s="30"/>
    </row>
    <row r="613" spans="12:17">
      <c r="L613" s="28"/>
      <c r="M613" s="28"/>
      <c r="N613" s="29"/>
      <c r="O613" s="30"/>
      <c r="Q613" s="30"/>
    </row>
    <row r="614" spans="12:17">
      <c r="L614" s="28"/>
      <c r="M614" s="28"/>
      <c r="N614" s="29"/>
      <c r="O614" s="30"/>
      <c r="Q614" s="30"/>
    </row>
    <row r="615" spans="12:17">
      <c r="L615" s="28"/>
      <c r="M615" s="28"/>
      <c r="N615" s="29"/>
      <c r="O615" s="30"/>
      <c r="Q615" s="30"/>
    </row>
    <row r="616" spans="12:17">
      <c r="L616" s="28"/>
      <c r="M616" s="28"/>
      <c r="N616" s="29"/>
      <c r="O616" s="30"/>
      <c r="Q616" s="30"/>
    </row>
    <row r="617" spans="12:17">
      <c r="L617" s="28"/>
      <c r="M617" s="28"/>
      <c r="N617" s="29"/>
      <c r="O617" s="30"/>
      <c r="Q617" s="30"/>
    </row>
    <row r="618" spans="12:17">
      <c r="L618" s="28"/>
      <c r="M618" s="28"/>
      <c r="N618" s="29"/>
      <c r="O618" s="30"/>
      <c r="Q618" s="30"/>
    </row>
    <row r="619" spans="12:17">
      <c r="L619" s="28"/>
      <c r="M619" s="28"/>
      <c r="N619" s="29"/>
      <c r="O619" s="30"/>
      <c r="Q619" s="30"/>
    </row>
    <row r="620" spans="12:17">
      <c r="L620" s="28"/>
      <c r="M620" s="28"/>
      <c r="N620" s="29"/>
      <c r="O620" s="30"/>
      <c r="Q620" s="30"/>
    </row>
    <row r="621" spans="12:17">
      <c r="L621" s="28"/>
      <c r="M621" s="28"/>
      <c r="N621" s="29"/>
      <c r="O621" s="30"/>
      <c r="Q621" s="30"/>
    </row>
    <row r="622" spans="12:17">
      <c r="L622" s="28"/>
      <c r="M622" s="28"/>
      <c r="N622" s="29"/>
      <c r="O622" s="30"/>
      <c r="Q622" s="30"/>
    </row>
    <row r="623" spans="12:17">
      <c r="L623" s="28"/>
      <c r="M623" s="28"/>
      <c r="N623" s="29"/>
      <c r="O623" s="30"/>
      <c r="Q623" s="30"/>
    </row>
    <row r="624" spans="12:17">
      <c r="L624" s="28"/>
      <c r="M624" s="28"/>
      <c r="N624" s="29"/>
      <c r="O624" s="30"/>
      <c r="Q624" s="30"/>
    </row>
    <row r="625" spans="12:17">
      <c r="L625" s="28"/>
      <c r="M625" s="28"/>
      <c r="N625" s="29"/>
      <c r="O625" s="30"/>
      <c r="Q625" s="30"/>
    </row>
    <row r="626" spans="12:17">
      <c r="L626" s="28"/>
      <c r="M626" s="28"/>
      <c r="N626" s="29"/>
      <c r="O626" s="30"/>
      <c r="Q626" s="30"/>
    </row>
    <row r="627" spans="12:17">
      <c r="L627" s="28"/>
      <c r="M627" s="28"/>
      <c r="N627" s="29"/>
      <c r="O627" s="30"/>
      <c r="Q627" s="30"/>
    </row>
    <row r="628" spans="12:17">
      <c r="L628" s="28"/>
      <c r="M628" s="28"/>
      <c r="N628" s="29"/>
      <c r="O628" s="30"/>
      <c r="Q628" s="30"/>
    </row>
    <row r="629" spans="12:17">
      <c r="L629" s="28"/>
      <c r="M629" s="28"/>
      <c r="N629" s="29"/>
      <c r="O629" s="30"/>
      <c r="Q629" s="30"/>
    </row>
    <row r="630" spans="12:17">
      <c r="L630" s="28"/>
      <c r="M630" s="28"/>
      <c r="N630" s="29"/>
      <c r="O630" s="30"/>
      <c r="Q630" s="30"/>
    </row>
    <row r="631" spans="12:17">
      <c r="L631" s="28"/>
      <c r="M631" s="28"/>
      <c r="N631" s="29"/>
      <c r="O631" s="30"/>
      <c r="Q631" s="30"/>
    </row>
    <row r="632" spans="12:17">
      <c r="L632" s="28"/>
      <c r="M632" s="28"/>
      <c r="N632" s="29"/>
      <c r="O632" s="30"/>
      <c r="Q632" s="30"/>
    </row>
    <row r="633" spans="12:17">
      <c r="L633" s="28"/>
      <c r="M633" s="28"/>
      <c r="N633" s="29"/>
      <c r="O633" s="30"/>
      <c r="Q633" s="30"/>
    </row>
    <row r="634" spans="12:17">
      <c r="L634" s="28"/>
      <c r="M634" s="28"/>
      <c r="N634" s="29"/>
      <c r="O634" s="30"/>
      <c r="Q634" s="30"/>
    </row>
    <row r="635" spans="12:17">
      <c r="L635" s="28"/>
      <c r="M635" s="28"/>
      <c r="N635" s="29"/>
      <c r="O635" s="30"/>
      <c r="Q635" s="30"/>
    </row>
    <row r="636" spans="12:17">
      <c r="L636" s="28"/>
      <c r="M636" s="28"/>
      <c r="N636" s="29"/>
      <c r="O636" s="30"/>
      <c r="Q636" s="30"/>
    </row>
    <row r="637" spans="12:17">
      <c r="L637" s="28"/>
      <c r="M637" s="28"/>
      <c r="N637" s="29"/>
      <c r="O637" s="30"/>
      <c r="Q637" s="30"/>
    </row>
    <row r="638" spans="12:17">
      <c r="L638" s="28"/>
      <c r="M638" s="28"/>
      <c r="N638" s="29"/>
      <c r="O638" s="30"/>
      <c r="Q638" s="30"/>
    </row>
    <row r="639" spans="12:17">
      <c r="L639" s="28"/>
      <c r="M639" s="28"/>
      <c r="N639" s="29"/>
      <c r="O639" s="30"/>
      <c r="Q639" s="30"/>
    </row>
    <row r="640" spans="12:17">
      <c r="L640" s="28"/>
      <c r="M640" s="28"/>
      <c r="N640" s="29"/>
      <c r="O640" s="30"/>
      <c r="Q640" s="30"/>
    </row>
    <row r="641" spans="12:17">
      <c r="L641" s="28"/>
      <c r="M641" s="28"/>
      <c r="N641" s="29"/>
      <c r="O641" s="30"/>
      <c r="Q641" s="30"/>
    </row>
    <row r="642" spans="12:17">
      <c r="L642" s="28"/>
      <c r="M642" s="28"/>
      <c r="N642" s="29"/>
      <c r="O642" s="30"/>
      <c r="Q642" s="30"/>
    </row>
    <row r="643" spans="12:17">
      <c r="L643" s="28"/>
      <c r="M643" s="28"/>
      <c r="N643" s="29"/>
      <c r="O643" s="30"/>
      <c r="Q643" s="30"/>
    </row>
  </sheetData>
  <sheetProtection algorithmName="SHA-512" hashValue="sg62RFeh3/dLX8Es3NZQJKrXp8FmO+YhifMVm1O62aXTH+z66LtJZSQsVJ1emTGxRqhLLivR7hewyFe/tBP/Sg==" saltValue="DAOx/fUAn07N+Da79w3Heg==" spinCount="100000" sheet="1" formatCells="0" formatColumns="0" formatRows="0" insertColumns="0" insertRows="0" insertHyperlinks="0" deleteColumns="0" deleteRows="0" sort="0" autoFilter="0" pivotTables="0"/>
  <protectedRanges>
    <protectedRange algorithmName="SHA-512" hashValue="d0iv9dIgIBz200eF+eMN6wIN9NWFz1dgG629Pr/6MtCPgoSgIORMFYaRlkYLiTS8GFflqo1RUahh4UGngG3H2A==" saltValue="cQNey2dNka1gYHUy+pibmw==" spinCount="100000" sqref="E229" name="Range1"/>
    <protectedRange algorithmName="SHA-512" hashValue="d0iv9dIgIBz200eF+eMN6wIN9NWFz1dgG629Pr/6MtCPgoSgIORMFYaRlkYLiTS8GFflqo1RUahh4UGngG3H2A==" saltValue="cQNey2dNka1gYHUy+pibmw==" spinCount="100000" sqref="E271" name="Range1_2"/>
  </protectedRanges>
  <autoFilter ref="A2:I338" xr:uid="{6ADFD7BF-0001-4C58-B3C7-B974CF55468C}">
    <sortState xmlns:xlrd2="http://schemas.microsoft.com/office/spreadsheetml/2017/richdata2" ref="A3:I338">
      <sortCondition ref="F2:F332"/>
    </sortState>
  </autoFilter>
  <mergeCells count="2">
    <mergeCell ref="A1:I1"/>
    <mergeCell ref="M1:M2"/>
  </mergeCells>
  <conditionalFormatting sqref="A1:B1048576">
    <cfRule type="duplicateValues" dxfId="4" priority="5"/>
  </conditionalFormatting>
  <conditionalFormatting sqref="F3:F338">
    <cfRule type="containsText" dxfId="3" priority="122" operator="containsText" text="В">
      <formula>NOT(ISERROR(SEARCH("В",F3)))</formula>
    </cfRule>
    <cfRule type="containsText" dxfId="2" priority="123" operator="containsText" text="А">
      <formula>NOT(ISERROR(SEARCH("А",F3)))</formula>
    </cfRule>
    <cfRule type="containsText" dxfId="1" priority="124" operator="containsText" text="С">
      <formula>NOT(ISERROR(SEARCH("С",F3)))</formula>
    </cfRule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expression" dxfId="0" priority="6">
      <formula>"&gt;0"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(Dr. Mercola)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Хомик</dc:creator>
  <cp:lastModifiedBy>Денис Хомик</cp:lastModifiedBy>
  <dcterms:created xsi:type="dcterms:W3CDTF">2022-05-09T15:32:17Z</dcterms:created>
  <dcterms:modified xsi:type="dcterms:W3CDTF">2026-03-10T07:13:24Z</dcterms:modified>
</cp:coreProperties>
</file>