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2716359D-CD8F-4118-A138-AD1EBA6A0723}" xr6:coauthVersionLast="47" xr6:coauthVersionMax="47" xr10:uidLastSave="{00000000-0000-0000-0000-000000000000}"/>
  <bookViews>
    <workbookView xWindow="-108" yWindow="-108" windowWidth="23256" windowHeight="13896" xr2:uid="{7C5D032A-5042-4964-B59E-5E9830D12C0A}"/>
  </bookViews>
  <sheets>
    <sheet name="DSN GROUP (Nutricost)" sheetId="1" r:id="rId1"/>
  </sheets>
  <definedNames>
    <definedName name="_xlnm._FilterDatabase" localSheetId="0" hidden="1">'DSN GROUP (Nutricost)'!$A$2:$G$807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808" i="1"/>
  <c r="K808" i="1"/>
  <c r="L808" i="1"/>
  <c r="M808" i="1"/>
  <c r="O808" i="1"/>
  <c r="J809" i="1"/>
  <c r="K809" i="1"/>
  <c r="L809" i="1"/>
  <c r="M809" i="1"/>
  <c r="O809" i="1" s="1"/>
  <c r="J810" i="1"/>
  <c r="K810" i="1"/>
  <c r="L810" i="1"/>
  <c r="M810" i="1"/>
  <c r="O810" i="1"/>
  <c r="J811" i="1"/>
  <c r="K811" i="1"/>
  <c r="L811" i="1"/>
  <c r="M811" i="1"/>
  <c r="O811" i="1" s="1"/>
  <c r="J812" i="1"/>
  <c r="K812" i="1"/>
  <c r="L812" i="1"/>
  <c r="M812" i="1"/>
  <c r="O812" i="1"/>
  <c r="J813" i="1"/>
  <c r="K813" i="1"/>
  <c r="L813" i="1"/>
  <c r="M813" i="1"/>
  <c r="O813" i="1"/>
  <c r="J814" i="1"/>
  <c r="K814" i="1"/>
  <c r="L814" i="1"/>
  <c r="M814" i="1"/>
  <c r="O814" i="1" s="1"/>
  <c r="J815" i="1"/>
  <c r="K815" i="1"/>
  <c r="L815" i="1"/>
  <c r="M815" i="1"/>
  <c r="O815" i="1" s="1"/>
  <c r="J816" i="1"/>
  <c r="K816" i="1"/>
  <c r="L816" i="1"/>
  <c r="M816" i="1"/>
  <c r="O816" i="1" s="1"/>
  <c r="J817" i="1"/>
  <c r="K817" i="1"/>
  <c r="L817" i="1"/>
  <c r="M817" i="1"/>
  <c r="O817" i="1" s="1"/>
  <c r="J818" i="1"/>
  <c r="K818" i="1"/>
  <c r="L818" i="1"/>
  <c r="M818" i="1"/>
  <c r="O818" i="1"/>
  <c r="J819" i="1"/>
  <c r="K819" i="1"/>
  <c r="L819" i="1"/>
  <c r="M819" i="1"/>
  <c r="O819" i="1"/>
  <c r="J820" i="1"/>
  <c r="K820" i="1"/>
  <c r="L820" i="1"/>
  <c r="M820" i="1"/>
  <c r="O820" i="1" s="1"/>
  <c r="J821" i="1"/>
  <c r="K821" i="1"/>
  <c r="L821" i="1"/>
  <c r="M821" i="1"/>
  <c r="O821" i="1" s="1"/>
  <c r="J822" i="1"/>
  <c r="K822" i="1"/>
  <c r="L822" i="1"/>
  <c r="M822" i="1"/>
  <c r="O822" i="1"/>
  <c r="J823" i="1"/>
  <c r="K823" i="1"/>
  <c r="L823" i="1"/>
  <c r="M823" i="1"/>
  <c r="O823" i="1"/>
  <c r="J824" i="1"/>
  <c r="K824" i="1"/>
  <c r="L824" i="1"/>
  <c r="M824" i="1"/>
  <c r="O824" i="1" s="1"/>
  <c r="J825" i="1"/>
  <c r="K825" i="1"/>
  <c r="L825" i="1"/>
  <c r="M825" i="1"/>
  <c r="O825" i="1" s="1"/>
  <c r="J826" i="1"/>
  <c r="K826" i="1"/>
  <c r="L826" i="1"/>
  <c r="M826" i="1"/>
  <c r="O826" i="1"/>
  <c r="J827" i="1"/>
  <c r="K827" i="1"/>
  <c r="L827" i="1"/>
  <c r="M827" i="1"/>
  <c r="O827" i="1" s="1"/>
  <c r="J828" i="1"/>
  <c r="K828" i="1"/>
  <c r="L828" i="1"/>
  <c r="M828" i="1"/>
  <c r="O828" i="1"/>
  <c r="J829" i="1"/>
  <c r="K829" i="1"/>
  <c r="L829" i="1"/>
  <c r="M829" i="1"/>
  <c r="O829" i="1"/>
  <c r="J830" i="1"/>
  <c r="K830" i="1"/>
  <c r="L830" i="1"/>
  <c r="M830" i="1"/>
  <c r="O830" i="1"/>
  <c r="J831" i="1"/>
  <c r="K831" i="1"/>
  <c r="L831" i="1"/>
  <c r="M831" i="1"/>
  <c r="O831" i="1" s="1"/>
  <c r="J832" i="1"/>
  <c r="K832" i="1"/>
  <c r="L832" i="1"/>
  <c r="M832" i="1"/>
  <c r="O832" i="1"/>
  <c r="J833" i="1"/>
  <c r="K833" i="1"/>
  <c r="L833" i="1"/>
  <c r="M833" i="1"/>
  <c r="O833" i="1"/>
  <c r="J834" i="1"/>
  <c r="K834" i="1"/>
  <c r="L834" i="1"/>
  <c r="M834" i="1"/>
  <c r="O834" i="1"/>
  <c r="J835" i="1"/>
  <c r="K835" i="1"/>
  <c r="L835" i="1"/>
  <c r="M835" i="1"/>
  <c r="O835" i="1" s="1"/>
  <c r="J836" i="1"/>
  <c r="K836" i="1"/>
  <c r="L836" i="1"/>
  <c r="M836" i="1"/>
  <c r="O836" i="1" s="1"/>
  <c r="J837" i="1"/>
  <c r="K837" i="1"/>
  <c r="L837" i="1"/>
  <c r="M837" i="1"/>
  <c r="O837" i="1" s="1"/>
  <c r="J838" i="1"/>
  <c r="K838" i="1"/>
  <c r="L838" i="1"/>
  <c r="M838" i="1"/>
  <c r="O838" i="1" s="1"/>
  <c r="J839" i="1"/>
  <c r="K839" i="1"/>
  <c r="L839" i="1"/>
  <c r="M839" i="1"/>
  <c r="O839" i="1"/>
  <c r="J840" i="1"/>
  <c r="K840" i="1"/>
  <c r="L840" i="1"/>
  <c r="M840" i="1"/>
  <c r="O840" i="1" s="1"/>
  <c r="J841" i="1"/>
  <c r="K841" i="1"/>
  <c r="L841" i="1"/>
  <c r="M841" i="1"/>
  <c r="O841" i="1"/>
  <c r="J842" i="1"/>
  <c r="K842" i="1"/>
  <c r="L842" i="1"/>
  <c r="M842" i="1"/>
  <c r="O842" i="1"/>
  <c r="J843" i="1"/>
  <c r="K843" i="1"/>
  <c r="L843" i="1"/>
  <c r="M843" i="1"/>
  <c r="O843" i="1" s="1"/>
  <c r="J844" i="1"/>
  <c r="K844" i="1"/>
  <c r="L844" i="1"/>
  <c r="M844" i="1"/>
  <c r="O844" i="1"/>
  <c r="J845" i="1"/>
  <c r="K845" i="1"/>
  <c r="L845" i="1"/>
  <c r="M845" i="1"/>
  <c r="O845" i="1" s="1"/>
  <c r="J846" i="1"/>
  <c r="K846" i="1"/>
  <c r="L846" i="1"/>
  <c r="M846" i="1"/>
  <c r="O846" i="1"/>
  <c r="J847" i="1"/>
  <c r="K847" i="1"/>
  <c r="L847" i="1"/>
  <c r="M847" i="1"/>
  <c r="O847" i="1" s="1"/>
  <c r="J848" i="1"/>
  <c r="K848" i="1"/>
  <c r="L848" i="1"/>
  <c r="M848" i="1"/>
  <c r="O848" i="1"/>
  <c r="J849" i="1"/>
  <c r="K849" i="1"/>
  <c r="L849" i="1"/>
  <c r="M849" i="1"/>
  <c r="O849" i="1" s="1"/>
  <c r="J850" i="1"/>
  <c r="K850" i="1"/>
  <c r="L850" i="1"/>
  <c r="M850" i="1"/>
  <c r="O850" i="1" s="1"/>
  <c r="J851" i="1"/>
  <c r="K851" i="1"/>
  <c r="L851" i="1"/>
  <c r="M851" i="1"/>
  <c r="O851" i="1" s="1"/>
  <c r="J852" i="1"/>
  <c r="K852" i="1"/>
  <c r="L852" i="1"/>
  <c r="M852" i="1"/>
  <c r="O852" i="1" s="1"/>
  <c r="J853" i="1"/>
  <c r="K853" i="1"/>
  <c r="L853" i="1"/>
  <c r="M853" i="1"/>
  <c r="O853" i="1"/>
  <c r="J854" i="1"/>
  <c r="K854" i="1"/>
  <c r="L854" i="1"/>
  <c r="M854" i="1"/>
  <c r="O854" i="1" s="1"/>
  <c r="J855" i="1"/>
  <c r="K855" i="1"/>
  <c r="L855" i="1"/>
  <c r="M855" i="1"/>
  <c r="O855" i="1"/>
  <c r="J856" i="1"/>
  <c r="K856" i="1"/>
  <c r="L856" i="1"/>
  <c r="M856" i="1"/>
  <c r="O856" i="1"/>
  <c r="J857" i="1"/>
  <c r="K857" i="1"/>
  <c r="L857" i="1"/>
  <c r="M857" i="1"/>
  <c r="O857" i="1"/>
  <c r="J858" i="1"/>
  <c r="K858" i="1"/>
  <c r="L858" i="1"/>
  <c r="M858" i="1"/>
  <c r="O858" i="1"/>
  <c r="J859" i="1"/>
  <c r="K859" i="1"/>
  <c r="L859" i="1"/>
  <c r="M859" i="1"/>
  <c r="O859" i="1" s="1"/>
  <c r="J860" i="1"/>
  <c r="K860" i="1"/>
  <c r="L860" i="1"/>
  <c r="M860" i="1"/>
  <c r="O860" i="1" s="1"/>
  <c r="J861" i="1"/>
  <c r="K861" i="1"/>
  <c r="L861" i="1"/>
  <c r="M861" i="1"/>
  <c r="O861" i="1" s="1"/>
  <c r="J862" i="1"/>
  <c r="K862" i="1"/>
  <c r="L862" i="1"/>
  <c r="M862" i="1"/>
  <c r="O862" i="1"/>
  <c r="J863" i="1"/>
  <c r="K863" i="1"/>
  <c r="L863" i="1"/>
  <c r="M863" i="1"/>
  <c r="O863" i="1" s="1"/>
  <c r="J864" i="1"/>
  <c r="K864" i="1"/>
  <c r="L864" i="1"/>
  <c r="M864" i="1"/>
  <c r="O864" i="1"/>
  <c r="J865" i="1"/>
  <c r="K865" i="1"/>
  <c r="L865" i="1"/>
  <c r="M865" i="1"/>
  <c r="O865" i="1"/>
  <c r="J866" i="1"/>
  <c r="K866" i="1"/>
  <c r="L866" i="1"/>
  <c r="M866" i="1"/>
  <c r="O866" i="1" s="1"/>
  <c r="J867" i="1"/>
  <c r="K867" i="1"/>
  <c r="L867" i="1"/>
  <c r="M867" i="1"/>
  <c r="O867" i="1" s="1"/>
  <c r="J868" i="1"/>
  <c r="K868" i="1"/>
  <c r="L868" i="1"/>
  <c r="M868" i="1"/>
  <c r="O868" i="1" s="1"/>
  <c r="J869" i="1"/>
  <c r="K869" i="1"/>
  <c r="L869" i="1"/>
  <c r="M869" i="1"/>
  <c r="O869" i="1"/>
  <c r="J870" i="1"/>
  <c r="K870" i="1"/>
  <c r="L870" i="1"/>
  <c r="M870" i="1"/>
  <c r="O870" i="1" s="1"/>
  <c r="J871" i="1"/>
  <c r="K871" i="1"/>
  <c r="L871" i="1"/>
  <c r="M871" i="1"/>
  <c r="O871" i="1"/>
  <c r="J872" i="1"/>
  <c r="K872" i="1"/>
  <c r="L872" i="1"/>
  <c r="M872" i="1"/>
  <c r="O872" i="1"/>
  <c r="J873" i="1"/>
  <c r="K873" i="1"/>
  <c r="L873" i="1"/>
  <c r="M873" i="1"/>
  <c r="O873" i="1" s="1"/>
  <c r="J874" i="1"/>
  <c r="K874" i="1"/>
  <c r="L874" i="1"/>
  <c r="M874" i="1"/>
  <c r="O874" i="1" s="1"/>
  <c r="J875" i="1"/>
  <c r="K875" i="1"/>
  <c r="L875" i="1"/>
  <c r="M875" i="1"/>
  <c r="O875" i="1" s="1"/>
  <c r="J876" i="1"/>
  <c r="K876" i="1"/>
  <c r="L876" i="1"/>
  <c r="M876" i="1"/>
  <c r="O876" i="1"/>
  <c r="J877" i="1"/>
  <c r="K877" i="1"/>
  <c r="L877" i="1"/>
  <c r="M877" i="1"/>
  <c r="O877" i="1" s="1"/>
  <c r="J878" i="1"/>
  <c r="K878" i="1"/>
  <c r="L878" i="1"/>
  <c r="M878" i="1"/>
  <c r="O878" i="1"/>
  <c r="J879" i="1"/>
  <c r="K879" i="1"/>
  <c r="L879" i="1"/>
  <c r="M879" i="1"/>
  <c r="O879" i="1"/>
  <c r="J880" i="1"/>
  <c r="K880" i="1"/>
  <c r="L880" i="1"/>
  <c r="M880" i="1"/>
  <c r="O880" i="1"/>
  <c r="J881" i="1"/>
  <c r="K881" i="1"/>
  <c r="L881" i="1"/>
  <c r="M881" i="1"/>
  <c r="O881" i="1"/>
  <c r="J882" i="1"/>
  <c r="K882" i="1"/>
  <c r="L882" i="1"/>
  <c r="M882" i="1"/>
  <c r="O882" i="1"/>
  <c r="J883" i="1"/>
  <c r="K883" i="1"/>
  <c r="L883" i="1"/>
  <c r="M883" i="1"/>
  <c r="O883" i="1" s="1"/>
  <c r="J884" i="1"/>
  <c r="K884" i="1"/>
  <c r="L884" i="1"/>
  <c r="M884" i="1"/>
  <c r="O884" i="1" s="1"/>
  <c r="J885" i="1"/>
  <c r="K885" i="1"/>
  <c r="L885" i="1"/>
  <c r="M885" i="1"/>
  <c r="O885" i="1"/>
  <c r="J886" i="1"/>
  <c r="K886" i="1"/>
  <c r="L886" i="1"/>
  <c r="M886" i="1"/>
  <c r="O886" i="1" s="1"/>
  <c r="J887" i="1"/>
  <c r="K887" i="1"/>
  <c r="L887" i="1"/>
  <c r="M887" i="1"/>
  <c r="O887" i="1"/>
  <c r="J888" i="1"/>
  <c r="K888" i="1"/>
  <c r="L888" i="1"/>
  <c r="M888" i="1"/>
  <c r="O888" i="1"/>
  <c r="J889" i="1"/>
  <c r="K889" i="1"/>
  <c r="L889" i="1"/>
  <c r="M889" i="1"/>
  <c r="O889" i="1"/>
  <c r="J890" i="1"/>
  <c r="K890" i="1"/>
  <c r="L890" i="1"/>
  <c r="M890" i="1"/>
  <c r="O890" i="1" s="1"/>
  <c r="J891" i="1"/>
  <c r="K891" i="1"/>
  <c r="L891" i="1"/>
  <c r="M891" i="1"/>
  <c r="O891" i="1" s="1"/>
  <c r="J892" i="1"/>
  <c r="K892" i="1"/>
  <c r="L892" i="1"/>
  <c r="M892" i="1"/>
  <c r="O892" i="1"/>
  <c r="J893" i="1"/>
  <c r="K893" i="1"/>
  <c r="L893" i="1"/>
  <c r="M893" i="1"/>
  <c r="O893" i="1" s="1"/>
  <c r="J894" i="1"/>
  <c r="K894" i="1"/>
  <c r="L894" i="1"/>
  <c r="M894" i="1"/>
  <c r="O894" i="1"/>
  <c r="J895" i="1"/>
  <c r="K895" i="1"/>
  <c r="L895" i="1"/>
  <c r="M895" i="1"/>
  <c r="O895" i="1"/>
  <c r="J896" i="1"/>
  <c r="K896" i="1"/>
  <c r="L896" i="1"/>
  <c r="M896" i="1"/>
  <c r="O896" i="1" s="1"/>
  <c r="J897" i="1"/>
  <c r="K897" i="1"/>
  <c r="L897" i="1"/>
  <c r="M897" i="1"/>
  <c r="O897" i="1"/>
  <c r="J898" i="1"/>
  <c r="K898" i="1"/>
  <c r="L898" i="1"/>
  <c r="M898" i="1"/>
  <c r="O898" i="1"/>
  <c r="J899" i="1"/>
  <c r="K899" i="1"/>
  <c r="L899" i="1"/>
  <c r="M899" i="1"/>
  <c r="O899" i="1" s="1"/>
  <c r="J900" i="1"/>
  <c r="K900" i="1"/>
  <c r="L900" i="1"/>
  <c r="M900" i="1"/>
  <c r="O900" i="1" s="1"/>
  <c r="J901" i="1"/>
  <c r="K901" i="1"/>
  <c r="L901" i="1"/>
  <c r="M901" i="1"/>
  <c r="O901" i="1"/>
  <c r="J902" i="1"/>
  <c r="K902" i="1"/>
  <c r="L902" i="1"/>
  <c r="M902" i="1"/>
  <c r="O902" i="1"/>
  <c r="J903" i="1"/>
  <c r="K903" i="1"/>
  <c r="L903" i="1"/>
  <c r="M903" i="1"/>
  <c r="O903" i="1"/>
  <c r="J904" i="1"/>
  <c r="K904" i="1"/>
  <c r="L904" i="1"/>
  <c r="M904" i="1"/>
  <c r="O904" i="1"/>
  <c r="J905" i="1"/>
  <c r="K905" i="1"/>
  <c r="L905" i="1"/>
  <c r="M905" i="1"/>
  <c r="O905" i="1" s="1"/>
  <c r="J906" i="1"/>
  <c r="K906" i="1"/>
  <c r="L906" i="1"/>
  <c r="M906" i="1"/>
  <c r="O906" i="1" s="1"/>
  <c r="J907" i="1"/>
  <c r="K907" i="1"/>
  <c r="L907" i="1"/>
  <c r="M907" i="1"/>
  <c r="O907" i="1" s="1"/>
  <c r="J908" i="1"/>
  <c r="K908" i="1"/>
  <c r="L908" i="1"/>
  <c r="M908" i="1"/>
  <c r="O908" i="1" s="1"/>
  <c r="J909" i="1"/>
  <c r="K909" i="1"/>
  <c r="L909" i="1"/>
  <c r="M909" i="1"/>
  <c r="O909" i="1" s="1"/>
  <c r="J910" i="1"/>
  <c r="K910" i="1"/>
  <c r="L910" i="1"/>
  <c r="M910" i="1"/>
  <c r="O910" i="1"/>
  <c r="J911" i="1"/>
  <c r="K911" i="1"/>
  <c r="L911" i="1"/>
  <c r="M911" i="1"/>
  <c r="O911" i="1"/>
  <c r="J912" i="1"/>
  <c r="K912" i="1"/>
  <c r="L912" i="1"/>
  <c r="M912" i="1"/>
  <c r="O912" i="1" s="1"/>
  <c r="J913" i="1"/>
  <c r="K913" i="1"/>
  <c r="L913" i="1"/>
  <c r="M913" i="1"/>
  <c r="O913" i="1" s="1"/>
  <c r="J914" i="1"/>
  <c r="K914" i="1"/>
  <c r="L914" i="1"/>
  <c r="M914" i="1"/>
  <c r="O914" i="1"/>
  <c r="J915" i="1"/>
  <c r="K915" i="1"/>
  <c r="L915" i="1"/>
  <c r="M915" i="1"/>
  <c r="O915" i="1"/>
  <c r="J916" i="1"/>
  <c r="K916" i="1"/>
  <c r="L916" i="1"/>
  <c r="M916" i="1"/>
  <c r="O916" i="1" s="1"/>
  <c r="J917" i="1"/>
  <c r="K917" i="1"/>
  <c r="L917" i="1"/>
  <c r="M917" i="1"/>
  <c r="O917" i="1"/>
  <c r="J918" i="1"/>
  <c r="K918" i="1"/>
  <c r="L918" i="1"/>
  <c r="M918" i="1"/>
  <c r="O918" i="1"/>
  <c r="J919" i="1"/>
  <c r="K919" i="1"/>
  <c r="L919" i="1"/>
  <c r="M919" i="1"/>
  <c r="O919" i="1" s="1"/>
  <c r="J920" i="1"/>
  <c r="K920" i="1"/>
  <c r="L920" i="1"/>
  <c r="M920" i="1"/>
  <c r="O920" i="1"/>
  <c r="J921" i="1"/>
  <c r="K921" i="1"/>
  <c r="L921" i="1"/>
  <c r="M921" i="1"/>
  <c r="O921" i="1"/>
  <c r="J922" i="1"/>
  <c r="K922" i="1"/>
  <c r="L922" i="1"/>
  <c r="M922" i="1"/>
  <c r="O922" i="1" s="1"/>
  <c r="J923" i="1"/>
  <c r="K923" i="1"/>
  <c r="L923" i="1"/>
  <c r="M923" i="1"/>
  <c r="O923" i="1" s="1"/>
  <c r="J924" i="1"/>
  <c r="K924" i="1"/>
  <c r="L924" i="1"/>
  <c r="M924" i="1"/>
  <c r="O924" i="1"/>
  <c r="J925" i="1"/>
  <c r="K925" i="1"/>
  <c r="L925" i="1"/>
  <c r="M925" i="1"/>
  <c r="O925" i="1"/>
  <c r="J926" i="1"/>
  <c r="K926" i="1"/>
  <c r="L926" i="1"/>
  <c r="M926" i="1"/>
  <c r="O926" i="1"/>
  <c r="J927" i="1"/>
  <c r="K927" i="1"/>
  <c r="L927" i="1"/>
  <c r="M927" i="1"/>
  <c r="O927" i="1"/>
  <c r="J928" i="1"/>
  <c r="K928" i="1"/>
  <c r="L928" i="1"/>
  <c r="M928" i="1"/>
  <c r="O928" i="1"/>
  <c r="J929" i="1"/>
  <c r="K929" i="1"/>
  <c r="L929" i="1"/>
  <c r="M929" i="1"/>
  <c r="O929" i="1" s="1"/>
  <c r="J930" i="1"/>
  <c r="K930" i="1"/>
  <c r="L930" i="1"/>
  <c r="M930" i="1"/>
  <c r="O930" i="1"/>
  <c r="J931" i="1"/>
  <c r="K931" i="1"/>
  <c r="L931" i="1"/>
  <c r="M931" i="1"/>
  <c r="O931" i="1"/>
  <c r="J932" i="1"/>
  <c r="K932" i="1"/>
  <c r="L932" i="1"/>
  <c r="M932" i="1"/>
  <c r="O932" i="1" s="1"/>
  <c r="J933" i="1"/>
  <c r="K933" i="1"/>
  <c r="L933" i="1"/>
  <c r="M933" i="1"/>
  <c r="O933" i="1"/>
  <c r="J934" i="1"/>
  <c r="K934" i="1"/>
  <c r="L934" i="1"/>
  <c r="M934" i="1"/>
  <c r="O934" i="1"/>
  <c r="J935" i="1"/>
  <c r="K935" i="1"/>
  <c r="L935" i="1"/>
  <c r="M935" i="1"/>
  <c r="O935" i="1"/>
  <c r="J936" i="1"/>
  <c r="K936" i="1"/>
  <c r="L936" i="1"/>
  <c r="M936" i="1"/>
  <c r="O936" i="1" s="1"/>
  <c r="J937" i="1"/>
  <c r="K937" i="1"/>
  <c r="L937" i="1"/>
  <c r="M937" i="1"/>
  <c r="O937" i="1"/>
  <c r="J938" i="1"/>
  <c r="K938" i="1"/>
  <c r="L938" i="1"/>
  <c r="M938" i="1"/>
  <c r="O938" i="1"/>
  <c r="J939" i="1"/>
  <c r="K939" i="1"/>
  <c r="L939" i="1"/>
  <c r="M939" i="1"/>
  <c r="O939" i="1" s="1"/>
  <c r="J940" i="1"/>
  <c r="K940" i="1"/>
  <c r="L940" i="1"/>
  <c r="M940" i="1"/>
  <c r="O940" i="1"/>
  <c r="J941" i="1"/>
  <c r="K941" i="1"/>
  <c r="L941" i="1"/>
  <c r="M941" i="1"/>
  <c r="O941" i="1"/>
  <c r="J942" i="1"/>
  <c r="K942" i="1"/>
  <c r="L942" i="1"/>
  <c r="M942" i="1"/>
  <c r="O942" i="1" s="1"/>
  <c r="J943" i="1"/>
  <c r="K943" i="1"/>
  <c r="L943" i="1"/>
  <c r="M943" i="1"/>
  <c r="O943" i="1"/>
  <c r="J944" i="1"/>
  <c r="K944" i="1"/>
  <c r="L944" i="1"/>
  <c r="M944" i="1"/>
  <c r="O944" i="1"/>
  <c r="J945" i="1"/>
  <c r="K945" i="1"/>
  <c r="L945" i="1"/>
  <c r="M945" i="1"/>
  <c r="O945" i="1" s="1"/>
  <c r="J946" i="1"/>
  <c r="K946" i="1"/>
  <c r="L946" i="1"/>
  <c r="M946" i="1"/>
  <c r="O946" i="1"/>
  <c r="J947" i="1"/>
  <c r="K947" i="1"/>
  <c r="L947" i="1"/>
  <c r="M947" i="1"/>
  <c r="O947" i="1"/>
  <c r="J948" i="1"/>
  <c r="K948" i="1"/>
  <c r="L948" i="1"/>
  <c r="M948" i="1"/>
  <c r="O948" i="1" s="1"/>
  <c r="J949" i="1"/>
  <c r="K949" i="1"/>
  <c r="L949" i="1"/>
  <c r="M949" i="1"/>
  <c r="O949" i="1" s="1"/>
  <c r="J950" i="1"/>
  <c r="K950" i="1"/>
  <c r="L950" i="1"/>
  <c r="M950" i="1"/>
  <c r="O950" i="1"/>
  <c r="J951" i="1"/>
  <c r="K951" i="1"/>
  <c r="L951" i="1"/>
  <c r="M951" i="1"/>
  <c r="O951" i="1"/>
  <c r="J952" i="1"/>
  <c r="K952" i="1"/>
  <c r="L952" i="1"/>
  <c r="M952" i="1"/>
  <c r="O952" i="1" s="1"/>
  <c r="J953" i="1"/>
  <c r="K953" i="1"/>
  <c r="L953" i="1"/>
  <c r="M953" i="1"/>
  <c r="O953" i="1" s="1"/>
  <c r="J954" i="1"/>
  <c r="K954" i="1"/>
  <c r="L954" i="1"/>
  <c r="M954" i="1"/>
  <c r="O954" i="1"/>
  <c r="J955" i="1"/>
  <c r="K955" i="1"/>
  <c r="L955" i="1"/>
  <c r="M955" i="1"/>
  <c r="O955" i="1" s="1"/>
  <c r="J956" i="1"/>
  <c r="K956" i="1"/>
  <c r="L956" i="1"/>
  <c r="M956" i="1"/>
  <c r="O956" i="1"/>
  <c r="J957" i="1"/>
  <c r="K957" i="1"/>
  <c r="L957" i="1"/>
  <c r="M957" i="1"/>
  <c r="O957" i="1"/>
  <c r="J958" i="1"/>
  <c r="K958" i="1"/>
  <c r="L958" i="1"/>
  <c r="M958" i="1"/>
  <c r="O958" i="1"/>
  <c r="J959" i="1"/>
  <c r="K959" i="1"/>
  <c r="L959" i="1"/>
  <c r="M959" i="1"/>
  <c r="O959" i="1" s="1"/>
  <c r="J960" i="1"/>
  <c r="K960" i="1"/>
  <c r="L960" i="1"/>
  <c r="M960" i="1"/>
  <c r="O960" i="1"/>
  <c r="J961" i="1"/>
  <c r="K961" i="1"/>
  <c r="L961" i="1"/>
  <c r="M961" i="1"/>
  <c r="O961" i="1"/>
  <c r="J962" i="1"/>
  <c r="K962" i="1"/>
  <c r="L962" i="1"/>
  <c r="M962" i="1"/>
  <c r="O962" i="1"/>
  <c r="J963" i="1"/>
  <c r="K963" i="1"/>
  <c r="L963" i="1"/>
  <c r="M963" i="1"/>
  <c r="O963" i="1" s="1"/>
  <c r="J964" i="1"/>
  <c r="K964" i="1"/>
  <c r="L964" i="1"/>
  <c r="M964" i="1"/>
  <c r="O964" i="1" s="1"/>
  <c r="J965" i="1"/>
  <c r="K965" i="1"/>
  <c r="L965" i="1"/>
  <c r="M965" i="1"/>
  <c r="O965" i="1" s="1"/>
  <c r="J966" i="1"/>
  <c r="K966" i="1"/>
  <c r="L966" i="1"/>
  <c r="M966" i="1"/>
  <c r="O966" i="1" s="1"/>
  <c r="J967" i="1"/>
  <c r="K967" i="1"/>
  <c r="L967" i="1"/>
  <c r="M967" i="1"/>
  <c r="O967" i="1"/>
  <c r="J968" i="1"/>
  <c r="K968" i="1"/>
  <c r="L968" i="1"/>
  <c r="M968" i="1"/>
  <c r="O968" i="1" s="1"/>
  <c r="J969" i="1"/>
  <c r="K969" i="1"/>
  <c r="L969" i="1"/>
  <c r="M969" i="1"/>
  <c r="O969" i="1"/>
  <c r="J970" i="1"/>
  <c r="K970" i="1"/>
  <c r="L970" i="1"/>
  <c r="M970" i="1"/>
  <c r="O970" i="1" s="1"/>
  <c r="J971" i="1"/>
  <c r="K971" i="1"/>
  <c r="L971" i="1"/>
  <c r="M971" i="1"/>
  <c r="O971" i="1" s="1"/>
  <c r="J972" i="1"/>
  <c r="K972" i="1"/>
  <c r="L972" i="1"/>
  <c r="M972" i="1"/>
  <c r="O972" i="1"/>
  <c r="J973" i="1"/>
  <c r="K973" i="1"/>
  <c r="L973" i="1"/>
  <c r="M973" i="1"/>
  <c r="O973" i="1"/>
  <c r="J974" i="1"/>
  <c r="K974" i="1"/>
  <c r="L974" i="1"/>
  <c r="M974" i="1"/>
  <c r="O974" i="1"/>
  <c r="J975" i="1"/>
  <c r="K975" i="1"/>
  <c r="L975" i="1"/>
  <c r="M975" i="1"/>
  <c r="O975" i="1" s="1"/>
  <c r="J976" i="1"/>
  <c r="K976" i="1"/>
  <c r="L976" i="1"/>
  <c r="M976" i="1"/>
  <c r="O976" i="1"/>
  <c r="J977" i="1"/>
  <c r="K977" i="1"/>
  <c r="L977" i="1"/>
  <c r="M977" i="1"/>
  <c r="O977" i="1"/>
  <c r="J978" i="1"/>
  <c r="K978" i="1"/>
  <c r="L978" i="1"/>
  <c r="M978" i="1"/>
  <c r="O978" i="1" s="1"/>
  <c r="J979" i="1"/>
  <c r="K979" i="1"/>
  <c r="L979" i="1"/>
  <c r="M979" i="1"/>
  <c r="O979" i="1"/>
  <c r="J980" i="1"/>
  <c r="K980" i="1"/>
  <c r="L980" i="1"/>
  <c r="M980" i="1"/>
  <c r="O980" i="1" s="1"/>
  <c r="J981" i="1"/>
  <c r="K981" i="1"/>
  <c r="L981" i="1"/>
  <c r="M981" i="1"/>
  <c r="O981" i="1"/>
  <c r="J982" i="1"/>
  <c r="K982" i="1"/>
  <c r="L982" i="1"/>
  <c r="M982" i="1"/>
  <c r="O982" i="1" s="1"/>
  <c r="J983" i="1"/>
  <c r="K983" i="1"/>
  <c r="L983" i="1"/>
  <c r="M983" i="1"/>
  <c r="O983" i="1"/>
  <c r="J984" i="1"/>
  <c r="K984" i="1"/>
  <c r="L984" i="1"/>
  <c r="M984" i="1"/>
  <c r="O984" i="1"/>
  <c r="J985" i="1"/>
  <c r="K985" i="1"/>
  <c r="L985" i="1"/>
  <c r="M985" i="1"/>
  <c r="O985" i="1" s="1"/>
  <c r="J986" i="1"/>
  <c r="K986" i="1"/>
  <c r="L986" i="1"/>
  <c r="M986" i="1"/>
  <c r="O986" i="1"/>
  <c r="J987" i="1"/>
  <c r="K987" i="1"/>
  <c r="L987" i="1"/>
  <c r="M987" i="1"/>
  <c r="O987" i="1" s="1"/>
  <c r="J988" i="1"/>
  <c r="K988" i="1"/>
  <c r="L988" i="1"/>
  <c r="M988" i="1"/>
  <c r="O988" i="1" s="1"/>
  <c r="J989" i="1"/>
  <c r="K989" i="1"/>
  <c r="L989" i="1"/>
  <c r="M989" i="1"/>
  <c r="O989" i="1"/>
  <c r="J990" i="1"/>
  <c r="K990" i="1"/>
  <c r="L990" i="1"/>
  <c r="M990" i="1"/>
  <c r="O990" i="1"/>
  <c r="J991" i="1"/>
  <c r="K991" i="1"/>
  <c r="L991" i="1"/>
  <c r="M991" i="1"/>
  <c r="O991" i="1"/>
  <c r="J992" i="1"/>
  <c r="K992" i="1"/>
  <c r="L992" i="1"/>
  <c r="M992" i="1"/>
  <c r="O992" i="1" s="1"/>
  <c r="J993" i="1"/>
  <c r="K993" i="1"/>
  <c r="L993" i="1"/>
  <c r="M993" i="1"/>
  <c r="O993" i="1"/>
  <c r="J994" i="1"/>
  <c r="K994" i="1"/>
  <c r="L994" i="1"/>
  <c r="M994" i="1"/>
  <c r="O994" i="1"/>
  <c r="J995" i="1"/>
  <c r="K995" i="1"/>
  <c r="L995" i="1"/>
  <c r="M995" i="1"/>
  <c r="O995" i="1"/>
  <c r="J996" i="1"/>
  <c r="K996" i="1"/>
  <c r="L996" i="1"/>
  <c r="M996" i="1"/>
  <c r="O996" i="1" s="1"/>
  <c r="J997" i="1"/>
  <c r="K997" i="1"/>
  <c r="L997" i="1"/>
  <c r="M997" i="1"/>
  <c r="O997" i="1" s="1"/>
  <c r="J998" i="1"/>
  <c r="K998" i="1"/>
  <c r="L998" i="1"/>
  <c r="M998" i="1"/>
  <c r="O998" i="1" s="1"/>
  <c r="J999" i="1"/>
  <c r="K999" i="1"/>
  <c r="L999" i="1"/>
  <c r="M999" i="1"/>
  <c r="O999" i="1"/>
  <c r="J1000" i="1"/>
  <c r="K1000" i="1"/>
  <c r="L1000" i="1"/>
  <c r="M1000" i="1"/>
  <c r="O1000" i="1"/>
  <c r="J1001" i="1"/>
  <c r="K1001" i="1"/>
  <c r="L1001" i="1"/>
  <c r="M1001" i="1"/>
  <c r="O1001" i="1" s="1"/>
  <c r="J1002" i="1"/>
  <c r="K1002" i="1"/>
  <c r="L1002" i="1"/>
  <c r="M1002" i="1"/>
  <c r="O1002" i="1" s="1"/>
  <c r="J1003" i="1"/>
  <c r="K1003" i="1"/>
  <c r="L1003" i="1"/>
  <c r="M1003" i="1"/>
  <c r="O1003" i="1" s="1"/>
  <c r="J1004" i="1"/>
  <c r="K1004" i="1"/>
  <c r="L1004" i="1"/>
  <c r="M1004" i="1"/>
  <c r="O1004" i="1" s="1"/>
  <c r="J1005" i="1"/>
  <c r="K1005" i="1"/>
  <c r="L1005" i="1"/>
  <c r="M1005" i="1"/>
  <c r="O1005" i="1" s="1"/>
  <c r="J1006" i="1"/>
  <c r="K1006" i="1"/>
  <c r="L1006" i="1"/>
  <c r="M1006" i="1"/>
  <c r="O1006" i="1"/>
  <c r="J1007" i="1"/>
  <c r="K1007" i="1"/>
  <c r="L1007" i="1"/>
  <c r="M1007" i="1"/>
  <c r="O1007" i="1"/>
  <c r="J1008" i="1"/>
  <c r="K1008" i="1"/>
  <c r="L1008" i="1"/>
  <c r="M1008" i="1"/>
  <c r="O1008" i="1" s="1"/>
  <c r="J1009" i="1"/>
  <c r="K1009" i="1"/>
  <c r="L1009" i="1"/>
  <c r="M1009" i="1"/>
  <c r="O1009" i="1"/>
  <c r="J1010" i="1"/>
  <c r="K1010" i="1"/>
  <c r="L1010" i="1"/>
  <c r="M1010" i="1"/>
  <c r="O1010" i="1"/>
  <c r="J1011" i="1"/>
  <c r="K1011" i="1"/>
  <c r="L1011" i="1"/>
  <c r="M1011" i="1"/>
  <c r="O1011" i="1" s="1"/>
  <c r="J1012" i="1"/>
  <c r="K1012" i="1"/>
  <c r="L1012" i="1"/>
  <c r="M1012" i="1"/>
  <c r="O1012" i="1" s="1"/>
  <c r="J1013" i="1"/>
  <c r="K1013" i="1"/>
  <c r="L1013" i="1"/>
  <c r="M1013" i="1"/>
  <c r="O1013" i="1"/>
  <c r="J1014" i="1"/>
  <c r="K1014" i="1"/>
  <c r="L1014" i="1"/>
  <c r="M1014" i="1"/>
  <c r="O1014" i="1"/>
  <c r="J1015" i="1"/>
  <c r="K1015" i="1"/>
  <c r="L1015" i="1"/>
  <c r="M1015" i="1"/>
  <c r="O1015" i="1" s="1"/>
  <c r="J1016" i="1"/>
  <c r="K1016" i="1"/>
  <c r="L1016" i="1"/>
  <c r="M1016" i="1"/>
  <c r="O1016" i="1"/>
  <c r="J1017" i="1"/>
  <c r="K1017" i="1"/>
  <c r="L1017" i="1"/>
  <c r="M1017" i="1"/>
  <c r="O1017" i="1"/>
  <c r="J1018" i="1"/>
  <c r="K1018" i="1"/>
  <c r="L1018" i="1"/>
  <c r="M1018" i="1"/>
  <c r="O1018" i="1"/>
  <c r="J1019" i="1"/>
  <c r="K1019" i="1"/>
  <c r="L1019" i="1"/>
  <c r="M1019" i="1"/>
  <c r="O1019" i="1" s="1"/>
  <c r="J1020" i="1"/>
  <c r="K1020" i="1"/>
  <c r="L1020" i="1"/>
  <c r="M1020" i="1"/>
  <c r="O1020" i="1"/>
  <c r="J1021" i="1"/>
  <c r="K1021" i="1"/>
  <c r="L1021" i="1"/>
  <c r="M1021" i="1"/>
  <c r="O1021" i="1" s="1"/>
  <c r="J1022" i="1"/>
  <c r="K1022" i="1"/>
  <c r="L1022" i="1"/>
  <c r="M1022" i="1"/>
  <c r="O1022" i="1"/>
  <c r="J1023" i="1"/>
  <c r="K1023" i="1"/>
  <c r="L1023" i="1"/>
  <c r="M1023" i="1"/>
  <c r="O1023" i="1"/>
  <c r="J1024" i="1"/>
  <c r="K1024" i="1"/>
  <c r="L1024" i="1"/>
  <c r="M1024" i="1"/>
  <c r="O1024" i="1" s="1"/>
  <c r="J1025" i="1"/>
  <c r="K1025" i="1"/>
  <c r="L1025" i="1"/>
  <c r="M1025" i="1"/>
  <c r="O1025" i="1" s="1"/>
  <c r="J1026" i="1"/>
  <c r="K1026" i="1"/>
  <c r="L1026" i="1"/>
  <c r="M1026" i="1"/>
  <c r="O1026" i="1"/>
  <c r="J1027" i="1"/>
  <c r="K1027" i="1"/>
  <c r="L1027" i="1"/>
  <c r="M1027" i="1"/>
  <c r="O1027" i="1"/>
  <c r="J1028" i="1"/>
  <c r="K1028" i="1"/>
  <c r="L1028" i="1"/>
  <c r="M1028" i="1"/>
  <c r="O1028" i="1" s="1"/>
  <c r="J1029" i="1"/>
  <c r="K1029" i="1"/>
  <c r="L1029" i="1"/>
  <c r="M1029" i="1"/>
  <c r="O1029" i="1"/>
  <c r="J1030" i="1"/>
  <c r="K1030" i="1"/>
  <c r="L1030" i="1"/>
  <c r="M1030" i="1"/>
  <c r="O1030" i="1"/>
  <c r="J1031" i="1"/>
  <c r="K1031" i="1"/>
  <c r="L1031" i="1"/>
  <c r="M1031" i="1"/>
  <c r="O1031" i="1" s="1"/>
  <c r="J1032" i="1"/>
  <c r="K1032" i="1"/>
  <c r="L1032" i="1"/>
  <c r="M1032" i="1"/>
  <c r="O1032" i="1" s="1"/>
  <c r="J1033" i="1"/>
  <c r="K1033" i="1"/>
  <c r="L1033" i="1"/>
  <c r="M1033" i="1"/>
  <c r="O1033" i="1"/>
  <c r="J1034" i="1"/>
  <c r="K1034" i="1"/>
  <c r="L1034" i="1"/>
  <c r="M1034" i="1"/>
  <c r="O1034" i="1" s="1"/>
  <c r="J1035" i="1"/>
  <c r="K1035" i="1"/>
  <c r="L1035" i="1"/>
  <c r="M1035" i="1"/>
  <c r="O1035" i="1" s="1"/>
  <c r="J1036" i="1"/>
  <c r="K1036" i="1"/>
  <c r="L1036" i="1"/>
  <c r="M1036" i="1"/>
  <c r="O1036" i="1"/>
  <c r="J1037" i="1"/>
  <c r="K1037" i="1"/>
  <c r="L1037" i="1"/>
  <c r="M1037" i="1"/>
  <c r="O1037" i="1"/>
  <c r="J1038" i="1"/>
  <c r="K1038" i="1"/>
  <c r="L1038" i="1"/>
  <c r="M1038" i="1"/>
  <c r="O1038" i="1"/>
  <c r="J1039" i="1"/>
  <c r="K1039" i="1"/>
  <c r="L1039" i="1"/>
  <c r="M1039" i="1"/>
  <c r="O1039" i="1"/>
  <c r="J1040" i="1"/>
  <c r="K1040" i="1"/>
  <c r="L1040" i="1"/>
  <c r="M1040" i="1"/>
  <c r="O1040" i="1"/>
  <c r="J1041" i="1"/>
  <c r="K1041" i="1"/>
  <c r="L1041" i="1"/>
  <c r="M1041" i="1"/>
  <c r="O1041" i="1" s="1"/>
  <c r="J1042" i="1"/>
  <c r="K1042" i="1"/>
  <c r="L1042" i="1"/>
  <c r="M1042" i="1"/>
  <c r="O1042" i="1" s="1"/>
  <c r="J1043" i="1"/>
  <c r="K1043" i="1"/>
  <c r="L1043" i="1"/>
  <c r="M1043" i="1"/>
  <c r="O1043" i="1"/>
  <c r="J1044" i="1"/>
  <c r="K1044" i="1"/>
  <c r="L1044" i="1"/>
  <c r="M1044" i="1"/>
  <c r="O1044" i="1" s="1"/>
  <c r="J1045" i="1"/>
  <c r="K1045" i="1"/>
  <c r="L1045" i="1"/>
  <c r="M1045" i="1"/>
  <c r="O1045" i="1"/>
  <c r="J1046" i="1"/>
  <c r="K1046" i="1"/>
  <c r="L1046" i="1"/>
  <c r="M1046" i="1"/>
  <c r="O1046" i="1"/>
  <c r="J1047" i="1"/>
  <c r="K1047" i="1"/>
  <c r="L1047" i="1"/>
  <c r="M1047" i="1"/>
  <c r="O1047" i="1"/>
  <c r="J1048" i="1"/>
  <c r="K1048" i="1"/>
  <c r="L1048" i="1"/>
  <c r="M1048" i="1"/>
  <c r="O1048" i="1" s="1"/>
  <c r="J1049" i="1"/>
  <c r="K1049" i="1"/>
  <c r="L1049" i="1"/>
  <c r="M1049" i="1"/>
  <c r="O1049" i="1"/>
  <c r="J1050" i="1"/>
  <c r="K1050" i="1"/>
  <c r="L1050" i="1"/>
  <c r="M1050" i="1"/>
  <c r="O1050" i="1"/>
  <c r="J1051" i="1"/>
  <c r="K1051" i="1"/>
  <c r="L1051" i="1"/>
  <c r="M1051" i="1"/>
  <c r="O1051" i="1" s="1"/>
  <c r="J1052" i="1"/>
  <c r="K1052" i="1"/>
  <c r="L1052" i="1"/>
  <c r="M1052" i="1"/>
  <c r="O1052" i="1"/>
  <c r="J1053" i="1"/>
  <c r="K1053" i="1"/>
  <c r="L1053" i="1"/>
  <c r="M1053" i="1"/>
  <c r="O1053" i="1"/>
  <c r="J1054" i="1"/>
  <c r="K1054" i="1"/>
  <c r="L1054" i="1"/>
  <c r="M1054" i="1"/>
  <c r="O1054" i="1" s="1"/>
  <c r="J1055" i="1"/>
  <c r="K1055" i="1"/>
  <c r="L1055" i="1"/>
  <c r="M1055" i="1"/>
  <c r="O1055" i="1" s="1"/>
  <c r="J1056" i="1"/>
  <c r="K1056" i="1"/>
  <c r="L1056" i="1"/>
  <c r="M1056" i="1"/>
  <c r="O1056" i="1"/>
  <c r="J1057" i="1"/>
  <c r="K1057" i="1"/>
  <c r="L1057" i="1"/>
  <c r="M1057" i="1"/>
  <c r="O1057" i="1" s="1"/>
  <c r="J1058" i="1"/>
  <c r="K1058" i="1"/>
  <c r="L1058" i="1"/>
  <c r="M1058" i="1"/>
  <c r="O1058" i="1" s="1"/>
  <c r="J1059" i="1"/>
  <c r="K1059" i="1"/>
  <c r="L1059" i="1"/>
  <c r="M1059" i="1"/>
  <c r="O1059" i="1" s="1"/>
  <c r="J1060" i="1"/>
  <c r="K1060" i="1"/>
  <c r="L1060" i="1"/>
  <c r="M1060" i="1"/>
  <c r="O1060" i="1" s="1"/>
  <c r="J1061" i="1"/>
  <c r="K1061" i="1"/>
  <c r="L1061" i="1"/>
  <c r="M1061" i="1"/>
  <c r="O1061" i="1"/>
  <c r="J1062" i="1"/>
  <c r="K1062" i="1"/>
  <c r="L1062" i="1"/>
  <c r="M1062" i="1"/>
  <c r="O1062" i="1"/>
  <c r="J1063" i="1"/>
  <c r="K1063" i="1"/>
  <c r="L1063" i="1"/>
  <c r="M1063" i="1"/>
  <c r="O1063" i="1"/>
  <c r="J1064" i="1"/>
  <c r="K1064" i="1"/>
  <c r="L1064" i="1"/>
  <c r="M1064" i="1"/>
  <c r="O1064" i="1"/>
  <c r="J1065" i="1"/>
  <c r="K1065" i="1"/>
  <c r="L1065" i="1"/>
  <c r="M1065" i="1"/>
  <c r="O1065" i="1" s="1"/>
  <c r="J1066" i="1"/>
  <c r="K1066" i="1"/>
  <c r="L1066" i="1"/>
  <c r="M1066" i="1"/>
  <c r="O1066" i="1"/>
  <c r="J1067" i="1"/>
  <c r="K1067" i="1"/>
  <c r="L1067" i="1"/>
  <c r="M1067" i="1"/>
  <c r="O1067" i="1" s="1"/>
  <c r="J1068" i="1"/>
  <c r="K1068" i="1"/>
  <c r="L1068" i="1"/>
  <c r="M1068" i="1"/>
  <c r="O1068" i="1"/>
  <c r="J1069" i="1"/>
  <c r="K1069" i="1"/>
  <c r="L1069" i="1"/>
  <c r="M1069" i="1"/>
  <c r="O1069" i="1" s="1"/>
  <c r="J1070" i="1"/>
  <c r="K1070" i="1"/>
  <c r="L1070" i="1"/>
  <c r="M1070" i="1"/>
  <c r="O1070" i="1"/>
  <c r="J1071" i="1"/>
  <c r="K1071" i="1"/>
  <c r="L1071" i="1"/>
  <c r="M1071" i="1"/>
  <c r="O1071" i="1" s="1"/>
  <c r="J1072" i="1"/>
  <c r="K1072" i="1"/>
  <c r="L1072" i="1"/>
  <c r="M1072" i="1"/>
  <c r="O1072" i="1"/>
  <c r="J1073" i="1"/>
  <c r="K1073" i="1"/>
  <c r="L1073" i="1"/>
  <c r="M1073" i="1"/>
  <c r="O1073" i="1"/>
  <c r="J1074" i="1"/>
  <c r="K1074" i="1"/>
  <c r="L1074" i="1"/>
  <c r="M1074" i="1"/>
  <c r="O1074" i="1"/>
  <c r="J1075" i="1"/>
  <c r="K1075" i="1"/>
  <c r="L1075" i="1"/>
  <c r="M1075" i="1"/>
  <c r="O1075" i="1" s="1"/>
  <c r="J1076" i="1"/>
  <c r="K1076" i="1"/>
  <c r="L1076" i="1"/>
  <c r="M1076" i="1"/>
  <c r="O1076" i="1" s="1"/>
  <c r="J1077" i="1"/>
  <c r="K1077" i="1"/>
  <c r="L1077" i="1"/>
  <c r="M1077" i="1"/>
  <c r="O1077" i="1" s="1"/>
  <c r="J1078" i="1"/>
  <c r="K1078" i="1"/>
  <c r="L1078" i="1"/>
  <c r="M1078" i="1"/>
  <c r="O1078" i="1"/>
  <c r="J1079" i="1"/>
  <c r="K1079" i="1"/>
  <c r="L1079" i="1"/>
  <c r="M1079" i="1"/>
  <c r="O1079" i="1"/>
  <c r="J1080" i="1"/>
  <c r="K1080" i="1"/>
  <c r="L1080" i="1"/>
  <c r="M1080" i="1"/>
  <c r="O1080" i="1" s="1"/>
  <c r="J1081" i="1"/>
  <c r="K1081" i="1"/>
  <c r="L1081" i="1"/>
  <c r="M1081" i="1"/>
  <c r="O1081" i="1"/>
  <c r="J1082" i="1"/>
  <c r="K1082" i="1"/>
  <c r="L1082" i="1"/>
  <c r="M1082" i="1"/>
  <c r="O1082" i="1" s="1"/>
  <c r="J1083" i="1"/>
  <c r="K1083" i="1"/>
  <c r="L1083" i="1"/>
  <c r="M1083" i="1"/>
  <c r="O1083" i="1" s="1"/>
  <c r="J1084" i="1"/>
  <c r="K1084" i="1"/>
  <c r="L1084" i="1"/>
  <c r="M1084" i="1"/>
  <c r="O1084" i="1"/>
  <c r="J1085" i="1"/>
  <c r="K1085" i="1"/>
  <c r="L1085" i="1"/>
  <c r="M1085" i="1"/>
  <c r="O1085" i="1"/>
  <c r="J1086" i="1"/>
  <c r="K1086" i="1"/>
  <c r="L1086" i="1"/>
  <c r="M1086" i="1"/>
  <c r="O1086" i="1" s="1"/>
  <c r="J1087" i="1"/>
  <c r="K1087" i="1"/>
  <c r="L1087" i="1"/>
  <c r="M1087" i="1"/>
  <c r="O1087" i="1"/>
  <c r="J1088" i="1"/>
  <c r="K1088" i="1"/>
  <c r="L1088" i="1"/>
  <c r="M1088" i="1"/>
  <c r="O1088" i="1"/>
  <c r="J1089" i="1"/>
  <c r="K1089" i="1"/>
  <c r="L1089" i="1"/>
  <c r="M1089" i="1"/>
  <c r="O1089" i="1"/>
  <c r="J1090" i="1"/>
  <c r="K1090" i="1"/>
  <c r="L1090" i="1"/>
  <c r="M1090" i="1"/>
  <c r="O1090" i="1" s="1"/>
  <c r="J1091" i="1"/>
  <c r="K1091" i="1"/>
  <c r="L1091" i="1"/>
  <c r="M1091" i="1"/>
  <c r="O1091" i="1"/>
  <c r="J1092" i="1"/>
  <c r="K1092" i="1"/>
  <c r="L1092" i="1"/>
  <c r="M1092" i="1"/>
  <c r="O1092" i="1" s="1"/>
  <c r="J1093" i="1"/>
  <c r="K1093" i="1"/>
  <c r="L1093" i="1"/>
  <c r="M1093" i="1"/>
  <c r="O1093" i="1"/>
  <c r="J1094" i="1"/>
  <c r="K1094" i="1"/>
  <c r="L1094" i="1"/>
  <c r="M1094" i="1"/>
  <c r="O1094" i="1" s="1"/>
  <c r="J1095" i="1"/>
  <c r="K1095" i="1"/>
  <c r="L1095" i="1"/>
  <c r="M1095" i="1"/>
  <c r="O1095" i="1"/>
  <c r="J1096" i="1"/>
  <c r="K1096" i="1"/>
  <c r="L1096" i="1"/>
  <c r="M1096" i="1"/>
  <c r="O1096" i="1"/>
  <c r="J1097" i="1"/>
  <c r="K1097" i="1"/>
  <c r="L1097" i="1"/>
  <c r="M1097" i="1"/>
  <c r="O1097" i="1"/>
  <c r="J1098" i="1"/>
  <c r="K1098" i="1"/>
  <c r="L1098" i="1"/>
  <c r="M1098" i="1"/>
  <c r="O1098" i="1"/>
  <c r="J1099" i="1"/>
  <c r="K1099" i="1"/>
  <c r="L1099" i="1"/>
  <c r="M1099" i="1"/>
  <c r="O1099" i="1" s="1"/>
  <c r="J1100" i="1"/>
  <c r="K1100" i="1"/>
  <c r="L1100" i="1"/>
  <c r="M1100" i="1"/>
  <c r="O1100" i="1" s="1"/>
  <c r="J1101" i="1"/>
  <c r="K1101" i="1"/>
  <c r="L1101" i="1"/>
  <c r="M1101" i="1"/>
  <c r="O1101" i="1"/>
  <c r="J1102" i="1"/>
  <c r="K1102" i="1"/>
  <c r="L1102" i="1"/>
  <c r="M1102" i="1"/>
  <c r="O1102" i="1"/>
  <c r="J1103" i="1"/>
  <c r="K1103" i="1"/>
  <c r="L1103" i="1"/>
  <c r="M1103" i="1"/>
  <c r="O1103" i="1" s="1"/>
  <c r="J1104" i="1"/>
  <c r="K1104" i="1"/>
  <c r="L1104" i="1"/>
  <c r="M1104" i="1"/>
  <c r="O1104" i="1"/>
  <c r="J1105" i="1"/>
  <c r="K1105" i="1"/>
  <c r="L1105" i="1"/>
  <c r="M1105" i="1"/>
  <c r="O1105" i="1"/>
  <c r="J1106" i="1"/>
  <c r="K1106" i="1"/>
  <c r="L1106" i="1"/>
  <c r="M1106" i="1"/>
  <c r="O1106" i="1"/>
  <c r="J1107" i="1"/>
  <c r="K1107" i="1"/>
  <c r="L1107" i="1"/>
  <c r="M1107" i="1"/>
  <c r="O1107" i="1" s="1"/>
  <c r="J1108" i="1"/>
  <c r="K1108" i="1"/>
  <c r="L1108" i="1"/>
  <c r="M1108" i="1"/>
  <c r="O1108" i="1" s="1"/>
  <c r="J1109" i="1"/>
  <c r="K1109" i="1"/>
  <c r="L1109" i="1"/>
  <c r="M1109" i="1"/>
  <c r="O1109" i="1"/>
  <c r="J1110" i="1"/>
  <c r="K1110" i="1"/>
  <c r="L1110" i="1"/>
  <c r="M1110" i="1"/>
  <c r="O1110" i="1" s="1"/>
  <c r="J1111" i="1"/>
  <c r="K1111" i="1"/>
  <c r="L1111" i="1"/>
  <c r="M1111" i="1"/>
  <c r="O1111" i="1"/>
  <c r="J1112" i="1"/>
  <c r="K1112" i="1"/>
  <c r="L1112" i="1"/>
  <c r="M1112" i="1"/>
  <c r="O1112" i="1"/>
  <c r="J1113" i="1"/>
  <c r="K1113" i="1"/>
  <c r="L1113" i="1"/>
  <c r="M1113" i="1"/>
  <c r="O1113" i="1" s="1"/>
  <c r="J1114" i="1"/>
  <c r="K1114" i="1"/>
  <c r="L1114" i="1"/>
  <c r="M1114" i="1"/>
  <c r="O1114" i="1"/>
  <c r="J1115" i="1"/>
  <c r="K1115" i="1"/>
  <c r="L1115" i="1"/>
  <c r="M1115" i="1"/>
  <c r="O1115" i="1" s="1"/>
  <c r="J1116" i="1"/>
  <c r="K1116" i="1"/>
  <c r="L1116" i="1"/>
  <c r="M1116" i="1"/>
  <c r="O1116" i="1"/>
  <c r="J1117" i="1"/>
  <c r="K1117" i="1"/>
  <c r="L1117" i="1"/>
  <c r="M1117" i="1"/>
  <c r="O1117" i="1" s="1"/>
  <c r="J1118" i="1"/>
  <c r="K1118" i="1"/>
  <c r="L1118" i="1"/>
  <c r="M1118" i="1"/>
  <c r="O1118" i="1"/>
  <c r="J1119" i="1"/>
  <c r="K1119" i="1"/>
  <c r="L1119" i="1"/>
  <c r="M1119" i="1"/>
  <c r="O1119" i="1"/>
  <c r="J1120" i="1"/>
  <c r="K1120" i="1"/>
  <c r="L1120" i="1"/>
  <c r="M1120" i="1"/>
  <c r="O1120" i="1"/>
  <c r="J1121" i="1"/>
  <c r="K1121" i="1"/>
  <c r="L1121" i="1"/>
  <c r="M1121" i="1"/>
  <c r="O1121" i="1"/>
  <c r="G738" i="1"/>
  <c r="O738" i="1" s="1"/>
  <c r="J738" i="1"/>
  <c r="K738" i="1"/>
  <c r="L738" i="1"/>
  <c r="M738" i="1"/>
  <c r="G739" i="1"/>
  <c r="J739" i="1"/>
  <c r="K739" i="1"/>
  <c r="L739" i="1"/>
  <c r="M739" i="1"/>
  <c r="G740" i="1"/>
  <c r="J740" i="1"/>
  <c r="K740" i="1"/>
  <c r="L740" i="1"/>
  <c r="M740" i="1"/>
  <c r="O740" i="1" s="1"/>
  <c r="G741" i="1"/>
  <c r="O741" i="1" s="1"/>
  <c r="J741" i="1"/>
  <c r="K741" i="1"/>
  <c r="L741" i="1"/>
  <c r="M741" i="1"/>
  <c r="G742" i="1"/>
  <c r="J742" i="1"/>
  <c r="K742" i="1"/>
  <c r="L742" i="1"/>
  <c r="M742" i="1"/>
  <c r="G743" i="1"/>
  <c r="J743" i="1"/>
  <c r="K743" i="1"/>
  <c r="L743" i="1"/>
  <c r="M743" i="1"/>
  <c r="G744" i="1"/>
  <c r="O744" i="1" s="1"/>
  <c r="J744" i="1"/>
  <c r="K744" i="1"/>
  <c r="L744" i="1"/>
  <c r="M744" i="1"/>
  <c r="G745" i="1"/>
  <c r="J745" i="1"/>
  <c r="K745" i="1"/>
  <c r="L745" i="1"/>
  <c r="M745" i="1"/>
  <c r="G746" i="1"/>
  <c r="J746" i="1"/>
  <c r="K746" i="1"/>
  <c r="L746" i="1"/>
  <c r="M746" i="1"/>
  <c r="O746" i="1"/>
  <c r="G747" i="1"/>
  <c r="J747" i="1"/>
  <c r="K747" i="1"/>
  <c r="L747" i="1"/>
  <c r="M747" i="1"/>
  <c r="G748" i="1"/>
  <c r="J748" i="1"/>
  <c r="K748" i="1"/>
  <c r="L748" i="1"/>
  <c r="M748" i="1"/>
  <c r="G749" i="1"/>
  <c r="J749" i="1"/>
  <c r="K749" i="1"/>
  <c r="L749" i="1"/>
  <c r="M749" i="1"/>
  <c r="O749" i="1"/>
  <c r="G750" i="1"/>
  <c r="O750" i="1" s="1"/>
  <c r="J750" i="1"/>
  <c r="K750" i="1"/>
  <c r="L750" i="1"/>
  <c r="M750" i="1"/>
  <c r="G751" i="1"/>
  <c r="J751" i="1"/>
  <c r="K751" i="1"/>
  <c r="L751" i="1"/>
  <c r="M751" i="1"/>
  <c r="G752" i="1"/>
  <c r="J752" i="1"/>
  <c r="K752" i="1"/>
  <c r="L752" i="1"/>
  <c r="M752" i="1"/>
  <c r="O752" i="1"/>
  <c r="G753" i="1"/>
  <c r="J753" i="1"/>
  <c r="K753" i="1"/>
  <c r="L753" i="1"/>
  <c r="M753" i="1"/>
  <c r="O753" i="1" s="1"/>
  <c r="G754" i="1"/>
  <c r="O754" i="1" s="1"/>
  <c r="J754" i="1"/>
  <c r="K754" i="1"/>
  <c r="L754" i="1"/>
  <c r="M754" i="1"/>
  <c r="G755" i="1"/>
  <c r="J755" i="1"/>
  <c r="K755" i="1"/>
  <c r="L755" i="1"/>
  <c r="M755" i="1"/>
  <c r="O755" i="1"/>
  <c r="G756" i="1"/>
  <c r="J756" i="1"/>
  <c r="K756" i="1"/>
  <c r="L756" i="1"/>
  <c r="M756" i="1"/>
  <c r="O756" i="1" s="1"/>
  <c r="G757" i="1"/>
  <c r="J757" i="1"/>
  <c r="K757" i="1"/>
  <c r="L757" i="1"/>
  <c r="M757" i="1"/>
  <c r="O757" i="1"/>
  <c r="G758" i="1"/>
  <c r="J758" i="1"/>
  <c r="K758" i="1"/>
  <c r="L758" i="1"/>
  <c r="M758" i="1"/>
  <c r="O758" i="1" s="1"/>
  <c r="G759" i="1"/>
  <c r="J759" i="1"/>
  <c r="K759" i="1"/>
  <c r="L759" i="1"/>
  <c r="M759" i="1"/>
  <c r="G760" i="1"/>
  <c r="J760" i="1"/>
  <c r="K760" i="1"/>
  <c r="L760" i="1"/>
  <c r="M760" i="1"/>
  <c r="O760" i="1"/>
  <c r="G761" i="1"/>
  <c r="J761" i="1"/>
  <c r="K761" i="1"/>
  <c r="L761" i="1"/>
  <c r="M761" i="1"/>
  <c r="O761" i="1" s="1"/>
  <c r="G762" i="1"/>
  <c r="O762" i="1" s="1"/>
  <c r="J762" i="1"/>
  <c r="K762" i="1"/>
  <c r="L762" i="1"/>
  <c r="M762" i="1"/>
  <c r="G763" i="1"/>
  <c r="J763" i="1"/>
  <c r="K763" i="1"/>
  <c r="L763" i="1"/>
  <c r="M763" i="1"/>
  <c r="O763" i="1"/>
  <c r="G764" i="1"/>
  <c r="J764" i="1"/>
  <c r="K764" i="1"/>
  <c r="L764" i="1"/>
  <c r="M764" i="1"/>
  <c r="G765" i="1"/>
  <c r="J765" i="1"/>
  <c r="K765" i="1"/>
  <c r="L765" i="1"/>
  <c r="M765" i="1"/>
  <c r="G766" i="1"/>
  <c r="J766" i="1"/>
  <c r="K766" i="1"/>
  <c r="L766" i="1"/>
  <c r="M766" i="1"/>
  <c r="O766" i="1"/>
  <c r="G767" i="1"/>
  <c r="J767" i="1"/>
  <c r="K767" i="1"/>
  <c r="L767" i="1"/>
  <c r="M767" i="1"/>
  <c r="G768" i="1"/>
  <c r="O768" i="1" s="1"/>
  <c r="J768" i="1"/>
  <c r="K768" i="1"/>
  <c r="L768" i="1"/>
  <c r="M768" i="1"/>
  <c r="G769" i="1"/>
  <c r="J769" i="1"/>
  <c r="K769" i="1"/>
  <c r="L769" i="1"/>
  <c r="M769" i="1"/>
  <c r="O769" i="1"/>
  <c r="G770" i="1"/>
  <c r="J770" i="1"/>
  <c r="K770" i="1"/>
  <c r="L770" i="1"/>
  <c r="M770" i="1"/>
  <c r="G771" i="1"/>
  <c r="O771" i="1" s="1"/>
  <c r="J771" i="1"/>
  <c r="K771" i="1"/>
  <c r="L771" i="1"/>
  <c r="M771" i="1"/>
  <c r="G772" i="1"/>
  <c r="J772" i="1"/>
  <c r="K772" i="1"/>
  <c r="L772" i="1"/>
  <c r="M772" i="1"/>
  <c r="O772" i="1" s="1"/>
  <c r="G773" i="1"/>
  <c r="O773" i="1" s="1"/>
  <c r="J773" i="1"/>
  <c r="K773" i="1"/>
  <c r="L773" i="1"/>
  <c r="M773" i="1"/>
  <c r="G774" i="1"/>
  <c r="O774" i="1" s="1"/>
  <c r="J774" i="1"/>
  <c r="K774" i="1"/>
  <c r="L774" i="1"/>
  <c r="M774" i="1"/>
  <c r="G775" i="1"/>
  <c r="J775" i="1"/>
  <c r="K775" i="1"/>
  <c r="L775" i="1"/>
  <c r="M775" i="1"/>
  <c r="G776" i="1"/>
  <c r="O776" i="1" s="1"/>
  <c r="J776" i="1"/>
  <c r="K776" i="1"/>
  <c r="L776" i="1"/>
  <c r="M776" i="1"/>
  <c r="G777" i="1"/>
  <c r="O777" i="1" s="1"/>
  <c r="J777" i="1"/>
  <c r="K777" i="1"/>
  <c r="L777" i="1"/>
  <c r="M777" i="1"/>
  <c r="G778" i="1"/>
  <c r="J778" i="1"/>
  <c r="K778" i="1"/>
  <c r="L778" i="1"/>
  <c r="M778" i="1"/>
  <c r="O778" i="1"/>
  <c r="G779" i="1"/>
  <c r="O779" i="1" s="1"/>
  <c r="J779" i="1"/>
  <c r="K779" i="1"/>
  <c r="L779" i="1"/>
  <c r="M779" i="1"/>
  <c r="G780" i="1"/>
  <c r="J780" i="1"/>
  <c r="K780" i="1"/>
  <c r="L780" i="1"/>
  <c r="M780" i="1"/>
  <c r="O780" i="1" s="1"/>
  <c r="G781" i="1"/>
  <c r="J781" i="1"/>
  <c r="K781" i="1"/>
  <c r="L781" i="1"/>
  <c r="M781" i="1"/>
  <c r="O781" i="1" s="1"/>
  <c r="G782" i="1"/>
  <c r="O782" i="1" s="1"/>
  <c r="J782" i="1"/>
  <c r="K782" i="1"/>
  <c r="L782" i="1"/>
  <c r="M782" i="1"/>
  <c r="G783" i="1"/>
  <c r="J783" i="1"/>
  <c r="K783" i="1"/>
  <c r="L783" i="1"/>
  <c r="M783" i="1"/>
  <c r="G784" i="1"/>
  <c r="J784" i="1"/>
  <c r="K784" i="1"/>
  <c r="L784" i="1"/>
  <c r="M784" i="1"/>
  <c r="O784" i="1"/>
  <c r="G785" i="1"/>
  <c r="O785" i="1" s="1"/>
  <c r="J785" i="1"/>
  <c r="K785" i="1"/>
  <c r="L785" i="1"/>
  <c r="M785" i="1"/>
  <c r="G786" i="1"/>
  <c r="J786" i="1"/>
  <c r="K786" i="1"/>
  <c r="L786" i="1"/>
  <c r="M786" i="1"/>
  <c r="O786" i="1" s="1"/>
  <c r="G787" i="1"/>
  <c r="J787" i="1"/>
  <c r="K787" i="1"/>
  <c r="L787" i="1"/>
  <c r="M787" i="1"/>
  <c r="G788" i="1"/>
  <c r="J788" i="1"/>
  <c r="K788" i="1"/>
  <c r="L788" i="1"/>
  <c r="M788" i="1"/>
  <c r="G789" i="1"/>
  <c r="J789" i="1"/>
  <c r="K789" i="1"/>
  <c r="L789" i="1"/>
  <c r="M789" i="1"/>
  <c r="O789" i="1" s="1"/>
  <c r="G790" i="1"/>
  <c r="J790" i="1"/>
  <c r="K790" i="1"/>
  <c r="L790" i="1"/>
  <c r="M790" i="1"/>
  <c r="O790" i="1" s="1"/>
  <c r="G791" i="1"/>
  <c r="J791" i="1"/>
  <c r="K791" i="1"/>
  <c r="L791" i="1"/>
  <c r="M791" i="1"/>
  <c r="G792" i="1"/>
  <c r="J792" i="1"/>
  <c r="K792" i="1"/>
  <c r="L792" i="1"/>
  <c r="M792" i="1"/>
  <c r="O792" i="1"/>
  <c r="G793" i="1"/>
  <c r="J793" i="1"/>
  <c r="K793" i="1"/>
  <c r="L793" i="1"/>
  <c r="M793" i="1"/>
  <c r="O793" i="1"/>
  <c r="G794" i="1"/>
  <c r="O794" i="1" s="1"/>
  <c r="J794" i="1"/>
  <c r="K794" i="1"/>
  <c r="L794" i="1"/>
  <c r="M794" i="1"/>
  <c r="G795" i="1"/>
  <c r="J795" i="1"/>
  <c r="K795" i="1"/>
  <c r="L795" i="1"/>
  <c r="M795" i="1"/>
  <c r="O795" i="1"/>
  <c r="G796" i="1"/>
  <c r="J796" i="1"/>
  <c r="K796" i="1"/>
  <c r="L796" i="1"/>
  <c r="M796" i="1"/>
  <c r="G797" i="1"/>
  <c r="J797" i="1"/>
  <c r="K797" i="1"/>
  <c r="L797" i="1"/>
  <c r="M797" i="1"/>
  <c r="G798" i="1"/>
  <c r="J798" i="1"/>
  <c r="K798" i="1"/>
  <c r="L798" i="1"/>
  <c r="M798" i="1"/>
  <c r="O798" i="1"/>
  <c r="G799" i="1"/>
  <c r="J799" i="1"/>
  <c r="K799" i="1"/>
  <c r="L799" i="1"/>
  <c r="M799" i="1"/>
  <c r="G800" i="1"/>
  <c r="J800" i="1"/>
  <c r="K800" i="1"/>
  <c r="L800" i="1"/>
  <c r="M800" i="1"/>
  <c r="G801" i="1"/>
  <c r="J801" i="1"/>
  <c r="K801" i="1"/>
  <c r="L801" i="1"/>
  <c r="M801" i="1"/>
  <c r="O801" i="1"/>
  <c r="G802" i="1"/>
  <c r="J802" i="1"/>
  <c r="K802" i="1"/>
  <c r="L802" i="1"/>
  <c r="M802" i="1"/>
  <c r="G803" i="1"/>
  <c r="O803" i="1" s="1"/>
  <c r="J803" i="1"/>
  <c r="K803" i="1"/>
  <c r="L803" i="1"/>
  <c r="M803" i="1"/>
  <c r="G804" i="1"/>
  <c r="J804" i="1"/>
  <c r="K804" i="1"/>
  <c r="L804" i="1"/>
  <c r="M804" i="1"/>
  <c r="O804" i="1" s="1"/>
  <c r="G805" i="1"/>
  <c r="O805" i="1" s="1"/>
  <c r="J805" i="1"/>
  <c r="K805" i="1"/>
  <c r="L805" i="1"/>
  <c r="M805" i="1"/>
  <c r="G806" i="1"/>
  <c r="J806" i="1"/>
  <c r="K806" i="1"/>
  <c r="L806" i="1"/>
  <c r="M806" i="1"/>
  <c r="J4" i="1"/>
  <c r="K4" i="1"/>
  <c r="L4" i="1"/>
  <c r="M4" i="1" s="1"/>
  <c r="J5" i="1"/>
  <c r="K5" i="1"/>
  <c r="L5" i="1"/>
  <c r="M5" i="1" s="1"/>
  <c r="J6" i="1"/>
  <c r="K6" i="1"/>
  <c r="L6" i="1"/>
  <c r="M6" i="1" s="1"/>
  <c r="J7" i="1"/>
  <c r="K7" i="1"/>
  <c r="L7" i="1"/>
  <c r="M7" i="1" s="1"/>
  <c r="J8" i="1"/>
  <c r="K8" i="1"/>
  <c r="L8" i="1"/>
  <c r="M8" i="1" s="1"/>
  <c r="J9" i="1"/>
  <c r="K9" i="1" s="1"/>
  <c r="L9" i="1"/>
  <c r="M9" i="1"/>
  <c r="J10" i="1"/>
  <c r="K10" i="1"/>
  <c r="L10" i="1"/>
  <c r="M10" i="1" s="1"/>
  <c r="J11" i="1"/>
  <c r="K11" i="1"/>
  <c r="L11" i="1"/>
  <c r="M11" i="1" s="1"/>
  <c r="J12" i="1"/>
  <c r="K12" i="1"/>
  <c r="L12" i="1"/>
  <c r="M12" i="1" s="1"/>
  <c r="J13" i="1"/>
  <c r="K13" i="1"/>
  <c r="L13" i="1"/>
  <c r="M13" i="1" s="1"/>
  <c r="J14" i="1"/>
  <c r="K14" i="1"/>
  <c r="L14" i="1"/>
  <c r="M14" i="1"/>
  <c r="J15" i="1"/>
  <c r="K15" i="1"/>
  <c r="L15" i="1"/>
  <c r="M15" i="1"/>
  <c r="J16" i="1"/>
  <c r="K16" i="1"/>
  <c r="L16" i="1"/>
  <c r="M16" i="1" s="1"/>
  <c r="J17" i="1"/>
  <c r="K17" i="1"/>
  <c r="L17" i="1"/>
  <c r="M17" i="1" s="1"/>
  <c r="J18" i="1"/>
  <c r="K18" i="1"/>
  <c r="L18" i="1"/>
  <c r="M18" i="1" s="1"/>
  <c r="J19" i="1"/>
  <c r="K19" i="1"/>
  <c r="L19" i="1"/>
  <c r="M19" i="1" s="1"/>
  <c r="J20" i="1"/>
  <c r="K20" i="1"/>
  <c r="L20" i="1"/>
  <c r="M20" i="1" s="1"/>
  <c r="J21" i="1"/>
  <c r="K21" i="1"/>
  <c r="L21" i="1"/>
  <c r="M21" i="1"/>
  <c r="J22" i="1"/>
  <c r="K22" i="1"/>
  <c r="L22" i="1"/>
  <c r="M22" i="1"/>
  <c r="J23" i="1"/>
  <c r="K23" i="1"/>
  <c r="L23" i="1"/>
  <c r="M23" i="1" s="1"/>
  <c r="J24" i="1"/>
  <c r="K24" i="1"/>
  <c r="L24" i="1"/>
  <c r="M24" i="1" s="1"/>
  <c r="J25" i="1"/>
  <c r="K25" i="1"/>
  <c r="L25" i="1"/>
  <c r="M25" i="1"/>
  <c r="J26" i="1"/>
  <c r="K26" i="1"/>
  <c r="L26" i="1"/>
  <c r="M26" i="1" s="1"/>
  <c r="J27" i="1"/>
  <c r="K27" i="1"/>
  <c r="L27" i="1"/>
  <c r="M27" i="1"/>
  <c r="J28" i="1"/>
  <c r="K28" i="1"/>
  <c r="L28" i="1"/>
  <c r="M28" i="1" s="1"/>
  <c r="J29" i="1"/>
  <c r="K29" i="1"/>
  <c r="L29" i="1"/>
  <c r="M29" i="1" s="1"/>
  <c r="J30" i="1"/>
  <c r="K30" i="1"/>
  <c r="L30" i="1"/>
  <c r="M30" i="1"/>
  <c r="J31" i="1"/>
  <c r="K31" i="1"/>
  <c r="L31" i="1"/>
  <c r="M31" i="1"/>
  <c r="J32" i="1"/>
  <c r="K32" i="1"/>
  <c r="L32" i="1"/>
  <c r="M32" i="1" s="1"/>
  <c r="J33" i="1"/>
  <c r="K33" i="1"/>
  <c r="L33" i="1"/>
  <c r="M33" i="1" s="1"/>
  <c r="J34" i="1"/>
  <c r="K34" i="1"/>
  <c r="L34" i="1"/>
  <c r="M34" i="1" s="1"/>
  <c r="J35" i="1"/>
  <c r="K35" i="1"/>
  <c r="L35" i="1"/>
  <c r="M35" i="1"/>
  <c r="J36" i="1"/>
  <c r="K36" i="1"/>
  <c r="L36" i="1"/>
  <c r="M36" i="1" s="1"/>
  <c r="J37" i="1"/>
  <c r="K37" i="1"/>
  <c r="L37" i="1"/>
  <c r="M37" i="1" s="1"/>
  <c r="J38" i="1"/>
  <c r="K38" i="1"/>
  <c r="L38" i="1"/>
  <c r="M38" i="1"/>
  <c r="J39" i="1"/>
  <c r="K39" i="1"/>
  <c r="L39" i="1"/>
  <c r="M39" i="1" s="1"/>
  <c r="J40" i="1"/>
  <c r="K40" i="1"/>
  <c r="L40" i="1"/>
  <c r="M40" i="1" s="1"/>
  <c r="J41" i="1"/>
  <c r="K41" i="1"/>
  <c r="L41" i="1"/>
  <c r="M41" i="1" s="1"/>
  <c r="J42" i="1"/>
  <c r="K42" i="1"/>
  <c r="L42" i="1"/>
  <c r="M42" i="1" s="1"/>
  <c r="J43" i="1"/>
  <c r="K43" i="1"/>
  <c r="L43" i="1"/>
  <c r="M43" i="1"/>
  <c r="J44" i="1"/>
  <c r="K44" i="1"/>
  <c r="L44" i="1"/>
  <c r="M44" i="1" s="1"/>
  <c r="J45" i="1"/>
  <c r="K45" i="1"/>
  <c r="L45" i="1"/>
  <c r="M45" i="1" s="1"/>
  <c r="J46" i="1"/>
  <c r="K46" i="1"/>
  <c r="L46" i="1"/>
  <c r="M46" i="1"/>
  <c r="J47" i="1"/>
  <c r="K47" i="1"/>
  <c r="L47" i="1"/>
  <c r="M47" i="1"/>
  <c r="J48" i="1"/>
  <c r="K48" i="1"/>
  <c r="L48" i="1"/>
  <c r="M48" i="1" s="1"/>
  <c r="J49" i="1"/>
  <c r="K49" i="1"/>
  <c r="L49" i="1"/>
  <c r="M49" i="1"/>
  <c r="J50" i="1"/>
  <c r="K50" i="1"/>
  <c r="L50" i="1"/>
  <c r="M50" i="1" s="1"/>
  <c r="J51" i="1"/>
  <c r="K51" i="1"/>
  <c r="L51" i="1"/>
  <c r="M51" i="1" s="1"/>
  <c r="J52" i="1"/>
  <c r="K52" i="1"/>
  <c r="L52" i="1"/>
  <c r="M52" i="1" s="1"/>
  <c r="J53" i="1"/>
  <c r="K53" i="1"/>
  <c r="L53" i="1"/>
  <c r="M53" i="1"/>
  <c r="J54" i="1"/>
  <c r="K54" i="1"/>
  <c r="L54" i="1"/>
  <c r="M54" i="1" s="1"/>
  <c r="J55" i="1"/>
  <c r="K55" i="1"/>
  <c r="L55" i="1"/>
  <c r="M55" i="1" s="1"/>
  <c r="J56" i="1"/>
  <c r="K56" i="1"/>
  <c r="L56" i="1"/>
  <c r="M56" i="1" s="1"/>
  <c r="J57" i="1"/>
  <c r="K57" i="1"/>
  <c r="L57" i="1"/>
  <c r="M57" i="1" s="1"/>
  <c r="J58" i="1"/>
  <c r="K58" i="1"/>
  <c r="L58" i="1"/>
  <c r="M58" i="1" s="1"/>
  <c r="J59" i="1"/>
  <c r="K59" i="1"/>
  <c r="L59" i="1"/>
  <c r="M59" i="1"/>
  <c r="J60" i="1"/>
  <c r="K60" i="1"/>
  <c r="L60" i="1"/>
  <c r="M60" i="1" s="1"/>
  <c r="J61" i="1"/>
  <c r="K61" i="1"/>
  <c r="L61" i="1"/>
  <c r="M61" i="1"/>
  <c r="J62" i="1"/>
  <c r="K62" i="1"/>
  <c r="L62" i="1"/>
  <c r="M62" i="1" s="1"/>
  <c r="J63" i="1"/>
  <c r="K63" i="1"/>
  <c r="L63" i="1"/>
  <c r="M63" i="1" s="1"/>
  <c r="J64" i="1"/>
  <c r="K64" i="1"/>
  <c r="L64" i="1"/>
  <c r="M64" i="1" s="1"/>
  <c r="J65" i="1"/>
  <c r="K65" i="1"/>
  <c r="L65" i="1"/>
  <c r="M65" i="1" s="1"/>
  <c r="J66" i="1"/>
  <c r="K66" i="1"/>
  <c r="L66" i="1"/>
  <c r="M66" i="1"/>
  <c r="J67" i="1"/>
  <c r="K67" i="1"/>
  <c r="L67" i="1"/>
  <c r="M67" i="1" s="1"/>
  <c r="J68" i="1"/>
  <c r="K68" i="1"/>
  <c r="L68" i="1"/>
  <c r="M68" i="1" s="1"/>
  <c r="J69" i="1"/>
  <c r="K69" i="1"/>
  <c r="L69" i="1"/>
  <c r="M69" i="1" s="1"/>
  <c r="J70" i="1"/>
  <c r="K70" i="1"/>
  <c r="L70" i="1"/>
  <c r="M70" i="1"/>
  <c r="J71" i="1"/>
  <c r="K71" i="1"/>
  <c r="L71" i="1"/>
  <c r="M71" i="1"/>
  <c r="J72" i="1"/>
  <c r="K72" i="1"/>
  <c r="L72" i="1"/>
  <c r="M72" i="1" s="1"/>
  <c r="J73" i="1"/>
  <c r="K73" i="1"/>
  <c r="L73" i="1"/>
  <c r="M73" i="1"/>
  <c r="J74" i="1"/>
  <c r="K74" i="1"/>
  <c r="L74" i="1"/>
  <c r="M74" i="1" s="1"/>
  <c r="J75" i="1"/>
  <c r="K75" i="1"/>
  <c r="L75" i="1"/>
  <c r="M75" i="1"/>
  <c r="J76" i="1"/>
  <c r="K76" i="1"/>
  <c r="L76" i="1"/>
  <c r="M76" i="1" s="1"/>
  <c r="J77" i="1"/>
  <c r="K77" i="1"/>
  <c r="L77" i="1"/>
  <c r="M77" i="1" s="1"/>
  <c r="J78" i="1"/>
  <c r="K78" i="1"/>
  <c r="L78" i="1"/>
  <c r="M78" i="1"/>
  <c r="J79" i="1"/>
  <c r="K79" i="1"/>
  <c r="L79" i="1"/>
  <c r="M79" i="1"/>
  <c r="J80" i="1"/>
  <c r="K80" i="1"/>
  <c r="L80" i="1"/>
  <c r="M80" i="1" s="1"/>
  <c r="J81" i="1"/>
  <c r="K81" i="1"/>
  <c r="L81" i="1"/>
  <c r="M81" i="1" s="1"/>
  <c r="J82" i="1"/>
  <c r="K82" i="1"/>
  <c r="L82" i="1"/>
  <c r="M82" i="1" s="1"/>
  <c r="J83" i="1"/>
  <c r="K83" i="1"/>
  <c r="L83" i="1"/>
  <c r="M83" i="1"/>
  <c r="J84" i="1"/>
  <c r="K84" i="1"/>
  <c r="L84" i="1"/>
  <c r="M84" i="1" s="1"/>
  <c r="J85" i="1"/>
  <c r="K85" i="1"/>
  <c r="L85" i="1"/>
  <c r="M85" i="1" s="1"/>
  <c r="J86" i="1"/>
  <c r="K86" i="1"/>
  <c r="L86" i="1"/>
  <c r="M86" i="1" s="1"/>
  <c r="J87" i="1"/>
  <c r="K87" i="1"/>
  <c r="L87" i="1"/>
  <c r="M87" i="1" s="1"/>
  <c r="J88" i="1"/>
  <c r="K88" i="1"/>
  <c r="L88" i="1"/>
  <c r="M88" i="1" s="1"/>
  <c r="J89" i="1"/>
  <c r="K89" i="1"/>
  <c r="L89" i="1"/>
  <c r="M89" i="1" s="1"/>
  <c r="J90" i="1"/>
  <c r="K90" i="1"/>
  <c r="L90" i="1"/>
  <c r="M90" i="1" s="1"/>
  <c r="J91" i="1"/>
  <c r="K91" i="1"/>
  <c r="L91" i="1"/>
  <c r="M91" i="1"/>
  <c r="J92" i="1"/>
  <c r="K92" i="1"/>
  <c r="L92" i="1"/>
  <c r="M92" i="1" s="1"/>
  <c r="J93" i="1"/>
  <c r="K93" i="1"/>
  <c r="L93" i="1"/>
  <c r="M93" i="1"/>
  <c r="J94" i="1"/>
  <c r="K94" i="1"/>
  <c r="L94" i="1"/>
  <c r="M94" i="1"/>
  <c r="J95" i="1"/>
  <c r="K95" i="1"/>
  <c r="L95" i="1"/>
  <c r="M95" i="1" s="1"/>
  <c r="J96" i="1"/>
  <c r="K96" i="1"/>
  <c r="L96" i="1"/>
  <c r="M96" i="1" s="1"/>
  <c r="J97" i="1"/>
  <c r="K97" i="1"/>
  <c r="L97" i="1"/>
  <c r="M97" i="1" s="1"/>
  <c r="J98" i="1"/>
  <c r="K98" i="1"/>
  <c r="L98" i="1"/>
  <c r="M98" i="1" s="1"/>
  <c r="J99" i="1"/>
  <c r="K99" i="1"/>
  <c r="L99" i="1"/>
  <c r="M99" i="1"/>
  <c r="J100" i="1"/>
  <c r="K100" i="1"/>
  <c r="L100" i="1"/>
  <c r="M100" i="1" s="1"/>
  <c r="J101" i="1"/>
  <c r="K101" i="1"/>
  <c r="L101" i="1"/>
  <c r="M101" i="1"/>
  <c r="J102" i="1"/>
  <c r="K102" i="1"/>
  <c r="L102" i="1"/>
  <c r="M102" i="1" s="1"/>
  <c r="J103" i="1"/>
  <c r="K103" i="1"/>
  <c r="L103" i="1"/>
  <c r="M103" i="1" s="1"/>
  <c r="J104" i="1"/>
  <c r="K104" i="1"/>
  <c r="L104" i="1"/>
  <c r="M104" i="1" s="1"/>
  <c r="J105" i="1"/>
  <c r="K105" i="1"/>
  <c r="L105" i="1"/>
  <c r="M105" i="1" s="1"/>
  <c r="J106" i="1"/>
  <c r="K106" i="1"/>
  <c r="L106" i="1"/>
  <c r="M106" i="1"/>
  <c r="J107" i="1"/>
  <c r="K107" i="1"/>
  <c r="L107" i="1"/>
  <c r="M107" i="1" s="1"/>
  <c r="J108" i="1"/>
  <c r="K108" i="1"/>
  <c r="L108" i="1"/>
  <c r="M108" i="1" s="1"/>
  <c r="J109" i="1"/>
  <c r="K109" i="1"/>
  <c r="L109" i="1"/>
  <c r="M109" i="1"/>
  <c r="J110" i="1"/>
  <c r="K110" i="1"/>
  <c r="L110" i="1"/>
  <c r="M110" i="1"/>
  <c r="J111" i="1"/>
  <c r="K111" i="1"/>
  <c r="L111" i="1"/>
  <c r="M111" i="1" s="1"/>
  <c r="J112" i="1"/>
  <c r="K112" i="1"/>
  <c r="L112" i="1"/>
  <c r="M112" i="1" s="1"/>
  <c r="J113" i="1"/>
  <c r="K113" i="1"/>
  <c r="L113" i="1"/>
  <c r="M113" i="1"/>
  <c r="J114" i="1"/>
  <c r="K114" i="1"/>
  <c r="L114" i="1"/>
  <c r="M114" i="1"/>
  <c r="J115" i="1"/>
  <c r="K115" i="1"/>
  <c r="L115" i="1"/>
  <c r="M115" i="1" s="1"/>
  <c r="J116" i="1"/>
  <c r="K116" i="1"/>
  <c r="L116" i="1"/>
  <c r="M116" i="1" s="1"/>
  <c r="J117" i="1"/>
  <c r="K117" i="1"/>
  <c r="L117" i="1"/>
  <c r="M117" i="1" s="1"/>
  <c r="J118" i="1"/>
  <c r="K118" i="1"/>
  <c r="L118" i="1"/>
  <c r="M118" i="1" s="1"/>
  <c r="J119" i="1"/>
  <c r="K119" i="1"/>
  <c r="L119" i="1"/>
  <c r="M119" i="1"/>
  <c r="J120" i="1"/>
  <c r="K120" i="1"/>
  <c r="L120" i="1"/>
  <c r="M120" i="1" s="1"/>
  <c r="J121" i="1"/>
  <c r="K121" i="1"/>
  <c r="L121" i="1"/>
  <c r="M121" i="1" s="1"/>
  <c r="J122" i="1"/>
  <c r="K122" i="1"/>
  <c r="L122" i="1"/>
  <c r="M122" i="1" s="1"/>
  <c r="J123" i="1"/>
  <c r="K123" i="1"/>
  <c r="L123" i="1"/>
  <c r="M123" i="1"/>
  <c r="J124" i="1"/>
  <c r="K124" i="1"/>
  <c r="L124" i="1"/>
  <c r="M124" i="1" s="1"/>
  <c r="J125" i="1"/>
  <c r="K125" i="1"/>
  <c r="L125" i="1"/>
  <c r="M125" i="1"/>
  <c r="J126" i="1"/>
  <c r="K126" i="1"/>
  <c r="L126" i="1"/>
  <c r="M126" i="1" s="1"/>
  <c r="J127" i="1"/>
  <c r="K127" i="1"/>
  <c r="L127" i="1"/>
  <c r="M127" i="1" s="1"/>
  <c r="J128" i="1"/>
  <c r="K128" i="1"/>
  <c r="L128" i="1"/>
  <c r="M128" i="1" s="1"/>
  <c r="J129" i="1"/>
  <c r="K129" i="1"/>
  <c r="L129" i="1"/>
  <c r="M129" i="1" s="1"/>
  <c r="J130" i="1"/>
  <c r="K130" i="1"/>
  <c r="L130" i="1"/>
  <c r="M130" i="1"/>
  <c r="J131" i="1"/>
  <c r="K131" i="1"/>
  <c r="L131" i="1"/>
  <c r="M131" i="1"/>
  <c r="J132" i="1"/>
  <c r="K132" i="1"/>
  <c r="L132" i="1"/>
  <c r="M132" i="1" s="1"/>
  <c r="J133" i="1"/>
  <c r="K133" i="1"/>
  <c r="L133" i="1"/>
  <c r="M133" i="1"/>
  <c r="J134" i="1"/>
  <c r="K134" i="1"/>
  <c r="L134" i="1"/>
  <c r="M134" i="1" s="1"/>
  <c r="J135" i="1"/>
  <c r="K135" i="1"/>
  <c r="L135" i="1"/>
  <c r="M135" i="1" s="1"/>
  <c r="J136" i="1"/>
  <c r="K136" i="1"/>
  <c r="L136" i="1"/>
  <c r="M136" i="1" s="1"/>
  <c r="J137" i="1"/>
  <c r="K137" i="1"/>
  <c r="L137" i="1"/>
  <c r="M137" i="1" s="1"/>
  <c r="J138" i="1"/>
  <c r="K138" i="1"/>
  <c r="L138" i="1"/>
  <c r="M138" i="1" s="1"/>
  <c r="J139" i="1"/>
  <c r="K139" i="1"/>
  <c r="L139" i="1"/>
  <c r="M139" i="1"/>
  <c r="J140" i="1"/>
  <c r="K140" i="1"/>
  <c r="L140" i="1"/>
  <c r="M140" i="1" s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4" i="1"/>
  <c r="K144" i="1"/>
  <c r="L144" i="1"/>
  <c r="M144" i="1" s="1"/>
  <c r="J145" i="1"/>
  <c r="K145" i="1"/>
  <c r="L145" i="1"/>
  <c r="M145" i="1" s="1"/>
  <c r="J146" i="1"/>
  <c r="K146" i="1"/>
  <c r="L146" i="1"/>
  <c r="M146" i="1" s="1"/>
  <c r="J147" i="1"/>
  <c r="K147" i="1"/>
  <c r="L147" i="1"/>
  <c r="M147" i="1" s="1"/>
  <c r="J148" i="1"/>
  <c r="K148" i="1"/>
  <c r="L148" i="1"/>
  <c r="M148" i="1" s="1"/>
  <c r="J149" i="1"/>
  <c r="K149" i="1"/>
  <c r="L149" i="1"/>
  <c r="M149" i="1" s="1"/>
  <c r="J150" i="1"/>
  <c r="K150" i="1"/>
  <c r="L150" i="1"/>
  <c r="M150" i="1" s="1"/>
  <c r="J151" i="1"/>
  <c r="K151" i="1"/>
  <c r="L151" i="1"/>
  <c r="M151" i="1" s="1"/>
  <c r="J152" i="1"/>
  <c r="K152" i="1"/>
  <c r="L152" i="1"/>
  <c r="M152" i="1" s="1"/>
  <c r="J153" i="1"/>
  <c r="K153" i="1"/>
  <c r="L153" i="1"/>
  <c r="M153" i="1"/>
  <c r="J154" i="1"/>
  <c r="K154" i="1"/>
  <c r="L154" i="1"/>
  <c r="M154" i="1" s="1"/>
  <c r="J155" i="1"/>
  <c r="K155" i="1"/>
  <c r="L155" i="1"/>
  <c r="M155" i="1"/>
  <c r="J156" i="1"/>
  <c r="K156" i="1"/>
  <c r="L156" i="1"/>
  <c r="M156" i="1" s="1"/>
  <c r="J157" i="1"/>
  <c r="K157" i="1"/>
  <c r="L157" i="1"/>
  <c r="M157" i="1"/>
  <c r="J158" i="1"/>
  <c r="K158" i="1"/>
  <c r="L158" i="1"/>
  <c r="M158" i="1" s="1"/>
  <c r="J159" i="1"/>
  <c r="K159" i="1"/>
  <c r="L159" i="1"/>
  <c r="M159" i="1"/>
  <c r="J160" i="1"/>
  <c r="K160" i="1"/>
  <c r="L160" i="1"/>
  <c r="M160" i="1" s="1"/>
  <c r="J161" i="1"/>
  <c r="K161" i="1"/>
  <c r="L161" i="1"/>
  <c r="M161" i="1" s="1"/>
  <c r="J162" i="1"/>
  <c r="K162" i="1"/>
  <c r="L162" i="1"/>
  <c r="M162" i="1" s="1"/>
  <c r="J163" i="1"/>
  <c r="K163" i="1"/>
  <c r="L163" i="1"/>
  <c r="M163" i="1" s="1"/>
  <c r="J164" i="1"/>
  <c r="K164" i="1"/>
  <c r="L164" i="1"/>
  <c r="M164" i="1" s="1"/>
  <c r="J165" i="1"/>
  <c r="K165" i="1"/>
  <c r="L165" i="1"/>
  <c r="M165" i="1" s="1"/>
  <c r="J166" i="1"/>
  <c r="K166" i="1"/>
  <c r="L166" i="1"/>
  <c r="M166" i="1"/>
  <c r="J167" i="1"/>
  <c r="K167" i="1"/>
  <c r="L167" i="1"/>
  <c r="M167" i="1"/>
  <c r="J168" i="1"/>
  <c r="K168" i="1"/>
  <c r="L168" i="1"/>
  <c r="M168" i="1" s="1"/>
  <c r="J169" i="1"/>
  <c r="K169" i="1"/>
  <c r="L169" i="1"/>
  <c r="M169" i="1" s="1"/>
  <c r="J170" i="1"/>
  <c r="K170" i="1"/>
  <c r="L170" i="1"/>
  <c r="M170" i="1" s="1"/>
  <c r="J171" i="1"/>
  <c r="K171" i="1"/>
  <c r="L171" i="1"/>
  <c r="M171" i="1" s="1"/>
  <c r="J172" i="1"/>
  <c r="K172" i="1"/>
  <c r="L172" i="1"/>
  <c r="M172" i="1" s="1"/>
  <c r="J173" i="1"/>
  <c r="K173" i="1"/>
  <c r="L173" i="1"/>
  <c r="M173" i="1" s="1"/>
  <c r="J174" i="1"/>
  <c r="K174" i="1"/>
  <c r="L174" i="1"/>
  <c r="M174" i="1" s="1"/>
  <c r="J175" i="1"/>
  <c r="K175" i="1"/>
  <c r="L175" i="1"/>
  <c r="M175" i="1"/>
  <c r="J176" i="1"/>
  <c r="K176" i="1"/>
  <c r="L176" i="1"/>
  <c r="M176" i="1" s="1"/>
  <c r="J177" i="1"/>
  <c r="K177" i="1"/>
  <c r="L177" i="1"/>
  <c r="M177" i="1" s="1"/>
  <c r="J178" i="1"/>
  <c r="K178" i="1"/>
  <c r="L178" i="1"/>
  <c r="M178" i="1" s="1"/>
  <c r="J179" i="1"/>
  <c r="K179" i="1"/>
  <c r="L179" i="1"/>
  <c r="M179" i="1" s="1"/>
  <c r="J180" i="1"/>
  <c r="K180" i="1"/>
  <c r="L180" i="1"/>
  <c r="M180" i="1" s="1"/>
  <c r="J181" i="1"/>
  <c r="K181" i="1"/>
  <c r="L181" i="1"/>
  <c r="M181" i="1"/>
  <c r="J182" i="1"/>
  <c r="K182" i="1"/>
  <c r="L182" i="1"/>
  <c r="M182" i="1"/>
  <c r="J183" i="1"/>
  <c r="K183" i="1"/>
  <c r="L183" i="1"/>
  <c r="M183" i="1" s="1"/>
  <c r="J184" i="1"/>
  <c r="K184" i="1"/>
  <c r="L184" i="1"/>
  <c r="M184" i="1" s="1"/>
  <c r="J185" i="1"/>
  <c r="K185" i="1"/>
  <c r="L185" i="1"/>
  <c r="M185" i="1"/>
  <c r="J186" i="1"/>
  <c r="K186" i="1"/>
  <c r="L186" i="1"/>
  <c r="M186" i="1" s="1"/>
  <c r="J187" i="1"/>
  <c r="K187" i="1"/>
  <c r="L187" i="1"/>
  <c r="M187" i="1"/>
  <c r="J188" i="1"/>
  <c r="K188" i="1"/>
  <c r="L188" i="1"/>
  <c r="M188" i="1" s="1"/>
  <c r="J189" i="1"/>
  <c r="K189" i="1"/>
  <c r="L189" i="1"/>
  <c r="M189" i="1" s="1"/>
  <c r="J190" i="1"/>
  <c r="K190" i="1"/>
  <c r="L190" i="1"/>
  <c r="M190" i="1"/>
  <c r="J191" i="1"/>
  <c r="K191" i="1"/>
  <c r="L191" i="1"/>
  <c r="M191" i="1" s="1"/>
  <c r="J192" i="1"/>
  <c r="K192" i="1"/>
  <c r="L192" i="1"/>
  <c r="M192" i="1" s="1"/>
  <c r="J193" i="1"/>
  <c r="K193" i="1"/>
  <c r="L193" i="1"/>
  <c r="M193" i="1" s="1"/>
  <c r="J194" i="1"/>
  <c r="K194" i="1"/>
  <c r="L194" i="1"/>
  <c r="M194" i="1" s="1"/>
  <c r="J195" i="1"/>
  <c r="K195" i="1"/>
  <c r="L195" i="1"/>
  <c r="M195" i="1"/>
  <c r="J196" i="1"/>
  <c r="K196" i="1"/>
  <c r="L196" i="1"/>
  <c r="M196" i="1" s="1"/>
  <c r="J197" i="1"/>
  <c r="K197" i="1"/>
  <c r="L197" i="1"/>
  <c r="M197" i="1" s="1"/>
  <c r="J198" i="1"/>
  <c r="K198" i="1"/>
  <c r="L198" i="1"/>
  <c r="M198" i="1" s="1"/>
  <c r="J199" i="1"/>
  <c r="K199" i="1"/>
  <c r="L199" i="1"/>
  <c r="M199" i="1"/>
  <c r="J200" i="1"/>
  <c r="K200" i="1"/>
  <c r="L200" i="1"/>
  <c r="M200" i="1" s="1"/>
  <c r="J201" i="1"/>
  <c r="K201" i="1"/>
  <c r="L201" i="1"/>
  <c r="M201" i="1" s="1"/>
  <c r="J202" i="1"/>
  <c r="K202" i="1"/>
  <c r="L202" i="1"/>
  <c r="M202" i="1"/>
  <c r="J203" i="1"/>
  <c r="K203" i="1"/>
  <c r="L203" i="1"/>
  <c r="M203" i="1" s="1"/>
  <c r="J204" i="1"/>
  <c r="K204" i="1"/>
  <c r="L204" i="1"/>
  <c r="M204" i="1" s="1"/>
  <c r="J205" i="1"/>
  <c r="K205" i="1"/>
  <c r="L205" i="1"/>
  <c r="M205" i="1"/>
  <c r="J206" i="1"/>
  <c r="K206" i="1"/>
  <c r="L206" i="1"/>
  <c r="M206" i="1" s="1"/>
  <c r="J207" i="1"/>
  <c r="K207" i="1"/>
  <c r="L207" i="1"/>
  <c r="M207" i="1"/>
  <c r="J208" i="1"/>
  <c r="K208" i="1"/>
  <c r="L208" i="1"/>
  <c r="M208" i="1" s="1"/>
  <c r="J209" i="1"/>
  <c r="K209" i="1"/>
  <c r="L209" i="1"/>
  <c r="M209" i="1" s="1"/>
  <c r="J210" i="1"/>
  <c r="K210" i="1"/>
  <c r="L210" i="1"/>
  <c r="M210" i="1" s="1"/>
  <c r="J211" i="1"/>
  <c r="K211" i="1"/>
  <c r="L211" i="1"/>
  <c r="M211" i="1" s="1"/>
  <c r="J212" i="1"/>
  <c r="K212" i="1"/>
  <c r="L212" i="1"/>
  <c r="M212" i="1" s="1"/>
  <c r="J213" i="1"/>
  <c r="K213" i="1"/>
  <c r="L213" i="1"/>
  <c r="M213" i="1" s="1"/>
  <c r="J214" i="1"/>
  <c r="K214" i="1"/>
  <c r="L214" i="1"/>
  <c r="M214" i="1"/>
  <c r="J215" i="1"/>
  <c r="K215" i="1"/>
  <c r="L215" i="1"/>
  <c r="M215" i="1"/>
  <c r="J216" i="1"/>
  <c r="K216" i="1"/>
  <c r="L216" i="1"/>
  <c r="M216" i="1" s="1"/>
  <c r="J217" i="1"/>
  <c r="K217" i="1"/>
  <c r="L217" i="1"/>
  <c r="M217" i="1" s="1"/>
  <c r="J218" i="1"/>
  <c r="K218" i="1"/>
  <c r="L218" i="1"/>
  <c r="M218" i="1"/>
  <c r="J219" i="1"/>
  <c r="K219" i="1"/>
  <c r="L219" i="1"/>
  <c r="M219" i="1" s="1"/>
  <c r="J220" i="1"/>
  <c r="K220" i="1"/>
  <c r="L220" i="1"/>
  <c r="M220" i="1" s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 s="1"/>
  <c r="J225" i="1"/>
  <c r="K225" i="1"/>
  <c r="L225" i="1"/>
  <c r="M225" i="1" s="1"/>
  <c r="J226" i="1"/>
  <c r="K226" i="1"/>
  <c r="L226" i="1"/>
  <c r="M226" i="1" s="1"/>
  <c r="J227" i="1"/>
  <c r="K227" i="1"/>
  <c r="L227" i="1"/>
  <c r="M227" i="1"/>
  <c r="J228" i="1"/>
  <c r="K228" i="1"/>
  <c r="L228" i="1"/>
  <c r="M228" i="1" s="1"/>
  <c r="J229" i="1"/>
  <c r="K229" i="1"/>
  <c r="L229" i="1"/>
  <c r="M229" i="1"/>
  <c r="J230" i="1"/>
  <c r="K230" i="1"/>
  <c r="L230" i="1"/>
  <c r="M230" i="1" s="1"/>
  <c r="J231" i="1"/>
  <c r="K231" i="1"/>
  <c r="L231" i="1"/>
  <c r="M231" i="1"/>
  <c r="J232" i="1"/>
  <c r="K232" i="1"/>
  <c r="L232" i="1"/>
  <c r="M232" i="1" s="1"/>
  <c r="J233" i="1"/>
  <c r="K233" i="1"/>
  <c r="L233" i="1"/>
  <c r="M233" i="1" s="1"/>
  <c r="J234" i="1"/>
  <c r="K234" i="1"/>
  <c r="L234" i="1"/>
  <c r="M234" i="1" s="1"/>
  <c r="J235" i="1"/>
  <c r="K235" i="1"/>
  <c r="L235" i="1"/>
  <c r="M235" i="1"/>
  <c r="J236" i="1"/>
  <c r="K236" i="1"/>
  <c r="L236" i="1"/>
  <c r="M236" i="1" s="1"/>
  <c r="J237" i="1"/>
  <c r="K237" i="1"/>
  <c r="L237" i="1"/>
  <c r="M237" i="1"/>
  <c r="J238" i="1"/>
  <c r="K238" i="1"/>
  <c r="L238" i="1"/>
  <c r="M238" i="1" s="1"/>
  <c r="J239" i="1"/>
  <c r="K239" i="1"/>
  <c r="L239" i="1"/>
  <c r="M239" i="1"/>
  <c r="J240" i="1"/>
  <c r="K240" i="1"/>
  <c r="L240" i="1"/>
  <c r="M240" i="1" s="1"/>
  <c r="J241" i="1"/>
  <c r="K241" i="1"/>
  <c r="L241" i="1"/>
  <c r="M241" i="1"/>
  <c r="J242" i="1"/>
  <c r="K242" i="1"/>
  <c r="L242" i="1"/>
  <c r="M242" i="1" s="1"/>
  <c r="J243" i="1"/>
  <c r="K243" i="1"/>
  <c r="L243" i="1"/>
  <c r="M243" i="1" s="1"/>
  <c r="J244" i="1"/>
  <c r="K244" i="1"/>
  <c r="L244" i="1"/>
  <c r="M244" i="1" s="1"/>
  <c r="J245" i="1"/>
  <c r="K245" i="1"/>
  <c r="L245" i="1"/>
  <c r="M245" i="1"/>
  <c r="J246" i="1"/>
  <c r="K246" i="1"/>
  <c r="L246" i="1"/>
  <c r="M246" i="1"/>
  <c r="J247" i="1"/>
  <c r="K247" i="1"/>
  <c r="L247" i="1"/>
  <c r="M247" i="1" s="1"/>
  <c r="J248" i="1"/>
  <c r="K248" i="1"/>
  <c r="L248" i="1"/>
  <c r="M248" i="1" s="1"/>
  <c r="J249" i="1"/>
  <c r="K249" i="1"/>
  <c r="L249" i="1"/>
  <c r="M249" i="1" s="1"/>
  <c r="J250" i="1"/>
  <c r="K250" i="1"/>
  <c r="L250" i="1"/>
  <c r="M250" i="1"/>
  <c r="J251" i="1"/>
  <c r="K251" i="1"/>
  <c r="L251" i="1"/>
  <c r="M251" i="1"/>
  <c r="J252" i="1"/>
  <c r="K252" i="1"/>
  <c r="L252" i="1"/>
  <c r="M252" i="1" s="1"/>
  <c r="J253" i="1"/>
  <c r="K253" i="1"/>
  <c r="L253" i="1"/>
  <c r="M253" i="1"/>
  <c r="J254" i="1"/>
  <c r="K254" i="1"/>
  <c r="L254" i="1"/>
  <c r="M254" i="1" s="1"/>
  <c r="J255" i="1"/>
  <c r="K255" i="1"/>
  <c r="L255" i="1"/>
  <c r="M255" i="1" s="1"/>
  <c r="J256" i="1"/>
  <c r="K256" i="1"/>
  <c r="L256" i="1"/>
  <c r="M256" i="1" s="1"/>
  <c r="J257" i="1"/>
  <c r="K257" i="1"/>
  <c r="L257" i="1"/>
  <c r="M257" i="1" s="1"/>
  <c r="J258" i="1"/>
  <c r="K258" i="1"/>
  <c r="L258" i="1"/>
  <c r="M258" i="1" s="1"/>
  <c r="J259" i="1"/>
  <c r="K259" i="1"/>
  <c r="L259" i="1"/>
  <c r="M259" i="1"/>
  <c r="J260" i="1"/>
  <c r="K260" i="1"/>
  <c r="L260" i="1"/>
  <c r="M260" i="1" s="1"/>
  <c r="J261" i="1"/>
  <c r="K261" i="1"/>
  <c r="L261" i="1"/>
  <c r="M261" i="1" s="1"/>
  <c r="J262" i="1"/>
  <c r="K262" i="1"/>
  <c r="L262" i="1"/>
  <c r="M262" i="1"/>
  <c r="J263" i="1"/>
  <c r="K263" i="1"/>
  <c r="L263" i="1"/>
  <c r="M263" i="1"/>
  <c r="J264" i="1"/>
  <c r="K264" i="1"/>
  <c r="L264" i="1"/>
  <c r="M264" i="1" s="1"/>
  <c r="J265" i="1"/>
  <c r="K265" i="1"/>
  <c r="L265" i="1"/>
  <c r="M265" i="1"/>
  <c r="J266" i="1"/>
  <c r="K266" i="1"/>
  <c r="L266" i="1"/>
  <c r="M266" i="1" s="1"/>
  <c r="J267" i="1"/>
  <c r="K267" i="1"/>
  <c r="L267" i="1"/>
  <c r="M267" i="1" s="1"/>
  <c r="J268" i="1"/>
  <c r="K268" i="1"/>
  <c r="L268" i="1"/>
  <c r="M268" i="1" s="1"/>
  <c r="J269" i="1"/>
  <c r="K269" i="1"/>
  <c r="L269" i="1"/>
  <c r="M269" i="1"/>
  <c r="J270" i="1"/>
  <c r="K270" i="1"/>
  <c r="L270" i="1"/>
  <c r="M270" i="1" s="1"/>
  <c r="J271" i="1"/>
  <c r="K271" i="1"/>
  <c r="L271" i="1"/>
  <c r="M271" i="1"/>
  <c r="J272" i="1"/>
  <c r="K272" i="1"/>
  <c r="L272" i="1"/>
  <c r="M272" i="1" s="1"/>
  <c r="J273" i="1"/>
  <c r="K273" i="1"/>
  <c r="L273" i="1"/>
  <c r="M273" i="1" s="1"/>
  <c r="J274" i="1"/>
  <c r="K274" i="1"/>
  <c r="L274" i="1"/>
  <c r="M274" i="1" s="1"/>
  <c r="J275" i="1"/>
  <c r="K275" i="1"/>
  <c r="L275" i="1"/>
  <c r="M275" i="1"/>
  <c r="J276" i="1"/>
  <c r="K276" i="1"/>
  <c r="L276" i="1"/>
  <c r="M276" i="1" s="1"/>
  <c r="J277" i="1"/>
  <c r="K277" i="1"/>
  <c r="L277" i="1"/>
  <c r="M277" i="1"/>
  <c r="J278" i="1"/>
  <c r="K278" i="1"/>
  <c r="L278" i="1"/>
  <c r="M278" i="1"/>
  <c r="J279" i="1"/>
  <c r="K279" i="1"/>
  <c r="L279" i="1"/>
  <c r="M279" i="1" s="1"/>
  <c r="J280" i="1"/>
  <c r="K280" i="1"/>
  <c r="L280" i="1"/>
  <c r="M280" i="1" s="1"/>
  <c r="J281" i="1"/>
  <c r="K281" i="1"/>
  <c r="L281" i="1"/>
  <c r="M281" i="1" s="1"/>
  <c r="J282" i="1"/>
  <c r="K282" i="1"/>
  <c r="L282" i="1"/>
  <c r="M282" i="1" s="1"/>
  <c r="J283" i="1"/>
  <c r="K283" i="1"/>
  <c r="L283" i="1"/>
  <c r="M283" i="1" s="1"/>
  <c r="J284" i="1"/>
  <c r="K284" i="1"/>
  <c r="L284" i="1"/>
  <c r="M284" i="1" s="1"/>
  <c r="J285" i="1"/>
  <c r="K285" i="1"/>
  <c r="L285" i="1"/>
  <c r="M285" i="1" s="1"/>
  <c r="J286" i="1"/>
  <c r="K286" i="1"/>
  <c r="L286" i="1"/>
  <c r="M286" i="1" s="1"/>
  <c r="J287" i="1"/>
  <c r="K287" i="1"/>
  <c r="L287" i="1"/>
  <c r="M287" i="1" s="1"/>
  <c r="J288" i="1"/>
  <c r="K288" i="1"/>
  <c r="L288" i="1"/>
  <c r="M288" i="1" s="1"/>
  <c r="J289" i="1"/>
  <c r="K289" i="1"/>
  <c r="L289" i="1"/>
  <c r="M289" i="1"/>
  <c r="J290" i="1"/>
  <c r="K290" i="1"/>
  <c r="L290" i="1"/>
  <c r="M290" i="1" s="1"/>
  <c r="J291" i="1"/>
  <c r="K291" i="1"/>
  <c r="L291" i="1"/>
  <c r="M291" i="1" s="1"/>
  <c r="J292" i="1"/>
  <c r="K292" i="1"/>
  <c r="L292" i="1"/>
  <c r="M292" i="1" s="1"/>
  <c r="J293" i="1"/>
  <c r="K293" i="1"/>
  <c r="L293" i="1"/>
  <c r="M293" i="1"/>
  <c r="J294" i="1"/>
  <c r="K294" i="1"/>
  <c r="L294" i="1"/>
  <c r="M294" i="1" s="1"/>
  <c r="J295" i="1"/>
  <c r="K295" i="1"/>
  <c r="L295" i="1"/>
  <c r="M295" i="1" s="1"/>
  <c r="J296" i="1"/>
  <c r="K296" i="1"/>
  <c r="L296" i="1"/>
  <c r="M296" i="1" s="1"/>
  <c r="J297" i="1"/>
  <c r="K297" i="1"/>
  <c r="L297" i="1"/>
  <c r="M297" i="1" s="1"/>
  <c r="J298" i="1"/>
  <c r="K298" i="1"/>
  <c r="L298" i="1"/>
  <c r="M298" i="1" s="1"/>
  <c r="J299" i="1"/>
  <c r="K299" i="1"/>
  <c r="L299" i="1"/>
  <c r="M299" i="1"/>
  <c r="J300" i="1"/>
  <c r="K300" i="1"/>
  <c r="L300" i="1"/>
  <c r="M300" i="1" s="1"/>
  <c r="J301" i="1"/>
  <c r="K301" i="1"/>
  <c r="L301" i="1"/>
  <c r="M301" i="1"/>
  <c r="J302" i="1"/>
  <c r="K302" i="1"/>
  <c r="L302" i="1"/>
  <c r="M302" i="1"/>
  <c r="J303" i="1"/>
  <c r="K303" i="1"/>
  <c r="L303" i="1"/>
  <c r="M303" i="1" s="1"/>
  <c r="J304" i="1"/>
  <c r="K304" i="1"/>
  <c r="L304" i="1"/>
  <c r="M304" i="1" s="1"/>
  <c r="J305" i="1"/>
  <c r="K305" i="1"/>
  <c r="L305" i="1"/>
  <c r="M305" i="1" s="1"/>
  <c r="J306" i="1"/>
  <c r="K306" i="1"/>
  <c r="L306" i="1"/>
  <c r="M306" i="1" s="1"/>
  <c r="J307" i="1"/>
  <c r="K307" i="1"/>
  <c r="L307" i="1"/>
  <c r="M307" i="1" s="1"/>
  <c r="J308" i="1"/>
  <c r="K308" i="1"/>
  <c r="L308" i="1"/>
  <c r="M308" i="1" s="1"/>
  <c r="J309" i="1"/>
  <c r="K309" i="1"/>
  <c r="L309" i="1"/>
  <c r="M309" i="1"/>
  <c r="J310" i="1"/>
  <c r="K310" i="1"/>
  <c r="L310" i="1"/>
  <c r="M310" i="1" s="1"/>
  <c r="J311" i="1"/>
  <c r="K311" i="1"/>
  <c r="L311" i="1"/>
  <c r="M311" i="1"/>
  <c r="J312" i="1"/>
  <c r="K312" i="1"/>
  <c r="L312" i="1"/>
  <c r="M312" i="1" s="1"/>
  <c r="J313" i="1"/>
  <c r="K313" i="1"/>
  <c r="L313" i="1"/>
  <c r="M313" i="1"/>
  <c r="J314" i="1"/>
  <c r="K314" i="1"/>
  <c r="L314" i="1"/>
  <c r="M314" i="1" s="1"/>
  <c r="J315" i="1"/>
  <c r="K315" i="1"/>
  <c r="L315" i="1"/>
  <c r="M315" i="1" s="1"/>
  <c r="J316" i="1"/>
  <c r="K316" i="1"/>
  <c r="L316" i="1"/>
  <c r="M316" i="1" s="1"/>
  <c r="J317" i="1"/>
  <c r="K317" i="1"/>
  <c r="L317" i="1"/>
  <c r="M317" i="1"/>
  <c r="J318" i="1"/>
  <c r="K318" i="1"/>
  <c r="L318" i="1"/>
  <c r="M318" i="1" s="1"/>
  <c r="J319" i="1"/>
  <c r="K319" i="1"/>
  <c r="L319" i="1"/>
  <c r="M319" i="1"/>
  <c r="J320" i="1"/>
  <c r="K320" i="1"/>
  <c r="L320" i="1"/>
  <c r="M320" i="1" s="1"/>
  <c r="J321" i="1"/>
  <c r="K321" i="1"/>
  <c r="L321" i="1"/>
  <c r="M321" i="1" s="1"/>
  <c r="J322" i="1"/>
  <c r="K322" i="1"/>
  <c r="L322" i="1"/>
  <c r="M322" i="1" s="1"/>
  <c r="J323" i="1"/>
  <c r="K323" i="1"/>
  <c r="L323" i="1"/>
  <c r="M323" i="1"/>
  <c r="J324" i="1"/>
  <c r="K324" i="1"/>
  <c r="L324" i="1"/>
  <c r="M324" i="1" s="1"/>
  <c r="J325" i="1"/>
  <c r="K325" i="1"/>
  <c r="L325" i="1"/>
  <c r="M325" i="1" s="1"/>
  <c r="J326" i="1"/>
  <c r="K326" i="1"/>
  <c r="L326" i="1"/>
  <c r="M326" i="1"/>
  <c r="J327" i="1"/>
  <c r="K327" i="1"/>
  <c r="L327" i="1"/>
  <c r="M327" i="1" s="1"/>
  <c r="J328" i="1"/>
  <c r="K328" i="1"/>
  <c r="L328" i="1"/>
  <c r="M328" i="1" s="1"/>
  <c r="J329" i="1"/>
  <c r="K329" i="1"/>
  <c r="L329" i="1"/>
  <c r="M329" i="1" s="1"/>
  <c r="J330" i="1"/>
  <c r="K330" i="1"/>
  <c r="L330" i="1"/>
  <c r="M330" i="1" s="1"/>
  <c r="J331" i="1"/>
  <c r="K331" i="1"/>
  <c r="L331" i="1"/>
  <c r="M331" i="1"/>
  <c r="J332" i="1"/>
  <c r="K332" i="1"/>
  <c r="L332" i="1"/>
  <c r="M332" i="1" s="1"/>
  <c r="J333" i="1"/>
  <c r="K333" i="1"/>
  <c r="L333" i="1"/>
  <c r="M333" i="1"/>
  <c r="J334" i="1"/>
  <c r="K334" i="1"/>
  <c r="L334" i="1"/>
  <c r="M334" i="1" s="1"/>
  <c r="J335" i="1"/>
  <c r="K335" i="1"/>
  <c r="L335" i="1"/>
  <c r="M335" i="1" s="1"/>
  <c r="J336" i="1"/>
  <c r="K336" i="1"/>
  <c r="L336" i="1"/>
  <c r="M336" i="1" s="1"/>
  <c r="J337" i="1"/>
  <c r="K337" i="1"/>
  <c r="L337" i="1"/>
  <c r="M337" i="1" s="1"/>
  <c r="J338" i="1"/>
  <c r="K338" i="1"/>
  <c r="L338" i="1"/>
  <c r="M338" i="1" s="1"/>
  <c r="J339" i="1"/>
  <c r="K339" i="1"/>
  <c r="L339" i="1"/>
  <c r="M339" i="1" s="1"/>
  <c r="J340" i="1"/>
  <c r="K340" i="1"/>
  <c r="L340" i="1"/>
  <c r="M340" i="1" s="1"/>
  <c r="J341" i="1"/>
  <c r="K341" i="1"/>
  <c r="L341" i="1"/>
  <c r="M341" i="1" s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 s="1"/>
  <c r="J346" i="1"/>
  <c r="K346" i="1"/>
  <c r="L346" i="1"/>
  <c r="M346" i="1"/>
  <c r="J347" i="1"/>
  <c r="K347" i="1"/>
  <c r="L347" i="1"/>
  <c r="M347" i="1" s="1"/>
  <c r="J348" i="1"/>
  <c r="K348" i="1"/>
  <c r="L348" i="1"/>
  <c r="M348" i="1"/>
  <c r="J349" i="1"/>
  <c r="K349" i="1"/>
  <c r="L349" i="1"/>
  <c r="M349" i="1" s="1"/>
  <c r="J350" i="1"/>
  <c r="K350" i="1"/>
  <c r="L350" i="1"/>
  <c r="M350" i="1"/>
  <c r="J351" i="1"/>
  <c r="K351" i="1"/>
  <c r="L351" i="1"/>
  <c r="M351" i="1"/>
  <c r="J352" i="1"/>
  <c r="K352" i="1"/>
  <c r="L352" i="1"/>
  <c r="M352" i="1" s="1"/>
  <c r="J353" i="1"/>
  <c r="K353" i="1"/>
  <c r="L353" i="1"/>
  <c r="M353" i="1" s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 s="1"/>
  <c r="J358" i="1"/>
  <c r="K358" i="1"/>
  <c r="L358" i="1"/>
  <c r="M358" i="1"/>
  <c r="J359" i="1"/>
  <c r="K359" i="1"/>
  <c r="L359" i="1"/>
  <c r="M359" i="1"/>
  <c r="J360" i="1"/>
  <c r="K360" i="1"/>
  <c r="L360" i="1"/>
  <c r="M360" i="1"/>
  <c r="J361" i="1"/>
  <c r="K361" i="1"/>
  <c r="L361" i="1"/>
  <c r="M361" i="1" s="1"/>
  <c r="J362" i="1"/>
  <c r="K362" i="1"/>
  <c r="L362" i="1"/>
  <c r="M362" i="1"/>
  <c r="J363" i="1"/>
  <c r="K363" i="1"/>
  <c r="L363" i="1"/>
  <c r="M363" i="1"/>
  <c r="J364" i="1"/>
  <c r="K364" i="1"/>
  <c r="L364" i="1"/>
  <c r="M364" i="1" s="1"/>
  <c r="J365" i="1"/>
  <c r="K365" i="1"/>
  <c r="L365" i="1"/>
  <c r="M365" i="1" s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 s="1"/>
  <c r="J370" i="1"/>
  <c r="K370" i="1"/>
  <c r="L370" i="1"/>
  <c r="M370" i="1" s="1"/>
  <c r="J371" i="1"/>
  <c r="K371" i="1"/>
  <c r="L371" i="1"/>
  <c r="M371" i="1"/>
  <c r="J372" i="1"/>
  <c r="K372" i="1"/>
  <c r="L372" i="1"/>
  <c r="M372" i="1"/>
  <c r="J373" i="1"/>
  <c r="K373" i="1"/>
  <c r="L373" i="1"/>
  <c r="M373" i="1" s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7" i="1"/>
  <c r="K377" i="1"/>
  <c r="L377" i="1"/>
  <c r="M377" i="1" s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 s="1"/>
  <c r="J382" i="1"/>
  <c r="K382" i="1"/>
  <c r="L382" i="1"/>
  <c r="M382" i="1" s="1"/>
  <c r="J383" i="1"/>
  <c r="K383" i="1"/>
  <c r="L383" i="1"/>
  <c r="M383" i="1"/>
  <c r="J384" i="1"/>
  <c r="K384" i="1"/>
  <c r="L384" i="1"/>
  <c r="M384" i="1"/>
  <c r="J385" i="1"/>
  <c r="K385" i="1"/>
  <c r="L385" i="1"/>
  <c r="M385" i="1" s="1"/>
  <c r="J386" i="1"/>
  <c r="K386" i="1"/>
  <c r="L386" i="1"/>
  <c r="M386" i="1"/>
  <c r="J387" i="1"/>
  <c r="K387" i="1"/>
  <c r="L387" i="1"/>
  <c r="M387" i="1" s="1"/>
  <c r="J388" i="1"/>
  <c r="K388" i="1"/>
  <c r="L388" i="1"/>
  <c r="M388" i="1"/>
  <c r="J389" i="1"/>
  <c r="K389" i="1"/>
  <c r="L389" i="1"/>
  <c r="M389" i="1" s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 s="1"/>
  <c r="J394" i="1"/>
  <c r="K394" i="1"/>
  <c r="L394" i="1"/>
  <c r="M394" i="1" s="1"/>
  <c r="J395" i="1"/>
  <c r="K395" i="1"/>
  <c r="L395" i="1"/>
  <c r="M395" i="1"/>
  <c r="J396" i="1"/>
  <c r="K396" i="1"/>
  <c r="L396" i="1"/>
  <c r="M396" i="1"/>
  <c r="J397" i="1"/>
  <c r="K397" i="1"/>
  <c r="L397" i="1"/>
  <c r="M397" i="1" s="1"/>
  <c r="J398" i="1"/>
  <c r="K398" i="1"/>
  <c r="L398" i="1"/>
  <c r="M398" i="1"/>
  <c r="J399" i="1"/>
  <c r="K399" i="1"/>
  <c r="L399" i="1"/>
  <c r="M399" i="1" s="1"/>
  <c r="J400" i="1"/>
  <c r="K400" i="1"/>
  <c r="L400" i="1"/>
  <c r="M400" i="1"/>
  <c r="J401" i="1"/>
  <c r="K401" i="1"/>
  <c r="L401" i="1"/>
  <c r="M401" i="1" s="1"/>
  <c r="J402" i="1"/>
  <c r="K402" i="1"/>
  <c r="L402" i="1"/>
  <c r="M402" i="1"/>
  <c r="J403" i="1"/>
  <c r="K403" i="1"/>
  <c r="L403" i="1"/>
  <c r="M403" i="1"/>
  <c r="J404" i="1"/>
  <c r="K404" i="1"/>
  <c r="L404" i="1"/>
  <c r="M404" i="1" s="1"/>
  <c r="J405" i="1"/>
  <c r="K405" i="1"/>
  <c r="L405" i="1"/>
  <c r="M405" i="1" s="1"/>
  <c r="J406" i="1"/>
  <c r="K406" i="1"/>
  <c r="L406" i="1"/>
  <c r="M406" i="1"/>
  <c r="J407" i="1"/>
  <c r="K407" i="1"/>
  <c r="L407" i="1"/>
  <c r="M407" i="1"/>
  <c r="J408" i="1"/>
  <c r="K408" i="1"/>
  <c r="L408" i="1"/>
  <c r="M408" i="1"/>
  <c r="J409" i="1"/>
  <c r="K409" i="1"/>
  <c r="L409" i="1"/>
  <c r="M409" i="1" s="1"/>
  <c r="J410" i="1"/>
  <c r="K410" i="1"/>
  <c r="L410" i="1"/>
  <c r="M410" i="1"/>
  <c r="J411" i="1"/>
  <c r="K411" i="1"/>
  <c r="L411" i="1"/>
  <c r="M411" i="1" s="1"/>
  <c r="J412" i="1"/>
  <c r="K412" i="1"/>
  <c r="L412" i="1"/>
  <c r="M412" i="1" s="1"/>
  <c r="J413" i="1"/>
  <c r="K413" i="1"/>
  <c r="L413" i="1"/>
  <c r="M413" i="1"/>
  <c r="J414" i="1"/>
  <c r="K414" i="1"/>
  <c r="L414" i="1"/>
  <c r="M414" i="1"/>
  <c r="J415" i="1"/>
  <c r="K415" i="1"/>
  <c r="L415" i="1"/>
  <c r="M415" i="1" s="1"/>
  <c r="J416" i="1"/>
  <c r="K416" i="1"/>
  <c r="L416" i="1"/>
  <c r="M416" i="1" s="1"/>
  <c r="J417" i="1"/>
  <c r="K417" i="1"/>
  <c r="L417" i="1"/>
  <c r="M417" i="1" s="1"/>
  <c r="J418" i="1"/>
  <c r="K418" i="1"/>
  <c r="L418" i="1"/>
  <c r="M418" i="1"/>
  <c r="J419" i="1"/>
  <c r="K419" i="1"/>
  <c r="L419" i="1"/>
  <c r="M419" i="1"/>
  <c r="J420" i="1"/>
  <c r="K420" i="1"/>
  <c r="L420" i="1"/>
  <c r="M420" i="1" s="1"/>
  <c r="J421" i="1"/>
  <c r="K421" i="1"/>
  <c r="L421" i="1"/>
  <c r="M421" i="1" s="1"/>
  <c r="J422" i="1"/>
  <c r="K422" i="1"/>
  <c r="L422" i="1"/>
  <c r="M422" i="1"/>
  <c r="J423" i="1"/>
  <c r="K423" i="1"/>
  <c r="L423" i="1"/>
  <c r="M423" i="1"/>
  <c r="J424" i="1"/>
  <c r="K424" i="1"/>
  <c r="L424" i="1"/>
  <c r="M424" i="1" s="1"/>
  <c r="J425" i="1"/>
  <c r="K425" i="1"/>
  <c r="L425" i="1"/>
  <c r="M425" i="1"/>
  <c r="J426" i="1"/>
  <c r="K426" i="1"/>
  <c r="L426" i="1"/>
  <c r="M426" i="1" s="1"/>
  <c r="J427" i="1"/>
  <c r="K427" i="1"/>
  <c r="L427" i="1"/>
  <c r="M427" i="1" s="1"/>
  <c r="J428" i="1"/>
  <c r="K428" i="1"/>
  <c r="L428" i="1"/>
  <c r="M428" i="1" s="1"/>
  <c r="J429" i="1"/>
  <c r="K429" i="1"/>
  <c r="L429" i="1"/>
  <c r="M429" i="1" s="1"/>
  <c r="J430" i="1"/>
  <c r="K430" i="1"/>
  <c r="L430" i="1"/>
  <c r="M430" i="1"/>
  <c r="J431" i="1"/>
  <c r="K431" i="1"/>
  <c r="L431" i="1"/>
  <c r="M431" i="1"/>
  <c r="J432" i="1"/>
  <c r="K432" i="1"/>
  <c r="L432" i="1"/>
  <c r="M432" i="1" s="1"/>
  <c r="J433" i="1"/>
  <c r="K433" i="1"/>
  <c r="L433" i="1"/>
  <c r="M433" i="1"/>
  <c r="J434" i="1"/>
  <c r="K434" i="1"/>
  <c r="L434" i="1"/>
  <c r="M434" i="1" s="1"/>
  <c r="J435" i="1"/>
  <c r="K435" i="1"/>
  <c r="L435" i="1"/>
  <c r="M435" i="1" s="1"/>
  <c r="J436" i="1"/>
  <c r="K436" i="1"/>
  <c r="L436" i="1"/>
  <c r="M436" i="1" s="1"/>
  <c r="J437" i="1"/>
  <c r="K437" i="1"/>
  <c r="L437" i="1"/>
  <c r="M437" i="1" s="1"/>
  <c r="J438" i="1"/>
  <c r="K438" i="1"/>
  <c r="L438" i="1"/>
  <c r="M438" i="1" s="1"/>
  <c r="J439" i="1"/>
  <c r="K439" i="1"/>
  <c r="L439" i="1"/>
  <c r="M439" i="1"/>
  <c r="J440" i="1"/>
  <c r="K440" i="1"/>
  <c r="L440" i="1"/>
  <c r="M440" i="1" s="1"/>
  <c r="J441" i="1"/>
  <c r="K441" i="1"/>
  <c r="L441" i="1"/>
  <c r="M441" i="1"/>
  <c r="J442" i="1"/>
  <c r="K442" i="1"/>
  <c r="L442" i="1"/>
  <c r="M442" i="1"/>
  <c r="J443" i="1"/>
  <c r="K443" i="1"/>
  <c r="L443" i="1"/>
  <c r="M443" i="1" s="1"/>
  <c r="J444" i="1"/>
  <c r="K444" i="1"/>
  <c r="L444" i="1"/>
  <c r="M444" i="1" s="1"/>
  <c r="J445" i="1"/>
  <c r="K445" i="1"/>
  <c r="L445" i="1"/>
  <c r="M445" i="1" s="1"/>
  <c r="J446" i="1"/>
  <c r="K446" i="1"/>
  <c r="L446" i="1"/>
  <c r="M446" i="1"/>
  <c r="J447" i="1"/>
  <c r="K447" i="1"/>
  <c r="L447" i="1"/>
  <c r="M447" i="1"/>
  <c r="J448" i="1"/>
  <c r="K448" i="1"/>
  <c r="L448" i="1"/>
  <c r="M448" i="1" s="1"/>
  <c r="J449" i="1"/>
  <c r="K449" i="1"/>
  <c r="L449" i="1"/>
  <c r="M449" i="1" s="1"/>
  <c r="J450" i="1"/>
  <c r="K450" i="1"/>
  <c r="L450" i="1"/>
  <c r="M450" i="1"/>
  <c r="J451" i="1"/>
  <c r="K451" i="1"/>
  <c r="L451" i="1"/>
  <c r="M451" i="1" s="1"/>
  <c r="J452" i="1"/>
  <c r="K452" i="1"/>
  <c r="L452" i="1"/>
  <c r="M452" i="1" s="1"/>
  <c r="J453" i="1"/>
  <c r="K453" i="1"/>
  <c r="L453" i="1"/>
  <c r="M453" i="1" s="1"/>
  <c r="J454" i="1"/>
  <c r="K454" i="1"/>
  <c r="L454" i="1"/>
  <c r="M454" i="1"/>
  <c r="J455" i="1"/>
  <c r="K455" i="1"/>
  <c r="L455" i="1"/>
  <c r="M455" i="1"/>
  <c r="J456" i="1"/>
  <c r="K456" i="1"/>
  <c r="L456" i="1"/>
  <c r="M456" i="1" s="1"/>
  <c r="J457" i="1"/>
  <c r="K457" i="1"/>
  <c r="L457" i="1"/>
  <c r="M457" i="1" s="1"/>
  <c r="J458" i="1"/>
  <c r="K458" i="1"/>
  <c r="L458" i="1"/>
  <c r="M458" i="1"/>
  <c r="J459" i="1"/>
  <c r="K459" i="1"/>
  <c r="L459" i="1"/>
  <c r="M459" i="1" s="1"/>
  <c r="J460" i="1"/>
  <c r="K460" i="1"/>
  <c r="L460" i="1"/>
  <c r="M460" i="1" s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 s="1"/>
  <c r="J465" i="1"/>
  <c r="K465" i="1"/>
  <c r="L465" i="1"/>
  <c r="M465" i="1" s="1"/>
  <c r="J466" i="1"/>
  <c r="K466" i="1"/>
  <c r="L466" i="1"/>
  <c r="M466" i="1"/>
  <c r="J467" i="1"/>
  <c r="K467" i="1"/>
  <c r="L467" i="1"/>
  <c r="M467" i="1"/>
  <c r="J468" i="1"/>
  <c r="K468" i="1"/>
  <c r="L468" i="1"/>
  <c r="M468" i="1" s="1"/>
  <c r="J469" i="1"/>
  <c r="K469" i="1"/>
  <c r="L469" i="1"/>
  <c r="M469" i="1"/>
  <c r="J470" i="1"/>
  <c r="K470" i="1"/>
  <c r="L470" i="1"/>
  <c r="M470" i="1" s="1"/>
  <c r="J471" i="1"/>
  <c r="K471" i="1"/>
  <c r="L471" i="1"/>
  <c r="M471" i="1" s="1"/>
  <c r="J472" i="1"/>
  <c r="K472" i="1"/>
  <c r="L472" i="1"/>
  <c r="M472" i="1" s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6" i="1"/>
  <c r="K476" i="1"/>
  <c r="L476" i="1"/>
  <c r="M476" i="1" s="1"/>
  <c r="J477" i="1"/>
  <c r="K477" i="1"/>
  <c r="L477" i="1"/>
  <c r="M477" i="1"/>
  <c r="J478" i="1"/>
  <c r="K478" i="1"/>
  <c r="L478" i="1"/>
  <c r="M478" i="1" s="1"/>
  <c r="J479" i="1"/>
  <c r="K479" i="1"/>
  <c r="L479" i="1"/>
  <c r="M479" i="1" s="1"/>
  <c r="J480" i="1"/>
  <c r="K480" i="1"/>
  <c r="L480" i="1"/>
  <c r="M480" i="1" s="1"/>
  <c r="J481" i="1"/>
  <c r="K481" i="1"/>
  <c r="L481" i="1"/>
  <c r="M481" i="1" s="1"/>
  <c r="J482" i="1"/>
  <c r="K482" i="1"/>
  <c r="L482" i="1"/>
  <c r="M482" i="1"/>
  <c r="J483" i="1"/>
  <c r="K483" i="1"/>
  <c r="L483" i="1"/>
  <c r="M483" i="1"/>
  <c r="J484" i="1"/>
  <c r="K484" i="1"/>
  <c r="L484" i="1"/>
  <c r="M484" i="1" s="1"/>
  <c r="J485" i="1"/>
  <c r="K485" i="1"/>
  <c r="L485" i="1"/>
  <c r="M485" i="1"/>
  <c r="J486" i="1"/>
  <c r="K486" i="1"/>
  <c r="L486" i="1"/>
  <c r="M486" i="1"/>
  <c r="J487" i="1"/>
  <c r="K487" i="1"/>
  <c r="L487" i="1"/>
  <c r="M487" i="1" s="1"/>
  <c r="J488" i="1"/>
  <c r="K488" i="1"/>
  <c r="L488" i="1"/>
  <c r="M488" i="1" s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 s="1"/>
  <c r="J493" i="1"/>
  <c r="K493" i="1"/>
  <c r="L493" i="1"/>
  <c r="M493" i="1" s="1"/>
  <c r="J494" i="1"/>
  <c r="K494" i="1"/>
  <c r="L494" i="1"/>
  <c r="M494" i="1"/>
  <c r="J495" i="1"/>
  <c r="K495" i="1"/>
  <c r="L495" i="1"/>
  <c r="M495" i="1"/>
  <c r="J496" i="1"/>
  <c r="K496" i="1"/>
  <c r="L496" i="1"/>
  <c r="M496" i="1" s="1"/>
  <c r="J497" i="1"/>
  <c r="K497" i="1"/>
  <c r="L497" i="1"/>
  <c r="M497" i="1"/>
  <c r="J498" i="1"/>
  <c r="K498" i="1"/>
  <c r="L498" i="1"/>
  <c r="M498" i="1"/>
  <c r="J499" i="1"/>
  <c r="K499" i="1"/>
  <c r="L499" i="1"/>
  <c r="M499" i="1"/>
  <c r="J500" i="1"/>
  <c r="K500" i="1"/>
  <c r="L500" i="1"/>
  <c r="M500" i="1" s="1"/>
  <c r="J501" i="1"/>
  <c r="K501" i="1"/>
  <c r="L501" i="1"/>
  <c r="M501" i="1" s="1"/>
  <c r="J502" i="1"/>
  <c r="K502" i="1"/>
  <c r="L502" i="1"/>
  <c r="M502" i="1"/>
  <c r="J503" i="1"/>
  <c r="K503" i="1"/>
  <c r="L503" i="1"/>
  <c r="M503" i="1"/>
  <c r="J504" i="1"/>
  <c r="K504" i="1"/>
  <c r="L504" i="1"/>
  <c r="M504" i="1" s="1"/>
  <c r="J505" i="1"/>
  <c r="K505" i="1"/>
  <c r="L505" i="1"/>
  <c r="M505" i="1"/>
  <c r="J506" i="1"/>
  <c r="K506" i="1"/>
  <c r="L506" i="1"/>
  <c r="M506" i="1" s="1"/>
  <c r="J507" i="1"/>
  <c r="K507" i="1"/>
  <c r="L507" i="1"/>
  <c r="M507" i="1" s="1"/>
  <c r="J508" i="1"/>
  <c r="K508" i="1"/>
  <c r="L508" i="1"/>
  <c r="M508" i="1" s="1"/>
  <c r="J509" i="1"/>
  <c r="K509" i="1"/>
  <c r="L509" i="1"/>
  <c r="M509" i="1" s="1"/>
  <c r="J510" i="1"/>
  <c r="K510" i="1"/>
  <c r="L510" i="1"/>
  <c r="M510" i="1" s="1"/>
  <c r="J511" i="1"/>
  <c r="K511" i="1"/>
  <c r="L511" i="1"/>
  <c r="M511" i="1"/>
  <c r="J512" i="1"/>
  <c r="K512" i="1"/>
  <c r="L512" i="1"/>
  <c r="M512" i="1" s="1"/>
  <c r="J513" i="1"/>
  <c r="K513" i="1"/>
  <c r="L513" i="1"/>
  <c r="M513" i="1"/>
  <c r="J514" i="1"/>
  <c r="K514" i="1"/>
  <c r="L514" i="1"/>
  <c r="M514" i="1"/>
  <c r="J515" i="1"/>
  <c r="K515" i="1"/>
  <c r="L515" i="1"/>
  <c r="M515" i="1" s="1"/>
  <c r="J516" i="1"/>
  <c r="K516" i="1"/>
  <c r="L516" i="1"/>
  <c r="M516" i="1" s="1"/>
  <c r="J517" i="1"/>
  <c r="K517" i="1"/>
  <c r="L517" i="1"/>
  <c r="M517" i="1"/>
  <c r="J518" i="1"/>
  <c r="K518" i="1"/>
  <c r="L518" i="1"/>
  <c r="M518" i="1" s="1"/>
  <c r="J519" i="1"/>
  <c r="K519" i="1"/>
  <c r="L519" i="1"/>
  <c r="M519" i="1" s="1"/>
  <c r="J520" i="1"/>
  <c r="K520" i="1"/>
  <c r="L520" i="1"/>
  <c r="M520" i="1" s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 s="1"/>
  <c r="J525" i="1"/>
  <c r="K525" i="1"/>
  <c r="L525" i="1"/>
  <c r="M525" i="1"/>
  <c r="J526" i="1"/>
  <c r="K526" i="1"/>
  <c r="L526" i="1"/>
  <c r="M526" i="1" s="1"/>
  <c r="J527" i="1"/>
  <c r="K527" i="1"/>
  <c r="L527" i="1"/>
  <c r="M527" i="1" s="1"/>
  <c r="J528" i="1"/>
  <c r="K528" i="1"/>
  <c r="L528" i="1"/>
  <c r="M528" i="1" s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 s="1"/>
  <c r="J533" i="1"/>
  <c r="K533" i="1"/>
  <c r="L533" i="1"/>
  <c r="M533" i="1" s="1"/>
  <c r="J534" i="1"/>
  <c r="K534" i="1"/>
  <c r="L534" i="1"/>
  <c r="M534" i="1"/>
  <c r="J535" i="1"/>
  <c r="K535" i="1"/>
  <c r="L535" i="1"/>
  <c r="M535" i="1" s="1"/>
  <c r="J536" i="1"/>
  <c r="K536" i="1"/>
  <c r="L536" i="1"/>
  <c r="M536" i="1" s="1"/>
  <c r="J537" i="1"/>
  <c r="K537" i="1"/>
  <c r="L537" i="1"/>
  <c r="M537" i="1"/>
  <c r="J538" i="1"/>
  <c r="K538" i="1"/>
  <c r="L538" i="1"/>
  <c r="M538" i="1"/>
  <c r="J539" i="1"/>
  <c r="K539" i="1"/>
  <c r="L539" i="1"/>
  <c r="M539" i="1" s="1"/>
  <c r="J540" i="1"/>
  <c r="K540" i="1"/>
  <c r="L540" i="1"/>
  <c r="M540" i="1"/>
  <c r="J541" i="1"/>
  <c r="K541" i="1"/>
  <c r="L541" i="1"/>
  <c r="M541" i="1" s="1"/>
  <c r="J542" i="1"/>
  <c r="K542" i="1"/>
  <c r="L542" i="1"/>
  <c r="M542" i="1" s="1"/>
  <c r="J543" i="1"/>
  <c r="K543" i="1"/>
  <c r="L543" i="1"/>
  <c r="M543" i="1" s="1"/>
  <c r="J544" i="1"/>
  <c r="K544" i="1"/>
  <c r="L544" i="1"/>
  <c r="M544" i="1"/>
  <c r="J545" i="1"/>
  <c r="K545" i="1"/>
  <c r="L545" i="1"/>
  <c r="M545" i="1" s="1"/>
  <c r="J546" i="1"/>
  <c r="K546" i="1"/>
  <c r="L546" i="1"/>
  <c r="M546" i="1"/>
  <c r="J547" i="1"/>
  <c r="K547" i="1"/>
  <c r="L547" i="1"/>
  <c r="M547" i="1" s="1"/>
  <c r="J548" i="1"/>
  <c r="K548" i="1"/>
  <c r="L548" i="1"/>
  <c r="M548" i="1"/>
  <c r="J549" i="1"/>
  <c r="K549" i="1"/>
  <c r="L549" i="1"/>
  <c r="M549" i="1"/>
  <c r="J550" i="1"/>
  <c r="K550" i="1"/>
  <c r="L550" i="1"/>
  <c r="M550" i="1" s="1"/>
  <c r="J551" i="1"/>
  <c r="K551" i="1"/>
  <c r="L551" i="1"/>
  <c r="M551" i="1" s="1"/>
  <c r="J552" i="1"/>
  <c r="K552" i="1"/>
  <c r="L552" i="1"/>
  <c r="M552" i="1"/>
  <c r="J553" i="1"/>
  <c r="K553" i="1"/>
  <c r="L553" i="1"/>
  <c r="M553" i="1" s="1"/>
  <c r="J554" i="1"/>
  <c r="K554" i="1"/>
  <c r="L554" i="1"/>
  <c r="M554" i="1"/>
  <c r="J555" i="1"/>
  <c r="K555" i="1"/>
  <c r="L555" i="1"/>
  <c r="M555" i="1" s="1"/>
  <c r="J556" i="1"/>
  <c r="K556" i="1"/>
  <c r="L556" i="1"/>
  <c r="M556" i="1"/>
  <c r="J557" i="1"/>
  <c r="K557" i="1"/>
  <c r="L557" i="1"/>
  <c r="M557" i="1" s="1"/>
  <c r="J558" i="1"/>
  <c r="K558" i="1"/>
  <c r="L558" i="1"/>
  <c r="M558" i="1"/>
  <c r="J559" i="1"/>
  <c r="K559" i="1"/>
  <c r="L559" i="1"/>
  <c r="M559" i="1" s="1"/>
  <c r="J560" i="1"/>
  <c r="K560" i="1"/>
  <c r="L560" i="1"/>
  <c r="M560" i="1" s="1"/>
  <c r="J561" i="1"/>
  <c r="K561" i="1"/>
  <c r="L561" i="1"/>
  <c r="M561" i="1"/>
  <c r="J562" i="1"/>
  <c r="K562" i="1"/>
  <c r="L562" i="1"/>
  <c r="M562" i="1" s="1"/>
  <c r="J563" i="1"/>
  <c r="K563" i="1"/>
  <c r="L563" i="1"/>
  <c r="M563" i="1" s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 s="1"/>
  <c r="J568" i="1"/>
  <c r="K568" i="1"/>
  <c r="L568" i="1"/>
  <c r="M568" i="1" s="1"/>
  <c r="J569" i="1"/>
  <c r="K569" i="1"/>
  <c r="L569" i="1"/>
  <c r="M569" i="1"/>
  <c r="J570" i="1"/>
  <c r="K570" i="1"/>
  <c r="L570" i="1"/>
  <c r="M570" i="1" s="1"/>
  <c r="J571" i="1"/>
  <c r="K571" i="1"/>
  <c r="L571" i="1"/>
  <c r="M571" i="1" s="1"/>
  <c r="J572" i="1"/>
  <c r="K572" i="1"/>
  <c r="L572" i="1"/>
  <c r="M572" i="1" s="1"/>
  <c r="J573" i="1"/>
  <c r="K573" i="1"/>
  <c r="L573" i="1"/>
  <c r="M573" i="1" s="1"/>
  <c r="J574" i="1"/>
  <c r="K574" i="1"/>
  <c r="L574" i="1"/>
  <c r="M574" i="1"/>
  <c r="J575" i="1"/>
  <c r="K575" i="1"/>
  <c r="L575" i="1"/>
  <c r="M575" i="1" s="1"/>
  <c r="J576" i="1"/>
  <c r="K576" i="1"/>
  <c r="L576" i="1"/>
  <c r="M576" i="1"/>
  <c r="J577" i="1"/>
  <c r="K577" i="1"/>
  <c r="L577" i="1"/>
  <c r="M577" i="1"/>
  <c r="J578" i="1"/>
  <c r="K578" i="1"/>
  <c r="L578" i="1"/>
  <c r="M578" i="1" s="1"/>
  <c r="J579" i="1"/>
  <c r="K579" i="1"/>
  <c r="L579" i="1"/>
  <c r="M579" i="1" s="1"/>
  <c r="J580" i="1"/>
  <c r="K580" i="1"/>
  <c r="L580" i="1"/>
  <c r="M580" i="1"/>
  <c r="J581" i="1"/>
  <c r="K581" i="1"/>
  <c r="L581" i="1"/>
  <c r="M581" i="1"/>
  <c r="J582" i="1"/>
  <c r="K582" i="1"/>
  <c r="L582" i="1"/>
  <c r="M582" i="1"/>
  <c r="J583" i="1"/>
  <c r="K583" i="1"/>
  <c r="L583" i="1"/>
  <c r="M583" i="1" s="1"/>
  <c r="J584" i="1"/>
  <c r="K584" i="1"/>
  <c r="L584" i="1"/>
  <c r="M584" i="1"/>
  <c r="J585" i="1"/>
  <c r="K585" i="1"/>
  <c r="L585" i="1"/>
  <c r="M585" i="1" s="1"/>
  <c r="J586" i="1"/>
  <c r="K586" i="1"/>
  <c r="L586" i="1"/>
  <c r="M586" i="1"/>
  <c r="J587" i="1"/>
  <c r="K587" i="1"/>
  <c r="L587" i="1"/>
  <c r="M587" i="1" s="1"/>
  <c r="J588" i="1"/>
  <c r="K588" i="1"/>
  <c r="L588" i="1"/>
  <c r="M588" i="1"/>
  <c r="J589" i="1"/>
  <c r="K589" i="1"/>
  <c r="L589" i="1"/>
  <c r="M589" i="1" s="1"/>
  <c r="J590" i="1"/>
  <c r="K590" i="1"/>
  <c r="L590" i="1"/>
  <c r="M590" i="1"/>
  <c r="J591" i="1"/>
  <c r="K591" i="1"/>
  <c r="L591" i="1"/>
  <c r="M591" i="1" s="1"/>
  <c r="J592" i="1"/>
  <c r="K592" i="1"/>
  <c r="L592" i="1"/>
  <c r="M592" i="1" s="1"/>
  <c r="J593" i="1"/>
  <c r="K593" i="1"/>
  <c r="L593" i="1"/>
  <c r="M593" i="1"/>
  <c r="J594" i="1"/>
  <c r="K594" i="1"/>
  <c r="L594" i="1"/>
  <c r="M594" i="1" s="1"/>
  <c r="J595" i="1"/>
  <c r="K595" i="1"/>
  <c r="L595" i="1"/>
  <c r="M595" i="1" s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599" i="1"/>
  <c r="K599" i="1"/>
  <c r="L599" i="1"/>
  <c r="M599" i="1" s="1"/>
  <c r="J600" i="1"/>
  <c r="K600" i="1"/>
  <c r="L600" i="1"/>
  <c r="M600" i="1" s="1"/>
  <c r="J601" i="1"/>
  <c r="K601" i="1"/>
  <c r="L601" i="1"/>
  <c r="M601" i="1"/>
  <c r="J602" i="1"/>
  <c r="K602" i="1"/>
  <c r="L602" i="1"/>
  <c r="M602" i="1"/>
  <c r="J603" i="1"/>
  <c r="K603" i="1"/>
  <c r="L603" i="1"/>
  <c r="M603" i="1" s="1"/>
  <c r="J604" i="1"/>
  <c r="K604" i="1"/>
  <c r="L604" i="1"/>
  <c r="M604" i="1"/>
  <c r="J605" i="1"/>
  <c r="K605" i="1"/>
  <c r="L605" i="1"/>
  <c r="M605" i="1"/>
  <c r="J606" i="1"/>
  <c r="K606" i="1"/>
  <c r="L606" i="1"/>
  <c r="M606" i="1" s="1"/>
  <c r="J607" i="1"/>
  <c r="K607" i="1"/>
  <c r="L607" i="1"/>
  <c r="M607" i="1" s="1"/>
  <c r="J608" i="1"/>
  <c r="K608" i="1"/>
  <c r="L608" i="1"/>
  <c r="M608" i="1"/>
  <c r="J609" i="1"/>
  <c r="K609" i="1"/>
  <c r="L609" i="1"/>
  <c r="M609" i="1" s="1"/>
  <c r="J610" i="1"/>
  <c r="K610" i="1"/>
  <c r="L610" i="1"/>
  <c r="M610" i="1"/>
  <c r="J611" i="1"/>
  <c r="K611" i="1"/>
  <c r="L611" i="1"/>
  <c r="M611" i="1" s="1"/>
  <c r="J612" i="1"/>
  <c r="K612" i="1"/>
  <c r="L612" i="1"/>
  <c r="M612" i="1" s="1"/>
  <c r="J613" i="1"/>
  <c r="K613" i="1"/>
  <c r="L613" i="1"/>
  <c r="M613" i="1"/>
  <c r="J614" i="1"/>
  <c r="K614" i="1"/>
  <c r="L614" i="1"/>
  <c r="M614" i="1"/>
  <c r="J615" i="1"/>
  <c r="K615" i="1"/>
  <c r="L615" i="1"/>
  <c r="M615" i="1" s="1"/>
  <c r="J616" i="1"/>
  <c r="K616" i="1"/>
  <c r="L616" i="1"/>
  <c r="M616" i="1"/>
  <c r="J617" i="1"/>
  <c r="K617" i="1"/>
  <c r="L617" i="1"/>
  <c r="M617" i="1" s="1"/>
  <c r="J618" i="1"/>
  <c r="K618" i="1"/>
  <c r="L618" i="1"/>
  <c r="M618" i="1" s="1"/>
  <c r="J619" i="1"/>
  <c r="K619" i="1"/>
  <c r="L619" i="1"/>
  <c r="M619" i="1" s="1"/>
  <c r="J620" i="1"/>
  <c r="K620" i="1"/>
  <c r="L620" i="1"/>
  <c r="M620" i="1"/>
  <c r="J621" i="1"/>
  <c r="K621" i="1"/>
  <c r="L621" i="1"/>
  <c r="M621" i="1"/>
  <c r="J622" i="1"/>
  <c r="K622" i="1"/>
  <c r="L622" i="1"/>
  <c r="M622" i="1"/>
  <c r="J623" i="1"/>
  <c r="K623" i="1"/>
  <c r="L623" i="1"/>
  <c r="M623" i="1" s="1"/>
  <c r="J624" i="1"/>
  <c r="K624" i="1"/>
  <c r="L624" i="1"/>
  <c r="M624" i="1"/>
  <c r="J625" i="1"/>
  <c r="K625" i="1"/>
  <c r="L625" i="1"/>
  <c r="M625" i="1" s="1"/>
  <c r="J626" i="1"/>
  <c r="K626" i="1"/>
  <c r="L626" i="1"/>
  <c r="M626" i="1" s="1"/>
  <c r="J627" i="1"/>
  <c r="K627" i="1"/>
  <c r="L627" i="1"/>
  <c r="M627" i="1" s="1"/>
  <c r="J628" i="1"/>
  <c r="K628" i="1"/>
  <c r="L628" i="1"/>
  <c r="M628" i="1"/>
  <c r="J629" i="1"/>
  <c r="K629" i="1"/>
  <c r="L629" i="1"/>
  <c r="M629" i="1"/>
  <c r="J630" i="1"/>
  <c r="K630" i="1"/>
  <c r="L630" i="1"/>
  <c r="M630" i="1"/>
  <c r="J631" i="1"/>
  <c r="K631" i="1"/>
  <c r="L631" i="1"/>
  <c r="M631" i="1" s="1"/>
  <c r="J632" i="1"/>
  <c r="K632" i="1"/>
  <c r="L632" i="1"/>
  <c r="M632" i="1"/>
  <c r="J633" i="1"/>
  <c r="K633" i="1"/>
  <c r="L633" i="1"/>
  <c r="M633" i="1"/>
  <c r="J634" i="1"/>
  <c r="K634" i="1"/>
  <c r="L634" i="1"/>
  <c r="M634" i="1" s="1"/>
  <c r="J635" i="1"/>
  <c r="K635" i="1"/>
  <c r="L635" i="1"/>
  <c r="M635" i="1" s="1"/>
  <c r="J636" i="1"/>
  <c r="K636" i="1"/>
  <c r="L636" i="1"/>
  <c r="M636" i="1" s="1"/>
  <c r="J637" i="1"/>
  <c r="K637" i="1"/>
  <c r="L637" i="1"/>
  <c r="M637" i="1" s="1"/>
  <c r="J638" i="1"/>
  <c r="K638" i="1"/>
  <c r="L638" i="1"/>
  <c r="M638" i="1"/>
  <c r="J639" i="1"/>
  <c r="K639" i="1"/>
  <c r="L639" i="1"/>
  <c r="M639" i="1" s="1"/>
  <c r="J640" i="1"/>
  <c r="K640" i="1"/>
  <c r="L640" i="1"/>
  <c r="M640" i="1"/>
  <c r="J641" i="1"/>
  <c r="K641" i="1"/>
  <c r="L641" i="1"/>
  <c r="M641" i="1"/>
  <c r="J642" i="1"/>
  <c r="K642" i="1"/>
  <c r="L642" i="1"/>
  <c r="M642" i="1"/>
  <c r="J643" i="1"/>
  <c r="K643" i="1"/>
  <c r="L643" i="1"/>
  <c r="M643" i="1" s="1"/>
  <c r="J644" i="1"/>
  <c r="K644" i="1"/>
  <c r="L644" i="1"/>
  <c r="M644" i="1" s="1"/>
  <c r="J645" i="1"/>
  <c r="K645" i="1"/>
  <c r="L645" i="1"/>
  <c r="M645" i="1"/>
  <c r="J646" i="1"/>
  <c r="K646" i="1"/>
  <c r="L646" i="1"/>
  <c r="M646" i="1"/>
  <c r="J647" i="1"/>
  <c r="K647" i="1"/>
  <c r="L647" i="1"/>
  <c r="M647" i="1" s="1"/>
  <c r="J648" i="1"/>
  <c r="K648" i="1"/>
  <c r="L648" i="1"/>
  <c r="M648" i="1"/>
  <c r="J649" i="1"/>
  <c r="K649" i="1"/>
  <c r="L649" i="1"/>
  <c r="M649" i="1" s="1"/>
  <c r="J650" i="1"/>
  <c r="K650" i="1"/>
  <c r="L650" i="1"/>
  <c r="M650" i="1"/>
  <c r="J651" i="1"/>
  <c r="K651" i="1"/>
  <c r="L651" i="1"/>
  <c r="M651" i="1" s="1"/>
  <c r="J652" i="1"/>
  <c r="K652" i="1"/>
  <c r="L652" i="1"/>
  <c r="M652" i="1"/>
  <c r="J653" i="1"/>
  <c r="K653" i="1"/>
  <c r="L653" i="1"/>
  <c r="M653" i="1" s="1"/>
  <c r="J654" i="1"/>
  <c r="K654" i="1"/>
  <c r="L654" i="1"/>
  <c r="M654" i="1"/>
  <c r="J655" i="1"/>
  <c r="K655" i="1"/>
  <c r="L655" i="1"/>
  <c r="M655" i="1" s="1"/>
  <c r="J656" i="1"/>
  <c r="K656" i="1"/>
  <c r="L656" i="1"/>
  <c r="M656" i="1" s="1"/>
  <c r="J657" i="1"/>
  <c r="K657" i="1"/>
  <c r="L657" i="1"/>
  <c r="M657" i="1"/>
  <c r="J658" i="1"/>
  <c r="K658" i="1"/>
  <c r="L658" i="1"/>
  <c r="M658" i="1" s="1"/>
  <c r="J659" i="1"/>
  <c r="K659" i="1"/>
  <c r="L659" i="1"/>
  <c r="M659" i="1" s="1"/>
  <c r="J660" i="1"/>
  <c r="K660" i="1"/>
  <c r="L660" i="1"/>
  <c r="M660" i="1"/>
  <c r="J661" i="1"/>
  <c r="K661" i="1"/>
  <c r="L661" i="1"/>
  <c r="M661" i="1"/>
  <c r="J662" i="1"/>
  <c r="K662" i="1"/>
  <c r="L662" i="1"/>
  <c r="M662" i="1"/>
  <c r="J663" i="1"/>
  <c r="K663" i="1"/>
  <c r="L663" i="1"/>
  <c r="M663" i="1" s="1"/>
  <c r="J664" i="1"/>
  <c r="K664" i="1"/>
  <c r="L664" i="1"/>
  <c r="M664" i="1" s="1"/>
  <c r="J665" i="1"/>
  <c r="K665" i="1"/>
  <c r="L665" i="1"/>
  <c r="M665" i="1"/>
  <c r="J666" i="1"/>
  <c r="K666" i="1"/>
  <c r="L666" i="1"/>
  <c r="M666" i="1" s="1"/>
  <c r="J667" i="1"/>
  <c r="K667" i="1"/>
  <c r="L667" i="1"/>
  <c r="M667" i="1" s="1"/>
  <c r="J668" i="1"/>
  <c r="K668" i="1"/>
  <c r="L668" i="1"/>
  <c r="M668" i="1"/>
  <c r="J669" i="1"/>
  <c r="K669" i="1"/>
  <c r="L669" i="1"/>
  <c r="M669" i="1"/>
  <c r="J670" i="1"/>
  <c r="K670" i="1"/>
  <c r="L670" i="1"/>
  <c r="M670" i="1" s="1"/>
  <c r="J671" i="1"/>
  <c r="K671" i="1"/>
  <c r="L671" i="1"/>
  <c r="M671" i="1"/>
  <c r="J672" i="1"/>
  <c r="K672" i="1"/>
  <c r="L672" i="1"/>
  <c r="M672" i="1" s="1"/>
  <c r="J673" i="1"/>
  <c r="K673" i="1"/>
  <c r="L673" i="1"/>
  <c r="M673" i="1"/>
  <c r="J674" i="1"/>
  <c r="K674" i="1"/>
  <c r="L674" i="1"/>
  <c r="M674" i="1" s="1"/>
  <c r="J675" i="1"/>
  <c r="K675" i="1"/>
  <c r="L675" i="1"/>
  <c r="M675" i="1" s="1"/>
  <c r="J676" i="1"/>
  <c r="K676" i="1"/>
  <c r="L676" i="1"/>
  <c r="M676" i="1"/>
  <c r="J677" i="1"/>
  <c r="K677" i="1"/>
  <c r="L677" i="1"/>
  <c r="M677" i="1"/>
  <c r="J678" i="1"/>
  <c r="K678" i="1"/>
  <c r="L678" i="1"/>
  <c r="M678" i="1" s="1"/>
  <c r="J679" i="1"/>
  <c r="K679" i="1"/>
  <c r="L679" i="1"/>
  <c r="M679" i="1"/>
  <c r="J680" i="1"/>
  <c r="K680" i="1"/>
  <c r="L680" i="1"/>
  <c r="M680" i="1" s="1"/>
  <c r="J681" i="1"/>
  <c r="K681" i="1"/>
  <c r="L681" i="1"/>
  <c r="M681" i="1"/>
  <c r="J682" i="1"/>
  <c r="K682" i="1"/>
  <c r="L682" i="1"/>
  <c r="M682" i="1" s="1"/>
  <c r="J683" i="1"/>
  <c r="K683" i="1"/>
  <c r="L683" i="1"/>
  <c r="M683" i="1" s="1"/>
  <c r="J684" i="1"/>
  <c r="K684" i="1"/>
  <c r="L684" i="1"/>
  <c r="M684" i="1"/>
  <c r="J685" i="1"/>
  <c r="K685" i="1"/>
  <c r="L685" i="1"/>
  <c r="M685" i="1"/>
  <c r="J686" i="1"/>
  <c r="K686" i="1"/>
  <c r="L686" i="1"/>
  <c r="M686" i="1" s="1"/>
  <c r="J687" i="1"/>
  <c r="K687" i="1"/>
  <c r="L687" i="1"/>
  <c r="M687" i="1"/>
  <c r="J688" i="1"/>
  <c r="K688" i="1"/>
  <c r="L688" i="1"/>
  <c r="M688" i="1" s="1"/>
  <c r="J689" i="1"/>
  <c r="K689" i="1"/>
  <c r="L689" i="1"/>
  <c r="M689" i="1"/>
  <c r="J690" i="1"/>
  <c r="K690" i="1"/>
  <c r="L690" i="1"/>
  <c r="M690" i="1" s="1"/>
  <c r="J691" i="1"/>
  <c r="K691" i="1"/>
  <c r="L691" i="1"/>
  <c r="M691" i="1"/>
  <c r="J692" i="1"/>
  <c r="K692" i="1"/>
  <c r="L692" i="1"/>
  <c r="M692" i="1"/>
  <c r="J693" i="1"/>
  <c r="K693" i="1"/>
  <c r="L693" i="1"/>
  <c r="M693" i="1" s="1"/>
  <c r="J694" i="1"/>
  <c r="K694" i="1"/>
  <c r="L694" i="1"/>
  <c r="M694" i="1" s="1"/>
  <c r="J695" i="1"/>
  <c r="K695" i="1"/>
  <c r="L695" i="1"/>
  <c r="M695" i="1"/>
  <c r="J696" i="1"/>
  <c r="K696" i="1"/>
  <c r="L696" i="1"/>
  <c r="M696" i="1"/>
  <c r="J697" i="1"/>
  <c r="K697" i="1"/>
  <c r="L697" i="1"/>
  <c r="M697" i="1"/>
  <c r="J698" i="1"/>
  <c r="K698" i="1"/>
  <c r="L698" i="1"/>
  <c r="M698" i="1" s="1"/>
  <c r="J699" i="1"/>
  <c r="K699" i="1"/>
  <c r="L699" i="1"/>
  <c r="M699" i="1"/>
  <c r="J700" i="1"/>
  <c r="K700" i="1"/>
  <c r="L700" i="1"/>
  <c r="M700" i="1" s="1"/>
  <c r="J701" i="1"/>
  <c r="K701" i="1"/>
  <c r="L701" i="1"/>
  <c r="M701" i="1" s="1"/>
  <c r="J702" i="1"/>
  <c r="K702" i="1"/>
  <c r="L702" i="1"/>
  <c r="M702" i="1" s="1"/>
  <c r="J703" i="1"/>
  <c r="K703" i="1"/>
  <c r="L703" i="1"/>
  <c r="M703" i="1"/>
  <c r="J704" i="1"/>
  <c r="K704" i="1"/>
  <c r="L704" i="1"/>
  <c r="M704" i="1" s="1"/>
  <c r="J705" i="1"/>
  <c r="K705" i="1"/>
  <c r="L705" i="1"/>
  <c r="M705" i="1"/>
  <c r="J706" i="1"/>
  <c r="K706" i="1"/>
  <c r="L706" i="1"/>
  <c r="M706" i="1" s="1"/>
  <c r="J707" i="1"/>
  <c r="K707" i="1"/>
  <c r="L707" i="1"/>
  <c r="M707" i="1"/>
  <c r="J708" i="1"/>
  <c r="K708" i="1"/>
  <c r="L708" i="1"/>
  <c r="M708" i="1"/>
  <c r="J709" i="1"/>
  <c r="K709" i="1"/>
  <c r="L709" i="1"/>
  <c r="M709" i="1" s="1"/>
  <c r="J710" i="1"/>
  <c r="K710" i="1"/>
  <c r="L710" i="1"/>
  <c r="M710" i="1" s="1"/>
  <c r="J711" i="1"/>
  <c r="K711" i="1"/>
  <c r="L711" i="1"/>
  <c r="M711" i="1"/>
  <c r="J712" i="1"/>
  <c r="K712" i="1"/>
  <c r="L712" i="1"/>
  <c r="M712" i="1"/>
  <c r="J713" i="1"/>
  <c r="K713" i="1"/>
  <c r="L713" i="1"/>
  <c r="M713" i="1"/>
  <c r="J714" i="1"/>
  <c r="K714" i="1"/>
  <c r="L714" i="1"/>
  <c r="M714" i="1" s="1"/>
  <c r="J715" i="1"/>
  <c r="K715" i="1"/>
  <c r="L715" i="1"/>
  <c r="M715" i="1" s="1"/>
  <c r="J716" i="1"/>
  <c r="K716" i="1"/>
  <c r="L716" i="1"/>
  <c r="M716" i="1"/>
  <c r="J717" i="1"/>
  <c r="K717" i="1"/>
  <c r="L717" i="1"/>
  <c r="M717" i="1"/>
  <c r="J718" i="1"/>
  <c r="K718" i="1"/>
  <c r="L718" i="1"/>
  <c r="M718" i="1" s="1"/>
  <c r="J719" i="1"/>
  <c r="K719" i="1"/>
  <c r="L719" i="1"/>
  <c r="M719" i="1" s="1"/>
  <c r="J720" i="1"/>
  <c r="K720" i="1"/>
  <c r="L720" i="1"/>
  <c r="M720" i="1"/>
  <c r="J721" i="1"/>
  <c r="K721" i="1"/>
  <c r="L721" i="1"/>
  <c r="M721" i="1"/>
  <c r="J722" i="1"/>
  <c r="K722" i="1"/>
  <c r="L722" i="1"/>
  <c r="M722" i="1" s="1"/>
  <c r="J723" i="1"/>
  <c r="K723" i="1"/>
  <c r="L723" i="1"/>
  <c r="M723" i="1" s="1"/>
  <c r="J724" i="1"/>
  <c r="K724" i="1"/>
  <c r="L724" i="1"/>
  <c r="M724" i="1"/>
  <c r="J725" i="1"/>
  <c r="K725" i="1"/>
  <c r="L725" i="1"/>
  <c r="M725" i="1"/>
  <c r="J726" i="1"/>
  <c r="K726" i="1"/>
  <c r="L726" i="1"/>
  <c r="M726" i="1" s="1"/>
  <c r="J727" i="1"/>
  <c r="K727" i="1"/>
  <c r="L727" i="1"/>
  <c r="M727" i="1"/>
  <c r="J728" i="1"/>
  <c r="K728" i="1"/>
  <c r="L728" i="1"/>
  <c r="M728" i="1" s="1"/>
  <c r="J729" i="1"/>
  <c r="K729" i="1"/>
  <c r="L729" i="1"/>
  <c r="M729" i="1"/>
  <c r="J730" i="1"/>
  <c r="K730" i="1"/>
  <c r="L730" i="1"/>
  <c r="M730" i="1" s="1"/>
  <c r="J731" i="1"/>
  <c r="K731" i="1"/>
  <c r="L731" i="1"/>
  <c r="M731" i="1"/>
  <c r="J732" i="1"/>
  <c r="K732" i="1"/>
  <c r="L732" i="1"/>
  <c r="M732" i="1"/>
  <c r="J733" i="1"/>
  <c r="K733" i="1"/>
  <c r="L733" i="1"/>
  <c r="M733" i="1"/>
  <c r="J734" i="1"/>
  <c r="K734" i="1"/>
  <c r="L734" i="1"/>
  <c r="M734" i="1" s="1"/>
  <c r="J735" i="1"/>
  <c r="K735" i="1"/>
  <c r="L735" i="1"/>
  <c r="M735" i="1" s="1"/>
  <c r="J736" i="1"/>
  <c r="K736" i="1"/>
  <c r="L736" i="1"/>
  <c r="M736" i="1" s="1"/>
  <c r="J737" i="1"/>
  <c r="K737" i="1"/>
  <c r="L737" i="1"/>
  <c r="M737" i="1"/>
  <c r="J807" i="1"/>
  <c r="K807" i="1"/>
  <c r="L807" i="1"/>
  <c r="M807" i="1"/>
  <c r="K3" i="1"/>
  <c r="L3" i="1"/>
  <c r="M3" i="1"/>
  <c r="O747" i="1" l="1"/>
  <c r="O802" i="1"/>
  <c r="O796" i="1"/>
  <c r="O770" i="1"/>
  <c r="O787" i="1"/>
  <c r="O764" i="1"/>
  <c r="O806" i="1"/>
  <c r="O748" i="1"/>
  <c r="O745" i="1"/>
  <c r="O742" i="1"/>
  <c r="O739" i="1"/>
  <c r="O800" i="1"/>
  <c r="O797" i="1"/>
  <c r="O788" i="1"/>
  <c r="O765" i="1"/>
  <c r="O767" i="1"/>
  <c r="O775" i="1"/>
  <c r="O743" i="1"/>
  <c r="O799" i="1"/>
  <c r="O783" i="1"/>
  <c r="M2" i="1"/>
  <c r="L2" i="1"/>
  <c r="O791" i="1"/>
  <c r="O751" i="1"/>
  <c r="O759" i="1"/>
  <c r="O308" i="1"/>
  <c r="O143" i="1"/>
  <c r="O735" i="1"/>
  <c r="O671" i="1"/>
  <c r="O432" i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O17" i="1" s="1"/>
  <c r="G18" i="1"/>
  <c r="O18" i="1" s="1"/>
  <c r="G19" i="1"/>
  <c r="O19" i="1" s="1"/>
  <c r="G20" i="1"/>
  <c r="O20" i="1" s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O33" i="1" s="1"/>
  <c r="G34" i="1"/>
  <c r="O34" i="1" s="1"/>
  <c r="G35" i="1"/>
  <c r="O35" i="1" s="1"/>
  <c r="G36" i="1"/>
  <c r="O36" i="1" s="1"/>
  <c r="G37" i="1"/>
  <c r="O37" i="1" s="1"/>
  <c r="G38" i="1"/>
  <c r="O38" i="1" s="1"/>
  <c r="G39" i="1"/>
  <c r="O39" i="1" s="1"/>
  <c r="G40" i="1"/>
  <c r="O40" i="1" s="1"/>
  <c r="G41" i="1"/>
  <c r="O41" i="1" s="1"/>
  <c r="G42" i="1"/>
  <c r="O42" i="1" s="1"/>
  <c r="G43" i="1"/>
  <c r="O43" i="1" s="1"/>
  <c r="G44" i="1"/>
  <c r="O44" i="1" s="1"/>
  <c r="G45" i="1"/>
  <c r="O45" i="1" s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O53" i="1" s="1"/>
  <c r="G54" i="1"/>
  <c r="O54" i="1" s="1"/>
  <c r="G55" i="1"/>
  <c r="O55" i="1" s="1"/>
  <c r="G56" i="1"/>
  <c r="O56" i="1" s="1"/>
  <c r="G57" i="1"/>
  <c r="O57" i="1" s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O73" i="1" s="1"/>
  <c r="G74" i="1"/>
  <c r="O74" i="1" s="1"/>
  <c r="G75" i="1"/>
  <c r="O75" i="1" s="1"/>
  <c r="G76" i="1"/>
  <c r="O76" i="1" s="1"/>
  <c r="G77" i="1"/>
  <c r="O77" i="1" s="1"/>
  <c r="G78" i="1"/>
  <c r="O78" i="1" s="1"/>
  <c r="G79" i="1"/>
  <c r="O79" i="1" s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O93" i="1" s="1"/>
  <c r="G94" i="1"/>
  <c r="O94" i="1" s="1"/>
  <c r="G95" i="1"/>
  <c r="O95" i="1" s="1"/>
  <c r="G96" i="1"/>
  <c r="O96" i="1" s="1"/>
  <c r="G97" i="1"/>
  <c r="O97" i="1" s="1"/>
  <c r="G98" i="1"/>
  <c r="O98" i="1" s="1"/>
  <c r="G99" i="1"/>
  <c r="O99" i="1" s="1"/>
  <c r="G100" i="1"/>
  <c r="O100" i="1" s="1"/>
  <c r="G101" i="1"/>
  <c r="O101" i="1" s="1"/>
  <c r="G102" i="1"/>
  <c r="O102" i="1" s="1"/>
  <c r="G103" i="1"/>
  <c r="O103" i="1" s="1"/>
  <c r="G104" i="1"/>
  <c r="O104" i="1" s="1"/>
  <c r="G105" i="1"/>
  <c r="O105" i="1" s="1"/>
  <c r="G106" i="1"/>
  <c r="O106" i="1" s="1"/>
  <c r="G107" i="1"/>
  <c r="O107" i="1" s="1"/>
  <c r="G108" i="1"/>
  <c r="O108" i="1" s="1"/>
  <c r="G109" i="1"/>
  <c r="O109" i="1" s="1"/>
  <c r="G110" i="1"/>
  <c r="O110" i="1" s="1"/>
  <c r="G111" i="1"/>
  <c r="O111" i="1" s="1"/>
  <c r="G112" i="1"/>
  <c r="O112" i="1" s="1"/>
  <c r="G113" i="1"/>
  <c r="O113" i="1" s="1"/>
  <c r="G114" i="1"/>
  <c r="O114" i="1" s="1"/>
  <c r="G115" i="1"/>
  <c r="O115" i="1" s="1"/>
  <c r="G116" i="1"/>
  <c r="O116" i="1" s="1"/>
  <c r="G117" i="1"/>
  <c r="O117" i="1" s="1"/>
  <c r="G118" i="1"/>
  <c r="O118" i="1" s="1"/>
  <c r="G119" i="1"/>
  <c r="O119" i="1" s="1"/>
  <c r="G120" i="1"/>
  <c r="O120" i="1" s="1"/>
  <c r="G121" i="1"/>
  <c r="O121" i="1" s="1"/>
  <c r="G122" i="1"/>
  <c r="O122" i="1" s="1"/>
  <c r="G123" i="1"/>
  <c r="O123" i="1" s="1"/>
  <c r="G124" i="1"/>
  <c r="O124" i="1" s="1"/>
  <c r="G125" i="1"/>
  <c r="O125" i="1" s="1"/>
  <c r="G126" i="1"/>
  <c r="O126" i="1" s="1"/>
  <c r="G127" i="1"/>
  <c r="O127" i="1" s="1"/>
  <c r="G128" i="1"/>
  <c r="O128" i="1" s="1"/>
  <c r="G129" i="1"/>
  <c r="O129" i="1" s="1"/>
  <c r="G130" i="1"/>
  <c r="O130" i="1" s="1"/>
  <c r="G131" i="1"/>
  <c r="O131" i="1" s="1"/>
  <c r="G132" i="1"/>
  <c r="O132" i="1" s="1"/>
  <c r="G133" i="1"/>
  <c r="O133" i="1" s="1"/>
  <c r="G134" i="1"/>
  <c r="O134" i="1" s="1"/>
  <c r="G135" i="1"/>
  <c r="O135" i="1" s="1"/>
  <c r="G136" i="1"/>
  <c r="O136" i="1" s="1"/>
  <c r="G137" i="1"/>
  <c r="O137" i="1" s="1"/>
  <c r="G138" i="1"/>
  <c r="O138" i="1" s="1"/>
  <c r="G139" i="1"/>
  <c r="O139" i="1" s="1"/>
  <c r="G140" i="1"/>
  <c r="O140" i="1" s="1"/>
  <c r="G141" i="1"/>
  <c r="O141" i="1" s="1"/>
  <c r="G142" i="1"/>
  <c r="O142" i="1" s="1"/>
  <c r="G143" i="1"/>
  <c r="G144" i="1"/>
  <c r="O144" i="1" s="1"/>
  <c r="G145" i="1"/>
  <c r="O145" i="1" s="1"/>
  <c r="G146" i="1"/>
  <c r="O146" i="1" s="1"/>
  <c r="G147" i="1"/>
  <c r="O147" i="1" s="1"/>
  <c r="G148" i="1"/>
  <c r="O148" i="1" s="1"/>
  <c r="G149" i="1"/>
  <c r="O149" i="1" s="1"/>
  <c r="G150" i="1"/>
  <c r="O150" i="1" s="1"/>
  <c r="G151" i="1"/>
  <c r="O151" i="1" s="1"/>
  <c r="G152" i="1"/>
  <c r="O152" i="1" s="1"/>
  <c r="G153" i="1"/>
  <c r="O153" i="1" s="1"/>
  <c r="G154" i="1"/>
  <c r="O154" i="1" s="1"/>
  <c r="G155" i="1"/>
  <c r="O155" i="1" s="1"/>
  <c r="G156" i="1"/>
  <c r="O156" i="1" s="1"/>
  <c r="G157" i="1"/>
  <c r="O157" i="1" s="1"/>
  <c r="G158" i="1"/>
  <c r="O158" i="1" s="1"/>
  <c r="G159" i="1"/>
  <c r="O159" i="1" s="1"/>
  <c r="G160" i="1"/>
  <c r="O160" i="1" s="1"/>
  <c r="G161" i="1"/>
  <c r="O161" i="1" s="1"/>
  <c r="G162" i="1"/>
  <c r="O162" i="1" s="1"/>
  <c r="G163" i="1"/>
  <c r="O163" i="1" s="1"/>
  <c r="G164" i="1"/>
  <c r="O164" i="1" s="1"/>
  <c r="G165" i="1"/>
  <c r="O165" i="1" s="1"/>
  <c r="G166" i="1"/>
  <c r="O166" i="1" s="1"/>
  <c r="G167" i="1"/>
  <c r="O167" i="1" s="1"/>
  <c r="G168" i="1"/>
  <c r="O168" i="1" s="1"/>
  <c r="G169" i="1"/>
  <c r="O169" i="1" s="1"/>
  <c r="G170" i="1"/>
  <c r="O170" i="1" s="1"/>
  <c r="G171" i="1"/>
  <c r="O171" i="1" s="1"/>
  <c r="G172" i="1"/>
  <c r="O172" i="1" s="1"/>
  <c r="G173" i="1"/>
  <c r="O173" i="1" s="1"/>
  <c r="G174" i="1"/>
  <c r="O174" i="1" s="1"/>
  <c r="G175" i="1"/>
  <c r="O175" i="1" s="1"/>
  <c r="G176" i="1"/>
  <c r="O176" i="1" s="1"/>
  <c r="G177" i="1"/>
  <c r="O177" i="1" s="1"/>
  <c r="G178" i="1"/>
  <c r="O178" i="1" s="1"/>
  <c r="G179" i="1"/>
  <c r="O179" i="1" s="1"/>
  <c r="G180" i="1"/>
  <c r="O180" i="1" s="1"/>
  <c r="G181" i="1"/>
  <c r="O181" i="1" s="1"/>
  <c r="G182" i="1"/>
  <c r="O182" i="1" s="1"/>
  <c r="G183" i="1"/>
  <c r="O183" i="1" s="1"/>
  <c r="G184" i="1"/>
  <c r="O184" i="1" s="1"/>
  <c r="G185" i="1"/>
  <c r="O185" i="1" s="1"/>
  <c r="G186" i="1"/>
  <c r="O186" i="1" s="1"/>
  <c r="G187" i="1"/>
  <c r="O187" i="1" s="1"/>
  <c r="G188" i="1"/>
  <c r="O188" i="1" s="1"/>
  <c r="G189" i="1"/>
  <c r="O189" i="1" s="1"/>
  <c r="G190" i="1"/>
  <c r="O190" i="1" s="1"/>
  <c r="G191" i="1"/>
  <c r="O191" i="1" s="1"/>
  <c r="G192" i="1"/>
  <c r="O192" i="1" s="1"/>
  <c r="G193" i="1"/>
  <c r="O193" i="1" s="1"/>
  <c r="G194" i="1"/>
  <c r="O194" i="1" s="1"/>
  <c r="G195" i="1"/>
  <c r="O195" i="1" s="1"/>
  <c r="G196" i="1"/>
  <c r="O196" i="1" s="1"/>
  <c r="G197" i="1"/>
  <c r="O197" i="1" s="1"/>
  <c r="G198" i="1"/>
  <c r="O198" i="1" s="1"/>
  <c r="G199" i="1"/>
  <c r="O199" i="1" s="1"/>
  <c r="G200" i="1"/>
  <c r="O200" i="1" s="1"/>
  <c r="G201" i="1"/>
  <c r="O201" i="1" s="1"/>
  <c r="G202" i="1"/>
  <c r="O202" i="1" s="1"/>
  <c r="G203" i="1"/>
  <c r="O203" i="1" s="1"/>
  <c r="G204" i="1"/>
  <c r="O204" i="1" s="1"/>
  <c r="G205" i="1"/>
  <c r="O205" i="1" s="1"/>
  <c r="G206" i="1"/>
  <c r="O206" i="1" s="1"/>
  <c r="G207" i="1"/>
  <c r="O207" i="1" s="1"/>
  <c r="G208" i="1"/>
  <c r="O208" i="1" s="1"/>
  <c r="G209" i="1"/>
  <c r="O209" i="1" s="1"/>
  <c r="G210" i="1"/>
  <c r="O210" i="1" s="1"/>
  <c r="G211" i="1"/>
  <c r="O211" i="1" s="1"/>
  <c r="G212" i="1"/>
  <c r="O212" i="1" s="1"/>
  <c r="G213" i="1"/>
  <c r="O213" i="1" s="1"/>
  <c r="G214" i="1"/>
  <c r="O214" i="1" s="1"/>
  <c r="G215" i="1"/>
  <c r="O215" i="1" s="1"/>
  <c r="G216" i="1"/>
  <c r="O216" i="1" s="1"/>
  <c r="G217" i="1"/>
  <c r="O217" i="1" s="1"/>
  <c r="G218" i="1"/>
  <c r="O218" i="1" s="1"/>
  <c r="G219" i="1"/>
  <c r="O219" i="1" s="1"/>
  <c r="G220" i="1"/>
  <c r="O220" i="1" s="1"/>
  <c r="G221" i="1"/>
  <c r="O221" i="1" s="1"/>
  <c r="G222" i="1"/>
  <c r="O222" i="1" s="1"/>
  <c r="G223" i="1"/>
  <c r="O223" i="1" s="1"/>
  <c r="G224" i="1"/>
  <c r="O224" i="1" s="1"/>
  <c r="G225" i="1"/>
  <c r="O225" i="1" s="1"/>
  <c r="G226" i="1"/>
  <c r="O226" i="1" s="1"/>
  <c r="G227" i="1"/>
  <c r="O227" i="1" s="1"/>
  <c r="G228" i="1"/>
  <c r="O228" i="1" s="1"/>
  <c r="G229" i="1"/>
  <c r="O229" i="1" s="1"/>
  <c r="G230" i="1"/>
  <c r="O230" i="1" s="1"/>
  <c r="G231" i="1"/>
  <c r="O231" i="1" s="1"/>
  <c r="G232" i="1"/>
  <c r="O232" i="1" s="1"/>
  <c r="G233" i="1"/>
  <c r="O233" i="1" s="1"/>
  <c r="G234" i="1"/>
  <c r="O234" i="1" s="1"/>
  <c r="G235" i="1"/>
  <c r="O235" i="1" s="1"/>
  <c r="G236" i="1"/>
  <c r="O236" i="1" s="1"/>
  <c r="G237" i="1"/>
  <c r="O237" i="1" s="1"/>
  <c r="G238" i="1"/>
  <c r="O238" i="1" s="1"/>
  <c r="G239" i="1"/>
  <c r="O239" i="1" s="1"/>
  <c r="G240" i="1"/>
  <c r="O240" i="1" s="1"/>
  <c r="G241" i="1"/>
  <c r="O241" i="1" s="1"/>
  <c r="G242" i="1"/>
  <c r="O242" i="1" s="1"/>
  <c r="G243" i="1"/>
  <c r="O243" i="1" s="1"/>
  <c r="G244" i="1"/>
  <c r="O244" i="1" s="1"/>
  <c r="G245" i="1"/>
  <c r="O245" i="1" s="1"/>
  <c r="G246" i="1"/>
  <c r="O246" i="1" s="1"/>
  <c r="G247" i="1"/>
  <c r="O247" i="1" s="1"/>
  <c r="G248" i="1"/>
  <c r="O248" i="1" s="1"/>
  <c r="G249" i="1"/>
  <c r="O249" i="1" s="1"/>
  <c r="G250" i="1"/>
  <c r="O250" i="1" s="1"/>
  <c r="G251" i="1"/>
  <c r="O251" i="1" s="1"/>
  <c r="G252" i="1"/>
  <c r="O252" i="1" s="1"/>
  <c r="G253" i="1"/>
  <c r="O253" i="1" s="1"/>
  <c r="G254" i="1"/>
  <c r="O254" i="1" s="1"/>
  <c r="G255" i="1"/>
  <c r="O255" i="1" s="1"/>
  <c r="G256" i="1"/>
  <c r="O256" i="1" s="1"/>
  <c r="G257" i="1"/>
  <c r="O257" i="1" s="1"/>
  <c r="G258" i="1"/>
  <c r="O258" i="1" s="1"/>
  <c r="G259" i="1"/>
  <c r="O259" i="1" s="1"/>
  <c r="G260" i="1"/>
  <c r="O260" i="1" s="1"/>
  <c r="G261" i="1"/>
  <c r="O261" i="1" s="1"/>
  <c r="G262" i="1"/>
  <c r="O262" i="1" s="1"/>
  <c r="G263" i="1"/>
  <c r="O263" i="1" s="1"/>
  <c r="G264" i="1"/>
  <c r="O264" i="1" s="1"/>
  <c r="G265" i="1"/>
  <c r="O265" i="1" s="1"/>
  <c r="G266" i="1"/>
  <c r="O266" i="1" s="1"/>
  <c r="G267" i="1"/>
  <c r="O267" i="1" s="1"/>
  <c r="G268" i="1"/>
  <c r="O268" i="1" s="1"/>
  <c r="G269" i="1"/>
  <c r="O269" i="1" s="1"/>
  <c r="G270" i="1"/>
  <c r="O270" i="1" s="1"/>
  <c r="G271" i="1"/>
  <c r="O271" i="1" s="1"/>
  <c r="G272" i="1"/>
  <c r="O272" i="1" s="1"/>
  <c r="G273" i="1"/>
  <c r="O273" i="1" s="1"/>
  <c r="G274" i="1"/>
  <c r="O274" i="1" s="1"/>
  <c r="G275" i="1"/>
  <c r="O275" i="1" s="1"/>
  <c r="G276" i="1"/>
  <c r="O276" i="1" s="1"/>
  <c r="G277" i="1"/>
  <c r="O277" i="1" s="1"/>
  <c r="G278" i="1"/>
  <c r="O278" i="1" s="1"/>
  <c r="G279" i="1"/>
  <c r="O279" i="1" s="1"/>
  <c r="G280" i="1"/>
  <c r="O280" i="1" s="1"/>
  <c r="G281" i="1"/>
  <c r="O281" i="1" s="1"/>
  <c r="G282" i="1"/>
  <c r="O282" i="1" s="1"/>
  <c r="G283" i="1"/>
  <c r="O283" i="1" s="1"/>
  <c r="G284" i="1"/>
  <c r="O284" i="1" s="1"/>
  <c r="G285" i="1"/>
  <c r="O285" i="1" s="1"/>
  <c r="G286" i="1"/>
  <c r="O286" i="1" s="1"/>
  <c r="G287" i="1"/>
  <c r="O287" i="1" s="1"/>
  <c r="G288" i="1"/>
  <c r="O288" i="1" s="1"/>
  <c r="G289" i="1"/>
  <c r="O289" i="1" s="1"/>
  <c r="G290" i="1"/>
  <c r="O290" i="1" s="1"/>
  <c r="G291" i="1"/>
  <c r="O291" i="1" s="1"/>
  <c r="G292" i="1"/>
  <c r="O292" i="1" s="1"/>
  <c r="G293" i="1"/>
  <c r="O293" i="1" s="1"/>
  <c r="G294" i="1"/>
  <c r="O294" i="1" s="1"/>
  <c r="G295" i="1"/>
  <c r="O295" i="1" s="1"/>
  <c r="G296" i="1"/>
  <c r="O296" i="1" s="1"/>
  <c r="G297" i="1"/>
  <c r="O297" i="1" s="1"/>
  <c r="G298" i="1"/>
  <c r="O298" i="1" s="1"/>
  <c r="G299" i="1"/>
  <c r="O299" i="1" s="1"/>
  <c r="G300" i="1"/>
  <c r="O300" i="1" s="1"/>
  <c r="G301" i="1"/>
  <c r="O301" i="1" s="1"/>
  <c r="G302" i="1"/>
  <c r="O302" i="1" s="1"/>
  <c r="G303" i="1"/>
  <c r="O303" i="1" s="1"/>
  <c r="G304" i="1"/>
  <c r="O304" i="1" s="1"/>
  <c r="G305" i="1"/>
  <c r="O305" i="1" s="1"/>
  <c r="G306" i="1"/>
  <c r="O306" i="1" s="1"/>
  <c r="G307" i="1"/>
  <c r="O307" i="1" s="1"/>
  <c r="G308" i="1"/>
  <c r="G309" i="1"/>
  <c r="O309" i="1" s="1"/>
  <c r="G310" i="1"/>
  <c r="O310" i="1" s="1"/>
  <c r="G311" i="1"/>
  <c r="O311" i="1" s="1"/>
  <c r="G312" i="1"/>
  <c r="O312" i="1" s="1"/>
  <c r="G313" i="1"/>
  <c r="O313" i="1" s="1"/>
  <c r="G314" i="1"/>
  <c r="O314" i="1" s="1"/>
  <c r="G315" i="1"/>
  <c r="O315" i="1" s="1"/>
  <c r="G316" i="1"/>
  <c r="O316" i="1" s="1"/>
  <c r="G317" i="1"/>
  <c r="O317" i="1" s="1"/>
  <c r="G318" i="1"/>
  <c r="O318" i="1" s="1"/>
  <c r="G319" i="1"/>
  <c r="O319" i="1" s="1"/>
  <c r="G320" i="1"/>
  <c r="O320" i="1" s="1"/>
  <c r="G321" i="1"/>
  <c r="O321" i="1" s="1"/>
  <c r="G322" i="1"/>
  <c r="O322" i="1" s="1"/>
  <c r="G323" i="1"/>
  <c r="O323" i="1" s="1"/>
  <c r="G324" i="1"/>
  <c r="O324" i="1" s="1"/>
  <c r="G325" i="1"/>
  <c r="O325" i="1" s="1"/>
  <c r="G326" i="1"/>
  <c r="O326" i="1" s="1"/>
  <c r="G327" i="1"/>
  <c r="O327" i="1" s="1"/>
  <c r="G328" i="1"/>
  <c r="O328" i="1" s="1"/>
  <c r="G329" i="1"/>
  <c r="O329" i="1" s="1"/>
  <c r="G330" i="1"/>
  <c r="O330" i="1" s="1"/>
  <c r="G331" i="1"/>
  <c r="O331" i="1" s="1"/>
  <c r="G332" i="1"/>
  <c r="O332" i="1" s="1"/>
  <c r="G333" i="1"/>
  <c r="O333" i="1" s="1"/>
  <c r="G334" i="1"/>
  <c r="O334" i="1" s="1"/>
  <c r="G335" i="1"/>
  <c r="O335" i="1" s="1"/>
  <c r="G336" i="1"/>
  <c r="O336" i="1" s="1"/>
  <c r="G337" i="1"/>
  <c r="O337" i="1" s="1"/>
  <c r="G338" i="1"/>
  <c r="O338" i="1" s="1"/>
  <c r="G339" i="1"/>
  <c r="O339" i="1" s="1"/>
  <c r="G340" i="1"/>
  <c r="O340" i="1" s="1"/>
  <c r="G341" i="1"/>
  <c r="O341" i="1" s="1"/>
  <c r="G342" i="1"/>
  <c r="O342" i="1" s="1"/>
  <c r="G343" i="1"/>
  <c r="O343" i="1" s="1"/>
  <c r="G344" i="1"/>
  <c r="O344" i="1" s="1"/>
  <c r="G345" i="1"/>
  <c r="O345" i="1" s="1"/>
  <c r="G346" i="1"/>
  <c r="O346" i="1" s="1"/>
  <c r="G347" i="1"/>
  <c r="O347" i="1" s="1"/>
  <c r="G348" i="1"/>
  <c r="O348" i="1" s="1"/>
  <c r="G349" i="1"/>
  <c r="O349" i="1" s="1"/>
  <c r="G350" i="1"/>
  <c r="O350" i="1" s="1"/>
  <c r="G351" i="1"/>
  <c r="O351" i="1" s="1"/>
  <c r="G352" i="1"/>
  <c r="O352" i="1" s="1"/>
  <c r="G353" i="1"/>
  <c r="O353" i="1" s="1"/>
  <c r="G354" i="1"/>
  <c r="O354" i="1" s="1"/>
  <c r="G355" i="1"/>
  <c r="O355" i="1" s="1"/>
  <c r="G356" i="1"/>
  <c r="O356" i="1" s="1"/>
  <c r="G357" i="1"/>
  <c r="O357" i="1" s="1"/>
  <c r="G358" i="1"/>
  <c r="O358" i="1" s="1"/>
  <c r="G359" i="1"/>
  <c r="O359" i="1" s="1"/>
  <c r="G360" i="1"/>
  <c r="O360" i="1" s="1"/>
  <c r="G361" i="1"/>
  <c r="O361" i="1" s="1"/>
  <c r="G362" i="1"/>
  <c r="O362" i="1" s="1"/>
  <c r="G363" i="1"/>
  <c r="O363" i="1" s="1"/>
  <c r="G364" i="1"/>
  <c r="O364" i="1" s="1"/>
  <c r="G365" i="1"/>
  <c r="O365" i="1" s="1"/>
  <c r="G366" i="1"/>
  <c r="O366" i="1" s="1"/>
  <c r="G367" i="1"/>
  <c r="O367" i="1" s="1"/>
  <c r="G368" i="1"/>
  <c r="O368" i="1" s="1"/>
  <c r="G369" i="1"/>
  <c r="O369" i="1" s="1"/>
  <c r="G370" i="1"/>
  <c r="O370" i="1" s="1"/>
  <c r="G371" i="1"/>
  <c r="O371" i="1" s="1"/>
  <c r="G372" i="1"/>
  <c r="O372" i="1" s="1"/>
  <c r="G373" i="1"/>
  <c r="O373" i="1" s="1"/>
  <c r="G374" i="1"/>
  <c r="O374" i="1" s="1"/>
  <c r="G375" i="1"/>
  <c r="O375" i="1" s="1"/>
  <c r="G376" i="1"/>
  <c r="O376" i="1" s="1"/>
  <c r="G377" i="1"/>
  <c r="O377" i="1" s="1"/>
  <c r="G378" i="1"/>
  <c r="O378" i="1" s="1"/>
  <c r="G379" i="1"/>
  <c r="O379" i="1" s="1"/>
  <c r="G380" i="1"/>
  <c r="O380" i="1" s="1"/>
  <c r="G381" i="1"/>
  <c r="O381" i="1" s="1"/>
  <c r="G382" i="1"/>
  <c r="O382" i="1" s="1"/>
  <c r="G383" i="1"/>
  <c r="O383" i="1" s="1"/>
  <c r="G384" i="1"/>
  <c r="O384" i="1" s="1"/>
  <c r="G385" i="1"/>
  <c r="O385" i="1" s="1"/>
  <c r="G386" i="1"/>
  <c r="O386" i="1" s="1"/>
  <c r="G387" i="1"/>
  <c r="O387" i="1" s="1"/>
  <c r="G388" i="1"/>
  <c r="O388" i="1" s="1"/>
  <c r="G389" i="1"/>
  <c r="O389" i="1" s="1"/>
  <c r="G390" i="1"/>
  <c r="O390" i="1" s="1"/>
  <c r="G391" i="1"/>
  <c r="O391" i="1" s="1"/>
  <c r="G392" i="1"/>
  <c r="O392" i="1" s="1"/>
  <c r="G393" i="1"/>
  <c r="O393" i="1" s="1"/>
  <c r="G394" i="1"/>
  <c r="O394" i="1" s="1"/>
  <c r="G395" i="1"/>
  <c r="O395" i="1" s="1"/>
  <c r="G396" i="1"/>
  <c r="O396" i="1" s="1"/>
  <c r="G397" i="1"/>
  <c r="O397" i="1" s="1"/>
  <c r="G398" i="1"/>
  <c r="O398" i="1" s="1"/>
  <c r="G399" i="1"/>
  <c r="O399" i="1" s="1"/>
  <c r="G400" i="1"/>
  <c r="O400" i="1" s="1"/>
  <c r="G401" i="1"/>
  <c r="O401" i="1" s="1"/>
  <c r="G402" i="1"/>
  <c r="O402" i="1" s="1"/>
  <c r="G403" i="1"/>
  <c r="O403" i="1" s="1"/>
  <c r="G404" i="1"/>
  <c r="O404" i="1" s="1"/>
  <c r="G405" i="1"/>
  <c r="O405" i="1" s="1"/>
  <c r="G406" i="1"/>
  <c r="O406" i="1" s="1"/>
  <c r="G407" i="1"/>
  <c r="O407" i="1" s="1"/>
  <c r="G408" i="1"/>
  <c r="O408" i="1" s="1"/>
  <c r="G409" i="1"/>
  <c r="O409" i="1" s="1"/>
  <c r="G410" i="1"/>
  <c r="O410" i="1" s="1"/>
  <c r="G411" i="1"/>
  <c r="O411" i="1" s="1"/>
  <c r="G412" i="1"/>
  <c r="O412" i="1" s="1"/>
  <c r="G413" i="1"/>
  <c r="O413" i="1" s="1"/>
  <c r="G414" i="1"/>
  <c r="O414" i="1" s="1"/>
  <c r="G415" i="1"/>
  <c r="O415" i="1" s="1"/>
  <c r="G416" i="1"/>
  <c r="O416" i="1" s="1"/>
  <c r="G417" i="1"/>
  <c r="O417" i="1" s="1"/>
  <c r="G418" i="1"/>
  <c r="O418" i="1" s="1"/>
  <c r="G419" i="1"/>
  <c r="O419" i="1" s="1"/>
  <c r="G420" i="1"/>
  <c r="O420" i="1" s="1"/>
  <c r="G421" i="1"/>
  <c r="O421" i="1" s="1"/>
  <c r="G422" i="1"/>
  <c r="O422" i="1" s="1"/>
  <c r="G423" i="1"/>
  <c r="O423" i="1" s="1"/>
  <c r="G424" i="1"/>
  <c r="O424" i="1" s="1"/>
  <c r="G425" i="1"/>
  <c r="O425" i="1" s="1"/>
  <c r="G426" i="1"/>
  <c r="O426" i="1" s="1"/>
  <c r="G427" i="1"/>
  <c r="O427" i="1" s="1"/>
  <c r="G428" i="1"/>
  <c r="O428" i="1" s="1"/>
  <c r="G429" i="1"/>
  <c r="O429" i="1" s="1"/>
  <c r="G430" i="1"/>
  <c r="O430" i="1" s="1"/>
  <c r="G431" i="1"/>
  <c r="O431" i="1" s="1"/>
  <c r="G432" i="1"/>
  <c r="G433" i="1"/>
  <c r="O433" i="1" s="1"/>
  <c r="G434" i="1"/>
  <c r="O434" i="1" s="1"/>
  <c r="G435" i="1"/>
  <c r="O435" i="1" s="1"/>
  <c r="G436" i="1"/>
  <c r="O436" i="1" s="1"/>
  <c r="G437" i="1"/>
  <c r="O437" i="1" s="1"/>
  <c r="G438" i="1"/>
  <c r="O438" i="1" s="1"/>
  <c r="G439" i="1"/>
  <c r="O439" i="1" s="1"/>
  <c r="G440" i="1"/>
  <c r="O440" i="1" s="1"/>
  <c r="G441" i="1"/>
  <c r="O441" i="1" s="1"/>
  <c r="G442" i="1"/>
  <c r="O442" i="1" s="1"/>
  <c r="G443" i="1"/>
  <c r="O443" i="1" s="1"/>
  <c r="G444" i="1"/>
  <c r="O444" i="1" s="1"/>
  <c r="G445" i="1"/>
  <c r="O445" i="1" s="1"/>
  <c r="G446" i="1"/>
  <c r="O446" i="1" s="1"/>
  <c r="G447" i="1"/>
  <c r="O447" i="1" s="1"/>
  <c r="G448" i="1"/>
  <c r="O448" i="1" s="1"/>
  <c r="G449" i="1"/>
  <c r="O449" i="1" s="1"/>
  <c r="G450" i="1"/>
  <c r="O450" i="1" s="1"/>
  <c r="G451" i="1"/>
  <c r="O451" i="1" s="1"/>
  <c r="G452" i="1"/>
  <c r="O452" i="1" s="1"/>
  <c r="G453" i="1"/>
  <c r="O453" i="1" s="1"/>
  <c r="G454" i="1"/>
  <c r="O454" i="1" s="1"/>
  <c r="G455" i="1"/>
  <c r="O455" i="1" s="1"/>
  <c r="G456" i="1"/>
  <c r="O456" i="1" s="1"/>
  <c r="G457" i="1"/>
  <c r="O457" i="1" s="1"/>
  <c r="G458" i="1"/>
  <c r="O458" i="1" s="1"/>
  <c r="G459" i="1"/>
  <c r="O459" i="1" s="1"/>
  <c r="G460" i="1"/>
  <c r="O460" i="1" s="1"/>
  <c r="G461" i="1"/>
  <c r="O461" i="1" s="1"/>
  <c r="G462" i="1"/>
  <c r="O462" i="1" s="1"/>
  <c r="G463" i="1"/>
  <c r="O463" i="1" s="1"/>
  <c r="G464" i="1"/>
  <c r="O464" i="1" s="1"/>
  <c r="G465" i="1"/>
  <c r="O465" i="1" s="1"/>
  <c r="G466" i="1"/>
  <c r="O466" i="1" s="1"/>
  <c r="G467" i="1"/>
  <c r="O467" i="1" s="1"/>
  <c r="G468" i="1"/>
  <c r="O468" i="1" s="1"/>
  <c r="G469" i="1"/>
  <c r="O469" i="1" s="1"/>
  <c r="G470" i="1"/>
  <c r="O470" i="1" s="1"/>
  <c r="G471" i="1"/>
  <c r="O471" i="1" s="1"/>
  <c r="G472" i="1"/>
  <c r="O472" i="1" s="1"/>
  <c r="G473" i="1"/>
  <c r="O473" i="1" s="1"/>
  <c r="G474" i="1"/>
  <c r="O474" i="1" s="1"/>
  <c r="G475" i="1"/>
  <c r="O475" i="1" s="1"/>
  <c r="G476" i="1"/>
  <c r="O476" i="1" s="1"/>
  <c r="G477" i="1"/>
  <c r="O477" i="1" s="1"/>
  <c r="G478" i="1"/>
  <c r="O478" i="1" s="1"/>
  <c r="G479" i="1"/>
  <c r="O479" i="1" s="1"/>
  <c r="G480" i="1"/>
  <c r="O480" i="1" s="1"/>
  <c r="G481" i="1"/>
  <c r="O481" i="1" s="1"/>
  <c r="G482" i="1"/>
  <c r="O482" i="1" s="1"/>
  <c r="G483" i="1"/>
  <c r="O483" i="1" s="1"/>
  <c r="G484" i="1"/>
  <c r="O484" i="1" s="1"/>
  <c r="G485" i="1"/>
  <c r="O485" i="1" s="1"/>
  <c r="G486" i="1"/>
  <c r="O486" i="1" s="1"/>
  <c r="G487" i="1"/>
  <c r="O487" i="1" s="1"/>
  <c r="G488" i="1"/>
  <c r="O488" i="1" s="1"/>
  <c r="G489" i="1"/>
  <c r="O489" i="1" s="1"/>
  <c r="G490" i="1"/>
  <c r="O490" i="1" s="1"/>
  <c r="G491" i="1"/>
  <c r="O491" i="1" s="1"/>
  <c r="G492" i="1"/>
  <c r="O492" i="1" s="1"/>
  <c r="G493" i="1"/>
  <c r="O493" i="1" s="1"/>
  <c r="G494" i="1"/>
  <c r="O494" i="1" s="1"/>
  <c r="G495" i="1"/>
  <c r="O495" i="1" s="1"/>
  <c r="G496" i="1"/>
  <c r="O496" i="1" s="1"/>
  <c r="G497" i="1"/>
  <c r="O497" i="1" s="1"/>
  <c r="G498" i="1"/>
  <c r="O498" i="1" s="1"/>
  <c r="G499" i="1"/>
  <c r="O499" i="1" s="1"/>
  <c r="G500" i="1"/>
  <c r="O500" i="1" s="1"/>
  <c r="G501" i="1"/>
  <c r="O501" i="1" s="1"/>
  <c r="G502" i="1"/>
  <c r="O502" i="1" s="1"/>
  <c r="G503" i="1"/>
  <c r="O503" i="1" s="1"/>
  <c r="G504" i="1"/>
  <c r="O504" i="1" s="1"/>
  <c r="G505" i="1"/>
  <c r="O505" i="1" s="1"/>
  <c r="G506" i="1"/>
  <c r="O506" i="1" s="1"/>
  <c r="G507" i="1"/>
  <c r="O507" i="1" s="1"/>
  <c r="G508" i="1"/>
  <c r="O508" i="1" s="1"/>
  <c r="G509" i="1"/>
  <c r="O509" i="1" s="1"/>
  <c r="G510" i="1"/>
  <c r="O510" i="1" s="1"/>
  <c r="G511" i="1"/>
  <c r="O511" i="1" s="1"/>
  <c r="G512" i="1"/>
  <c r="O512" i="1" s="1"/>
  <c r="G513" i="1"/>
  <c r="O513" i="1" s="1"/>
  <c r="G514" i="1"/>
  <c r="O514" i="1" s="1"/>
  <c r="G515" i="1"/>
  <c r="O515" i="1" s="1"/>
  <c r="G516" i="1"/>
  <c r="O516" i="1" s="1"/>
  <c r="G517" i="1"/>
  <c r="O517" i="1" s="1"/>
  <c r="G518" i="1"/>
  <c r="O518" i="1" s="1"/>
  <c r="G519" i="1"/>
  <c r="O519" i="1" s="1"/>
  <c r="G520" i="1"/>
  <c r="O520" i="1" s="1"/>
  <c r="G521" i="1"/>
  <c r="O521" i="1" s="1"/>
  <c r="G522" i="1"/>
  <c r="O522" i="1" s="1"/>
  <c r="G523" i="1"/>
  <c r="O523" i="1" s="1"/>
  <c r="G524" i="1"/>
  <c r="O524" i="1" s="1"/>
  <c r="G525" i="1"/>
  <c r="O525" i="1" s="1"/>
  <c r="G526" i="1"/>
  <c r="O526" i="1" s="1"/>
  <c r="G527" i="1"/>
  <c r="O527" i="1" s="1"/>
  <c r="G528" i="1"/>
  <c r="O528" i="1" s="1"/>
  <c r="G529" i="1"/>
  <c r="O529" i="1" s="1"/>
  <c r="G530" i="1"/>
  <c r="O530" i="1" s="1"/>
  <c r="G531" i="1"/>
  <c r="O531" i="1" s="1"/>
  <c r="G532" i="1"/>
  <c r="O532" i="1" s="1"/>
  <c r="G533" i="1"/>
  <c r="O533" i="1" s="1"/>
  <c r="G534" i="1"/>
  <c r="O534" i="1" s="1"/>
  <c r="G535" i="1"/>
  <c r="O535" i="1" s="1"/>
  <c r="G536" i="1"/>
  <c r="O536" i="1" s="1"/>
  <c r="G537" i="1"/>
  <c r="O537" i="1" s="1"/>
  <c r="G538" i="1"/>
  <c r="O538" i="1" s="1"/>
  <c r="G539" i="1"/>
  <c r="O539" i="1" s="1"/>
  <c r="G540" i="1"/>
  <c r="O540" i="1" s="1"/>
  <c r="G541" i="1"/>
  <c r="O541" i="1" s="1"/>
  <c r="G542" i="1"/>
  <c r="O542" i="1" s="1"/>
  <c r="G543" i="1"/>
  <c r="O543" i="1" s="1"/>
  <c r="G544" i="1"/>
  <c r="O544" i="1" s="1"/>
  <c r="G545" i="1"/>
  <c r="O545" i="1" s="1"/>
  <c r="G546" i="1"/>
  <c r="O546" i="1" s="1"/>
  <c r="G547" i="1"/>
  <c r="O547" i="1" s="1"/>
  <c r="G548" i="1"/>
  <c r="O548" i="1" s="1"/>
  <c r="G549" i="1"/>
  <c r="O549" i="1" s="1"/>
  <c r="G550" i="1"/>
  <c r="O550" i="1" s="1"/>
  <c r="G551" i="1"/>
  <c r="O551" i="1" s="1"/>
  <c r="G552" i="1"/>
  <c r="O552" i="1" s="1"/>
  <c r="G553" i="1"/>
  <c r="O553" i="1" s="1"/>
  <c r="G554" i="1"/>
  <c r="O554" i="1" s="1"/>
  <c r="G555" i="1"/>
  <c r="O555" i="1" s="1"/>
  <c r="G556" i="1"/>
  <c r="O556" i="1" s="1"/>
  <c r="G557" i="1"/>
  <c r="O557" i="1" s="1"/>
  <c r="G558" i="1"/>
  <c r="O558" i="1" s="1"/>
  <c r="G559" i="1"/>
  <c r="O559" i="1" s="1"/>
  <c r="G560" i="1"/>
  <c r="O560" i="1" s="1"/>
  <c r="G561" i="1"/>
  <c r="O561" i="1" s="1"/>
  <c r="G562" i="1"/>
  <c r="O562" i="1" s="1"/>
  <c r="G563" i="1"/>
  <c r="O563" i="1" s="1"/>
  <c r="G564" i="1"/>
  <c r="O564" i="1" s="1"/>
  <c r="G565" i="1"/>
  <c r="O565" i="1" s="1"/>
  <c r="G566" i="1"/>
  <c r="O566" i="1" s="1"/>
  <c r="G567" i="1"/>
  <c r="O567" i="1" s="1"/>
  <c r="G568" i="1"/>
  <c r="O568" i="1" s="1"/>
  <c r="G569" i="1"/>
  <c r="O569" i="1" s="1"/>
  <c r="G570" i="1"/>
  <c r="O570" i="1" s="1"/>
  <c r="G571" i="1"/>
  <c r="O571" i="1" s="1"/>
  <c r="G572" i="1"/>
  <c r="O572" i="1" s="1"/>
  <c r="G573" i="1"/>
  <c r="O573" i="1" s="1"/>
  <c r="G574" i="1"/>
  <c r="O574" i="1" s="1"/>
  <c r="G575" i="1"/>
  <c r="O575" i="1" s="1"/>
  <c r="G576" i="1"/>
  <c r="O576" i="1" s="1"/>
  <c r="G577" i="1"/>
  <c r="O577" i="1" s="1"/>
  <c r="G578" i="1"/>
  <c r="O578" i="1" s="1"/>
  <c r="G579" i="1"/>
  <c r="O579" i="1" s="1"/>
  <c r="G580" i="1"/>
  <c r="O580" i="1" s="1"/>
  <c r="G581" i="1"/>
  <c r="O581" i="1" s="1"/>
  <c r="G582" i="1"/>
  <c r="O582" i="1" s="1"/>
  <c r="G583" i="1"/>
  <c r="O583" i="1" s="1"/>
  <c r="G584" i="1"/>
  <c r="O584" i="1" s="1"/>
  <c r="G585" i="1"/>
  <c r="O585" i="1" s="1"/>
  <c r="G586" i="1"/>
  <c r="O586" i="1" s="1"/>
  <c r="G587" i="1"/>
  <c r="O587" i="1" s="1"/>
  <c r="G588" i="1"/>
  <c r="O588" i="1" s="1"/>
  <c r="G589" i="1"/>
  <c r="O589" i="1" s="1"/>
  <c r="G590" i="1"/>
  <c r="O590" i="1" s="1"/>
  <c r="G591" i="1"/>
  <c r="O591" i="1" s="1"/>
  <c r="G592" i="1"/>
  <c r="O592" i="1" s="1"/>
  <c r="G593" i="1"/>
  <c r="O593" i="1" s="1"/>
  <c r="G594" i="1"/>
  <c r="O594" i="1" s="1"/>
  <c r="G595" i="1"/>
  <c r="O595" i="1" s="1"/>
  <c r="G596" i="1"/>
  <c r="O596" i="1" s="1"/>
  <c r="G597" i="1"/>
  <c r="O597" i="1" s="1"/>
  <c r="G598" i="1"/>
  <c r="O598" i="1" s="1"/>
  <c r="G599" i="1"/>
  <c r="O599" i="1" s="1"/>
  <c r="G600" i="1"/>
  <c r="O600" i="1" s="1"/>
  <c r="G601" i="1"/>
  <c r="O601" i="1" s="1"/>
  <c r="G602" i="1"/>
  <c r="O602" i="1" s="1"/>
  <c r="G603" i="1"/>
  <c r="O603" i="1" s="1"/>
  <c r="G604" i="1"/>
  <c r="O604" i="1" s="1"/>
  <c r="G605" i="1"/>
  <c r="O605" i="1" s="1"/>
  <c r="G606" i="1"/>
  <c r="O606" i="1" s="1"/>
  <c r="G607" i="1"/>
  <c r="O607" i="1" s="1"/>
  <c r="G608" i="1"/>
  <c r="O608" i="1" s="1"/>
  <c r="G609" i="1"/>
  <c r="O609" i="1" s="1"/>
  <c r="G610" i="1"/>
  <c r="O610" i="1" s="1"/>
  <c r="G611" i="1"/>
  <c r="O611" i="1" s="1"/>
  <c r="G612" i="1"/>
  <c r="O612" i="1" s="1"/>
  <c r="G613" i="1"/>
  <c r="O613" i="1" s="1"/>
  <c r="G614" i="1"/>
  <c r="O614" i="1" s="1"/>
  <c r="G615" i="1"/>
  <c r="O615" i="1" s="1"/>
  <c r="G616" i="1"/>
  <c r="O616" i="1" s="1"/>
  <c r="G617" i="1"/>
  <c r="O617" i="1" s="1"/>
  <c r="G618" i="1"/>
  <c r="O618" i="1" s="1"/>
  <c r="G619" i="1"/>
  <c r="O619" i="1" s="1"/>
  <c r="G620" i="1"/>
  <c r="O620" i="1" s="1"/>
  <c r="G621" i="1"/>
  <c r="O621" i="1" s="1"/>
  <c r="G622" i="1"/>
  <c r="O622" i="1" s="1"/>
  <c r="G623" i="1"/>
  <c r="O623" i="1" s="1"/>
  <c r="G624" i="1"/>
  <c r="O624" i="1" s="1"/>
  <c r="G625" i="1"/>
  <c r="O625" i="1" s="1"/>
  <c r="G626" i="1"/>
  <c r="O626" i="1" s="1"/>
  <c r="G627" i="1"/>
  <c r="O627" i="1" s="1"/>
  <c r="G628" i="1"/>
  <c r="O628" i="1" s="1"/>
  <c r="G629" i="1"/>
  <c r="O629" i="1" s="1"/>
  <c r="G630" i="1"/>
  <c r="O630" i="1" s="1"/>
  <c r="G631" i="1"/>
  <c r="O631" i="1" s="1"/>
  <c r="G632" i="1"/>
  <c r="O632" i="1" s="1"/>
  <c r="G633" i="1"/>
  <c r="O633" i="1" s="1"/>
  <c r="G634" i="1"/>
  <c r="O634" i="1" s="1"/>
  <c r="G635" i="1"/>
  <c r="O635" i="1" s="1"/>
  <c r="G636" i="1"/>
  <c r="O636" i="1" s="1"/>
  <c r="G637" i="1"/>
  <c r="O637" i="1" s="1"/>
  <c r="G638" i="1"/>
  <c r="O638" i="1" s="1"/>
  <c r="G639" i="1"/>
  <c r="O639" i="1" s="1"/>
  <c r="G640" i="1"/>
  <c r="O640" i="1" s="1"/>
  <c r="G641" i="1"/>
  <c r="O641" i="1" s="1"/>
  <c r="G642" i="1"/>
  <c r="O642" i="1" s="1"/>
  <c r="G643" i="1"/>
  <c r="O643" i="1" s="1"/>
  <c r="G644" i="1"/>
  <c r="O644" i="1" s="1"/>
  <c r="G645" i="1"/>
  <c r="O645" i="1" s="1"/>
  <c r="G646" i="1"/>
  <c r="O646" i="1" s="1"/>
  <c r="G647" i="1"/>
  <c r="O647" i="1" s="1"/>
  <c r="G648" i="1"/>
  <c r="O648" i="1" s="1"/>
  <c r="G649" i="1"/>
  <c r="O649" i="1" s="1"/>
  <c r="G650" i="1"/>
  <c r="O650" i="1" s="1"/>
  <c r="G651" i="1"/>
  <c r="O651" i="1" s="1"/>
  <c r="G652" i="1"/>
  <c r="O652" i="1" s="1"/>
  <c r="G653" i="1"/>
  <c r="O653" i="1" s="1"/>
  <c r="G654" i="1"/>
  <c r="O654" i="1" s="1"/>
  <c r="G655" i="1"/>
  <c r="O655" i="1" s="1"/>
  <c r="G656" i="1"/>
  <c r="O656" i="1" s="1"/>
  <c r="G657" i="1"/>
  <c r="O657" i="1" s="1"/>
  <c r="G658" i="1"/>
  <c r="O658" i="1" s="1"/>
  <c r="G659" i="1"/>
  <c r="O659" i="1" s="1"/>
  <c r="G660" i="1"/>
  <c r="O660" i="1" s="1"/>
  <c r="G661" i="1"/>
  <c r="O661" i="1" s="1"/>
  <c r="G662" i="1"/>
  <c r="O662" i="1" s="1"/>
  <c r="G663" i="1"/>
  <c r="O663" i="1" s="1"/>
  <c r="G664" i="1"/>
  <c r="O664" i="1" s="1"/>
  <c r="G665" i="1"/>
  <c r="O665" i="1" s="1"/>
  <c r="G666" i="1"/>
  <c r="O666" i="1" s="1"/>
  <c r="G667" i="1"/>
  <c r="O667" i="1" s="1"/>
  <c r="G668" i="1"/>
  <c r="O668" i="1" s="1"/>
  <c r="G669" i="1"/>
  <c r="O669" i="1" s="1"/>
  <c r="G670" i="1"/>
  <c r="O670" i="1" s="1"/>
  <c r="G671" i="1"/>
  <c r="G672" i="1"/>
  <c r="O672" i="1" s="1"/>
  <c r="G673" i="1"/>
  <c r="O673" i="1" s="1"/>
  <c r="G674" i="1"/>
  <c r="O674" i="1" s="1"/>
  <c r="G675" i="1"/>
  <c r="O675" i="1" s="1"/>
  <c r="G676" i="1"/>
  <c r="O676" i="1" s="1"/>
  <c r="G677" i="1"/>
  <c r="O677" i="1" s="1"/>
  <c r="G678" i="1"/>
  <c r="O678" i="1" s="1"/>
  <c r="G679" i="1"/>
  <c r="O679" i="1" s="1"/>
  <c r="G680" i="1"/>
  <c r="O680" i="1" s="1"/>
  <c r="G681" i="1"/>
  <c r="O681" i="1" s="1"/>
  <c r="G682" i="1"/>
  <c r="O682" i="1" s="1"/>
  <c r="G683" i="1"/>
  <c r="O683" i="1" s="1"/>
  <c r="G684" i="1"/>
  <c r="O684" i="1" s="1"/>
  <c r="G685" i="1"/>
  <c r="O685" i="1" s="1"/>
  <c r="G686" i="1"/>
  <c r="O686" i="1" s="1"/>
  <c r="G687" i="1"/>
  <c r="O687" i="1" s="1"/>
  <c r="G688" i="1"/>
  <c r="O688" i="1" s="1"/>
  <c r="G689" i="1"/>
  <c r="O689" i="1" s="1"/>
  <c r="G690" i="1"/>
  <c r="O690" i="1" s="1"/>
  <c r="G691" i="1"/>
  <c r="O691" i="1" s="1"/>
  <c r="G692" i="1"/>
  <c r="O692" i="1" s="1"/>
  <c r="G693" i="1"/>
  <c r="O693" i="1" s="1"/>
  <c r="G694" i="1"/>
  <c r="O694" i="1" s="1"/>
  <c r="G695" i="1"/>
  <c r="O695" i="1" s="1"/>
  <c r="G696" i="1"/>
  <c r="O696" i="1" s="1"/>
  <c r="G697" i="1"/>
  <c r="O697" i="1" s="1"/>
  <c r="G698" i="1"/>
  <c r="O698" i="1" s="1"/>
  <c r="G699" i="1"/>
  <c r="O699" i="1" s="1"/>
  <c r="G700" i="1"/>
  <c r="O700" i="1" s="1"/>
  <c r="G701" i="1"/>
  <c r="O701" i="1" s="1"/>
  <c r="G702" i="1"/>
  <c r="O702" i="1" s="1"/>
  <c r="G703" i="1"/>
  <c r="O703" i="1" s="1"/>
  <c r="G704" i="1"/>
  <c r="O704" i="1" s="1"/>
  <c r="G705" i="1"/>
  <c r="O705" i="1" s="1"/>
  <c r="G706" i="1"/>
  <c r="O706" i="1" s="1"/>
  <c r="G707" i="1"/>
  <c r="O707" i="1" s="1"/>
  <c r="G708" i="1"/>
  <c r="O708" i="1" s="1"/>
  <c r="G709" i="1"/>
  <c r="O709" i="1" s="1"/>
  <c r="G710" i="1"/>
  <c r="O710" i="1" s="1"/>
  <c r="G711" i="1"/>
  <c r="O711" i="1" s="1"/>
  <c r="G712" i="1"/>
  <c r="O712" i="1" s="1"/>
  <c r="G713" i="1"/>
  <c r="O713" i="1" s="1"/>
  <c r="G714" i="1"/>
  <c r="O714" i="1" s="1"/>
  <c r="G715" i="1"/>
  <c r="O715" i="1" s="1"/>
  <c r="G716" i="1"/>
  <c r="O716" i="1" s="1"/>
  <c r="G717" i="1"/>
  <c r="O717" i="1" s="1"/>
  <c r="G718" i="1"/>
  <c r="O718" i="1" s="1"/>
  <c r="G719" i="1"/>
  <c r="O719" i="1" s="1"/>
  <c r="G720" i="1"/>
  <c r="O720" i="1" s="1"/>
  <c r="G721" i="1"/>
  <c r="O721" i="1" s="1"/>
  <c r="G722" i="1"/>
  <c r="O722" i="1" s="1"/>
  <c r="G723" i="1"/>
  <c r="O723" i="1" s="1"/>
  <c r="G724" i="1"/>
  <c r="O724" i="1" s="1"/>
  <c r="G725" i="1"/>
  <c r="O725" i="1" s="1"/>
  <c r="G726" i="1"/>
  <c r="O726" i="1" s="1"/>
  <c r="G727" i="1"/>
  <c r="O727" i="1" s="1"/>
  <c r="G728" i="1"/>
  <c r="O728" i="1" s="1"/>
  <c r="G729" i="1"/>
  <c r="O729" i="1" s="1"/>
  <c r="G730" i="1"/>
  <c r="O730" i="1" s="1"/>
  <c r="G731" i="1"/>
  <c r="O731" i="1" s="1"/>
  <c r="G732" i="1"/>
  <c r="O732" i="1" s="1"/>
  <c r="G733" i="1"/>
  <c r="O733" i="1" s="1"/>
  <c r="G734" i="1"/>
  <c r="O734" i="1" s="1"/>
  <c r="G735" i="1"/>
  <c r="G736" i="1"/>
  <c r="O736" i="1" s="1"/>
  <c r="G737" i="1"/>
  <c r="O737" i="1" s="1"/>
  <c r="G807" i="1"/>
  <c r="O807" i="1" s="1"/>
  <c r="G3" i="1"/>
  <c r="O3" i="1" s="1"/>
  <c r="O1" i="1" l="1"/>
  <c r="H2" i="1"/>
</calcChain>
</file>

<file path=xl/sharedStrings.xml><?xml version="1.0" encoding="utf-8"?>
<sst xmlns="http://schemas.openxmlformats.org/spreadsheetml/2006/main" count="2251" uniqueCount="2250">
  <si>
    <t>UPC</t>
  </si>
  <si>
    <t>PRODUCT DESCRIPTION</t>
  </si>
  <si>
    <t>WS PRICE</t>
  </si>
  <si>
    <t>NTC012101</t>
  </si>
  <si>
    <t>NTC012401</t>
  </si>
  <si>
    <t>NTC012301</t>
  </si>
  <si>
    <t>NTC105101</t>
  </si>
  <si>
    <t>NTC335101</t>
  </si>
  <si>
    <t>NTC264101</t>
  </si>
  <si>
    <t>NTC164101</t>
  </si>
  <si>
    <t>NTC005201</t>
  </si>
  <si>
    <t>NTC005101</t>
  </si>
  <si>
    <t>NTC005301</t>
  </si>
  <si>
    <t>NTC202101</t>
  </si>
  <si>
    <t>NTC202201</t>
  </si>
  <si>
    <t>NTC202301</t>
  </si>
  <si>
    <t>NTC006201</t>
  </si>
  <si>
    <t>NTC006101</t>
  </si>
  <si>
    <t>NTC177101</t>
  </si>
  <si>
    <t>NTC566101</t>
  </si>
  <si>
    <t>NTC231101</t>
  </si>
  <si>
    <t>NTC239201</t>
  </si>
  <si>
    <t>NTC278101</t>
  </si>
  <si>
    <t>NTC165101</t>
  </si>
  <si>
    <t>NTC165201</t>
  </si>
  <si>
    <t>NTC049201</t>
  </si>
  <si>
    <t>NTC049101</t>
  </si>
  <si>
    <t>NTC303101</t>
  </si>
  <si>
    <t>NTC589101</t>
  </si>
  <si>
    <t>NTC398101</t>
  </si>
  <si>
    <t>NTC534101</t>
  </si>
  <si>
    <t>NTC013101</t>
  </si>
  <si>
    <t>NTC355201</t>
  </si>
  <si>
    <t>NTC355101</t>
  </si>
  <si>
    <t>NTC028101</t>
  </si>
  <si>
    <t>NTC460101</t>
  </si>
  <si>
    <t>NTC435101</t>
  </si>
  <si>
    <t>NTC464101</t>
  </si>
  <si>
    <t>NTC147101</t>
  </si>
  <si>
    <t>NTC181201</t>
  </si>
  <si>
    <t>NTC181101</t>
  </si>
  <si>
    <t>NTC040201</t>
  </si>
  <si>
    <t>NTC425101</t>
  </si>
  <si>
    <t>NTC424101</t>
  </si>
  <si>
    <t>NTC259101</t>
  </si>
  <si>
    <t>NTC282101</t>
  </si>
  <si>
    <t>NTC409101</t>
  </si>
  <si>
    <t>NTC241101</t>
  </si>
  <si>
    <t>NTC542101</t>
  </si>
  <si>
    <t>NTC606103</t>
  </si>
  <si>
    <t>NTC606101</t>
  </si>
  <si>
    <t>NTC606102</t>
  </si>
  <si>
    <t>NTC062101</t>
  </si>
  <si>
    <t>NTC206104</t>
  </si>
  <si>
    <t>NTC206107</t>
  </si>
  <si>
    <t>NTC024409</t>
  </si>
  <si>
    <t>NTC024509</t>
  </si>
  <si>
    <t>NTC024009</t>
  </si>
  <si>
    <t>NTC024109</t>
  </si>
  <si>
    <t>NTC024406</t>
  </si>
  <si>
    <t>NTC024506</t>
  </si>
  <si>
    <t>NTC024106</t>
  </si>
  <si>
    <t>NTC024706</t>
  </si>
  <si>
    <t>NTC024408</t>
  </si>
  <si>
    <t>NTC024108</t>
  </si>
  <si>
    <t>NTC024111</t>
  </si>
  <si>
    <t>NTC024503</t>
  </si>
  <si>
    <t>NTC024103</t>
  </si>
  <si>
    <t>NTC024703</t>
  </si>
  <si>
    <t>NTC024505</t>
  </si>
  <si>
    <t>NTC024105</t>
  </si>
  <si>
    <t>NTC024705</t>
  </si>
  <si>
    <t>NTC024504</t>
  </si>
  <si>
    <t>NTC024104</t>
  </si>
  <si>
    <t>NTC024704</t>
  </si>
  <si>
    <t>NTC024407</t>
  </si>
  <si>
    <t>NTC024507</t>
  </si>
  <si>
    <t>NTC024107</t>
  </si>
  <si>
    <t>NTC024707</t>
  </si>
  <si>
    <t>NTC609101</t>
  </si>
  <si>
    <t>NTC598101</t>
  </si>
  <si>
    <t>NTC552101</t>
  </si>
  <si>
    <t>NTC568101</t>
  </si>
  <si>
    <t>NTC470101</t>
  </si>
  <si>
    <t>NTC300101</t>
  </si>
  <si>
    <t>NTC426101</t>
  </si>
  <si>
    <t>NTC171101</t>
  </si>
  <si>
    <t>NTC201101</t>
  </si>
  <si>
    <t>NTC201201</t>
  </si>
  <si>
    <t>NTC002101</t>
  </si>
  <si>
    <t>NTC002401</t>
  </si>
  <si>
    <t>NTC266201</t>
  </si>
  <si>
    <t>NTC266101</t>
  </si>
  <si>
    <t>NTC564101</t>
  </si>
  <si>
    <t>NTC066101</t>
  </si>
  <si>
    <t>Betaine Anhydrous Capsules (1500 MG) (120 Capsules)</t>
  </si>
  <si>
    <t>NTC047101</t>
  </si>
  <si>
    <t>NTC169101</t>
  </si>
  <si>
    <t>NTC045101</t>
  </si>
  <si>
    <t>NTC223101</t>
  </si>
  <si>
    <t>NTC222101</t>
  </si>
  <si>
    <t>NTC026101</t>
  </si>
  <si>
    <t>NTC482101</t>
  </si>
  <si>
    <t>NTC246102</t>
  </si>
  <si>
    <t>NTC246101</t>
  </si>
  <si>
    <t>NTC093101</t>
  </si>
  <si>
    <t>NTC485101</t>
  </si>
  <si>
    <t>NTC474101</t>
  </si>
  <si>
    <t>NTC344101</t>
  </si>
  <si>
    <t>NTC307101</t>
  </si>
  <si>
    <t>NTC504101</t>
  </si>
  <si>
    <t>NTC357101</t>
  </si>
  <si>
    <t>NTC263101</t>
  </si>
  <si>
    <t>NTC531101</t>
  </si>
  <si>
    <t>NTC200101</t>
  </si>
  <si>
    <t>NTC234101</t>
  </si>
  <si>
    <t>NTC605102</t>
  </si>
  <si>
    <t>NTC605101</t>
  </si>
  <si>
    <t>NTC230201</t>
  </si>
  <si>
    <t>NTC230301</t>
  </si>
  <si>
    <t>NTC329101</t>
  </si>
  <si>
    <t>NTC209101</t>
  </si>
  <si>
    <t>NTC143301</t>
  </si>
  <si>
    <t>NTC143101</t>
  </si>
  <si>
    <t>NTC143201</t>
  </si>
  <si>
    <t>NTC143102</t>
  </si>
  <si>
    <t>NTC342101</t>
  </si>
  <si>
    <t>NTC014501</t>
  </si>
  <si>
    <t>NTC014601</t>
  </si>
  <si>
    <t>NTC014301</t>
  </si>
  <si>
    <t>NTC014401</t>
  </si>
  <si>
    <t>NTC014201</t>
  </si>
  <si>
    <t>NTC546101</t>
  </si>
  <si>
    <t>NTC375101</t>
  </si>
  <si>
    <t>NTC373101</t>
  </si>
  <si>
    <t>NTC195101</t>
  </si>
  <si>
    <t>NTC130101</t>
  </si>
  <si>
    <t>NTC130201</t>
  </si>
  <si>
    <t>NTC439101</t>
  </si>
  <si>
    <t>NTC553101</t>
  </si>
  <si>
    <t>NTC441101</t>
  </si>
  <si>
    <t>NTC233109</t>
  </si>
  <si>
    <t>NTC233209</t>
  </si>
  <si>
    <t>NTC233101</t>
  </si>
  <si>
    <t>NTC233201</t>
  </si>
  <si>
    <t>NTC233102</t>
  </si>
  <si>
    <t>NTC233202</t>
  </si>
  <si>
    <t>NTC281101</t>
  </si>
  <si>
    <t>NTC394101</t>
  </si>
  <si>
    <t>NTC204201</t>
  </si>
  <si>
    <t>NTC204101</t>
  </si>
  <si>
    <t>NTC297101</t>
  </si>
  <si>
    <t>NTC250101</t>
  </si>
  <si>
    <t>NTC461101</t>
  </si>
  <si>
    <t>NTC537101</t>
  </si>
  <si>
    <t>NTC537201</t>
  </si>
  <si>
    <t>NTC516101</t>
  </si>
  <si>
    <t>NTC298101</t>
  </si>
  <si>
    <t>NTC015101</t>
  </si>
  <si>
    <t>NTC008301</t>
  </si>
  <si>
    <t>NTC354101</t>
  </si>
  <si>
    <t>NTC381101</t>
  </si>
  <si>
    <t>NTC041101</t>
  </si>
  <si>
    <t>NTC429101</t>
  </si>
  <si>
    <t>NTC245101</t>
  </si>
  <si>
    <t>NTC431201</t>
  </si>
  <si>
    <t>NTC431101</t>
  </si>
  <si>
    <t>NTC312201</t>
  </si>
  <si>
    <t>NTC312101</t>
  </si>
  <si>
    <t>NTC308101</t>
  </si>
  <si>
    <t>NTC308301</t>
  </si>
  <si>
    <t>NTC308201</t>
  </si>
  <si>
    <t>NTC551101</t>
  </si>
  <si>
    <t>NTC083201</t>
  </si>
  <si>
    <t>NTC083101</t>
  </si>
  <si>
    <t>NTC135101</t>
  </si>
  <si>
    <t>NTC135201</t>
  </si>
  <si>
    <t>NTC139101</t>
  </si>
  <si>
    <t>NTC137101</t>
  </si>
  <si>
    <t>NTC137201</t>
  </si>
  <si>
    <t>NTC210101</t>
  </si>
  <si>
    <t>NTC210201</t>
  </si>
  <si>
    <t>NTC536101</t>
  </si>
  <si>
    <t>NTC154101</t>
  </si>
  <si>
    <t>NTC459101</t>
  </si>
  <si>
    <t>Colloidal Silver [4 oz]</t>
  </si>
  <si>
    <t>NTC459201</t>
  </si>
  <si>
    <t>Colloidal Silver [8 oz]</t>
  </si>
  <si>
    <t>NTC102101</t>
  </si>
  <si>
    <t>NTC478101</t>
  </si>
  <si>
    <t>NTC021101</t>
  </si>
  <si>
    <t>NTC021301</t>
  </si>
  <si>
    <t>NTC021201</t>
  </si>
  <si>
    <t>NTC545101</t>
  </si>
  <si>
    <t>NTC199101</t>
  </si>
  <si>
    <t>NTC305201</t>
  </si>
  <si>
    <t>NTC305101</t>
  </si>
  <si>
    <t>NTC240102</t>
  </si>
  <si>
    <t>NTC240101</t>
  </si>
  <si>
    <t>NTC111101</t>
  </si>
  <si>
    <t>NTC521101</t>
  </si>
  <si>
    <t>NTC125201</t>
  </si>
  <si>
    <t>NTC125101</t>
  </si>
  <si>
    <t>NTC088201</t>
  </si>
  <si>
    <t>NTC088101</t>
  </si>
  <si>
    <t>NTC484109</t>
  </si>
  <si>
    <t>NTC030201</t>
  </si>
  <si>
    <t>NTC030103</t>
  </si>
  <si>
    <t>NTC030102</t>
  </si>
  <si>
    <t>NTC030105</t>
  </si>
  <si>
    <t>NTC030104</t>
  </si>
  <si>
    <t>NTC099101</t>
  </si>
  <si>
    <t>NTC010301</t>
  </si>
  <si>
    <t>NTC010201</t>
  </si>
  <si>
    <t>NTC010303</t>
  </si>
  <si>
    <t>NTC163101</t>
  </si>
  <si>
    <t>NTC170101</t>
  </si>
  <si>
    <t>NTC170201</t>
  </si>
  <si>
    <t>NTC170301</t>
  </si>
  <si>
    <t>NTC244101</t>
  </si>
  <si>
    <t>NTC035201</t>
  </si>
  <si>
    <t>NTC035101</t>
  </si>
  <si>
    <t>NTC161101</t>
  </si>
  <si>
    <t>NTC418101</t>
  </si>
  <si>
    <t>NTC189301</t>
  </si>
  <si>
    <t>NTC189101</t>
  </si>
  <si>
    <t>NTC189201</t>
  </si>
  <si>
    <t>NTC301201</t>
  </si>
  <si>
    <t>NTC301501</t>
  </si>
  <si>
    <t>NTC301101</t>
  </si>
  <si>
    <t>NTC301301</t>
  </si>
  <si>
    <t>NTC301401</t>
  </si>
  <si>
    <t>NTC301601</t>
  </si>
  <si>
    <t>NTC152101</t>
  </si>
  <si>
    <t>NTC073101</t>
  </si>
  <si>
    <t>NTC535101</t>
  </si>
  <si>
    <t>NTC036101</t>
  </si>
  <si>
    <t>NTC182101</t>
  </si>
  <si>
    <t>NTC140101</t>
  </si>
  <si>
    <t>NTC539101</t>
  </si>
  <si>
    <t>NTC462109</t>
  </si>
  <si>
    <t>NTC462101</t>
  </si>
  <si>
    <t>NTC462102</t>
  </si>
  <si>
    <t>NTC462103</t>
  </si>
  <si>
    <t>NTC462104</t>
  </si>
  <si>
    <t>NTC190101</t>
  </si>
  <si>
    <t>NTC184101</t>
  </si>
  <si>
    <t>NTC526209</t>
  </si>
  <si>
    <t>NTC526109</t>
  </si>
  <si>
    <t>NTC227101</t>
  </si>
  <si>
    <t>NTC215101</t>
  </si>
  <si>
    <t>NTC456101</t>
  </si>
  <si>
    <t>NTC576101</t>
  </si>
  <si>
    <t>NTC225103</t>
  </si>
  <si>
    <t>NTC594101</t>
  </si>
  <si>
    <t>NTC561101</t>
  </si>
  <si>
    <t>NTC556101</t>
  </si>
  <si>
    <t>NTC198101</t>
  </si>
  <si>
    <t>NTC544101</t>
  </si>
  <si>
    <t>NTC020101</t>
  </si>
  <si>
    <t>NTC175101</t>
  </si>
  <si>
    <t>NTC508101</t>
  </si>
  <si>
    <t>NTC511101</t>
  </si>
  <si>
    <t>NTC511201</t>
  </si>
  <si>
    <t>NTC550101</t>
  </si>
  <si>
    <t>NTC129001</t>
  </si>
  <si>
    <t>NTC082101</t>
  </si>
  <si>
    <t>NTC483101</t>
  </si>
  <si>
    <t>NTC558101</t>
  </si>
  <si>
    <t>NTC412101</t>
  </si>
  <si>
    <t>NTC413101</t>
  </si>
  <si>
    <t>NTC031101</t>
  </si>
  <si>
    <t>NTC155101</t>
  </si>
  <si>
    <t>NTC141101</t>
  </si>
  <si>
    <t>NTC016101</t>
  </si>
  <si>
    <t>NTC074101</t>
  </si>
  <si>
    <t>NTC064101</t>
  </si>
  <si>
    <t>NTC388101</t>
  </si>
  <si>
    <t>NTC142101</t>
  </si>
  <si>
    <t>NTC284101</t>
  </si>
  <si>
    <t>NTC420101</t>
  </si>
  <si>
    <t>NTC172101</t>
  </si>
  <si>
    <t>NTC324101</t>
  </si>
  <si>
    <t>NTC440101</t>
  </si>
  <si>
    <t>NTC338101</t>
  </si>
  <si>
    <t>NTC128101</t>
  </si>
  <si>
    <t>NTC228101</t>
  </si>
  <si>
    <t>NTC128104</t>
  </si>
  <si>
    <t>NTC128103</t>
  </si>
  <si>
    <t>NTC128102</t>
  </si>
  <si>
    <t>NTC393201</t>
  </si>
  <si>
    <t>NTC393101</t>
  </si>
  <si>
    <t>NTC156103</t>
  </si>
  <si>
    <t>NTC156203</t>
  </si>
  <si>
    <t>NTC156101</t>
  </si>
  <si>
    <t>NTC156201</t>
  </si>
  <si>
    <t>NTC156204</t>
  </si>
  <si>
    <t>NTC156102</t>
  </si>
  <si>
    <t>NTC156202</t>
  </si>
  <si>
    <t>NTC157103</t>
  </si>
  <si>
    <t>NTC157203</t>
  </si>
  <si>
    <t>NTC157101</t>
  </si>
  <si>
    <t>NTC157201</t>
  </si>
  <si>
    <t>NTC157204</t>
  </si>
  <si>
    <t>NTC157102</t>
  </si>
  <si>
    <t>NTC157202</t>
  </si>
  <si>
    <t>NTC260101</t>
  </si>
  <si>
    <t>NTC273101</t>
  </si>
  <si>
    <t>NTC414101</t>
  </si>
  <si>
    <t>NTC507101</t>
  </si>
  <si>
    <t>NTC326101</t>
  </si>
  <si>
    <t>NTC530101</t>
  </si>
  <si>
    <t>NTC217201</t>
  </si>
  <si>
    <t>NTC217101</t>
  </si>
  <si>
    <t>NTC224109</t>
  </si>
  <si>
    <t>NTC261101</t>
  </si>
  <si>
    <t>NTC017101</t>
  </si>
  <si>
    <t>NTC289101</t>
  </si>
  <si>
    <t>NTC267101</t>
  </si>
  <si>
    <t>NTC590101</t>
  </si>
  <si>
    <t>NTC328101</t>
  </si>
  <si>
    <t>NTC319101</t>
  </si>
  <si>
    <t>NTC221103</t>
  </si>
  <si>
    <t>NTC318101</t>
  </si>
  <si>
    <t>NTC498101</t>
  </si>
  <si>
    <t>NTC379101</t>
  </si>
  <si>
    <t>NTC438101</t>
  </si>
  <si>
    <t>NTC370101</t>
  </si>
  <si>
    <t>NTC602101</t>
  </si>
  <si>
    <t>NTC602201</t>
  </si>
  <si>
    <t>NTC487101</t>
  </si>
  <si>
    <t>NTC497101</t>
  </si>
  <si>
    <t>NTC360101</t>
  </si>
  <si>
    <t>NTC569101</t>
  </si>
  <si>
    <t>NTC113101</t>
  </si>
  <si>
    <t>NTC593102</t>
  </si>
  <si>
    <t>NTC593104</t>
  </si>
  <si>
    <t>NTC593101</t>
  </si>
  <si>
    <t>NTC593103</t>
  </si>
  <si>
    <t>NTC573101</t>
  </si>
  <si>
    <t>NTC119101</t>
  </si>
  <si>
    <t>NTC123101</t>
  </si>
  <si>
    <t>NTC572101</t>
  </si>
  <si>
    <t>NTC349101</t>
  </si>
  <si>
    <t>NTC348101</t>
  </si>
  <si>
    <t>NTC400101</t>
  </si>
  <si>
    <t>NTC405101</t>
  </si>
  <si>
    <t>NTC347101</t>
  </si>
  <si>
    <t>NTC160101</t>
  </si>
  <si>
    <t>NTC042101</t>
  </si>
  <si>
    <t>NTC188101</t>
  </si>
  <si>
    <t>NTC288101</t>
  </si>
  <si>
    <t>NTC288201</t>
  </si>
  <si>
    <t>NTC053101</t>
  </si>
  <si>
    <t>NTC588101</t>
  </si>
  <si>
    <t>NTC588102</t>
  </si>
  <si>
    <t>NTC051101</t>
  </si>
  <si>
    <t>NTC004301</t>
  </si>
  <si>
    <t>NTC004101</t>
  </si>
  <si>
    <t>NTC004201</t>
  </si>
  <si>
    <t>NTC248101</t>
  </si>
  <si>
    <t>NTC248201</t>
  </si>
  <si>
    <t>NTC033401</t>
  </si>
  <si>
    <t>NTC033301</t>
  </si>
  <si>
    <t>NTC033101</t>
  </si>
  <si>
    <t>NTC033201</t>
  </si>
  <si>
    <t>NTC258101</t>
  </si>
  <si>
    <t>NTC287101</t>
  </si>
  <si>
    <t>NTC287201</t>
  </si>
  <si>
    <t>NTC097201</t>
  </si>
  <si>
    <t>NTC097101</t>
  </si>
  <si>
    <t>NTC070201</t>
  </si>
  <si>
    <t>NTC070101</t>
  </si>
  <si>
    <t>NTC003301</t>
  </si>
  <si>
    <t>NTC003101</t>
  </si>
  <si>
    <t>NTC003201</t>
  </si>
  <si>
    <t>NTC003103</t>
  </si>
  <si>
    <t>NTC003203</t>
  </si>
  <si>
    <t>NTC003105</t>
  </si>
  <si>
    <t>NTC003205</t>
  </si>
  <si>
    <t>NTC003104</t>
  </si>
  <si>
    <t>NTC003204</t>
  </si>
  <si>
    <t>NTC475101</t>
  </si>
  <si>
    <t>NTC061101</t>
  </si>
  <si>
    <t>NTC025201</t>
  </si>
  <si>
    <t>NTC025401</t>
  </si>
  <si>
    <t>NTC025101</t>
  </si>
  <si>
    <t>NTC555102</t>
  </si>
  <si>
    <t>NTC025103</t>
  </si>
  <si>
    <t>NTC025102</t>
  </si>
  <si>
    <t>NTC555101</t>
  </si>
  <si>
    <t>NTC505101</t>
  </si>
  <si>
    <t>NTC133101</t>
  </si>
  <si>
    <t>NTC522101</t>
  </si>
  <si>
    <t>NTC046101</t>
  </si>
  <si>
    <t>NTC055201</t>
  </si>
  <si>
    <t>NTC055101</t>
  </si>
  <si>
    <t>NTC178201</t>
  </si>
  <si>
    <t>NTC178101</t>
  </si>
  <si>
    <t>NTC376201</t>
  </si>
  <si>
    <t>NTC376101</t>
  </si>
  <si>
    <t>NTC604101</t>
  </si>
  <si>
    <t>NTC050101</t>
  </si>
  <si>
    <t>NTC057101</t>
  </si>
  <si>
    <t>NTC385101</t>
  </si>
  <si>
    <t>NTC286101</t>
  </si>
  <si>
    <t>NTC362101</t>
  </si>
  <si>
    <t>NTC304101</t>
  </si>
  <si>
    <t>NTC043101</t>
  </si>
  <si>
    <t>NTC043201</t>
  </si>
  <si>
    <t>NTC039101</t>
  </si>
  <si>
    <t>NTC095101</t>
  </si>
  <si>
    <t>NTC037201</t>
  </si>
  <si>
    <t>NTC037101</t>
  </si>
  <si>
    <t>NTC037301</t>
  </si>
  <si>
    <t>NTC037401</t>
  </si>
  <si>
    <t>NTC159101</t>
  </si>
  <si>
    <t>NTC148101</t>
  </si>
  <si>
    <t>NTC134101</t>
  </si>
  <si>
    <t>NTC570101</t>
  </si>
  <si>
    <t>NTC313101</t>
  </si>
  <si>
    <t>NTC252201</t>
  </si>
  <si>
    <t>NTC252101</t>
  </si>
  <si>
    <t>NTC252301</t>
  </si>
  <si>
    <t>NTC292101</t>
  </si>
  <si>
    <t>NTC436101</t>
  </si>
  <si>
    <t>NTC468101</t>
  </si>
  <si>
    <t>NTC467101</t>
  </si>
  <si>
    <t>NTC432101</t>
  </si>
  <si>
    <t>NTC432201</t>
  </si>
  <si>
    <t>NTC434101</t>
  </si>
  <si>
    <t>NTC434201</t>
  </si>
  <si>
    <t>NTC018101</t>
  </si>
  <si>
    <t>NTC302101</t>
  </si>
  <si>
    <t>NTC302201</t>
  </si>
  <si>
    <t>NTC131101</t>
  </si>
  <si>
    <t>NTC131201</t>
  </si>
  <si>
    <t>NTC404101</t>
  </si>
  <si>
    <t>NTC600101</t>
  </si>
  <si>
    <t>NTC599201</t>
  </si>
  <si>
    <t>NTC599301</t>
  </si>
  <si>
    <t>NTC599101</t>
  </si>
  <si>
    <t>NTC132102</t>
  </si>
  <si>
    <t>NTC457101</t>
  </si>
  <si>
    <t>NTC469101</t>
  </si>
  <si>
    <t>NTC390101</t>
  </si>
  <si>
    <t>NTC417101</t>
  </si>
  <si>
    <t>NTC356101</t>
  </si>
  <si>
    <t>NTC120101</t>
  </si>
  <si>
    <t>NTC547101</t>
  </si>
  <si>
    <t>NTC332101</t>
  </si>
  <si>
    <t>NTC332201</t>
  </si>
  <si>
    <t>NTC306101</t>
  </si>
  <si>
    <t>NTC306201</t>
  </si>
  <si>
    <t>NTC173301</t>
  </si>
  <si>
    <t>NTC173101</t>
  </si>
  <si>
    <t>NTC173201</t>
  </si>
  <si>
    <t>NTC251101</t>
  </si>
  <si>
    <t>NTC479101</t>
  </si>
  <si>
    <t>NTC607101</t>
  </si>
  <si>
    <t>NTC291101</t>
  </si>
  <si>
    <t>NTC591104</t>
  </si>
  <si>
    <t>NTC591103</t>
  </si>
  <si>
    <t>NTC591101</t>
  </si>
  <si>
    <t>NTC138301</t>
  </si>
  <si>
    <t>NTC138101</t>
  </si>
  <si>
    <t>NTC138201</t>
  </si>
  <si>
    <t>NTC138103</t>
  </si>
  <si>
    <t>NTC138102</t>
  </si>
  <si>
    <t>NTC226101</t>
  </si>
  <si>
    <t>NTC226102</t>
  </si>
  <si>
    <t>NTC509101</t>
  </si>
  <si>
    <t>NTC510101</t>
  </si>
  <si>
    <t>NTC019101</t>
  </si>
  <si>
    <t>NTC345101</t>
  </si>
  <si>
    <t>NTC352101</t>
  </si>
  <si>
    <t>NTC346101</t>
  </si>
  <si>
    <t>NTC341101</t>
  </si>
  <si>
    <t>NTC365101</t>
  </si>
  <si>
    <t>NTC366101</t>
  </si>
  <si>
    <t>NTC363101</t>
  </si>
  <si>
    <t>NTC364101</t>
  </si>
  <si>
    <t>NTC384101</t>
  </si>
  <si>
    <t>NTC238101</t>
  </si>
  <si>
    <t>NTC054101</t>
  </si>
  <si>
    <t>NTC610101</t>
  </si>
  <si>
    <t>NTC585101</t>
  </si>
  <si>
    <t>NTC327101</t>
  </si>
  <si>
    <t>NTC320101</t>
  </si>
  <si>
    <t>NTC048101</t>
  </si>
  <si>
    <t>NTC476101</t>
  </si>
  <si>
    <t>NTC205101</t>
  </si>
  <si>
    <t>NTC212101</t>
  </si>
  <si>
    <t>NTC092101</t>
  </si>
  <si>
    <t>NTC117101</t>
  </si>
  <si>
    <t>NTC520101</t>
  </si>
  <si>
    <t>NTC506101</t>
  </si>
  <si>
    <t>NTC257101</t>
  </si>
  <si>
    <t>NTC052201</t>
  </si>
  <si>
    <t>NTC052101</t>
  </si>
  <si>
    <t>NTC052301</t>
  </si>
  <si>
    <t>NTC192101</t>
  </si>
  <si>
    <t>NTC192201</t>
  </si>
  <si>
    <t>NTC187101</t>
  </si>
  <si>
    <t>NTC081101</t>
  </si>
  <si>
    <t>NTC450101</t>
  </si>
  <si>
    <t>NTC237101</t>
  </si>
  <si>
    <t>NTC374101</t>
  </si>
  <si>
    <t>NTC401101</t>
  </si>
  <si>
    <t>NTC422101</t>
  </si>
  <si>
    <t>NTC351101</t>
  </si>
  <si>
    <t>NTC339101</t>
  </si>
  <si>
    <t>NTC382101</t>
  </si>
  <si>
    <t>NTC008101</t>
  </si>
  <si>
    <t>NTC149101</t>
  </si>
  <si>
    <t>NTC018201</t>
  </si>
  <si>
    <t>NTC001201</t>
  </si>
  <si>
    <t>NTC472101</t>
  </si>
  <si>
    <t>NTC296101</t>
  </si>
  <si>
    <t>NTC471101</t>
  </si>
  <si>
    <t>NTC032101</t>
  </si>
  <si>
    <t>NTC032401</t>
  </si>
  <si>
    <t>NTC262101</t>
  </si>
  <si>
    <t>NTC262201</t>
  </si>
  <si>
    <t>NTC371101</t>
  </si>
  <si>
    <t>NTC367101</t>
  </si>
  <si>
    <t>NTC180101</t>
  </si>
  <si>
    <t>NTC389101</t>
  </si>
  <si>
    <t>NTC389201</t>
  </si>
  <si>
    <t>NTC389301</t>
  </si>
  <si>
    <t>NTC559101</t>
  </si>
  <si>
    <t>NTC563101</t>
  </si>
  <si>
    <t>NTC565101</t>
  </si>
  <si>
    <t>NTC310201</t>
  </si>
  <si>
    <t>NTC574101</t>
  </si>
  <si>
    <t>NTC577101</t>
  </si>
  <si>
    <t>NTC562101</t>
  </si>
  <si>
    <t>NTC567101</t>
  </si>
  <si>
    <t>NTC582101</t>
  </si>
  <si>
    <t>NTC548101</t>
  </si>
  <si>
    <t>NTC150101</t>
  </si>
  <si>
    <t>NTC554101</t>
  </si>
  <si>
    <t>NTC442101</t>
  </si>
  <si>
    <t>NTC523101</t>
  </si>
  <si>
    <t>NTC255109</t>
  </si>
  <si>
    <t>NTC255209</t>
  </si>
  <si>
    <t>NTC337101</t>
  </si>
  <si>
    <t>NTC419101</t>
  </si>
  <si>
    <t>NTC336101</t>
  </si>
  <si>
    <t>NTC451101</t>
  </si>
  <si>
    <t>NTC448101</t>
  </si>
  <si>
    <t>NTC449101</t>
  </si>
  <si>
    <t>NTC397101</t>
  </si>
  <si>
    <t>NTC314109</t>
  </si>
  <si>
    <t>NTC314209</t>
  </si>
  <si>
    <t>NTC378101</t>
  </si>
  <si>
    <t>NTC091201</t>
  </si>
  <si>
    <t>NTC091101</t>
  </si>
  <si>
    <t>NTC494101</t>
  </si>
  <si>
    <t>NTC193201</t>
  </si>
  <si>
    <t>NTC193101</t>
  </si>
  <si>
    <t>NTC490106</t>
  </si>
  <si>
    <t>NTC490105</t>
  </si>
  <si>
    <t>NTC490104</t>
  </si>
  <si>
    <t>NTC270102</t>
  </si>
  <si>
    <t>NTC270202</t>
  </si>
  <si>
    <t>NTC270105</t>
  </si>
  <si>
    <t>NTC270205</t>
  </si>
  <si>
    <t>NTC270106</t>
  </si>
  <si>
    <t>NTC270206</t>
  </si>
  <si>
    <t>NTC270107</t>
  </si>
  <si>
    <t>NTC270207</t>
  </si>
  <si>
    <t>NTC595201</t>
  </si>
  <si>
    <t>NTC407401</t>
  </si>
  <si>
    <t>NTC407101</t>
  </si>
  <si>
    <t>NTC407301</t>
  </si>
  <si>
    <t>NTC407201</t>
  </si>
  <si>
    <t>NTC575101</t>
  </si>
  <si>
    <t>NTC575201</t>
  </si>
  <si>
    <t>NTC575103</t>
  </si>
  <si>
    <t>NTC575203</t>
  </si>
  <si>
    <t>NTC575102</t>
  </si>
  <si>
    <t>NTC575202</t>
  </si>
  <si>
    <t>NTC517101</t>
  </si>
  <si>
    <t>NTC151101</t>
  </si>
  <si>
    <t>NTC518101</t>
  </si>
  <si>
    <t>NTC029101</t>
  </si>
  <si>
    <t>NTC056101</t>
  </si>
  <si>
    <t>NTC029201</t>
  </si>
  <si>
    <t>NTC322101</t>
  </si>
  <si>
    <t>NTC428101</t>
  </si>
  <si>
    <t>NTC427101</t>
  </si>
  <si>
    <t>NTC106201</t>
  </si>
  <si>
    <t>NTC106101</t>
  </si>
  <si>
    <t>NTC458201</t>
  </si>
  <si>
    <t>NTC458101</t>
  </si>
  <si>
    <t>NTC447101</t>
  </si>
  <si>
    <t>NTC443101</t>
  </si>
  <si>
    <t>NTC295101</t>
  </si>
  <si>
    <t>NTC229101</t>
  </si>
  <si>
    <t>NTC022101</t>
  </si>
  <si>
    <t>NTC176101</t>
  </si>
  <si>
    <t>NTC399101</t>
  </si>
  <si>
    <t>NTC416101</t>
  </si>
  <si>
    <t>NTC430101</t>
  </si>
  <si>
    <t>NTC423101</t>
  </si>
  <si>
    <t>NTC501101</t>
  </si>
  <si>
    <t>NTC179101</t>
  </si>
  <si>
    <t>NTC454101</t>
  </si>
  <si>
    <t>NTC453101</t>
  </si>
  <si>
    <t>NTC445101</t>
  </si>
  <si>
    <t>NTC249101</t>
  </si>
  <si>
    <t>NTC249201</t>
  </si>
  <si>
    <t>NTC549101</t>
  </si>
  <si>
    <t>NTC168101</t>
  </si>
  <si>
    <t>NTC100101</t>
  </si>
  <si>
    <t>NTC330101</t>
  </si>
  <si>
    <t>NTC309101</t>
  </si>
  <si>
    <t>NTC368101</t>
  </si>
  <si>
    <t>NTC377101</t>
  </si>
  <si>
    <t>NTC377201</t>
  </si>
  <si>
    <t>NTC455101</t>
  </si>
  <si>
    <t>NTC515101</t>
  </si>
  <si>
    <t>NTC126101</t>
  </si>
  <si>
    <t>NTC269101</t>
  </si>
  <si>
    <t>NTC358101</t>
  </si>
  <si>
    <t>NTC211101</t>
  </si>
  <si>
    <t>NTC333102</t>
  </si>
  <si>
    <t>NTC333103</t>
  </si>
  <si>
    <t>NTC333101</t>
  </si>
  <si>
    <t>NTC437101</t>
  </si>
  <si>
    <t>NTC488101</t>
  </si>
  <si>
    <t>NTC488201</t>
  </si>
  <si>
    <t>NTC236101</t>
  </si>
  <si>
    <t>NTC059201</t>
  </si>
  <si>
    <t>NTC059101</t>
  </si>
  <si>
    <t>NTC038301</t>
  </si>
  <si>
    <t>NTC038401</t>
  </si>
  <si>
    <t>NTC038201</t>
  </si>
  <si>
    <t>NTC098101</t>
  </si>
  <si>
    <t>NTC265101</t>
  </si>
  <si>
    <t>NTC065101</t>
  </si>
  <si>
    <t>NTC183201</t>
  </si>
  <si>
    <t>NTC183101</t>
  </si>
  <si>
    <t>NTC044101</t>
  </si>
  <si>
    <t>NTC044201</t>
  </si>
  <si>
    <t>NTC027201</t>
  </si>
  <si>
    <t>NTC027101</t>
  </si>
  <si>
    <t>NTC243101</t>
  </si>
  <si>
    <t>NTC247101</t>
  </si>
  <si>
    <t>NTC495101</t>
  </si>
  <si>
    <t>NTC406101</t>
  </si>
  <si>
    <t>NTC406201</t>
  </si>
  <si>
    <t>NTC023101</t>
  </si>
  <si>
    <t>NTC340201</t>
  </si>
  <si>
    <t>NTC543101</t>
  </si>
  <si>
    <t>NTC543201</t>
  </si>
  <si>
    <t>NTC465101</t>
  </si>
  <si>
    <t>NTC311101</t>
  </si>
  <si>
    <t>NTC208101</t>
  </si>
  <si>
    <t>NTC235101</t>
  </si>
  <si>
    <t>NTC072101</t>
  </si>
  <si>
    <t>NTC503101</t>
  </si>
  <si>
    <t>NTC086201</t>
  </si>
  <si>
    <t>NTC086101</t>
  </si>
  <si>
    <t>NTC219101</t>
  </si>
  <si>
    <t>NTC090101</t>
  </si>
  <si>
    <t>NTC499201</t>
  </si>
  <si>
    <t>NTC499101</t>
  </si>
  <si>
    <t>NTC079201</t>
  </si>
  <si>
    <t>NTC079101</t>
  </si>
  <si>
    <t>NTC500201</t>
  </si>
  <si>
    <t>NTC500101</t>
  </si>
  <si>
    <t>NTC220101</t>
  </si>
  <si>
    <t>NTC080101</t>
  </si>
  <si>
    <t>NTC078201</t>
  </si>
  <si>
    <t>NTC078101</t>
  </si>
  <si>
    <t>NTC034101</t>
  </si>
  <si>
    <t>NTC096101</t>
  </si>
  <si>
    <t>NTC076201</t>
  </si>
  <si>
    <t>NTC076101</t>
  </si>
  <si>
    <t>NTC077101</t>
  </si>
  <si>
    <t>NTC493101</t>
  </si>
  <si>
    <t>NTC492101</t>
  </si>
  <si>
    <t>NTC011103</t>
  </si>
  <si>
    <t>NTC011101</t>
  </si>
  <si>
    <t>NTC011102</t>
  </si>
  <si>
    <t>NTC153201</t>
  </si>
  <si>
    <t>NTC153101</t>
  </si>
  <si>
    <t>NTC294101</t>
  </si>
  <si>
    <t>NTC396101</t>
  </si>
  <si>
    <t>NTC071301</t>
  </si>
  <si>
    <t>NTC071101</t>
  </si>
  <si>
    <t>NTC071401</t>
  </si>
  <si>
    <t>NTC071201</t>
  </si>
  <si>
    <t>NTC075101</t>
  </si>
  <si>
    <t>NTC203101</t>
  </si>
  <si>
    <t>NTC207101</t>
  </si>
  <si>
    <t>NTC361101</t>
  </si>
  <si>
    <t>NTC174201</t>
  </si>
  <si>
    <t>NTC094203</t>
  </si>
  <si>
    <t>NTC094303</t>
  </si>
  <si>
    <t>NTC094201</t>
  </si>
  <si>
    <t>NTC094301</t>
  </si>
  <si>
    <t>NTC094204</t>
  </si>
  <si>
    <t>NTC094304</t>
  </si>
  <si>
    <t>NTC094205</t>
  </si>
  <si>
    <t>NTC094305</t>
  </si>
  <si>
    <t>NTC094202</t>
  </si>
  <si>
    <t>NTC094302</t>
  </si>
  <si>
    <t>NTC069203</t>
  </si>
  <si>
    <t>NTC069303</t>
  </si>
  <si>
    <t>NTC069210</t>
  </si>
  <si>
    <t>NTC069201</t>
  </si>
  <si>
    <t>NTC069301</t>
  </si>
  <si>
    <t>NTC069207</t>
  </si>
  <si>
    <t>NTC069307</t>
  </si>
  <si>
    <t>NTC069211</t>
  </si>
  <si>
    <t>NTC069311</t>
  </si>
  <si>
    <t>NTC069205</t>
  </si>
  <si>
    <t>NTC069305</t>
  </si>
  <si>
    <t>NTC069206</t>
  </si>
  <si>
    <t>NTC069306</t>
  </si>
  <si>
    <t>NTC069209</t>
  </si>
  <si>
    <t>NTC069204</t>
  </si>
  <si>
    <t>NTC069304</t>
  </si>
  <si>
    <t>NTC069202</t>
  </si>
  <si>
    <t>NTC069302</t>
  </si>
  <si>
    <t>NTC253101</t>
  </si>
  <si>
    <t>NTC353101</t>
  </si>
  <si>
    <t>NTC402201</t>
  </si>
  <si>
    <t>NTC586101</t>
  </si>
  <si>
    <t>NTC242101</t>
  </si>
  <si>
    <t>NTC299101</t>
  </si>
  <si>
    <t>NTC089101</t>
  </si>
  <si>
    <t>NTC089201</t>
  </si>
  <si>
    <t>NTC256101</t>
  </si>
  <si>
    <t>NTC571101</t>
  </si>
  <si>
    <t>NTC527101</t>
  </si>
  <si>
    <t>NTC285101</t>
  </si>
  <si>
    <t>NTC167201</t>
  </si>
  <si>
    <t>NTC167101</t>
  </si>
  <si>
    <t>NTC415201</t>
  </si>
  <si>
    <t>NTC415101</t>
  </si>
  <si>
    <t>NTC166201</t>
  </si>
  <si>
    <t>NTC166101</t>
  </si>
  <si>
    <t>NTC110101</t>
  </si>
  <si>
    <t>ORDER</t>
  </si>
  <si>
    <t>TOTAL</t>
  </si>
  <si>
    <t>Item</t>
  </si>
  <si>
    <r>
      <rPr>
        <b/>
        <sz val="11"/>
        <color rgb="FFFF0000"/>
        <rFont val="Aptos Narrow"/>
        <family val="2"/>
        <scheme val="minor"/>
      </rPr>
      <t>Importantly!</t>
    </r>
    <r>
      <rPr>
        <sz val="11"/>
        <color theme="1"/>
        <rFont val="Aptos Narrow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</si>
  <si>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Weight, kg</t>
  </si>
  <si>
    <t>Unіt Freight Cost</t>
  </si>
  <si>
    <t>unit, key</t>
  </si>
  <si>
    <t>Logistic Price</t>
  </si>
  <si>
    <t>Landed Cost</t>
  </si>
  <si>
    <t>NTC359201</t>
  </si>
  <si>
    <t>Zinc Gluconate Tablets [50 MG] [180 TAB]</t>
  </si>
  <si>
    <t>W Boric Acid Suppository [600 MG] [30 CAPS]</t>
  </si>
  <si>
    <t>Chanca Piedra Tablets [1800 MG] [120 TAB]</t>
  </si>
  <si>
    <t>Iron Bisglycinate [25 MG] [120 CAPS]</t>
  </si>
  <si>
    <t>NTC652101</t>
  </si>
  <si>
    <t>Probiotic Complex [1 Billion CFU] [60 CAPS]</t>
  </si>
  <si>
    <t>NTC101002</t>
  </si>
  <si>
    <t>Organic Vitamin B12 (Methylcobalamin) [5000 MCG] [3.8 fl oz]</t>
  </si>
  <si>
    <t>NTC101001</t>
  </si>
  <si>
    <t>Organic Cat's Claw (Uncaria Tomentosa) [1500 MG]  [3.8 fl oz]</t>
  </si>
  <si>
    <t>NTC999401</t>
  </si>
  <si>
    <t>Nutricolor Yellow (Organic Turmeric) [70 GMS]</t>
  </si>
  <si>
    <t>NTC753101</t>
  </si>
  <si>
    <t>Sodium Bicarbonate [2500 MG] [120 CAPS]</t>
  </si>
  <si>
    <t>NTC800151</t>
  </si>
  <si>
    <t>Organic Triphala [2000 MG] [120 CAPS]</t>
  </si>
  <si>
    <t>NTC405201</t>
  </si>
  <si>
    <t>Kids Vitamin C Gummies [250 MG] [60 GUM]</t>
  </si>
  <si>
    <t>NTC676101</t>
  </si>
  <si>
    <t>Clove Capsules 10:1 [100 MG] [120 CAP]</t>
  </si>
  <si>
    <t>NTC784101</t>
  </si>
  <si>
    <t>Wild Yam Root Extract [2500 MG] [120 CAPS]</t>
  </si>
  <si>
    <t>NTC999203</t>
  </si>
  <si>
    <t>Nutricolor Purple (Purple Sweet Potato) [75 GMS]</t>
  </si>
  <si>
    <t>NTC999202</t>
  </si>
  <si>
    <t>Nutricolor Red (Beet Root) [75 GMS]</t>
  </si>
  <si>
    <t>NTC999301</t>
  </si>
  <si>
    <t>Nutricolor Pink (Organic Beet Root) [60 GMS]</t>
  </si>
  <si>
    <t>DHEA Capsules [25 MG] [120 CAPS]</t>
  </si>
  <si>
    <t>Devil's Claw [1200 MG] [120 CAPS]</t>
  </si>
  <si>
    <t>Coconut Oil Softgels [1000 MG] [120 SFG]</t>
  </si>
  <si>
    <t>Melatonin Tablets [10 MG] [240 TABS]</t>
  </si>
  <si>
    <t>Passion Flower Extract [375 MG] [120 CAPS]</t>
  </si>
  <si>
    <t>Melatonin Tablets [3 MG] [240 TABS]</t>
  </si>
  <si>
    <t>W Folic Acid for Women [1200 MCG] [120 CAPS]</t>
  </si>
  <si>
    <t>Vitamin B12 Capsules [1000 MCG] [120 CAPS]</t>
  </si>
  <si>
    <t>Citric Acid Capsules [1000 MG] [120 CAPS]</t>
  </si>
  <si>
    <t>Vitamin B1 Capsules [100 MG] [120 CAPS]</t>
  </si>
  <si>
    <t>Bilberry Capsules [1,200 MG] [90 CAPS]</t>
  </si>
  <si>
    <t>NTC756201</t>
  </si>
  <si>
    <t>Vitamin C Gummies [500 MG] [120 GUM]</t>
  </si>
  <si>
    <t>Melatonin Tablets [5 MG] [240 TABS]</t>
  </si>
  <si>
    <t>NTC776101</t>
  </si>
  <si>
    <t>Red Clover [5000 MG] [120 CAPS]</t>
  </si>
  <si>
    <t>NTC618101</t>
  </si>
  <si>
    <t>Copper Glycinate [3 MG] [120 CAPS]</t>
  </si>
  <si>
    <t>Apple Cider Vinegar Gummies [500 MG] [60 GUM]</t>
  </si>
  <si>
    <t>NTC763101</t>
  </si>
  <si>
    <t>Kale Capsules [2000 MG] [120 CAPS]</t>
  </si>
  <si>
    <t>NTC764101</t>
  </si>
  <si>
    <t>Black Garlic Capsules [2000 MG] [60 CAPS]</t>
  </si>
  <si>
    <t>NTC101004</t>
  </si>
  <si>
    <t>Organic Ionic Zinc Liquid Drops [11 MG] [4 fl oz]</t>
  </si>
  <si>
    <t>NTC746101</t>
  </si>
  <si>
    <t>Corn Silk [150 MG] [90 CAPS]</t>
  </si>
  <si>
    <t>NTC771101</t>
  </si>
  <si>
    <t>Sarsaparilla Root Capsules [1500 MG] [120 CAPS]</t>
  </si>
  <si>
    <t>NTC741201</t>
  </si>
  <si>
    <t>Chlorophyll Softgels [50 MG] [30 SFG]</t>
  </si>
  <si>
    <t>NTC999101</t>
  </si>
  <si>
    <t>Nutricolor Green (Pandan Leaf) [50 GMS]</t>
  </si>
  <si>
    <t>NTC782101</t>
  </si>
  <si>
    <t>Red Raspberry Leaf [4500 MG] [120 CAPS]</t>
  </si>
  <si>
    <t>Calcium Citrate Powder [250 GMS] [Unflavored]</t>
  </si>
  <si>
    <t>Vitamin C Powder [0.5 LBS]</t>
  </si>
  <si>
    <t>Pregnenolone [10 MG] [120 CAPS]</t>
  </si>
  <si>
    <t>Valerian Root Capsules [500 MG] [120 CAPS]</t>
  </si>
  <si>
    <t>Baikal Skullcap Capsules [500 MG] [120 CAPS]</t>
  </si>
  <si>
    <t>Wormwood Capsules [450 MG] [120 CAPS]</t>
  </si>
  <si>
    <t>Melatonin Capsules [5 MG] [240 CAPS]</t>
  </si>
  <si>
    <t>Butterbur Extract Capsules [75 MG] [120 CAPS]</t>
  </si>
  <si>
    <t>Chromium Picolinate Tablets [1,000 MCG] [240 TABS]</t>
  </si>
  <si>
    <t>NTC678102</t>
  </si>
  <si>
    <t>Lactobacillus Acidophilus [500 MIL CFU] [120 CAPS]</t>
  </si>
  <si>
    <t>NTC773101</t>
  </si>
  <si>
    <t>Butcher's Broom [4500 MG] [120 CAPS]</t>
  </si>
  <si>
    <t>NTC800119</t>
  </si>
  <si>
    <t>Muira Puama Extract Capsules [3000 MG] [120 CAPS]</t>
  </si>
  <si>
    <t>Red Yeast Rice [1200 MG] [120 CAPS]</t>
  </si>
  <si>
    <t>NTC733101</t>
  </si>
  <si>
    <t>Neem Leaf [1100 MG] [120 CAPS]</t>
  </si>
  <si>
    <t>Bromelain Capsules [550 MG] [60 CAPS]</t>
  </si>
  <si>
    <t>Vitamin B6 [25 MG] [240 CAPS]</t>
  </si>
  <si>
    <t>Taurine Powder [250 GMS] [Unflavored]</t>
  </si>
  <si>
    <t>Magnesium Citrate Capsules [420 MG] [120 CAPS]</t>
  </si>
  <si>
    <t>Niacin (Vitamin B3) [100 MG] [240 CAPS]</t>
  </si>
  <si>
    <t>Melatonin Tablets [12 MG] [240 TABS]</t>
  </si>
  <si>
    <t>Dong Quai Capsules [565 MG] [120 CAPS]</t>
  </si>
  <si>
    <t>NTC754101</t>
  </si>
  <si>
    <t>Spearmint Leaf [1000 MG] [120 CAPS]</t>
  </si>
  <si>
    <t>Slippery Elm Bark Capsules [1000 MG] [120 CAPS]</t>
  </si>
  <si>
    <t>Kids Melatonin Gummies [1 MG] [120 GUM]</t>
  </si>
  <si>
    <t>Iodine [325MCG] [240TABS]</t>
  </si>
  <si>
    <t>Kelp Tablets [325 MCG] [240 TABS]</t>
  </si>
  <si>
    <t>Burdock Root Capsules [500 MG] [120 CAPS]</t>
  </si>
  <si>
    <t>St. Johns Wort [500 MG] [120 CAPS]</t>
  </si>
  <si>
    <t>Vitamin B12 Capsules [2000 MCG] [120 CAPS]</t>
  </si>
  <si>
    <t>W Biotin for Women [10,000 MCG] [120 CAPS]</t>
  </si>
  <si>
    <t>Manganese [8 MG] [120 CAPS]</t>
  </si>
  <si>
    <t>NTC800113</t>
  </si>
  <si>
    <t>Chitosan Capsules [1200 MG] [120 CAPS]</t>
  </si>
  <si>
    <t>NTC778101</t>
  </si>
  <si>
    <t>Yellow Dock Root Extract [3000 MG] [180 CAPS]</t>
  </si>
  <si>
    <t>NTC026201</t>
  </si>
  <si>
    <t>Biotin Capsules [10,000 MCG] [120 CAPS]</t>
  </si>
  <si>
    <t>NTC800148</t>
  </si>
  <si>
    <t>Black Walnut Hulls Capsules [4000 MG] [120 CAPS]</t>
  </si>
  <si>
    <t>NTC765101</t>
  </si>
  <si>
    <t>Zinc Bisglycinate Capsules [50 MG] [120 CAPS]</t>
  </si>
  <si>
    <t>NTC800117</t>
  </si>
  <si>
    <t>Methylated Vitamin B12 + Folate [2,000 MCG] [120 CAPS]</t>
  </si>
  <si>
    <t>PTY Peanut Butter Flour Powder [12.5 OZ]</t>
  </si>
  <si>
    <t>NTC659101</t>
  </si>
  <si>
    <t>Bioperine Capsules [10 MG] [120 CAPS]</t>
  </si>
  <si>
    <t>Kids Vitamin D3 Gummies [2500 IU] [120 GUM]</t>
  </si>
  <si>
    <t>L-Phenylalanine Capsules [500 MG] [180 CAPS]</t>
  </si>
  <si>
    <t>Magnesium Citrate Powder [250 GMS] [Unflavored]</t>
  </si>
  <si>
    <t>CLA Softgels [2400 MG] [120 SFG]</t>
  </si>
  <si>
    <t>Grass-Fed Collagen Powder [4 OZ] [Unflavored]</t>
  </si>
  <si>
    <t>NTC611101</t>
  </si>
  <si>
    <t>Zinc [15 MG] + Copper [2 MG] [120 CAPS]</t>
  </si>
  <si>
    <t>NTC800102</t>
  </si>
  <si>
    <t>Graviola Extract [4000 MG] [240 CAPS]</t>
  </si>
  <si>
    <t>NTC710101</t>
  </si>
  <si>
    <t>Flaxseed Oil [1200 MG] [120 SFG]</t>
  </si>
  <si>
    <t>Elderberry Capsules [575 MG] [120 CAPS]</t>
  </si>
  <si>
    <t>Sleep Aid Complex Capsules [90 CAPS]</t>
  </si>
  <si>
    <t>Magnesium Oxide [375 MG] [240 CAPS]</t>
  </si>
  <si>
    <t>NTC669101</t>
  </si>
  <si>
    <t>Caprylic Acid Softgels [1200 MG] [120 SFG]</t>
  </si>
  <si>
    <t>TMG Capsules [120 CAPS]</t>
  </si>
  <si>
    <t>DMAE Bitartrate Powder [100 GMS]</t>
  </si>
  <si>
    <t>Tribulus Terrestris Capsules [750 MG] [120 CAPS]</t>
  </si>
  <si>
    <t>Vitamin B2 Capsules [100 MG] [120 CAPS]</t>
  </si>
  <si>
    <t>NTC800143</t>
  </si>
  <si>
    <t>Molybdenum [500 MCG] [240 CAPS]</t>
  </si>
  <si>
    <t>NTC780101</t>
  </si>
  <si>
    <t>Apple Cider Vinegar Capsules [2,500 MG] [120 CAPS]</t>
  </si>
  <si>
    <t>Vitamin B12 Capsules [1000 MCG] [240 CAPS]</t>
  </si>
  <si>
    <t>NTC678101</t>
  </si>
  <si>
    <t>Lactobacillus Acidophilus Capsules [2 BIL CFU] [120 CAPS]</t>
  </si>
  <si>
    <t>NTC524101</t>
  </si>
  <si>
    <t>D-Aspartic Acid Capsules [2000 MG] [180 CAPS]</t>
  </si>
  <si>
    <t>Marshmallow Root [500 MG] [120 CAPS]</t>
  </si>
  <si>
    <t>Chicory Root Capsules [650 MG] [120 CAPS]</t>
  </si>
  <si>
    <t>Olive Leaf [20% Oleuropein] [90 CAP]</t>
  </si>
  <si>
    <t>Gymnema Sylvestre Extract Capsules [175 MG] [180 CAPS]</t>
  </si>
  <si>
    <t>Stinging Nettle Root Extract [20:1] [375 MG] [120 CAPS]</t>
  </si>
  <si>
    <t>Selenium Capsules [100 MCG] [240 CAPS]</t>
  </si>
  <si>
    <t>Vitamin D3 Softgels [1,000 IU] [240 SFG]</t>
  </si>
  <si>
    <t>Vitamin D3 Softgels [2000 IU] [240 SFG]</t>
  </si>
  <si>
    <t>Zinc Arginate Chelate [120 CAPS]</t>
  </si>
  <si>
    <t>Probiotic Complex [10 Billion CFU] [60 CAPS]</t>
  </si>
  <si>
    <t>Melatonin Capsules [10 MG] [240 CAPS]</t>
  </si>
  <si>
    <t>Organic Spirulina Tablets [500 MG] [240 TABS]</t>
  </si>
  <si>
    <t>PQQ Capsules [20 MG] [30 CAPS]</t>
  </si>
  <si>
    <t>White Kidney Bean Capsules [650 MG] [120 CAPS]</t>
  </si>
  <si>
    <t>Essential Oil [1 OZ] [Melaleuca]</t>
  </si>
  <si>
    <t>NTC752101</t>
  </si>
  <si>
    <t>Lemon Balm [3000 MG] [120 CAPS]</t>
  </si>
  <si>
    <t>NTC756101</t>
  </si>
  <si>
    <t>Vitamin C Gummies  [500 MG] [240 GUM]</t>
  </si>
  <si>
    <t>Brewer's Yeast Powder [1 LB]</t>
  </si>
  <si>
    <t>NTC616101</t>
  </si>
  <si>
    <t>DGL Capsules [500 MG] [120 CAPS]</t>
  </si>
  <si>
    <t>Calcium Carbonate Powder [500 GMS]</t>
  </si>
  <si>
    <t>Baking Soda Powder [1 LB] [Unflavored]</t>
  </si>
  <si>
    <t>Elderberry Gummies [BERRY] [50 MG] [90 GUM]</t>
  </si>
  <si>
    <t>Vanadium Capsules [2 MG]  [180 CAPS]</t>
  </si>
  <si>
    <t>Potassium Iodide [65 MG] [90 CAPS]</t>
  </si>
  <si>
    <t>Organic Shiitake Mushroom Powder [4 OZ] [Unflavored]</t>
  </si>
  <si>
    <t>NTC655101</t>
  </si>
  <si>
    <t>Energy Complex Capsules [120 CAPS]</t>
  </si>
  <si>
    <t>NTC664101</t>
  </si>
  <si>
    <t>White Willow Bark Capsules [1,200 MG] [120 CAP]</t>
  </si>
  <si>
    <t>Vitamin B6 Capsules [100 MG] [240 CAPS]</t>
  </si>
  <si>
    <t>NTC745101</t>
  </si>
  <si>
    <t>Chlorophyll Softgels [100 MG] [60 SFG]</t>
  </si>
  <si>
    <t>NTC741101</t>
  </si>
  <si>
    <t>Chlorophyll Softgels[50 MG] [60 SFG]</t>
  </si>
  <si>
    <t>NTC723101</t>
  </si>
  <si>
    <t>Theacrine (Teacrine) [100 MG] [60 CAPS]</t>
  </si>
  <si>
    <t>NTC779101</t>
  </si>
  <si>
    <t>Rosemary Leaf Extract [6000 MG] [120 CAPS]</t>
  </si>
  <si>
    <t>NTC789101</t>
  </si>
  <si>
    <t>Zinc Citrate [50 MG] [120 CAPS]</t>
  </si>
  <si>
    <t>NC EST Organic Castor Oil [8 OZ]</t>
  </si>
  <si>
    <t>NTC800101</t>
  </si>
  <si>
    <t>Sage Extract [4000 MG] [120 CAPS]</t>
  </si>
  <si>
    <t>NTC635101</t>
  </si>
  <si>
    <t>Peppermint Oil Softgels [50 MG] [120 SFG]</t>
  </si>
  <si>
    <t>N-Acetyl L-Tyrosine Powder [100 GMS]</t>
  </si>
  <si>
    <t>NTC767101</t>
  </si>
  <si>
    <t>Pomegranate Capsules [15000 MG] [120 CAPS]</t>
  </si>
  <si>
    <t>Cat's Claw [500 MG] [120 CAPS]</t>
  </si>
  <si>
    <t>Licorice Root [500 MG] [120 CAPS]</t>
  </si>
  <si>
    <t>NTC800129</t>
  </si>
  <si>
    <t>L-Lysine + Monolaurin [1200 MG] [120 CAPS]</t>
  </si>
  <si>
    <t>NTC800115</t>
  </si>
  <si>
    <t>W Vaginal Probiotic Capsules [10 BCFU] [60 CAPS]</t>
  </si>
  <si>
    <t>NTC777101</t>
  </si>
  <si>
    <t>Mullein Leaf Extract [20,000 MG] [120 CAPS]</t>
  </si>
  <si>
    <t>N-Acetyl L-Tyrosine Capsules [350 MG] [120 CAPS]</t>
  </si>
  <si>
    <t>Beta-Alanine Capsules [850 MG] [120 CAPS]</t>
  </si>
  <si>
    <t>Zinc Gluconate Capsules [50 MG] [120 CAPS]</t>
  </si>
  <si>
    <t>Methyl Folate [1000 MCG] [120 CAPS]</t>
  </si>
  <si>
    <t>Organic Amla (MWO) Capsules [500 MG] [120 CAPS]</t>
  </si>
  <si>
    <t>NTC775101</t>
  </si>
  <si>
    <t>Wild Lettuce [4000 MG] [120 CAPS]</t>
  </si>
  <si>
    <t>Yohimbine HCl Capsules [120 CAPS]</t>
  </si>
  <si>
    <t>Caffeine Capsules [200 MG] [120 CAPS]</t>
  </si>
  <si>
    <t>NTC748101</t>
  </si>
  <si>
    <t>L-Methionine [1000 MG] [120 CAPS]</t>
  </si>
  <si>
    <t>W Boric Acid Suppository RB2 [600MG] [60 CAPS]</t>
  </si>
  <si>
    <t>Activated Charcoal Capsules [260 MG] [120 CAPS]</t>
  </si>
  <si>
    <t>Calcium, Magnesium, &amp; Zinc Tablets [180 TABS]</t>
  </si>
  <si>
    <t>Agmatine Sulfate Capsules [500 MG] [120 CAPS]</t>
  </si>
  <si>
    <t>Kids Multivitamin Gummies [Berry] [120 GUM]</t>
  </si>
  <si>
    <t>Organic Spinach Powder [8 OZ]</t>
  </si>
  <si>
    <t>Kids Vitamin C Gummies [250 MG] [120 GUM]</t>
  </si>
  <si>
    <t>Niacin Powder (Vitamin B3) [250 GMS]</t>
  </si>
  <si>
    <t>Potassium [99 MG] + Magnesium [210 MG] Citrates [240 CAPS]</t>
  </si>
  <si>
    <t>Iron [as Ferrous sulfate] Tablets [65 MG] [240 TABS]</t>
  </si>
  <si>
    <t>Ashwagandha Gummies [1200 MG] [60 GUM]</t>
  </si>
  <si>
    <t>Vitamin D3 Gummies [5,000 IU] [120 GUM]</t>
  </si>
  <si>
    <t>Folic Acid Gummies [1 MG] [120 GUM]</t>
  </si>
  <si>
    <t>Dandelion Extract Capsules [1575 MG] [180 CAPS]</t>
  </si>
  <si>
    <t>Acai Capsules [2,200 MG] [120 CAPS]</t>
  </si>
  <si>
    <t>NTC800108</t>
  </si>
  <si>
    <t>He Shou Wu Root Capsules [1200 MG] [240 CAPS]</t>
  </si>
  <si>
    <t>BCAA Powder [30 SERV] [Unflavored]</t>
  </si>
  <si>
    <t>NTC704101</t>
  </si>
  <si>
    <t>NTC Apple Pectin [700 MG] [90 CAPS]</t>
  </si>
  <si>
    <t>Vitamin C Capsules [500 MG] [240 CAPS]</t>
  </si>
  <si>
    <t>L-Leucine Capsules [2000 MG] [120 CAPS]</t>
  </si>
  <si>
    <t>Mushroom Complex [550 MG] [120 CAPS]</t>
  </si>
  <si>
    <t>Electrolyte Complex [120 CAPS]</t>
  </si>
  <si>
    <t>Magnesium Glycinate Capsules [210 MG] [90 CAPS]</t>
  </si>
  <si>
    <t>L-Tyrosine Powder [100 GMS]</t>
  </si>
  <si>
    <t>Holy Basil Capsules [500 MG] [120 CAPS]</t>
  </si>
  <si>
    <t>NTC761101</t>
  </si>
  <si>
    <t>Damiana Leaf Capsules [1500 MG] [120 CAPS]</t>
  </si>
  <si>
    <t>L-Arginine L-Citrulline [750 MG] [120 CAPS]</t>
  </si>
  <si>
    <t>Caffeine Capsules [100 MG] [250 CAPS]</t>
  </si>
  <si>
    <t>L-Theanine Capsules [200 MG] [120 CAPS]</t>
  </si>
  <si>
    <t>Calcium Carbonate [300 MG] + Magnesium Carbonate [37.5 MG] Tablets [240 TABS]</t>
  </si>
  <si>
    <t>Organic Lion's Mane Mushroom Powder [4 OZ] [Unflavored]</t>
  </si>
  <si>
    <t>Myrrh Extract Capsules [650 MG] [120 CAPS]</t>
  </si>
  <si>
    <t>NTC757101</t>
  </si>
  <si>
    <t>Irish Sea Moss [10000 MG] [120 CAPS]</t>
  </si>
  <si>
    <t>Selenium Capsules [200 MCG] [240 CAPS]</t>
  </si>
  <si>
    <t>Pregnenolone [30 MG] [120 CAPS]</t>
  </si>
  <si>
    <t>Pygeum [500 MG] [120 CAPS]</t>
  </si>
  <si>
    <t>Serrapeptase 40,000 SPU [20 MG] [120 CAPS]</t>
  </si>
  <si>
    <t>Melatonin Capsules [20 MG] [240 CAPS]</t>
  </si>
  <si>
    <t>Organic Saw Palmetto (MWO) Capsules [1000 MG] [120 CAPS]</t>
  </si>
  <si>
    <t>Aloe Vera 100 MG [120 CAPS]</t>
  </si>
  <si>
    <t>Grapefruit Seed Extract [60 CAP]</t>
  </si>
  <si>
    <t>Organic Fiber Capsules (MWO) [3 G] [150 CAPS]</t>
  </si>
  <si>
    <t>5-HTP Capsules [200 MG] [60 CAPS]</t>
  </si>
  <si>
    <t>Zinc Picolinate Capsules [50 MG] [240 CAPS]</t>
  </si>
  <si>
    <t>Organic Turmeric Powder [1 LB]</t>
  </si>
  <si>
    <t>L-Lysine Powder [500 GMS]</t>
  </si>
  <si>
    <t>PTY Erythritol [1 LB]</t>
  </si>
  <si>
    <t>Beta-Alanine Powder [300 GMS]</t>
  </si>
  <si>
    <t>Citric Acid Powder [1 LB]</t>
  </si>
  <si>
    <t>Kids Elderberry Gummies [50 MG] [120 GUM]</t>
  </si>
  <si>
    <t>L-Lysine Capsules [500 MG] [250 CAPS]</t>
  </si>
  <si>
    <t>L-Carnitine Tartrate Powder [100 GMS]</t>
  </si>
  <si>
    <t>Chanca Piedra Tablets [1800 MG] [240 TAB]</t>
  </si>
  <si>
    <t>NTC693101</t>
  </si>
  <si>
    <t>L-Cysteine [1,000 MG] [120 CAPS]</t>
  </si>
  <si>
    <t>NTC619101</t>
  </si>
  <si>
    <t>W Calcium [600 MG] + Vitamin D3 [12.5 MCG] for Women [180 CAPS]</t>
  </si>
  <si>
    <t>Yohimbe Bark Capsules [9 MG] [120 CAPS]</t>
  </si>
  <si>
    <t>Coleus Forskohlii Capsules [60 CAPS]</t>
  </si>
  <si>
    <t>NTC724101</t>
  </si>
  <si>
    <t>Daily Vegetables [90 CAPS]</t>
  </si>
  <si>
    <t>NTC800107</t>
  </si>
  <si>
    <t>Garlic &amp; Parsley Softgels [15 MG] [180 SFG]</t>
  </si>
  <si>
    <t>Horny Goat Weed Capsules [600 MG] [180 CAPS]</t>
  </si>
  <si>
    <t>Biotin Softgels [5000 MCG] [150 SFG]</t>
  </si>
  <si>
    <t>Multivitamin Capsules [120 CAPS]</t>
  </si>
  <si>
    <t>Feverfew Capsules [380 MG] [120 CAPS]</t>
  </si>
  <si>
    <t>Andrographis Extract Capsules [1000 MG] [120 CAPS]</t>
  </si>
  <si>
    <t>Magnesium Oxide [750mg] [240 CAPS]</t>
  </si>
  <si>
    <t>DHEA Capsules [25 MG] [240 CAPS]</t>
  </si>
  <si>
    <t>Melatonin Gummies [1 MG] [180 GUM] [Strawberry]</t>
  </si>
  <si>
    <t>Himalayan Salt [240 CAPS]</t>
  </si>
  <si>
    <t>Apple Cider Vinegar Gummies [500 MG] [120 GUM]</t>
  </si>
  <si>
    <t>NTC632101</t>
  </si>
  <si>
    <t>Horse Chestnut [700 MG] [180 CAPS]</t>
  </si>
  <si>
    <t>NTC663101</t>
  </si>
  <si>
    <t>PTY Organic Coconut Flour [2 LB]</t>
  </si>
  <si>
    <t>Allulose Powder [1 LB] [Unflavored]</t>
  </si>
  <si>
    <t>Zinc Gluconate Capsules [50 MG] [240 CAPS]</t>
  </si>
  <si>
    <t>Echinacea Capsules [400 MG] [240 CAPS]</t>
  </si>
  <si>
    <t>Pine Bark Extract [300 MG] [180 CAPS]</t>
  </si>
  <si>
    <t>NTC715101</t>
  </si>
  <si>
    <t>Daily Fruits [90 CAPS]</t>
  </si>
  <si>
    <t>Pantothenic Acid (Vitamin B5) Capsules [500 MG] [120 CAPS]</t>
  </si>
  <si>
    <t>Bee Propolis Capsule [10:1] [5000 MG] [120 CAPS]</t>
  </si>
  <si>
    <t>Bilberry Powder [250 GMS]</t>
  </si>
  <si>
    <t>MCT Oil Powder [8 OZ] [Unflavored]</t>
  </si>
  <si>
    <t>PTY Organic Peanut Butter Powder [RB2] [12.6 OZ]</t>
  </si>
  <si>
    <t>NTC684101</t>
  </si>
  <si>
    <t>Turmeric + Ginger [2400 MG] [120 CAPS]</t>
  </si>
  <si>
    <t>Lycopene Softgels [20 MG] [60 SFG]</t>
  </si>
  <si>
    <t>Astragalus Capsules [550 MG] [240 CAPS]</t>
  </si>
  <si>
    <t>Sodium Chloride Tablets [1000 MG] [240 TABS]</t>
  </si>
  <si>
    <t>Psyllium Whole Husk Powder [8 OZ]</t>
  </si>
  <si>
    <t>NTC800132</t>
  </si>
  <si>
    <t>Magnesium Glycinate + Malate Capsules [250 MG] [120 CAPS]</t>
  </si>
  <si>
    <t>Monolaurin [500 MG x 2] [240 CAPS]</t>
  </si>
  <si>
    <t>NTC792101</t>
  </si>
  <si>
    <t>Fiber Gummies [6 g] [60 GUM]</t>
  </si>
  <si>
    <t>NTC772101</t>
  </si>
  <si>
    <t>Fennel Seed Capsules [4000 MG] [240 CAPS]</t>
  </si>
  <si>
    <t>NTC670101</t>
  </si>
  <si>
    <t>PTY Rolled Oats [2 LB]</t>
  </si>
  <si>
    <t>L-Ornithine Capsules [180 CAPS]</t>
  </si>
  <si>
    <t>Vitamin C Capsules with Zinc [240 CAPS][120 SERV]</t>
  </si>
  <si>
    <t>Apple Cider Vinegar Capsules [240 CAPS]</t>
  </si>
  <si>
    <t>Guarana Capsules [1000 MG] [150 CAPS]</t>
  </si>
  <si>
    <t>NTC800106</t>
  </si>
  <si>
    <t>Jiaogulan Extract [25,000 MG] [120 CAPS]</t>
  </si>
  <si>
    <t>NTC769101</t>
  </si>
  <si>
    <t>Calcium Citrate Capsules [2100 MG] [180 CAPS]</t>
  </si>
  <si>
    <t>NTC800127</t>
  </si>
  <si>
    <t>Black Cherry Capsules [6000 MG] [240 CAPS]</t>
  </si>
  <si>
    <t>Tribulus Terrestris Capsules [750 MG] [240 CAPS]</t>
  </si>
  <si>
    <t>W Black Cohosh for Women [660 MG] [120 CAPS]</t>
  </si>
  <si>
    <t>Keratin Capsules [500 MG] [120 CAPS]</t>
  </si>
  <si>
    <t>Shilajit Capsules [1000 MG] [120 CAPS]</t>
  </si>
  <si>
    <t>L-Lysine Tablets [1000 MG] [120 TABS]</t>
  </si>
  <si>
    <t>NTC634101</t>
  </si>
  <si>
    <t>W D-Mannose with Cranberry for Women [1300 MG] [90 CAP]</t>
  </si>
  <si>
    <t>Organic Cordyceps (MWO) Capsules [550 MG] [90 CAPS]</t>
  </si>
  <si>
    <t>NTC760101</t>
  </si>
  <si>
    <t>Haritaki Capsules [2250 MG] [90 CAPS]</t>
  </si>
  <si>
    <t>Citrus Bergamot 25:1 Extract Capsule [1200 MG] [120 CAPS]</t>
  </si>
  <si>
    <t>NTC631101</t>
  </si>
  <si>
    <t>Vitamin D2 Capsules [2,000 IU] [240 CAPS]</t>
  </si>
  <si>
    <t>Boron Capsules [3 MG] [240 CAPS]</t>
  </si>
  <si>
    <t>Organic Spirulina (MWO) Capsules [3000 MG] [180 CAPS]</t>
  </si>
  <si>
    <t>Fenugreek Capsules [675 MG] [240 CAPS]</t>
  </si>
  <si>
    <t>Citric Acid Capsules [1000 MG] [240 CAPS]</t>
  </si>
  <si>
    <t>Mimosa Pudica Seed 10:1 [12000MG] [120CAPS]</t>
  </si>
  <si>
    <t>NTC749101</t>
  </si>
  <si>
    <t>Vanilla Bean Paste [4oz]</t>
  </si>
  <si>
    <t>Theobromine Capsules [400 MG] [90 CAPS]</t>
  </si>
  <si>
    <t>Hyaluronic Acid Capsules [100 MG] [120 CAPS]</t>
  </si>
  <si>
    <t>Zinc Picolinate Capsules [30 MG] [120 CAPS]</t>
  </si>
  <si>
    <t>L-Arginine Powder [250 GMS]</t>
  </si>
  <si>
    <t>Vitamin D3 Softgels [5,000 IU] [240 SFG]</t>
  </si>
  <si>
    <t>Folic Acid (Vitamin B9) Capsules [1000 MCG] [240 CAPS]</t>
  </si>
  <si>
    <t>L-Citrulline Capsules [500 MG] [120 CAPS]</t>
  </si>
  <si>
    <t>MSM Powder [500 GMS]</t>
  </si>
  <si>
    <t>Vitamin C Powder [1 LB]</t>
  </si>
  <si>
    <t>Malic Acid Powder [1 LB]</t>
  </si>
  <si>
    <t>Bee Pollen Powder [8 OZ] [Unflavored]</t>
  </si>
  <si>
    <t>NTC770101</t>
  </si>
  <si>
    <t>Calcium Citrate + Vitamin D Capsules [2100 MG] [180 CAPS]</t>
  </si>
  <si>
    <t>Turkey Tail Mushroom [1200 MG] [120 CAPS]</t>
  </si>
  <si>
    <t>Moringa Capsules [500 MG] [180 CAPS]</t>
  </si>
  <si>
    <t>L-Proline [500 MG] [180 CAPS]</t>
  </si>
  <si>
    <t>Pregnenolone [50 MG] [120 CAPS]</t>
  </si>
  <si>
    <t>Vitamin K2 (MK4) Capsules [100 MCG] [240 CAPS]</t>
  </si>
  <si>
    <t>Multivitamin for Men Capsules [120 CAPS]</t>
  </si>
  <si>
    <t>Iodine [325 MCG] [120 CAPS]</t>
  </si>
  <si>
    <t>Kelp [325 MCG] [120 CAPS]</t>
  </si>
  <si>
    <t>Organic Lion's Mane (MWO) Capsules [700 MG] [90 CAPS]</t>
  </si>
  <si>
    <t>NTC658101</t>
  </si>
  <si>
    <t>Milk Thistle Capsules (80% Silymarin) [300 MG] [120 CAPS]</t>
  </si>
  <si>
    <t>Organic Chlorella Tablets [500 MG] [240 TABS]</t>
  </si>
  <si>
    <t>NTC758101</t>
  </si>
  <si>
    <t>L-Histidine [1200 MG] [60 CAPS]</t>
  </si>
  <si>
    <t>D-Aspartic Acid Capsules [3000 MG] [180 CAPS]</t>
  </si>
  <si>
    <t>L-Tyrosine Capsules [180 CAPS]</t>
  </si>
  <si>
    <t>Caffeine + Theanine [100/100 MG] [240 CAP]</t>
  </si>
  <si>
    <t>Maltodextrin Powder [2 LBS]</t>
  </si>
  <si>
    <t>CoQ10 Capsules [100 MG] [120 CAPS]</t>
  </si>
  <si>
    <t>Coconut Milk Powder [1 LB]</t>
  </si>
  <si>
    <t>Magnesium Citrate Powder [500 GMS] [Unflavored]</t>
  </si>
  <si>
    <t>Organic Maltodextrin Powder [1 LB] [Unflavored]</t>
  </si>
  <si>
    <t>N-Acetyl L-Cysteine Capsules [600 MG] [180 CAPS]</t>
  </si>
  <si>
    <t>Cod Liver Oil Softgel [1000 MG] [120 SFG]</t>
  </si>
  <si>
    <t>NTC644101</t>
  </si>
  <si>
    <t>DHM Capsules [350 MG] [90 CAPS]</t>
  </si>
  <si>
    <t>Maca Root Capsules [180 CAPS]</t>
  </si>
  <si>
    <t>Boswellia Extract 65% Boswellic Acid Capsules [1,200 MG] [180 CAPS]</t>
  </si>
  <si>
    <t>Magnesium Complex Regular Strength [250 MG] [240 CAPS]</t>
  </si>
  <si>
    <t>Guarana Powder [100 GMS] [100 SERV]</t>
  </si>
  <si>
    <t>Lactobacillus Acidophilus Capsules [10 BIL CFU] [120 CAPS]</t>
  </si>
  <si>
    <t>Iron Bisglycinate [25 MG] [240 CAPS]</t>
  </si>
  <si>
    <t>Cinnamon Capsules [1200 MG] [150 CAPS]</t>
  </si>
  <si>
    <t>Lithium Orotate [5 MG] [120 CAPS]</t>
  </si>
  <si>
    <t>Baking Soda Powder [2 LBS] [Unflavored]</t>
  </si>
  <si>
    <t>NTC641101</t>
  </si>
  <si>
    <t>PTY Organic Date Sugar [1 LB]</t>
  </si>
  <si>
    <t>Vitamin K2 [100 MCG] + Vitamin D3 Softgels [5000 IU] [120 SFG]</t>
  </si>
  <si>
    <t>Lactase Enzyme Complex [3,000ALU] [120 CAPS]</t>
  </si>
  <si>
    <t>L-Serine Capsules [500 MG] [120 CAPS]</t>
  </si>
  <si>
    <t>Cranberry Extract Capsules [120 CAPS]</t>
  </si>
  <si>
    <t>Alpha GPC Capsules [600 MG] [60 CAPS]</t>
  </si>
  <si>
    <t>Camu Camu [500 MG] [120 CAPS]</t>
  </si>
  <si>
    <t>Agmatine Sulfate Powder [100 GMS]</t>
  </si>
  <si>
    <t>Testosterone Complex Capsules [90 CAPS]</t>
  </si>
  <si>
    <t>Blueberry extract 50:1 [160 MG] [180 CAPS]</t>
  </si>
  <si>
    <t>Magnesium+ Extra Strength Capsules [420 MG] [120 CAP]</t>
  </si>
  <si>
    <t>CoQ10 Capsules [100 MG] [60 CAPS]</t>
  </si>
  <si>
    <t>Astaxanthin Softgels [12 MG] [30 SFG]</t>
  </si>
  <si>
    <t>HMB Capsules [500 MG] [120 CAPS]</t>
  </si>
  <si>
    <t>PTY Organic Cassava Flour [1.5 LB]</t>
  </si>
  <si>
    <t>N-Acetyl L-Cysteine Capsules [120 CAPS]</t>
  </si>
  <si>
    <t>Dong Quai Capsules [565 MG] [240 CAPS]</t>
  </si>
  <si>
    <t>NTC762101</t>
  </si>
  <si>
    <t>Pumpkin Seed Oil Softgels [3000 MG] [180 SFG]</t>
  </si>
  <si>
    <t>L-Isoleucine Capsules [240 CAPS]</t>
  </si>
  <si>
    <t>L-Glycine Capsules [1000 MG] [120 CAPS]</t>
  </si>
  <si>
    <t>MCT Oil Softgels [1000 MG] [150 SFG]</t>
  </si>
  <si>
    <t>Uva Ursi [450 MG] [240 CAPS]</t>
  </si>
  <si>
    <t>Chamomile [240 CAPS]</t>
  </si>
  <si>
    <t>L-Tryptophan (500 MG) (120 Capsules)</t>
  </si>
  <si>
    <t>Calcium Citrate Powder [500 GMS] [Unflavored]</t>
  </si>
  <si>
    <t>Potassium Bicarbonate [1 LB] [Unflavored]</t>
  </si>
  <si>
    <t>Sodium Citrate [1 LB] [Unflavored]</t>
  </si>
  <si>
    <t>Melatonin Gummies [5 MG] [180 GUM] [Strawberry]</t>
  </si>
  <si>
    <t>Coconut Oil Softgels [1000 MG] [240 SFG]</t>
  </si>
  <si>
    <t>CLA Softgels [2400 MG] [240 SFG]</t>
  </si>
  <si>
    <t>NTC720101</t>
  </si>
  <si>
    <t>Cistanche Tubulosa [500 MG] [120 CAPS]</t>
  </si>
  <si>
    <t>Melatonin Gummies [3 MG] [180 GUM] [Strawberry]</t>
  </si>
  <si>
    <t>NTC726101</t>
  </si>
  <si>
    <t>Methylated Multivitamin [120 CAPS]</t>
  </si>
  <si>
    <t>NTC737101</t>
  </si>
  <si>
    <t>Methylated Vitamin B Complex [120 CAPS]</t>
  </si>
  <si>
    <t>Andrographis [450 MG] [180 CAPS]</t>
  </si>
  <si>
    <t>NTC690101</t>
  </si>
  <si>
    <t>Vitamin B2 (R-5-P) [50 MG] [120 CAPS]</t>
  </si>
  <si>
    <t>NTC653101</t>
  </si>
  <si>
    <t>Iron Chelate (Ferrochel) Capsules [18 MG] [240 CAPS] [RB2]</t>
  </si>
  <si>
    <t>Garlic Softgels [240 SFG]</t>
  </si>
  <si>
    <t>W Myo &amp; D-Chiro Inositol for Women [2000 MG + 50MG] [120 CAPS]</t>
  </si>
  <si>
    <t>Betaine Anhydrous Powder [500 GMS]</t>
  </si>
  <si>
    <t>NTC800133</t>
  </si>
  <si>
    <t>Magnesium Lactate Capsules [210 MG] [180 CAPS]</t>
  </si>
  <si>
    <t>5-HTP Powder [25 GMS] [Unflavored]</t>
  </si>
  <si>
    <t>L-Arginine Tablets [1000 MG] [150 TABS]</t>
  </si>
  <si>
    <t>Bitter Melon Capsules [180 CAPS]</t>
  </si>
  <si>
    <t>Organic Chaga Mushroom (MWO) Capsules [1000 MG] [150 CAPS]</t>
  </si>
  <si>
    <t>Organic Shiitake Mushroom (MWO) Capsules [1000MG] [180 CAPS]</t>
  </si>
  <si>
    <t>L-Theanine Powder [100 GMS]</t>
  </si>
  <si>
    <t>Policosanol [25 MG] [120 CAPS]</t>
  </si>
  <si>
    <t>NTC709101</t>
  </si>
  <si>
    <t>N-Acetyl L-Cysteine Vegan Tablets [1000 MG] [120 TABS]</t>
  </si>
  <si>
    <t>Boron Capsules [5 MG] [240 CAPS]</t>
  </si>
  <si>
    <t>Magnesium Malate [420 MG] [180 CAPS]</t>
  </si>
  <si>
    <t>Iron Chelate (Ferrochel) Capsules [36 MG] [240 CAPS]</t>
  </si>
  <si>
    <t>Goldenseal Root Capsules [600 MG] [120 CAPS]</t>
  </si>
  <si>
    <t>Colostrum [1000 MG] [120 CAPS]</t>
  </si>
  <si>
    <t>NTC654101</t>
  </si>
  <si>
    <t>PTY Xanthan Gum [1 LB]</t>
  </si>
  <si>
    <t>Melatonin Tablets [Fast Dissolve] [Berry] [5 MG] [240 TABS]</t>
  </si>
  <si>
    <t>Niacin (Vitamin B3) [500 MG] [240 CAPS]</t>
  </si>
  <si>
    <t>Tongkat Ali Capsules [1000 MG] [60 CAPS]</t>
  </si>
  <si>
    <t>Caffeine Capsules [200 MG] [250 CAPS]</t>
  </si>
  <si>
    <t>Milk Thistle Capsules [240 CAPS]</t>
  </si>
  <si>
    <t>DHEA Capsules [50 MG] [120 CAPS]</t>
  </si>
  <si>
    <t>Dextrose Powder [2 LBS]</t>
  </si>
  <si>
    <t>Bee Pollen Capsules [1500 MG] [240 CAPS]</t>
  </si>
  <si>
    <t>NTC697101</t>
  </si>
  <si>
    <t>PTY GF Tapioca Starch [2.4 LBS]</t>
  </si>
  <si>
    <t>NTC701101</t>
  </si>
  <si>
    <t>Baobab Oil [4 OZ]</t>
  </si>
  <si>
    <t>NTC795100</t>
  </si>
  <si>
    <t>Sodium Ascorbate [1 LB] [Unflavored]</t>
  </si>
  <si>
    <t>Betaine HCl Powder [500 GMS]</t>
  </si>
  <si>
    <t>Bamboo Extract Capsules [400 MG] [240 CAPS]</t>
  </si>
  <si>
    <t>Panax Ginseng Capsules [500 MG] [240 CAPS]</t>
  </si>
  <si>
    <t>NTC800120</t>
  </si>
  <si>
    <t>Gelatin with Silica Capsules [2200 MG] [240 Caps]</t>
  </si>
  <si>
    <t>Chlorella Capsules [500 MG] [240 CAPS]</t>
  </si>
  <si>
    <t>Acetyl L-Carnitine Powder [100 GMS]</t>
  </si>
  <si>
    <t>Bromelain Capsules [500 MG] [120 CAPS]</t>
  </si>
  <si>
    <t>GABA [500G] + B6 [2 MG] [240 CAPS]</t>
  </si>
  <si>
    <t>Cayenne Pepper [530 MG] [240 CAPS]</t>
  </si>
  <si>
    <t>Organic Beet Root (MWO) [800 MG] [180 CAPS]</t>
  </si>
  <si>
    <t>C8 MCT Oil Powder [8 OZ] [Unflavored]</t>
  </si>
  <si>
    <t>NTC800103</t>
  </si>
  <si>
    <t>Lithium Orotate [10 MG] [120 CAPS]</t>
  </si>
  <si>
    <t>L-Glutamine Powder [250 GMS] [Unflavored]</t>
  </si>
  <si>
    <t>Calcium [600 MG] + Vitamin D3 [25 MCG] [240 TAB]</t>
  </si>
  <si>
    <t>NTC711101</t>
  </si>
  <si>
    <t>PTY Stevia W/ Allulose [1.4 LB]</t>
  </si>
  <si>
    <t>NTC712101</t>
  </si>
  <si>
    <t>PTY Organic Potato Starch [2 LB]</t>
  </si>
  <si>
    <t>NC EST Bentonite Clay [1 LB]</t>
  </si>
  <si>
    <t>D-Mannose Powder [100 GMS]</t>
  </si>
  <si>
    <t>NTC793101</t>
  </si>
  <si>
    <t>PTY Dragon Fruit Powder [38 SERV]</t>
  </si>
  <si>
    <t>Nattokinase Capsules [2,000 FU] [100 MG] [120 CAPS]</t>
  </si>
  <si>
    <t>Vitamin B2 Capsules [400 MG] [120 CAPS]</t>
  </si>
  <si>
    <t>L-Carnitine Tartrate Capsules [120 CAPS]</t>
  </si>
  <si>
    <t>Tart Cherry Capsules [3,000 MG] [240 CAPS]</t>
  </si>
  <si>
    <t>Biotin Capsules [10,000 MCG] [240 CAPS]</t>
  </si>
  <si>
    <t>Niacinamide (Vitamin B3) Capsules [240 CAPS]</t>
  </si>
  <si>
    <t>Glucomannan Capsules [180 CAPS]</t>
  </si>
  <si>
    <t>Vitamin C Capsules [with Rose Hips] [120 CAPS]</t>
  </si>
  <si>
    <t>NTC361201</t>
  </si>
  <si>
    <t>Vitamin K2 MK-7 Softgels [100MCG] [120 SFG]</t>
  </si>
  <si>
    <t>NTC755101</t>
  </si>
  <si>
    <t>Turmeric + Boswellia [2000 MG] [90 CAPS]</t>
  </si>
  <si>
    <t>Cissus Quadrangularis [600 MG] [120 CAPS]</t>
  </si>
  <si>
    <t>Hawthorn Berry Capsules [550 MG] [240 CAPS]</t>
  </si>
  <si>
    <t>L-Arginine + L-Ornithine Capsules [180 Caps]</t>
  </si>
  <si>
    <t>Pau D'Arco [1100 MG] [120 CAPS]</t>
  </si>
  <si>
    <t>Choline Bitartrate [650 MG] [240 CAPS]</t>
  </si>
  <si>
    <t>Vitamin B12 Capsules [5000 MCG] [120 CAPS]</t>
  </si>
  <si>
    <t>NTC702101</t>
  </si>
  <si>
    <t>PTY Monk Fruit With Allulose [1.4 LBS]</t>
  </si>
  <si>
    <t>Organic Kale Powder [1 LB]</t>
  </si>
  <si>
    <t>Coconut Oil Powder [1 LB]</t>
  </si>
  <si>
    <t>Taurine Powder [500 GMS] [Unflavored]</t>
  </si>
  <si>
    <t>NTC532201</t>
  </si>
  <si>
    <t>Melatonin Gummies [20 MG] [180 GUM] [Strawberry] [RB2]</t>
  </si>
  <si>
    <t>Melatonin Gummies [10 MG] [180 GUM]  [Strawberry]</t>
  </si>
  <si>
    <t>MSM Tablets [2000 MG] [240 TABS]</t>
  </si>
  <si>
    <t>Ginger Root Extract Capsules [240 CAPS]</t>
  </si>
  <si>
    <t>Betaine HCl + Pepsin Capsules [790 MG] [240 CAPS]</t>
  </si>
  <si>
    <t>NTC727104</t>
  </si>
  <si>
    <t>Creatine Monohydrate + Hydration [30 SERV] [Blue Raspberry]</t>
  </si>
  <si>
    <t>NTC727101</t>
  </si>
  <si>
    <t>Creatine Monohydrate + Hydration [30 SERV] [Fruit Punch]</t>
  </si>
  <si>
    <t>NTC727102</t>
  </si>
  <si>
    <t>Creatine Monohydrate + Hydration [30 SERV] [Grape]</t>
  </si>
  <si>
    <t>NTC727103</t>
  </si>
  <si>
    <t>Creatine Monohydrate + Hydration [30 SERV] [Watermelon ]</t>
  </si>
  <si>
    <t>Inositol Capsules [500 MG] [240 caps]</t>
  </si>
  <si>
    <t>Rhodiola Rosea Vegan Capsules [500 MG] [60 CAPS]</t>
  </si>
  <si>
    <t>Niacin [With Inositol Hexanicotinate] [Flush Free] [500MG] [120 CAP]</t>
  </si>
  <si>
    <t>NTC677101</t>
  </si>
  <si>
    <t>Celery Seed Capsules [5,000 MG] [240 CAPS]</t>
  </si>
  <si>
    <t>NTC800104</t>
  </si>
  <si>
    <t>Super Antioxidants [1000 MG] [120 CAPS]</t>
  </si>
  <si>
    <t>P5P [50 MG] [240 CAPS]</t>
  </si>
  <si>
    <t>Bacopa Monnieri [500 MG] [120 CAPS]</t>
  </si>
  <si>
    <t>NTC766101</t>
  </si>
  <si>
    <t>Nopal Cactus Capsules [2000 MG] [180 CAPS]</t>
  </si>
  <si>
    <t>Red Yeast Rice with CoQ10 [650 MG x 2] [120 CAPS]</t>
  </si>
  <si>
    <t>W Chasteberry for Women [5000 MG] [120 CAPS]</t>
  </si>
  <si>
    <t>CDP Choline Citicoline Capsules [300 MG] [60 CAPS]</t>
  </si>
  <si>
    <t>Organic Reishi Mushroom (MWO) Capsules [1500 MG] [120 CAPS]</t>
  </si>
  <si>
    <t>Vitamin D3 Softgels [10,000 IU] [240 SFG]</t>
  </si>
  <si>
    <t>NTC735101</t>
  </si>
  <si>
    <t>NADH [10 MG] [120 CAPS]</t>
  </si>
  <si>
    <t>Policosanol [40 MG] [120 CAPS]</t>
  </si>
  <si>
    <t>Boron Capsules [10 MG] [240 CAPS]</t>
  </si>
  <si>
    <t>Creatine Monohydrate Capsules [3000 MG] [180 CAPS]</t>
  </si>
  <si>
    <t>Artichoke Extract [600 MG] [240 CAPS]</t>
  </si>
  <si>
    <t>NTC617101</t>
  </si>
  <si>
    <t>Kava Kava [350 MG] [60 CAPS]</t>
  </si>
  <si>
    <t>Luteolin [50 MG] + Rutin [50 MG] [120 CAPS]</t>
  </si>
  <si>
    <t>Siberian Eleuthero Capsules [2000 MG] [240 CAPS]</t>
  </si>
  <si>
    <t>Beta Glucan Capsules [500 MG] [60 CAPS]</t>
  </si>
  <si>
    <t>Magnesium Orotate [500 MG] [120 CAPS]</t>
  </si>
  <si>
    <t>Sodium Bicarbonate Powder [2 LBS]</t>
  </si>
  <si>
    <t>L-Glutamine Capsules [800 MG] [180 CAPS]</t>
  </si>
  <si>
    <t>NTC768101</t>
  </si>
  <si>
    <t>Extra Virgin Olive Oil Softgels [2000 MG] [120 SFG]</t>
  </si>
  <si>
    <t>Biotin Softgels [10,000 MCG] [150 SFG]</t>
  </si>
  <si>
    <t>Vitamin B Complex Capsules [462 MG] [120 CAPS]</t>
  </si>
  <si>
    <t>Ashwagandha Root Capsules [120 CAPS]</t>
  </si>
  <si>
    <t>KSM-66 Capsules [600 MG] [60 CAPS]</t>
  </si>
  <si>
    <t>Ginkgo Biloba Capsules [240 CAPS]</t>
  </si>
  <si>
    <t>Zeaxanthin with Lutein Softgels [120 SERV] [120 SFG]</t>
  </si>
  <si>
    <t>Mucuna Pruriens Capsules [400 MG] [120 CAPS]</t>
  </si>
  <si>
    <t>NTC719101</t>
  </si>
  <si>
    <t>PTY Organic Chia Seed [2 LB]</t>
  </si>
  <si>
    <t>Citric Acid Powder [2 LBS]</t>
  </si>
  <si>
    <t>Astragalus Root Powder (Organic) [1 LB] [UF]</t>
  </si>
  <si>
    <t>NTC514301</t>
  </si>
  <si>
    <t>Turmeric Gummies [2,000 MG] [120 GUM] [RB2]</t>
  </si>
  <si>
    <t>NTC642102</t>
  </si>
  <si>
    <t>Soluble Fiber Powder [30 SERV] [Berry]</t>
  </si>
  <si>
    <t>D-Ribose Powder [250 GMS]</t>
  </si>
  <si>
    <t>NTC646101</t>
  </si>
  <si>
    <t>Soluble Fiber Powder [30 SERV] [Unflavored]</t>
  </si>
  <si>
    <t>Vitamin C Capsules [with Rose Hips] [240 CAPS]</t>
  </si>
  <si>
    <t>Astaxanthin Softgels [4 MG] [120 SFG]</t>
  </si>
  <si>
    <t>Grass-Fed Desiccated Beef Liver [3000 MG] [120 CAPS]</t>
  </si>
  <si>
    <t>NTC626101</t>
  </si>
  <si>
    <t>Black Cohosh [540 MG] [240 CAP] [RB2]</t>
  </si>
  <si>
    <t>NTC686101</t>
  </si>
  <si>
    <t>PTY Smoked Paprika [1 LB]</t>
  </si>
  <si>
    <t>Organic Shiitake Mushroom Powder [8 OZ] [Unflavored]</t>
  </si>
  <si>
    <t>L-Proline Powder [250 GMS]</t>
  </si>
  <si>
    <t>NTC620408</t>
  </si>
  <si>
    <t>Electrolytes Complex [60 SERV] [Strawberry Lemonade] [RB4]</t>
  </si>
  <si>
    <t>NTC620407</t>
  </si>
  <si>
    <t>Electrolytes Complex [60 SERV] [Pineapple Ice] [RB4]</t>
  </si>
  <si>
    <t>White Willow Bark Capsules [600 MG] [240 CAP]</t>
  </si>
  <si>
    <t>NTC781101</t>
  </si>
  <si>
    <t>Tart Cherry Extract [12,000 MG] [240 CAPS]</t>
  </si>
  <si>
    <t>BCAA Powder [30 SERV] [Raspberry Lemonade]</t>
  </si>
  <si>
    <t>NTC620406</t>
  </si>
  <si>
    <t>Electrolytes Complex [60 SERV] [Orchard Blast] [RB4]</t>
  </si>
  <si>
    <t>NTC620405</t>
  </si>
  <si>
    <t>Electrolytes Complex [60 SERV] [Watermelon] [RB4]</t>
  </si>
  <si>
    <t>NTC024513</t>
  </si>
  <si>
    <t>BCAA Powder [30 SERV] [Pomegranate Guava]</t>
  </si>
  <si>
    <t>NTC620402</t>
  </si>
  <si>
    <t>Electrolytes Complex [60 SERV] [Blue Raspberry] [RB4]</t>
  </si>
  <si>
    <t>NTC635201</t>
  </si>
  <si>
    <t>Peppermint Oil Softgels [50 MG] [240 SFG]</t>
  </si>
  <si>
    <t>NTC620401</t>
  </si>
  <si>
    <t>Electrolytes Complex [60 SERV] [Grape] [RB4]</t>
  </si>
  <si>
    <t>NTC583101</t>
  </si>
  <si>
    <t>Magnesium+ Regular-Strength Capsules [210 MG] [240 CAPS]</t>
  </si>
  <si>
    <t>BCAA Powder [30 SERV] [Strawberry Kiwi]</t>
  </si>
  <si>
    <t>BCAA Powder [30 SERV] [Grape]</t>
  </si>
  <si>
    <t>NTC621201</t>
  </si>
  <si>
    <t>Dihydro Berberine [100 MG] [60 CAPS]</t>
  </si>
  <si>
    <t>NTC620404</t>
  </si>
  <si>
    <t>Electrolytes Complex [60 SERV] [Fruit Punch] [RB4]</t>
  </si>
  <si>
    <t>Calcium Lactate Capsule [2100 MG] [180 CAPS]</t>
  </si>
  <si>
    <t>NTC624101</t>
  </si>
  <si>
    <t>W Probiotic for Women [10 Billion CFU] [120 CAPS]</t>
  </si>
  <si>
    <t>Organic Noni (MWO) Capsules [500 MG] [240 CAPS]</t>
  </si>
  <si>
    <t>Organic Blueberry Powder [0.5 LBS]</t>
  </si>
  <si>
    <t>Organic Reishi Mushroom Powder [8 OZ] [Unflavored]</t>
  </si>
  <si>
    <t>NTC691101</t>
  </si>
  <si>
    <t>Organic Cranberry Powder [8 OZ] [Unflavored]</t>
  </si>
  <si>
    <t>Echinacea and Goldenseal Root [500 MG] [240 CAPS]</t>
  </si>
  <si>
    <t>Taurine Capsules [1000 MG] [240 CAPS]</t>
  </si>
  <si>
    <t>Vitamin B1 Capsules [500 MG] [120 CAPS]</t>
  </si>
  <si>
    <t>Benfotiamine [300 MG] [90 CAPS]</t>
  </si>
  <si>
    <t>Zinc Picolinate Capsules [50 MG] [120 CAPS]</t>
  </si>
  <si>
    <t>Nitric Oxide Booster [750 MG x 3] [180 CAPS]</t>
  </si>
  <si>
    <t>D-Mannose Capsules [120 CAPS]</t>
  </si>
  <si>
    <t>D-Aspartic Acid Powder [300 GMS] [Blue Raspberry]</t>
  </si>
  <si>
    <t>D-Aspartic Acid Powder [300 GMS] [Unflavored]</t>
  </si>
  <si>
    <t>L-Tyrosine Powder [250 GMS]</t>
  </si>
  <si>
    <t>Serrapeptase 120,000 SPU [60 MG] [120 CAPS]</t>
  </si>
  <si>
    <t>NTC736101</t>
  </si>
  <si>
    <t>NADH [20 MG] [120 CAPS]</t>
  </si>
  <si>
    <t>Magnesium Taurate Capsules [1500 MG] [240 CAPS]</t>
  </si>
  <si>
    <t>Ursolic Acid Capsules [300 MG] [120 CAP]</t>
  </si>
  <si>
    <t>W Iron for Women [65 MG] [180 CAPS]</t>
  </si>
  <si>
    <t>NTC696101</t>
  </si>
  <si>
    <t>PTY Coarse Ground Black Pepper [1.3 LB]</t>
  </si>
  <si>
    <t>Organic Spinach Powder [1 LB]</t>
  </si>
  <si>
    <t>NTC275102</t>
  </si>
  <si>
    <t>Organic Amla Powder [1 LB] [Unflavored] [RB2]</t>
  </si>
  <si>
    <t>Lactase Powder [500 GMS]</t>
  </si>
  <si>
    <t>NTC578103</t>
  </si>
  <si>
    <t>Prebiotic Fiber Powder [1 LB] [Unflavored] [RB2]</t>
  </si>
  <si>
    <t>Choline Bitartrate Powder [500 GMS]</t>
  </si>
  <si>
    <t>NTC557201</t>
  </si>
  <si>
    <t>PTY Organic Tapioca Flour [2.5 LB] [RB 2]</t>
  </si>
  <si>
    <t>Psyllium Husk Powder [1 LB]</t>
  </si>
  <si>
    <t>NTC694101</t>
  </si>
  <si>
    <t>PTY Organic Oat Fiber [1.8 LBS]</t>
  </si>
  <si>
    <t>W BCAA for Women [30 SERV] [Strawberry Lemonade]</t>
  </si>
  <si>
    <t>W BCAA for Women [30 SERV] [Watermelon]</t>
  </si>
  <si>
    <t>NTC614101</t>
  </si>
  <si>
    <t>Horsetail Extract Capsules [550 MG] [240 CAPS]</t>
  </si>
  <si>
    <t>EAA Capsules [1200 MG] [240 CAPS]</t>
  </si>
  <si>
    <t>PTY Jalapeno Powder [1 LB]</t>
  </si>
  <si>
    <t>Artemisinin Capsules [200 MG] [120 CAPS]</t>
  </si>
  <si>
    <t>Organic Chlorella Powder [8 OZ]</t>
  </si>
  <si>
    <t>NTC800109</t>
  </si>
  <si>
    <t>Zinc + Quercetin Capsules [50 MG] [120 CAPS]</t>
  </si>
  <si>
    <t>BCAA Powder [30 SERV] [Pineapple]</t>
  </si>
  <si>
    <t>NTC800116</t>
  </si>
  <si>
    <t>Diosmin With Hesperidin Capsules [1000 MG] [120 CAPS]</t>
  </si>
  <si>
    <t>NTC774101</t>
  </si>
  <si>
    <t>Guggul Extract [3750 MG] [120 CAPS]</t>
  </si>
  <si>
    <t>PQQ Capsules [20 MG] [60 CAPS]</t>
  </si>
  <si>
    <t>Natural Caffeine [200 MG] [250 CAPS]</t>
  </si>
  <si>
    <t>BCAA Powder [30 SERV] [Watermelon]</t>
  </si>
  <si>
    <t>NTC024512</t>
  </si>
  <si>
    <t>BCAA Powder [30 SERV] [Peach Pear]</t>
  </si>
  <si>
    <t>W Creatine Monohydrate for Women [50 SERV] [Unflavored]</t>
  </si>
  <si>
    <t>Magnesium Complex [500 MG] [240 CAPS]</t>
  </si>
  <si>
    <t>CoQ10 Capsules [200 MG] [60 CAPS]</t>
  </si>
  <si>
    <t>Potassium Citrate Capsules [99 MG] [240 CAPS]</t>
  </si>
  <si>
    <t>Pantothenic Acid (Vitamin B5) Capsules [500 MG] [240 CAPS]</t>
  </si>
  <si>
    <t>EAA [30 SERV] [Unflavored]</t>
  </si>
  <si>
    <t>NTC622101</t>
  </si>
  <si>
    <t>Sulforaphane Glucosinolate [50 MG] [120 CAP]</t>
  </si>
  <si>
    <t>Evening Primrose Oil Softgels [1,300 MG] [120 SFG]</t>
  </si>
  <si>
    <t>L-Citrulline Malate Powder [300 GMS] [Blue Raspberry]</t>
  </si>
  <si>
    <t>L-Citrulline Malate Powder [300 GMS] [Strawberry Kiwi]</t>
  </si>
  <si>
    <t>L-Citrulline Malate Powder [300 GMS] [Fruit Punch]</t>
  </si>
  <si>
    <t>L-Citrulline Malate Powder [300 GMS] [Unflavored]</t>
  </si>
  <si>
    <t>NTC742101</t>
  </si>
  <si>
    <t>Sunflower Lecithin Powder [1 LB] [Unflavored]</t>
  </si>
  <si>
    <t>BCAA Powder [60 SERV] [Unflavored]</t>
  </si>
  <si>
    <t>Arginine AKG Powder [300 GMS]</t>
  </si>
  <si>
    <t>EAA [30 SERV] [Blue Raspberry]</t>
  </si>
  <si>
    <t>EAA [30 SERV] [POG]</t>
  </si>
  <si>
    <t>EAA [30 SERV] [Peach Mango]</t>
  </si>
  <si>
    <t>EAA [30 SERV] [Fruit Punch]</t>
  </si>
  <si>
    <t>L-Arginine Capsules [500 MG] [300 CAPS]</t>
  </si>
  <si>
    <t>CoQ10 Softgels [100 MG] [120 SFG]</t>
  </si>
  <si>
    <t>NTC786101</t>
  </si>
  <si>
    <t>Papaya Leaf Extract [18,000 MG] [120 CAPS]</t>
  </si>
  <si>
    <t>NTC745201</t>
  </si>
  <si>
    <t>Chlorophyll Softgels [100 MG] [120 SFG]</t>
  </si>
  <si>
    <t>NTC800126</t>
  </si>
  <si>
    <t>Choline &amp; Inositol Capsules [1000 MG] [240 CAPS]</t>
  </si>
  <si>
    <t>Organic Cordyceps Powder [100 GMS]</t>
  </si>
  <si>
    <t>W Cranberry Extract for Women [35,000 MG] [180 CAPS]</t>
  </si>
  <si>
    <t>DHEA Capsules [100 MG] [120 CAPS]</t>
  </si>
  <si>
    <t>NTC689101</t>
  </si>
  <si>
    <t>Uridine Monophosphate [600 MG] [60 CAPS]</t>
  </si>
  <si>
    <t>Organic Fiber Capsules (MWO) [3 G] [300 CAPS]</t>
  </si>
  <si>
    <t>L-Arginine L-Citrulline [750 MG] [240 CAPS]</t>
  </si>
  <si>
    <t>Strontium Capsules [750 MG] [120 CAPS]</t>
  </si>
  <si>
    <t>Glucosamine Sulfate Capsules [240 CAPS]</t>
  </si>
  <si>
    <t>Black Cumin Seed Oil Softgels [1000 MG] [120 SFG]</t>
  </si>
  <si>
    <t>Beta Glucan Powder [100 GMS]</t>
  </si>
  <si>
    <t>Vitamin B12 Capsules [2000 MCG] [240 CAPS]</t>
  </si>
  <si>
    <t>Turmeric Capsules [120 CAPS]</t>
  </si>
  <si>
    <t>5-HTP Capsules [200 MG] [120 CAPS]</t>
  </si>
  <si>
    <t>AKG Capsules [1000 MG] [240 CAPS]</t>
  </si>
  <si>
    <t>D-Ribose Capsules [2800 MG] [240 CAPS]</t>
  </si>
  <si>
    <t>Magnesium Glycinate Powder [250 GMS] [Unflavored]</t>
  </si>
  <si>
    <t>Pregnenolone [100 MG] [120 CAPS]</t>
  </si>
  <si>
    <t>Soy Isoflavones [150 MG] [180 CAPS]</t>
  </si>
  <si>
    <t>Calcium D-Glucarate [500 MG] [120 CAPS]</t>
  </si>
  <si>
    <t>Gotu Kola Capsules [180 CAPS]</t>
  </si>
  <si>
    <t>L-Lysine Powder [1 KG]</t>
  </si>
  <si>
    <t>Digestive Enzymes Capsules [120 CAPS]</t>
  </si>
  <si>
    <t>L-Methylfolate [15 MG] [120 CAPS]</t>
  </si>
  <si>
    <t>Bromelain Powder [4 OZ] [Unflavored]</t>
  </si>
  <si>
    <t>NTC749201</t>
  </si>
  <si>
    <t>Vanilla Bean Paste [8oz]</t>
  </si>
  <si>
    <t>Organic Spirulina Powder [1 LB]</t>
  </si>
  <si>
    <t>Hyaluronic Acid Powder [50 GMS] [RB2]</t>
  </si>
  <si>
    <t>NTC674101</t>
  </si>
  <si>
    <t>PTY Organic Flaxseed [2 LB]</t>
  </si>
  <si>
    <t>NTC709201</t>
  </si>
  <si>
    <t>N-Acetyl L-Cysteine Vegan Tablets [1000 MG] [240 TABS]</t>
  </si>
  <si>
    <t>NTC667101</t>
  </si>
  <si>
    <t>Triple Magnesium Complex Capsules [300 MG] [120 CAPS]</t>
  </si>
  <si>
    <t>NTC722103</t>
  </si>
  <si>
    <t>Creatine Monohydrate + Aminos [30 SERV] [Grape]</t>
  </si>
  <si>
    <t>NTC722102</t>
  </si>
  <si>
    <t>Creatine Monohydrate + Aminos [30 SERV] [Peach Mango]</t>
  </si>
  <si>
    <t>NTC722104</t>
  </si>
  <si>
    <t>Creatine Monohydrate + Aminos [30 SERV] [Watermelon]</t>
  </si>
  <si>
    <t>NTC722101</t>
  </si>
  <si>
    <t>Creatine Monohydrate + Aminos [30 SERV] [Fruit Punch]</t>
  </si>
  <si>
    <t>Tudca Capsules [250 MG] [30 CAPS]</t>
  </si>
  <si>
    <t>DHEA Capsules [50 MG] [240 CAPS]</t>
  </si>
  <si>
    <t>NTC999501</t>
  </si>
  <si>
    <t>Nutricolor Blue (Organic Spirulina) [30 GMS]</t>
  </si>
  <si>
    <t>Organic Mucuna Pruriens Powder [250 GMS]</t>
  </si>
  <si>
    <t>NTC649101</t>
  </si>
  <si>
    <t>W Probiotic for Women [30 Billion CFU] [60 CAPS]</t>
  </si>
  <si>
    <t>L-Citrulline Tablets [2500 MG] [120 TABS]</t>
  </si>
  <si>
    <t>Organic Pineapple Powder [8 OZ]</t>
  </si>
  <si>
    <t>HMB Powder [250 GMS] [Unflavored]</t>
  </si>
  <si>
    <t>Saffron Extract [88.5 MG] [240 CAPS]</t>
  </si>
  <si>
    <t>NTC704201</t>
  </si>
  <si>
    <t>Apple Pectin [700 MG] [180 CAPS]</t>
  </si>
  <si>
    <t>Organic Shatavari (MWO) [600 MG] [180 CAPS]</t>
  </si>
  <si>
    <t>PTY Lupin Flour [2 LBS]</t>
  </si>
  <si>
    <t>L-Lysine Capsules [500 MG] [500 CAPS]</t>
  </si>
  <si>
    <t>Organic Alfalfa Powder [1 LB] [Unflavored]</t>
  </si>
  <si>
    <t>Wheatgrass Powder [1 LB]</t>
  </si>
  <si>
    <t>NTC648101</t>
  </si>
  <si>
    <t>Zinc Oxide Powder [500 GMS] [Unflavored] [RB 2]</t>
  </si>
  <si>
    <t>Beta-Alanine Powder [500 GMS]</t>
  </si>
  <si>
    <t>NTC788101</t>
  </si>
  <si>
    <t>Grass-Fed Beef Organs [3,000 MG] [180 CAPS]</t>
  </si>
  <si>
    <t>Korean Red Ginseng Capsules [1000 MG] [240 CAPS]</t>
  </si>
  <si>
    <t>Astaxanthin Softgels [6 MG] [120 SFG]</t>
  </si>
  <si>
    <t>Lycopene Softgels [20 MG] [120 SFG]</t>
  </si>
  <si>
    <t>NTC800112</t>
  </si>
  <si>
    <t>Magnesium + Ashwagandha Capsules [1410 MG] [240 CAPS]</t>
  </si>
  <si>
    <t>Rutin [500 MG] [180 CAPS]</t>
  </si>
  <si>
    <t>Probiotic Complex Capsules [50 Billion CFU] [60 CAPS]</t>
  </si>
  <si>
    <t>NTC800110</t>
  </si>
  <si>
    <t>Organic Spirulina + Chlorella Tablets [1,500 MG] [180 TABS]</t>
  </si>
  <si>
    <t>GABA [750 MG] [240 CAPS]</t>
  </si>
  <si>
    <t>Ox Bile Capsules [125 MG] [240 CAPS]</t>
  </si>
  <si>
    <t>Huperzine-A [200 MCG] [240 CAPS]</t>
  </si>
  <si>
    <t>NTC245201</t>
  </si>
  <si>
    <t>Ceylon Cinnamon [1200 MG] [240 CAPS]</t>
  </si>
  <si>
    <t>Grape Seed Extract [400 MG] [240 CAPS]</t>
  </si>
  <si>
    <t>Magnesium Glycinate Capsules [210 MG] [180 CAPS]</t>
  </si>
  <si>
    <t>Berberine Capsules [1200 MG] [60 CAPS]</t>
  </si>
  <si>
    <t>Beta-Alanine Capsules [850 MG] [240 CAPS]</t>
  </si>
  <si>
    <t>NTC751102</t>
  </si>
  <si>
    <t>Liposomal Vitamin C [1500 MG] [120 CAPS]</t>
  </si>
  <si>
    <t>Caffeine Capsules [100 MG] [500 CAPS]</t>
  </si>
  <si>
    <t>L-Citrulline Capsules [1500 MG] [180 CAPS]</t>
  </si>
  <si>
    <t>Vitamin K2 MK-7 Softgels [100MCG] [240 SFG]</t>
  </si>
  <si>
    <t>Organic Inulin Powder [1 LB]</t>
  </si>
  <si>
    <t>GABA Powder [500 GMS]</t>
  </si>
  <si>
    <t>NTC477309</t>
  </si>
  <si>
    <t>Soy Protein Isolate [1 LB] [Unflavored] [RB2]</t>
  </si>
  <si>
    <t>Maltodextrin Powder [4 LBS]</t>
  </si>
  <si>
    <t>NTC272202</t>
  </si>
  <si>
    <t>Beef Bone Broth Protein [20 SERV] [Chocolate]</t>
  </si>
  <si>
    <t>NTC272201</t>
  </si>
  <si>
    <t>Beef Bone Broth Protein [20 SERV] [Unflavored]</t>
  </si>
  <si>
    <t>NTC738101</t>
  </si>
  <si>
    <t>Prebiotic Fiber Powder [1LB] [Fruit Punch]</t>
  </si>
  <si>
    <t>Organic Beet Root Powder [1 LB]</t>
  </si>
  <si>
    <t>Activated Charcoal Powder [1 LB]</t>
  </si>
  <si>
    <t>L-Leucine Powder [500 GMS]</t>
  </si>
  <si>
    <t>Bee Propolis Capsules [5% Flavonoids] [500 MG] [120 CAPS]</t>
  </si>
  <si>
    <t>Astaxanthin Softgels [12 MG] [60 SFG]</t>
  </si>
  <si>
    <t>NTC721101</t>
  </si>
  <si>
    <t>Creatine Monohydrate + Energy [30 SERV] [Fruit Punch]</t>
  </si>
  <si>
    <t>NTC721103</t>
  </si>
  <si>
    <t>Creatine Monohydrate + Energy [30 SERV] [Grape]</t>
  </si>
  <si>
    <t>NTC721102</t>
  </si>
  <si>
    <t>Creatine Monohydrate + Energy [30 SERV] [Peach Mango]</t>
  </si>
  <si>
    <t>NTC721104</t>
  </si>
  <si>
    <t>Creatine Monohydrate + Energy [30 SERV] [Watermelon]</t>
  </si>
  <si>
    <t>Vitamin A Softgels [10,000 IU] [500 SFG]</t>
  </si>
  <si>
    <t>Yohimbine HCl Capsules [5 MG] [240 CAPS]</t>
  </si>
  <si>
    <t>Magnesium Citrate Capsules [420 MG] [240 CAPS]</t>
  </si>
  <si>
    <t>Glucosamine [900MG] + Chondroitin [45MG] + MSM [212.5MG] Tablets [240 TABS]</t>
  </si>
  <si>
    <t>W DIM for Women [400 MG] [120 CAPS]</t>
  </si>
  <si>
    <t>Energy Powder [60 SERV] [Grape]</t>
  </si>
  <si>
    <t>PTY Demerara Sugar [3.8 LB]</t>
  </si>
  <si>
    <t>Organic Coconut Milk Powder [1 LB]</t>
  </si>
  <si>
    <t>Quercetin +Bromelain Capsules [120 CAPS]</t>
  </si>
  <si>
    <t>Magnesium Malate [300 GM]</t>
  </si>
  <si>
    <t>Pre-A [30 SERV] [Peach Mango]</t>
  </si>
  <si>
    <t>Pre-A [30 SERV] [Blue Raspberry]</t>
  </si>
  <si>
    <t>NTC575106</t>
  </si>
  <si>
    <t>Pre-A [30 SERV] [Cotton Candy]</t>
  </si>
  <si>
    <t>NTC575107</t>
  </si>
  <si>
    <t>Pre-A [30 SERV] [Strawberry Kiwi]</t>
  </si>
  <si>
    <t>NTC575105</t>
  </si>
  <si>
    <t>Pre-A [30 SERV] [Strawberry Margarita]</t>
  </si>
  <si>
    <t>NTC575104</t>
  </si>
  <si>
    <t>Pre-A [30 SERV] [Watermelon Candy]</t>
  </si>
  <si>
    <t>Pre-A [30 SERV] [Fruit Punch]</t>
  </si>
  <si>
    <t>NTC579103</t>
  </si>
  <si>
    <t>Energy Complex [60 SERV] [Fruit Punch]</t>
  </si>
  <si>
    <t>NTC579101</t>
  </si>
  <si>
    <t>Energy Complex [60 SERV] [Strawberry Kiwi]</t>
  </si>
  <si>
    <t>L-Citrulline Powder [250 GMS]</t>
  </si>
  <si>
    <t>NTC671101</t>
  </si>
  <si>
    <t>Egg Shell Membrane [500 MG] [120 CAP]</t>
  </si>
  <si>
    <t>HMB Capsules [500 MG] [240 CAPS]</t>
  </si>
  <si>
    <t>NTC800124</t>
  </si>
  <si>
    <t>ATP Capsules [400 MG] [60 CAPS</t>
  </si>
  <si>
    <t>Policosanol [100 MG] [120 CAPS]</t>
  </si>
  <si>
    <t>Zinc Carnosine [86 MG] [120 CAPS]</t>
  </si>
  <si>
    <t>5-HTP Capsules [100 MG] [240 CAPS]</t>
  </si>
  <si>
    <t>Taurine Capsules [1000 MG] [400 CAPS]</t>
  </si>
  <si>
    <t>Zinc Picolinate Capsules [30 MG] [240 CAPS]</t>
  </si>
  <si>
    <t>Tongkat Ali Capsules [1000 MG] [120 CAPS]</t>
  </si>
  <si>
    <t>Acetyl L-Carnitine Capsules [500 MG] [180 CAPS]</t>
  </si>
  <si>
    <t>Potassium Chloride [1 KG] [Unflavored]</t>
  </si>
  <si>
    <t>Organic Acacia Fiber [2 LBS]</t>
  </si>
  <si>
    <t>NTC634201</t>
  </si>
  <si>
    <t>W D-Mannose with Cranberry for Women [1300 MG] [180 CAP]</t>
  </si>
  <si>
    <t>Organic Chaga Mushroom Powder [8 OZ] [Unflavored]</t>
  </si>
  <si>
    <t>NTC796100</t>
  </si>
  <si>
    <t>NAC + Glycine Powder [4,000 MG] [Unflavored]</t>
  </si>
  <si>
    <t>Resveratrol Capsules [700 MG] [120 CAPS]</t>
  </si>
  <si>
    <t>Fadogia Agrestis Capsules [600 MG] [240 CAPS]</t>
  </si>
  <si>
    <t>Apigenin Capsules [50 MG] [180 CAPS]</t>
  </si>
  <si>
    <t>Organic Cordyceps (MWO) Capsules [550 MG] [180 CAPS]</t>
  </si>
  <si>
    <t>Vitamin A Softgels [25,000 IU] [500 SFG]</t>
  </si>
  <si>
    <t>L-Carnitine Tartrate Capsules [240 CAPS]</t>
  </si>
  <si>
    <t>Potassium Citrate Capsules [99 MG] [500 CAPS]</t>
  </si>
  <si>
    <t>Vitamin E Softgels [240 SFG]</t>
  </si>
  <si>
    <t>Caffeine Capsules [200 MG] [500 CAPS]</t>
  </si>
  <si>
    <t>Alpha Lipoic Acid Capsules [600 MG] [120 CAPS]</t>
  </si>
  <si>
    <t>Turkey Tail Mushroom [600 MG] [240 CAPS]</t>
  </si>
  <si>
    <t>Krill Oil Softgels [60 CAPS]</t>
  </si>
  <si>
    <t>Organic Saw Palmetto [8 oz] [Unflavored]</t>
  </si>
  <si>
    <t>HMB + Vitamin D3 Capsules  [1500 MG + 150 MCG] [240 CAPS]</t>
  </si>
  <si>
    <t>L-Lysine Tablets [1000 MG] [240 TABS]</t>
  </si>
  <si>
    <t>L-Theanine Capsules [200 MG] [240 CAPS]</t>
  </si>
  <si>
    <t>NTC647101</t>
  </si>
  <si>
    <t>Magnesium Chloride [2 LBS] [Unflavored] [RB 2]</t>
  </si>
  <si>
    <t>Organic Moringa [1 LB]</t>
  </si>
  <si>
    <t>BCAA Powder [90 SERV] [Unflavored]</t>
  </si>
  <si>
    <t>L-Glutamine Powder [500 GMS] [Unflavored]</t>
  </si>
  <si>
    <t>Organic Lion's Mane Mushroom Powder [8 OZ] [Unflavored]</t>
  </si>
  <si>
    <t>NTC651101</t>
  </si>
  <si>
    <t>PTY Organic Fenugreek Powder [1 LB]</t>
  </si>
  <si>
    <t>NTC672101</t>
  </si>
  <si>
    <t>PTY Cayenne Pepper [2 LB]</t>
  </si>
  <si>
    <t>N-Acetyl L-Cysteine Capsules [240 CAPS]</t>
  </si>
  <si>
    <t>Lycopene Softgels [50 MG] [60 SFG]</t>
  </si>
  <si>
    <t>NTC800114</t>
  </si>
  <si>
    <t>Chrysin Passion Flower Extract [550 MG] [60 CAPS]</t>
  </si>
  <si>
    <t>P5P [100 MG] [240 CAP]</t>
  </si>
  <si>
    <t>Pterostilbene [100 MG] [120 CAPS]</t>
  </si>
  <si>
    <t>Quercetin [500 MG] [120 CAPS]</t>
  </si>
  <si>
    <t>L-Arginine Powder [500 GMS]</t>
  </si>
  <si>
    <t>Fisetin Capsules [100 MG] [60 CAPS]</t>
  </si>
  <si>
    <t>R-Alpha Lipoic Acid [100 MG] [120 CAPS]</t>
  </si>
  <si>
    <t>Agmatine Sulfate Powder [250 GMS]</t>
  </si>
  <si>
    <t>NMN [250 MG x 2] [60 CAPS]</t>
  </si>
  <si>
    <t>NTC627201</t>
  </si>
  <si>
    <t>myHMB Capsules [1500 MG] [120 CAPS]</t>
  </si>
  <si>
    <t>Psyllium Husk Capsules [1500 MG] [500 CAPS]</t>
  </si>
  <si>
    <t>Magnesium+ Extra Strength Capsules [420 MG] [240 CAP]</t>
  </si>
  <si>
    <t>Beta Sitosterol Softgel [250 MG] [120 SFG]</t>
  </si>
  <si>
    <t>NTC650101</t>
  </si>
  <si>
    <t>Magnesium Bisglycinate [250 GMS] [Unflavored] [RB 2]</t>
  </si>
  <si>
    <t>NTC787101</t>
  </si>
  <si>
    <t>Benfotiamine Capsules [600 MG] [180 CAPS]</t>
  </si>
  <si>
    <t>NTC785101</t>
  </si>
  <si>
    <t>Indole-3-Carbinol [425 MG] [120 CAPS]</t>
  </si>
  <si>
    <t>DIM Capsules [300 MG] [120 CAPS]</t>
  </si>
  <si>
    <t>Potassium Bicarbonate [2 LBS] [Unflavored]</t>
  </si>
  <si>
    <t>Sodium Citrate [2 LBS] [Unflavored]</t>
  </si>
  <si>
    <t>Baking Soda Powder [5 LB] [Unflavored]</t>
  </si>
  <si>
    <t>NTC791100</t>
  </si>
  <si>
    <t>Pea Protein Powder [2 LBS] [Unflavored]</t>
  </si>
  <si>
    <t>MCT Oil Powder [1 LB] [Vanilla]</t>
  </si>
  <si>
    <t>MCT Oil Powder [1 LB] [Salted Caramel]</t>
  </si>
  <si>
    <t>MCT Oil Powder [1 LB] [Unflavored]</t>
  </si>
  <si>
    <t>NTC606202</t>
  </si>
  <si>
    <t>BCAA + Hydration [20 SPK] [Raspberry Lemonade]</t>
  </si>
  <si>
    <t>NTC606204</t>
  </si>
  <si>
    <t>BCAA + Hydration [20 SPK] [Green Apple]</t>
  </si>
  <si>
    <t>NTC606203</t>
  </si>
  <si>
    <t>BCAA + Hydration [20 SPK] [Fruit Punch]</t>
  </si>
  <si>
    <t>NTC606205</t>
  </si>
  <si>
    <t>BCAA + Hydration [20 SPK] [Variety Pack]</t>
  </si>
  <si>
    <t>NTC606201</t>
  </si>
  <si>
    <t>BCAA + Hydration [20 SPK] [Peach Mango]</t>
  </si>
  <si>
    <t>NTC612209</t>
  </si>
  <si>
    <t>Organic Super Greens Powder [30 SERV] [Unflavored] [RB 2]</t>
  </si>
  <si>
    <t>NCW466103</t>
  </si>
  <si>
    <t>NCW MRS [30 SERV] [Chocolate PB]</t>
  </si>
  <si>
    <t>L-Carnitine Tartrate Powder [250 GMS]</t>
  </si>
  <si>
    <t>NTC800118</t>
  </si>
  <si>
    <t>Organic Resveratrol Capsules [600 MG] [120 CAPS]</t>
  </si>
  <si>
    <t>NTC555103</t>
  </si>
  <si>
    <t>L-Glutamine Powder with Stevia [500 GM] [Green Apple]</t>
  </si>
  <si>
    <t>L-Glutamine Powder with Stevia [500 GM] [Blackberry Lemonade]</t>
  </si>
  <si>
    <t>L-Glutamine Powder [500 GMS] [Blue Raspberry]</t>
  </si>
  <si>
    <t>L-Glutamine Powder with Stevia [500 GM] [Peach Mango]</t>
  </si>
  <si>
    <t>L-Glutamine Powder [500 GMS] [Fruit Punch]</t>
  </si>
  <si>
    <t>W Probiotic for Women [60 Billion CFU] [60 CAPS]</t>
  </si>
  <si>
    <t>Luteolin [100 MG] [120 CAPS]</t>
  </si>
  <si>
    <t>NTC679101</t>
  </si>
  <si>
    <t>Probiotic Complex [40 Billion CFU] [60 CAPS]</t>
  </si>
  <si>
    <t>Taurine Powder [1 KG] [Unflavored]</t>
  </si>
  <si>
    <t>NTC703101</t>
  </si>
  <si>
    <t>PTY Ancho Chili Pepper [1.5 LB]</t>
  </si>
  <si>
    <t>PTY Organic Cocoa Powder [1.5 LB]</t>
  </si>
  <si>
    <t>BCAA Powder [60 SERV] [Watermelon]</t>
  </si>
  <si>
    <t>NTC255301</t>
  </si>
  <si>
    <t>Organic Pea Protein [1 LB] [Chocolate]</t>
  </si>
  <si>
    <t>NTC255309</t>
  </si>
  <si>
    <t>Organic Pea Protein [1 LB] [Unflavored]</t>
  </si>
  <si>
    <t>NTC792201</t>
  </si>
  <si>
    <t>Fiber Gummies [6 g] [120 GUM]</t>
  </si>
  <si>
    <t>Organic Maca Root Powder [1 LB]</t>
  </si>
  <si>
    <t>Grass-Fed Collagen Peptides Powder [1 LB] [Vanilla]</t>
  </si>
  <si>
    <t>Grass-Fed Collagen Peptides Powder [1 LB] [Salted Caramel]</t>
  </si>
  <si>
    <t>Grass-Fed Collagen Peptides Powder [1 LB] [Chocolate]</t>
  </si>
  <si>
    <t>Grass-Fed Collagen Peptides Powder [1 LB] [Unflavored]</t>
  </si>
  <si>
    <t>NTC706101</t>
  </si>
  <si>
    <t>PTY Ground Celery Seed [1.7 LB]</t>
  </si>
  <si>
    <t>Vitamin B12 Capsules [5000 MCG] [240 CAPS]</t>
  </si>
  <si>
    <t>DHEA Capsules [100 MG] [240 CAPS]</t>
  </si>
  <si>
    <t>BCAA Capsules 2:1:1 Capsules [500 CAPS]</t>
  </si>
  <si>
    <t>Omega-3 Softgels [2500 MG] [120 SFG]</t>
  </si>
  <si>
    <t>Organic Irish Sea Moss Powder [1 LB]</t>
  </si>
  <si>
    <t>BCAA + Hydration [30 SERV] [Raspberry Lemonade]</t>
  </si>
  <si>
    <t>BCAA + Hydration [30 SERV] [Fruit Punch]</t>
  </si>
  <si>
    <t>BCAA + Hydration [30 SERV] [Peach Mango]</t>
  </si>
  <si>
    <t>NTC606106</t>
  </si>
  <si>
    <t>BCAA + Hydration [30 SERV] [Peach Ring]</t>
  </si>
  <si>
    <t>PRE-X Complex Rev 2 [30 SERV] [Grape]</t>
  </si>
  <si>
    <t>PRE-X Complex Rev 2 [30 SERV] [Blue Raspberry]</t>
  </si>
  <si>
    <t>PRE-X Complex Rev 2 [30 SERV] [Fruit Punch]</t>
  </si>
  <si>
    <t>PRE-X Complex Rev 2 [30 SERV] [Peach Mango]</t>
  </si>
  <si>
    <t>NTC615101</t>
  </si>
  <si>
    <t>NC EST Pure Epsom Salt [8 LB]</t>
  </si>
  <si>
    <t>NTC682101</t>
  </si>
  <si>
    <t>Lumbrokinase Capsules [150 MG] [120 CAPS]</t>
  </si>
  <si>
    <t>NTC030301</t>
  </si>
  <si>
    <t>Creatine Monohydrate Powder [20 PACK] [Variety Pack]</t>
  </si>
  <si>
    <t>L-Serine Powder [0.5 LBS]</t>
  </si>
  <si>
    <t>Glycine [1 LB] [Unflavored]</t>
  </si>
  <si>
    <t>Ox Bile Capsules [500 MG] [120 CAPS]</t>
  </si>
  <si>
    <t>MCT Oil Softgels [1000 MG] [300 SFG]</t>
  </si>
  <si>
    <t>Marine Collagen Powder WC [8 OZ] [Unflavored]</t>
  </si>
  <si>
    <t>Xylitol Powder [2.5 LBS]</t>
  </si>
  <si>
    <t>NTC783101</t>
  </si>
  <si>
    <t>Nicotinamide Riboside + Resveratrol [500 MG] [120 CAPS]</t>
  </si>
  <si>
    <t>NTC239301</t>
  </si>
  <si>
    <t>PTY Allulose [3 LB]</t>
  </si>
  <si>
    <t>Vitamin C Powder [2 LBS]</t>
  </si>
  <si>
    <t>Malic Acid Powder [2 LBS]</t>
  </si>
  <si>
    <t>Organic Chlorella Powder [1 LB]</t>
  </si>
  <si>
    <t>D-Aspartic Acid Powder [500 GMS]</t>
  </si>
  <si>
    <t>L-Arginine Tablets [1000 MG] [300 TABS]</t>
  </si>
  <si>
    <t>N-Acetyl L-Cysteine Powder [250 GMS]</t>
  </si>
  <si>
    <t>NTC603101</t>
  </si>
  <si>
    <t>Berberine HCL with Ceylon Cinnamon [1200 MG] [120 CAPS]</t>
  </si>
  <si>
    <t>Bromelain Capsules [550 MG] [240 CAPS]</t>
  </si>
  <si>
    <t>NTC660101</t>
  </si>
  <si>
    <t>CLA 60% [8 OZ] [Unflavored]</t>
  </si>
  <si>
    <t>Glucomannan Powder [500 GMS]</t>
  </si>
  <si>
    <t>NTC612203</t>
  </si>
  <si>
    <t>Organic Super Greens Powder [30 SERV] [Orange Sunrise] [RB 2]</t>
  </si>
  <si>
    <t>NTC612202</t>
  </si>
  <si>
    <t>Organic Super Greens Powder [30 SERV] [Mixed Berry] [RB 2]</t>
  </si>
  <si>
    <t>CoQ10 Softgels [200 MG] [120 SFG]</t>
  </si>
  <si>
    <t>NTC621101</t>
  </si>
  <si>
    <t>Dihydro Berberine [200 MG] [60 CAPS]</t>
  </si>
  <si>
    <t>NTC800121</t>
  </si>
  <si>
    <t>Saccharomyces Boulardii + MOS Capsules [200 MG] [120 CAPS]</t>
  </si>
  <si>
    <t>D-Mannose Powder [250 GMS]</t>
  </si>
  <si>
    <t>NTC410201</t>
  </si>
  <si>
    <t>Organic Milk Thistle (Silybum Marianum) [8 OZ] [RB 2]</t>
  </si>
  <si>
    <t>NTC645109</t>
  </si>
  <si>
    <t>Organic Baobab Powder [1 LB] [Unflavored]</t>
  </si>
  <si>
    <t>Dextrose Powder [5 LBS]</t>
  </si>
  <si>
    <t>Inositol Powder [1 LB]</t>
  </si>
  <si>
    <t>Coconut Milk Powder [2 LBS]</t>
  </si>
  <si>
    <t>L-Tyrosine Powder [500 GMS]</t>
  </si>
  <si>
    <t>NTC029202</t>
  </si>
  <si>
    <t>Psyllium Husk Powder [1.5 LB] [Unflavored]</t>
  </si>
  <si>
    <t>Pre-C [30 SERV] [Peach Mango]</t>
  </si>
  <si>
    <t>Pre-C [30 SERV] [Fruit Punch]</t>
  </si>
  <si>
    <t>Pre-C [30 SERV] [Blue Raspberry]</t>
  </si>
  <si>
    <t>Intraworkout [30 SERV] [Pink Lemonade]</t>
  </si>
  <si>
    <t>NTC221106</t>
  </si>
  <si>
    <t>Intraworkout [30 SERV] [Green Apple]</t>
  </si>
  <si>
    <t>Alpha GPC Capsules [120 CAPS]</t>
  </si>
  <si>
    <t>Vitamin B Complex Capsules [462 MG] [240 CAPS]</t>
  </si>
  <si>
    <t>NTC700102</t>
  </si>
  <si>
    <t>PTY Sweet Potato Powder [1.5 LB]</t>
  </si>
  <si>
    <t>L-Arginine Complex Powder [60 SERV] [Blue Raspberry]</t>
  </si>
  <si>
    <t>L-Arginine Complex Powder [60 SERV] [Fruit Punch]</t>
  </si>
  <si>
    <t>BCAA Powder [60 SERV] [Raspberry Lemonade]</t>
  </si>
  <si>
    <t>BCAA Powder [60 SERV] [Pineapple]</t>
  </si>
  <si>
    <t>BCAA Powder [60 SERV] [Strawberry Kiwi]</t>
  </si>
  <si>
    <t>BCAA Powder [60 SERV] [Grape]</t>
  </si>
  <si>
    <t>NTC620201</t>
  </si>
  <si>
    <t>Electrolytes Complex [120 SERV] [Grape] [RB4]</t>
  </si>
  <si>
    <t>BCAA Powder [60 Serv] [Green Apple]</t>
  </si>
  <si>
    <t>NTC620204</t>
  </si>
  <si>
    <t>Electrolytes Complex [120 SERV] [Fruit Punch] [RB4]</t>
  </si>
  <si>
    <t>BCAA Powder [60 SERV] [Orange Mango]</t>
  </si>
  <si>
    <t>PhosphatidylSerine [400 MG] [120 CAP]</t>
  </si>
  <si>
    <t>Citric Acid Powder [5 LB]</t>
  </si>
  <si>
    <t>Coconut Oil Powder [2 LBS]</t>
  </si>
  <si>
    <t>NTC613101</t>
  </si>
  <si>
    <t>Multi Collagen Beauty Protein [30 SERV] [Chocolate]</t>
  </si>
  <si>
    <t>NTC613109</t>
  </si>
  <si>
    <t>Multi Collagen Beauty Protein [30 SERV] [Unflavored]</t>
  </si>
  <si>
    <t>NTC564201</t>
  </si>
  <si>
    <t>Beta Sitosterol Softgel [500 MG] [240 SFG]</t>
  </si>
  <si>
    <t>Egg White Protein [8 OZ] [Unflavored]</t>
  </si>
  <si>
    <t>NTC620102</t>
  </si>
  <si>
    <t>Electrolytes Complex [40 SPK] [Blue Raspberry] [RB4]</t>
  </si>
  <si>
    <t>NTC620103</t>
  </si>
  <si>
    <t>Electrolytes Complex [40 SPK] [Green Apple] [RB4]</t>
  </si>
  <si>
    <t>NTC620105</t>
  </si>
  <si>
    <t>Electrolytes Complex [40 SPK] [Variety Pack] [RB4]</t>
  </si>
  <si>
    <t>NTC620101</t>
  </si>
  <si>
    <t>Electrolytes Complex [40 SPK] [Grape] [RB4]</t>
  </si>
  <si>
    <t>NTC620104</t>
  </si>
  <si>
    <t>Electrolytes Complex [40 SPK] [Fruit Punch] [RB4]</t>
  </si>
  <si>
    <t>Tudca Capsules [250 MG] [60 CAPS]</t>
  </si>
  <si>
    <t>NTC030107</t>
  </si>
  <si>
    <t>Creatine Monohydrate Powder [500 GMS] [Mandarin Orange]</t>
  </si>
  <si>
    <t>Creatine Monohydrate Powder [500 GMS] [Blue Raspberry]</t>
  </si>
  <si>
    <t>Creatine Monohydrate Powder [500 GMS] [Fruit Punch]</t>
  </si>
  <si>
    <t>Creatine Monohydrate Powder [500 GMS] [Pineapple Mango]</t>
  </si>
  <si>
    <t>Creatine Monohydrate Powder [500 GMS] [Watermelon]</t>
  </si>
  <si>
    <t>C8 MCT Oil Powder [1 LB] [Unflavored]</t>
  </si>
  <si>
    <t>C8 MCT Oil Powder [1 LB] [Vanilla]</t>
  </si>
  <si>
    <t>NTC254309</t>
  </si>
  <si>
    <t>Organic Rice Protein [2 LBS] [Unflavored] [RB2]</t>
  </si>
  <si>
    <t>NTC596901</t>
  </si>
  <si>
    <t>Grass-Fed Gelatin Powder [1 LB] [Unflavored]</t>
  </si>
  <si>
    <t>Grass Fed Desiccated Beef Liver [3000 MG] [240 CAPS]</t>
  </si>
  <si>
    <t>Fish Oil Softgels [240 SFG]</t>
  </si>
  <si>
    <t>NTC705101</t>
  </si>
  <si>
    <t>S-Acetyl L-Glutathione Capsules  [100 MG] [60 CAPS]</t>
  </si>
  <si>
    <t>CDP Choline Citicoline Capsules [300 MG] [120 CAPS]</t>
  </si>
  <si>
    <t>NTC477409</t>
  </si>
  <si>
    <t>Soy Protein Isolate [2 LB] [Unflavored] [RB2]</t>
  </si>
  <si>
    <t>ZMA Capsules [180 CAPS]</t>
  </si>
  <si>
    <t>Organic Spirulina Powder [2 LBS]</t>
  </si>
  <si>
    <t>D-Ribose Powder [500 GMS]</t>
  </si>
  <si>
    <t>NTC540201</t>
  </si>
  <si>
    <t>PTY Organic Stevia [8 OZ] [RB2]</t>
  </si>
  <si>
    <t>NTC800123</t>
  </si>
  <si>
    <t>Organic Spirulina + Chlorella Tablets [3000 MG] [360 TABS]</t>
  </si>
  <si>
    <t>NTC730101</t>
  </si>
  <si>
    <t>PTY Organic Oat Milk Powder [1.4 LB]</t>
  </si>
  <si>
    <t>Tudca Capsules [500 MG] [30 CAPS]</t>
  </si>
  <si>
    <t>L-Citrulline Malate Powder [600 GMS] [Blue Raspberry]</t>
  </si>
  <si>
    <t>L-Citrulline Malate Powder [600 GMS] [Strawberry Kiwi]</t>
  </si>
  <si>
    <t>L-Citrulline Malate Powder [600 GMS] [Fruit Punch]</t>
  </si>
  <si>
    <t>L-Citrulline Malate Powder [600 GMS] [Unflavored]</t>
  </si>
  <si>
    <t>Stim-Free Pre [30 SERV] [Pink Lemonade]</t>
  </si>
  <si>
    <t>Stim-Free Pre [30 SERV] [Blue Raspberry]</t>
  </si>
  <si>
    <t>Stim-Free Pre [30 SERV] [Peach Mango]</t>
  </si>
  <si>
    <t>Cissus Quadrangularis [600 MG] [240 CAPS]</t>
  </si>
  <si>
    <t>Alpha Lipoic Acid Capsules [600 MG] [240 CAPS]</t>
  </si>
  <si>
    <t>Acetyl L-Carnitine Powder [250 GMS]</t>
  </si>
  <si>
    <t>Glutathione [240 CAPS]</t>
  </si>
  <si>
    <t>L-Glutamine Powder [1 KG] [Unflavored]</t>
  </si>
  <si>
    <t>L-Carnosine Powder [50 GMS]</t>
  </si>
  <si>
    <t>Strontium Capsules [750 MG] [240 CAPS]</t>
  </si>
  <si>
    <t>NTC657109</t>
  </si>
  <si>
    <t>Organic Whey Protein Concentrate [1 LB] [Unflavored] [RB2]</t>
  </si>
  <si>
    <t>NTC683101</t>
  </si>
  <si>
    <t>Liposomal Glutathione Capsules [720 MG] [60 CAPS]</t>
  </si>
  <si>
    <t>Organic Cordyceps Powder [250 GMS]</t>
  </si>
  <si>
    <t>NTC731101</t>
  </si>
  <si>
    <t>PTY Organic Green Banana Flour [2 LB]</t>
  </si>
  <si>
    <t>NC EST Vitamin E Oil [230,000 IU] [8 OZ]</t>
  </si>
  <si>
    <t>NTC700101</t>
  </si>
  <si>
    <t>PTY Organic Ceylon Cinnamon [2 LBS]</t>
  </si>
  <si>
    <t>Organic Pea Protein [2 LBS] [Unflavored]</t>
  </si>
  <si>
    <t>Pre-A [60 SERV] [Peach Mango]</t>
  </si>
  <si>
    <t>Pre-A [60 SERV] [Blue Raspberry]</t>
  </si>
  <si>
    <t>Pre-A [60 SERV] [Fruit Punch]</t>
  </si>
  <si>
    <t>Astaxanthin Softgels [12 MG] [120 SFG]</t>
  </si>
  <si>
    <t>Zembrin Capsules [50 MG] [60 CAPS]</t>
  </si>
  <si>
    <t>NTC657101</t>
  </si>
  <si>
    <t>Organic Whey Protein Concentrate [1 LB] [Double Chocolate] [RB2]</t>
  </si>
  <si>
    <t>Lactoferrin Capsules [300 MG] [60 CAPS]</t>
  </si>
  <si>
    <t>NTC657103</t>
  </si>
  <si>
    <t>Organic Whey Protein Concentrate [1 LB] [Chocolate PB] [RB2]</t>
  </si>
  <si>
    <t>NTC800125</t>
  </si>
  <si>
    <t>BioCell Collagen Capsules [1000 MG] [120 CAPS]</t>
  </si>
  <si>
    <t>NTC657102</t>
  </si>
  <si>
    <t>Organic Whey Protein Concentrate [1 LB] [French Vanilla] [RB2]</t>
  </si>
  <si>
    <t>NTC717101</t>
  </si>
  <si>
    <t>Creatine HCl [750 MG] [120 CAPS]</t>
  </si>
  <si>
    <t>Magnesium Glycinate Capsules [210 MG] [360 CAPS]</t>
  </si>
  <si>
    <t>NTC732101</t>
  </si>
  <si>
    <t>Beta Ecdysterone [600 MG] [120 CAPS]</t>
  </si>
  <si>
    <t>Quercetin +Bromelain Capsules [240 CAPS]</t>
  </si>
  <si>
    <t>NTC791200</t>
  </si>
  <si>
    <t>Pea Protein [4 LBS] [Unflavored]</t>
  </si>
  <si>
    <t>Bromelain Powder [8 OZ] [Unflavored]</t>
  </si>
  <si>
    <t>BHB Salts [30 SERV] [Strawberry Lemonade] [RB2]</t>
  </si>
  <si>
    <t>BHB Salts [30 SERV] [Peach Mango] [RB2]</t>
  </si>
  <si>
    <t>BHB Salts [30 SERV] [Fruit Punch] [RB2]</t>
  </si>
  <si>
    <t>BHB Salts [30 SERV] [Green Apple] [RB2]</t>
  </si>
  <si>
    <t>NTC607202</t>
  </si>
  <si>
    <t>Marine Collagen Powder WC [30 SERV] [Chocolate]</t>
  </si>
  <si>
    <t>Creatine Monohydrate Capsules [3000 MG] [500 CAPS]</t>
  </si>
  <si>
    <t>NTC638101</t>
  </si>
  <si>
    <t>PTY Goat Milk Powder [2 LB] [Unflavored]</t>
  </si>
  <si>
    <t>NTC685101</t>
  </si>
  <si>
    <t>Organic Ceylon Cinnamon [2 LB]</t>
  </si>
  <si>
    <t>NTC380301</t>
  </si>
  <si>
    <t>Organic Barley Grass Juice Powder [1 LB] [Unflavored] [RB2]</t>
  </si>
  <si>
    <t>Casein Protein [2 LBS] [Vanilla]</t>
  </si>
  <si>
    <t>Casein Protein [2 LBS] [Chocolate]</t>
  </si>
  <si>
    <t>Casein Protein [2 LBS] [Unflavored]</t>
  </si>
  <si>
    <t>L-Citrulline Powder [600 GMS]</t>
  </si>
  <si>
    <t>NTC739101</t>
  </si>
  <si>
    <t>Apple Pectin Powder [1LB] [Unflavored]</t>
  </si>
  <si>
    <t>NTC740101</t>
  </si>
  <si>
    <t>PTY Apple Pectin Powder [1LB]</t>
  </si>
  <si>
    <t>Maltodextrin Powder [8 LBS]</t>
  </si>
  <si>
    <t>Magnesium BHB [250 GMS] [Unflavored]</t>
  </si>
  <si>
    <t>Potassium BHB Powder [250 GMS]</t>
  </si>
  <si>
    <t>Sodium BHB Powder [250 GM] [Unflavored]</t>
  </si>
  <si>
    <t>Calcium BHB Powder [250 GM] [Unflavored]</t>
  </si>
  <si>
    <t>L-Carnosine Capsules [500 MG] [120 CAPS]</t>
  </si>
  <si>
    <t>NTC716205</t>
  </si>
  <si>
    <t>Clear Whey Protein Isolate [1 LB] [Berry Blast]</t>
  </si>
  <si>
    <t>NTC716204</t>
  </si>
  <si>
    <t>Clear Whey Protein Isolate [1 LB] [Tropical Punch]</t>
  </si>
  <si>
    <t>NTC716206</t>
  </si>
  <si>
    <t>Clear Whey Protein Isolate [1 LB] [Concord Grape]</t>
  </si>
  <si>
    <t>PTY White Cheddar Cheese Powder [2.5 LBS]</t>
  </si>
  <si>
    <t>NTC094207</t>
  </si>
  <si>
    <t>Whey Protein Concentrate [2 LBS] [Strawberry Banana]</t>
  </si>
  <si>
    <t>Whey Protein Concentrate [2 LBS] [Strawberry Milkshake]</t>
  </si>
  <si>
    <t>NTC094215</t>
  </si>
  <si>
    <t>Whey Protein Concentrate [2 LBS] [S'mores ]</t>
  </si>
  <si>
    <t>NTC094214</t>
  </si>
  <si>
    <t>Whey Protein Concentrate [2 LBS] [Chocolate Brownie]</t>
  </si>
  <si>
    <t>NTC094206</t>
  </si>
  <si>
    <t>Whey Protein Concentrate [2 LB] [Pineapple Cream]</t>
  </si>
  <si>
    <t>Whey Protein Concentrate [2 LBS] [Milk Chocolate]</t>
  </si>
  <si>
    <t>NTC094212</t>
  </si>
  <si>
    <t>Whey Protein Concentrate [2 LBS] [Churro]</t>
  </si>
  <si>
    <t>Whey Protein Concentrate [2 LBS] [Chocolate Peanut Butter]</t>
  </si>
  <si>
    <t>Whey Protein Concentrate [2 LBS] [Vanilla]</t>
  </si>
  <si>
    <t>Whey Protein Concentrate [2 LBS] [Unflavored]</t>
  </si>
  <si>
    <t>NTC675101</t>
  </si>
  <si>
    <t>PTY Organic Grass Fed Butter Powder [1.5 LB]</t>
  </si>
  <si>
    <t>Lycopene Softgels [50 MG] [120 SFG]</t>
  </si>
  <si>
    <t>NTC457201</t>
  </si>
  <si>
    <t>Magtein Magnesium L-Threonate [144 MG] [90 CAPS]</t>
  </si>
  <si>
    <t>NTC734101</t>
  </si>
  <si>
    <t>Beef Protein Isolate [2 LBS] [Chocolate]</t>
  </si>
  <si>
    <t>Activated Charcoal Powder [2 LB]</t>
  </si>
  <si>
    <t>BCAA Powder [150 SERV] [Unflavored]</t>
  </si>
  <si>
    <t>Creapure Powder [500 GMS]</t>
  </si>
  <si>
    <t>NTC800134</t>
  </si>
  <si>
    <t>UC-II Capsules [40 MG] [120 CAPS]</t>
  </si>
  <si>
    <t>SAM-e [200 MG] [120 CAPS]</t>
  </si>
  <si>
    <t>BCAA Powder [90 SERV] [Raspberry Lemonade]</t>
  </si>
  <si>
    <t>BCAA Powder [90 SERV] [Watermelon]</t>
  </si>
  <si>
    <t>BCAA Powder [90 SERV] [Pineapple]</t>
  </si>
  <si>
    <t>BCAA Powder [90 SERV] [Strawberry Kiwi]</t>
  </si>
  <si>
    <t>BCAA Powder [90 SERV] [Grape]</t>
  </si>
  <si>
    <t>MCT Oil Powder [2 LBS] [Unflavored]</t>
  </si>
  <si>
    <t>PRE-X Complex Rev 2 [60 SERV] [Grape]</t>
  </si>
  <si>
    <t>PRE-X Complex Rev 2 [60 SERV] [Peach Mango]</t>
  </si>
  <si>
    <t>PRE-X Complex Rev 2 [60 SERV] [Blue Raspberry]</t>
  </si>
  <si>
    <t>Pre-X [60 SERV] [Watermelon] [RB]</t>
  </si>
  <si>
    <t>PRE-X Complex Rev 2 [60 SERV] [Fruit Punch]</t>
  </si>
  <si>
    <t>NTC094213</t>
  </si>
  <si>
    <t>Whey Protein Concentrate [2 LBS] [Shaqs Double Double Chocolate]</t>
  </si>
  <si>
    <t>L-Arginine Powder [1 KG]</t>
  </si>
  <si>
    <t>Acetyl L-Carnitine Powder [500 GMS]</t>
  </si>
  <si>
    <t>Organic Lion's Mane Mushroom Powder [1 LB] [Unflavored]</t>
  </si>
  <si>
    <t>Turkesterone [600 MG] [120 CAPS]</t>
  </si>
  <si>
    <t>N-Acetyl L-Cysteine Powder [500 GMS]</t>
  </si>
  <si>
    <t>R-Alpha Lipoic Acid [100 MG] [240 CAPS]</t>
  </si>
  <si>
    <t>NTC699101</t>
  </si>
  <si>
    <t>Organic Egg White Protein [8 OZ] [Unflavored]</t>
  </si>
  <si>
    <t>Mass Gainer [6.8 LB] [Double Chocolate] [RB2]</t>
  </si>
  <si>
    <t>Mass Gainer [6.9 LB] [Cookies N Cream] [RB2]</t>
  </si>
  <si>
    <t>Mass Gainer [6.7 LB] [Chocolate Peanut Butter] [RB2]</t>
  </si>
  <si>
    <t>Tudca Powder [25 GMS] [Unflavored]</t>
  </si>
  <si>
    <t>Colostrum Powder 30% [8 oz]</t>
  </si>
  <si>
    <t>Grass-Fed Whey Protein Concentrate [2 LBS] [Vanilla]</t>
  </si>
  <si>
    <t>Grass-Fed Whey Protein Concentrate [2 LBS] [Chocolate]</t>
  </si>
  <si>
    <t>Grass-Fed Whey Protein Concentrate [2 LBS] [Unflavored]</t>
  </si>
  <si>
    <t>Creatine Monohydrate Powder [1 KG]</t>
  </si>
  <si>
    <t>L-Carnosine Powder [100 GMS]</t>
  </si>
  <si>
    <t>Grass-Fed Whey Protein Isolate [2 LBS] [Vanilla]</t>
  </si>
  <si>
    <t>Grass-Fed Whey Protein Isolate [2 LBS] [Unflavored]</t>
  </si>
  <si>
    <t>Grass-Fed Whey Protein Isolate [2 LBS] [Chocolate]</t>
  </si>
  <si>
    <t>NTC157104</t>
  </si>
  <si>
    <t>Grass-Fed Whey Protein Isolate [2 LBS] [Chocolate Peanut Butter]</t>
  </si>
  <si>
    <t>NTC596201</t>
  </si>
  <si>
    <t>Beef Gelatin Powder [2 LB]</t>
  </si>
  <si>
    <t>NTC708101</t>
  </si>
  <si>
    <t>NAD+ [1000 MG] [120 CAPS]</t>
  </si>
  <si>
    <t>NTC790101</t>
  </si>
  <si>
    <t>Hydrolyzed Whey Protein [2 LBS] [Chocolate]</t>
  </si>
  <si>
    <t>BCAA Powder [120 SERV] [Watermelon]</t>
  </si>
  <si>
    <t>Dextrose Powder [10 LBS]</t>
  </si>
  <si>
    <t>Whey Protein Isolate [2 LBS] [Cake Batter]</t>
  </si>
  <si>
    <t>NTC069213</t>
  </si>
  <si>
    <t>Whey Protein Isolate [2 LBS] [Strawberry Banana]</t>
  </si>
  <si>
    <t>Whey Protein Isolate [2 LBS] [Strawberry Milkshake]</t>
  </si>
  <si>
    <t>Whey Protein Isolate [2 LBS] [Strawberry Acai]</t>
  </si>
  <si>
    <t>Whey Protein Isolate [2 LBS] [Salted Caramel]</t>
  </si>
  <si>
    <t>Whey Protein Isolate [2 LBS] [Mocha]</t>
  </si>
  <si>
    <t>Whey Protein Isolate [2 LBS] [Vanilla]</t>
  </si>
  <si>
    <t>NTC069212</t>
  </si>
  <si>
    <t>Whey Protein Isolate [2 LBS] [Churro]</t>
  </si>
  <si>
    <t>Whey Protein Isolate [2 LBS] [Unflavored]</t>
  </si>
  <si>
    <t>Whey Protein Isolate [2 LBS] [Milk Chocolate]</t>
  </si>
  <si>
    <t>Whey Protein Isolate [2 LBS] [Cookies N Cream]</t>
  </si>
  <si>
    <t>Whey Protein Isolate [2 LBS] [Chocolate Peanut Butter]</t>
  </si>
  <si>
    <t>C8 MCT Oil Powder [2 LBS] [Unflavored]</t>
  </si>
  <si>
    <t>Organic Shatavari [1 LB] [Unflavored]</t>
  </si>
  <si>
    <t>Egg White Protein [1 LB] [Unflavored]</t>
  </si>
  <si>
    <t>Ubiquinol Softgels [100 MG] [120 SFG]</t>
  </si>
  <si>
    <t>L-Citrulline Malate Powder [1.2 KG]</t>
  </si>
  <si>
    <t>Magtein Magnesium L-Threonate [144 MG] [120 CAPS]</t>
  </si>
  <si>
    <t>Spermidine Wheat Germ [1500 MG] [120 CAPS]</t>
  </si>
  <si>
    <t>BCAA Powder [120 SERV] [Grape]</t>
  </si>
  <si>
    <t>BCAA Powder [120 SERV] [Green Apple]</t>
  </si>
  <si>
    <t>D-Mannose Powder [500 GMS]</t>
  </si>
  <si>
    <t>BHB (4-in-1) [30 Serv] [UF]</t>
  </si>
  <si>
    <t>NTC254409</t>
  </si>
  <si>
    <t>Organic Rice Protein [5 LBS] [Unflavored] [RB2]</t>
  </si>
  <si>
    <t>NTC718101</t>
  </si>
  <si>
    <t>Creatine HCl Powder [8 Oz]</t>
  </si>
  <si>
    <t>NTC255401</t>
  </si>
  <si>
    <t>Organic Pea Protein [3 LB] [Chocolate]</t>
  </si>
  <si>
    <t>NTC255409</t>
  </si>
  <si>
    <t>Organic Pea Protein [3 LB] [Unflavored]</t>
  </si>
  <si>
    <t>NTC657201</t>
  </si>
  <si>
    <t>Organic Whey Protein Concentrate [2 LBS] [Double Chocolate] [RB2]</t>
  </si>
  <si>
    <t>NTC657203</t>
  </si>
  <si>
    <t>Organic Whey Protein Concentrate [2 LBS] [Chocolate PB] [RB2]</t>
  </si>
  <si>
    <t>NTC657202</t>
  </si>
  <si>
    <t>Organic Whey Protein Concentrate [2 LBS] [French Vanilla] [RB2]</t>
  </si>
  <si>
    <t>PTY Habanero Powder [1 LB]</t>
  </si>
  <si>
    <t>PTY Yellow Cheddar Cheese Powder [2.5 LBS]</t>
  </si>
  <si>
    <t>Creapure Powder [1000 GMS]</t>
  </si>
  <si>
    <t>NTC699201</t>
  </si>
  <si>
    <t>Organic Egg White Protein [1 LB] [Unflavored]</t>
  </si>
  <si>
    <t>Whey Protein Concentrate [5 LBS] [Strawberry Milkshake]</t>
  </si>
  <si>
    <t>NTC094306</t>
  </si>
  <si>
    <t>Whey Protein Concentrate [5 LB] [Pineapple Ice Cream]</t>
  </si>
  <si>
    <t>Whey Protein Concentrate [5 LBS] [Vanilla]</t>
  </si>
  <si>
    <t>Whey Protein Concentrate [5 LBS] [Milk Chocolate]</t>
  </si>
  <si>
    <t>Whey Protein Concentrate [5 LBS] [Unflavored]</t>
  </si>
  <si>
    <t>Whey Protein Concentrate [5 LBS] [Chocolate Peanut Butter]</t>
  </si>
  <si>
    <t>NTC452203</t>
  </si>
  <si>
    <t>Organic Vegan MRP [30 SERV] [Chocolate PB] [RB2]</t>
  </si>
  <si>
    <t>Organic Pea Protein [5 LBS] [Unflavored]</t>
  </si>
  <si>
    <t>Casein Protein [5 LBS] [Vanilla]</t>
  </si>
  <si>
    <t>Casein Protein [5 LBS] [Chocolate]</t>
  </si>
  <si>
    <t>Casein Protein [5 LBS] [Unflavored]</t>
  </si>
  <si>
    <t>NTC692101</t>
  </si>
  <si>
    <t>PTY Egg White Protein Powder [1 LB]</t>
  </si>
  <si>
    <t>Grass-Fed Whey Protein Concentrate [5LBS] [Vanilla]</t>
  </si>
  <si>
    <t>Grass-Fed Whey Protein Concentrate [5LBS] [Chocolate Peanut Butter]</t>
  </si>
  <si>
    <t>Grass-Fed Whey Protein Concentrate [5LBS] [Chocolate]</t>
  </si>
  <si>
    <t>Grass-Fed Whey Protein Concentrate [5LBS] [Unflavored]</t>
  </si>
  <si>
    <t>Whey Protein Isolate [5 LBS] [Strawberry Milkshake]</t>
  </si>
  <si>
    <t>Whey Protein Isolate [5 LBS] [Vanilla]</t>
  </si>
  <si>
    <t>Whey Protein Isolate [5 LBS] [Unflavored]</t>
  </si>
  <si>
    <t>Whey Protein Isolate [5 LBS] [Salted Caramel]</t>
  </si>
  <si>
    <t>Whey Protein Isolate [5 LBS] [Mocha]</t>
  </si>
  <si>
    <t>Whey Protein Isolate [5 LBS] [Milk Chocolate]</t>
  </si>
  <si>
    <t>Whey Protein Isolate [5 LBS] [Cookies N Cream]</t>
  </si>
  <si>
    <t>Whey Protein Isolate [5 LBS] [Chocolate Peanut Butter]</t>
  </si>
  <si>
    <t>Ubiquinol Softgels [100 MG] [240 SFG]</t>
  </si>
  <si>
    <t>Grass-Fed Whey Protein Isolate [5LBS] [Vanilla]</t>
  </si>
  <si>
    <t>Grass-Fed Whey Protein Isolate [5LBS] [Unflavored]</t>
  </si>
  <si>
    <t>Grass-Fed Whey Protein Isolate [5 LBS] [Chocolate]</t>
  </si>
  <si>
    <t>Grass-Fed Whey Protein Isolate [5 LBS] [Chocolate Peanut Butter]</t>
  </si>
  <si>
    <t>NCW001101</t>
  </si>
  <si>
    <t>NCW Folic Acid (Vitamin B9) Capsules [1000 MCG] [30 CAPS]</t>
  </si>
  <si>
    <t>NCW002101</t>
  </si>
  <si>
    <t>NCW 5-HTP Capsules [100 MG] [30 CAPS]</t>
  </si>
  <si>
    <t>NCW003101</t>
  </si>
  <si>
    <t>NCW L-Theanine Capsules [200 MG] [30 CAPS]</t>
  </si>
  <si>
    <t>NCW004101</t>
  </si>
  <si>
    <t>NCW Vitamin B2 Capsules [400 MG] [30 CAPS]</t>
  </si>
  <si>
    <t>NCW005101</t>
  </si>
  <si>
    <t>NCW Acetyl L-Carnitine Capsules [500 MG] [30 CAPS]</t>
  </si>
  <si>
    <t>NCW006101</t>
  </si>
  <si>
    <t>NCW L-Citrulline Capsules [1500 MG] [60 CAPS]</t>
  </si>
  <si>
    <t>NCW007101</t>
  </si>
  <si>
    <t>NCW DIM Capsules [300 MG] [30 CAPS]</t>
  </si>
  <si>
    <t>NCW008101</t>
  </si>
  <si>
    <t>NCW Alpha Lipoic Acid Capsules [600 MG] [60 CAPS]</t>
  </si>
  <si>
    <t>NCW009101</t>
  </si>
  <si>
    <t>NCW Psyllium Husk Capsules [1500 MG] [90 CAPS]</t>
  </si>
  <si>
    <t>NCW010101</t>
  </si>
  <si>
    <t>NCW Vitamin B3 (Niacinamide) Capsules [500 MG] [30 CAPS]</t>
  </si>
  <si>
    <t>NCW011201</t>
  </si>
  <si>
    <t>NCW HMB Capsules [500 MG] [60 CAPS]</t>
  </si>
  <si>
    <t>NCW012101</t>
  </si>
  <si>
    <t>NCW Potassium Citrate Capsules [99 MG] [30 CAPS]</t>
  </si>
  <si>
    <t>NCW014101</t>
  </si>
  <si>
    <t>NCW Taurine Capsules [1000 MG] [30 CAPS]</t>
  </si>
  <si>
    <t>NCW015109</t>
  </si>
  <si>
    <t>NCW Creatine Monohydrate Powder [500 GMS] [Unflavored]</t>
  </si>
  <si>
    <t>NCW015201</t>
  </si>
  <si>
    <t>NCW Creatine Monohydrate Powder [300 GM] [Blue Raspberry]</t>
  </si>
  <si>
    <t>NCW015202</t>
  </si>
  <si>
    <t>NCW Creatine Monohydrate Powder [300 GM] [Fruit Punch]</t>
  </si>
  <si>
    <t>NCW015203</t>
  </si>
  <si>
    <t>NCW Creatine Monohydrate Powder [300 GM] [Grape]</t>
  </si>
  <si>
    <t>NCW015204</t>
  </si>
  <si>
    <t>NCW Creatine Monohydrate Powder [300 GM] [Mandarin Orange]</t>
  </si>
  <si>
    <t>NCW015205</t>
  </si>
  <si>
    <t>NCW Creatine Monohydrate Powder [300 GM] [Pineapple Mango]</t>
  </si>
  <si>
    <t>NCW015206</t>
  </si>
  <si>
    <t>NCW Creatine Monohydrate Powder [300 GM] [Watermelon]</t>
  </si>
  <si>
    <t>NCW015207</t>
  </si>
  <si>
    <t>NCW Creatine Monohydrate Powder [300 GMS] [Shaq's Berry Blast]</t>
  </si>
  <si>
    <t>NCW015209</t>
  </si>
  <si>
    <t>NCW Creatine Monohydrate Powder [300 GMS] [Unflavored]</t>
  </si>
  <si>
    <t>NCW015309</t>
  </si>
  <si>
    <t>NCW Creatine Monohydrate Powder [1 LBS] [Unflavored]</t>
  </si>
  <si>
    <t>NCW017101</t>
  </si>
  <si>
    <t>NCW Nitric Oxide Booster Capsules [750 MG] [90 CAPS]</t>
  </si>
  <si>
    <t>NCW018101</t>
  </si>
  <si>
    <t>NCW ZMA Capsules [90 CAPS]</t>
  </si>
  <si>
    <t>NCW019101</t>
  </si>
  <si>
    <t>NCW L-Glutamine Powder [300 GMS]</t>
  </si>
  <si>
    <t>NCW020101</t>
  </si>
  <si>
    <t>NCW Beta Alanine Powder [180 GMS]</t>
  </si>
  <si>
    <t>NCW021101</t>
  </si>
  <si>
    <t>NCW Turkesterone Capsules [600 MG] [30 CAPS]</t>
  </si>
  <si>
    <t>NCW022101</t>
  </si>
  <si>
    <t>NCW BCAA Capsules [500 MG] [60 CAP]</t>
  </si>
  <si>
    <t>NCW023101</t>
  </si>
  <si>
    <t>NCW Caffeine [100 MG] + Theanine Capsules [100 MG] [30 CAPS]</t>
  </si>
  <si>
    <t>NCW024101</t>
  </si>
  <si>
    <t>NCW L-Glutamine Capsules [800 MG] [30 CAPS]</t>
  </si>
  <si>
    <t>NCW025101</t>
  </si>
  <si>
    <t>NCW Whey Protein Concentrate [1.5 LBS] [Vanilla]</t>
  </si>
  <si>
    <t>NCW025102</t>
  </si>
  <si>
    <t>NCW Whey Protein Concentrate [1.5 LBS] [Chocolate]</t>
  </si>
  <si>
    <t>NCW025104</t>
  </si>
  <si>
    <t>Whey Protein Concentrate [1.5 LBS] [Shaqs Double Double Chocolate]</t>
  </si>
  <si>
    <t>NCW025109</t>
  </si>
  <si>
    <t>NCW Whey Protein Concentrate [1.5 LBS] [Unflavored]</t>
  </si>
  <si>
    <t>NCW027101</t>
  </si>
  <si>
    <t>NCW Milk Thistle Capsules [1000 MG] [120 CAPS]</t>
  </si>
  <si>
    <t>NCW028101</t>
  </si>
  <si>
    <t>NCW KSM-66 Capsules [600 MG] [30 CAPS]</t>
  </si>
  <si>
    <t>NCW029101</t>
  </si>
  <si>
    <t>NCW Vitamin B Complex Capsules [460 MG] [30 CAPS]</t>
  </si>
  <si>
    <t>NCW030101</t>
  </si>
  <si>
    <t>NCW Vitamin K2 MK-7 Softgels [100 MCG] [30 SFG]</t>
  </si>
  <si>
    <t>NCW031101</t>
  </si>
  <si>
    <t>NCW Caffeine Capsules [100 MG] [30 CAPS]</t>
  </si>
  <si>
    <t>NCW032101</t>
  </si>
  <si>
    <t>NCW Ox Bile Capsules [500 MG] [30 CAPS]</t>
  </si>
  <si>
    <t>NCW033101</t>
  </si>
  <si>
    <t>NCW Caffeine Capsules [200 MG] [30 CAPS]</t>
  </si>
  <si>
    <t>NCW034101</t>
  </si>
  <si>
    <t>NCW Zeaxanthin with Lutein Softgel [60 SFG]</t>
  </si>
  <si>
    <t>NCW035101</t>
  </si>
  <si>
    <t>NCW Benfotiamine Capsules [300 MG] [30 CAPS]</t>
  </si>
  <si>
    <t>NCW036101</t>
  </si>
  <si>
    <t>NCW Vitamin D3 Softgel [5000 IU] [30 SFG]</t>
  </si>
  <si>
    <t>NCW037101</t>
  </si>
  <si>
    <t>NCW L-Carnitine Tartrate Capsules [1000 MG] [60 CAPS]</t>
  </si>
  <si>
    <t>NCW038101</t>
  </si>
  <si>
    <t>NCW N-Acetyl L-Cysteine (NAC) Capsules [600 MG] [30 CAPS]</t>
  </si>
  <si>
    <t>NCW039101</t>
  </si>
  <si>
    <t>NCW Vitamin B2 (Riboflavin) Capsules [100 MG] [30 CAPS]</t>
  </si>
  <si>
    <t>NCW041101</t>
  </si>
  <si>
    <t>NCW Vitamin B1 (Thiamin) Capsules [500 MG] [30 CAPS]</t>
  </si>
  <si>
    <t>NCW042101</t>
  </si>
  <si>
    <t>NCW Magnesium Complex Capsules [500 MG] [30 CAPS]</t>
  </si>
  <si>
    <t>NCW043101</t>
  </si>
  <si>
    <t>NCW DHEA Capsules [50 MG] [30 CAPS]</t>
  </si>
  <si>
    <t>NCW045101</t>
  </si>
  <si>
    <t>NCW Calcium [1200 MG] + Vitamin D3 Tablets [50 MCG] [60 TAB]</t>
  </si>
  <si>
    <t>NCW046101</t>
  </si>
  <si>
    <t>NCW Vitamin E Softgels [400 IU] [30 SFG]</t>
  </si>
  <si>
    <t>NCW048101</t>
  </si>
  <si>
    <t>NCW Vitamin C With Rose Hip Capsules [1000 MG] [30 CAPS]</t>
  </si>
  <si>
    <t>NCW050101</t>
  </si>
  <si>
    <t>NCW Ashwagandha Root Capsules [600 MG] [30 CAPS]</t>
  </si>
  <si>
    <t>NCW051101</t>
  </si>
  <si>
    <t>NCW 5-HTP Capsules [200 MG] [30 CAPS]</t>
  </si>
  <si>
    <t>NCW052101</t>
  </si>
  <si>
    <t>NCW D-Mannose Capsules [1000 MG] [60 CAPS]</t>
  </si>
  <si>
    <t>NCW053101</t>
  </si>
  <si>
    <t>NCW Tart Cherry Capsules [300 MG] [30 CAPS]</t>
  </si>
  <si>
    <t>NCW054101</t>
  </si>
  <si>
    <t>NCW D-Aspartic Acid Capsules [3000 MG] [120 CAPS]</t>
  </si>
  <si>
    <t>NCW055101</t>
  </si>
  <si>
    <t>NCW Nattokinase Capsules [100 MG] [30 CAPS]</t>
  </si>
  <si>
    <t>NCW056101</t>
  </si>
  <si>
    <t>NCW Biotin Capsules [10,000 MCG] [30 CAPS]</t>
  </si>
  <si>
    <t>NCW057101</t>
  </si>
  <si>
    <t>NCW Zinc Picolinate Capsules [50 MG] [30 CAPS]</t>
  </si>
  <si>
    <t>NCW058102</t>
  </si>
  <si>
    <t>NCW Boron Capsules [5 MG] [30 CAPS]</t>
  </si>
  <si>
    <t>NCW059101</t>
  </si>
  <si>
    <t>NCW Evening Primrose Oil Softgel [60 SFG]</t>
  </si>
  <si>
    <t>NCW060101</t>
  </si>
  <si>
    <t>NCW Magnesium Citrate Capsules [420 MG] [60 CAPS]</t>
  </si>
  <si>
    <t>NCW061101</t>
  </si>
  <si>
    <t>NCW Tongkat Ali Complex Capsules [1000 MG] [56 CAPS]</t>
  </si>
  <si>
    <t>NCW062101</t>
  </si>
  <si>
    <t>NCW Omega-3 Softgels [2500 MG] [90 SFG]</t>
  </si>
  <si>
    <t>NCW064101</t>
  </si>
  <si>
    <t>NCW Ginkgo Biloba Capsules [120 MG] [30 CAPS]</t>
  </si>
  <si>
    <t>NCW065101</t>
  </si>
  <si>
    <t>NCW CoQ10 Capsules [100 MG] [30 CAPS]</t>
  </si>
  <si>
    <t>NCW066101</t>
  </si>
  <si>
    <t>NCW Yohimbine HCL Capsules [5 MG] [30 CAPS]</t>
  </si>
  <si>
    <t>NCW067101</t>
  </si>
  <si>
    <t>NCW Niacin (Vitamin B3) Capsules [500 MG] [30 CAPS]</t>
  </si>
  <si>
    <t>NCW068101</t>
  </si>
  <si>
    <t>NCW Quercetin with Bromelain Capsules [880 MG] [60 CAPS]</t>
  </si>
  <si>
    <t>NCW070101</t>
  </si>
  <si>
    <t>NCW Magnesium+ Extra Strength Capsules [420 MG] [60 CAP]</t>
  </si>
  <si>
    <t>NCW071101</t>
  </si>
  <si>
    <t>NCW Vitamin B6 Capsules (Pyridoxine HCL) [100 MG] [30 CAPS]</t>
  </si>
  <si>
    <t>NCW072101</t>
  </si>
  <si>
    <t>NCW Vitamin B12 Capsules [2 MG] [30 CAPS]</t>
  </si>
  <si>
    <t>NCW073101</t>
  </si>
  <si>
    <t>NCW L-Citrulline [1000 MG] [60 CAPS]</t>
  </si>
  <si>
    <t>NCW074101</t>
  </si>
  <si>
    <t>NCW Creatine Monohydrate Capsules [3000 MG] [180 CAPS]</t>
  </si>
  <si>
    <t>NCW466102</t>
  </si>
  <si>
    <t>NCW MRS [30 SERV] [Vanilla]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</si>
</sst>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-[$$-409]* #,##0.00_ ;_-[$$-409]* \-#,##0.00\ ;_-[$$-409]* &quot;-&quot;??_ ;_-@_ "/>
    <numFmt numFmtId="166" formatCode="[$$-409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3" xfId="0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0" fontId="0" fillId="0" borderId="6" xfId="0" applyBorder="1"/>
    <xf numFmtId="1" fontId="0" fillId="0" borderId="7" xfId="0" applyNumberFormat="1" applyBorder="1"/>
    <xf numFmtId="0" fontId="0" fillId="0" borderId="7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1" fontId="0" fillId="0" borderId="19" xfId="0" applyNumberFormat="1" applyBorder="1" applyAlignment="1" applyProtection="1">
      <alignment horizont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 applyProtection="1">
      <alignment horizontal="center" vertical="center" wrapText="1" readingOrder="1"/>
      <protection hidden="1"/>
    </xf>
    <xf numFmtId="166" fontId="5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 readingOrder="1"/>
      <protection locked="0"/>
    </xf>
    <xf numFmtId="4" fontId="5" fillId="3" borderId="22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 applyProtection="1">
      <alignment vertical="center" wrapText="1" readingOrder="1"/>
      <protection hidden="1"/>
    </xf>
    <xf numFmtId="0" fontId="5" fillId="4" borderId="2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/>
    </xf>
    <xf numFmtId="14" fontId="5" fillId="2" borderId="21" xfId="0" applyNumberFormat="1" applyFont="1" applyFill="1" applyBorder="1" applyAlignment="1">
      <alignment horizontal="center" vertical="center" wrapText="1"/>
    </xf>
    <xf numFmtId="14" fontId="5" fillId="2" borderId="22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4513361</xdr:colOff>
      <xdr:row>0</xdr:row>
      <xdr:rowOff>308853</xdr:rowOff>
    </xdr:from>
    <xdr:to>
      <xdr:col>5</xdr:col>
      <xdr:colOff>846364</xdr:colOff>
      <xdr:row>0</xdr:row>
      <xdr:rowOff>876300</xdr:rowOff>
    </xdr:to>
    <xdr:pic>
      <xdr:nvPicPr>
        <xdr:cNvPr id="2" name="Рисунок 1" descr="Nutricost - Take Control of Your Health">
          <a:extLst>
            <a:ext uri="{FF2B5EF4-FFF2-40B4-BE49-F238E27FC236}">
              <a16:creationId xmlns:a16="http://schemas.microsoft.com/office/drawing/2014/main" id="{B0E04FD3-8B77-EAE0-5EB8-9F0F7352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1661" y="308853"/>
          <a:ext cx="3059014" cy="567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4606-5CD1-4537-947F-CAE145D9DA70}">
  <dimension ref="A1:O1121"/>
  <sheetViews>
    <sheetView tabSelected="1" zoomScale="70" zoomScaleNormal="70" workbookViewId="0">
      <pane ySplit="2" topLeftCell="A3" activePane="bottomLeft" state="frozen"/>
      <selection pane="bottomLeft" activeCell="H7" sqref="H7"/>
    </sheetView>
  </sheetViews>
  <sheetFormatPr defaultRowHeight="14.4" x14ac:dyDescent="0.3"/>
  <cols>
    <col min="1" max="1" width="10.88671875" bestFit="1" customWidth="1"/>
    <col min="2" max="2" width="14.5546875" style="1" bestFit="1" customWidth="1"/>
    <col min="3" max="3" width="78.77734375" customWidth="1"/>
    <col min="4" max="4" width="10.5546875" customWidth="1"/>
    <col min="5" max="5" width="8.88671875" bestFit="1" customWidth="1"/>
    <col min="6" max="6" width="13.109375" style="29" customWidth="1"/>
    <col min="7" max="7" width="12.88671875" style="11" customWidth="1"/>
    <col min="8" max="8" width="14.33203125" customWidth="1"/>
    <col min="10" max="13" width="13.88671875" customWidth="1"/>
    <col min="14" max="14" width="5.5546875" customWidth="1"/>
    <col min="15" max="15" width="13.88671875" customWidth="1"/>
  </cols>
  <sheetData>
    <row r="1" spans="1:15" ht="90" customHeight="1" thickBot="1" x14ac:dyDescent="0.35">
      <c r="A1" s="42" t="s">
        <v>750</v>
      </c>
      <c r="B1" s="43"/>
      <c r="C1" s="43"/>
      <c r="D1" s="43"/>
      <c r="E1" s="43"/>
      <c r="F1" s="43"/>
      <c r="G1" s="43"/>
      <c r="H1" s="18">
        <v>46022</v>
      </c>
      <c r="J1" s="31" t="s">
        <v>752</v>
      </c>
      <c r="K1" s="44" t="s">
        <v>753</v>
      </c>
      <c r="L1" s="32" t="s">
        <v>751</v>
      </c>
      <c r="M1" s="33" t="s">
        <v>754</v>
      </c>
      <c r="O1" s="34" t="str">
        <f>IFERROR(IF(SUM(O3:O1121)=0, "-", H2+M2), "-")</f>
        <v>-</v>
      </c>
    </row>
    <row r="2" spans="1:15" s="16" customFormat="1" ht="30.6" customHeight="1" thickBot="1" x14ac:dyDescent="0.35">
      <c r="A2" s="12" t="s">
        <v>749</v>
      </c>
      <c r="B2" s="13" t="s">
        <v>0</v>
      </c>
      <c r="C2" s="14" t="s">
        <v>1</v>
      </c>
      <c r="D2" s="14" t="s">
        <v>751</v>
      </c>
      <c r="E2" s="17" t="s">
        <v>2</v>
      </c>
      <c r="F2" s="13" t="s">
        <v>747</v>
      </c>
      <c r="G2" s="15" t="s">
        <v>748</v>
      </c>
      <c r="H2" s="25">
        <f>SUM(G3:G807)</f>
        <v>0</v>
      </c>
      <c r="J2" s="35"/>
      <c r="K2" s="45"/>
      <c r="L2" s="36" t="str">
        <f>IF(SUM(L3:L1121)=0, "-", SUM(L3:L1121))</f>
        <v>-</v>
      </c>
      <c r="M2" s="36" t="str">
        <f>IF(SUM(M3:M1121)=0, "-", SUM(M3:M1121))</f>
        <v>-</v>
      </c>
      <c r="N2" s="37"/>
      <c r="O2" s="38" t="s">
        <v>755</v>
      </c>
    </row>
    <row r="3" spans="1:15" x14ac:dyDescent="0.3">
      <c r="A3" s="8" t="s">
        <v>756</v>
      </c>
      <c r="B3" s="9">
        <v>810139573555</v>
      </c>
      <c r="C3" s="10" t="s">
        <v>757</v>
      </c>
      <c r="D3" s="30">
        <v>0.13</v>
      </c>
      <c r="E3" s="19">
        <v>7.2318749999999996</v>
      </c>
      <c r="F3" s="26"/>
      <c r="G3" s="22">
        <f>F3*E3</f>
        <v>0</v>
      </c>
      <c r="J3" s="39" t="str">
        <f>IFERROR(IF($J$2*D3=0, "-", $J$2*D3), "-")</f>
        <v>-</v>
      </c>
      <c r="K3" s="39" t="str">
        <f>IF(F3&gt;0,E3+J3,"-")</f>
        <v>-</v>
      </c>
      <c r="L3" s="40" t="str">
        <f>IF(F3&gt;0,F3*D3, "-")</f>
        <v>-</v>
      </c>
      <c r="M3" s="41" t="str">
        <f>IFERROR(IF($J$2&gt;0, $J$2*L3, "-"), "-")</f>
        <v>-</v>
      </c>
      <c r="O3" s="41" t="str">
        <f>IFERROR(IF(M3+G3=0, "-", IF(M3&gt;0, M3+G3, "-")), "-")</f>
        <v>-</v>
      </c>
    </row>
    <row r="4" spans="1:15" x14ac:dyDescent="0.3">
      <c r="A4" s="4" t="s">
        <v>730</v>
      </c>
      <c r="B4" s="3">
        <v>810014673035</v>
      </c>
      <c r="C4" s="2" t="s">
        <v>758</v>
      </c>
      <c r="D4" s="30">
        <v>0.06</v>
      </c>
      <c r="E4" s="20">
        <v>7.6124999999999998</v>
      </c>
      <c r="F4" s="27"/>
      <c r="G4" s="23">
        <f t="shared" ref="G4:G67" si="0">F4*E4</f>
        <v>0</v>
      </c>
      <c r="J4" s="39" t="str">
        <f>IFERROR(IF($J$2*D4=0, "-", $J$2*D4), "-")</f>
        <v>-</v>
      </c>
      <c r="K4" s="39" t="str">
        <f t="shared" ref="K4:K67" si="1">IF(F4&gt;0,E4+J4,"-")</f>
        <v>-</v>
      </c>
      <c r="L4" s="40" t="str">
        <f>IF(F4&gt;0,F4*D4, "-")</f>
        <v>-</v>
      </c>
      <c r="M4" s="41" t="str">
        <f t="shared" ref="M4:M67" si="2">IFERROR(IF($J$2&gt;0, $J$2*L4, "-"), "-")</f>
        <v>-</v>
      </c>
      <c r="O4" s="41" t="str">
        <f t="shared" ref="O4:O67" si="3">IFERROR(IF(M4+G4=0, "-", IF(M4&gt;0, M4+G4, "-")), "-")</f>
        <v>-</v>
      </c>
    </row>
    <row r="5" spans="1:15" x14ac:dyDescent="0.3">
      <c r="A5" s="4" t="s">
        <v>154</v>
      </c>
      <c r="B5" s="3">
        <v>810014675831</v>
      </c>
      <c r="C5" s="2" t="s">
        <v>759</v>
      </c>
      <c r="D5" s="30">
        <v>0.21</v>
      </c>
      <c r="E5" s="20">
        <v>8.3737500000000011</v>
      </c>
      <c r="F5" s="27"/>
      <c r="G5" s="23">
        <f t="shared" si="0"/>
        <v>0</v>
      </c>
      <c r="J5" s="39" t="str">
        <f>IFERROR(IF($J$2*D5=0, "-", $J$2*D5), "-")</f>
        <v>-</v>
      </c>
      <c r="K5" s="39" t="str">
        <f t="shared" si="1"/>
        <v>-</v>
      </c>
      <c r="L5" s="40" t="str">
        <f>IF(F5&gt;0,F5*D5, "-")</f>
        <v>-</v>
      </c>
      <c r="M5" s="41" t="str">
        <f t="shared" si="2"/>
        <v>-</v>
      </c>
      <c r="O5" s="41" t="str">
        <f t="shared" si="3"/>
        <v>-</v>
      </c>
    </row>
    <row r="6" spans="1:15" x14ac:dyDescent="0.3">
      <c r="A6" s="4" t="s">
        <v>328</v>
      </c>
      <c r="B6" s="3">
        <v>810139572145</v>
      </c>
      <c r="C6" s="2" t="s">
        <v>760</v>
      </c>
      <c r="D6" s="30">
        <v>0.1</v>
      </c>
      <c r="E6" s="20">
        <v>8.3737500000000011</v>
      </c>
      <c r="F6" s="27"/>
      <c r="G6" s="23">
        <f t="shared" si="0"/>
        <v>0</v>
      </c>
      <c r="J6" s="39" t="str">
        <f>IFERROR(IF($J$2*D6=0, "-", $J$2*D6), "-")</f>
        <v>-</v>
      </c>
      <c r="K6" s="39" t="str">
        <f t="shared" si="1"/>
        <v>-</v>
      </c>
      <c r="L6" s="40" t="str">
        <f>IF(F6&gt;0,F6*D6, "-")</f>
        <v>-</v>
      </c>
      <c r="M6" s="41" t="str">
        <f t="shared" si="2"/>
        <v>-</v>
      </c>
      <c r="O6" s="41" t="str">
        <f t="shared" si="3"/>
        <v>-</v>
      </c>
    </row>
    <row r="7" spans="1:15" x14ac:dyDescent="0.3">
      <c r="A7" s="4" t="s">
        <v>761</v>
      </c>
      <c r="B7" s="3">
        <v>810139572589</v>
      </c>
      <c r="C7" s="2" t="s">
        <v>762</v>
      </c>
      <c r="D7" s="30">
        <v>0.06</v>
      </c>
      <c r="E7" s="20">
        <v>8.3737500000000011</v>
      </c>
      <c r="F7" s="27"/>
      <c r="G7" s="23">
        <f t="shared" si="0"/>
        <v>0</v>
      </c>
      <c r="J7" s="39" t="str">
        <f>IFERROR(IF($J$2*D7=0, "-", $J$2*D7), "-")</f>
        <v>-</v>
      </c>
      <c r="K7" s="39" t="str">
        <f t="shared" si="1"/>
        <v>-</v>
      </c>
      <c r="L7" s="40" t="str">
        <f>IF(F7&gt;0,F7*D7, "-")</f>
        <v>-</v>
      </c>
      <c r="M7" s="41" t="str">
        <f t="shared" si="2"/>
        <v>-</v>
      </c>
      <c r="O7" s="41" t="str">
        <f t="shared" si="3"/>
        <v>-</v>
      </c>
    </row>
    <row r="8" spans="1:15" x14ac:dyDescent="0.3">
      <c r="A8" s="4" t="s">
        <v>763</v>
      </c>
      <c r="B8" s="3">
        <v>810139576297</v>
      </c>
      <c r="C8" s="2" t="s">
        <v>764</v>
      </c>
      <c r="D8" s="30">
        <v>0.34</v>
      </c>
      <c r="E8" s="20">
        <v>8.3737500000000011</v>
      </c>
      <c r="F8" s="27"/>
      <c r="G8" s="23">
        <f t="shared" si="0"/>
        <v>0</v>
      </c>
      <c r="J8" s="39" t="str">
        <f>IFERROR(IF($J$2*D8=0, "-", $J$2*D8), "-")</f>
        <v>-</v>
      </c>
      <c r="K8" s="39" t="str">
        <f t="shared" si="1"/>
        <v>-</v>
      </c>
      <c r="L8" s="40" t="str">
        <f>IF(F8&gt;0,F8*D8, "-")</f>
        <v>-</v>
      </c>
      <c r="M8" s="41" t="str">
        <f t="shared" si="2"/>
        <v>-</v>
      </c>
      <c r="O8" s="41" t="str">
        <f t="shared" si="3"/>
        <v>-</v>
      </c>
    </row>
    <row r="9" spans="1:15" x14ac:dyDescent="0.3">
      <c r="A9" s="4" t="s">
        <v>765</v>
      </c>
      <c r="B9" s="3">
        <v>810139576556</v>
      </c>
      <c r="C9" s="2" t="s">
        <v>766</v>
      </c>
      <c r="D9" s="30">
        <v>0.34</v>
      </c>
      <c r="E9" s="20">
        <v>8.3737500000000011</v>
      </c>
      <c r="F9" s="27"/>
      <c r="G9" s="23">
        <f t="shared" si="0"/>
        <v>0</v>
      </c>
      <c r="J9" s="39" t="str">
        <f>IFERROR(IF($J$2*D9=0, "-", $J$2*D9), "-")</f>
        <v>-</v>
      </c>
      <c r="K9" s="39" t="str">
        <f t="shared" si="1"/>
        <v>-</v>
      </c>
      <c r="L9" s="40" t="str">
        <f>IF(F9&gt;0,F9*D9, "-")</f>
        <v>-</v>
      </c>
      <c r="M9" s="41" t="str">
        <f t="shared" si="2"/>
        <v>-</v>
      </c>
      <c r="O9" s="41" t="str">
        <f t="shared" si="3"/>
        <v>-</v>
      </c>
    </row>
    <row r="10" spans="1:15" x14ac:dyDescent="0.3">
      <c r="A10" s="4" t="s">
        <v>767</v>
      </c>
      <c r="B10" s="3">
        <v>810139574804</v>
      </c>
      <c r="C10" s="2" t="s">
        <v>768</v>
      </c>
      <c r="D10" s="30">
        <v>0.1</v>
      </c>
      <c r="E10" s="20">
        <v>8.3737500000000011</v>
      </c>
      <c r="F10" s="27"/>
      <c r="G10" s="23">
        <f t="shared" si="0"/>
        <v>0</v>
      </c>
      <c r="J10" s="39" t="str">
        <f>IFERROR(IF($J$2*D10=0, "-", $J$2*D10), "-")</f>
        <v>-</v>
      </c>
      <c r="K10" s="39" t="str">
        <f t="shared" si="1"/>
        <v>-</v>
      </c>
      <c r="L10" s="40" t="str">
        <f>IF(F10&gt;0,F10*D10, "-")</f>
        <v>-</v>
      </c>
      <c r="M10" s="41" t="str">
        <f t="shared" si="2"/>
        <v>-</v>
      </c>
      <c r="O10" s="41" t="str">
        <f t="shared" si="3"/>
        <v>-</v>
      </c>
    </row>
    <row r="11" spans="1:15" x14ac:dyDescent="0.3">
      <c r="A11" s="4" t="s">
        <v>769</v>
      </c>
      <c r="B11" s="3">
        <v>810139576051</v>
      </c>
      <c r="C11" s="2" t="s">
        <v>770</v>
      </c>
      <c r="D11" s="30">
        <v>0.22</v>
      </c>
      <c r="E11" s="20">
        <v>8.7543750000000014</v>
      </c>
      <c r="F11" s="27"/>
      <c r="G11" s="23">
        <f t="shared" si="0"/>
        <v>0</v>
      </c>
      <c r="J11" s="39" t="str">
        <f>IFERROR(IF($J$2*D11=0, "-", $J$2*D11), "-")</f>
        <v>-</v>
      </c>
      <c r="K11" s="39" t="str">
        <f t="shared" si="1"/>
        <v>-</v>
      </c>
      <c r="L11" s="40" t="str">
        <f>IF(F11&gt;0,F11*D11, "-")</f>
        <v>-</v>
      </c>
      <c r="M11" s="41" t="str">
        <f t="shared" si="2"/>
        <v>-</v>
      </c>
      <c r="O11" s="41" t="str">
        <f t="shared" si="3"/>
        <v>-</v>
      </c>
    </row>
    <row r="12" spans="1:15" x14ac:dyDescent="0.3">
      <c r="A12" s="4" t="s">
        <v>771</v>
      </c>
      <c r="B12" s="3">
        <v>810139576976</v>
      </c>
      <c r="C12" s="2" t="s">
        <v>772</v>
      </c>
      <c r="D12" s="30">
        <v>0.14000000000000001</v>
      </c>
      <c r="E12" s="20">
        <v>8.7543750000000014</v>
      </c>
      <c r="F12" s="27"/>
      <c r="G12" s="23">
        <f t="shared" si="0"/>
        <v>0</v>
      </c>
      <c r="J12" s="39" t="str">
        <f>IFERROR(IF($J$2*D12=0, "-", $J$2*D12), "-")</f>
        <v>-</v>
      </c>
      <c r="K12" s="39" t="str">
        <f t="shared" si="1"/>
        <v>-</v>
      </c>
      <c r="L12" s="40" t="str">
        <f>IF(F12&gt;0,F12*D12, "-")</f>
        <v>-</v>
      </c>
      <c r="M12" s="41" t="str">
        <f t="shared" si="2"/>
        <v>-</v>
      </c>
      <c r="O12" s="41" t="str">
        <f t="shared" si="3"/>
        <v>-</v>
      </c>
    </row>
    <row r="13" spans="1:15" x14ac:dyDescent="0.3">
      <c r="A13" s="4" t="s">
        <v>773</v>
      </c>
      <c r="B13" s="3">
        <v>810139576013</v>
      </c>
      <c r="C13" s="2" t="s">
        <v>774</v>
      </c>
      <c r="D13" s="30">
        <v>0.25</v>
      </c>
      <c r="E13" s="20">
        <v>8.7543750000000014</v>
      </c>
      <c r="F13" s="27"/>
      <c r="G13" s="23">
        <f t="shared" si="0"/>
        <v>0</v>
      </c>
      <c r="J13" s="39" t="str">
        <f>IFERROR(IF($J$2*D13=0, "-", $J$2*D13), "-")</f>
        <v>-</v>
      </c>
      <c r="K13" s="39" t="str">
        <f t="shared" si="1"/>
        <v>-</v>
      </c>
      <c r="L13" s="40" t="str">
        <f>IF(F13&gt;0,F13*D13, "-")</f>
        <v>-</v>
      </c>
      <c r="M13" s="41" t="str">
        <f t="shared" si="2"/>
        <v>-</v>
      </c>
      <c r="O13" s="41" t="str">
        <f t="shared" si="3"/>
        <v>-</v>
      </c>
    </row>
    <row r="14" spans="1:15" x14ac:dyDescent="0.3">
      <c r="A14" s="4" t="s">
        <v>775</v>
      </c>
      <c r="B14" s="3">
        <v>810139574576</v>
      </c>
      <c r="C14" s="2" t="s">
        <v>776</v>
      </c>
      <c r="D14" s="30">
        <v>0.09</v>
      </c>
      <c r="E14" s="20">
        <v>8.7543750000000014</v>
      </c>
      <c r="F14" s="27"/>
      <c r="G14" s="23">
        <f t="shared" si="0"/>
        <v>0</v>
      </c>
      <c r="J14" s="39" t="str">
        <f>IFERROR(IF($J$2*D14=0, "-", $J$2*D14), "-")</f>
        <v>-</v>
      </c>
      <c r="K14" s="39" t="str">
        <f t="shared" si="1"/>
        <v>-</v>
      </c>
      <c r="L14" s="40" t="str">
        <f>IF(F14&gt;0,F14*D14, "-")</f>
        <v>-</v>
      </c>
      <c r="M14" s="41" t="str">
        <f t="shared" si="2"/>
        <v>-</v>
      </c>
      <c r="O14" s="41" t="str">
        <f t="shared" si="3"/>
        <v>-</v>
      </c>
    </row>
    <row r="15" spans="1:15" x14ac:dyDescent="0.3">
      <c r="A15" s="4" t="s">
        <v>777</v>
      </c>
      <c r="B15" s="3">
        <v>810139576525</v>
      </c>
      <c r="C15" s="2" t="s">
        <v>778</v>
      </c>
      <c r="D15" s="30">
        <v>0.09</v>
      </c>
      <c r="E15" s="20">
        <v>8.7543750000000014</v>
      </c>
      <c r="F15" s="27"/>
      <c r="G15" s="23">
        <f t="shared" si="0"/>
        <v>0</v>
      </c>
      <c r="J15" s="39" t="str">
        <f>IFERROR(IF($J$2*D15=0, "-", $J$2*D15), "-")</f>
        <v>-</v>
      </c>
      <c r="K15" s="39" t="str">
        <f t="shared" si="1"/>
        <v>-</v>
      </c>
      <c r="L15" s="40" t="str">
        <f>IF(F15&gt;0,F15*D15, "-")</f>
        <v>-</v>
      </c>
      <c r="M15" s="41" t="str">
        <f t="shared" si="2"/>
        <v>-</v>
      </c>
      <c r="O15" s="41" t="str">
        <f t="shared" si="3"/>
        <v>-</v>
      </c>
    </row>
    <row r="16" spans="1:15" x14ac:dyDescent="0.3">
      <c r="A16" s="4" t="s">
        <v>779</v>
      </c>
      <c r="B16" s="3">
        <v>810139574835</v>
      </c>
      <c r="C16" s="2" t="s">
        <v>780</v>
      </c>
      <c r="D16" s="30">
        <v>0.11</v>
      </c>
      <c r="E16" s="20">
        <v>8.7543750000000014</v>
      </c>
      <c r="F16" s="27"/>
      <c r="G16" s="23">
        <f t="shared" si="0"/>
        <v>0</v>
      </c>
      <c r="J16" s="39" t="str">
        <f>IFERROR(IF($J$2*D16=0, "-", $J$2*D16), "-")</f>
        <v>-</v>
      </c>
      <c r="K16" s="39" t="str">
        <f t="shared" si="1"/>
        <v>-</v>
      </c>
      <c r="L16" s="40" t="str">
        <f>IF(F16&gt;0,F16*D16, "-")</f>
        <v>-</v>
      </c>
      <c r="M16" s="41" t="str">
        <f t="shared" si="2"/>
        <v>-</v>
      </c>
      <c r="O16" s="41" t="str">
        <f t="shared" si="3"/>
        <v>-</v>
      </c>
    </row>
    <row r="17" spans="1:15" x14ac:dyDescent="0.3">
      <c r="A17" s="4" t="s">
        <v>781</v>
      </c>
      <c r="B17" s="3">
        <v>810139574828</v>
      </c>
      <c r="C17" s="2" t="s">
        <v>782</v>
      </c>
      <c r="D17" s="30">
        <v>0.11</v>
      </c>
      <c r="E17" s="20">
        <v>8.7543750000000014</v>
      </c>
      <c r="F17" s="27"/>
      <c r="G17" s="23">
        <f t="shared" si="0"/>
        <v>0</v>
      </c>
      <c r="J17" s="39" t="str">
        <f>IFERROR(IF($J$2*D17=0, "-", $J$2*D17), "-")</f>
        <v>-</v>
      </c>
      <c r="K17" s="39" t="str">
        <f t="shared" si="1"/>
        <v>-</v>
      </c>
      <c r="L17" s="40" t="str">
        <f>IF(F17&gt;0,F17*D17, "-")</f>
        <v>-</v>
      </c>
      <c r="M17" s="41" t="str">
        <f t="shared" si="2"/>
        <v>-</v>
      </c>
      <c r="O17" s="41" t="str">
        <f t="shared" si="3"/>
        <v>-</v>
      </c>
    </row>
    <row r="18" spans="1:15" x14ac:dyDescent="0.3">
      <c r="A18" s="4" t="s">
        <v>783</v>
      </c>
      <c r="B18" s="3">
        <v>810139574811</v>
      </c>
      <c r="C18" s="2" t="s">
        <v>784</v>
      </c>
      <c r="D18" s="30">
        <v>0.09</v>
      </c>
      <c r="E18" s="20">
        <v>8.7543750000000014</v>
      </c>
      <c r="F18" s="27"/>
      <c r="G18" s="23">
        <f t="shared" si="0"/>
        <v>0</v>
      </c>
      <c r="J18" s="39" t="str">
        <f>IFERROR(IF($J$2*D18=0, "-", $J$2*D18), "-")</f>
        <v>-</v>
      </c>
      <c r="K18" s="39" t="str">
        <f t="shared" si="1"/>
        <v>-</v>
      </c>
      <c r="L18" s="40" t="str">
        <f>IF(F18&gt;0,F18*D18, "-")</f>
        <v>-</v>
      </c>
      <c r="M18" s="41" t="str">
        <f t="shared" si="2"/>
        <v>-</v>
      </c>
      <c r="O18" s="41" t="str">
        <f t="shared" si="3"/>
        <v>-</v>
      </c>
    </row>
    <row r="19" spans="1:15" x14ac:dyDescent="0.3">
      <c r="A19" s="4" t="s">
        <v>229</v>
      </c>
      <c r="B19" s="3">
        <v>810014671857</v>
      </c>
      <c r="C19" s="2" t="s">
        <v>785</v>
      </c>
      <c r="D19" s="30">
        <v>0.12</v>
      </c>
      <c r="E19" s="20">
        <v>9.1350000000000016</v>
      </c>
      <c r="F19" s="27"/>
      <c r="G19" s="23">
        <f t="shared" si="0"/>
        <v>0</v>
      </c>
      <c r="J19" s="39" t="str">
        <f>IFERROR(IF($J$2*D19=0, "-", $J$2*D19), "-")</f>
        <v>-</v>
      </c>
      <c r="K19" s="39" t="str">
        <f t="shared" si="1"/>
        <v>-</v>
      </c>
      <c r="L19" s="40" t="str">
        <f>IF(F19&gt;0,F19*D19, "-")</f>
        <v>-</v>
      </c>
      <c r="M19" s="41" t="str">
        <f t="shared" si="2"/>
        <v>-</v>
      </c>
      <c r="O19" s="41" t="str">
        <f t="shared" si="3"/>
        <v>-</v>
      </c>
    </row>
    <row r="20" spans="1:15" x14ac:dyDescent="0.3">
      <c r="A20" s="4" t="s">
        <v>223</v>
      </c>
      <c r="B20" s="3">
        <v>810014673578</v>
      </c>
      <c r="C20" s="2" t="s">
        <v>786</v>
      </c>
      <c r="D20" s="30">
        <v>0.11</v>
      </c>
      <c r="E20" s="20">
        <v>9.1350000000000016</v>
      </c>
      <c r="F20" s="27"/>
      <c r="G20" s="23">
        <f t="shared" si="0"/>
        <v>0</v>
      </c>
      <c r="J20" s="39" t="str">
        <f>IFERROR(IF($J$2*D20=0, "-", $J$2*D20), "-")</f>
        <v>-</v>
      </c>
      <c r="K20" s="39" t="str">
        <f t="shared" si="1"/>
        <v>-</v>
      </c>
      <c r="L20" s="40" t="str">
        <f>IF(F20&gt;0,F20*D20, "-")</f>
        <v>-</v>
      </c>
      <c r="M20" s="41" t="str">
        <f t="shared" si="2"/>
        <v>-</v>
      </c>
      <c r="O20" s="41" t="str">
        <f t="shared" si="3"/>
        <v>-</v>
      </c>
    </row>
    <row r="21" spans="1:15" x14ac:dyDescent="0.3">
      <c r="A21" s="4" t="s">
        <v>180</v>
      </c>
      <c r="B21" s="3">
        <v>857077008480</v>
      </c>
      <c r="C21" s="2" t="s">
        <v>787</v>
      </c>
      <c r="D21" s="30">
        <v>0.25</v>
      </c>
      <c r="E21" s="20">
        <v>9.1350000000000016</v>
      </c>
      <c r="F21" s="27"/>
      <c r="G21" s="23">
        <f t="shared" si="0"/>
        <v>0</v>
      </c>
      <c r="J21" s="39" t="str">
        <f>IFERROR(IF($J$2*D21=0, "-", $J$2*D21), "-")</f>
        <v>-</v>
      </c>
      <c r="K21" s="39" t="str">
        <f t="shared" si="1"/>
        <v>-</v>
      </c>
      <c r="L21" s="40" t="str">
        <f>IF(F21&gt;0,F21*D21, "-")</f>
        <v>-</v>
      </c>
      <c r="M21" s="41" t="str">
        <f t="shared" si="2"/>
        <v>-</v>
      </c>
      <c r="O21" s="41" t="str">
        <f t="shared" si="3"/>
        <v>-</v>
      </c>
    </row>
    <row r="22" spans="1:15" x14ac:dyDescent="0.3">
      <c r="A22" s="4" t="s">
        <v>478</v>
      </c>
      <c r="B22" s="3">
        <v>810014672731</v>
      </c>
      <c r="C22" s="2" t="s">
        <v>788</v>
      </c>
      <c r="D22" s="30">
        <v>0.08</v>
      </c>
      <c r="E22" s="20">
        <v>9.1350000000000016</v>
      </c>
      <c r="F22" s="27"/>
      <c r="G22" s="23">
        <f t="shared" si="0"/>
        <v>0</v>
      </c>
      <c r="J22" s="39" t="str">
        <f>IFERROR(IF($J$2*D22=0, "-", $J$2*D22), "-")</f>
        <v>-</v>
      </c>
      <c r="K22" s="39" t="str">
        <f t="shared" si="1"/>
        <v>-</v>
      </c>
      <c r="L22" s="40" t="str">
        <f>IF(F22&gt;0,F22*D22, "-")</f>
        <v>-</v>
      </c>
      <c r="M22" s="41" t="str">
        <f t="shared" si="2"/>
        <v>-</v>
      </c>
      <c r="O22" s="41" t="str">
        <f t="shared" si="3"/>
        <v>-</v>
      </c>
    </row>
    <row r="23" spans="1:15" x14ac:dyDescent="0.3">
      <c r="A23" s="4" t="s">
        <v>542</v>
      </c>
      <c r="B23" s="3">
        <v>810014673950</v>
      </c>
      <c r="C23" s="2" t="s">
        <v>789</v>
      </c>
      <c r="D23" s="30">
        <v>0.11</v>
      </c>
      <c r="E23" s="20">
        <v>9.1350000000000016</v>
      </c>
      <c r="F23" s="27"/>
      <c r="G23" s="23">
        <f t="shared" si="0"/>
        <v>0</v>
      </c>
      <c r="J23" s="39" t="str">
        <f>IFERROR(IF($J$2*D23=0, "-", $J$2*D23), "-")</f>
        <v>-</v>
      </c>
      <c r="K23" s="39" t="str">
        <f t="shared" si="1"/>
        <v>-</v>
      </c>
      <c r="L23" s="40" t="str">
        <f>IF(F23&gt;0,F23*D23, "-")</f>
        <v>-</v>
      </c>
      <c r="M23" s="41" t="str">
        <f t="shared" si="2"/>
        <v>-</v>
      </c>
      <c r="O23" s="41" t="str">
        <f t="shared" si="3"/>
        <v>-</v>
      </c>
    </row>
    <row r="24" spans="1:15" x14ac:dyDescent="0.3">
      <c r="A24" s="4" t="s">
        <v>480</v>
      </c>
      <c r="B24" s="3">
        <v>810014672717</v>
      </c>
      <c r="C24" s="2" t="s">
        <v>790</v>
      </c>
      <c r="D24" s="30">
        <v>7.0000000000000007E-2</v>
      </c>
      <c r="E24" s="20">
        <v>9.1350000000000016</v>
      </c>
      <c r="F24" s="27"/>
      <c r="G24" s="23">
        <f t="shared" si="0"/>
        <v>0</v>
      </c>
      <c r="J24" s="39" t="str">
        <f>IFERROR(IF($J$2*D24=0, "-", $J$2*D24), "-")</f>
        <v>-</v>
      </c>
      <c r="K24" s="39" t="str">
        <f t="shared" si="1"/>
        <v>-</v>
      </c>
      <c r="L24" s="40" t="str">
        <f>IF(F24&gt;0,F24*D24, "-")</f>
        <v>-</v>
      </c>
      <c r="M24" s="41" t="str">
        <f t="shared" si="2"/>
        <v>-</v>
      </c>
      <c r="O24" s="41" t="str">
        <f t="shared" si="3"/>
        <v>-</v>
      </c>
    </row>
    <row r="25" spans="1:15" x14ac:dyDescent="0.3">
      <c r="A25" s="4" t="s">
        <v>267</v>
      </c>
      <c r="B25" s="3">
        <v>810014674636</v>
      </c>
      <c r="C25" s="2" t="s">
        <v>791</v>
      </c>
      <c r="D25" s="30">
        <v>0.09</v>
      </c>
      <c r="E25" s="20">
        <v>9.1350000000000016</v>
      </c>
      <c r="F25" s="27"/>
      <c r="G25" s="23">
        <f t="shared" si="0"/>
        <v>0</v>
      </c>
      <c r="J25" s="39" t="str">
        <f>IFERROR(IF($J$2*D25=0, "-", $J$2*D25), "-")</f>
        <v>-</v>
      </c>
      <c r="K25" s="39" t="str">
        <f t="shared" si="1"/>
        <v>-</v>
      </c>
      <c r="L25" s="40" t="str">
        <f>IF(F25&gt;0,F25*D25, "-")</f>
        <v>-</v>
      </c>
      <c r="M25" s="41" t="str">
        <f t="shared" si="2"/>
        <v>-</v>
      </c>
      <c r="O25" s="41" t="str">
        <f t="shared" si="3"/>
        <v>-</v>
      </c>
    </row>
    <row r="26" spans="1:15" x14ac:dyDescent="0.3">
      <c r="A26" s="4" t="s">
        <v>94</v>
      </c>
      <c r="B26" s="3">
        <v>810139572503</v>
      </c>
      <c r="C26" s="2" t="s">
        <v>95</v>
      </c>
      <c r="D26" s="30">
        <v>0.16</v>
      </c>
      <c r="E26" s="20">
        <v>9.1350000000000016</v>
      </c>
      <c r="F26" s="27"/>
      <c r="G26" s="23">
        <f t="shared" si="0"/>
        <v>0</v>
      </c>
      <c r="J26" s="39" t="str">
        <f>IFERROR(IF($J$2*D26=0, "-", $J$2*D26), "-")</f>
        <v>-</v>
      </c>
      <c r="K26" s="39" t="str">
        <f t="shared" si="1"/>
        <v>-</v>
      </c>
      <c r="L26" s="40" t="str">
        <f>IF(F26&gt;0,F26*D26, "-")</f>
        <v>-</v>
      </c>
      <c r="M26" s="41" t="str">
        <f t="shared" si="2"/>
        <v>-</v>
      </c>
      <c r="O26" s="41" t="str">
        <f t="shared" si="3"/>
        <v>-</v>
      </c>
    </row>
    <row r="27" spans="1:15" x14ac:dyDescent="0.3">
      <c r="A27" s="4" t="s">
        <v>667</v>
      </c>
      <c r="B27" s="3">
        <v>810014678481</v>
      </c>
      <c r="C27" s="2" t="s">
        <v>792</v>
      </c>
      <c r="D27" s="30">
        <v>0.1</v>
      </c>
      <c r="E27" s="20">
        <v>9.1350000000000016</v>
      </c>
      <c r="F27" s="27"/>
      <c r="G27" s="23">
        <f t="shared" si="0"/>
        <v>0</v>
      </c>
      <c r="J27" s="39" t="str">
        <f>IFERROR(IF($J$2*D27=0, "-", $J$2*D27), "-")</f>
        <v>-</v>
      </c>
      <c r="K27" s="39" t="str">
        <f t="shared" si="1"/>
        <v>-</v>
      </c>
      <c r="L27" s="40" t="str">
        <f>IF(F27&gt;0,F27*D27, "-")</f>
        <v>-</v>
      </c>
      <c r="M27" s="41" t="str">
        <f t="shared" si="2"/>
        <v>-</v>
      </c>
      <c r="O27" s="41" t="str">
        <f t="shared" si="3"/>
        <v>-</v>
      </c>
    </row>
    <row r="28" spans="1:15" x14ac:dyDescent="0.3">
      <c r="A28" s="4" t="s">
        <v>167</v>
      </c>
      <c r="B28" s="3">
        <v>810014672038</v>
      </c>
      <c r="C28" s="2" t="s">
        <v>793</v>
      </c>
      <c r="D28" s="30">
        <v>0.19</v>
      </c>
      <c r="E28" s="20">
        <v>9.1350000000000016</v>
      </c>
      <c r="F28" s="27"/>
      <c r="G28" s="23">
        <f t="shared" si="0"/>
        <v>0</v>
      </c>
      <c r="J28" s="39" t="str">
        <f>IFERROR(IF($J$2*D28=0, "-", $J$2*D28), "-")</f>
        <v>-</v>
      </c>
      <c r="K28" s="39" t="str">
        <f t="shared" si="1"/>
        <v>-</v>
      </c>
      <c r="L28" s="40" t="str">
        <f>IF(F28&gt;0,F28*D28, "-")</f>
        <v>-</v>
      </c>
      <c r="M28" s="41" t="str">
        <f t="shared" si="2"/>
        <v>-</v>
      </c>
      <c r="O28" s="41" t="str">
        <f t="shared" si="3"/>
        <v>-</v>
      </c>
    </row>
    <row r="29" spans="1:15" x14ac:dyDescent="0.3">
      <c r="A29" s="4" t="s">
        <v>665</v>
      </c>
      <c r="B29" s="3">
        <v>857077008855</v>
      </c>
      <c r="C29" s="2" t="s">
        <v>794</v>
      </c>
      <c r="D29" s="30">
        <v>0.13</v>
      </c>
      <c r="E29" s="20">
        <v>9.1350000000000016</v>
      </c>
      <c r="F29" s="27"/>
      <c r="G29" s="23">
        <f t="shared" si="0"/>
        <v>0</v>
      </c>
      <c r="J29" s="39" t="str">
        <f>IFERROR(IF($J$2*D29=0, "-", $J$2*D29), "-")</f>
        <v>-</v>
      </c>
      <c r="K29" s="39" t="str">
        <f t="shared" si="1"/>
        <v>-</v>
      </c>
      <c r="L29" s="40" t="str">
        <f>IF(F29&gt;0,F29*D29, "-")</f>
        <v>-</v>
      </c>
      <c r="M29" s="41" t="str">
        <f t="shared" si="2"/>
        <v>-</v>
      </c>
      <c r="O29" s="41" t="str">
        <f t="shared" si="3"/>
        <v>-</v>
      </c>
    </row>
    <row r="30" spans="1:15" x14ac:dyDescent="0.3">
      <c r="A30" s="4" t="s">
        <v>99</v>
      </c>
      <c r="B30" s="3">
        <v>857077008817</v>
      </c>
      <c r="C30" s="2" t="s">
        <v>795</v>
      </c>
      <c r="D30" s="30">
        <v>0.09</v>
      </c>
      <c r="E30" s="20">
        <v>9.1350000000000016</v>
      </c>
      <c r="F30" s="27"/>
      <c r="G30" s="23">
        <f t="shared" si="0"/>
        <v>0</v>
      </c>
      <c r="J30" s="39" t="str">
        <f>IFERROR(IF($J$2*D30=0, "-", $J$2*D30), "-")</f>
        <v>-</v>
      </c>
      <c r="K30" s="39" t="str">
        <f t="shared" si="1"/>
        <v>-</v>
      </c>
      <c r="L30" s="40" t="str">
        <f>IF(F30&gt;0,F30*D30, "-")</f>
        <v>-</v>
      </c>
      <c r="M30" s="41" t="str">
        <f t="shared" si="2"/>
        <v>-</v>
      </c>
      <c r="O30" s="41" t="str">
        <f t="shared" si="3"/>
        <v>-</v>
      </c>
    </row>
    <row r="31" spans="1:15" x14ac:dyDescent="0.3">
      <c r="A31" s="4" t="s">
        <v>796</v>
      </c>
      <c r="B31" s="3">
        <v>810139576020</v>
      </c>
      <c r="C31" s="2" t="s">
        <v>797</v>
      </c>
      <c r="D31" s="30">
        <v>0.48</v>
      </c>
      <c r="E31" s="20">
        <v>9.1350000000000016</v>
      </c>
      <c r="F31" s="27"/>
      <c r="G31" s="23">
        <f t="shared" si="0"/>
        <v>0</v>
      </c>
      <c r="J31" s="39" t="str">
        <f>IFERROR(IF($J$2*D31=0, "-", $J$2*D31), "-")</f>
        <v>-</v>
      </c>
      <c r="K31" s="39" t="str">
        <f t="shared" si="1"/>
        <v>-</v>
      </c>
      <c r="L31" s="40" t="str">
        <f>IF(F31&gt;0,F31*D31, "-")</f>
        <v>-</v>
      </c>
      <c r="M31" s="41" t="str">
        <f t="shared" si="2"/>
        <v>-</v>
      </c>
      <c r="O31" s="41" t="str">
        <f t="shared" si="3"/>
        <v>-</v>
      </c>
    </row>
    <row r="32" spans="1:15" x14ac:dyDescent="0.3">
      <c r="A32" s="4" t="s">
        <v>481</v>
      </c>
      <c r="B32" s="3">
        <v>810014672724</v>
      </c>
      <c r="C32" s="2" t="s">
        <v>798</v>
      </c>
      <c r="D32" s="30">
        <v>0.08</v>
      </c>
      <c r="E32" s="20">
        <v>9.1350000000000016</v>
      </c>
      <c r="F32" s="27"/>
      <c r="G32" s="23">
        <f t="shared" si="0"/>
        <v>0</v>
      </c>
      <c r="J32" s="39" t="str">
        <f>IFERROR(IF($J$2*D32=0, "-", $J$2*D32), "-")</f>
        <v>-</v>
      </c>
      <c r="K32" s="39" t="str">
        <f t="shared" si="1"/>
        <v>-</v>
      </c>
      <c r="L32" s="40" t="str">
        <f>IF(F32&gt;0,F32*D32, "-")</f>
        <v>-</v>
      </c>
      <c r="M32" s="41" t="str">
        <f t="shared" si="2"/>
        <v>-</v>
      </c>
      <c r="O32" s="41" t="str">
        <f t="shared" si="3"/>
        <v>-</v>
      </c>
    </row>
    <row r="33" spans="1:15" x14ac:dyDescent="0.3">
      <c r="A33" s="4" t="s">
        <v>799</v>
      </c>
      <c r="B33" s="3">
        <v>810139576341</v>
      </c>
      <c r="C33" s="2" t="s">
        <v>800</v>
      </c>
      <c r="D33" s="30">
        <v>0.11</v>
      </c>
      <c r="E33" s="20">
        <v>9.1350000000000016</v>
      </c>
      <c r="F33" s="27"/>
      <c r="G33" s="23">
        <f t="shared" si="0"/>
        <v>0</v>
      </c>
      <c r="J33" s="39" t="str">
        <f>IFERROR(IF($J$2*D33=0, "-", $J$2*D33), "-")</f>
        <v>-</v>
      </c>
      <c r="K33" s="39" t="str">
        <f t="shared" si="1"/>
        <v>-</v>
      </c>
      <c r="L33" s="40" t="str">
        <f>IF(F33&gt;0,F33*D33, "-")</f>
        <v>-</v>
      </c>
      <c r="M33" s="41" t="str">
        <f t="shared" si="2"/>
        <v>-</v>
      </c>
      <c r="O33" s="41" t="str">
        <f t="shared" si="3"/>
        <v>-</v>
      </c>
    </row>
    <row r="34" spans="1:15" x14ac:dyDescent="0.3">
      <c r="A34" s="4" t="s">
        <v>801</v>
      </c>
      <c r="B34" s="3">
        <v>810139572398</v>
      </c>
      <c r="C34" s="2" t="s">
        <v>802</v>
      </c>
      <c r="D34" s="30">
        <v>0.09</v>
      </c>
      <c r="E34" s="20">
        <v>9.1350000000000016</v>
      </c>
      <c r="F34" s="27"/>
      <c r="G34" s="23">
        <f t="shared" si="0"/>
        <v>0</v>
      </c>
      <c r="J34" s="39" t="str">
        <f>IFERROR(IF($J$2*D34=0, "-", $J$2*D34), "-")</f>
        <v>-</v>
      </c>
      <c r="K34" s="39" t="str">
        <f t="shared" si="1"/>
        <v>-</v>
      </c>
      <c r="L34" s="40" t="str">
        <f>IF(F34&gt;0,F34*D34, "-")</f>
        <v>-</v>
      </c>
      <c r="M34" s="41" t="str">
        <f t="shared" si="2"/>
        <v>-</v>
      </c>
      <c r="O34" s="41" t="str">
        <f t="shared" si="3"/>
        <v>-</v>
      </c>
    </row>
    <row r="35" spans="1:15" x14ac:dyDescent="0.3">
      <c r="A35" s="4" t="s">
        <v>33</v>
      </c>
      <c r="B35" s="3">
        <v>810014672502</v>
      </c>
      <c r="C35" s="2" t="s">
        <v>803</v>
      </c>
      <c r="D35" s="30">
        <v>0.24</v>
      </c>
      <c r="E35" s="20">
        <v>9.1350000000000016</v>
      </c>
      <c r="F35" s="27"/>
      <c r="G35" s="23">
        <f t="shared" si="0"/>
        <v>0</v>
      </c>
      <c r="J35" s="39" t="str">
        <f>IFERROR(IF($J$2*D35=0, "-", $J$2*D35), "-")</f>
        <v>-</v>
      </c>
      <c r="K35" s="39" t="str">
        <f t="shared" si="1"/>
        <v>-</v>
      </c>
      <c r="L35" s="40" t="str">
        <f>IF(F35&gt;0,F35*D35, "-")</f>
        <v>-</v>
      </c>
      <c r="M35" s="41" t="str">
        <f t="shared" si="2"/>
        <v>-</v>
      </c>
      <c r="O35" s="41" t="str">
        <f t="shared" si="3"/>
        <v>-</v>
      </c>
    </row>
    <row r="36" spans="1:15" x14ac:dyDescent="0.3">
      <c r="A36" s="4" t="s">
        <v>804</v>
      </c>
      <c r="B36" s="3">
        <v>810139576112</v>
      </c>
      <c r="C36" s="2" t="s">
        <v>805</v>
      </c>
      <c r="D36" s="30">
        <v>0.08</v>
      </c>
      <c r="E36" s="20">
        <v>9.1350000000000016</v>
      </c>
      <c r="F36" s="27"/>
      <c r="G36" s="23">
        <f t="shared" si="0"/>
        <v>0</v>
      </c>
      <c r="J36" s="39" t="str">
        <f>IFERROR(IF($J$2*D36=0, "-", $J$2*D36), "-")</f>
        <v>-</v>
      </c>
      <c r="K36" s="39" t="str">
        <f t="shared" si="1"/>
        <v>-</v>
      </c>
      <c r="L36" s="40" t="str">
        <f>IF(F36&gt;0,F36*D36, "-")</f>
        <v>-</v>
      </c>
      <c r="M36" s="41" t="str">
        <f t="shared" si="2"/>
        <v>-</v>
      </c>
      <c r="O36" s="41" t="str">
        <f t="shared" si="3"/>
        <v>-</v>
      </c>
    </row>
    <row r="37" spans="1:15" x14ac:dyDescent="0.3">
      <c r="A37" s="4" t="s">
        <v>806</v>
      </c>
      <c r="B37" s="3">
        <v>810139576174</v>
      </c>
      <c r="C37" s="2" t="s">
        <v>807</v>
      </c>
      <c r="D37" s="30">
        <v>0.06</v>
      </c>
      <c r="E37" s="20">
        <v>9.1350000000000016</v>
      </c>
      <c r="F37" s="27"/>
      <c r="G37" s="23">
        <f t="shared" si="0"/>
        <v>0</v>
      </c>
      <c r="J37" s="39" t="str">
        <f>IFERROR(IF($J$2*D37=0, "-", $J$2*D37), "-")</f>
        <v>-</v>
      </c>
      <c r="K37" s="39" t="str">
        <f t="shared" si="1"/>
        <v>-</v>
      </c>
      <c r="L37" s="40" t="str">
        <f>IF(F37&gt;0,F37*D37, "-")</f>
        <v>-</v>
      </c>
      <c r="M37" s="41" t="str">
        <f t="shared" si="2"/>
        <v>-</v>
      </c>
      <c r="O37" s="41" t="str">
        <f t="shared" si="3"/>
        <v>-</v>
      </c>
    </row>
    <row r="38" spans="1:15" x14ac:dyDescent="0.3">
      <c r="A38" s="4" t="s">
        <v>808</v>
      </c>
      <c r="B38" s="3">
        <v>810139576129</v>
      </c>
      <c r="C38" s="2" t="s">
        <v>809</v>
      </c>
      <c r="D38" s="30">
        <v>0.27</v>
      </c>
      <c r="E38" s="20">
        <v>9.1350000000000016</v>
      </c>
      <c r="F38" s="27"/>
      <c r="G38" s="23">
        <f t="shared" si="0"/>
        <v>0</v>
      </c>
      <c r="J38" s="39" t="str">
        <f>IFERROR(IF($J$2*D38=0, "-", $J$2*D38), "-")</f>
        <v>-</v>
      </c>
      <c r="K38" s="39" t="str">
        <f t="shared" si="1"/>
        <v>-</v>
      </c>
      <c r="L38" s="40" t="str">
        <f>IF(F38&gt;0,F38*D38, "-")</f>
        <v>-</v>
      </c>
      <c r="M38" s="41" t="str">
        <f t="shared" si="2"/>
        <v>-</v>
      </c>
      <c r="O38" s="41" t="str">
        <f t="shared" si="3"/>
        <v>-</v>
      </c>
    </row>
    <row r="39" spans="1:15" x14ac:dyDescent="0.3">
      <c r="A39" s="4" t="s">
        <v>810</v>
      </c>
      <c r="B39" s="3">
        <v>810139575948</v>
      </c>
      <c r="C39" s="2" t="s">
        <v>811</v>
      </c>
      <c r="D39" s="30">
        <v>0.08</v>
      </c>
      <c r="E39" s="20">
        <v>9.1350000000000016</v>
      </c>
      <c r="F39" s="27"/>
      <c r="G39" s="23">
        <f t="shared" si="0"/>
        <v>0</v>
      </c>
      <c r="J39" s="39" t="str">
        <f>IFERROR(IF($J$2*D39=0, "-", $J$2*D39), "-")</f>
        <v>-</v>
      </c>
      <c r="K39" s="39" t="str">
        <f t="shared" si="1"/>
        <v>-</v>
      </c>
      <c r="L39" s="40" t="str">
        <f>IF(F39&gt;0,F39*D39, "-")</f>
        <v>-</v>
      </c>
      <c r="M39" s="41" t="str">
        <f t="shared" si="2"/>
        <v>-</v>
      </c>
      <c r="O39" s="41" t="str">
        <f t="shared" si="3"/>
        <v>-</v>
      </c>
    </row>
    <row r="40" spans="1:15" x14ac:dyDescent="0.3">
      <c r="A40" s="4" t="s">
        <v>812</v>
      </c>
      <c r="B40" s="3">
        <v>810139576266</v>
      </c>
      <c r="C40" s="2" t="s">
        <v>813</v>
      </c>
      <c r="D40" s="30">
        <v>0.09</v>
      </c>
      <c r="E40" s="20">
        <v>9.1350000000000016</v>
      </c>
      <c r="F40" s="27"/>
      <c r="G40" s="23">
        <f t="shared" si="0"/>
        <v>0</v>
      </c>
      <c r="J40" s="39" t="str">
        <f>IFERROR(IF($J$2*D40=0, "-", $J$2*D40), "-")</f>
        <v>-</v>
      </c>
      <c r="K40" s="39" t="str">
        <f t="shared" si="1"/>
        <v>-</v>
      </c>
      <c r="L40" s="40" t="str">
        <f>IF(F40&gt;0,F40*D40, "-")</f>
        <v>-</v>
      </c>
      <c r="M40" s="41" t="str">
        <f t="shared" si="2"/>
        <v>-</v>
      </c>
      <c r="O40" s="41" t="str">
        <f t="shared" si="3"/>
        <v>-</v>
      </c>
    </row>
    <row r="41" spans="1:15" x14ac:dyDescent="0.3">
      <c r="A41" s="4" t="s">
        <v>814</v>
      </c>
      <c r="B41" s="3">
        <v>810139572657</v>
      </c>
      <c r="C41" s="2" t="s">
        <v>815</v>
      </c>
      <c r="D41" s="30">
        <v>0.05</v>
      </c>
      <c r="E41" s="20">
        <v>9.1350000000000016</v>
      </c>
      <c r="F41" s="27"/>
      <c r="G41" s="23">
        <f t="shared" si="0"/>
        <v>0</v>
      </c>
      <c r="J41" s="39" t="str">
        <f>IFERROR(IF($J$2*D41=0, "-", $J$2*D41), "-")</f>
        <v>-</v>
      </c>
      <c r="K41" s="39" t="str">
        <f t="shared" si="1"/>
        <v>-</v>
      </c>
      <c r="L41" s="40" t="str">
        <f>IF(F41&gt;0,F41*D41, "-")</f>
        <v>-</v>
      </c>
      <c r="M41" s="41" t="str">
        <f t="shared" si="2"/>
        <v>-</v>
      </c>
      <c r="O41" s="41" t="str">
        <f t="shared" si="3"/>
        <v>-</v>
      </c>
    </row>
    <row r="42" spans="1:15" x14ac:dyDescent="0.3">
      <c r="A42" s="4" t="s">
        <v>816</v>
      </c>
      <c r="B42" s="3">
        <v>810139574859</v>
      </c>
      <c r="C42" s="2" t="s">
        <v>817</v>
      </c>
      <c r="D42" s="30">
        <v>0.09</v>
      </c>
      <c r="E42" s="20">
        <v>9.1350000000000016</v>
      </c>
      <c r="F42" s="27"/>
      <c r="G42" s="23">
        <f t="shared" si="0"/>
        <v>0</v>
      </c>
      <c r="J42" s="39" t="str">
        <f>IFERROR(IF($J$2*D42=0, "-", $J$2*D42), "-")</f>
        <v>-</v>
      </c>
      <c r="K42" s="39" t="str">
        <f t="shared" si="1"/>
        <v>-</v>
      </c>
      <c r="L42" s="40" t="str">
        <f>IF(F42&gt;0,F42*D42, "-")</f>
        <v>-</v>
      </c>
      <c r="M42" s="41" t="str">
        <f t="shared" si="2"/>
        <v>-</v>
      </c>
      <c r="O42" s="41" t="str">
        <f t="shared" si="3"/>
        <v>-</v>
      </c>
    </row>
    <row r="43" spans="1:15" x14ac:dyDescent="0.3">
      <c r="A43" s="4" t="s">
        <v>818</v>
      </c>
      <c r="B43" s="3">
        <v>810139576471</v>
      </c>
      <c r="C43" s="2" t="s">
        <v>819</v>
      </c>
      <c r="D43" s="30">
        <v>0.09</v>
      </c>
      <c r="E43" s="20">
        <v>9.1350000000000016</v>
      </c>
      <c r="F43" s="27"/>
      <c r="G43" s="23">
        <f t="shared" si="0"/>
        <v>0</v>
      </c>
      <c r="J43" s="39" t="str">
        <f>IFERROR(IF($J$2*D43=0, "-", $J$2*D43), "-")</f>
        <v>-</v>
      </c>
      <c r="K43" s="39" t="str">
        <f t="shared" si="1"/>
        <v>-</v>
      </c>
      <c r="L43" s="40" t="str">
        <f>IF(F43&gt;0,F43*D43, "-")</f>
        <v>-</v>
      </c>
      <c r="M43" s="41" t="str">
        <f t="shared" si="2"/>
        <v>-</v>
      </c>
      <c r="O43" s="41" t="str">
        <f t="shared" si="3"/>
        <v>-</v>
      </c>
    </row>
    <row r="44" spans="1:15" x14ac:dyDescent="0.3">
      <c r="A44" s="4" t="s">
        <v>136</v>
      </c>
      <c r="B44" s="3">
        <v>810139571100</v>
      </c>
      <c r="C44" s="2" t="s">
        <v>820</v>
      </c>
      <c r="D44" s="30">
        <v>0.38</v>
      </c>
      <c r="E44" s="20">
        <v>9.8962500000000002</v>
      </c>
      <c r="F44" s="27"/>
      <c r="G44" s="23">
        <f t="shared" si="0"/>
        <v>0</v>
      </c>
      <c r="J44" s="39" t="str">
        <f>IFERROR(IF($J$2*D44=0, "-", $J$2*D44), "-")</f>
        <v>-</v>
      </c>
      <c r="K44" s="39" t="str">
        <f t="shared" si="1"/>
        <v>-</v>
      </c>
      <c r="L44" s="40" t="str">
        <f>IF(F44&gt;0,F44*D44, "-")</f>
        <v>-</v>
      </c>
      <c r="M44" s="41" t="str">
        <f t="shared" si="2"/>
        <v>-</v>
      </c>
      <c r="O44" s="41" t="str">
        <f t="shared" si="3"/>
        <v>-</v>
      </c>
    </row>
    <row r="45" spans="1:15" x14ac:dyDescent="0.3">
      <c r="A45" s="4" t="s">
        <v>684</v>
      </c>
      <c r="B45" s="3">
        <v>810139571841</v>
      </c>
      <c r="C45" s="2" t="s">
        <v>821</v>
      </c>
      <c r="D45" s="30">
        <v>0.3</v>
      </c>
      <c r="E45" s="20">
        <v>9.8962500000000002</v>
      </c>
      <c r="F45" s="27"/>
      <c r="G45" s="23">
        <f t="shared" si="0"/>
        <v>0</v>
      </c>
      <c r="J45" s="39" t="str">
        <f>IFERROR(IF($J$2*D45=0, "-", $J$2*D45), "-")</f>
        <v>-</v>
      </c>
      <c r="K45" s="39" t="str">
        <f t="shared" si="1"/>
        <v>-</v>
      </c>
      <c r="L45" s="40" t="str">
        <f>IF(F45&gt;0,F45*D45, "-")</f>
        <v>-</v>
      </c>
      <c r="M45" s="41" t="str">
        <f t="shared" si="2"/>
        <v>-</v>
      </c>
      <c r="O45" s="41" t="str">
        <f t="shared" si="3"/>
        <v>-</v>
      </c>
    </row>
    <row r="46" spans="1:15" x14ac:dyDescent="0.3">
      <c r="A46" s="4" t="s">
        <v>573</v>
      </c>
      <c r="B46" s="3">
        <v>810014673462</v>
      </c>
      <c r="C46" s="2" t="s">
        <v>822</v>
      </c>
      <c r="D46" s="30">
        <v>0.11</v>
      </c>
      <c r="E46" s="20">
        <v>9.8962500000000002</v>
      </c>
      <c r="F46" s="27"/>
      <c r="G46" s="23">
        <f t="shared" si="0"/>
        <v>0</v>
      </c>
      <c r="J46" s="39" t="str">
        <f>IFERROR(IF($J$2*D46=0, "-", $J$2*D46), "-")</f>
        <v>-</v>
      </c>
      <c r="K46" s="39" t="str">
        <f t="shared" si="1"/>
        <v>-</v>
      </c>
      <c r="L46" s="40" t="str">
        <f>IF(F46&gt;0,F46*D46, "-")</f>
        <v>-</v>
      </c>
      <c r="M46" s="41" t="str">
        <f t="shared" si="2"/>
        <v>-</v>
      </c>
      <c r="O46" s="41" t="str">
        <f t="shared" si="3"/>
        <v>-</v>
      </c>
    </row>
    <row r="47" spans="1:15" x14ac:dyDescent="0.3">
      <c r="A47" s="4" t="s">
        <v>659</v>
      </c>
      <c r="B47" s="3">
        <v>857077008732</v>
      </c>
      <c r="C47" s="2" t="s">
        <v>823</v>
      </c>
      <c r="D47" s="30">
        <v>0.13</v>
      </c>
      <c r="E47" s="20">
        <v>9.8962500000000002</v>
      </c>
      <c r="F47" s="27"/>
      <c r="G47" s="23">
        <f t="shared" si="0"/>
        <v>0</v>
      </c>
      <c r="J47" s="39" t="str">
        <f>IFERROR(IF($J$2*D47=0, "-", $J$2*D47), "-")</f>
        <v>-</v>
      </c>
      <c r="K47" s="39" t="str">
        <f t="shared" si="1"/>
        <v>-</v>
      </c>
      <c r="L47" s="40" t="str">
        <f>IF(F47&gt;0,F47*D47, "-")</f>
        <v>-</v>
      </c>
      <c r="M47" s="41" t="str">
        <f t="shared" si="2"/>
        <v>-</v>
      </c>
      <c r="O47" s="41" t="str">
        <f t="shared" si="3"/>
        <v>-</v>
      </c>
    </row>
    <row r="48" spans="1:15" x14ac:dyDescent="0.3">
      <c r="A48" s="4" t="s">
        <v>47</v>
      </c>
      <c r="B48" s="3">
        <v>810014670430</v>
      </c>
      <c r="C48" s="2" t="s">
        <v>824</v>
      </c>
      <c r="D48" s="30">
        <v>0.12</v>
      </c>
      <c r="E48" s="20">
        <v>9.8962500000000002</v>
      </c>
      <c r="F48" s="27"/>
      <c r="G48" s="23">
        <f t="shared" si="0"/>
        <v>0</v>
      </c>
      <c r="J48" s="39" t="str">
        <f>IFERROR(IF($J$2*D48=0, "-", $J$2*D48), "-")</f>
        <v>-</v>
      </c>
      <c r="K48" s="39" t="str">
        <f t="shared" si="1"/>
        <v>-</v>
      </c>
      <c r="L48" s="40" t="str">
        <f>IF(F48&gt;0,F48*D48, "-")</f>
        <v>-</v>
      </c>
      <c r="M48" s="41" t="str">
        <f t="shared" si="2"/>
        <v>-</v>
      </c>
      <c r="O48" s="41" t="str">
        <f t="shared" si="3"/>
        <v>-</v>
      </c>
    </row>
    <row r="49" spans="1:15" x14ac:dyDescent="0.3">
      <c r="A49" s="4" t="s">
        <v>732</v>
      </c>
      <c r="B49" s="3">
        <v>810014670478</v>
      </c>
      <c r="C49" s="2" t="s">
        <v>825</v>
      </c>
      <c r="D49" s="30">
        <v>0.09</v>
      </c>
      <c r="E49" s="20">
        <v>9.8962500000000002</v>
      </c>
      <c r="F49" s="27"/>
      <c r="G49" s="23">
        <f t="shared" si="0"/>
        <v>0</v>
      </c>
      <c r="J49" s="39" t="str">
        <f>IFERROR(IF($J$2*D49=0, "-", $J$2*D49), "-")</f>
        <v>-</v>
      </c>
      <c r="K49" s="39" t="str">
        <f t="shared" si="1"/>
        <v>-</v>
      </c>
      <c r="L49" s="40" t="str">
        <f>IF(F49&gt;0,F49*D49, "-")</f>
        <v>-</v>
      </c>
      <c r="M49" s="41" t="str">
        <f t="shared" si="2"/>
        <v>-</v>
      </c>
      <c r="O49" s="41" t="str">
        <f t="shared" si="3"/>
        <v>-</v>
      </c>
    </row>
    <row r="50" spans="1:15" x14ac:dyDescent="0.3">
      <c r="A50" s="4" t="s">
        <v>473</v>
      </c>
      <c r="B50" s="3">
        <v>810139572947</v>
      </c>
      <c r="C50" s="2" t="s">
        <v>826</v>
      </c>
      <c r="D50" s="30">
        <v>0.17</v>
      </c>
      <c r="E50" s="20">
        <v>9.8962500000000002</v>
      </c>
      <c r="F50" s="27"/>
      <c r="G50" s="23">
        <f t="shared" si="0"/>
        <v>0</v>
      </c>
      <c r="J50" s="39" t="str">
        <f>IFERROR(IF($J$2*D50=0, "-", $J$2*D50), "-")</f>
        <v>-</v>
      </c>
      <c r="K50" s="39" t="str">
        <f t="shared" si="1"/>
        <v>-</v>
      </c>
      <c r="L50" s="40" t="str">
        <f>IF(F50&gt;0,F50*D50, "-")</f>
        <v>-</v>
      </c>
      <c r="M50" s="41" t="str">
        <f t="shared" si="2"/>
        <v>-</v>
      </c>
      <c r="O50" s="41" t="str">
        <f t="shared" si="3"/>
        <v>-</v>
      </c>
    </row>
    <row r="51" spans="1:15" x14ac:dyDescent="0.3">
      <c r="A51" s="4" t="s">
        <v>121</v>
      </c>
      <c r="B51" s="3">
        <v>857077008718</v>
      </c>
      <c r="C51" s="2" t="s">
        <v>827</v>
      </c>
      <c r="D51" s="30">
        <v>0.13</v>
      </c>
      <c r="E51" s="20">
        <v>9.8962500000000002</v>
      </c>
      <c r="F51" s="27"/>
      <c r="G51" s="23">
        <f t="shared" si="0"/>
        <v>0</v>
      </c>
      <c r="J51" s="39" t="str">
        <f>IFERROR(IF($J$2*D51=0, "-", $J$2*D51), "-")</f>
        <v>-</v>
      </c>
      <c r="K51" s="39" t="str">
        <f t="shared" si="1"/>
        <v>-</v>
      </c>
      <c r="L51" s="40" t="str">
        <f>IF(F51&gt;0,F51*D51, "-")</f>
        <v>-</v>
      </c>
      <c r="M51" s="41" t="str">
        <f t="shared" si="2"/>
        <v>-</v>
      </c>
      <c r="O51" s="41" t="str">
        <f t="shared" si="3"/>
        <v>-</v>
      </c>
    </row>
    <row r="52" spans="1:15" x14ac:dyDescent="0.3">
      <c r="A52" s="4" t="s">
        <v>163</v>
      </c>
      <c r="B52" s="3">
        <v>810014673165</v>
      </c>
      <c r="C52" s="2" t="s">
        <v>828</v>
      </c>
      <c r="D52" s="30">
        <v>0.08</v>
      </c>
      <c r="E52" s="20">
        <v>9.8962500000000002</v>
      </c>
      <c r="F52" s="27"/>
      <c r="G52" s="23">
        <f t="shared" si="0"/>
        <v>0</v>
      </c>
      <c r="J52" s="39" t="str">
        <f>IFERROR(IF($J$2*D52=0, "-", $J$2*D52), "-")</f>
        <v>-</v>
      </c>
      <c r="K52" s="39" t="str">
        <f t="shared" si="1"/>
        <v>-</v>
      </c>
      <c r="L52" s="40" t="str">
        <f>IF(F52&gt;0,F52*D52, "-")</f>
        <v>-</v>
      </c>
      <c r="M52" s="41" t="str">
        <f t="shared" si="2"/>
        <v>-</v>
      </c>
      <c r="O52" s="41" t="str">
        <f t="shared" si="3"/>
        <v>-</v>
      </c>
    </row>
    <row r="53" spans="1:15" x14ac:dyDescent="0.3">
      <c r="A53" s="4" t="s">
        <v>829</v>
      </c>
      <c r="B53" s="3">
        <v>810139575207</v>
      </c>
      <c r="C53" s="2" t="s">
        <v>830</v>
      </c>
      <c r="D53" s="30">
        <v>0.12</v>
      </c>
      <c r="E53" s="20">
        <v>9.8962500000000002</v>
      </c>
      <c r="F53" s="27"/>
      <c r="G53" s="23">
        <f t="shared" si="0"/>
        <v>0</v>
      </c>
      <c r="J53" s="39" t="str">
        <f>IFERROR(IF($J$2*D53=0, "-", $J$2*D53), "-")</f>
        <v>-</v>
      </c>
      <c r="K53" s="39" t="str">
        <f t="shared" si="1"/>
        <v>-</v>
      </c>
      <c r="L53" s="40" t="str">
        <f>IF(F53&gt;0,F53*D53, "-")</f>
        <v>-</v>
      </c>
      <c r="M53" s="41" t="str">
        <f t="shared" si="2"/>
        <v>-</v>
      </c>
      <c r="O53" s="41" t="str">
        <f t="shared" si="3"/>
        <v>-</v>
      </c>
    </row>
    <row r="54" spans="1:15" x14ac:dyDescent="0.3">
      <c r="A54" s="4" t="s">
        <v>831</v>
      </c>
      <c r="B54" s="3">
        <v>810139576242</v>
      </c>
      <c r="C54" s="2" t="s">
        <v>832</v>
      </c>
      <c r="D54" s="30">
        <v>0.09</v>
      </c>
      <c r="E54" s="20">
        <v>9.8962500000000002</v>
      </c>
      <c r="F54" s="27"/>
      <c r="G54" s="23">
        <f t="shared" si="0"/>
        <v>0</v>
      </c>
      <c r="J54" s="39" t="str">
        <f>IFERROR(IF($J$2*D54=0, "-", $J$2*D54), "-")</f>
        <v>-</v>
      </c>
      <c r="K54" s="39" t="str">
        <f t="shared" si="1"/>
        <v>-</v>
      </c>
      <c r="L54" s="40" t="str">
        <f>IF(F54&gt;0,F54*D54, "-")</f>
        <v>-</v>
      </c>
      <c r="M54" s="41" t="str">
        <f t="shared" si="2"/>
        <v>-</v>
      </c>
      <c r="O54" s="41" t="str">
        <f t="shared" si="3"/>
        <v>-</v>
      </c>
    </row>
    <row r="55" spans="1:15" x14ac:dyDescent="0.3">
      <c r="A55" s="4" t="s">
        <v>833</v>
      </c>
      <c r="B55" s="3">
        <v>810139576723</v>
      </c>
      <c r="C55" s="2" t="s">
        <v>834</v>
      </c>
      <c r="D55" s="30">
        <v>0.1</v>
      </c>
      <c r="E55" s="20">
        <v>9.8962500000000002</v>
      </c>
      <c r="F55" s="27"/>
      <c r="G55" s="23">
        <f t="shared" si="0"/>
        <v>0</v>
      </c>
      <c r="J55" s="39" t="str">
        <f>IFERROR(IF($J$2*D55=0, "-", $J$2*D55), "-")</f>
        <v>-</v>
      </c>
      <c r="K55" s="39" t="str">
        <f t="shared" si="1"/>
        <v>-</v>
      </c>
      <c r="L55" s="40" t="str">
        <f>IF(F55&gt;0,F55*D55, "-")</f>
        <v>-</v>
      </c>
      <c r="M55" s="41" t="str">
        <f t="shared" si="2"/>
        <v>-</v>
      </c>
      <c r="O55" s="41" t="str">
        <f t="shared" si="3"/>
        <v>-</v>
      </c>
    </row>
    <row r="56" spans="1:15" x14ac:dyDescent="0.3">
      <c r="A56" s="4" t="s">
        <v>596</v>
      </c>
      <c r="B56" s="3">
        <v>810014673226</v>
      </c>
      <c r="C56" s="2" t="s">
        <v>835</v>
      </c>
      <c r="D56" s="30">
        <v>0.13</v>
      </c>
      <c r="E56" s="20">
        <v>10.276875</v>
      </c>
      <c r="F56" s="27"/>
      <c r="G56" s="23">
        <f t="shared" si="0"/>
        <v>0</v>
      </c>
      <c r="J56" s="39" t="str">
        <f>IFERROR(IF($J$2*D56=0, "-", $J$2*D56), "-")</f>
        <v>-</v>
      </c>
      <c r="K56" s="39" t="str">
        <f t="shared" si="1"/>
        <v>-</v>
      </c>
      <c r="L56" s="40" t="str">
        <f>IF(F56&gt;0,F56*D56, "-")</f>
        <v>-</v>
      </c>
      <c r="M56" s="41" t="str">
        <f t="shared" si="2"/>
        <v>-</v>
      </c>
      <c r="O56" s="41" t="str">
        <f t="shared" si="3"/>
        <v>-</v>
      </c>
    </row>
    <row r="57" spans="1:15" x14ac:dyDescent="0.3">
      <c r="A57" s="4" t="s">
        <v>836</v>
      </c>
      <c r="B57" s="3">
        <v>810139575924</v>
      </c>
      <c r="C57" s="2" t="s">
        <v>837</v>
      </c>
      <c r="D57" s="30">
        <v>0.14000000000000001</v>
      </c>
      <c r="E57" s="20">
        <v>10.276875</v>
      </c>
      <c r="F57" s="27"/>
      <c r="G57" s="23">
        <f t="shared" si="0"/>
        <v>0</v>
      </c>
      <c r="J57" s="39" t="str">
        <f>IFERROR(IF($J$2*D57=0, "-", $J$2*D57), "-")</f>
        <v>-</v>
      </c>
      <c r="K57" s="39" t="str">
        <f t="shared" si="1"/>
        <v>-</v>
      </c>
      <c r="L57" s="40" t="str">
        <f>IF(F57&gt;0,F57*D57, "-")</f>
        <v>-</v>
      </c>
      <c r="M57" s="41" t="str">
        <f t="shared" si="2"/>
        <v>-</v>
      </c>
      <c r="O57" s="41" t="str">
        <f t="shared" si="3"/>
        <v>-</v>
      </c>
    </row>
    <row r="58" spans="1:15" x14ac:dyDescent="0.3">
      <c r="A58" s="4" t="s">
        <v>117</v>
      </c>
      <c r="B58" s="3">
        <v>810139571476</v>
      </c>
      <c r="C58" s="2" t="s">
        <v>838</v>
      </c>
      <c r="D58" s="30">
        <v>0.09</v>
      </c>
      <c r="E58" s="20">
        <v>10.276875</v>
      </c>
      <c r="F58" s="27"/>
      <c r="G58" s="23">
        <f t="shared" si="0"/>
        <v>0</v>
      </c>
      <c r="J58" s="39" t="str">
        <f>IFERROR(IF($J$2*D58=0, "-", $J$2*D58), "-")</f>
        <v>-</v>
      </c>
      <c r="K58" s="39" t="str">
        <f t="shared" si="1"/>
        <v>-</v>
      </c>
      <c r="L58" s="40" t="str">
        <f>IF(F58&gt;0,F58*D58, "-")</f>
        <v>-</v>
      </c>
      <c r="M58" s="41" t="str">
        <f t="shared" si="2"/>
        <v>-</v>
      </c>
      <c r="O58" s="41" t="str">
        <f t="shared" si="3"/>
        <v>-</v>
      </c>
    </row>
    <row r="59" spans="1:15" x14ac:dyDescent="0.3">
      <c r="A59" s="4" t="s">
        <v>682</v>
      </c>
      <c r="B59" s="3">
        <v>810014674827</v>
      </c>
      <c r="C59" s="2" t="s">
        <v>839</v>
      </c>
      <c r="D59" s="30">
        <v>0.17</v>
      </c>
      <c r="E59" s="20">
        <v>10.276875</v>
      </c>
      <c r="F59" s="27"/>
      <c r="G59" s="23">
        <f t="shared" si="0"/>
        <v>0</v>
      </c>
      <c r="J59" s="39" t="str">
        <f>IFERROR(IF($J$2*D59=0, "-", $J$2*D59), "-")</f>
        <v>-</v>
      </c>
      <c r="K59" s="39" t="str">
        <f t="shared" si="1"/>
        <v>-</v>
      </c>
      <c r="L59" s="40" t="str">
        <f>IF(F59&gt;0,F59*D59, "-")</f>
        <v>-</v>
      </c>
      <c r="M59" s="41" t="str">
        <f t="shared" si="2"/>
        <v>-</v>
      </c>
      <c r="O59" s="41" t="str">
        <f t="shared" si="3"/>
        <v>-</v>
      </c>
    </row>
    <row r="60" spans="1:15" x14ac:dyDescent="0.3">
      <c r="A60" s="4" t="s">
        <v>637</v>
      </c>
      <c r="B60" s="3">
        <v>810139570837</v>
      </c>
      <c r="C60" s="2" t="s">
        <v>840</v>
      </c>
      <c r="D60" s="30">
        <v>0.38</v>
      </c>
      <c r="E60" s="20">
        <v>10.657500000000001</v>
      </c>
      <c r="F60" s="27"/>
      <c r="G60" s="23">
        <f t="shared" si="0"/>
        <v>0</v>
      </c>
      <c r="J60" s="39" t="str">
        <f>IFERROR(IF($J$2*D60=0, "-", $J$2*D60), "-")</f>
        <v>-</v>
      </c>
      <c r="K60" s="39" t="str">
        <f t="shared" si="1"/>
        <v>-</v>
      </c>
      <c r="L60" s="40" t="str">
        <f>IF(F60&gt;0,F60*D60, "-")</f>
        <v>-</v>
      </c>
      <c r="M60" s="41" t="str">
        <f t="shared" si="2"/>
        <v>-</v>
      </c>
      <c r="O60" s="41" t="str">
        <f t="shared" si="3"/>
        <v>-</v>
      </c>
    </row>
    <row r="61" spans="1:15" x14ac:dyDescent="0.3">
      <c r="A61" s="4" t="s">
        <v>433</v>
      </c>
      <c r="B61" s="3">
        <v>810014671895</v>
      </c>
      <c r="C61" s="2" t="s">
        <v>841</v>
      </c>
      <c r="D61" s="30">
        <v>0.17</v>
      </c>
      <c r="E61" s="20">
        <v>10.657500000000001</v>
      </c>
      <c r="F61" s="27"/>
      <c r="G61" s="23">
        <f t="shared" si="0"/>
        <v>0</v>
      </c>
      <c r="J61" s="39" t="str">
        <f>IFERROR(IF($J$2*D61=0, "-", $J$2*D61), "-")</f>
        <v>-</v>
      </c>
      <c r="K61" s="39" t="str">
        <f t="shared" si="1"/>
        <v>-</v>
      </c>
      <c r="L61" s="40" t="str">
        <f>IF(F61&gt;0,F61*D61, "-")</f>
        <v>-</v>
      </c>
      <c r="M61" s="41" t="str">
        <f t="shared" si="2"/>
        <v>-</v>
      </c>
      <c r="O61" s="41" t="str">
        <f t="shared" si="3"/>
        <v>-</v>
      </c>
    </row>
    <row r="62" spans="1:15" x14ac:dyDescent="0.3">
      <c r="A62" s="4" t="s">
        <v>675</v>
      </c>
      <c r="B62" s="3">
        <v>810014672212</v>
      </c>
      <c r="C62" s="2" t="s">
        <v>842</v>
      </c>
      <c r="D62" s="30">
        <v>0.21</v>
      </c>
      <c r="E62" s="20">
        <v>10.657500000000001</v>
      </c>
      <c r="F62" s="27"/>
      <c r="G62" s="23">
        <f t="shared" si="0"/>
        <v>0</v>
      </c>
      <c r="J62" s="39" t="str">
        <f>IFERROR(IF($J$2*D62=0, "-", $J$2*D62), "-")</f>
        <v>-</v>
      </c>
      <c r="K62" s="39" t="str">
        <f t="shared" si="1"/>
        <v>-</v>
      </c>
      <c r="L62" s="40" t="str">
        <f>IF(F62&gt;0,F62*D62, "-")</f>
        <v>-</v>
      </c>
      <c r="M62" s="41" t="str">
        <f t="shared" si="2"/>
        <v>-</v>
      </c>
      <c r="O62" s="41" t="str">
        <f t="shared" si="3"/>
        <v>-</v>
      </c>
    </row>
    <row r="63" spans="1:15" x14ac:dyDescent="0.3">
      <c r="A63" s="4" t="s">
        <v>479</v>
      </c>
      <c r="B63" s="3">
        <v>810014672748</v>
      </c>
      <c r="C63" s="2" t="s">
        <v>843</v>
      </c>
      <c r="D63" s="30">
        <v>0.09</v>
      </c>
      <c r="E63" s="20">
        <v>10.657500000000001</v>
      </c>
      <c r="F63" s="27"/>
      <c r="G63" s="23">
        <f t="shared" si="0"/>
        <v>0</v>
      </c>
      <c r="J63" s="39" t="str">
        <f>IFERROR(IF($J$2*D63=0, "-", $J$2*D63), "-")</f>
        <v>-</v>
      </c>
      <c r="K63" s="39" t="str">
        <f t="shared" si="1"/>
        <v>-</v>
      </c>
      <c r="L63" s="40" t="str">
        <f>IF(F63&gt;0,F63*D63, "-")</f>
        <v>-</v>
      </c>
      <c r="M63" s="41" t="str">
        <f t="shared" si="2"/>
        <v>-</v>
      </c>
      <c r="O63" s="41" t="str">
        <f t="shared" si="3"/>
        <v>-</v>
      </c>
    </row>
    <row r="64" spans="1:15" x14ac:dyDescent="0.3">
      <c r="A64" s="4" t="s">
        <v>237</v>
      </c>
      <c r="B64" s="3">
        <v>810139575498</v>
      </c>
      <c r="C64" s="2" t="s">
        <v>844</v>
      </c>
      <c r="D64" s="30">
        <v>0.13</v>
      </c>
      <c r="E64" s="20">
        <v>10.657500000000001</v>
      </c>
      <c r="F64" s="27"/>
      <c r="G64" s="23">
        <f t="shared" si="0"/>
        <v>0</v>
      </c>
      <c r="J64" s="39" t="str">
        <f>IFERROR(IF($J$2*D64=0, "-", $J$2*D64), "-")</f>
        <v>-</v>
      </c>
      <c r="K64" s="39" t="str">
        <f t="shared" si="1"/>
        <v>-</v>
      </c>
      <c r="L64" s="40" t="str">
        <f>IF(F64&gt;0,F64*D64, "-")</f>
        <v>-</v>
      </c>
      <c r="M64" s="41" t="str">
        <f t="shared" si="2"/>
        <v>-</v>
      </c>
      <c r="O64" s="41" t="str">
        <f t="shared" si="3"/>
        <v>-</v>
      </c>
    </row>
    <row r="65" spans="1:15" x14ac:dyDescent="0.3">
      <c r="A65" s="4" t="s">
        <v>845</v>
      </c>
      <c r="B65" s="3">
        <v>810139576075</v>
      </c>
      <c r="C65" s="2" t="s">
        <v>846</v>
      </c>
      <c r="D65" s="30">
        <v>0.14000000000000001</v>
      </c>
      <c r="E65" s="20">
        <v>10.657500000000001</v>
      </c>
      <c r="F65" s="27"/>
      <c r="G65" s="23">
        <f t="shared" si="0"/>
        <v>0</v>
      </c>
      <c r="J65" s="39" t="str">
        <f>IFERROR(IF($J$2*D65=0, "-", $J$2*D65), "-")</f>
        <v>-</v>
      </c>
      <c r="K65" s="39" t="str">
        <f t="shared" si="1"/>
        <v>-</v>
      </c>
      <c r="L65" s="40" t="str">
        <f>IF(F65&gt;0,F65*D65, "-")</f>
        <v>-</v>
      </c>
      <c r="M65" s="41" t="str">
        <f t="shared" si="2"/>
        <v>-</v>
      </c>
      <c r="O65" s="41" t="str">
        <f t="shared" si="3"/>
        <v>-</v>
      </c>
    </row>
    <row r="66" spans="1:15" x14ac:dyDescent="0.3">
      <c r="A66" s="4" t="s">
        <v>616</v>
      </c>
      <c r="B66" s="3">
        <v>810014671468</v>
      </c>
      <c r="C66" s="2" t="s">
        <v>847</v>
      </c>
      <c r="D66" s="30">
        <v>0.11</v>
      </c>
      <c r="E66" s="20">
        <v>10.657500000000001</v>
      </c>
      <c r="F66" s="27"/>
      <c r="G66" s="23">
        <f t="shared" si="0"/>
        <v>0</v>
      </c>
      <c r="J66" s="39" t="str">
        <f>IFERROR(IF($J$2*D66=0, "-", $J$2*D66), "-")</f>
        <v>-</v>
      </c>
      <c r="K66" s="39" t="str">
        <f t="shared" si="1"/>
        <v>-</v>
      </c>
      <c r="L66" s="40" t="str">
        <f>IF(F66&gt;0,F66*D66, "-")</f>
        <v>-</v>
      </c>
      <c r="M66" s="41" t="str">
        <f t="shared" si="2"/>
        <v>-</v>
      </c>
      <c r="O66" s="41" t="str">
        <f t="shared" si="3"/>
        <v>-</v>
      </c>
    </row>
    <row r="67" spans="1:15" x14ac:dyDescent="0.3">
      <c r="A67" s="4" t="s">
        <v>344</v>
      </c>
      <c r="B67" s="3">
        <v>810014672526</v>
      </c>
      <c r="C67" s="2" t="s">
        <v>848</v>
      </c>
      <c r="D67" s="30">
        <v>0.35</v>
      </c>
      <c r="E67" s="20">
        <v>10.657500000000001</v>
      </c>
      <c r="F67" s="27"/>
      <c r="G67" s="23">
        <f t="shared" si="0"/>
        <v>0</v>
      </c>
      <c r="J67" s="39" t="str">
        <f>IFERROR(IF($J$2*D67=0, "-", $J$2*D67), "-")</f>
        <v>-</v>
      </c>
      <c r="K67" s="39" t="str">
        <f t="shared" si="1"/>
        <v>-</v>
      </c>
      <c r="L67" s="40" t="str">
        <f>IF(F67&gt;0,F67*D67, "-")</f>
        <v>-</v>
      </c>
      <c r="M67" s="41" t="str">
        <f t="shared" si="2"/>
        <v>-</v>
      </c>
      <c r="O67" s="41" t="str">
        <f t="shared" si="3"/>
        <v>-</v>
      </c>
    </row>
    <row r="68" spans="1:15" x14ac:dyDescent="0.3">
      <c r="A68" s="4" t="s">
        <v>325</v>
      </c>
      <c r="B68" s="3">
        <v>810014672632</v>
      </c>
      <c r="C68" s="2" t="s">
        <v>849</v>
      </c>
      <c r="D68" s="30">
        <v>0.09</v>
      </c>
      <c r="E68" s="20">
        <v>10.657500000000001</v>
      </c>
      <c r="F68" s="27"/>
      <c r="G68" s="23">
        <f t="shared" ref="G68:G131" si="4">F68*E68</f>
        <v>0</v>
      </c>
      <c r="J68" s="39" t="str">
        <f>IFERROR(IF($J$2*D68=0, "-", $J$2*D68), "-")</f>
        <v>-</v>
      </c>
      <c r="K68" s="39" t="str">
        <f t="shared" ref="K68:K131" si="5">IF(F68&gt;0,E68+J68,"-")</f>
        <v>-</v>
      </c>
      <c r="L68" s="40" t="str">
        <f>IF(F68&gt;0,F68*D68, "-")</f>
        <v>-</v>
      </c>
      <c r="M68" s="41" t="str">
        <f t="shared" ref="M68:M131" si="6">IFERROR(IF($J$2&gt;0, $J$2*L68, "-"), "-")</f>
        <v>-</v>
      </c>
      <c r="O68" s="41" t="str">
        <f t="shared" ref="O68:O131" si="7">IFERROR(IF(M68+G68=0, "-", IF(M68&gt;0, M68+G68, "-")), "-")</f>
        <v>-</v>
      </c>
    </row>
    <row r="69" spans="1:15" x14ac:dyDescent="0.3">
      <c r="A69" s="4" t="s">
        <v>332</v>
      </c>
      <c r="B69" s="3">
        <v>810014672625</v>
      </c>
      <c r="C69" s="2" t="s">
        <v>850</v>
      </c>
      <c r="D69" s="30">
        <v>0.1</v>
      </c>
      <c r="E69" s="20">
        <v>10.657500000000001</v>
      </c>
      <c r="F69" s="27"/>
      <c r="G69" s="23">
        <f t="shared" si="4"/>
        <v>0</v>
      </c>
      <c r="J69" s="39" t="str">
        <f>IFERROR(IF($J$2*D69=0, "-", $J$2*D69), "-")</f>
        <v>-</v>
      </c>
      <c r="K69" s="39" t="str">
        <f t="shared" si="5"/>
        <v>-</v>
      </c>
      <c r="L69" s="40" t="str">
        <f>IF(F69&gt;0,F69*D69, "-")</f>
        <v>-</v>
      </c>
      <c r="M69" s="41" t="str">
        <f t="shared" si="6"/>
        <v>-</v>
      </c>
      <c r="O69" s="41" t="str">
        <f t="shared" si="7"/>
        <v>-</v>
      </c>
    </row>
    <row r="70" spans="1:15" x14ac:dyDescent="0.3">
      <c r="A70" s="4" t="s">
        <v>120</v>
      </c>
      <c r="B70" s="3">
        <v>810014672274</v>
      </c>
      <c r="C70" s="2" t="s">
        <v>851</v>
      </c>
      <c r="D70" s="30">
        <v>0.11</v>
      </c>
      <c r="E70" s="20">
        <v>10.657500000000001</v>
      </c>
      <c r="F70" s="27"/>
      <c r="G70" s="23">
        <f t="shared" si="4"/>
        <v>0</v>
      </c>
      <c r="J70" s="39" t="str">
        <f>IFERROR(IF($J$2*D70=0, "-", $J$2*D70), "-")</f>
        <v>-</v>
      </c>
      <c r="K70" s="39" t="str">
        <f t="shared" si="5"/>
        <v>-</v>
      </c>
      <c r="L70" s="40" t="str">
        <f>IF(F70&gt;0,F70*D70, "-")</f>
        <v>-</v>
      </c>
      <c r="M70" s="41" t="str">
        <f t="shared" si="6"/>
        <v>-</v>
      </c>
      <c r="O70" s="41" t="str">
        <f t="shared" si="7"/>
        <v>-</v>
      </c>
    </row>
    <row r="71" spans="1:15" x14ac:dyDescent="0.3">
      <c r="A71" s="4" t="s">
        <v>626</v>
      </c>
      <c r="B71" s="3">
        <v>857077008725</v>
      </c>
      <c r="C71" s="2" t="s">
        <v>852</v>
      </c>
      <c r="D71" s="30">
        <v>0.14000000000000001</v>
      </c>
      <c r="E71" s="20">
        <v>10.657500000000001</v>
      </c>
      <c r="F71" s="27"/>
      <c r="G71" s="23">
        <f t="shared" si="4"/>
        <v>0</v>
      </c>
      <c r="J71" s="39" t="str">
        <f>IFERROR(IF($J$2*D71=0, "-", $J$2*D71), "-")</f>
        <v>-</v>
      </c>
      <c r="K71" s="39" t="str">
        <f t="shared" si="5"/>
        <v>-</v>
      </c>
      <c r="L71" s="40" t="str">
        <f>IF(F71&gt;0,F71*D71, "-")</f>
        <v>-</v>
      </c>
      <c r="M71" s="41" t="str">
        <f t="shared" si="6"/>
        <v>-</v>
      </c>
      <c r="O71" s="41" t="str">
        <f t="shared" si="7"/>
        <v>-</v>
      </c>
    </row>
    <row r="72" spans="1:15" x14ac:dyDescent="0.3">
      <c r="A72" s="4" t="s">
        <v>669</v>
      </c>
      <c r="B72" s="3">
        <v>810014678498</v>
      </c>
      <c r="C72" s="2" t="s">
        <v>853</v>
      </c>
      <c r="D72" s="30">
        <v>0.1</v>
      </c>
      <c r="E72" s="20">
        <v>10.657500000000001</v>
      </c>
      <c r="F72" s="27"/>
      <c r="G72" s="23">
        <f t="shared" si="4"/>
        <v>0</v>
      </c>
      <c r="J72" s="39" t="str">
        <f>IFERROR(IF($J$2*D72=0, "-", $J$2*D72), "-")</f>
        <v>-</v>
      </c>
      <c r="K72" s="39" t="str">
        <f t="shared" si="5"/>
        <v>-</v>
      </c>
      <c r="L72" s="40" t="str">
        <f>IF(F72&gt;0,F72*D72, "-")</f>
        <v>-</v>
      </c>
      <c r="M72" s="41" t="str">
        <f t="shared" si="6"/>
        <v>-</v>
      </c>
      <c r="O72" s="41" t="str">
        <f t="shared" si="7"/>
        <v>-</v>
      </c>
    </row>
    <row r="73" spans="1:15" x14ac:dyDescent="0.3">
      <c r="A73" s="4" t="s">
        <v>102</v>
      </c>
      <c r="B73" s="3">
        <v>810014674643</v>
      </c>
      <c r="C73" s="2" t="s">
        <v>854</v>
      </c>
      <c r="D73" s="30">
        <v>0.09</v>
      </c>
      <c r="E73" s="20">
        <v>10.657500000000001</v>
      </c>
      <c r="F73" s="27"/>
      <c r="G73" s="23">
        <f t="shared" si="4"/>
        <v>0</v>
      </c>
      <c r="J73" s="39" t="str">
        <f>IFERROR(IF($J$2*D73=0, "-", $J$2*D73), "-")</f>
        <v>-</v>
      </c>
      <c r="K73" s="39" t="str">
        <f t="shared" si="5"/>
        <v>-</v>
      </c>
      <c r="L73" s="40" t="str">
        <f>IF(F73&gt;0,F73*D73, "-")</f>
        <v>-</v>
      </c>
      <c r="M73" s="41" t="str">
        <f t="shared" si="6"/>
        <v>-</v>
      </c>
      <c r="O73" s="41" t="str">
        <f t="shared" si="7"/>
        <v>-</v>
      </c>
    </row>
    <row r="74" spans="1:15" x14ac:dyDescent="0.3">
      <c r="A74" s="4" t="s">
        <v>458</v>
      </c>
      <c r="B74" s="3">
        <v>810014674308</v>
      </c>
      <c r="C74" s="2" t="s">
        <v>855</v>
      </c>
      <c r="D74" s="30">
        <v>0.1</v>
      </c>
      <c r="E74" s="20">
        <v>10.657500000000001</v>
      </c>
      <c r="F74" s="27"/>
      <c r="G74" s="23">
        <f t="shared" si="4"/>
        <v>0</v>
      </c>
      <c r="J74" s="39" t="str">
        <f>IFERROR(IF($J$2*D74=0, "-", $J$2*D74), "-")</f>
        <v>-</v>
      </c>
      <c r="K74" s="39" t="str">
        <f t="shared" si="5"/>
        <v>-</v>
      </c>
      <c r="L74" s="40" t="str">
        <f>IF(F74&gt;0,F74*D74, "-")</f>
        <v>-</v>
      </c>
      <c r="M74" s="41" t="str">
        <f t="shared" si="6"/>
        <v>-</v>
      </c>
      <c r="O74" s="41" t="str">
        <f t="shared" si="7"/>
        <v>-</v>
      </c>
    </row>
    <row r="75" spans="1:15" x14ac:dyDescent="0.3">
      <c r="A75" s="4" t="s">
        <v>856</v>
      </c>
      <c r="B75" s="3">
        <v>810139576914</v>
      </c>
      <c r="C75" s="2" t="s">
        <v>857</v>
      </c>
      <c r="D75" s="30">
        <v>0.1</v>
      </c>
      <c r="E75" s="20">
        <v>10.657500000000001</v>
      </c>
      <c r="F75" s="27"/>
      <c r="G75" s="23">
        <f t="shared" si="4"/>
        <v>0</v>
      </c>
      <c r="J75" s="39" t="str">
        <f>IFERROR(IF($J$2*D75=0, "-", $J$2*D75), "-")</f>
        <v>-</v>
      </c>
      <c r="K75" s="39" t="str">
        <f t="shared" si="5"/>
        <v>-</v>
      </c>
      <c r="L75" s="40" t="str">
        <f>IF(F75&gt;0,F75*D75, "-")</f>
        <v>-</v>
      </c>
      <c r="M75" s="41" t="str">
        <f t="shared" si="6"/>
        <v>-</v>
      </c>
      <c r="O75" s="41" t="str">
        <f t="shared" si="7"/>
        <v>-</v>
      </c>
    </row>
    <row r="76" spans="1:15" x14ac:dyDescent="0.3">
      <c r="A76" s="4" t="s">
        <v>858</v>
      </c>
      <c r="B76" s="3">
        <v>810139576259</v>
      </c>
      <c r="C76" s="2" t="s">
        <v>859</v>
      </c>
      <c r="D76" s="30">
        <v>0.12</v>
      </c>
      <c r="E76" s="20">
        <v>10.657500000000001</v>
      </c>
      <c r="F76" s="27"/>
      <c r="G76" s="23">
        <f t="shared" si="4"/>
        <v>0</v>
      </c>
      <c r="J76" s="39" t="str">
        <f>IFERROR(IF($J$2*D76=0, "-", $J$2*D76), "-")</f>
        <v>-</v>
      </c>
      <c r="K76" s="39" t="str">
        <f t="shared" si="5"/>
        <v>-</v>
      </c>
      <c r="L76" s="40" t="str">
        <f>IF(F76&gt;0,F76*D76, "-")</f>
        <v>-</v>
      </c>
      <c r="M76" s="41" t="str">
        <f t="shared" si="6"/>
        <v>-</v>
      </c>
      <c r="O76" s="41" t="str">
        <f t="shared" si="7"/>
        <v>-</v>
      </c>
    </row>
    <row r="77" spans="1:15" x14ac:dyDescent="0.3">
      <c r="A77" s="4" t="s">
        <v>860</v>
      </c>
      <c r="B77" s="3">
        <v>810139572534</v>
      </c>
      <c r="C77" s="2" t="s">
        <v>861</v>
      </c>
      <c r="D77" s="30">
        <v>0.09</v>
      </c>
      <c r="E77" s="20">
        <v>10.657500000000001</v>
      </c>
      <c r="F77" s="27"/>
      <c r="G77" s="23">
        <f t="shared" si="4"/>
        <v>0</v>
      </c>
      <c r="J77" s="39" t="str">
        <f>IFERROR(IF($J$2*D77=0, "-", $J$2*D77), "-")</f>
        <v>-</v>
      </c>
      <c r="K77" s="39" t="str">
        <f t="shared" si="5"/>
        <v>-</v>
      </c>
      <c r="L77" s="40" t="str">
        <f>IF(F77&gt;0,F77*D77, "-")</f>
        <v>-</v>
      </c>
      <c r="M77" s="41" t="str">
        <f t="shared" si="6"/>
        <v>-</v>
      </c>
      <c r="O77" s="41" t="str">
        <f t="shared" si="7"/>
        <v>-</v>
      </c>
    </row>
    <row r="78" spans="1:15" x14ac:dyDescent="0.3">
      <c r="A78" s="4" t="s">
        <v>862</v>
      </c>
      <c r="B78" s="3">
        <v>810139577621</v>
      </c>
      <c r="C78" s="2" t="s">
        <v>863</v>
      </c>
      <c r="D78" s="30">
        <v>0.09</v>
      </c>
      <c r="E78" s="20">
        <v>10.657500000000001</v>
      </c>
      <c r="F78" s="27"/>
      <c r="G78" s="23">
        <f t="shared" si="4"/>
        <v>0</v>
      </c>
      <c r="J78" s="39" t="str">
        <f>IFERROR(IF($J$2*D78=0, "-", $J$2*D78), "-")</f>
        <v>-</v>
      </c>
      <c r="K78" s="39" t="str">
        <f t="shared" si="5"/>
        <v>-</v>
      </c>
      <c r="L78" s="40" t="str">
        <f>IF(F78&gt;0,F78*D78, "-")</f>
        <v>-</v>
      </c>
      <c r="M78" s="41" t="str">
        <f t="shared" si="6"/>
        <v>-</v>
      </c>
      <c r="O78" s="41" t="str">
        <f t="shared" si="7"/>
        <v>-</v>
      </c>
    </row>
    <row r="79" spans="1:15" x14ac:dyDescent="0.3">
      <c r="A79" s="4" t="s">
        <v>864</v>
      </c>
      <c r="B79" s="3">
        <v>810139576068</v>
      </c>
      <c r="C79" s="2" t="s">
        <v>865</v>
      </c>
      <c r="D79" s="30">
        <v>0.1</v>
      </c>
      <c r="E79" s="20">
        <v>11.038125000000001</v>
      </c>
      <c r="F79" s="27"/>
      <c r="G79" s="23">
        <f t="shared" si="4"/>
        <v>0</v>
      </c>
      <c r="J79" s="39" t="str">
        <f>IFERROR(IF($J$2*D79=0, "-", $J$2*D79), "-")</f>
        <v>-</v>
      </c>
      <c r="K79" s="39" t="str">
        <f t="shared" si="5"/>
        <v>-</v>
      </c>
      <c r="L79" s="40" t="str">
        <f>IF(F79&gt;0,F79*D79, "-")</f>
        <v>-</v>
      </c>
      <c r="M79" s="41" t="str">
        <f t="shared" si="6"/>
        <v>-</v>
      </c>
      <c r="O79" s="41" t="str">
        <f t="shared" si="7"/>
        <v>-</v>
      </c>
    </row>
    <row r="80" spans="1:15" x14ac:dyDescent="0.3">
      <c r="A80" s="4" t="s">
        <v>866</v>
      </c>
      <c r="B80" s="3">
        <v>810139576686</v>
      </c>
      <c r="C80" s="2" t="s">
        <v>867</v>
      </c>
      <c r="D80" s="30">
        <v>0.09</v>
      </c>
      <c r="E80" s="20">
        <v>11.038125000000001</v>
      </c>
      <c r="F80" s="27"/>
      <c r="G80" s="23">
        <f t="shared" si="4"/>
        <v>0</v>
      </c>
      <c r="J80" s="39" t="str">
        <f>IFERROR(IF($J$2*D80=0, "-", $J$2*D80), "-")</f>
        <v>-</v>
      </c>
      <c r="K80" s="39" t="str">
        <f t="shared" si="5"/>
        <v>-</v>
      </c>
      <c r="L80" s="40" t="str">
        <f>IF(F80&gt;0,F80*D80, "-")</f>
        <v>-</v>
      </c>
      <c r="M80" s="41" t="str">
        <f t="shared" si="6"/>
        <v>-</v>
      </c>
      <c r="O80" s="41" t="str">
        <f t="shared" si="7"/>
        <v>-</v>
      </c>
    </row>
    <row r="81" spans="1:15" x14ac:dyDescent="0.3">
      <c r="A81" s="4" t="s">
        <v>537</v>
      </c>
      <c r="B81" s="3">
        <v>810139570738</v>
      </c>
      <c r="C81" s="2" t="s">
        <v>868</v>
      </c>
      <c r="D81" s="30">
        <v>0.47</v>
      </c>
      <c r="E81" s="20">
        <v>11.418749999999999</v>
      </c>
      <c r="F81" s="27"/>
      <c r="G81" s="23">
        <f t="shared" si="4"/>
        <v>0</v>
      </c>
      <c r="J81" s="39" t="str">
        <f>IFERROR(IF($J$2*D81=0, "-", $J$2*D81), "-")</f>
        <v>-</v>
      </c>
      <c r="K81" s="39" t="str">
        <f t="shared" si="5"/>
        <v>-</v>
      </c>
      <c r="L81" s="40" t="str">
        <f>IF(F81&gt;0,F81*D81, "-")</f>
        <v>-</v>
      </c>
      <c r="M81" s="41" t="str">
        <f t="shared" si="6"/>
        <v>-</v>
      </c>
      <c r="O81" s="41" t="str">
        <f t="shared" si="7"/>
        <v>-</v>
      </c>
    </row>
    <row r="82" spans="1:15" x14ac:dyDescent="0.3">
      <c r="A82" s="4" t="s">
        <v>869</v>
      </c>
      <c r="B82" s="3">
        <v>810139573180</v>
      </c>
      <c r="C82" s="2" t="s">
        <v>870</v>
      </c>
      <c r="D82" s="30">
        <v>0.09</v>
      </c>
      <c r="E82" s="20">
        <v>11.418749999999999</v>
      </c>
      <c r="F82" s="27"/>
      <c r="G82" s="23">
        <f t="shared" si="4"/>
        <v>0</v>
      </c>
      <c r="J82" s="39" t="str">
        <f>IFERROR(IF($J$2*D82=0, "-", $J$2*D82), "-")</f>
        <v>-</v>
      </c>
      <c r="K82" s="39" t="str">
        <f t="shared" si="5"/>
        <v>-</v>
      </c>
      <c r="L82" s="40" t="str">
        <f>IF(F82&gt;0,F82*D82, "-")</f>
        <v>-</v>
      </c>
      <c r="M82" s="41" t="str">
        <f t="shared" si="6"/>
        <v>-</v>
      </c>
      <c r="O82" s="41" t="str">
        <f t="shared" si="7"/>
        <v>-</v>
      </c>
    </row>
    <row r="83" spans="1:15" x14ac:dyDescent="0.3">
      <c r="A83" s="4" t="s">
        <v>347</v>
      </c>
      <c r="B83" s="3">
        <v>810014672519</v>
      </c>
      <c r="C83" s="2" t="s">
        <v>871</v>
      </c>
      <c r="D83" s="30">
        <v>0.32</v>
      </c>
      <c r="E83" s="20">
        <v>11.418749999999999</v>
      </c>
      <c r="F83" s="27"/>
      <c r="G83" s="23">
        <f t="shared" si="4"/>
        <v>0</v>
      </c>
      <c r="J83" s="39" t="str">
        <f>IFERROR(IF($J$2*D83=0, "-", $J$2*D83), "-")</f>
        <v>-</v>
      </c>
      <c r="K83" s="39" t="str">
        <f t="shared" si="5"/>
        <v>-</v>
      </c>
      <c r="L83" s="40" t="str">
        <f>IF(F83&gt;0,F83*D83, "-")</f>
        <v>-</v>
      </c>
      <c r="M83" s="41" t="str">
        <f t="shared" si="6"/>
        <v>-</v>
      </c>
      <c r="O83" s="41" t="str">
        <f t="shared" si="7"/>
        <v>-</v>
      </c>
    </row>
    <row r="84" spans="1:15" x14ac:dyDescent="0.3">
      <c r="A84" s="4" t="s">
        <v>403</v>
      </c>
      <c r="B84" s="3">
        <v>810139572299</v>
      </c>
      <c r="C84" s="2" t="s">
        <v>872</v>
      </c>
      <c r="D84" s="30">
        <v>0.25</v>
      </c>
      <c r="E84" s="20">
        <v>11.418749999999999</v>
      </c>
      <c r="F84" s="27"/>
      <c r="G84" s="23">
        <f t="shared" si="4"/>
        <v>0</v>
      </c>
      <c r="J84" s="39" t="str">
        <f>IFERROR(IF($J$2*D84=0, "-", $J$2*D84), "-")</f>
        <v>-</v>
      </c>
      <c r="K84" s="39" t="str">
        <f t="shared" si="5"/>
        <v>-</v>
      </c>
      <c r="L84" s="40" t="str">
        <f>IF(F84&gt;0,F84*D84, "-")</f>
        <v>-</v>
      </c>
      <c r="M84" s="41" t="str">
        <f t="shared" si="6"/>
        <v>-</v>
      </c>
      <c r="O84" s="41" t="str">
        <f t="shared" si="7"/>
        <v>-</v>
      </c>
    </row>
    <row r="85" spans="1:15" x14ac:dyDescent="0.3">
      <c r="A85" s="4" t="s">
        <v>435</v>
      </c>
      <c r="B85" s="3">
        <v>810139573173</v>
      </c>
      <c r="C85" s="2" t="s">
        <v>873</v>
      </c>
      <c r="D85" s="30">
        <v>0.35</v>
      </c>
      <c r="E85" s="20">
        <v>11.418749999999999</v>
      </c>
      <c r="F85" s="27"/>
      <c r="G85" s="23">
        <f t="shared" si="4"/>
        <v>0</v>
      </c>
      <c r="J85" s="39" t="str">
        <f>IFERROR(IF($J$2*D85=0, "-", $J$2*D85), "-")</f>
        <v>-</v>
      </c>
      <c r="K85" s="39" t="str">
        <f t="shared" si="5"/>
        <v>-</v>
      </c>
      <c r="L85" s="40" t="str">
        <f>IF(F85&gt;0,F85*D85, "-")</f>
        <v>-</v>
      </c>
      <c r="M85" s="41" t="str">
        <f t="shared" si="6"/>
        <v>-</v>
      </c>
      <c r="O85" s="41" t="str">
        <f t="shared" si="7"/>
        <v>-</v>
      </c>
    </row>
    <row r="86" spans="1:15" x14ac:dyDescent="0.3">
      <c r="A86" s="4" t="s">
        <v>173</v>
      </c>
      <c r="B86" s="3">
        <v>810014678429</v>
      </c>
      <c r="C86" s="2" t="s">
        <v>874</v>
      </c>
      <c r="D86" s="30">
        <v>0.23</v>
      </c>
      <c r="E86" s="20">
        <v>11.418749999999999</v>
      </c>
      <c r="F86" s="27"/>
      <c r="G86" s="23">
        <f t="shared" si="4"/>
        <v>0</v>
      </c>
      <c r="J86" s="39" t="str">
        <f>IFERROR(IF($J$2*D86=0, "-", $J$2*D86), "-")</f>
        <v>-</v>
      </c>
      <c r="K86" s="39" t="str">
        <f t="shared" si="5"/>
        <v>-</v>
      </c>
      <c r="L86" s="40" t="str">
        <f>IF(F86&gt;0,F86*D86, "-")</f>
        <v>-</v>
      </c>
      <c r="M86" s="41" t="str">
        <f t="shared" si="6"/>
        <v>-</v>
      </c>
      <c r="O86" s="41" t="str">
        <f t="shared" si="7"/>
        <v>-</v>
      </c>
    </row>
    <row r="87" spans="1:15" x14ac:dyDescent="0.3">
      <c r="A87" s="4" t="s">
        <v>286</v>
      </c>
      <c r="B87" s="3">
        <v>857077008800</v>
      </c>
      <c r="C87" s="2" t="s">
        <v>875</v>
      </c>
      <c r="D87" s="30">
        <v>0.21</v>
      </c>
      <c r="E87" s="20">
        <v>11.418749999999999</v>
      </c>
      <c r="F87" s="27"/>
      <c r="G87" s="23">
        <f t="shared" si="4"/>
        <v>0</v>
      </c>
      <c r="J87" s="39" t="str">
        <f>IFERROR(IF($J$2*D87=0, "-", $J$2*D87), "-")</f>
        <v>-</v>
      </c>
      <c r="K87" s="39" t="str">
        <f t="shared" si="5"/>
        <v>-</v>
      </c>
      <c r="L87" s="40" t="str">
        <f>IF(F87&gt;0,F87*D87, "-")</f>
        <v>-</v>
      </c>
      <c r="M87" s="41" t="str">
        <f t="shared" si="6"/>
        <v>-</v>
      </c>
      <c r="O87" s="41" t="str">
        <f t="shared" si="7"/>
        <v>-</v>
      </c>
    </row>
    <row r="88" spans="1:15" x14ac:dyDescent="0.3">
      <c r="A88" s="4" t="s">
        <v>876</v>
      </c>
      <c r="B88" s="3">
        <v>810139572381</v>
      </c>
      <c r="C88" s="2" t="s">
        <v>877</v>
      </c>
      <c r="D88" s="30">
        <v>0.1</v>
      </c>
      <c r="E88" s="20">
        <v>11.418749999999999</v>
      </c>
      <c r="F88" s="27"/>
      <c r="G88" s="23">
        <f t="shared" si="4"/>
        <v>0</v>
      </c>
      <c r="J88" s="39" t="str">
        <f>IFERROR(IF($J$2*D88=0, "-", $J$2*D88), "-")</f>
        <v>-</v>
      </c>
      <c r="K88" s="39" t="str">
        <f t="shared" si="5"/>
        <v>-</v>
      </c>
      <c r="L88" s="40" t="str">
        <f>IF(F88&gt;0,F88*D88, "-")</f>
        <v>-</v>
      </c>
      <c r="M88" s="41" t="str">
        <f t="shared" si="6"/>
        <v>-</v>
      </c>
      <c r="O88" s="41" t="str">
        <f t="shared" si="7"/>
        <v>-</v>
      </c>
    </row>
    <row r="89" spans="1:15" x14ac:dyDescent="0.3">
      <c r="A89" s="4" t="s">
        <v>878</v>
      </c>
      <c r="B89" s="3">
        <v>810139576716</v>
      </c>
      <c r="C89" s="2" t="s">
        <v>879</v>
      </c>
      <c r="D89" s="30">
        <v>0.16</v>
      </c>
      <c r="E89" s="20">
        <v>11.418749999999999</v>
      </c>
      <c r="F89" s="27"/>
      <c r="G89" s="23">
        <f t="shared" si="4"/>
        <v>0</v>
      </c>
      <c r="J89" s="39" t="str">
        <f>IFERROR(IF($J$2*D89=0, "-", $J$2*D89), "-")</f>
        <v>-</v>
      </c>
      <c r="K89" s="39" t="str">
        <f t="shared" si="5"/>
        <v>-</v>
      </c>
      <c r="L89" s="40" t="str">
        <f>IF(F89&gt;0,F89*D89, "-")</f>
        <v>-</v>
      </c>
      <c r="M89" s="41" t="str">
        <f t="shared" si="6"/>
        <v>-</v>
      </c>
      <c r="O89" s="41" t="str">
        <f t="shared" si="7"/>
        <v>-</v>
      </c>
    </row>
    <row r="90" spans="1:15" x14ac:dyDescent="0.3">
      <c r="A90" s="4" t="s">
        <v>880</v>
      </c>
      <c r="B90" s="3">
        <v>810139575221</v>
      </c>
      <c r="C90" s="2" t="s">
        <v>881</v>
      </c>
      <c r="D90" s="30">
        <v>0.27</v>
      </c>
      <c r="E90" s="20">
        <v>11.418749999999999</v>
      </c>
      <c r="F90" s="27"/>
      <c r="G90" s="23">
        <f t="shared" si="4"/>
        <v>0</v>
      </c>
      <c r="J90" s="39" t="str">
        <f>IFERROR(IF($J$2*D90=0, "-", $J$2*D90), "-")</f>
        <v>-</v>
      </c>
      <c r="K90" s="39" t="str">
        <f t="shared" si="5"/>
        <v>-</v>
      </c>
      <c r="L90" s="40" t="str">
        <f>IF(F90&gt;0,F90*D90, "-")</f>
        <v>-</v>
      </c>
      <c r="M90" s="41" t="str">
        <f t="shared" si="6"/>
        <v>-</v>
      </c>
      <c r="O90" s="41" t="str">
        <f t="shared" si="7"/>
        <v>-</v>
      </c>
    </row>
    <row r="91" spans="1:15" x14ac:dyDescent="0.3">
      <c r="A91" s="4" t="s">
        <v>250</v>
      </c>
      <c r="B91" s="3">
        <v>857077008848</v>
      </c>
      <c r="C91" s="2" t="s">
        <v>882</v>
      </c>
      <c r="D91" s="30">
        <v>0.16</v>
      </c>
      <c r="E91" s="20">
        <v>11.418749999999999</v>
      </c>
      <c r="F91" s="27"/>
      <c r="G91" s="23">
        <f t="shared" si="4"/>
        <v>0</v>
      </c>
      <c r="J91" s="39" t="str">
        <f>IFERROR(IF($J$2*D91=0, "-", $J$2*D91), "-")</f>
        <v>-</v>
      </c>
      <c r="K91" s="39" t="str">
        <f t="shared" si="5"/>
        <v>-</v>
      </c>
      <c r="L91" s="40" t="str">
        <f>IF(F91&gt;0,F91*D91, "-")</f>
        <v>-</v>
      </c>
      <c r="M91" s="41" t="str">
        <f t="shared" si="6"/>
        <v>-</v>
      </c>
      <c r="O91" s="41" t="str">
        <f t="shared" si="7"/>
        <v>-</v>
      </c>
    </row>
    <row r="92" spans="1:15" x14ac:dyDescent="0.3">
      <c r="A92" s="4" t="s">
        <v>615</v>
      </c>
      <c r="B92" s="3">
        <v>810139570820</v>
      </c>
      <c r="C92" s="2" t="s">
        <v>883</v>
      </c>
      <c r="D92" s="30">
        <v>0.14000000000000001</v>
      </c>
      <c r="E92" s="20">
        <v>11.418749999999999</v>
      </c>
      <c r="F92" s="27"/>
      <c r="G92" s="23">
        <f t="shared" si="4"/>
        <v>0</v>
      </c>
      <c r="J92" s="39" t="str">
        <f>IFERROR(IF($J$2*D92=0, "-", $J$2*D92), "-")</f>
        <v>-</v>
      </c>
      <c r="K92" s="39" t="str">
        <f t="shared" si="5"/>
        <v>-</v>
      </c>
      <c r="L92" s="40" t="str">
        <f>IF(F92&gt;0,F92*D92, "-")</f>
        <v>-</v>
      </c>
      <c r="M92" s="41" t="str">
        <f t="shared" si="6"/>
        <v>-</v>
      </c>
      <c r="O92" s="41" t="str">
        <f t="shared" si="7"/>
        <v>-</v>
      </c>
    </row>
    <row r="93" spans="1:15" x14ac:dyDescent="0.3">
      <c r="A93" s="4" t="s">
        <v>447</v>
      </c>
      <c r="B93" s="3">
        <v>857077008053</v>
      </c>
      <c r="C93" s="2" t="s">
        <v>884</v>
      </c>
      <c r="D93" s="30">
        <v>0.2</v>
      </c>
      <c r="E93" s="20">
        <v>11.418749999999999</v>
      </c>
      <c r="F93" s="27"/>
      <c r="G93" s="23">
        <f t="shared" si="4"/>
        <v>0</v>
      </c>
      <c r="J93" s="39" t="str">
        <f>IFERROR(IF($J$2*D93=0, "-", $J$2*D93), "-")</f>
        <v>-</v>
      </c>
      <c r="K93" s="39" t="str">
        <f t="shared" si="5"/>
        <v>-</v>
      </c>
      <c r="L93" s="40" t="str">
        <f>IF(F93&gt;0,F93*D93, "-")</f>
        <v>-</v>
      </c>
      <c r="M93" s="41" t="str">
        <f t="shared" si="6"/>
        <v>-</v>
      </c>
      <c r="O93" s="41" t="str">
        <f t="shared" si="7"/>
        <v>-</v>
      </c>
    </row>
    <row r="94" spans="1:15" x14ac:dyDescent="0.3">
      <c r="A94" s="4" t="s">
        <v>885</v>
      </c>
      <c r="B94" s="3">
        <v>810139574484</v>
      </c>
      <c r="C94" s="2" t="s">
        <v>886</v>
      </c>
      <c r="D94" s="30">
        <v>0.22</v>
      </c>
      <c r="E94" s="20">
        <v>11.418749999999999</v>
      </c>
      <c r="F94" s="27"/>
      <c r="G94" s="23">
        <f t="shared" si="4"/>
        <v>0</v>
      </c>
      <c r="J94" s="39" t="str">
        <f>IFERROR(IF($J$2*D94=0, "-", $J$2*D94), "-")</f>
        <v>-</v>
      </c>
      <c r="K94" s="39" t="str">
        <f t="shared" si="5"/>
        <v>-</v>
      </c>
      <c r="L94" s="40" t="str">
        <f>IF(F94&gt;0,F94*D94, "-")</f>
        <v>-</v>
      </c>
      <c r="M94" s="41" t="str">
        <f t="shared" si="6"/>
        <v>-</v>
      </c>
      <c r="O94" s="41" t="str">
        <f t="shared" si="7"/>
        <v>-</v>
      </c>
    </row>
    <row r="95" spans="1:15" x14ac:dyDescent="0.3">
      <c r="A95" s="4" t="s">
        <v>641</v>
      </c>
      <c r="B95" s="3">
        <v>810014679518</v>
      </c>
      <c r="C95" s="2" t="s">
        <v>887</v>
      </c>
      <c r="D95" s="30">
        <v>0.16</v>
      </c>
      <c r="E95" s="20">
        <v>11.418749999999999</v>
      </c>
      <c r="F95" s="27"/>
      <c r="G95" s="23">
        <f t="shared" si="4"/>
        <v>0</v>
      </c>
      <c r="J95" s="39" t="str">
        <f>IFERROR(IF($J$2*D95=0, "-", $J$2*D95), "-")</f>
        <v>-</v>
      </c>
      <c r="K95" s="39" t="str">
        <f t="shared" si="5"/>
        <v>-</v>
      </c>
      <c r="L95" s="40" t="str">
        <f>IF(F95&gt;0,F95*D95, "-")</f>
        <v>-</v>
      </c>
      <c r="M95" s="41" t="str">
        <f t="shared" si="6"/>
        <v>-</v>
      </c>
      <c r="O95" s="41" t="str">
        <f t="shared" si="7"/>
        <v>-</v>
      </c>
    </row>
    <row r="96" spans="1:15" x14ac:dyDescent="0.3">
      <c r="A96" s="4" t="s">
        <v>236</v>
      </c>
      <c r="B96" s="3">
        <v>810139573012</v>
      </c>
      <c r="C96" s="2" t="s">
        <v>888</v>
      </c>
      <c r="D96" s="30">
        <v>0.16</v>
      </c>
      <c r="E96" s="20">
        <v>11.418749999999999</v>
      </c>
      <c r="F96" s="27"/>
      <c r="G96" s="23">
        <f t="shared" si="4"/>
        <v>0</v>
      </c>
      <c r="J96" s="39" t="str">
        <f>IFERROR(IF($J$2*D96=0, "-", $J$2*D96), "-")</f>
        <v>-</v>
      </c>
      <c r="K96" s="39" t="str">
        <f t="shared" si="5"/>
        <v>-</v>
      </c>
      <c r="L96" s="40" t="str">
        <f>IF(F96&gt;0,F96*D96, "-")</f>
        <v>-</v>
      </c>
      <c r="M96" s="41" t="str">
        <f t="shared" si="6"/>
        <v>-</v>
      </c>
      <c r="O96" s="41" t="str">
        <f t="shared" si="7"/>
        <v>-</v>
      </c>
    </row>
    <row r="97" spans="1:15" x14ac:dyDescent="0.3">
      <c r="A97" s="4" t="s">
        <v>644</v>
      </c>
      <c r="B97" s="3">
        <v>810139572763</v>
      </c>
      <c r="C97" s="2" t="s">
        <v>889</v>
      </c>
      <c r="D97" s="30">
        <v>0.16</v>
      </c>
      <c r="E97" s="20">
        <v>11.418749999999999</v>
      </c>
      <c r="F97" s="27"/>
      <c r="G97" s="23">
        <f t="shared" si="4"/>
        <v>0</v>
      </c>
      <c r="J97" s="39" t="str">
        <f>IFERROR(IF($J$2*D97=0, "-", $J$2*D97), "-")</f>
        <v>-</v>
      </c>
      <c r="K97" s="39" t="str">
        <f t="shared" si="5"/>
        <v>-</v>
      </c>
      <c r="L97" s="40" t="str">
        <f>IF(F97&gt;0,F97*D97, "-")</f>
        <v>-</v>
      </c>
      <c r="M97" s="41" t="str">
        <f t="shared" si="6"/>
        <v>-</v>
      </c>
      <c r="O97" s="41" t="str">
        <f t="shared" si="7"/>
        <v>-</v>
      </c>
    </row>
    <row r="98" spans="1:15" x14ac:dyDescent="0.3">
      <c r="A98" s="4" t="s">
        <v>673</v>
      </c>
      <c r="B98" s="3">
        <v>857077008862</v>
      </c>
      <c r="C98" s="2" t="s">
        <v>890</v>
      </c>
      <c r="D98" s="30">
        <v>0.13</v>
      </c>
      <c r="E98" s="20">
        <v>11.418749999999999</v>
      </c>
      <c r="F98" s="27"/>
      <c r="G98" s="23">
        <f t="shared" si="4"/>
        <v>0</v>
      </c>
      <c r="J98" s="39" t="str">
        <f>IFERROR(IF($J$2*D98=0, "-", $J$2*D98), "-")</f>
        <v>-</v>
      </c>
      <c r="K98" s="39" t="str">
        <f t="shared" si="5"/>
        <v>-</v>
      </c>
      <c r="L98" s="40" t="str">
        <f>IF(F98&gt;0,F98*D98, "-")</f>
        <v>-</v>
      </c>
      <c r="M98" s="41" t="str">
        <f t="shared" si="6"/>
        <v>-</v>
      </c>
      <c r="O98" s="41" t="str">
        <f t="shared" si="7"/>
        <v>-</v>
      </c>
    </row>
    <row r="99" spans="1:15" x14ac:dyDescent="0.3">
      <c r="A99" s="4" t="s">
        <v>891</v>
      </c>
      <c r="B99" s="3">
        <v>810139577614</v>
      </c>
      <c r="C99" s="2" t="s">
        <v>892</v>
      </c>
      <c r="D99" s="30">
        <v>0.17</v>
      </c>
      <c r="E99" s="20">
        <v>11.418749999999999</v>
      </c>
      <c r="F99" s="27"/>
      <c r="G99" s="23">
        <f t="shared" si="4"/>
        <v>0</v>
      </c>
      <c r="J99" s="39" t="str">
        <f>IFERROR(IF($J$2*D99=0, "-", $J$2*D99), "-")</f>
        <v>-</v>
      </c>
      <c r="K99" s="39" t="str">
        <f t="shared" si="5"/>
        <v>-</v>
      </c>
      <c r="L99" s="40" t="str">
        <f>IF(F99&gt;0,F99*D99, "-")</f>
        <v>-</v>
      </c>
      <c r="M99" s="41" t="str">
        <f t="shared" si="6"/>
        <v>-</v>
      </c>
      <c r="O99" s="41" t="str">
        <f t="shared" si="7"/>
        <v>-</v>
      </c>
    </row>
    <row r="100" spans="1:15" x14ac:dyDescent="0.3">
      <c r="A100" s="4" t="s">
        <v>893</v>
      </c>
      <c r="B100" s="3">
        <v>810139576440</v>
      </c>
      <c r="C100" s="2" t="s">
        <v>894</v>
      </c>
      <c r="D100" s="30">
        <v>0.16</v>
      </c>
      <c r="E100" s="20">
        <v>11.418749999999999</v>
      </c>
      <c r="F100" s="27"/>
      <c r="G100" s="23">
        <f t="shared" si="4"/>
        <v>0</v>
      </c>
      <c r="J100" s="39" t="str">
        <f>IFERROR(IF($J$2*D100=0, "-", $J$2*D100), "-")</f>
        <v>-</v>
      </c>
      <c r="K100" s="39" t="str">
        <f t="shared" si="5"/>
        <v>-</v>
      </c>
      <c r="L100" s="40" t="str">
        <f>IF(F100&gt;0,F100*D100, "-")</f>
        <v>-</v>
      </c>
      <c r="M100" s="41" t="str">
        <f t="shared" si="6"/>
        <v>-</v>
      </c>
      <c r="O100" s="41" t="str">
        <f t="shared" si="7"/>
        <v>-</v>
      </c>
    </row>
    <row r="101" spans="1:15" x14ac:dyDescent="0.3">
      <c r="A101" s="4" t="s">
        <v>668</v>
      </c>
      <c r="B101" s="3">
        <v>810014672137</v>
      </c>
      <c r="C101" s="2" t="s">
        <v>895</v>
      </c>
      <c r="D101" s="30">
        <v>0.18</v>
      </c>
      <c r="E101" s="20">
        <v>11.418749999999999</v>
      </c>
      <c r="F101" s="27"/>
      <c r="G101" s="23">
        <f t="shared" si="4"/>
        <v>0</v>
      </c>
      <c r="J101" s="39" t="str">
        <f>IFERROR(IF($J$2*D101=0, "-", $J$2*D101), "-")</f>
        <v>-</v>
      </c>
      <c r="K101" s="39" t="str">
        <f t="shared" si="5"/>
        <v>-</v>
      </c>
      <c r="L101" s="40" t="str">
        <f>IF(F101&gt;0,F101*D101, "-")</f>
        <v>-</v>
      </c>
      <c r="M101" s="41" t="str">
        <f t="shared" si="6"/>
        <v>-</v>
      </c>
      <c r="O101" s="41" t="str">
        <f t="shared" si="7"/>
        <v>-</v>
      </c>
    </row>
    <row r="102" spans="1:15" x14ac:dyDescent="0.3">
      <c r="A102" s="4" t="s">
        <v>896</v>
      </c>
      <c r="B102" s="3">
        <v>810139574668</v>
      </c>
      <c r="C102" s="2" t="s">
        <v>897</v>
      </c>
      <c r="D102" s="30">
        <v>0.13</v>
      </c>
      <c r="E102" s="20">
        <v>11.799375000000001</v>
      </c>
      <c r="F102" s="27"/>
      <c r="G102" s="23">
        <f t="shared" si="4"/>
        <v>0</v>
      </c>
      <c r="J102" s="39" t="str">
        <f>IFERROR(IF($J$2*D102=0, "-", $J$2*D102), "-")</f>
        <v>-</v>
      </c>
      <c r="K102" s="39" t="str">
        <f t="shared" si="5"/>
        <v>-</v>
      </c>
      <c r="L102" s="40" t="str">
        <f>IF(F102&gt;0,F102*D102, "-")</f>
        <v>-</v>
      </c>
      <c r="M102" s="41" t="str">
        <f t="shared" si="6"/>
        <v>-</v>
      </c>
      <c r="O102" s="41" t="str">
        <f t="shared" si="7"/>
        <v>-</v>
      </c>
    </row>
    <row r="103" spans="1:15" x14ac:dyDescent="0.3">
      <c r="A103" s="4" t="s">
        <v>898</v>
      </c>
      <c r="B103" s="3">
        <v>810014676135</v>
      </c>
      <c r="C103" s="2" t="s">
        <v>899</v>
      </c>
      <c r="D103" s="30">
        <v>0.18</v>
      </c>
      <c r="E103" s="20">
        <v>11.799375000000001</v>
      </c>
      <c r="F103" s="27"/>
      <c r="G103" s="23">
        <f t="shared" si="4"/>
        <v>0</v>
      </c>
      <c r="J103" s="39" t="str">
        <f>IFERROR(IF($J$2*D103=0, "-", $J$2*D103), "-")</f>
        <v>-</v>
      </c>
      <c r="K103" s="39" t="str">
        <f t="shared" si="5"/>
        <v>-</v>
      </c>
      <c r="L103" s="40" t="str">
        <f>IF(F103&gt;0,F103*D103, "-")</f>
        <v>-</v>
      </c>
      <c r="M103" s="41" t="str">
        <f t="shared" si="6"/>
        <v>-</v>
      </c>
      <c r="O103" s="41" t="str">
        <f t="shared" si="7"/>
        <v>-</v>
      </c>
    </row>
    <row r="104" spans="1:15" x14ac:dyDescent="0.3">
      <c r="A104" s="4" t="s">
        <v>460</v>
      </c>
      <c r="B104" s="3">
        <v>810014671413</v>
      </c>
      <c r="C104" s="2" t="s">
        <v>900</v>
      </c>
      <c r="D104" s="30">
        <v>0.13</v>
      </c>
      <c r="E104" s="20">
        <v>11.799375000000001</v>
      </c>
      <c r="F104" s="27"/>
      <c r="G104" s="23">
        <f t="shared" si="4"/>
        <v>0</v>
      </c>
      <c r="J104" s="39" t="str">
        <f>IFERROR(IF($J$2*D104=0, "-", $J$2*D104), "-")</f>
        <v>-</v>
      </c>
      <c r="K104" s="39" t="str">
        <f t="shared" si="5"/>
        <v>-</v>
      </c>
      <c r="L104" s="40" t="str">
        <f>IF(F104&gt;0,F104*D104, "-")</f>
        <v>-</v>
      </c>
      <c r="M104" s="41" t="str">
        <f t="shared" si="6"/>
        <v>-</v>
      </c>
      <c r="O104" s="41" t="str">
        <f t="shared" si="7"/>
        <v>-</v>
      </c>
    </row>
    <row r="105" spans="1:15" x14ac:dyDescent="0.3">
      <c r="A105" s="4" t="s">
        <v>157</v>
      </c>
      <c r="B105" s="3">
        <v>810014671406</v>
      </c>
      <c r="C105" s="2" t="s">
        <v>901</v>
      </c>
      <c r="D105" s="30">
        <v>0.14000000000000001</v>
      </c>
      <c r="E105" s="20">
        <v>11.799375000000001</v>
      </c>
      <c r="F105" s="27"/>
      <c r="G105" s="23">
        <f t="shared" si="4"/>
        <v>0</v>
      </c>
      <c r="J105" s="39" t="str">
        <f>IFERROR(IF($J$2*D105=0, "-", $J$2*D105), "-")</f>
        <v>-</v>
      </c>
      <c r="K105" s="39" t="str">
        <f t="shared" si="5"/>
        <v>-</v>
      </c>
      <c r="L105" s="40" t="str">
        <f>IF(F105&gt;0,F105*D105, "-")</f>
        <v>-</v>
      </c>
      <c r="M105" s="41" t="str">
        <f t="shared" si="6"/>
        <v>-</v>
      </c>
      <c r="O105" s="41" t="str">
        <f t="shared" si="7"/>
        <v>-</v>
      </c>
    </row>
    <row r="106" spans="1:15" x14ac:dyDescent="0.3">
      <c r="A106" s="4" t="s">
        <v>511</v>
      </c>
      <c r="B106" s="3">
        <v>810014671420</v>
      </c>
      <c r="C106" s="2" t="s">
        <v>902</v>
      </c>
      <c r="D106" s="30">
        <v>0.13</v>
      </c>
      <c r="E106" s="20">
        <v>11.799375000000001</v>
      </c>
      <c r="F106" s="27"/>
      <c r="G106" s="23">
        <f t="shared" si="4"/>
        <v>0</v>
      </c>
      <c r="J106" s="39" t="str">
        <f>IFERROR(IF($J$2*D106=0, "-", $J$2*D106), "-")</f>
        <v>-</v>
      </c>
      <c r="K106" s="39" t="str">
        <f t="shared" si="5"/>
        <v>-</v>
      </c>
      <c r="L106" s="40" t="str">
        <f>IF(F106&gt;0,F106*D106, "-")</f>
        <v>-</v>
      </c>
      <c r="M106" s="41" t="str">
        <f t="shared" si="6"/>
        <v>-</v>
      </c>
      <c r="O106" s="41" t="str">
        <f t="shared" si="7"/>
        <v>-</v>
      </c>
    </row>
    <row r="107" spans="1:15" x14ac:dyDescent="0.3">
      <c r="A107" s="4" t="s">
        <v>308</v>
      </c>
      <c r="B107" s="3">
        <v>810014673714</v>
      </c>
      <c r="C107" s="2" t="s">
        <v>903</v>
      </c>
      <c r="D107" s="30">
        <v>0.13</v>
      </c>
      <c r="E107" s="20">
        <v>11.799375000000001</v>
      </c>
      <c r="F107" s="27"/>
      <c r="G107" s="23">
        <f t="shared" si="4"/>
        <v>0</v>
      </c>
      <c r="J107" s="39" t="str">
        <f>IFERROR(IF($J$2*D107=0, "-", $J$2*D107), "-")</f>
        <v>-</v>
      </c>
      <c r="K107" s="39" t="str">
        <f t="shared" si="5"/>
        <v>-</v>
      </c>
      <c r="L107" s="40" t="str">
        <f>IF(F107&gt;0,F107*D107, "-")</f>
        <v>-</v>
      </c>
      <c r="M107" s="41" t="str">
        <f t="shared" si="6"/>
        <v>-</v>
      </c>
      <c r="O107" s="41" t="str">
        <f t="shared" si="7"/>
        <v>-</v>
      </c>
    </row>
    <row r="108" spans="1:15" x14ac:dyDescent="0.3">
      <c r="A108" s="4" t="s">
        <v>630</v>
      </c>
      <c r="B108" s="3">
        <v>810014674049</v>
      </c>
      <c r="C108" s="2" t="s">
        <v>904</v>
      </c>
      <c r="D108" s="30">
        <v>0.16</v>
      </c>
      <c r="E108" s="20">
        <v>11.799375000000001</v>
      </c>
      <c r="F108" s="27"/>
      <c r="G108" s="23">
        <f t="shared" si="4"/>
        <v>0</v>
      </c>
      <c r="J108" s="39" t="str">
        <f>IFERROR(IF($J$2*D108=0, "-", $J$2*D108), "-")</f>
        <v>-</v>
      </c>
      <c r="K108" s="39" t="str">
        <f t="shared" si="5"/>
        <v>-</v>
      </c>
      <c r="L108" s="40" t="str">
        <f>IF(F108&gt;0,F108*D108, "-")</f>
        <v>-</v>
      </c>
      <c r="M108" s="41" t="str">
        <f t="shared" si="6"/>
        <v>-</v>
      </c>
      <c r="O108" s="41" t="str">
        <f t="shared" si="7"/>
        <v>-</v>
      </c>
    </row>
    <row r="109" spans="1:15" x14ac:dyDescent="0.3">
      <c r="A109" s="4" t="s">
        <v>606</v>
      </c>
      <c r="B109" s="3">
        <v>810014674865</v>
      </c>
      <c r="C109" s="2" t="s">
        <v>905</v>
      </c>
      <c r="D109" s="30">
        <v>0.18</v>
      </c>
      <c r="E109" s="20">
        <v>11.799375000000001</v>
      </c>
      <c r="F109" s="27"/>
      <c r="G109" s="23">
        <f t="shared" si="4"/>
        <v>0</v>
      </c>
      <c r="J109" s="39" t="str">
        <f>IFERROR(IF($J$2*D109=0, "-", $J$2*D109), "-")</f>
        <v>-</v>
      </c>
      <c r="K109" s="39" t="str">
        <f t="shared" si="5"/>
        <v>-</v>
      </c>
      <c r="L109" s="40" t="str">
        <f>IF(F109&gt;0,F109*D109, "-")</f>
        <v>-</v>
      </c>
      <c r="M109" s="41" t="str">
        <f t="shared" si="6"/>
        <v>-</v>
      </c>
      <c r="O109" s="41" t="str">
        <f t="shared" si="7"/>
        <v>-</v>
      </c>
    </row>
    <row r="110" spans="1:15" x14ac:dyDescent="0.3">
      <c r="A110" s="4" t="s">
        <v>691</v>
      </c>
      <c r="B110" s="3">
        <v>810014674421</v>
      </c>
      <c r="C110" s="2" t="s">
        <v>906</v>
      </c>
      <c r="D110" s="30">
        <v>0.09</v>
      </c>
      <c r="E110" s="20">
        <v>11.799375000000001</v>
      </c>
      <c r="F110" s="27"/>
      <c r="G110" s="23">
        <f t="shared" si="4"/>
        <v>0</v>
      </c>
      <c r="J110" s="39" t="str">
        <f>IFERROR(IF($J$2*D110=0, "-", $J$2*D110), "-")</f>
        <v>-</v>
      </c>
      <c r="K110" s="39" t="str">
        <f t="shared" si="5"/>
        <v>-</v>
      </c>
      <c r="L110" s="40" t="str">
        <f>IF(F110&gt;0,F110*D110, "-")</f>
        <v>-</v>
      </c>
      <c r="M110" s="41" t="str">
        <f t="shared" si="6"/>
        <v>-</v>
      </c>
      <c r="O110" s="41" t="str">
        <f t="shared" si="7"/>
        <v>-</v>
      </c>
    </row>
    <row r="111" spans="1:15" x14ac:dyDescent="0.3">
      <c r="A111" s="4" t="s">
        <v>693</v>
      </c>
      <c r="B111" s="3">
        <v>810014674438</v>
      </c>
      <c r="C111" s="2" t="s">
        <v>907</v>
      </c>
      <c r="D111" s="30">
        <v>0.09</v>
      </c>
      <c r="E111" s="20">
        <v>11.799375000000001</v>
      </c>
      <c r="F111" s="27"/>
      <c r="G111" s="23">
        <f t="shared" si="4"/>
        <v>0</v>
      </c>
      <c r="J111" s="39" t="str">
        <f>IFERROR(IF($J$2*D111=0, "-", $J$2*D111), "-")</f>
        <v>-</v>
      </c>
      <c r="K111" s="39" t="str">
        <f t="shared" si="5"/>
        <v>-</v>
      </c>
      <c r="L111" s="40" t="str">
        <f>IF(F111&gt;0,F111*D111, "-")</f>
        <v>-</v>
      </c>
      <c r="M111" s="41" t="str">
        <f t="shared" si="6"/>
        <v>-</v>
      </c>
      <c r="O111" s="41" t="str">
        <f t="shared" si="7"/>
        <v>-</v>
      </c>
    </row>
    <row r="112" spans="1:15" x14ac:dyDescent="0.3">
      <c r="A112" s="4" t="s">
        <v>739</v>
      </c>
      <c r="B112" s="3">
        <v>810014671598</v>
      </c>
      <c r="C112" s="2" t="s">
        <v>908</v>
      </c>
      <c r="D112" s="30">
        <v>0.13</v>
      </c>
      <c r="E112" s="20">
        <v>11.799375000000001</v>
      </c>
      <c r="F112" s="27"/>
      <c r="G112" s="23">
        <f t="shared" si="4"/>
        <v>0</v>
      </c>
      <c r="J112" s="39" t="str">
        <f>IFERROR(IF($J$2*D112=0, "-", $J$2*D112), "-")</f>
        <v>-</v>
      </c>
      <c r="K112" s="39" t="str">
        <f t="shared" si="5"/>
        <v>-</v>
      </c>
      <c r="L112" s="40" t="str">
        <f>IF(F112&gt;0,F112*D112, "-")</f>
        <v>-</v>
      </c>
      <c r="M112" s="41" t="str">
        <f t="shared" si="6"/>
        <v>-</v>
      </c>
      <c r="O112" s="41" t="str">
        <f t="shared" si="7"/>
        <v>-</v>
      </c>
    </row>
    <row r="113" spans="1:15" x14ac:dyDescent="0.3">
      <c r="A113" s="4" t="s">
        <v>583</v>
      </c>
      <c r="B113" s="3">
        <v>810014675855</v>
      </c>
      <c r="C113" s="2" t="s">
        <v>909</v>
      </c>
      <c r="D113" s="30">
        <v>0.06</v>
      </c>
      <c r="E113" s="20">
        <v>11.799375000000001</v>
      </c>
      <c r="F113" s="27"/>
      <c r="G113" s="23">
        <f t="shared" si="4"/>
        <v>0</v>
      </c>
      <c r="J113" s="39" t="str">
        <f>IFERROR(IF($J$2*D113=0, "-", $J$2*D113), "-")</f>
        <v>-</v>
      </c>
      <c r="K113" s="39" t="str">
        <f t="shared" si="5"/>
        <v>-</v>
      </c>
      <c r="L113" s="40" t="str">
        <f>IF(F113&gt;0,F113*D113, "-")</f>
        <v>-</v>
      </c>
      <c r="M113" s="41" t="str">
        <f t="shared" si="6"/>
        <v>-</v>
      </c>
      <c r="O113" s="41" t="str">
        <f t="shared" si="7"/>
        <v>-</v>
      </c>
    </row>
    <row r="114" spans="1:15" x14ac:dyDescent="0.3">
      <c r="A114" s="4" t="s">
        <v>471</v>
      </c>
      <c r="B114" s="3">
        <v>810014675787</v>
      </c>
      <c r="C114" s="2" t="s">
        <v>910</v>
      </c>
      <c r="D114" s="30">
        <v>0.17</v>
      </c>
      <c r="E114" s="20">
        <v>11.799375000000001</v>
      </c>
      <c r="F114" s="27"/>
      <c r="G114" s="23">
        <f t="shared" si="4"/>
        <v>0</v>
      </c>
      <c r="J114" s="39" t="str">
        <f>IFERROR(IF($J$2*D114=0, "-", $J$2*D114), "-")</f>
        <v>-</v>
      </c>
      <c r="K114" s="39" t="str">
        <f t="shared" si="5"/>
        <v>-</v>
      </c>
      <c r="L114" s="40" t="str">
        <f>IF(F114&gt;0,F114*D114, "-")</f>
        <v>-</v>
      </c>
      <c r="M114" s="41" t="str">
        <f t="shared" si="6"/>
        <v>-</v>
      </c>
      <c r="O114" s="41" t="str">
        <f t="shared" si="7"/>
        <v>-</v>
      </c>
    </row>
    <row r="115" spans="1:15" x14ac:dyDescent="0.3">
      <c r="A115" s="4" t="s">
        <v>625</v>
      </c>
      <c r="B115" s="3">
        <v>810014672663</v>
      </c>
      <c r="C115" s="2" t="s">
        <v>911</v>
      </c>
      <c r="D115" s="30">
        <v>0.16</v>
      </c>
      <c r="E115" s="20">
        <v>11.799375000000001</v>
      </c>
      <c r="F115" s="27"/>
      <c r="G115" s="23">
        <f t="shared" si="4"/>
        <v>0</v>
      </c>
      <c r="J115" s="39" t="str">
        <f>IFERROR(IF($J$2*D115=0, "-", $J$2*D115), "-")</f>
        <v>-</v>
      </c>
      <c r="K115" s="39" t="str">
        <f t="shared" si="5"/>
        <v>-</v>
      </c>
      <c r="L115" s="40" t="str">
        <f>IF(F115&gt;0,F115*D115, "-")</f>
        <v>-</v>
      </c>
      <c r="M115" s="41" t="str">
        <f t="shared" si="6"/>
        <v>-</v>
      </c>
      <c r="O115" s="41" t="str">
        <f t="shared" si="7"/>
        <v>-</v>
      </c>
    </row>
    <row r="116" spans="1:15" x14ac:dyDescent="0.3">
      <c r="A116" s="4" t="s">
        <v>559</v>
      </c>
      <c r="B116" s="3">
        <v>810139570257</v>
      </c>
      <c r="C116" s="2" t="s">
        <v>912</v>
      </c>
      <c r="D116" s="30">
        <v>0.05</v>
      </c>
      <c r="E116" s="20">
        <v>11.799375000000001</v>
      </c>
      <c r="F116" s="27"/>
      <c r="G116" s="23">
        <f t="shared" si="4"/>
        <v>0</v>
      </c>
      <c r="J116" s="39" t="str">
        <f>IFERROR(IF($J$2*D116=0, "-", $J$2*D116), "-")</f>
        <v>-</v>
      </c>
      <c r="K116" s="39" t="str">
        <f t="shared" si="5"/>
        <v>-</v>
      </c>
      <c r="L116" s="40" t="str">
        <f>IF(F116&gt;0,F116*D116, "-")</f>
        <v>-</v>
      </c>
      <c r="M116" s="41" t="str">
        <f t="shared" si="6"/>
        <v>-</v>
      </c>
      <c r="O116" s="41" t="str">
        <f t="shared" si="7"/>
        <v>-</v>
      </c>
    </row>
    <row r="117" spans="1:15" x14ac:dyDescent="0.3">
      <c r="A117" s="4" t="s">
        <v>728</v>
      </c>
      <c r="B117" s="3">
        <v>810014670577</v>
      </c>
      <c r="C117" s="2" t="s">
        <v>913</v>
      </c>
      <c r="D117" s="30">
        <v>0.16</v>
      </c>
      <c r="E117" s="20">
        <v>11.799375000000001</v>
      </c>
      <c r="F117" s="27"/>
      <c r="G117" s="23">
        <f t="shared" si="4"/>
        <v>0</v>
      </c>
      <c r="J117" s="39" t="str">
        <f>IFERROR(IF($J$2*D117=0, "-", $J$2*D117), "-")</f>
        <v>-</v>
      </c>
      <c r="K117" s="39" t="str">
        <f t="shared" si="5"/>
        <v>-</v>
      </c>
      <c r="L117" s="40" t="str">
        <f>IF(F117&gt;0,F117*D117, "-")</f>
        <v>-</v>
      </c>
      <c r="M117" s="41" t="str">
        <f t="shared" si="6"/>
        <v>-</v>
      </c>
      <c r="O117" s="41" t="str">
        <f t="shared" si="7"/>
        <v>-</v>
      </c>
    </row>
    <row r="118" spans="1:15" x14ac:dyDescent="0.3">
      <c r="A118" s="4" t="s">
        <v>253</v>
      </c>
      <c r="B118" s="3">
        <v>857077008978</v>
      </c>
      <c r="C118" s="2" t="s">
        <v>914</v>
      </c>
      <c r="D118" s="30">
        <v>0.09</v>
      </c>
      <c r="E118" s="20">
        <v>11.799375000000001</v>
      </c>
      <c r="F118" s="27"/>
      <c r="G118" s="23">
        <f t="shared" si="4"/>
        <v>0</v>
      </c>
      <c r="J118" s="39" t="str">
        <f>IFERROR(IF($J$2*D118=0, "-", $J$2*D118), "-")</f>
        <v>-</v>
      </c>
      <c r="K118" s="39" t="str">
        <f t="shared" si="5"/>
        <v>-</v>
      </c>
      <c r="L118" s="40" t="str">
        <f>IF(F118&gt;0,F118*D118, "-")</f>
        <v>-</v>
      </c>
      <c r="M118" s="41" t="str">
        <f t="shared" si="6"/>
        <v>-</v>
      </c>
      <c r="O118" s="41" t="str">
        <f t="shared" si="7"/>
        <v>-</v>
      </c>
    </row>
    <row r="119" spans="1:15" x14ac:dyDescent="0.3">
      <c r="A119" s="4" t="s">
        <v>915</v>
      </c>
      <c r="B119" s="3">
        <v>810139575962</v>
      </c>
      <c r="C119" s="2" t="s">
        <v>916</v>
      </c>
      <c r="D119" s="30">
        <v>7.0000000000000007E-2</v>
      </c>
      <c r="E119" s="20">
        <v>11.799375000000001</v>
      </c>
      <c r="F119" s="27"/>
      <c r="G119" s="23">
        <f t="shared" si="4"/>
        <v>0</v>
      </c>
      <c r="J119" s="39" t="str">
        <f>IFERROR(IF($J$2*D119=0, "-", $J$2*D119), "-")</f>
        <v>-</v>
      </c>
      <c r="K119" s="39" t="str">
        <f t="shared" si="5"/>
        <v>-</v>
      </c>
      <c r="L119" s="40" t="str">
        <f>IF(F119&gt;0,F119*D119, "-")</f>
        <v>-</v>
      </c>
      <c r="M119" s="41" t="str">
        <f t="shared" si="6"/>
        <v>-</v>
      </c>
      <c r="O119" s="41" t="str">
        <f t="shared" si="7"/>
        <v>-</v>
      </c>
    </row>
    <row r="120" spans="1:15" x14ac:dyDescent="0.3">
      <c r="A120" s="4" t="s">
        <v>917</v>
      </c>
      <c r="B120" s="3">
        <v>810139576099</v>
      </c>
      <c r="C120" s="2" t="s">
        <v>918</v>
      </c>
      <c r="D120" s="30">
        <v>0.88</v>
      </c>
      <c r="E120" s="20">
        <v>12.18</v>
      </c>
      <c r="F120" s="27"/>
      <c r="G120" s="23">
        <f t="shared" si="4"/>
        <v>0</v>
      </c>
      <c r="J120" s="39" t="str">
        <f>IFERROR(IF($J$2*D120=0, "-", $J$2*D120), "-")</f>
        <v>-</v>
      </c>
      <c r="K120" s="39" t="str">
        <f t="shared" si="5"/>
        <v>-</v>
      </c>
      <c r="L120" s="40" t="str">
        <f>IF(F120&gt;0,F120*D120, "-")</f>
        <v>-</v>
      </c>
      <c r="M120" s="41" t="str">
        <f t="shared" si="6"/>
        <v>-</v>
      </c>
      <c r="O120" s="41" t="str">
        <f t="shared" si="7"/>
        <v>-</v>
      </c>
    </row>
    <row r="121" spans="1:15" x14ac:dyDescent="0.3">
      <c r="A121" s="4" t="s">
        <v>114</v>
      </c>
      <c r="B121" s="3">
        <v>810014670331</v>
      </c>
      <c r="C121" s="2" t="s">
        <v>919</v>
      </c>
      <c r="D121" s="30">
        <v>0.62</v>
      </c>
      <c r="E121" s="20">
        <v>12.18</v>
      </c>
      <c r="F121" s="27"/>
      <c r="G121" s="23">
        <f t="shared" si="4"/>
        <v>0</v>
      </c>
      <c r="J121" s="39" t="str">
        <f>IFERROR(IF($J$2*D121=0, "-", $J$2*D121), "-")</f>
        <v>-</v>
      </c>
      <c r="K121" s="39" t="str">
        <f t="shared" si="5"/>
        <v>-</v>
      </c>
      <c r="L121" s="40" t="str">
        <f>IF(F121&gt;0,F121*D121, "-")</f>
        <v>-</v>
      </c>
      <c r="M121" s="41" t="str">
        <f t="shared" si="6"/>
        <v>-</v>
      </c>
      <c r="O121" s="41" t="str">
        <f t="shared" si="7"/>
        <v>-</v>
      </c>
    </row>
    <row r="122" spans="1:15" x14ac:dyDescent="0.3">
      <c r="A122" s="4" t="s">
        <v>920</v>
      </c>
      <c r="B122" s="3">
        <v>810139572428</v>
      </c>
      <c r="C122" s="2" t="s">
        <v>921</v>
      </c>
      <c r="D122" s="30">
        <v>0.13</v>
      </c>
      <c r="E122" s="20">
        <v>12.18</v>
      </c>
      <c r="F122" s="27"/>
      <c r="G122" s="23">
        <f t="shared" si="4"/>
        <v>0</v>
      </c>
      <c r="J122" s="39" t="str">
        <f>IFERROR(IF($J$2*D122=0, "-", $J$2*D122), "-")</f>
        <v>-</v>
      </c>
      <c r="K122" s="39" t="str">
        <f t="shared" si="5"/>
        <v>-</v>
      </c>
      <c r="L122" s="40" t="str">
        <f>IF(F122&gt;0,F122*D122, "-")</f>
        <v>-</v>
      </c>
      <c r="M122" s="41" t="str">
        <f t="shared" si="6"/>
        <v>-</v>
      </c>
      <c r="O122" s="41" t="str">
        <f t="shared" si="7"/>
        <v>-</v>
      </c>
    </row>
    <row r="123" spans="1:15" x14ac:dyDescent="0.3">
      <c r="A123" s="4" t="s">
        <v>135</v>
      </c>
      <c r="B123" s="3">
        <v>857077008008</v>
      </c>
      <c r="C123" s="2" t="s">
        <v>922</v>
      </c>
      <c r="D123" s="30">
        <v>0.63</v>
      </c>
      <c r="E123" s="20">
        <v>12.18</v>
      </c>
      <c r="F123" s="27"/>
      <c r="G123" s="23">
        <f t="shared" si="4"/>
        <v>0</v>
      </c>
      <c r="J123" s="39" t="str">
        <f>IFERROR(IF($J$2*D123=0, "-", $J$2*D123), "-")</f>
        <v>-</v>
      </c>
      <c r="K123" s="39" t="str">
        <f t="shared" si="5"/>
        <v>-</v>
      </c>
      <c r="L123" s="40" t="str">
        <f>IF(F123&gt;0,F123*D123, "-")</f>
        <v>-</v>
      </c>
      <c r="M123" s="41" t="str">
        <f t="shared" si="6"/>
        <v>-</v>
      </c>
      <c r="O123" s="41" t="str">
        <f t="shared" si="7"/>
        <v>-</v>
      </c>
    </row>
    <row r="124" spans="1:15" x14ac:dyDescent="0.3">
      <c r="A124" s="4" t="s">
        <v>527</v>
      </c>
      <c r="B124" s="3">
        <v>810014672465</v>
      </c>
      <c r="C124" s="2" t="s">
        <v>923</v>
      </c>
      <c r="D124" s="30">
        <v>0.59</v>
      </c>
      <c r="E124" s="20">
        <v>12.18</v>
      </c>
      <c r="F124" s="27"/>
      <c r="G124" s="23">
        <f t="shared" si="4"/>
        <v>0</v>
      </c>
      <c r="J124" s="39" t="str">
        <f>IFERROR(IF($J$2*D124=0, "-", $J$2*D124), "-")</f>
        <v>-</v>
      </c>
      <c r="K124" s="39" t="str">
        <f t="shared" si="5"/>
        <v>-</v>
      </c>
      <c r="L124" s="40" t="str">
        <f>IF(F124&gt;0,F124*D124, "-")</f>
        <v>-</v>
      </c>
      <c r="M124" s="41" t="str">
        <f t="shared" si="6"/>
        <v>-</v>
      </c>
      <c r="O124" s="41" t="str">
        <f t="shared" si="7"/>
        <v>-</v>
      </c>
    </row>
    <row r="125" spans="1:15" x14ac:dyDescent="0.3">
      <c r="A125" s="4" t="s">
        <v>249</v>
      </c>
      <c r="B125" s="3">
        <v>810014670041</v>
      </c>
      <c r="C125" s="2" t="s">
        <v>924</v>
      </c>
      <c r="D125" s="30">
        <v>0.36</v>
      </c>
      <c r="E125" s="20">
        <v>12.18</v>
      </c>
      <c r="F125" s="27"/>
      <c r="G125" s="23">
        <f t="shared" si="4"/>
        <v>0</v>
      </c>
      <c r="J125" s="39" t="str">
        <f>IFERROR(IF($J$2*D125=0, "-", $J$2*D125), "-")</f>
        <v>-</v>
      </c>
      <c r="K125" s="39" t="str">
        <f t="shared" si="5"/>
        <v>-</v>
      </c>
      <c r="L125" s="40" t="str">
        <f>IF(F125&gt;0,F125*D125, "-")</f>
        <v>-</v>
      </c>
      <c r="M125" s="41" t="str">
        <f t="shared" si="6"/>
        <v>-</v>
      </c>
      <c r="O125" s="41" t="str">
        <f t="shared" si="7"/>
        <v>-</v>
      </c>
    </row>
    <row r="126" spans="1:15" x14ac:dyDescent="0.3">
      <c r="A126" s="4" t="s">
        <v>660</v>
      </c>
      <c r="B126" s="3">
        <v>810014670218</v>
      </c>
      <c r="C126" s="2" t="s">
        <v>925</v>
      </c>
      <c r="D126" s="30">
        <v>0.17</v>
      </c>
      <c r="E126" s="20">
        <v>12.18</v>
      </c>
      <c r="F126" s="27"/>
      <c r="G126" s="23">
        <f t="shared" si="4"/>
        <v>0</v>
      </c>
      <c r="J126" s="39" t="str">
        <f>IFERROR(IF($J$2*D126=0, "-", $J$2*D126), "-")</f>
        <v>-</v>
      </c>
      <c r="K126" s="39" t="str">
        <f t="shared" si="5"/>
        <v>-</v>
      </c>
      <c r="L126" s="40" t="str">
        <f>IF(F126&gt;0,F126*D126, "-")</f>
        <v>-</v>
      </c>
      <c r="M126" s="41" t="str">
        <f t="shared" si="6"/>
        <v>-</v>
      </c>
      <c r="O126" s="41" t="str">
        <f t="shared" si="7"/>
        <v>-</v>
      </c>
    </row>
    <row r="127" spans="1:15" x14ac:dyDescent="0.3">
      <c r="A127" s="4" t="s">
        <v>558</v>
      </c>
      <c r="B127" s="3">
        <v>810014674735</v>
      </c>
      <c r="C127" s="2" t="s">
        <v>926</v>
      </c>
      <c r="D127" s="30">
        <v>7.0000000000000007E-2</v>
      </c>
      <c r="E127" s="20">
        <v>12.18</v>
      </c>
      <c r="F127" s="27"/>
      <c r="G127" s="23">
        <f t="shared" si="4"/>
        <v>0</v>
      </c>
      <c r="J127" s="39" t="str">
        <f>IFERROR(IF($J$2*D127=0, "-", $J$2*D127), "-")</f>
        <v>-</v>
      </c>
      <c r="K127" s="39" t="str">
        <f t="shared" si="5"/>
        <v>-</v>
      </c>
      <c r="L127" s="40" t="str">
        <f>IF(F127&gt;0,F127*D127, "-")</f>
        <v>-</v>
      </c>
      <c r="M127" s="41" t="str">
        <f t="shared" si="6"/>
        <v>-</v>
      </c>
      <c r="O127" s="41" t="str">
        <f t="shared" si="7"/>
        <v>-</v>
      </c>
    </row>
    <row r="128" spans="1:15" x14ac:dyDescent="0.3">
      <c r="A128" s="4" t="s">
        <v>611</v>
      </c>
      <c r="B128" s="3">
        <v>810014670195</v>
      </c>
      <c r="C128" s="2" t="s">
        <v>927</v>
      </c>
      <c r="D128" s="30">
        <v>0.18</v>
      </c>
      <c r="E128" s="20">
        <v>12.18</v>
      </c>
      <c r="F128" s="27"/>
      <c r="G128" s="23">
        <f t="shared" si="4"/>
        <v>0</v>
      </c>
      <c r="J128" s="39" t="str">
        <f>IFERROR(IF($J$2*D128=0, "-", $J$2*D128), "-")</f>
        <v>-</v>
      </c>
      <c r="K128" s="39" t="str">
        <f t="shared" si="5"/>
        <v>-</v>
      </c>
      <c r="L128" s="40" t="str">
        <f>IF(F128&gt;0,F128*D128, "-")</f>
        <v>-</v>
      </c>
      <c r="M128" s="41" t="str">
        <f t="shared" si="6"/>
        <v>-</v>
      </c>
      <c r="O128" s="41" t="str">
        <f t="shared" si="7"/>
        <v>-</v>
      </c>
    </row>
    <row r="129" spans="1:15" x14ac:dyDescent="0.3">
      <c r="A129" s="4" t="s">
        <v>928</v>
      </c>
      <c r="B129" s="3">
        <v>810139573616</v>
      </c>
      <c r="C129" s="2" t="s">
        <v>929</v>
      </c>
      <c r="D129" s="30">
        <v>0.11</v>
      </c>
      <c r="E129" s="20">
        <v>12.18</v>
      </c>
      <c r="F129" s="27"/>
      <c r="G129" s="23">
        <f t="shared" si="4"/>
        <v>0</v>
      </c>
      <c r="J129" s="39" t="str">
        <f>IFERROR(IF($J$2*D129=0, "-", $J$2*D129), "-")</f>
        <v>-</v>
      </c>
      <c r="K129" s="39" t="str">
        <f t="shared" si="5"/>
        <v>-</v>
      </c>
      <c r="L129" s="40" t="str">
        <f>IF(F129&gt;0,F129*D129, "-")</f>
        <v>-</v>
      </c>
      <c r="M129" s="41" t="str">
        <f t="shared" si="6"/>
        <v>-</v>
      </c>
      <c r="O129" s="41" t="str">
        <f t="shared" si="7"/>
        <v>-</v>
      </c>
    </row>
    <row r="130" spans="1:15" x14ac:dyDescent="0.3">
      <c r="A130" s="4" t="s">
        <v>930</v>
      </c>
      <c r="B130" s="3">
        <v>810014679990</v>
      </c>
      <c r="C130" s="2" t="s">
        <v>931</v>
      </c>
      <c r="D130" s="30">
        <v>0.14000000000000001</v>
      </c>
      <c r="E130" s="20">
        <v>12.18</v>
      </c>
      <c r="F130" s="27"/>
      <c r="G130" s="23">
        <f t="shared" si="4"/>
        <v>0</v>
      </c>
      <c r="J130" s="39" t="str">
        <f>IFERROR(IF($J$2*D130=0, "-", $J$2*D130), "-")</f>
        <v>-</v>
      </c>
      <c r="K130" s="39" t="str">
        <f t="shared" si="5"/>
        <v>-</v>
      </c>
      <c r="L130" s="40" t="str">
        <f>IF(F130&gt;0,F130*D130, "-")</f>
        <v>-</v>
      </c>
      <c r="M130" s="41" t="str">
        <f t="shared" si="6"/>
        <v>-</v>
      </c>
      <c r="O130" s="41" t="str">
        <f t="shared" si="7"/>
        <v>-</v>
      </c>
    </row>
    <row r="131" spans="1:15" x14ac:dyDescent="0.3">
      <c r="A131" s="4" t="s">
        <v>681</v>
      </c>
      <c r="B131" s="3">
        <v>810014679556</v>
      </c>
      <c r="C131" s="2" t="s">
        <v>932</v>
      </c>
      <c r="D131" s="30">
        <v>0.22</v>
      </c>
      <c r="E131" s="20">
        <v>12.18</v>
      </c>
      <c r="F131" s="27"/>
      <c r="G131" s="23">
        <f t="shared" si="4"/>
        <v>0</v>
      </c>
      <c r="J131" s="39" t="str">
        <f>IFERROR(IF($J$2*D131=0, "-", $J$2*D131), "-")</f>
        <v>-</v>
      </c>
      <c r="K131" s="39" t="str">
        <f t="shared" si="5"/>
        <v>-</v>
      </c>
      <c r="L131" s="40" t="str">
        <f>IF(F131&gt;0,F131*D131, "-")</f>
        <v>-</v>
      </c>
      <c r="M131" s="41" t="str">
        <f t="shared" si="6"/>
        <v>-</v>
      </c>
      <c r="O131" s="41" t="str">
        <f t="shared" si="7"/>
        <v>-</v>
      </c>
    </row>
    <row r="132" spans="1:15" x14ac:dyDescent="0.3">
      <c r="A132" s="4" t="s">
        <v>933</v>
      </c>
      <c r="B132" s="3">
        <v>810139572671</v>
      </c>
      <c r="C132" s="2" t="s">
        <v>934</v>
      </c>
      <c r="D132" s="30">
        <v>7.0000000000000007E-2</v>
      </c>
      <c r="E132" s="20">
        <v>12.18</v>
      </c>
      <c r="F132" s="27"/>
      <c r="G132" s="23">
        <f t="shared" ref="G132:G195" si="8">F132*E132</f>
        <v>0</v>
      </c>
      <c r="J132" s="39" t="str">
        <f>IFERROR(IF($J$2*D132=0, "-", $J$2*D132), "-")</f>
        <v>-</v>
      </c>
      <c r="K132" s="39" t="str">
        <f t="shared" ref="K132:K195" si="9">IF(F132&gt;0,E132+J132,"-")</f>
        <v>-</v>
      </c>
      <c r="L132" s="40" t="str">
        <f>IF(F132&gt;0,F132*D132, "-")</f>
        <v>-</v>
      </c>
      <c r="M132" s="41" t="str">
        <f t="shared" ref="M132:M195" si="10">IFERROR(IF($J$2&gt;0, $J$2*L132, "-"), "-")</f>
        <v>-</v>
      </c>
      <c r="O132" s="41" t="str">
        <f t="shared" ref="O132:O195" si="11">IFERROR(IF(M132+G132=0, "-", IF(M132&gt;0, M132+G132, "-")), "-")</f>
        <v>-</v>
      </c>
    </row>
    <row r="133" spans="1:15" x14ac:dyDescent="0.3">
      <c r="A133" s="4" t="s">
        <v>935</v>
      </c>
      <c r="B133" s="3">
        <v>810139572664</v>
      </c>
      <c r="C133" s="2" t="s">
        <v>936</v>
      </c>
      <c r="D133" s="30">
        <v>0.06</v>
      </c>
      <c r="E133" s="20">
        <v>12.18</v>
      </c>
      <c r="F133" s="27"/>
      <c r="G133" s="23">
        <f t="shared" si="8"/>
        <v>0</v>
      </c>
      <c r="J133" s="39" t="str">
        <f>IFERROR(IF($J$2*D133=0, "-", $J$2*D133), "-")</f>
        <v>-</v>
      </c>
      <c r="K133" s="39" t="str">
        <f t="shared" si="9"/>
        <v>-</v>
      </c>
      <c r="L133" s="40" t="str">
        <f>IF(F133&gt;0,F133*D133, "-")</f>
        <v>-</v>
      </c>
      <c r="M133" s="41" t="str">
        <f t="shared" si="10"/>
        <v>-</v>
      </c>
      <c r="O133" s="41" t="str">
        <f t="shared" si="11"/>
        <v>-</v>
      </c>
    </row>
    <row r="134" spans="1:15" x14ac:dyDescent="0.3">
      <c r="A134" s="4" t="s">
        <v>937</v>
      </c>
      <c r="B134" s="3">
        <v>810139575269</v>
      </c>
      <c r="C134" s="2" t="s">
        <v>938</v>
      </c>
      <c r="D134" s="30">
        <v>0.05</v>
      </c>
      <c r="E134" s="20">
        <v>12.18</v>
      </c>
      <c r="F134" s="27"/>
      <c r="G134" s="23">
        <f t="shared" si="8"/>
        <v>0</v>
      </c>
      <c r="J134" s="39" t="str">
        <f>IFERROR(IF($J$2*D134=0, "-", $J$2*D134), "-")</f>
        <v>-</v>
      </c>
      <c r="K134" s="39" t="str">
        <f t="shared" si="9"/>
        <v>-</v>
      </c>
      <c r="L134" s="40" t="str">
        <f>IF(F134&gt;0,F134*D134, "-")</f>
        <v>-</v>
      </c>
      <c r="M134" s="41" t="str">
        <f t="shared" si="10"/>
        <v>-</v>
      </c>
      <c r="O134" s="41" t="str">
        <f t="shared" si="11"/>
        <v>-</v>
      </c>
    </row>
    <row r="135" spans="1:15" x14ac:dyDescent="0.3">
      <c r="A135" s="4" t="s">
        <v>939</v>
      </c>
      <c r="B135" s="3">
        <v>810139576273</v>
      </c>
      <c r="C135" s="2" t="s">
        <v>940</v>
      </c>
      <c r="D135" s="30">
        <v>0.08</v>
      </c>
      <c r="E135" s="20">
        <v>12.18</v>
      </c>
      <c r="F135" s="27"/>
      <c r="G135" s="23">
        <f t="shared" si="8"/>
        <v>0</v>
      </c>
      <c r="J135" s="39" t="str">
        <f>IFERROR(IF($J$2*D135=0, "-", $J$2*D135), "-")</f>
        <v>-</v>
      </c>
      <c r="K135" s="39" t="str">
        <f t="shared" si="9"/>
        <v>-</v>
      </c>
      <c r="L135" s="40" t="str">
        <f>IF(F135&gt;0,F135*D135, "-")</f>
        <v>-</v>
      </c>
      <c r="M135" s="41" t="str">
        <f t="shared" si="10"/>
        <v>-</v>
      </c>
      <c r="O135" s="41" t="str">
        <f t="shared" si="11"/>
        <v>-</v>
      </c>
    </row>
    <row r="136" spans="1:15" x14ac:dyDescent="0.3">
      <c r="A136" s="4" t="s">
        <v>941</v>
      </c>
      <c r="B136" s="3">
        <v>810139576402</v>
      </c>
      <c r="C136" s="2" t="s">
        <v>942</v>
      </c>
      <c r="D136" s="30">
        <v>0.13</v>
      </c>
      <c r="E136" s="20">
        <v>12.18</v>
      </c>
      <c r="F136" s="27"/>
      <c r="G136" s="23">
        <f t="shared" si="8"/>
        <v>0</v>
      </c>
      <c r="J136" s="39" t="str">
        <f>IFERROR(IF($J$2*D136=0, "-", $J$2*D136), "-")</f>
        <v>-</v>
      </c>
      <c r="K136" s="39" t="str">
        <f t="shared" si="9"/>
        <v>-</v>
      </c>
      <c r="L136" s="40" t="str">
        <f>IF(F136&gt;0,F136*D136, "-")</f>
        <v>-</v>
      </c>
      <c r="M136" s="41" t="str">
        <f t="shared" si="10"/>
        <v>-</v>
      </c>
      <c r="O136" s="41" t="str">
        <f t="shared" si="11"/>
        <v>-</v>
      </c>
    </row>
    <row r="137" spans="1:15" x14ac:dyDescent="0.3">
      <c r="A137" s="4" t="s">
        <v>255</v>
      </c>
      <c r="B137" s="3">
        <v>810014679006</v>
      </c>
      <c r="C137" s="2" t="s">
        <v>943</v>
      </c>
      <c r="D137" s="30">
        <v>0.28999999999999998</v>
      </c>
      <c r="E137" s="20">
        <v>12.18</v>
      </c>
      <c r="F137" s="27"/>
      <c r="G137" s="23">
        <f t="shared" si="8"/>
        <v>0</v>
      </c>
      <c r="J137" s="39" t="str">
        <f>IFERROR(IF($J$2*D137=0, "-", $J$2*D137), "-")</f>
        <v>-</v>
      </c>
      <c r="K137" s="39" t="str">
        <f t="shared" si="9"/>
        <v>-</v>
      </c>
      <c r="L137" s="40" t="str">
        <f>IF(F137&gt;0,F137*D137, "-")</f>
        <v>-</v>
      </c>
      <c r="M137" s="41" t="str">
        <f t="shared" si="10"/>
        <v>-</v>
      </c>
      <c r="O137" s="41" t="str">
        <f t="shared" si="11"/>
        <v>-</v>
      </c>
    </row>
    <row r="138" spans="1:15" x14ac:dyDescent="0.3">
      <c r="A138" s="4" t="s">
        <v>944</v>
      </c>
      <c r="B138" s="3">
        <v>810139576501</v>
      </c>
      <c r="C138" s="2" t="s">
        <v>945</v>
      </c>
      <c r="D138" s="30">
        <v>0.12</v>
      </c>
      <c r="E138" s="20">
        <v>12.18</v>
      </c>
      <c r="F138" s="27"/>
      <c r="G138" s="23">
        <f t="shared" si="8"/>
        <v>0</v>
      </c>
      <c r="J138" s="39" t="str">
        <f>IFERROR(IF($J$2*D138=0, "-", $J$2*D138), "-")</f>
        <v>-</v>
      </c>
      <c r="K138" s="39" t="str">
        <f t="shared" si="9"/>
        <v>-</v>
      </c>
      <c r="L138" s="40" t="str">
        <f>IF(F138&gt;0,F138*D138, "-")</f>
        <v>-</v>
      </c>
      <c r="M138" s="41" t="str">
        <f t="shared" si="10"/>
        <v>-</v>
      </c>
      <c r="O138" s="41" t="str">
        <f t="shared" si="11"/>
        <v>-</v>
      </c>
    </row>
    <row r="139" spans="1:15" x14ac:dyDescent="0.3">
      <c r="A139" s="4" t="s">
        <v>946</v>
      </c>
      <c r="B139" s="3">
        <v>810139572824</v>
      </c>
      <c r="C139" s="2" t="s">
        <v>947</v>
      </c>
      <c r="D139" s="30">
        <v>0.06</v>
      </c>
      <c r="E139" s="20">
        <v>12.18</v>
      </c>
      <c r="F139" s="27"/>
      <c r="G139" s="23">
        <f t="shared" si="8"/>
        <v>0</v>
      </c>
      <c r="J139" s="39" t="str">
        <f>IFERROR(IF($J$2*D139=0, "-", $J$2*D139), "-")</f>
        <v>-</v>
      </c>
      <c r="K139" s="39" t="str">
        <f t="shared" si="9"/>
        <v>-</v>
      </c>
      <c r="L139" s="40" t="str">
        <f>IF(F139&gt;0,F139*D139, "-")</f>
        <v>-</v>
      </c>
      <c r="M139" s="41" t="str">
        <f t="shared" si="10"/>
        <v>-</v>
      </c>
      <c r="O139" s="41" t="str">
        <f t="shared" si="11"/>
        <v>-</v>
      </c>
    </row>
    <row r="140" spans="1:15" x14ac:dyDescent="0.3">
      <c r="A140" s="4" t="s">
        <v>504</v>
      </c>
      <c r="B140" s="3">
        <v>810139572886</v>
      </c>
      <c r="C140" s="2" t="s">
        <v>948</v>
      </c>
      <c r="D140" s="30">
        <v>0.16</v>
      </c>
      <c r="E140" s="20">
        <v>12.18</v>
      </c>
      <c r="F140" s="27"/>
      <c r="G140" s="23">
        <f t="shared" si="8"/>
        <v>0</v>
      </c>
      <c r="J140" s="39" t="str">
        <f>IFERROR(IF($J$2*D140=0, "-", $J$2*D140), "-")</f>
        <v>-</v>
      </c>
      <c r="K140" s="39" t="str">
        <f t="shared" si="9"/>
        <v>-</v>
      </c>
      <c r="L140" s="40" t="str">
        <f>IF(F140&gt;0,F140*D140, "-")</f>
        <v>-</v>
      </c>
      <c r="M140" s="41" t="str">
        <f t="shared" si="10"/>
        <v>-</v>
      </c>
      <c r="O140" s="41" t="str">
        <f t="shared" si="11"/>
        <v>-</v>
      </c>
    </row>
    <row r="141" spans="1:15" x14ac:dyDescent="0.3">
      <c r="A141" s="4" t="s">
        <v>949</v>
      </c>
      <c r="B141" s="3">
        <v>810139576136</v>
      </c>
      <c r="C141" s="2" t="s">
        <v>950</v>
      </c>
      <c r="D141" s="30">
        <v>0.09</v>
      </c>
      <c r="E141" s="20">
        <v>12.18</v>
      </c>
      <c r="F141" s="27"/>
      <c r="G141" s="23">
        <f t="shared" si="8"/>
        <v>0</v>
      </c>
      <c r="J141" s="39" t="str">
        <f>IFERROR(IF($J$2*D141=0, "-", $J$2*D141), "-")</f>
        <v>-</v>
      </c>
      <c r="K141" s="39" t="str">
        <f t="shared" si="9"/>
        <v>-</v>
      </c>
      <c r="L141" s="40" t="str">
        <f>IF(F141&gt;0,F141*D141, "-")</f>
        <v>-</v>
      </c>
      <c r="M141" s="41" t="str">
        <f t="shared" si="10"/>
        <v>-</v>
      </c>
      <c r="O141" s="41" t="str">
        <f t="shared" si="11"/>
        <v>-</v>
      </c>
    </row>
    <row r="142" spans="1:15" x14ac:dyDescent="0.3">
      <c r="A142" s="4" t="s">
        <v>147</v>
      </c>
      <c r="B142" s="3">
        <v>810014670645</v>
      </c>
      <c r="C142" s="2" t="s">
        <v>951</v>
      </c>
      <c r="D142" s="30">
        <v>0.14000000000000001</v>
      </c>
      <c r="E142" s="20">
        <v>12.18</v>
      </c>
      <c r="F142" s="27"/>
      <c r="G142" s="23">
        <f t="shared" si="8"/>
        <v>0</v>
      </c>
      <c r="J142" s="39" t="str">
        <f>IFERROR(IF($J$2*D142=0, "-", $J$2*D142), "-")</f>
        <v>-</v>
      </c>
      <c r="K142" s="39" t="str">
        <f t="shared" si="9"/>
        <v>-</v>
      </c>
      <c r="L142" s="40" t="str">
        <f>IF(F142&gt;0,F142*D142, "-")</f>
        <v>-</v>
      </c>
      <c r="M142" s="41" t="str">
        <f t="shared" si="10"/>
        <v>-</v>
      </c>
      <c r="O142" s="41" t="str">
        <f t="shared" si="11"/>
        <v>-</v>
      </c>
    </row>
    <row r="143" spans="1:15" x14ac:dyDescent="0.3">
      <c r="A143" s="4" t="s">
        <v>420</v>
      </c>
      <c r="B143" s="3">
        <v>810014671451</v>
      </c>
      <c r="C143" s="2" t="s">
        <v>952</v>
      </c>
      <c r="D143" s="30">
        <v>0.11</v>
      </c>
      <c r="E143" s="20">
        <v>12.18</v>
      </c>
      <c r="F143" s="27"/>
      <c r="G143" s="23">
        <f t="shared" si="8"/>
        <v>0</v>
      </c>
      <c r="J143" s="39" t="str">
        <f>IFERROR(IF($J$2*D143=0, "-", $J$2*D143), "-")</f>
        <v>-</v>
      </c>
      <c r="K143" s="39" t="str">
        <f t="shared" si="9"/>
        <v>-</v>
      </c>
      <c r="L143" s="40" t="str">
        <f>IF(F143&gt;0,F143*D143, "-")</f>
        <v>-</v>
      </c>
      <c r="M143" s="41" t="str">
        <f t="shared" si="10"/>
        <v>-</v>
      </c>
      <c r="O143" s="41" t="str">
        <f t="shared" si="11"/>
        <v>-</v>
      </c>
    </row>
    <row r="144" spans="1:15" x14ac:dyDescent="0.3">
      <c r="A144" s="4" t="s">
        <v>953</v>
      </c>
      <c r="B144" s="3">
        <v>810139577478</v>
      </c>
      <c r="C144" s="2" t="s">
        <v>954</v>
      </c>
      <c r="D144" s="30">
        <v>0.15</v>
      </c>
      <c r="E144" s="20">
        <v>12.18</v>
      </c>
      <c r="F144" s="27"/>
      <c r="G144" s="23">
        <f t="shared" si="8"/>
        <v>0</v>
      </c>
      <c r="J144" s="39" t="str">
        <f>IFERROR(IF($J$2*D144=0, "-", $J$2*D144), "-")</f>
        <v>-</v>
      </c>
      <c r="K144" s="39" t="str">
        <f t="shared" si="9"/>
        <v>-</v>
      </c>
      <c r="L144" s="40" t="str">
        <f>IF(F144&gt;0,F144*D144, "-")</f>
        <v>-</v>
      </c>
      <c r="M144" s="41" t="str">
        <f t="shared" si="10"/>
        <v>-</v>
      </c>
      <c r="O144" s="41" t="str">
        <f t="shared" si="11"/>
        <v>-</v>
      </c>
    </row>
    <row r="145" spans="1:15" x14ac:dyDescent="0.3">
      <c r="A145" s="4" t="s">
        <v>955</v>
      </c>
      <c r="B145" s="3">
        <v>810139576785</v>
      </c>
      <c r="C145" s="2" t="s">
        <v>956</v>
      </c>
      <c r="D145" s="30">
        <v>7.0000000000000007E-2</v>
      </c>
      <c r="E145" s="20">
        <v>12.18</v>
      </c>
      <c r="F145" s="27"/>
      <c r="G145" s="23">
        <f t="shared" si="8"/>
        <v>0</v>
      </c>
      <c r="J145" s="39" t="str">
        <f>IFERROR(IF($J$2*D145=0, "-", $J$2*D145), "-")</f>
        <v>-</v>
      </c>
      <c r="K145" s="39" t="str">
        <f t="shared" si="9"/>
        <v>-</v>
      </c>
      <c r="L145" s="40" t="str">
        <f>IF(F145&gt;0,F145*D145, "-")</f>
        <v>-</v>
      </c>
      <c r="M145" s="41" t="str">
        <f t="shared" si="10"/>
        <v>-</v>
      </c>
      <c r="O145" s="41" t="str">
        <f t="shared" si="11"/>
        <v>-</v>
      </c>
    </row>
    <row r="146" spans="1:15" x14ac:dyDescent="0.3">
      <c r="A146" s="4" t="s">
        <v>957</v>
      </c>
      <c r="B146" s="3">
        <v>810139574354</v>
      </c>
      <c r="C146" s="2" t="s">
        <v>958</v>
      </c>
      <c r="D146" s="30">
        <v>0.15</v>
      </c>
      <c r="E146" s="20">
        <v>12.18</v>
      </c>
      <c r="F146" s="27"/>
      <c r="G146" s="23">
        <f t="shared" si="8"/>
        <v>0</v>
      </c>
      <c r="J146" s="39" t="str">
        <f>IFERROR(IF($J$2*D146=0, "-", $J$2*D146), "-")</f>
        <v>-</v>
      </c>
      <c r="K146" s="39" t="str">
        <f t="shared" si="9"/>
        <v>-</v>
      </c>
      <c r="L146" s="40" t="str">
        <f>IF(F146&gt;0,F146*D146, "-")</f>
        <v>-</v>
      </c>
      <c r="M146" s="41" t="str">
        <f t="shared" si="10"/>
        <v>-</v>
      </c>
      <c r="O146" s="41" t="str">
        <f t="shared" si="11"/>
        <v>-</v>
      </c>
    </row>
    <row r="147" spans="1:15" x14ac:dyDescent="0.3">
      <c r="A147" s="4" t="s">
        <v>503</v>
      </c>
      <c r="B147" s="3">
        <v>810139571582</v>
      </c>
      <c r="C147" s="2" t="s">
        <v>959</v>
      </c>
      <c r="D147" s="30">
        <v>0.13</v>
      </c>
      <c r="E147" s="20">
        <v>12.18</v>
      </c>
      <c r="F147" s="27"/>
      <c r="G147" s="23">
        <f t="shared" si="8"/>
        <v>0</v>
      </c>
      <c r="J147" s="39" t="str">
        <f>IFERROR(IF($J$2*D147=0, "-", $J$2*D147), "-")</f>
        <v>-</v>
      </c>
      <c r="K147" s="39" t="str">
        <f t="shared" si="9"/>
        <v>-</v>
      </c>
      <c r="L147" s="40" t="str">
        <f>IF(F147&gt;0,F147*D147, "-")</f>
        <v>-</v>
      </c>
      <c r="M147" s="41" t="str">
        <f t="shared" si="10"/>
        <v>-</v>
      </c>
      <c r="O147" s="41" t="str">
        <f t="shared" si="11"/>
        <v>-</v>
      </c>
    </row>
    <row r="148" spans="1:15" x14ac:dyDescent="0.3">
      <c r="A148" s="4" t="s">
        <v>87</v>
      </c>
      <c r="B148" s="3">
        <v>857077008510</v>
      </c>
      <c r="C148" s="2" t="s">
        <v>960</v>
      </c>
      <c r="D148" s="30">
        <v>0.2</v>
      </c>
      <c r="E148" s="20">
        <v>12.18</v>
      </c>
      <c r="F148" s="27"/>
      <c r="G148" s="23">
        <f t="shared" si="8"/>
        <v>0</v>
      </c>
      <c r="J148" s="39" t="str">
        <f>IFERROR(IF($J$2*D148=0, "-", $J$2*D148), "-")</f>
        <v>-</v>
      </c>
      <c r="K148" s="39" t="str">
        <f t="shared" si="9"/>
        <v>-</v>
      </c>
      <c r="L148" s="40" t="str">
        <f>IF(F148&gt;0,F148*D148, "-")</f>
        <v>-</v>
      </c>
      <c r="M148" s="41" t="str">
        <f t="shared" si="10"/>
        <v>-</v>
      </c>
      <c r="O148" s="41" t="str">
        <f t="shared" si="11"/>
        <v>-</v>
      </c>
    </row>
    <row r="149" spans="1:15" x14ac:dyDescent="0.3">
      <c r="A149" s="4" t="s">
        <v>740</v>
      </c>
      <c r="B149" s="3">
        <v>810014671611</v>
      </c>
      <c r="C149" s="2" t="s">
        <v>961</v>
      </c>
      <c r="D149" s="30">
        <v>0.13</v>
      </c>
      <c r="E149" s="20">
        <v>12.18</v>
      </c>
      <c r="F149" s="27"/>
      <c r="G149" s="23">
        <f t="shared" si="8"/>
        <v>0</v>
      </c>
      <c r="J149" s="39" t="str">
        <f>IFERROR(IF($J$2*D149=0, "-", $J$2*D149), "-")</f>
        <v>-</v>
      </c>
      <c r="K149" s="39" t="str">
        <f t="shared" si="9"/>
        <v>-</v>
      </c>
      <c r="L149" s="40" t="str">
        <f>IF(F149&gt;0,F149*D149, "-")</f>
        <v>-</v>
      </c>
      <c r="M149" s="41" t="str">
        <f t="shared" si="10"/>
        <v>-</v>
      </c>
      <c r="O149" s="41" t="str">
        <f t="shared" si="11"/>
        <v>-</v>
      </c>
    </row>
    <row r="150" spans="1:15" x14ac:dyDescent="0.3">
      <c r="A150" s="4" t="s">
        <v>483</v>
      </c>
      <c r="B150" s="3">
        <v>810014670232</v>
      </c>
      <c r="C150" s="2" t="s">
        <v>962</v>
      </c>
      <c r="D150" s="30">
        <v>0.11</v>
      </c>
      <c r="E150" s="20">
        <v>12.18</v>
      </c>
      <c r="F150" s="27"/>
      <c r="G150" s="23">
        <f t="shared" si="8"/>
        <v>0</v>
      </c>
      <c r="J150" s="39" t="str">
        <f>IFERROR(IF($J$2*D150=0, "-", $J$2*D150), "-")</f>
        <v>-</v>
      </c>
      <c r="K150" s="39" t="str">
        <f t="shared" si="9"/>
        <v>-</v>
      </c>
      <c r="L150" s="40" t="str">
        <f>IF(F150&gt;0,F150*D150, "-")</f>
        <v>-</v>
      </c>
      <c r="M150" s="41" t="str">
        <f t="shared" si="10"/>
        <v>-</v>
      </c>
      <c r="O150" s="41" t="str">
        <f t="shared" si="11"/>
        <v>-</v>
      </c>
    </row>
    <row r="151" spans="1:15" x14ac:dyDescent="0.3">
      <c r="A151" s="4" t="s">
        <v>27</v>
      </c>
      <c r="B151" s="3">
        <v>810014670416</v>
      </c>
      <c r="C151" s="2" t="s">
        <v>963</v>
      </c>
      <c r="D151" s="30">
        <v>0.11</v>
      </c>
      <c r="E151" s="20">
        <v>12.18</v>
      </c>
      <c r="F151" s="27"/>
      <c r="G151" s="23">
        <f t="shared" si="8"/>
        <v>0</v>
      </c>
      <c r="J151" s="39" t="str">
        <f>IFERROR(IF($J$2*D151=0, "-", $J$2*D151), "-")</f>
        <v>-</v>
      </c>
      <c r="K151" s="39" t="str">
        <f t="shared" si="9"/>
        <v>-</v>
      </c>
      <c r="L151" s="40" t="str">
        <f>IF(F151&gt;0,F151*D151, "-")</f>
        <v>-</v>
      </c>
      <c r="M151" s="41" t="str">
        <f t="shared" si="10"/>
        <v>-</v>
      </c>
      <c r="O151" s="41" t="str">
        <f t="shared" si="11"/>
        <v>-</v>
      </c>
    </row>
    <row r="152" spans="1:15" x14ac:dyDescent="0.3">
      <c r="A152" s="4" t="s">
        <v>964</v>
      </c>
      <c r="B152" s="3">
        <v>810139576365</v>
      </c>
      <c r="C152" s="2" t="s">
        <v>965</v>
      </c>
      <c r="D152" s="30">
        <v>0.09</v>
      </c>
      <c r="E152" s="20">
        <v>12.18</v>
      </c>
      <c r="F152" s="27"/>
      <c r="G152" s="23">
        <f t="shared" si="8"/>
        <v>0</v>
      </c>
      <c r="J152" s="39" t="str">
        <f>IFERROR(IF($J$2*D152=0, "-", $J$2*D152), "-")</f>
        <v>-</v>
      </c>
      <c r="K152" s="39" t="str">
        <f t="shared" si="9"/>
        <v>-</v>
      </c>
      <c r="L152" s="40" t="str">
        <f>IF(F152&gt;0,F152*D152, "-")</f>
        <v>-</v>
      </c>
      <c r="M152" s="41" t="str">
        <f t="shared" si="10"/>
        <v>-</v>
      </c>
      <c r="O152" s="41" t="str">
        <f t="shared" si="11"/>
        <v>-</v>
      </c>
    </row>
    <row r="153" spans="1:15" x14ac:dyDescent="0.3">
      <c r="A153" s="4" t="s">
        <v>734</v>
      </c>
      <c r="B153" s="3">
        <v>810014679570</v>
      </c>
      <c r="C153" s="2" t="s">
        <v>966</v>
      </c>
      <c r="D153" s="30">
        <v>0.13</v>
      </c>
      <c r="E153" s="20">
        <v>12.18</v>
      </c>
      <c r="F153" s="27"/>
      <c r="G153" s="23">
        <f t="shared" si="8"/>
        <v>0</v>
      </c>
      <c r="J153" s="39" t="str">
        <f>IFERROR(IF($J$2*D153=0, "-", $J$2*D153), "-")</f>
        <v>-</v>
      </c>
      <c r="K153" s="39" t="str">
        <f t="shared" si="9"/>
        <v>-</v>
      </c>
      <c r="L153" s="40" t="str">
        <f>IF(F153&gt;0,F153*D153, "-")</f>
        <v>-</v>
      </c>
      <c r="M153" s="41" t="str">
        <f t="shared" si="10"/>
        <v>-</v>
      </c>
      <c r="O153" s="41" t="str">
        <f t="shared" si="11"/>
        <v>-</v>
      </c>
    </row>
    <row r="154" spans="1:15" x14ac:dyDescent="0.3">
      <c r="A154" s="4" t="s">
        <v>129</v>
      </c>
      <c r="B154" s="3">
        <v>810014675169</v>
      </c>
      <c r="C154" s="2" t="s">
        <v>967</v>
      </c>
      <c r="D154" s="30">
        <v>0.12</v>
      </c>
      <c r="E154" s="20">
        <v>12.18</v>
      </c>
      <c r="F154" s="27"/>
      <c r="G154" s="23">
        <f t="shared" si="8"/>
        <v>0</v>
      </c>
      <c r="J154" s="39" t="str">
        <f>IFERROR(IF($J$2*D154=0, "-", $J$2*D154), "-")</f>
        <v>-</v>
      </c>
      <c r="K154" s="39" t="str">
        <f t="shared" si="9"/>
        <v>-</v>
      </c>
      <c r="L154" s="40" t="str">
        <f>IF(F154&gt;0,F154*D154, "-")</f>
        <v>-</v>
      </c>
      <c r="M154" s="41" t="str">
        <f t="shared" si="10"/>
        <v>-</v>
      </c>
      <c r="O154" s="41" t="str">
        <f t="shared" si="11"/>
        <v>-</v>
      </c>
    </row>
    <row r="155" spans="1:15" x14ac:dyDescent="0.3">
      <c r="A155" s="4" t="s">
        <v>968</v>
      </c>
      <c r="B155" s="3">
        <v>810139575979</v>
      </c>
      <c r="C155" s="2" t="s">
        <v>969</v>
      </c>
      <c r="D155" s="30">
        <v>0.14000000000000001</v>
      </c>
      <c r="E155" s="20">
        <v>12.18</v>
      </c>
      <c r="F155" s="27"/>
      <c r="G155" s="23">
        <f t="shared" si="8"/>
        <v>0</v>
      </c>
      <c r="J155" s="39" t="str">
        <f>IFERROR(IF($J$2*D155=0, "-", $J$2*D155), "-")</f>
        <v>-</v>
      </c>
      <c r="K155" s="39" t="str">
        <f t="shared" si="9"/>
        <v>-</v>
      </c>
      <c r="L155" s="40" t="str">
        <f>IF(F155&gt;0,F155*D155, "-")</f>
        <v>-</v>
      </c>
      <c r="M155" s="41" t="str">
        <f t="shared" si="10"/>
        <v>-</v>
      </c>
      <c r="O155" s="41" t="str">
        <f t="shared" si="11"/>
        <v>-</v>
      </c>
    </row>
    <row r="156" spans="1:15" x14ac:dyDescent="0.3">
      <c r="A156" s="4" t="s">
        <v>731</v>
      </c>
      <c r="B156" s="3">
        <v>810014678856</v>
      </c>
      <c r="C156" s="2" t="s">
        <v>970</v>
      </c>
      <c r="D156" s="30">
        <v>7.0000000000000007E-2</v>
      </c>
      <c r="E156" s="20">
        <v>12.18</v>
      </c>
      <c r="F156" s="27"/>
      <c r="G156" s="23">
        <f t="shared" si="8"/>
        <v>0</v>
      </c>
      <c r="J156" s="39" t="str">
        <f>IFERROR(IF($J$2*D156=0, "-", $J$2*D156), "-")</f>
        <v>-</v>
      </c>
      <c r="K156" s="39" t="str">
        <f t="shared" si="9"/>
        <v>-</v>
      </c>
      <c r="L156" s="40" t="str">
        <f>IF(F156&gt;0,F156*D156, "-")</f>
        <v>-</v>
      </c>
      <c r="M156" s="41" t="str">
        <f t="shared" si="10"/>
        <v>-</v>
      </c>
      <c r="O156" s="41" t="str">
        <f t="shared" si="11"/>
        <v>-</v>
      </c>
    </row>
    <row r="157" spans="1:15" x14ac:dyDescent="0.3">
      <c r="A157" s="4" t="s">
        <v>13</v>
      </c>
      <c r="B157" s="3">
        <v>857077008503</v>
      </c>
      <c r="C157" s="2" t="s">
        <v>971</v>
      </c>
      <c r="D157" s="30">
        <v>0.09</v>
      </c>
      <c r="E157" s="20">
        <v>12.560625</v>
      </c>
      <c r="F157" s="27"/>
      <c r="G157" s="23">
        <f t="shared" si="8"/>
        <v>0</v>
      </c>
      <c r="J157" s="39" t="str">
        <f>IFERROR(IF($J$2*D157=0, "-", $J$2*D157), "-")</f>
        <v>-</v>
      </c>
      <c r="K157" s="39" t="str">
        <f t="shared" si="9"/>
        <v>-</v>
      </c>
      <c r="L157" s="40" t="str">
        <f>IF(F157&gt;0,F157*D157, "-")</f>
        <v>-</v>
      </c>
      <c r="M157" s="41" t="str">
        <f t="shared" si="10"/>
        <v>-</v>
      </c>
      <c r="O157" s="41" t="str">
        <f t="shared" si="11"/>
        <v>-</v>
      </c>
    </row>
    <row r="158" spans="1:15" x14ac:dyDescent="0.3">
      <c r="A158" s="4" t="s">
        <v>132</v>
      </c>
      <c r="B158" s="3">
        <v>810014678924</v>
      </c>
      <c r="C158" s="2" t="s">
        <v>972</v>
      </c>
      <c r="D158" s="30">
        <v>0.31</v>
      </c>
      <c r="E158" s="20">
        <v>12.560625</v>
      </c>
      <c r="F158" s="27"/>
      <c r="G158" s="23">
        <f t="shared" si="8"/>
        <v>0</v>
      </c>
      <c r="J158" s="39" t="str">
        <f>IFERROR(IF($J$2*D158=0, "-", $J$2*D158), "-")</f>
        <v>-</v>
      </c>
      <c r="K158" s="39" t="str">
        <f t="shared" si="9"/>
        <v>-</v>
      </c>
      <c r="L158" s="40" t="str">
        <f>IF(F158&gt;0,F158*D158, "-")</f>
        <v>-</v>
      </c>
      <c r="M158" s="41" t="str">
        <f t="shared" si="10"/>
        <v>-</v>
      </c>
      <c r="O158" s="41" t="str">
        <f t="shared" si="11"/>
        <v>-</v>
      </c>
    </row>
    <row r="159" spans="1:15" x14ac:dyDescent="0.3">
      <c r="A159" s="4" t="s">
        <v>18</v>
      </c>
      <c r="B159" s="3">
        <v>810014679099</v>
      </c>
      <c r="C159" s="2" t="s">
        <v>973</v>
      </c>
      <c r="D159" s="30">
        <v>0.13</v>
      </c>
      <c r="E159" s="20">
        <v>12.560625</v>
      </c>
      <c r="F159" s="27"/>
      <c r="G159" s="23">
        <f t="shared" si="8"/>
        <v>0</v>
      </c>
      <c r="J159" s="39" t="str">
        <f>IFERROR(IF($J$2*D159=0, "-", $J$2*D159), "-")</f>
        <v>-</v>
      </c>
      <c r="K159" s="39" t="str">
        <f t="shared" si="9"/>
        <v>-</v>
      </c>
      <c r="L159" s="40" t="str">
        <f>IF(F159&gt;0,F159*D159, "-")</f>
        <v>-</v>
      </c>
      <c r="M159" s="41" t="str">
        <f t="shared" si="10"/>
        <v>-</v>
      </c>
      <c r="O159" s="41" t="str">
        <f t="shared" si="11"/>
        <v>-</v>
      </c>
    </row>
    <row r="160" spans="1:15" x14ac:dyDescent="0.3">
      <c r="A160" s="4" t="s">
        <v>345</v>
      </c>
      <c r="B160" s="3">
        <v>810014672557</v>
      </c>
      <c r="C160" s="2" t="s">
        <v>974</v>
      </c>
      <c r="D160" s="30">
        <v>0.39</v>
      </c>
      <c r="E160" s="20">
        <v>12.94125</v>
      </c>
      <c r="F160" s="27"/>
      <c r="G160" s="23">
        <f t="shared" si="8"/>
        <v>0</v>
      </c>
      <c r="J160" s="39" t="str">
        <f>IFERROR(IF($J$2*D160=0, "-", $J$2*D160), "-")</f>
        <v>-</v>
      </c>
      <c r="K160" s="39" t="str">
        <f t="shared" si="9"/>
        <v>-</v>
      </c>
      <c r="L160" s="40" t="str">
        <f>IF(F160&gt;0,F160*D160, "-")</f>
        <v>-</v>
      </c>
      <c r="M160" s="41" t="str">
        <f t="shared" si="10"/>
        <v>-</v>
      </c>
      <c r="O160" s="41" t="str">
        <f t="shared" si="11"/>
        <v>-</v>
      </c>
    </row>
    <row r="161" spans="1:15" x14ac:dyDescent="0.3">
      <c r="A161" s="4" t="s">
        <v>624</v>
      </c>
      <c r="B161" s="3">
        <v>810014670485</v>
      </c>
      <c r="C161" s="2" t="s">
        <v>975</v>
      </c>
      <c r="D161" s="30">
        <v>0.33</v>
      </c>
      <c r="E161" s="20">
        <v>12.94125</v>
      </c>
      <c r="F161" s="27"/>
      <c r="G161" s="23">
        <f t="shared" si="8"/>
        <v>0</v>
      </c>
      <c r="J161" s="39" t="str">
        <f>IFERROR(IF($J$2*D161=0, "-", $J$2*D161), "-")</f>
        <v>-</v>
      </c>
      <c r="K161" s="39" t="str">
        <f t="shared" si="9"/>
        <v>-</v>
      </c>
      <c r="L161" s="40" t="str">
        <f>IF(F161&gt;0,F161*D161, "-")</f>
        <v>-</v>
      </c>
      <c r="M161" s="41" t="str">
        <f t="shared" si="10"/>
        <v>-</v>
      </c>
      <c r="O161" s="41" t="str">
        <f t="shared" si="11"/>
        <v>-</v>
      </c>
    </row>
    <row r="162" spans="1:15" x14ac:dyDescent="0.3">
      <c r="A162" s="4" t="s">
        <v>346</v>
      </c>
      <c r="B162" s="3">
        <v>810014672540</v>
      </c>
      <c r="C162" s="2" t="s">
        <v>976</v>
      </c>
      <c r="D162" s="30">
        <v>0.47</v>
      </c>
      <c r="E162" s="20">
        <v>12.94125</v>
      </c>
      <c r="F162" s="27"/>
      <c r="G162" s="23">
        <f t="shared" si="8"/>
        <v>0</v>
      </c>
      <c r="J162" s="39" t="str">
        <f>IFERROR(IF($J$2*D162=0, "-", $J$2*D162), "-")</f>
        <v>-</v>
      </c>
      <c r="K162" s="39" t="str">
        <f t="shared" si="9"/>
        <v>-</v>
      </c>
      <c r="L162" s="40" t="str">
        <f>IF(F162&gt;0,F162*D162, "-")</f>
        <v>-</v>
      </c>
      <c r="M162" s="41" t="str">
        <f t="shared" si="10"/>
        <v>-</v>
      </c>
      <c r="O162" s="41" t="str">
        <f t="shared" si="11"/>
        <v>-</v>
      </c>
    </row>
    <row r="163" spans="1:15" x14ac:dyDescent="0.3">
      <c r="A163" s="4" t="s">
        <v>677</v>
      </c>
      <c r="B163" s="3">
        <v>810139571605</v>
      </c>
      <c r="C163" s="2" t="s">
        <v>977</v>
      </c>
      <c r="D163" s="30">
        <v>0.35</v>
      </c>
      <c r="E163" s="20">
        <v>12.94125</v>
      </c>
      <c r="F163" s="27"/>
      <c r="G163" s="23">
        <f t="shared" si="8"/>
        <v>0</v>
      </c>
      <c r="J163" s="39" t="str">
        <f>IFERROR(IF($J$2*D163=0, "-", $J$2*D163), "-")</f>
        <v>-</v>
      </c>
      <c r="K163" s="39" t="str">
        <f t="shared" si="9"/>
        <v>-</v>
      </c>
      <c r="L163" s="40" t="str">
        <f>IF(F163&gt;0,F163*D163, "-")</f>
        <v>-</v>
      </c>
      <c r="M163" s="41" t="str">
        <f t="shared" si="10"/>
        <v>-</v>
      </c>
      <c r="O163" s="41" t="str">
        <f t="shared" si="11"/>
        <v>-</v>
      </c>
    </row>
    <row r="164" spans="1:15" x14ac:dyDescent="0.3">
      <c r="A164" s="4" t="s">
        <v>552</v>
      </c>
      <c r="B164" s="3">
        <v>810014673509</v>
      </c>
      <c r="C164" s="2" t="s">
        <v>978</v>
      </c>
      <c r="D164" s="30">
        <v>0.22</v>
      </c>
      <c r="E164" s="20">
        <v>12.94125</v>
      </c>
      <c r="F164" s="27"/>
      <c r="G164" s="23">
        <f t="shared" si="8"/>
        <v>0</v>
      </c>
      <c r="J164" s="39" t="str">
        <f>IFERROR(IF($J$2*D164=0, "-", $J$2*D164), "-")</f>
        <v>-</v>
      </c>
      <c r="K164" s="39" t="str">
        <f t="shared" si="9"/>
        <v>-</v>
      </c>
      <c r="L164" s="40" t="str">
        <f>IF(F164&gt;0,F164*D164, "-")</f>
        <v>-</v>
      </c>
      <c r="M164" s="41" t="str">
        <f t="shared" si="10"/>
        <v>-</v>
      </c>
      <c r="O164" s="41" t="str">
        <f t="shared" si="11"/>
        <v>-</v>
      </c>
    </row>
    <row r="165" spans="1:15" x14ac:dyDescent="0.3">
      <c r="A165" s="4" t="s">
        <v>327</v>
      </c>
      <c r="B165" s="3">
        <v>810014672700</v>
      </c>
      <c r="C165" s="2" t="s">
        <v>979</v>
      </c>
      <c r="D165" s="30">
        <v>0.21</v>
      </c>
      <c r="E165" s="20">
        <v>12.94125</v>
      </c>
      <c r="F165" s="27"/>
      <c r="G165" s="23">
        <f t="shared" si="8"/>
        <v>0</v>
      </c>
      <c r="J165" s="39" t="str">
        <f>IFERROR(IF($J$2*D165=0, "-", $J$2*D165), "-")</f>
        <v>-</v>
      </c>
      <c r="K165" s="39" t="str">
        <f t="shared" si="9"/>
        <v>-</v>
      </c>
      <c r="L165" s="40" t="str">
        <f>IF(F165&gt;0,F165*D165, "-")</f>
        <v>-</v>
      </c>
      <c r="M165" s="41" t="str">
        <f t="shared" si="10"/>
        <v>-</v>
      </c>
      <c r="O165" s="41" t="str">
        <f t="shared" si="11"/>
        <v>-</v>
      </c>
    </row>
    <row r="166" spans="1:15" x14ac:dyDescent="0.3">
      <c r="A166" s="4" t="s">
        <v>37</v>
      </c>
      <c r="B166" s="3">
        <v>810014673219</v>
      </c>
      <c r="C166" s="2" t="s">
        <v>980</v>
      </c>
      <c r="D166" s="30">
        <v>0.23</v>
      </c>
      <c r="E166" s="20">
        <v>12.94125</v>
      </c>
      <c r="F166" s="27"/>
      <c r="G166" s="23">
        <f t="shared" si="8"/>
        <v>0</v>
      </c>
      <c r="J166" s="39" t="str">
        <f>IFERROR(IF($J$2*D166=0, "-", $J$2*D166), "-")</f>
        <v>-</v>
      </c>
      <c r="K166" s="39" t="str">
        <f t="shared" si="9"/>
        <v>-</v>
      </c>
      <c r="L166" s="40" t="str">
        <f>IF(F166&gt;0,F166*D166, "-")</f>
        <v>-</v>
      </c>
      <c r="M166" s="41" t="str">
        <f t="shared" si="10"/>
        <v>-</v>
      </c>
      <c r="O166" s="41" t="str">
        <f t="shared" si="11"/>
        <v>-</v>
      </c>
    </row>
    <row r="167" spans="1:15" x14ac:dyDescent="0.3">
      <c r="A167" s="4" t="s">
        <v>690</v>
      </c>
      <c r="B167" s="3">
        <v>810014673066</v>
      </c>
      <c r="C167" s="2" t="s">
        <v>981</v>
      </c>
      <c r="D167" s="30">
        <v>0.32</v>
      </c>
      <c r="E167" s="20">
        <v>12.94125</v>
      </c>
      <c r="F167" s="27"/>
      <c r="G167" s="23">
        <f t="shared" si="8"/>
        <v>0</v>
      </c>
      <c r="J167" s="39" t="str">
        <f>IFERROR(IF($J$2*D167=0, "-", $J$2*D167), "-")</f>
        <v>-</v>
      </c>
      <c r="K167" s="39" t="str">
        <f t="shared" si="9"/>
        <v>-</v>
      </c>
      <c r="L167" s="40" t="str">
        <f>IF(F167&gt;0,F167*D167, "-")</f>
        <v>-</v>
      </c>
      <c r="M167" s="41" t="str">
        <f t="shared" si="10"/>
        <v>-</v>
      </c>
      <c r="O167" s="41" t="str">
        <f t="shared" si="11"/>
        <v>-</v>
      </c>
    </row>
    <row r="168" spans="1:15" x14ac:dyDescent="0.3">
      <c r="A168" s="4" t="s">
        <v>268</v>
      </c>
      <c r="B168" s="3">
        <v>810014678696</v>
      </c>
      <c r="C168" s="2" t="s">
        <v>982</v>
      </c>
      <c r="D168" s="30">
        <v>0.33</v>
      </c>
      <c r="E168" s="20">
        <v>12.94125</v>
      </c>
      <c r="F168" s="27"/>
      <c r="G168" s="23">
        <f t="shared" si="8"/>
        <v>0</v>
      </c>
      <c r="J168" s="39" t="str">
        <f>IFERROR(IF($J$2*D168=0, "-", $J$2*D168), "-")</f>
        <v>-</v>
      </c>
      <c r="K168" s="39" t="str">
        <f t="shared" si="9"/>
        <v>-</v>
      </c>
      <c r="L168" s="40" t="str">
        <f>IF(F168&gt;0,F168*D168, "-")</f>
        <v>-</v>
      </c>
      <c r="M168" s="41" t="str">
        <f t="shared" si="10"/>
        <v>-</v>
      </c>
      <c r="O168" s="41" t="str">
        <f t="shared" si="11"/>
        <v>-</v>
      </c>
    </row>
    <row r="169" spans="1:15" x14ac:dyDescent="0.3">
      <c r="A169" s="4" t="s">
        <v>222</v>
      </c>
      <c r="B169" s="3">
        <v>810139572565</v>
      </c>
      <c r="C169" s="2" t="s">
        <v>983</v>
      </c>
      <c r="D169" s="30">
        <v>0.19</v>
      </c>
      <c r="E169" s="20">
        <v>12.94125</v>
      </c>
      <c r="F169" s="27"/>
      <c r="G169" s="23">
        <f t="shared" si="8"/>
        <v>0</v>
      </c>
      <c r="J169" s="39" t="str">
        <f>IFERROR(IF($J$2*D169=0, "-", $J$2*D169), "-")</f>
        <v>-</v>
      </c>
      <c r="K169" s="39" t="str">
        <f t="shared" si="9"/>
        <v>-</v>
      </c>
      <c r="L169" s="40" t="str">
        <f>IF(F169&gt;0,F169*D169, "-")</f>
        <v>-</v>
      </c>
      <c r="M169" s="41" t="str">
        <f t="shared" si="10"/>
        <v>-</v>
      </c>
      <c r="O169" s="41" t="str">
        <f t="shared" si="11"/>
        <v>-</v>
      </c>
    </row>
    <row r="170" spans="1:15" x14ac:dyDescent="0.3">
      <c r="A170" s="4" t="s">
        <v>8</v>
      </c>
      <c r="B170" s="3">
        <v>810014670850</v>
      </c>
      <c r="C170" s="2" t="s">
        <v>984</v>
      </c>
      <c r="D170" s="30">
        <v>0.12</v>
      </c>
      <c r="E170" s="20">
        <v>12.94125</v>
      </c>
      <c r="F170" s="27"/>
      <c r="G170" s="23">
        <f t="shared" si="8"/>
        <v>0</v>
      </c>
      <c r="J170" s="39" t="str">
        <f>IFERROR(IF($J$2*D170=0, "-", $J$2*D170), "-")</f>
        <v>-</v>
      </c>
      <c r="K170" s="39" t="str">
        <f t="shared" si="9"/>
        <v>-</v>
      </c>
      <c r="L170" s="40" t="str">
        <f>IF(F170&gt;0,F170*D170, "-")</f>
        <v>-</v>
      </c>
      <c r="M170" s="41" t="str">
        <f t="shared" si="10"/>
        <v>-</v>
      </c>
      <c r="O170" s="41" t="str">
        <f t="shared" si="11"/>
        <v>-</v>
      </c>
    </row>
    <row r="171" spans="1:15" x14ac:dyDescent="0.3">
      <c r="A171" s="4" t="s">
        <v>985</v>
      </c>
      <c r="B171" s="3">
        <v>810139576730</v>
      </c>
      <c r="C171" s="2" t="s">
        <v>986</v>
      </c>
      <c r="D171" s="30">
        <v>0.16</v>
      </c>
      <c r="E171" s="20">
        <v>12.94125</v>
      </c>
      <c r="F171" s="27"/>
      <c r="G171" s="23">
        <f t="shared" si="8"/>
        <v>0</v>
      </c>
      <c r="J171" s="39" t="str">
        <f>IFERROR(IF($J$2*D171=0, "-", $J$2*D171), "-")</f>
        <v>-</v>
      </c>
      <c r="K171" s="39" t="str">
        <f t="shared" si="9"/>
        <v>-</v>
      </c>
      <c r="L171" s="40" t="str">
        <f>IF(F171&gt;0,F171*D171, "-")</f>
        <v>-</v>
      </c>
      <c r="M171" s="41" t="str">
        <f t="shared" si="10"/>
        <v>-</v>
      </c>
      <c r="O171" s="41" t="str">
        <f t="shared" si="11"/>
        <v>-</v>
      </c>
    </row>
    <row r="172" spans="1:15" x14ac:dyDescent="0.3">
      <c r="A172" s="4" t="s">
        <v>56</v>
      </c>
      <c r="B172" s="3">
        <v>857077008190</v>
      </c>
      <c r="C172" s="2" t="s">
        <v>987</v>
      </c>
      <c r="D172" s="30">
        <v>0.28000000000000003</v>
      </c>
      <c r="E172" s="20">
        <v>12.94125</v>
      </c>
      <c r="F172" s="27"/>
      <c r="G172" s="23">
        <f t="shared" si="8"/>
        <v>0</v>
      </c>
      <c r="J172" s="39" t="str">
        <f>IFERROR(IF($J$2*D172=0, "-", $J$2*D172), "-")</f>
        <v>-</v>
      </c>
      <c r="K172" s="39" t="str">
        <f t="shared" si="9"/>
        <v>-</v>
      </c>
      <c r="L172" s="40" t="str">
        <f>IF(F172&gt;0,F172*D172, "-")</f>
        <v>-</v>
      </c>
      <c r="M172" s="41" t="str">
        <f t="shared" si="10"/>
        <v>-</v>
      </c>
      <c r="O172" s="41" t="str">
        <f t="shared" si="11"/>
        <v>-</v>
      </c>
    </row>
    <row r="173" spans="1:15" x14ac:dyDescent="0.3">
      <c r="A173" s="4" t="s">
        <v>988</v>
      </c>
      <c r="B173" s="3">
        <v>810139574248</v>
      </c>
      <c r="C173" s="2" t="s">
        <v>989</v>
      </c>
      <c r="D173" s="30">
        <v>0.13</v>
      </c>
      <c r="E173" s="20">
        <v>12.94125</v>
      </c>
      <c r="F173" s="27"/>
      <c r="G173" s="23">
        <f t="shared" si="8"/>
        <v>0</v>
      </c>
      <c r="J173" s="39" t="str">
        <f>IFERROR(IF($J$2*D173=0, "-", $J$2*D173), "-")</f>
        <v>-</v>
      </c>
      <c r="K173" s="39" t="str">
        <f t="shared" si="9"/>
        <v>-</v>
      </c>
      <c r="L173" s="40" t="str">
        <f>IF(F173&gt;0,F173*D173, "-")</f>
        <v>-</v>
      </c>
      <c r="M173" s="41" t="str">
        <f t="shared" si="10"/>
        <v>-</v>
      </c>
      <c r="O173" s="41" t="str">
        <f t="shared" si="11"/>
        <v>-</v>
      </c>
    </row>
    <row r="174" spans="1:15" x14ac:dyDescent="0.3">
      <c r="A174" s="4" t="s">
        <v>683</v>
      </c>
      <c r="B174" s="3">
        <v>810014674834</v>
      </c>
      <c r="C174" s="2" t="s">
        <v>990</v>
      </c>
      <c r="D174" s="30">
        <v>0.26</v>
      </c>
      <c r="E174" s="20">
        <v>12.94125</v>
      </c>
      <c r="F174" s="27"/>
      <c r="G174" s="23">
        <f t="shared" si="8"/>
        <v>0</v>
      </c>
      <c r="J174" s="39" t="str">
        <f>IFERROR(IF($J$2*D174=0, "-", $J$2*D174), "-")</f>
        <v>-</v>
      </c>
      <c r="K174" s="39" t="str">
        <f t="shared" si="9"/>
        <v>-</v>
      </c>
      <c r="L174" s="40" t="str">
        <f>IF(F174&gt;0,F174*D174, "-")</f>
        <v>-</v>
      </c>
      <c r="M174" s="41" t="str">
        <f t="shared" si="10"/>
        <v>-</v>
      </c>
      <c r="O174" s="41" t="str">
        <f t="shared" si="11"/>
        <v>-</v>
      </c>
    </row>
    <row r="175" spans="1:15" x14ac:dyDescent="0.3">
      <c r="A175" s="4" t="s">
        <v>393</v>
      </c>
      <c r="B175" s="3">
        <v>810014675008</v>
      </c>
      <c r="C175" s="2" t="s">
        <v>991</v>
      </c>
      <c r="D175" s="30">
        <v>0.14000000000000001</v>
      </c>
      <c r="E175" s="20">
        <v>12.94125</v>
      </c>
      <c r="F175" s="27"/>
      <c r="G175" s="23">
        <f t="shared" si="8"/>
        <v>0</v>
      </c>
      <c r="J175" s="39" t="str">
        <f>IFERROR(IF($J$2*D175=0, "-", $J$2*D175), "-")</f>
        <v>-</v>
      </c>
      <c r="K175" s="39" t="str">
        <f t="shared" si="9"/>
        <v>-</v>
      </c>
      <c r="L175" s="40" t="str">
        <f>IF(F175&gt;0,F175*D175, "-")</f>
        <v>-</v>
      </c>
      <c r="M175" s="41" t="str">
        <f t="shared" si="10"/>
        <v>-</v>
      </c>
      <c r="O175" s="41" t="str">
        <f t="shared" si="11"/>
        <v>-</v>
      </c>
    </row>
    <row r="176" spans="1:15" x14ac:dyDescent="0.3">
      <c r="A176" s="4" t="s">
        <v>495</v>
      </c>
      <c r="B176" s="3">
        <v>810014674926</v>
      </c>
      <c r="C176" s="2" t="s">
        <v>992</v>
      </c>
      <c r="D176" s="30">
        <v>0.13</v>
      </c>
      <c r="E176" s="20">
        <v>12.94125</v>
      </c>
      <c r="F176" s="27"/>
      <c r="G176" s="23">
        <f t="shared" si="8"/>
        <v>0</v>
      </c>
      <c r="J176" s="39" t="str">
        <f>IFERROR(IF($J$2*D176=0, "-", $J$2*D176), "-")</f>
        <v>-</v>
      </c>
      <c r="K176" s="39" t="str">
        <f t="shared" si="9"/>
        <v>-</v>
      </c>
      <c r="L176" s="40" t="str">
        <f>IF(F176&gt;0,F176*D176, "-")</f>
        <v>-</v>
      </c>
      <c r="M176" s="41" t="str">
        <f t="shared" si="10"/>
        <v>-</v>
      </c>
      <c r="O176" s="41" t="str">
        <f t="shared" si="11"/>
        <v>-</v>
      </c>
    </row>
    <row r="177" spans="1:15" x14ac:dyDescent="0.3">
      <c r="A177" s="4" t="s">
        <v>251</v>
      </c>
      <c r="B177" s="3">
        <v>810014673271</v>
      </c>
      <c r="C177" s="2" t="s">
        <v>993</v>
      </c>
      <c r="D177" s="30">
        <v>0.18</v>
      </c>
      <c r="E177" s="20">
        <v>12.94125</v>
      </c>
      <c r="F177" s="27"/>
      <c r="G177" s="23">
        <f t="shared" si="8"/>
        <v>0</v>
      </c>
      <c r="J177" s="39" t="str">
        <f>IFERROR(IF($J$2*D177=0, "-", $J$2*D177), "-")</f>
        <v>-</v>
      </c>
      <c r="K177" s="39" t="str">
        <f t="shared" si="9"/>
        <v>-</v>
      </c>
      <c r="L177" s="40" t="str">
        <f>IF(F177&gt;0,F177*D177, "-")</f>
        <v>-</v>
      </c>
      <c r="M177" s="41" t="str">
        <f t="shared" si="10"/>
        <v>-</v>
      </c>
      <c r="O177" s="41" t="str">
        <f t="shared" si="11"/>
        <v>-</v>
      </c>
    </row>
    <row r="178" spans="1:15" x14ac:dyDescent="0.3">
      <c r="A178" s="4" t="s">
        <v>441</v>
      </c>
      <c r="B178" s="3">
        <v>810139571384</v>
      </c>
      <c r="C178" s="2" t="s">
        <v>994</v>
      </c>
      <c r="D178" s="30">
        <v>0.11</v>
      </c>
      <c r="E178" s="20">
        <v>12.94125</v>
      </c>
      <c r="F178" s="27"/>
      <c r="G178" s="23">
        <f t="shared" si="8"/>
        <v>0</v>
      </c>
      <c r="J178" s="39" t="str">
        <f>IFERROR(IF($J$2*D178=0, "-", $J$2*D178), "-")</f>
        <v>-</v>
      </c>
      <c r="K178" s="39" t="str">
        <f t="shared" si="9"/>
        <v>-</v>
      </c>
      <c r="L178" s="40" t="str">
        <f>IF(F178&gt;0,F178*D178, "-")</f>
        <v>-</v>
      </c>
      <c r="M178" s="41" t="str">
        <f t="shared" si="10"/>
        <v>-</v>
      </c>
      <c r="O178" s="41" t="str">
        <f t="shared" si="11"/>
        <v>-</v>
      </c>
    </row>
    <row r="179" spans="1:15" x14ac:dyDescent="0.3">
      <c r="A179" s="4" t="s">
        <v>413</v>
      </c>
      <c r="B179" s="3">
        <v>810139572244</v>
      </c>
      <c r="C179" s="2" t="s">
        <v>995</v>
      </c>
      <c r="D179" s="30">
        <v>0.19</v>
      </c>
      <c r="E179" s="20">
        <v>12.94125</v>
      </c>
      <c r="F179" s="27"/>
      <c r="G179" s="23">
        <f t="shared" si="8"/>
        <v>0</v>
      </c>
      <c r="J179" s="39" t="str">
        <f>IFERROR(IF($J$2*D179=0, "-", $J$2*D179), "-")</f>
        <v>-</v>
      </c>
      <c r="K179" s="39" t="str">
        <f t="shared" si="9"/>
        <v>-</v>
      </c>
      <c r="L179" s="40" t="str">
        <f>IF(F179&gt;0,F179*D179, "-")</f>
        <v>-</v>
      </c>
      <c r="M179" s="41" t="str">
        <f t="shared" si="10"/>
        <v>-</v>
      </c>
      <c r="O179" s="41" t="str">
        <f t="shared" si="11"/>
        <v>-</v>
      </c>
    </row>
    <row r="180" spans="1:15" x14ac:dyDescent="0.3">
      <c r="A180" s="4" t="s">
        <v>315</v>
      </c>
      <c r="B180" s="3">
        <v>810014670744</v>
      </c>
      <c r="C180" s="2" t="s">
        <v>996</v>
      </c>
      <c r="D180" s="30">
        <v>0.12</v>
      </c>
      <c r="E180" s="20">
        <v>12.94125</v>
      </c>
      <c r="F180" s="27"/>
      <c r="G180" s="23">
        <f t="shared" si="8"/>
        <v>0</v>
      </c>
      <c r="J180" s="39" t="str">
        <f>IFERROR(IF($J$2*D180=0, "-", $J$2*D180), "-")</f>
        <v>-</v>
      </c>
      <c r="K180" s="39" t="str">
        <f t="shared" si="9"/>
        <v>-</v>
      </c>
      <c r="L180" s="40" t="str">
        <f>IF(F180&gt;0,F180*D180, "-")</f>
        <v>-</v>
      </c>
      <c r="M180" s="41" t="str">
        <f t="shared" si="10"/>
        <v>-</v>
      </c>
      <c r="O180" s="41" t="str">
        <f t="shared" si="11"/>
        <v>-</v>
      </c>
    </row>
    <row r="181" spans="1:15" x14ac:dyDescent="0.3">
      <c r="A181" s="4" t="s">
        <v>997</v>
      </c>
      <c r="B181" s="3">
        <v>810139576280</v>
      </c>
      <c r="C181" s="2" t="s">
        <v>998</v>
      </c>
      <c r="D181" s="30">
        <v>0.09</v>
      </c>
      <c r="E181" s="20">
        <v>12.94125</v>
      </c>
      <c r="F181" s="27"/>
      <c r="G181" s="23">
        <f t="shared" si="8"/>
        <v>0</v>
      </c>
      <c r="J181" s="39" t="str">
        <f>IFERROR(IF($J$2*D181=0, "-", $J$2*D181), "-")</f>
        <v>-</v>
      </c>
      <c r="K181" s="39" t="str">
        <f t="shared" si="9"/>
        <v>-</v>
      </c>
      <c r="L181" s="40" t="str">
        <f>IF(F181&gt;0,F181*D181, "-")</f>
        <v>-</v>
      </c>
      <c r="M181" s="41" t="str">
        <f t="shared" si="10"/>
        <v>-</v>
      </c>
      <c r="O181" s="41" t="str">
        <f t="shared" si="11"/>
        <v>-</v>
      </c>
    </row>
    <row r="182" spans="1:15" x14ac:dyDescent="0.3">
      <c r="A182" s="4" t="s">
        <v>351</v>
      </c>
      <c r="B182" s="3">
        <v>810014671246</v>
      </c>
      <c r="C182" s="2" t="s">
        <v>999</v>
      </c>
      <c r="D182" s="30">
        <v>0.16</v>
      </c>
      <c r="E182" s="20">
        <v>12.94125</v>
      </c>
      <c r="F182" s="27"/>
      <c r="G182" s="23">
        <f t="shared" si="8"/>
        <v>0</v>
      </c>
      <c r="J182" s="39" t="str">
        <f>IFERROR(IF($J$2*D182=0, "-", $J$2*D182), "-")</f>
        <v>-</v>
      </c>
      <c r="K182" s="39" t="str">
        <f t="shared" si="9"/>
        <v>-</v>
      </c>
      <c r="L182" s="40" t="str">
        <f>IF(F182&gt;0,F182*D182, "-")</f>
        <v>-</v>
      </c>
      <c r="M182" s="41" t="str">
        <f t="shared" si="10"/>
        <v>-</v>
      </c>
      <c r="O182" s="41" t="str">
        <f t="shared" si="11"/>
        <v>-</v>
      </c>
    </row>
    <row r="183" spans="1:15" x14ac:dyDescent="0.3">
      <c r="A183" s="4" t="s">
        <v>127</v>
      </c>
      <c r="B183" s="3">
        <v>810014675183</v>
      </c>
      <c r="C183" s="2" t="s">
        <v>1000</v>
      </c>
      <c r="D183" s="30">
        <v>0.24</v>
      </c>
      <c r="E183" s="20">
        <v>12.94125</v>
      </c>
      <c r="F183" s="27"/>
      <c r="G183" s="23">
        <f t="shared" si="8"/>
        <v>0</v>
      </c>
      <c r="J183" s="39" t="str">
        <f>IFERROR(IF($J$2*D183=0, "-", $J$2*D183), "-")</f>
        <v>-</v>
      </c>
      <c r="K183" s="39" t="str">
        <f t="shared" si="9"/>
        <v>-</v>
      </c>
      <c r="L183" s="40" t="str">
        <f>IF(F183&gt;0,F183*D183, "-")</f>
        <v>-</v>
      </c>
      <c r="M183" s="41" t="str">
        <f t="shared" si="10"/>
        <v>-</v>
      </c>
      <c r="O183" s="41" t="str">
        <f t="shared" si="11"/>
        <v>-</v>
      </c>
    </row>
    <row r="184" spans="1:15" x14ac:dyDescent="0.3">
      <c r="A184" s="4" t="s">
        <v>408</v>
      </c>
      <c r="B184" s="3">
        <v>810014679372</v>
      </c>
      <c r="C184" s="2" t="s">
        <v>1001</v>
      </c>
      <c r="D184" s="30">
        <v>7.0000000000000007E-2</v>
      </c>
      <c r="E184" s="20">
        <v>12.94125</v>
      </c>
      <c r="F184" s="27"/>
      <c r="G184" s="23">
        <f t="shared" si="8"/>
        <v>0</v>
      </c>
      <c r="J184" s="39" t="str">
        <f>IFERROR(IF($J$2*D184=0, "-", $J$2*D184), "-")</f>
        <v>-</v>
      </c>
      <c r="K184" s="39" t="str">
        <f t="shared" si="9"/>
        <v>-</v>
      </c>
      <c r="L184" s="40" t="str">
        <f>IF(F184&gt;0,F184*D184, "-")</f>
        <v>-</v>
      </c>
      <c r="M184" s="41" t="str">
        <f t="shared" si="10"/>
        <v>-</v>
      </c>
      <c r="O184" s="41" t="str">
        <f t="shared" si="11"/>
        <v>-</v>
      </c>
    </row>
    <row r="185" spans="1:15" x14ac:dyDescent="0.3">
      <c r="A185" s="4" t="s">
        <v>134</v>
      </c>
      <c r="B185" s="3">
        <v>810014672694</v>
      </c>
      <c r="C185" s="2" t="s">
        <v>1002</v>
      </c>
      <c r="D185" s="30">
        <v>0.38</v>
      </c>
      <c r="E185" s="20">
        <v>13.321875</v>
      </c>
      <c r="F185" s="27"/>
      <c r="G185" s="23">
        <f t="shared" si="8"/>
        <v>0</v>
      </c>
      <c r="J185" s="39" t="str">
        <f>IFERROR(IF($J$2*D185=0, "-", $J$2*D185), "-")</f>
        <v>-</v>
      </c>
      <c r="K185" s="39" t="str">
        <f t="shared" si="9"/>
        <v>-</v>
      </c>
      <c r="L185" s="40" t="str">
        <f>IF(F185&gt;0,F185*D185, "-")</f>
        <v>-</v>
      </c>
      <c r="M185" s="41" t="str">
        <f t="shared" si="10"/>
        <v>-</v>
      </c>
      <c r="O185" s="41" t="str">
        <f t="shared" si="11"/>
        <v>-</v>
      </c>
    </row>
    <row r="186" spans="1:15" x14ac:dyDescent="0.3">
      <c r="A186" s="4" t="s">
        <v>422</v>
      </c>
      <c r="B186" s="3">
        <v>810014670492</v>
      </c>
      <c r="C186" s="2" t="s">
        <v>1003</v>
      </c>
      <c r="D186" s="30">
        <v>0.15</v>
      </c>
      <c r="E186" s="20">
        <v>13.321875</v>
      </c>
      <c r="F186" s="27"/>
      <c r="G186" s="23">
        <f t="shared" si="8"/>
        <v>0</v>
      </c>
      <c r="J186" s="39" t="str">
        <f>IFERROR(IF($J$2*D186=0, "-", $J$2*D186), "-")</f>
        <v>-</v>
      </c>
      <c r="K186" s="39" t="str">
        <f t="shared" si="9"/>
        <v>-</v>
      </c>
      <c r="L186" s="40" t="str">
        <f>IF(F186&gt;0,F186*D186, "-")</f>
        <v>-</v>
      </c>
      <c r="M186" s="41" t="str">
        <f t="shared" si="10"/>
        <v>-</v>
      </c>
      <c r="O186" s="41" t="str">
        <f t="shared" si="11"/>
        <v>-</v>
      </c>
    </row>
    <row r="187" spans="1:15" x14ac:dyDescent="0.3">
      <c r="A187" s="4" t="s">
        <v>497</v>
      </c>
      <c r="B187" s="3">
        <v>810014670461</v>
      </c>
      <c r="C187" s="2" t="s">
        <v>1004</v>
      </c>
      <c r="D187" s="30">
        <v>0.15</v>
      </c>
      <c r="E187" s="20">
        <v>13.321875</v>
      </c>
      <c r="F187" s="27"/>
      <c r="G187" s="23">
        <f t="shared" si="8"/>
        <v>0</v>
      </c>
      <c r="J187" s="39" t="str">
        <f>IFERROR(IF($J$2*D187=0, "-", $J$2*D187), "-")</f>
        <v>-</v>
      </c>
      <c r="K187" s="39" t="str">
        <f t="shared" si="9"/>
        <v>-</v>
      </c>
      <c r="L187" s="40" t="str">
        <f>IF(F187&gt;0,F187*D187, "-")</f>
        <v>-</v>
      </c>
      <c r="M187" s="41" t="str">
        <f t="shared" si="10"/>
        <v>-</v>
      </c>
      <c r="O187" s="41" t="str">
        <f t="shared" si="11"/>
        <v>-</v>
      </c>
    </row>
    <row r="188" spans="1:15" x14ac:dyDescent="0.3">
      <c r="A188" s="4" t="s">
        <v>1005</v>
      </c>
      <c r="B188" s="3">
        <v>810139575689</v>
      </c>
      <c r="C188" s="2" t="s">
        <v>1006</v>
      </c>
      <c r="D188" s="30">
        <v>0.13</v>
      </c>
      <c r="E188" s="20">
        <v>13.321875</v>
      </c>
      <c r="F188" s="27"/>
      <c r="G188" s="23">
        <f t="shared" si="8"/>
        <v>0</v>
      </c>
      <c r="J188" s="39" t="str">
        <f>IFERROR(IF($J$2*D188=0, "-", $J$2*D188), "-")</f>
        <v>-</v>
      </c>
      <c r="K188" s="39" t="str">
        <f t="shared" si="9"/>
        <v>-</v>
      </c>
      <c r="L188" s="40" t="str">
        <f>IF(F188&gt;0,F188*D188, "-")</f>
        <v>-</v>
      </c>
      <c r="M188" s="41" t="str">
        <f t="shared" si="10"/>
        <v>-</v>
      </c>
      <c r="O188" s="41" t="str">
        <f t="shared" si="11"/>
        <v>-</v>
      </c>
    </row>
    <row r="189" spans="1:15" x14ac:dyDescent="0.3">
      <c r="A189" s="4" t="s">
        <v>607</v>
      </c>
      <c r="B189" s="3">
        <v>810014679495</v>
      </c>
      <c r="C189" s="2" t="s">
        <v>1007</v>
      </c>
      <c r="D189" s="30">
        <v>0.22</v>
      </c>
      <c r="E189" s="20">
        <v>13.321875</v>
      </c>
      <c r="F189" s="27"/>
      <c r="G189" s="23">
        <f t="shared" si="8"/>
        <v>0</v>
      </c>
      <c r="J189" s="39" t="str">
        <f>IFERROR(IF($J$2*D189=0, "-", $J$2*D189), "-")</f>
        <v>-</v>
      </c>
      <c r="K189" s="39" t="str">
        <f t="shared" si="9"/>
        <v>-</v>
      </c>
      <c r="L189" s="40" t="str">
        <f>IF(F189&gt;0,F189*D189, "-")</f>
        <v>-</v>
      </c>
      <c r="M189" s="41" t="str">
        <f t="shared" si="10"/>
        <v>-</v>
      </c>
      <c r="O189" s="41" t="str">
        <f t="shared" si="11"/>
        <v>-</v>
      </c>
    </row>
    <row r="190" spans="1:15" x14ac:dyDescent="0.3">
      <c r="A190" s="4" t="s">
        <v>575</v>
      </c>
      <c r="B190" s="3">
        <v>810014673479</v>
      </c>
      <c r="C190" s="2" t="s">
        <v>1008</v>
      </c>
      <c r="D190" s="30">
        <v>0.11</v>
      </c>
      <c r="E190" s="20">
        <v>13.321875</v>
      </c>
      <c r="F190" s="27"/>
      <c r="G190" s="23">
        <f t="shared" si="8"/>
        <v>0</v>
      </c>
      <c r="J190" s="39" t="str">
        <f>IFERROR(IF($J$2*D190=0, "-", $J$2*D190), "-")</f>
        <v>-</v>
      </c>
      <c r="K190" s="39" t="str">
        <f t="shared" si="9"/>
        <v>-</v>
      </c>
      <c r="L190" s="40" t="str">
        <f>IF(F190&gt;0,F190*D190, "-")</f>
        <v>-</v>
      </c>
      <c r="M190" s="41" t="str">
        <f t="shared" si="10"/>
        <v>-</v>
      </c>
      <c r="O190" s="41" t="str">
        <f t="shared" si="11"/>
        <v>-</v>
      </c>
    </row>
    <row r="191" spans="1:15" x14ac:dyDescent="0.3">
      <c r="A191" s="4" t="s">
        <v>590</v>
      </c>
      <c r="B191" s="3">
        <v>810014673400</v>
      </c>
      <c r="C191" s="2" t="s">
        <v>1009</v>
      </c>
      <c r="D191" s="30">
        <v>0.13</v>
      </c>
      <c r="E191" s="20">
        <v>13.321875</v>
      </c>
      <c r="F191" s="27"/>
      <c r="G191" s="23">
        <f t="shared" si="8"/>
        <v>0</v>
      </c>
      <c r="J191" s="39" t="str">
        <f>IFERROR(IF($J$2*D191=0, "-", $J$2*D191), "-")</f>
        <v>-</v>
      </c>
      <c r="K191" s="39" t="str">
        <f t="shared" si="9"/>
        <v>-</v>
      </c>
      <c r="L191" s="40" t="str">
        <f>IF(F191&gt;0,F191*D191, "-")</f>
        <v>-</v>
      </c>
      <c r="M191" s="41" t="str">
        <f t="shared" si="10"/>
        <v>-</v>
      </c>
      <c r="O191" s="41" t="str">
        <f t="shared" si="11"/>
        <v>-</v>
      </c>
    </row>
    <row r="192" spans="1:15" x14ac:dyDescent="0.3">
      <c r="A192" s="4" t="s">
        <v>609</v>
      </c>
      <c r="B192" s="3">
        <v>810014673981</v>
      </c>
      <c r="C192" s="2" t="s">
        <v>1010</v>
      </c>
      <c r="D192" s="30">
        <v>0.11</v>
      </c>
      <c r="E192" s="20">
        <v>13.321875</v>
      </c>
      <c r="F192" s="27"/>
      <c r="G192" s="23">
        <f t="shared" si="8"/>
        <v>0</v>
      </c>
      <c r="J192" s="39" t="str">
        <f>IFERROR(IF($J$2*D192=0, "-", $J$2*D192), "-")</f>
        <v>-</v>
      </c>
      <c r="K192" s="39" t="str">
        <f t="shared" si="9"/>
        <v>-</v>
      </c>
      <c r="L192" s="40" t="str">
        <f>IF(F192&gt;0,F192*D192, "-")</f>
        <v>-</v>
      </c>
      <c r="M192" s="41" t="str">
        <f t="shared" si="10"/>
        <v>-</v>
      </c>
      <c r="O192" s="41" t="str">
        <f t="shared" si="11"/>
        <v>-</v>
      </c>
    </row>
    <row r="193" spans="1:15" x14ac:dyDescent="0.3">
      <c r="A193" s="4" t="s">
        <v>472</v>
      </c>
      <c r="B193" s="3">
        <v>810014675794</v>
      </c>
      <c r="C193" s="2" t="s">
        <v>1011</v>
      </c>
      <c r="D193" s="30">
        <v>0.17</v>
      </c>
      <c r="E193" s="20">
        <v>13.321875</v>
      </c>
      <c r="F193" s="27"/>
      <c r="G193" s="23">
        <f t="shared" si="8"/>
        <v>0</v>
      </c>
      <c r="J193" s="39" t="str">
        <f>IFERROR(IF($J$2*D193=0, "-", $J$2*D193), "-")</f>
        <v>-</v>
      </c>
      <c r="K193" s="39" t="str">
        <f t="shared" si="9"/>
        <v>-</v>
      </c>
      <c r="L193" s="40" t="str">
        <f>IF(F193&gt;0,F193*D193, "-")</f>
        <v>-</v>
      </c>
      <c r="M193" s="41" t="str">
        <f t="shared" si="10"/>
        <v>-</v>
      </c>
      <c r="O193" s="41" t="str">
        <f t="shared" si="11"/>
        <v>-</v>
      </c>
    </row>
    <row r="194" spans="1:15" x14ac:dyDescent="0.3">
      <c r="A194" s="4" t="s">
        <v>516</v>
      </c>
      <c r="B194" s="3">
        <v>810014673295</v>
      </c>
      <c r="C194" s="2" t="s">
        <v>1012</v>
      </c>
      <c r="D194" s="30">
        <v>0.12</v>
      </c>
      <c r="E194" s="20">
        <v>13.321875</v>
      </c>
      <c r="F194" s="27"/>
      <c r="G194" s="23">
        <f t="shared" si="8"/>
        <v>0</v>
      </c>
      <c r="J194" s="39" t="str">
        <f>IFERROR(IF($J$2*D194=0, "-", $J$2*D194), "-")</f>
        <v>-</v>
      </c>
      <c r="K194" s="39" t="str">
        <f t="shared" si="9"/>
        <v>-</v>
      </c>
      <c r="L194" s="40" t="str">
        <f>IF(F194&gt;0,F194*D194, "-")</f>
        <v>-</v>
      </c>
      <c r="M194" s="41" t="str">
        <f t="shared" si="10"/>
        <v>-</v>
      </c>
      <c r="O194" s="41" t="str">
        <f t="shared" si="11"/>
        <v>-</v>
      </c>
    </row>
    <row r="195" spans="1:15" x14ac:dyDescent="0.3">
      <c r="A195" s="4" t="s">
        <v>22</v>
      </c>
      <c r="B195" s="3">
        <v>810014671161</v>
      </c>
      <c r="C195" s="2" t="s">
        <v>1013</v>
      </c>
      <c r="D195" s="30">
        <v>0.12</v>
      </c>
      <c r="E195" s="20">
        <v>13.321875</v>
      </c>
      <c r="F195" s="27"/>
      <c r="G195" s="23">
        <f t="shared" si="8"/>
        <v>0</v>
      </c>
      <c r="J195" s="39" t="str">
        <f>IFERROR(IF($J$2*D195=0, "-", $J$2*D195), "-")</f>
        <v>-</v>
      </c>
      <c r="K195" s="39" t="str">
        <f t="shared" si="9"/>
        <v>-</v>
      </c>
      <c r="L195" s="40" t="str">
        <f>IF(F195&gt;0,F195*D195, "-")</f>
        <v>-</v>
      </c>
      <c r="M195" s="41" t="str">
        <f t="shared" si="10"/>
        <v>-</v>
      </c>
      <c r="O195" s="41" t="str">
        <f t="shared" si="11"/>
        <v>-</v>
      </c>
    </row>
    <row r="196" spans="1:15" x14ac:dyDescent="0.3">
      <c r="A196" s="4" t="s">
        <v>284</v>
      </c>
      <c r="B196" s="3">
        <v>810014671437</v>
      </c>
      <c r="C196" s="2" t="s">
        <v>1014</v>
      </c>
      <c r="D196" s="30">
        <v>0.14000000000000001</v>
      </c>
      <c r="E196" s="20">
        <v>13.321875</v>
      </c>
      <c r="F196" s="27"/>
      <c r="G196" s="23">
        <f t="shared" ref="G196:G259" si="12">F196*E196</f>
        <v>0</v>
      </c>
      <c r="J196" s="39" t="str">
        <f>IFERROR(IF($J$2*D196=0, "-", $J$2*D196), "-")</f>
        <v>-</v>
      </c>
      <c r="K196" s="39" t="str">
        <f t="shared" ref="K196:K259" si="13">IF(F196&gt;0,E196+J196,"-")</f>
        <v>-</v>
      </c>
      <c r="L196" s="40" t="str">
        <f>IF(F196&gt;0,F196*D196, "-")</f>
        <v>-</v>
      </c>
      <c r="M196" s="41" t="str">
        <f t="shared" ref="M196:M259" si="14">IFERROR(IF($J$2&gt;0, $J$2*L196, "-"), "-")</f>
        <v>-</v>
      </c>
      <c r="O196" s="41" t="str">
        <f t="shared" ref="O196:O259" si="15">IFERROR(IF(M196+G196=0, "-", IF(M196&gt;0, M196+G196, "-")), "-")</f>
        <v>-</v>
      </c>
    </row>
    <row r="197" spans="1:15" x14ac:dyDescent="0.3">
      <c r="A197" s="4" t="s">
        <v>262</v>
      </c>
      <c r="B197" s="3">
        <v>810014674803</v>
      </c>
      <c r="C197" s="2" t="s">
        <v>1015</v>
      </c>
      <c r="D197" s="30">
        <v>0.15</v>
      </c>
      <c r="E197" s="20">
        <v>13.321875</v>
      </c>
      <c r="F197" s="27"/>
      <c r="G197" s="23">
        <f t="shared" si="12"/>
        <v>0</v>
      </c>
      <c r="J197" s="39" t="str">
        <f>IFERROR(IF($J$2*D197=0, "-", $J$2*D197), "-")</f>
        <v>-</v>
      </c>
      <c r="K197" s="39" t="str">
        <f t="shared" si="13"/>
        <v>-</v>
      </c>
      <c r="L197" s="40" t="str">
        <f>IF(F197&gt;0,F197*D197, "-")</f>
        <v>-</v>
      </c>
      <c r="M197" s="41" t="str">
        <f t="shared" si="14"/>
        <v>-</v>
      </c>
      <c r="O197" s="41" t="str">
        <f t="shared" si="15"/>
        <v>-</v>
      </c>
    </row>
    <row r="198" spans="1:15" x14ac:dyDescent="0.3">
      <c r="A198" s="4" t="s">
        <v>5</v>
      </c>
      <c r="B198" s="3">
        <v>810014675138</v>
      </c>
      <c r="C198" s="2" t="s">
        <v>1016</v>
      </c>
      <c r="D198" s="30">
        <v>0.08</v>
      </c>
      <c r="E198" s="20">
        <v>13.321875</v>
      </c>
      <c r="F198" s="27"/>
      <c r="G198" s="23">
        <f t="shared" si="12"/>
        <v>0</v>
      </c>
      <c r="J198" s="39" t="str">
        <f>IFERROR(IF($J$2*D198=0, "-", $J$2*D198), "-")</f>
        <v>-</v>
      </c>
      <c r="K198" s="39" t="str">
        <f t="shared" si="13"/>
        <v>-</v>
      </c>
      <c r="L198" s="40" t="str">
        <f>IF(F198&gt;0,F198*D198, "-")</f>
        <v>-</v>
      </c>
      <c r="M198" s="41" t="str">
        <f t="shared" si="14"/>
        <v>-</v>
      </c>
      <c r="O198" s="41" t="str">
        <f t="shared" si="15"/>
        <v>-</v>
      </c>
    </row>
    <row r="199" spans="1:15" x14ac:dyDescent="0.3">
      <c r="A199" s="4" t="s">
        <v>745</v>
      </c>
      <c r="B199" s="3">
        <v>810139573005</v>
      </c>
      <c r="C199" s="2" t="s">
        <v>1017</v>
      </c>
      <c r="D199" s="30">
        <v>0.22</v>
      </c>
      <c r="E199" s="20">
        <v>13.702500000000001</v>
      </c>
      <c r="F199" s="27"/>
      <c r="G199" s="23">
        <f t="shared" si="12"/>
        <v>0</v>
      </c>
      <c r="J199" s="39" t="str">
        <f>IFERROR(IF($J$2*D199=0, "-", $J$2*D199), "-")</f>
        <v>-</v>
      </c>
      <c r="K199" s="39" t="str">
        <f t="shared" si="13"/>
        <v>-</v>
      </c>
      <c r="L199" s="40" t="str">
        <f>IF(F199&gt;0,F199*D199, "-")</f>
        <v>-</v>
      </c>
      <c r="M199" s="41" t="str">
        <f t="shared" si="14"/>
        <v>-</v>
      </c>
      <c r="O199" s="41" t="str">
        <f t="shared" si="15"/>
        <v>-</v>
      </c>
    </row>
    <row r="200" spans="1:15" x14ac:dyDescent="0.3">
      <c r="A200" s="4" t="s">
        <v>654</v>
      </c>
      <c r="B200" s="3">
        <v>810014672427</v>
      </c>
      <c r="C200" s="2" t="s">
        <v>1018</v>
      </c>
      <c r="D200" s="30">
        <v>0.6</v>
      </c>
      <c r="E200" s="20">
        <v>13.702500000000001</v>
      </c>
      <c r="F200" s="27"/>
      <c r="G200" s="23">
        <f t="shared" si="12"/>
        <v>0</v>
      </c>
      <c r="J200" s="39" t="str">
        <f>IFERROR(IF($J$2*D200=0, "-", $J$2*D200), "-")</f>
        <v>-</v>
      </c>
      <c r="K200" s="39" t="str">
        <f t="shared" si="13"/>
        <v>-</v>
      </c>
      <c r="L200" s="40" t="str">
        <f>IF(F200&gt;0,F200*D200, "-")</f>
        <v>-</v>
      </c>
      <c r="M200" s="41" t="str">
        <f t="shared" si="14"/>
        <v>-</v>
      </c>
      <c r="O200" s="41" t="str">
        <f t="shared" si="15"/>
        <v>-</v>
      </c>
    </row>
    <row r="201" spans="1:15" x14ac:dyDescent="0.3">
      <c r="A201" s="4" t="s">
        <v>398</v>
      </c>
      <c r="B201" s="3">
        <v>810139573494</v>
      </c>
      <c r="C201" s="2" t="s">
        <v>1019</v>
      </c>
      <c r="D201" s="30">
        <v>0.66</v>
      </c>
      <c r="E201" s="20">
        <v>13.702500000000001</v>
      </c>
      <c r="F201" s="27"/>
      <c r="G201" s="23">
        <f t="shared" si="12"/>
        <v>0</v>
      </c>
      <c r="J201" s="39" t="str">
        <f>IFERROR(IF($J$2*D201=0, "-", $J$2*D201), "-")</f>
        <v>-</v>
      </c>
      <c r="K201" s="39" t="str">
        <f t="shared" si="13"/>
        <v>-</v>
      </c>
      <c r="L201" s="40" t="str">
        <f>IF(F201&gt;0,F201*D201, "-")</f>
        <v>-</v>
      </c>
      <c r="M201" s="41" t="str">
        <f t="shared" si="14"/>
        <v>-</v>
      </c>
      <c r="O201" s="41" t="str">
        <f t="shared" si="15"/>
        <v>-</v>
      </c>
    </row>
    <row r="202" spans="1:15" x14ac:dyDescent="0.3">
      <c r="A202" s="4" t="s">
        <v>533</v>
      </c>
      <c r="B202" s="3">
        <v>810014678849</v>
      </c>
      <c r="C202" s="2" t="s">
        <v>1020</v>
      </c>
      <c r="D202" s="30">
        <v>0.51</v>
      </c>
      <c r="E202" s="20">
        <v>13.702500000000001</v>
      </c>
      <c r="F202" s="27"/>
      <c r="G202" s="23">
        <f t="shared" si="12"/>
        <v>0</v>
      </c>
      <c r="J202" s="39" t="str">
        <f>IFERROR(IF($J$2*D202=0, "-", $J$2*D202), "-")</f>
        <v>-</v>
      </c>
      <c r="K202" s="39" t="str">
        <f t="shared" si="13"/>
        <v>-</v>
      </c>
      <c r="L202" s="40" t="str">
        <f>IF(F202&gt;0,F202*D202, "-")</f>
        <v>-</v>
      </c>
      <c r="M202" s="41" t="str">
        <f t="shared" si="14"/>
        <v>-</v>
      </c>
      <c r="O202" s="41" t="str">
        <f t="shared" si="15"/>
        <v>-</v>
      </c>
    </row>
    <row r="203" spans="1:15" x14ac:dyDescent="0.3">
      <c r="A203" s="4" t="s">
        <v>89</v>
      </c>
      <c r="B203" s="3">
        <v>810014679150</v>
      </c>
      <c r="C203" s="2" t="s">
        <v>1021</v>
      </c>
      <c r="D203" s="30">
        <v>0.42</v>
      </c>
      <c r="E203" s="20">
        <v>13.702500000000001</v>
      </c>
      <c r="F203" s="27"/>
      <c r="G203" s="23">
        <f t="shared" si="12"/>
        <v>0</v>
      </c>
      <c r="J203" s="39" t="str">
        <f>IFERROR(IF($J$2*D203=0, "-", $J$2*D203), "-")</f>
        <v>-</v>
      </c>
      <c r="K203" s="39" t="str">
        <f t="shared" si="13"/>
        <v>-</v>
      </c>
      <c r="L203" s="40" t="str">
        <f>IF(F203&gt;0,F203*D203, "-")</f>
        <v>-</v>
      </c>
      <c r="M203" s="41" t="str">
        <f t="shared" si="14"/>
        <v>-</v>
      </c>
      <c r="O203" s="41" t="str">
        <f t="shared" si="15"/>
        <v>-</v>
      </c>
    </row>
    <row r="204" spans="1:15" x14ac:dyDescent="0.3">
      <c r="A204" s="4" t="s">
        <v>169</v>
      </c>
      <c r="B204" s="3">
        <v>810014671963</v>
      </c>
      <c r="C204" s="2" t="s">
        <v>1022</v>
      </c>
      <c r="D204" s="30">
        <v>0.56999999999999995</v>
      </c>
      <c r="E204" s="20">
        <v>13.702500000000001</v>
      </c>
      <c r="F204" s="27"/>
      <c r="G204" s="23">
        <f t="shared" si="12"/>
        <v>0</v>
      </c>
      <c r="J204" s="39" t="str">
        <f>IFERROR(IF($J$2*D204=0, "-", $J$2*D204), "-")</f>
        <v>-</v>
      </c>
      <c r="K204" s="39" t="str">
        <f t="shared" si="13"/>
        <v>-</v>
      </c>
      <c r="L204" s="40" t="str">
        <f>IF(F204&gt;0,F204*D204, "-")</f>
        <v>-</v>
      </c>
      <c r="M204" s="41" t="str">
        <f t="shared" si="14"/>
        <v>-</v>
      </c>
      <c r="O204" s="41" t="str">
        <f t="shared" si="15"/>
        <v>-</v>
      </c>
    </row>
    <row r="205" spans="1:15" x14ac:dyDescent="0.3">
      <c r="A205" s="4" t="s">
        <v>343</v>
      </c>
      <c r="B205" s="3">
        <v>810014672533</v>
      </c>
      <c r="C205" s="2" t="s">
        <v>1023</v>
      </c>
      <c r="D205" s="30">
        <v>0.44</v>
      </c>
      <c r="E205" s="20">
        <v>13.702500000000001</v>
      </c>
      <c r="F205" s="27"/>
      <c r="G205" s="23">
        <f t="shared" si="12"/>
        <v>0</v>
      </c>
      <c r="J205" s="39" t="str">
        <f>IFERROR(IF($J$2*D205=0, "-", $J$2*D205), "-")</f>
        <v>-</v>
      </c>
      <c r="K205" s="39" t="str">
        <f t="shared" si="13"/>
        <v>-</v>
      </c>
      <c r="L205" s="40" t="str">
        <f>IF(F205&gt;0,F205*D205, "-")</f>
        <v>-</v>
      </c>
      <c r="M205" s="41" t="str">
        <f t="shared" si="14"/>
        <v>-</v>
      </c>
      <c r="O205" s="41" t="str">
        <f t="shared" si="15"/>
        <v>-</v>
      </c>
    </row>
    <row r="206" spans="1:15" x14ac:dyDescent="0.3">
      <c r="A206" s="4" t="s">
        <v>395</v>
      </c>
      <c r="B206" s="3">
        <v>810139571704</v>
      </c>
      <c r="C206" s="2" t="s">
        <v>1024</v>
      </c>
      <c r="D206" s="30">
        <v>0.3</v>
      </c>
      <c r="E206" s="20">
        <v>13.702500000000001</v>
      </c>
      <c r="F206" s="27"/>
      <c r="G206" s="23">
        <f t="shared" si="12"/>
        <v>0</v>
      </c>
      <c r="J206" s="39" t="str">
        <f>IFERROR(IF($J$2*D206=0, "-", $J$2*D206), "-")</f>
        <v>-</v>
      </c>
      <c r="K206" s="39" t="str">
        <f t="shared" si="13"/>
        <v>-</v>
      </c>
      <c r="L206" s="40" t="str">
        <f>IF(F206&gt;0,F206*D206, "-")</f>
        <v>-</v>
      </c>
      <c r="M206" s="41" t="str">
        <f t="shared" si="14"/>
        <v>-</v>
      </c>
      <c r="O206" s="41" t="str">
        <f t="shared" si="15"/>
        <v>-</v>
      </c>
    </row>
    <row r="207" spans="1:15" x14ac:dyDescent="0.3">
      <c r="A207" s="4" t="s">
        <v>364</v>
      </c>
      <c r="B207" s="3">
        <v>810014679310</v>
      </c>
      <c r="C207" s="2" t="s">
        <v>1025</v>
      </c>
      <c r="D207" s="30">
        <v>0.16</v>
      </c>
      <c r="E207" s="20">
        <v>13.702500000000001</v>
      </c>
      <c r="F207" s="27"/>
      <c r="G207" s="23">
        <f t="shared" si="12"/>
        <v>0</v>
      </c>
      <c r="J207" s="39" t="str">
        <f>IFERROR(IF($J$2*D207=0, "-", $J$2*D207), "-")</f>
        <v>-</v>
      </c>
      <c r="K207" s="39" t="str">
        <f t="shared" si="13"/>
        <v>-</v>
      </c>
      <c r="L207" s="40" t="str">
        <f>IF(F207&gt;0,F207*D207, "-")</f>
        <v>-</v>
      </c>
      <c r="M207" s="41" t="str">
        <f t="shared" si="14"/>
        <v>-</v>
      </c>
      <c r="O207" s="41" t="str">
        <f t="shared" si="15"/>
        <v>-</v>
      </c>
    </row>
    <row r="208" spans="1:15" x14ac:dyDescent="0.3">
      <c r="A208" s="4" t="s">
        <v>155</v>
      </c>
      <c r="B208" s="3">
        <v>810014675848</v>
      </c>
      <c r="C208" s="2" t="s">
        <v>1026</v>
      </c>
      <c r="D208" s="30">
        <v>0.41</v>
      </c>
      <c r="E208" s="20">
        <v>13.702500000000001</v>
      </c>
      <c r="F208" s="27"/>
      <c r="G208" s="23">
        <f t="shared" si="12"/>
        <v>0</v>
      </c>
      <c r="J208" s="39" t="str">
        <f>IFERROR(IF($J$2*D208=0, "-", $J$2*D208), "-")</f>
        <v>-</v>
      </c>
      <c r="K208" s="39" t="str">
        <f t="shared" si="13"/>
        <v>-</v>
      </c>
      <c r="L208" s="40" t="str">
        <f>IF(F208&gt;0,F208*D208, "-")</f>
        <v>-</v>
      </c>
      <c r="M208" s="41" t="str">
        <f t="shared" si="14"/>
        <v>-</v>
      </c>
      <c r="O208" s="41" t="str">
        <f t="shared" si="15"/>
        <v>-</v>
      </c>
    </row>
    <row r="209" spans="1:15" x14ac:dyDescent="0.3">
      <c r="A209" s="4" t="s">
        <v>1027</v>
      </c>
      <c r="B209" s="3">
        <v>810139575214</v>
      </c>
      <c r="C209" s="2" t="s">
        <v>1028</v>
      </c>
      <c r="D209" s="30">
        <v>0.16</v>
      </c>
      <c r="E209" s="20">
        <v>13.702500000000001</v>
      </c>
      <c r="F209" s="27"/>
      <c r="G209" s="23">
        <f t="shared" si="12"/>
        <v>0</v>
      </c>
      <c r="J209" s="39" t="str">
        <f>IFERROR(IF($J$2*D209=0, "-", $J$2*D209), "-")</f>
        <v>-</v>
      </c>
      <c r="K209" s="39" t="str">
        <f t="shared" si="13"/>
        <v>-</v>
      </c>
      <c r="L209" s="40" t="str">
        <f>IF(F209&gt;0,F209*D209, "-")</f>
        <v>-</v>
      </c>
      <c r="M209" s="41" t="str">
        <f t="shared" si="14"/>
        <v>-</v>
      </c>
      <c r="O209" s="41" t="str">
        <f t="shared" si="15"/>
        <v>-</v>
      </c>
    </row>
    <row r="210" spans="1:15" x14ac:dyDescent="0.3">
      <c r="A210" s="4" t="s">
        <v>1029</v>
      </c>
      <c r="B210" s="3">
        <v>810139571735</v>
      </c>
      <c r="C210" s="2" t="s">
        <v>1030</v>
      </c>
      <c r="D210" s="30">
        <v>0.27</v>
      </c>
      <c r="E210" s="20">
        <v>13.702500000000001</v>
      </c>
      <c r="F210" s="27"/>
      <c r="G210" s="23">
        <f t="shared" si="12"/>
        <v>0</v>
      </c>
      <c r="J210" s="39" t="str">
        <f>IFERROR(IF($J$2*D210=0, "-", $J$2*D210), "-")</f>
        <v>-</v>
      </c>
      <c r="K210" s="39" t="str">
        <f t="shared" si="13"/>
        <v>-</v>
      </c>
      <c r="L210" s="40" t="str">
        <f>IF(F210&gt;0,F210*D210, "-")</f>
        <v>-</v>
      </c>
      <c r="M210" s="41" t="str">
        <f t="shared" si="14"/>
        <v>-</v>
      </c>
      <c r="O210" s="41" t="str">
        <f t="shared" si="15"/>
        <v>-</v>
      </c>
    </row>
    <row r="211" spans="1:15" x14ac:dyDescent="0.3">
      <c r="A211" s="4" t="s">
        <v>733</v>
      </c>
      <c r="B211" s="3">
        <v>810014670898</v>
      </c>
      <c r="C211" s="2" t="s">
        <v>1031</v>
      </c>
      <c r="D211" s="30">
        <v>0.13</v>
      </c>
      <c r="E211" s="20">
        <v>13.702500000000001</v>
      </c>
      <c r="F211" s="27"/>
      <c r="G211" s="23">
        <f t="shared" si="12"/>
        <v>0</v>
      </c>
      <c r="J211" s="39" t="str">
        <f>IFERROR(IF($J$2*D211=0, "-", $J$2*D211), "-")</f>
        <v>-</v>
      </c>
      <c r="K211" s="39" t="str">
        <f t="shared" si="13"/>
        <v>-</v>
      </c>
      <c r="L211" s="40" t="str">
        <f>IF(F211&gt;0,F211*D211, "-")</f>
        <v>-</v>
      </c>
      <c r="M211" s="41" t="str">
        <f t="shared" si="14"/>
        <v>-</v>
      </c>
      <c r="O211" s="41" t="str">
        <f t="shared" si="15"/>
        <v>-</v>
      </c>
    </row>
    <row r="212" spans="1:15" x14ac:dyDescent="0.3">
      <c r="A212" s="4" t="s">
        <v>183</v>
      </c>
      <c r="B212" s="3">
        <v>810139573524</v>
      </c>
      <c r="C212" s="2" t="s">
        <v>1032</v>
      </c>
      <c r="D212" s="30">
        <v>0.06</v>
      </c>
      <c r="E212" s="20">
        <v>13.702500000000001</v>
      </c>
      <c r="F212" s="27"/>
      <c r="G212" s="23">
        <f t="shared" si="12"/>
        <v>0</v>
      </c>
      <c r="J212" s="39" t="str">
        <f>IFERROR(IF($J$2*D212=0, "-", $J$2*D212), "-")</f>
        <v>-</v>
      </c>
      <c r="K212" s="39" t="str">
        <f t="shared" si="13"/>
        <v>-</v>
      </c>
      <c r="L212" s="40" t="str">
        <f>IF(F212&gt;0,F212*D212, "-")</f>
        <v>-</v>
      </c>
      <c r="M212" s="41" t="str">
        <f t="shared" si="14"/>
        <v>-</v>
      </c>
      <c r="O212" s="41" t="str">
        <f t="shared" si="15"/>
        <v>-</v>
      </c>
    </row>
    <row r="213" spans="1:15" x14ac:dyDescent="0.3">
      <c r="A213" s="4" t="s">
        <v>1033</v>
      </c>
      <c r="B213" s="3">
        <v>810139575702</v>
      </c>
      <c r="C213" s="2" t="s">
        <v>1034</v>
      </c>
      <c r="D213" s="30">
        <v>0.12</v>
      </c>
      <c r="E213" s="20">
        <v>13.702500000000001</v>
      </c>
      <c r="F213" s="27"/>
      <c r="G213" s="23">
        <f t="shared" si="12"/>
        <v>0</v>
      </c>
      <c r="J213" s="39" t="str">
        <f>IFERROR(IF($J$2*D213=0, "-", $J$2*D213), "-")</f>
        <v>-</v>
      </c>
      <c r="K213" s="39" t="str">
        <f t="shared" si="13"/>
        <v>-</v>
      </c>
      <c r="L213" s="40" t="str">
        <f>IF(F213&gt;0,F213*D213, "-")</f>
        <v>-</v>
      </c>
      <c r="M213" s="41" t="str">
        <f t="shared" si="14"/>
        <v>-</v>
      </c>
      <c r="O213" s="41" t="str">
        <f t="shared" si="15"/>
        <v>-</v>
      </c>
    </row>
    <row r="214" spans="1:15" x14ac:dyDescent="0.3">
      <c r="A214" s="4" t="s">
        <v>1035</v>
      </c>
      <c r="B214" s="3">
        <v>810139576143</v>
      </c>
      <c r="C214" s="2" t="s">
        <v>1036</v>
      </c>
      <c r="D214" s="30">
        <v>0.08</v>
      </c>
      <c r="E214" s="20">
        <v>13.702500000000001</v>
      </c>
      <c r="F214" s="27"/>
      <c r="G214" s="23">
        <f t="shared" si="12"/>
        <v>0</v>
      </c>
      <c r="J214" s="39" t="str">
        <f>IFERROR(IF($J$2*D214=0, "-", $J$2*D214), "-")</f>
        <v>-</v>
      </c>
      <c r="K214" s="39" t="str">
        <f t="shared" si="13"/>
        <v>-</v>
      </c>
      <c r="L214" s="40" t="str">
        <f>IF(F214&gt;0,F214*D214, "-")</f>
        <v>-</v>
      </c>
      <c r="M214" s="41" t="str">
        <f t="shared" si="14"/>
        <v>-</v>
      </c>
      <c r="O214" s="41" t="str">
        <f t="shared" si="15"/>
        <v>-</v>
      </c>
    </row>
    <row r="215" spans="1:15" x14ac:dyDescent="0.3">
      <c r="A215" s="4" t="s">
        <v>316</v>
      </c>
      <c r="B215" s="3">
        <v>810014679266</v>
      </c>
      <c r="C215" s="2" t="s">
        <v>1037</v>
      </c>
      <c r="D215" s="30">
        <v>0.2</v>
      </c>
      <c r="E215" s="20">
        <v>13.702500000000001</v>
      </c>
      <c r="F215" s="27"/>
      <c r="G215" s="23">
        <f t="shared" si="12"/>
        <v>0</v>
      </c>
      <c r="J215" s="39" t="str">
        <f>IFERROR(IF($J$2*D215=0, "-", $J$2*D215), "-")</f>
        <v>-</v>
      </c>
      <c r="K215" s="39" t="str">
        <f t="shared" si="13"/>
        <v>-</v>
      </c>
      <c r="L215" s="40" t="str">
        <f>IF(F215&gt;0,F215*D215, "-")</f>
        <v>-</v>
      </c>
      <c r="M215" s="41" t="str">
        <f t="shared" si="14"/>
        <v>-</v>
      </c>
      <c r="O215" s="41" t="str">
        <f t="shared" si="15"/>
        <v>-</v>
      </c>
    </row>
    <row r="216" spans="1:15" x14ac:dyDescent="0.3">
      <c r="A216" s="4" t="s">
        <v>104</v>
      </c>
      <c r="B216" s="3">
        <v>810014670270</v>
      </c>
      <c r="C216" s="2" t="s">
        <v>1038</v>
      </c>
      <c r="D216" s="30">
        <v>0.15</v>
      </c>
      <c r="E216" s="20">
        <v>13.702500000000001</v>
      </c>
      <c r="F216" s="27"/>
      <c r="G216" s="23">
        <f t="shared" si="12"/>
        <v>0</v>
      </c>
      <c r="J216" s="39" t="str">
        <f>IFERROR(IF($J$2*D216=0, "-", $J$2*D216), "-")</f>
        <v>-</v>
      </c>
      <c r="K216" s="39" t="str">
        <f t="shared" si="13"/>
        <v>-</v>
      </c>
      <c r="L216" s="40" t="str">
        <f>IF(F216&gt;0,F216*D216, "-")</f>
        <v>-</v>
      </c>
      <c r="M216" s="41" t="str">
        <f t="shared" si="14"/>
        <v>-</v>
      </c>
      <c r="O216" s="41" t="str">
        <f t="shared" si="15"/>
        <v>-</v>
      </c>
    </row>
    <row r="217" spans="1:15" x14ac:dyDescent="0.3">
      <c r="A217" s="4" t="s">
        <v>493</v>
      </c>
      <c r="B217" s="3">
        <v>810014679426</v>
      </c>
      <c r="C217" s="2" t="s">
        <v>1039</v>
      </c>
      <c r="D217" s="30">
        <v>0.17</v>
      </c>
      <c r="E217" s="20">
        <v>13.702500000000001</v>
      </c>
      <c r="F217" s="27"/>
      <c r="G217" s="23">
        <f t="shared" si="12"/>
        <v>0</v>
      </c>
      <c r="J217" s="39" t="str">
        <f>IFERROR(IF($J$2*D217=0, "-", $J$2*D217), "-")</f>
        <v>-</v>
      </c>
      <c r="K217" s="39" t="str">
        <f t="shared" si="13"/>
        <v>-</v>
      </c>
      <c r="L217" s="40" t="str">
        <f>IF(F217&gt;0,F217*D217, "-")</f>
        <v>-</v>
      </c>
      <c r="M217" s="41" t="str">
        <f t="shared" si="14"/>
        <v>-</v>
      </c>
      <c r="O217" s="41" t="str">
        <f t="shared" si="15"/>
        <v>-</v>
      </c>
    </row>
    <row r="218" spans="1:15" x14ac:dyDescent="0.3">
      <c r="A218" s="4" t="s">
        <v>261</v>
      </c>
      <c r="B218" s="3">
        <v>810014674933</v>
      </c>
      <c r="C218" s="2" t="s">
        <v>1040</v>
      </c>
      <c r="D218" s="30">
        <v>0.12</v>
      </c>
      <c r="E218" s="20">
        <v>13.702500000000001</v>
      </c>
      <c r="F218" s="27"/>
      <c r="G218" s="23">
        <f t="shared" si="12"/>
        <v>0</v>
      </c>
      <c r="J218" s="39" t="str">
        <f>IFERROR(IF($J$2*D218=0, "-", $J$2*D218), "-")</f>
        <v>-</v>
      </c>
      <c r="K218" s="39" t="str">
        <f t="shared" si="13"/>
        <v>-</v>
      </c>
      <c r="L218" s="40" t="str">
        <f>IF(F218&gt;0,F218*D218, "-")</f>
        <v>-</v>
      </c>
      <c r="M218" s="41" t="str">
        <f t="shared" si="14"/>
        <v>-</v>
      </c>
      <c r="O218" s="41" t="str">
        <f t="shared" si="15"/>
        <v>-</v>
      </c>
    </row>
    <row r="219" spans="1:15" x14ac:dyDescent="0.3">
      <c r="A219" s="4" t="s">
        <v>28</v>
      </c>
      <c r="B219" s="3">
        <v>810139570868</v>
      </c>
      <c r="C219" s="2" t="s">
        <v>1041</v>
      </c>
      <c r="D219" s="30">
        <v>0.14000000000000001</v>
      </c>
      <c r="E219" s="20">
        <v>14.083125000000001</v>
      </c>
      <c r="F219" s="27"/>
      <c r="G219" s="23">
        <f t="shared" si="12"/>
        <v>0</v>
      </c>
      <c r="J219" s="39" t="str">
        <f>IFERROR(IF($J$2*D219=0, "-", $J$2*D219), "-")</f>
        <v>-</v>
      </c>
      <c r="K219" s="39" t="str">
        <f t="shared" si="13"/>
        <v>-</v>
      </c>
      <c r="L219" s="40" t="str">
        <f>IF(F219&gt;0,F219*D219, "-")</f>
        <v>-</v>
      </c>
      <c r="M219" s="41" t="str">
        <f t="shared" si="14"/>
        <v>-</v>
      </c>
      <c r="O219" s="41" t="str">
        <f t="shared" si="15"/>
        <v>-</v>
      </c>
    </row>
    <row r="220" spans="1:15" x14ac:dyDescent="0.3">
      <c r="A220" s="4" t="s">
        <v>448</v>
      </c>
      <c r="B220" s="3">
        <v>810014675497</v>
      </c>
      <c r="C220" s="2" t="s">
        <v>1042</v>
      </c>
      <c r="D220" s="30">
        <v>0.32</v>
      </c>
      <c r="E220" s="20">
        <v>14.083125000000001</v>
      </c>
      <c r="F220" s="27"/>
      <c r="G220" s="23">
        <f t="shared" si="12"/>
        <v>0</v>
      </c>
      <c r="J220" s="39" t="str">
        <f>IFERROR(IF($J$2*D220=0, "-", $J$2*D220), "-")</f>
        <v>-</v>
      </c>
      <c r="K220" s="39" t="str">
        <f t="shared" si="13"/>
        <v>-</v>
      </c>
      <c r="L220" s="40" t="str">
        <f>IF(F220&gt;0,F220*D220, "-")</f>
        <v>-</v>
      </c>
      <c r="M220" s="41" t="str">
        <f t="shared" si="14"/>
        <v>-</v>
      </c>
      <c r="O220" s="41" t="str">
        <f t="shared" si="15"/>
        <v>-</v>
      </c>
    </row>
    <row r="221" spans="1:15" x14ac:dyDescent="0.3">
      <c r="A221" s="4" t="s">
        <v>230</v>
      </c>
      <c r="B221" s="3">
        <v>810014671796</v>
      </c>
      <c r="C221" s="2" t="s">
        <v>1043</v>
      </c>
      <c r="D221" s="30">
        <v>0.24</v>
      </c>
      <c r="E221" s="20">
        <v>14.083125000000001</v>
      </c>
      <c r="F221" s="27"/>
      <c r="G221" s="23">
        <f t="shared" si="12"/>
        <v>0</v>
      </c>
      <c r="J221" s="39" t="str">
        <f>IFERROR(IF($J$2*D221=0, "-", $J$2*D221), "-")</f>
        <v>-</v>
      </c>
      <c r="K221" s="39" t="str">
        <f t="shared" si="13"/>
        <v>-</v>
      </c>
      <c r="L221" s="40" t="str">
        <f>IF(F221&gt;0,F221*D221, "-")</f>
        <v>-</v>
      </c>
      <c r="M221" s="41" t="str">
        <f t="shared" si="14"/>
        <v>-</v>
      </c>
      <c r="O221" s="41" t="str">
        <f t="shared" si="15"/>
        <v>-</v>
      </c>
    </row>
    <row r="222" spans="1:15" x14ac:dyDescent="0.3">
      <c r="A222" s="4" t="s">
        <v>474</v>
      </c>
      <c r="B222" s="3">
        <v>810014672588</v>
      </c>
      <c r="C222" s="2" t="s">
        <v>1044</v>
      </c>
      <c r="D222" s="30">
        <v>0.49</v>
      </c>
      <c r="E222" s="20">
        <v>14.463749999999999</v>
      </c>
      <c r="F222" s="27"/>
      <c r="G222" s="23">
        <f t="shared" si="12"/>
        <v>0</v>
      </c>
      <c r="J222" s="39" t="str">
        <f>IFERROR(IF($J$2*D222=0, "-", $J$2*D222), "-")</f>
        <v>-</v>
      </c>
      <c r="K222" s="39" t="str">
        <f t="shared" si="13"/>
        <v>-</v>
      </c>
      <c r="L222" s="40" t="str">
        <f>IF(F222&gt;0,F222*D222, "-")</f>
        <v>-</v>
      </c>
      <c r="M222" s="41" t="str">
        <f t="shared" si="14"/>
        <v>-</v>
      </c>
      <c r="O222" s="41" t="str">
        <f t="shared" si="15"/>
        <v>-</v>
      </c>
    </row>
    <row r="223" spans="1:15" x14ac:dyDescent="0.3">
      <c r="A223" s="4" t="s">
        <v>310</v>
      </c>
      <c r="B223" s="3">
        <v>810014671581</v>
      </c>
      <c r="C223" s="2" t="s">
        <v>1045</v>
      </c>
      <c r="D223" s="30">
        <v>0.34</v>
      </c>
      <c r="E223" s="20">
        <v>14.463749999999999</v>
      </c>
      <c r="F223" s="27"/>
      <c r="G223" s="23">
        <f t="shared" si="12"/>
        <v>0</v>
      </c>
      <c r="J223" s="39" t="str">
        <f>IFERROR(IF($J$2*D223=0, "-", $J$2*D223), "-")</f>
        <v>-</v>
      </c>
      <c r="K223" s="39" t="str">
        <f t="shared" si="13"/>
        <v>-</v>
      </c>
      <c r="L223" s="40" t="str">
        <f>IF(F223&gt;0,F223*D223, "-")</f>
        <v>-</v>
      </c>
      <c r="M223" s="41" t="str">
        <f t="shared" si="14"/>
        <v>-</v>
      </c>
      <c r="O223" s="41" t="str">
        <f t="shared" si="15"/>
        <v>-</v>
      </c>
    </row>
    <row r="224" spans="1:15" x14ac:dyDescent="0.3">
      <c r="A224" s="4" t="s">
        <v>32</v>
      </c>
      <c r="B224" s="3">
        <v>810014672496</v>
      </c>
      <c r="C224" s="2" t="s">
        <v>1046</v>
      </c>
      <c r="D224" s="30">
        <v>0.45</v>
      </c>
      <c r="E224" s="20">
        <v>14.463749999999999</v>
      </c>
      <c r="F224" s="27"/>
      <c r="G224" s="23">
        <f t="shared" si="12"/>
        <v>0</v>
      </c>
      <c r="J224" s="39" t="str">
        <f>IFERROR(IF($J$2*D224=0, "-", $J$2*D224), "-")</f>
        <v>-</v>
      </c>
      <c r="K224" s="39" t="str">
        <f t="shared" si="13"/>
        <v>-</v>
      </c>
      <c r="L224" s="40" t="str">
        <f>IF(F224&gt;0,F224*D224, "-")</f>
        <v>-</v>
      </c>
      <c r="M224" s="41" t="str">
        <f t="shared" si="14"/>
        <v>-</v>
      </c>
      <c r="O224" s="41" t="str">
        <f t="shared" si="15"/>
        <v>-</v>
      </c>
    </row>
    <row r="225" spans="1:15" x14ac:dyDescent="0.3">
      <c r="A225" s="4" t="s">
        <v>1047</v>
      </c>
      <c r="B225" s="3">
        <v>810139572435</v>
      </c>
      <c r="C225" s="2" t="s">
        <v>1048</v>
      </c>
      <c r="D225" s="30">
        <v>0.15</v>
      </c>
      <c r="E225" s="20">
        <v>14.463749999999999</v>
      </c>
      <c r="F225" s="27"/>
      <c r="G225" s="23">
        <f t="shared" si="12"/>
        <v>0</v>
      </c>
      <c r="J225" s="39" t="str">
        <f>IFERROR(IF($J$2*D225=0, "-", $J$2*D225), "-")</f>
        <v>-</v>
      </c>
      <c r="K225" s="39" t="str">
        <f t="shared" si="13"/>
        <v>-</v>
      </c>
      <c r="L225" s="40" t="str">
        <f>IF(F225&gt;0,F225*D225, "-")</f>
        <v>-</v>
      </c>
      <c r="M225" s="41" t="str">
        <f t="shared" si="14"/>
        <v>-</v>
      </c>
      <c r="O225" s="41" t="str">
        <f t="shared" si="15"/>
        <v>-</v>
      </c>
    </row>
    <row r="226" spans="1:15" x14ac:dyDescent="0.3">
      <c r="A226" s="4" t="s">
        <v>1049</v>
      </c>
      <c r="B226" s="3">
        <v>810139573661</v>
      </c>
      <c r="C226" s="2" t="s">
        <v>1050</v>
      </c>
      <c r="D226" s="30">
        <v>1.1499999999999999</v>
      </c>
      <c r="E226" s="20">
        <v>14.463749999999999</v>
      </c>
      <c r="F226" s="27"/>
      <c r="G226" s="23">
        <f t="shared" si="12"/>
        <v>0</v>
      </c>
      <c r="J226" s="39" t="str">
        <f>IFERROR(IF($J$2*D226=0, "-", $J$2*D226), "-")</f>
        <v>-</v>
      </c>
      <c r="K226" s="39" t="str">
        <f t="shared" si="13"/>
        <v>-</v>
      </c>
      <c r="L226" s="40" t="str">
        <f>IF(F226&gt;0,F226*D226, "-")</f>
        <v>-</v>
      </c>
      <c r="M226" s="41" t="str">
        <f t="shared" si="14"/>
        <v>-</v>
      </c>
      <c r="O226" s="41" t="str">
        <f t="shared" si="15"/>
        <v>-</v>
      </c>
    </row>
    <row r="227" spans="1:15" x14ac:dyDescent="0.3">
      <c r="A227" s="4" t="s">
        <v>21</v>
      </c>
      <c r="B227" s="3">
        <v>810014670409</v>
      </c>
      <c r="C227" s="2" t="s">
        <v>1051</v>
      </c>
      <c r="D227" s="30">
        <v>0.59</v>
      </c>
      <c r="E227" s="20">
        <v>14.463749999999999</v>
      </c>
      <c r="F227" s="27"/>
      <c r="G227" s="23">
        <f t="shared" si="12"/>
        <v>0</v>
      </c>
      <c r="J227" s="39" t="str">
        <f>IFERROR(IF($J$2*D227=0, "-", $J$2*D227), "-")</f>
        <v>-</v>
      </c>
      <c r="K227" s="39" t="str">
        <f t="shared" si="13"/>
        <v>-</v>
      </c>
      <c r="L227" s="40" t="str">
        <f>IF(F227&gt;0,F227*D227, "-")</f>
        <v>-</v>
      </c>
      <c r="M227" s="41" t="str">
        <f t="shared" si="14"/>
        <v>-</v>
      </c>
      <c r="O227" s="41" t="str">
        <f t="shared" si="15"/>
        <v>-</v>
      </c>
    </row>
    <row r="228" spans="1:15" x14ac:dyDescent="0.3">
      <c r="A228" s="4" t="s">
        <v>741</v>
      </c>
      <c r="B228" s="3">
        <v>810139571810</v>
      </c>
      <c r="C228" s="2" t="s">
        <v>1052</v>
      </c>
      <c r="D228" s="30">
        <v>0.22</v>
      </c>
      <c r="E228" s="20">
        <v>14.463749999999999</v>
      </c>
      <c r="F228" s="27"/>
      <c r="G228" s="23">
        <f t="shared" si="12"/>
        <v>0</v>
      </c>
      <c r="J228" s="39" t="str">
        <f>IFERROR(IF($J$2*D228=0, "-", $J$2*D228), "-")</f>
        <v>-</v>
      </c>
      <c r="K228" s="39" t="str">
        <f t="shared" si="13"/>
        <v>-</v>
      </c>
      <c r="L228" s="40" t="str">
        <f>IF(F228&gt;0,F228*D228, "-")</f>
        <v>-</v>
      </c>
      <c r="M228" s="41" t="str">
        <f t="shared" si="14"/>
        <v>-</v>
      </c>
      <c r="O228" s="41" t="str">
        <f t="shared" si="15"/>
        <v>-</v>
      </c>
    </row>
    <row r="229" spans="1:15" x14ac:dyDescent="0.3">
      <c r="A229" s="4" t="s">
        <v>246</v>
      </c>
      <c r="B229" s="3">
        <v>810139572787</v>
      </c>
      <c r="C229" s="2" t="s">
        <v>1053</v>
      </c>
      <c r="D229" s="30">
        <v>0.24</v>
      </c>
      <c r="E229" s="20">
        <v>14.463749999999999</v>
      </c>
      <c r="F229" s="27"/>
      <c r="G229" s="23">
        <f t="shared" si="12"/>
        <v>0</v>
      </c>
      <c r="J229" s="39" t="str">
        <f>IFERROR(IF($J$2*D229=0, "-", $J$2*D229), "-")</f>
        <v>-</v>
      </c>
      <c r="K229" s="39" t="str">
        <f t="shared" si="13"/>
        <v>-</v>
      </c>
      <c r="L229" s="40" t="str">
        <f>IF(F229&gt;0,F229*D229, "-")</f>
        <v>-</v>
      </c>
      <c r="M229" s="41" t="str">
        <f t="shared" si="14"/>
        <v>-</v>
      </c>
      <c r="O229" s="41" t="str">
        <f t="shared" si="15"/>
        <v>-</v>
      </c>
    </row>
    <row r="230" spans="1:15" x14ac:dyDescent="0.3">
      <c r="A230" s="4" t="s">
        <v>547</v>
      </c>
      <c r="B230" s="3">
        <v>810014673585</v>
      </c>
      <c r="C230" s="2" t="s">
        <v>1054</v>
      </c>
      <c r="D230" s="30">
        <v>0.14000000000000001</v>
      </c>
      <c r="E230" s="20">
        <v>14.463749999999999</v>
      </c>
      <c r="F230" s="27"/>
      <c r="G230" s="23">
        <f t="shared" si="12"/>
        <v>0</v>
      </c>
      <c r="J230" s="39" t="str">
        <f>IFERROR(IF($J$2*D230=0, "-", $J$2*D230), "-")</f>
        <v>-</v>
      </c>
      <c r="K230" s="39" t="str">
        <f t="shared" si="13"/>
        <v>-</v>
      </c>
      <c r="L230" s="40" t="str">
        <f>IF(F230&gt;0,F230*D230, "-")</f>
        <v>-</v>
      </c>
      <c r="M230" s="41" t="str">
        <f t="shared" si="14"/>
        <v>-</v>
      </c>
      <c r="O230" s="41" t="str">
        <f t="shared" si="15"/>
        <v>-</v>
      </c>
    </row>
    <row r="231" spans="1:15" x14ac:dyDescent="0.3">
      <c r="A231" s="4" t="s">
        <v>1055</v>
      </c>
      <c r="B231" s="3">
        <v>810139575429</v>
      </c>
      <c r="C231" s="2" t="s">
        <v>1056</v>
      </c>
      <c r="D231" s="30">
        <v>0.12</v>
      </c>
      <c r="E231" s="20">
        <v>14.463749999999999</v>
      </c>
      <c r="F231" s="27"/>
      <c r="G231" s="23">
        <f t="shared" si="12"/>
        <v>0</v>
      </c>
      <c r="J231" s="39" t="str">
        <f>IFERROR(IF($J$2*D231=0, "-", $J$2*D231), "-")</f>
        <v>-</v>
      </c>
      <c r="K231" s="39" t="str">
        <f t="shared" si="13"/>
        <v>-</v>
      </c>
      <c r="L231" s="40" t="str">
        <f>IF(F231&gt;0,F231*D231, "-")</f>
        <v>-</v>
      </c>
      <c r="M231" s="41" t="str">
        <f t="shared" si="14"/>
        <v>-</v>
      </c>
      <c r="O231" s="41" t="str">
        <f t="shared" si="15"/>
        <v>-</v>
      </c>
    </row>
    <row r="232" spans="1:15" x14ac:dyDescent="0.3">
      <c r="A232" s="4" t="s">
        <v>679</v>
      </c>
      <c r="B232" s="3">
        <v>810014674919</v>
      </c>
      <c r="C232" s="2" t="s">
        <v>1057</v>
      </c>
      <c r="D232" s="30">
        <v>0.12</v>
      </c>
      <c r="E232" s="20">
        <v>14.463749999999999</v>
      </c>
      <c r="F232" s="27"/>
      <c r="G232" s="23">
        <f t="shared" si="12"/>
        <v>0</v>
      </c>
      <c r="J232" s="39" t="str">
        <f>IFERROR(IF($J$2*D232=0, "-", $J$2*D232), "-")</f>
        <v>-</v>
      </c>
      <c r="K232" s="39" t="str">
        <f t="shared" si="13"/>
        <v>-</v>
      </c>
      <c r="L232" s="40" t="str">
        <f>IF(F232&gt;0,F232*D232, "-")</f>
        <v>-</v>
      </c>
      <c r="M232" s="41" t="str">
        <f t="shared" si="14"/>
        <v>-</v>
      </c>
      <c r="O232" s="41" t="str">
        <f t="shared" si="15"/>
        <v>-</v>
      </c>
    </row>
    <row r="233" spans="1:15" x14ac:dyDescent="0.3">
      <c r="A233" s="4" t="s">
        <v>81</v>
      </c>
      <c r="B233" s="3">
        <v>810014678863</v>
      </c>
      <c r="C233" s="2" t="s">
        <v>1058</v>
      </c>
      <c r="D233" s="30">
        <v>0.12</v>
      </c>
      <c r="E233" s="20">
        <v>14.463749999999999</v>
      </c>
      <c r="F233" s="27"/>
      <c r="G233" s="23">
        <f t="shared" si="12"/>
        <v>0</v>
      </c>
      <c r="J233" s="39" t="str">
        <f>IFERROR(IF($J$2*D233=0, "-", $J$2*D233), "-")</f>
        <v>-</v>
      </c>
      <c r="K233" s="39" t="str">
        <f t="shared" si="13"/>
        <v>-</v>
      </c>
      <c r="L233" s="40" t="str">
        <f>IF(F233&gt;0,F233*D233, "-")</f>
        <v>-</v>
      </c>
      <c r="M233" s="41" t="str">
        <f t="shared" si="14"/>
        <v>-</v>
      </c>
      <c r="O233" s="41" t="str">
        <f t="shared" si="15"/>
        <v>-</v>
      </c>
    </row>
    <row r="234" spans="1:15" x14ac:dyDescent="0.3">
      <c r="A234" s="4" t="s">
        <v>100</v>
      </c>
      <c r="B234" s="3">
        <v>857077008930</v>
      </c>
      <c r="C234" s="2" t="s">
        <v>1059</v>
      </c>
      <c r="D234" s="30">
        <v>0.35</v>
      </c>
      <c r="E234" s="20">
        <v>14.463749999999999</v>
      </c>
      <c r="F234" s="27"/>
      <c r="G234" s="23">
        <f t="shared" si="12"/>
        <v>0</v>
      </c>
      <c r="J234" s="39" t="str">
        <f>IFERROR(IF($J$2*D234=0, "-", $J$2*D234), "-")</f>
        <v>-</v>
      </c>
      <c r="K234" s="39" t="str">
        <f t="shared" si="13"/>
        <v>-</v>
      </c>
      <c r="L234" s="40" t="str">
        <f>IF(F234&gt;0,F234*D234, "-")</f>
        <v>-</v>
      </c>
      <c r="M234" s="41" t="str">
        <f t="shared" si="14"/>
        <v>-</v>
      </c>
      <c r="O234" s="41" t="str">
        <f t="shared" si="15"/>
        <v>-</v>
      </c>
    </row>
    <row r="235" spans="1:15" x14ac:dyDescent="0.3">
      <c r="A235" s="4" t="s">
        <v>464</v>
      </c>
      <c r="B235" s="3">
        <v>810014675527</v>
      </c>
      <c r="C235" s="2" t="s">
        <v>1060</v>
      </c>
      <c r="D235" s="30">
        <v>0.32</v>
      </c>
      <c r="E235" s="20">
        <v>14.463749999999999</v>
      </c>
      <c r="F235" s="27"/>
      <c r="G235" s="23">
        <f t="shared" si="12"/>
        <v>0</v>
      </c>
      <c r="J235" s="39" t="str">
        <f>IFERROR(IF($J$2*D235=0, "-", $J$2*D235), "-")</f>
        <v>-</v>
      </c>
      <c r="K235" s="39" t="str">
        <f t="shared" si="13"/>
        <v>-</v>
      </c>
      <c r="L235" s="40" t="str">
        <f>IF(F235&gt;0,F235*D235, "-")</f>
        <v>-</v>
      </c>
      <c r="M235" s="41" t="str">
        <f t="shared" si="14"/>
        <v>-</v>
      </c>
      <c r="O235" s="41" t="str">
        <f t="shared" si="15"/>
        <v>-</v>
      </c>
    </row>
    <row r="236" spans="1:15" x14ac:dyDescent="0.3">
      <c r="A236" s="4" t="s">
        <v>538</v>
      </c>
      <c r="B236" s="3">
        <v>810139570844</v>
      </c>
      <c r="C236" s="2" t="s">
        <v>1061</v>
      </c>
      <c r="D236" s="30">
        <v>0.47</v>
      </c>
      <c r="E236" s="20">
        <v>14.463749999999999</v>
      </c>
      <c r="F236" s="27"/>
      <c r="G236" s="23">
        <f t="shared" si="12"/>
        <v>0</v>
      </c>
      <c r="J236" s="39" t="str">
        <f>IFERROR(IF($J$2*D236=0, "-", $J$2*D236), "-")</f>
        <v>-</v>
      </c>
      <c r="K236" s="39" t="str">
        <f t="shared" si="13"/>
        <v>-</v>
      </c>
      <c r="L236" s="40" t="str">
        <f>IF(F236&gt;0,F236*D236, "-")</f>
        <v>-</v>
      </c>
      <c r="M236" s="41" t="str">
        <f t="shared" si="14"/>
        <v>-</v>
      </c>
      <c r="O236" s="41" t="str">
        <f t="shared" si="15"/>
        <v>-</v>
      </c>
    </row>
    <row r="237" spans="1:15" x14ac:dyDescent="0.3">
      <c r="A237" s="4" t="s">
        <v>1062</v>
      </c>
      <c r="B237" s="3">
        <v>810139575146</v>
      </c>
      <c r="C237" s="2" t="s">
        <v>1063</v>
      </c>
      <c r="D237" s="30">
        <v>0.17</v>
      </c>
      <c r="E237" s="20">
        <v>14.463749999999999</v>
      </c>
      <c r="F237" s="27"/>
      <c r="G237" s="23">
        <f t="shared" si="12"/>
        <v>0</v>
      </c>
      <c r="J237" s="39" t="str">
        <f>IFERROR(IF($J$2*D237=0, "-", $J$2*D237), "-")</f>
        <v>-</v>
      </c>
      <c r="K237" s="39" t="str">
        <f t="shared" si="13"/>
        <v>-</v>
      </c>
      <c r="L237" s="40" t="str">
        <f>IF(F237&gt;0,F237*D237, "-")</f>
        <v>-</v>
      </c>
      <c r="M237" s="41" t="str">
        <f t="shared" si="14"/>
        <v>-</v>
      </c>
      <c r="O237" s="41" t="str">
        <f t="shared" si="15"/>
        <v>-</v>
      </c>
    </row>
    <row r="238" spans="1:15" x14ac:dyDescent="0.3">
      <c r="A238" s="4" t="s">
        <v>429</v>
      </c>
      <c r="B238" s="3">
        <v>810014678399</v>
      </c>
      <c r="C238" s="2" t="s">
        <v>1064</v>
      </c>
      <c r="D238" s="30">
        <v>0.05</v>
      </c>
      <c r="E238" s="20">
        <v>14.463749999999999</v>
      </c>
      <c r="F238" s="27"/>
      <c r="G238" s="23">
        <f t="shared" si="12"/>
        <v>0</v>
      </c>
      <c r="J238" s="39" t="str">
        <f>IFERROR(IF($J$2*D238=0, "-", $J$2*D238), "-")</f>
        <v>-</v>
      </c>
      <c r="K238" s="39" t="str">
        <f t="shared" si="13"/>
        <v>-</v>
      </c>
      <c r="L238" s="40" t="str">
        <f>IF(F238&gt;0,F238*D238, "-")</f>
        <v>-</v>
      </c>
      <c r="M238" s="41" t="str">
        <f t="shared" si="14"/>
        <v>-</v>
      </c>
      <c r="O238" s="41" t="str">
        <f t="shared" si="15"/>
        <v>-</v>
      </c>
    </row>
    <row r="239" spans="1:15" x14ac:dyDescent="0.3">
      <c r="A239" s="4" t="s">
        <v>44</v>
      </c>
      <c r="B239" s="3">
        <v>810014670423</v>
      </c>
      <c r="C239" s="2" t="s">
        <v>1065</v>
      </c>
      <c r="D239" s="30">
        <v>0.21</v>
      </c>
      <c r="E239" s="20">
        <v>14.463749999999999</v>
      </c>
      <c r="F239" s="27"/>
      <c r="G239" s="23">
        <f t="shared" si="12"/>
        <v>0</v>
      </c>
      <c r="J239" s="39" t="str">
        <f>IFERROR(IF($J$2*D239=0, "-", $J$2*D239), "-")</f>
        <v>-</v>
      </c>
      <c r="K239" s="39" t="str">
        <f t="shared" si="13"/>
        <v>-</v>
      </c>
      <c r="L239" s="40" t="str">
        <f>IF(F239&gt;0,F239*D239, "-")</f>
        <v>-</v>
      </c>
      <c r="M239" s="41" t="str">
        <f t="shared" si="14"/>
        <v>-</v>
      </c>
      <c r="O239" s="41" t="str">
        <f t="shared" si="15"/>
        <v>-</v>
      </c>
    </row>
    <row r="240" spans="1:15" x14ac:dyDescent="0.3">
      <c r="A240" s="4" t="s">
        <v>618</v>
      </c>
      <c r="B240" s="3">
        <v>857077008046</v>
      </c>
      <c r="C240" s="2" t="s">
        <v>1066</v>
      </c>
      <c r="D240" s="30">
        <v>0.45</v>
      </c>
      <c r="E240" s="20">
        <v>14.463749999999999</v>
      </c>
      <c r="F240" s="27"/>
      <c r="G240" s="23">
        <f t="shared" si="12"/>
        <v>0</v>
      </c>
      <c r="J240" s="39" t="str">
        <f>IFERROR(IF($J$2*D240=0, "-", $J$2*D240), "-")</f>
        <v>-</v>
      </c>
      <c r="K240" s="39" t="str">
        <f t="shared" si="13"/>
        <v>-</v>
      </c>
      <c r="L240" s="40" t="str">
        <f>IF(F240&gt;0,F240*D240, "-")</f>
        <v>-</v>
      </c>
      <c r="M240" s="41" t="str">
        <f t="shared" si="14"/>
        <v>-</v>
      </c>
      <c r="O240" s="41" t="str">
        <f t="shared" si="15"/>
        <v>-</v>
      </c>
    </row>
    <row r="241" spans="1:15" x14ac:dyDescent="0.3">
      <c r="A241" s="4" t="s">
        <v>588</v>
      </c>
      <c r="B241" s="3">
        <v>857077008701</v>
      </c>
      <c r="C241" s="2" t="s">
        <v>1067</v>
      </c>
      <c r="D241" s="30">
        <v>0.38</v>
      </c>
      <c r="E241" s="20">
        <v>14.463749999999999</v>
      </c>
      <c r="F241" s="27"/>
      <c r="G241" s="23">
        <f t="shared" si="12"/>
        <v>0</v>
      </c>
      <c r="J241" s="39" t="str">
        <f>IFERROR(IF($J$2*D241=0, "-", $J$2*D241), "-")</f>
        <v>-</v>
      </c>
      <c r="K241" s="39" t="str">
        <f t="shared" si="13"/>
        <v>-</v>
      </c>
      <c r="L241" s="40" t="str">
        <f>IF(F241&gt;0,F241*D241, "-")</f>
        <v>-</v>
      </c>
      <c r="M241" s="41" t="str">
        <f t="shared" si="14"/>
        <v>-</v>
      </c>
      <c r="O241" s="41" t="str">
        <f t="shared" si="15"/>
        <v>-</v>
      </c>
    </row>
    <row r="242" spans="1:15" x14ac:dyDescent="0.3">
      <c r="A242" s="4" t="s">
        <v>1068</v>
      </c>
      <c r="B242" s="3">
        <v>810139577201</v>
      </c>
      <c r="C242" s="2" t="s">
        <v>1069</v>
      </c>
      <c r="D242" s="30">
        <v>0.19</v>
      </c>
      <c r="E242" s="20">
        <v>14.463749999999999</v>
      </c>
      <c r="F242" s="27"/>
      <c r="G242" s="23">
        <f t="shared" si="12"/>
        <v>0</v>
      </c>
      <c r="J242" s="39" t="str">
        <f>IFERROR(IF($J$2*D242=0, "-", $J$2*D242), "-")</f>
        <v>-</v>
      </c>
      <c r="K242" s="39" t="str">
        <f t="shared" si="13"/>
        <v>-</v>
      </c>
      <c r="L242" s="40" t="str">
        <f>IF(F242&gt;0,F242*D242, "-")</f>
        <v>-</v>
      </c>
      <c r="M242" s="41" t="str">
        <f t="shared" si="14"/>
        <v>-</v>
      </c>
      <c r="O242" s="41" t="str">
        <f t="shared" si="15"/>
        <v>-</v>
      </c>
    </row>
    <row r="243" spans="1:15" x14ac:dyDescent="0.3">
      <c r="A243" s="4" t="s">
        <v>486</v>
      </c>
      <c r="B243" s="3">
        <v>810014678665</v>
      </c>
      <c r="C243" s="2" t="s">
        <v>1070</v>
      </c>
      <c r="D243" s="30">
        <v>0.25</v>
      </c>
      <c r="E243" s="20">
        <v>14.463749999999999</v>
      </c>
      <c r="F243" s="27"/>
      <c r="G243" s="23">
        <f t="shared" si="12"/>
        <v>0</v>
      </c>
      <c r="J243" s="39" t="str">
        <f>IFERROR(IF($J$2*D243=0, "-", $J$2*D243), "-")</f>
        <v>-</v>
      </c>
      <c r="K243" s="39" t="str">
        <f t="shared" si="13"/>
        <v>-</v>
      </c>
      <c r="L243" s="40" t="str">
        <f>IF(F243&gt;0,F243*D243, "-")</f>
        <v>-</v>
      </c>
      <c r="M243" s="41" t="str">
        <f t="shared" si="14"/>
        <v>-</v>
      </c>
      <c r="O243" s="41" t="str">
        <f t="shared" si="15"/>
        <v>-</v>
      </c>
    </row>
    <row r="244" spans="1:15" x14ac:dyDescent="0.3">
      <c r="A244" s="4" t="s">
        <v>1071</v>
      </c>
      <c r="B244" s="3">
        <v>810139575863</v>
      </c>
      <c r="C244" s="2" t="s">
        <v>1072</v>
      </c>
      <c r="D244" s="30">
        <v>0.35</v>
      </c>
      <c r="E244" s="20">
        <v>14.463749999999999</v>
      </c>
      <c r="F244" s="27"/>
      <c r="G244" s="23">
        <f t="shared" si="12"/>
        <v>0</v>
      </c>
      <c r="J244" s="39" t="str">
        <f>IFERROR(IF($J$2*D244=0, "-", $J$2*D244), "-")</f>
        <v>-</v>
      </c>
      <c r="K244" s="39" t="str">
        <f t="shared" si="13"/>
        <v>-</v>
      </c>
      <c r="L244" s="40" t="str">
        <f>IF(F244&gt;0,F244*D244, "-")</f>
        <v>-</v>
      </c>
      <c r="M244" s="41" t="str">
        <f t="shared" si="14"/>
        <v>-</v>
      </c>
      <c r="O244" s="41" t="str">
        <f t="shared" si="15"/>
        <v>-</v>
      </c>
    </row>
    <row r="245" spans="1:15" x14ac:dyDescent="0.3">
      <c r="A245" s="4" t="s">
        <v>1073</v>
      </c>
      <c r="B245" s="3">
        <v>810139576235</v>
      </c>
      <c r="C245" s="2" t="s">
        <v>1074</v>
      </c>
      <c r="D245" s="30">
        <v>0.13</v>
      </c>
      <c r="E245" s="20">
        <v>14.463749999999999</v>
      </c>
      <c r="F245" s="27"/>
      <c r="G245" s="23">
        <f t="shared" si="12"/>
        <v>0</v>
      </c>
      <c r="J245" s="39" t="str">
        <f>IFERROR(IF($J$2*D245=0, "-", $J$2*D245), "-")</f>
        <v>-</v>
      </c>
      <c r="K245" s="39" t="str">
        <f t="shared" si="13"/>
        <v>-</v>
      </c>
      <c r="L245" s="40" t="str">
        <f>IF(F245&gt;0,F245*D245, "-")</f>
        <v>-</v>
      </c>
      <c r="M245" s="41" t="str">
        <f t="shared" si="14"/>
        <v>-</v>
      </c>
      <c r="O245" s="41" t="str">
        <f t="shared" si="15"/>
        <v>-</v>
      </c>
    </row>
    <row r="246" spans="1:15" x14ac:dyDescent="0.3">
      <c r="A246" s="4" t="s">
        <v>1075</v>
      </c>
      <c r="B246" s="3">
        <v>810139574590</v>
      </c>
      <c r="C246" s="2" t="s">
        <v>1076</v>
      </c>
      <c r="D246" s="30">
        <v>1.1399999999999999</v>
      </c>
      <c r="E246" s="20">
        <v>14.463749999999999</v>
      </c>
      <c r="F246" s="27"/>
      <c r="G246" s="23">
        <f t="shared" si="12"/>
        <v>0</v>
      </c>
      <c r="J246" s="39" t="str">
        <f>IFERROR(IF($J$2*D246=0, "-", $J$2*D246), "-")</f>
        <v>-</v>
      </c>
      <c r="K246" s="39" t="str">
        <f t="shared" si="13"/>
        <v>-</v>
      </c>
      <c r="L246" s="40" t="str">
        <f>IF(F246&gt;0,F246*D246, "-")</f>
        <v>-</v>
      </c>
      <c r="M246" s="41" t="str">
        <f t="shared" si="14"/>
        <v>-</v>
      </c>
      <c r="O246" s="41" t="str">
        <f t="shared" si="15"/>
        <v>-</v>
      </c>
    </row>
    <row r="247" spans="1:15" x14ac:dyDescent="0.3">
      <c r="A247" s="4" t="s">
        <v>402</v>
      </c>
      <c r="B247" s="3">
        <v>810139572213</v>
      </c>
      <c r="C247" s="2" t="s">
        <v>1077</v>
      </c>
      <c r="D247" s="30">
        <v>0.22</v>
      </c>
      <c r="E247" s="20">
        <v>14.463749999999999</v>
      </c>
      <c r="F247" s="27"/>
      <c r="G247" s="23">
        <f t="shared" si="12"/>
        <v>0</v>
      </c>
      <c r="J247" s="39" t="str">
        <f>IFERROR(IF($J$2*D247=0, "-", $J$2*D247), "-")</f>
        <v>-</v>
      </c>
      <c r="K247" s="39" t="str">
        <f t="shared" si="13"/>
        <v>-</v>
      </c>
      <c r="L247" s="40" t="str">
        <f>IF(F247&gt;0,F247*D247, "-")</f>
        <v>-</v>
      </c>
      <c r="M247" s="41" t="str">
        <f t="shared" si="14"/>
        <v>-</v>
      </c>
      <c r="O247" s="41" t="str">
        <f t="shared" si="15"/>
        <v>-</v>
      </c>
    </row>
    <row r="248" spans="1:15" x14ac:dyDescent="0.3">
      <c r="A248" s="4" t="s">
        <v>689</v>
      </c>
      <c r="B248" s="3">
        <v>810014671536</v>
      </c>
      <c r="C248" s="2" t="s">
        <v>1078</v>
      </c>
      <c r="D248" s="30">
        <v>0.21</v>
      </c>
      <c r="E248" s="20">
        <v>14.463749999999999</v>
      </c>
      <c r="F248" s="27"/>
      <c r="G248" s="23">
        <f t="shared" si="12"/>
        <v>0</v>
      </c>
      <c r="J248" s="39" t="str">
        <f>IFERROR(IF($J$2*D248=0, "-", $J$2*D248), "-")</f>
        <v>-</v>
      </c>
      <c r="K248" s="39" t="str">
        <f t="shared" si="13"/>
        <v>-</v>
      </c>
      <c r="L248" s="40" t="str">
        <f>IF(F248&gt;0,F248*D248, "-")</f>
        <v>-</v>
      </c>
      <c r="M248" s="41" t="str">
        <f t="shared" si="14"/>
        <v>-</v>
      </c>
      <c r="O248" s="41" t="str">
        <f t="shared" si="15"/>
        <v>-</v>
      </c>
    </row>
    <row r="249" spans="1:15" x14ac:dyDescent="0.3">
      <c r="A249" s="4" t="s">
        <v>31</v>
      </c>
      <c r="B249" s="3">
        <v>810014679129</v>
      </c>
      <c r="C249" s="2" t="s">
        <v>1079</v>
      </c>
      <c r="D249" s="30">
        <v>0.22</v>
      </c>
      <c r="E249" s="20">
        <v>14.463749999999999</v>
      </c>
      <c r="F249" s="27"/>
      <c r="G249" s="23">
        <f t="shared" si="12"/>
        <v>0</v>
      </c>
      <c r="J249" s="39" t="str">
        <f>IFERROR(IF($J$2*D249=0, "-", $J$2*D249), "-")</f>
        <v>-</v>
      </c>
      <c r="K249" s="39" t="str">
        <f t="shared" si="13"/>
        <v>-</v>
      </c>
      <c r="L249" s="40" t="str">
        <f>IF(F249&gt;0,F249*D249, "-")</f>
        <v>-</v>
      </c>
      <c r="M249" s="41" t="str">
        <f t="shared" si="14"/>
        <v>-</v>
      </c>
      <c r="O249" s="41" t="str">
        <f t="shared" si="15"/>
        <v>-</v>
      </c>
    </row>
    <row r="250" spans="1:15" x14ac:dyDescent="0.3">
      <c r="A250" s="4" t="s">
        <v>306</v>
      </c>
      <c r="B250" s="3">
        <v>810014670683</v>
      </c>
      <c r="C250" s="2" t="s">
        <v>1080</v>
      </c>
      <c r="D250" s="30">
        <v>0.12</v>
      </c>
      <c r="E250" s="20">
        <v>14.463749999999999</v>
      </c>
      <c r="F250" s="27"/>
      <c r="G250" s="23">
        <f t="shared" si="12"/>
        <v>0</v>
      </c>
      <c r="J250" s="39" t="str">
        <f>IFERROR(IF($J$2*D250=0, "-", $J$2*D250), "-")</f>
        <v>-</v>
      </c>
      <c r="K250" s="39" t="str">
        <f t="shared" si="13"/>
        <v>-</v>
      </c>
      <c r="L250" s="40" t="str">
        <f>IF(F250&gt;0,F250*D250, "-")</f>
        <v>-</v>
      </c>
      <c r="M250" s="41" t="str">
        <f t="shared" si="14"/>
        <v>-</v>
      </c>
      <c r="O250" s="41" t="str">
        <f t="shared" si="15"/>
        <v>-</v>
      </c>
    </row>
    <row r="251" spans="1:15" x14ac:dyDescent="0.3">
      <c r="A251" s="4" t="s">
        <v>1081</v>
      </c>
      <c r="B251" s="3">
        <v>810139576709</v>
      </c>
      <c r="C251" s="2" t="s">
        <v>1082</v>
      </c>
      <c r="D251" s="30">
        <v>0.17</v>
      </c>
      <c r="E251" s="20">
        <v>14.463749999999999</v>
      </c>
      <c r="F251" s="27"/>
      <c r="G251" s="23">
        <f t="shared" si="12"/>
        <v>0</v>
      </c>
      <c r="J251" s="39" t="str">
        <f>IFERROR(IF($J$2*D251=0, "-", $J$2*D251), "-")</f>
        <v>-</v>
      </c>
      <c r="K251" s="39" t="str">
        <f t="shared" si="13"/>
        <v>-</v>
      </c>
      <c r="L251" s="40" t="str">
        <f>IF(F251&gt;0,F251*D251, "-")</f>
        <v>-</v>
      </c>
      <c r="M251" s="41" t="str">
        <f t="shared" si="14"/>
        <v>-</v>
      </c>
      <c r="O251" s="41" t="str">
        <f t="shared" si="15"/>
        <v>-</v>
      </c>
    </row>
    <row r="252" spans="1:15" x14ac:dyDescent="0.3">
      <c r="A252" s="4" t="s">
        <v>1083</v>
      </c>
      <c r="B252" s="3">
        <v>810139576211</v>
      </c>
      <c r="C252" s="2" t="s">
        <v>1084</v>
      </c>
      <c r="D252" s="30">
        <v>0.23</v>
      </c>
      <c r="E252" s="20">
        <v>14.463749999999999</v>
      </c>
      <c r="F252" s="27"/>
      <c r="G252" s="23">
        <f t="shared" si="12"/>
        <v>0</v>
      </c>
      <c r="J252" s="39" t="str">
        <f>IFERROR(IF($J$2*D252=0, "-", $J$2*D252), "-")</f>
        <v>-</v>
      </c>
      <c r="K252" s="39" t="str">
        <f t="shared" si="13"/>
        <v>-</v>
      </c>
      <c r="L252" s="40" t="str">
        <f>IF(F252&gt;0,F252*D252, "-")</f>
        <v>-</v>
      </c>
      <c r="M252" s="41" t="str">
        <f t="shared" si="14"/>
        <v>-</v>
      </c>
      <c r="O252" s="41" t="str">
        <f t="shared" si="15"/>
        <v>-</v>
      </c>
    </row>
    <row r="253" spans="1:15" x14ac:dyDescent="0.3">
      <c r="A253" s="4" t="s">
        <v>1085</v>
      </c>
      <c r="B253" s="3">
        <v>810139577256</v>
      </c>
      <c r="C253" s="2" t="s">
        <v>1086</v>
      </c>
      <c r="D253" s="30">
        <v>0.16</v>
      </c>
      <c r="E253" s="20">
        <v>14.463749999999999</v>
      </c>
      <c r="F253" s="27"/>
      <c r="G253" s="23">
        <f t="shared" si="12"/>
        <v>0</v>
      </c>
      <c r="J253" s="39" t="str">
        <f>IFERROR(IF($J$2*D253=0, "-", $J$2*D253), "-")</f>
        <v>-</v>
      </c>
      <c r="K253" s="39" t="str">
        <f t="shared" si="13"/>
        <v>-</v>
      </c>
      <c r="L253" s="40" t="str">
        <f>IF(F253&gt;0,F253*D253, "-")</f>
        <v>-</v>
      </c>
      <c r="M253" s="41" t="str">
        <f t="shared" si="14"/>
        <v>-</v>
      </c>
      <c r="O253" s="41" t="str">
        <f t="shared" si="15"/>
        <v>-</v>
      </c>
    </row>
    <row r="254" spans="1:15" x14ac:dyDescent="0.3">
      <c r="A254" s="4" t="s">
        <v>645</v>
      </c>
      <c r="B254" s="3">
        <v>810014673059</v>
      </c>
      <c r="C254" s="2" t="s">
        <v>1087</v>
      </c>
      <c r="D254" s="30">
        <v>0.28999999999999998</v>
      </c>
      <c r="E254" s="20">
        <v>14.463749999999999</v>
      </c>
      <c r="F254" s="27"/>
      <c r="G254" s="23">
        <f t="shared" si="12"/>
        <v>0</v>
      </c>
      <c r="J254" s="39" t="str">
        <f>IFERROR(IF($J$2*D254=0, "-", $J$2*D254), "-")</f>
        <v>-</v>
      </c>
      <c r="K254" s="39" t="str">
        <f t="shared" si="13"/>
        <v>-</v>
      </c>
      <c r="L254" s="40" t="str">
        <f>IF(F254&gt;0,F254*D254, "-")</f>
        <v>-</v>
      </c>
      <c r="M254" s="41" t="str">
        <f t="shared" si="14"/>
        <v>-</v>
      </c>
      <c r="O254" s="41" t="str">
        <f t="shared" si="15"/>
        <v>-</v>
      </c>
    </row>
    <row r="255" spans="1:15" x14ac:dyDescent="0.3">
      <c r="A255" s="4" t="s">
        <v>106</v>
      </c>
      <c r="B255" s="3">
        <v>810014674698</v>
      </c>
      <c r="C255" s="2" t="s">
        <v>1088</v>
      </c>
      <c r="D255" s="30">
        <v>0.15</v>
      </c>
      <c r="E255" s="20">
        <v>14.463749999999999</v>
      </c>
      <c r="F255" s="27"/>
      <c r="G255" s="23">
        <f t="shared" si="12"/>
        <v>0</v>
      </c>
      <c r="J255" s="39" t="str">
        <f>IFERROR(IF($J$2*D255=0, "-", $J$2*D255), "-")</f>
        <v>-</v>
      </c>
      <c r="K255" s="39" t="str">
        <f t="shared" si="13"/>
        <v>-</v>
      </c>
      <c r="L255" s="40" t="str">
        <f>IF(F255&gt;0,F255*D255, "-")</f>
        <v>-</v>
      </c>
      <c r="M255" s="41" t="str">
        <f t="shared" si="14"/>
        <v>-</v>
      </c>
      <c r="O255" s="41" t="str">
        <f t="shared" si="15"/>
        <v>-</v>
      </c>
    </row>
    <row r="256" spans="1:15" x14ac:dyDescent="0.3">
      <c r="A256" s="4" t="s">
        <v>333</v>
      </c>
      <c r="B256" s="3">
        <v>810014678740</v>
      </c>
      <c r="C256" s="2" t="s">
        <v>1089</v>
      </c>
      <c r="D256" s="30">
        <v>0.12</v>
      </c>
      <c r="E256" s="20">
        <v>14.463749999999999</v>
      </c>
      <c r="F256" s="27"/>
      <c r="G256" s="23">
        <f t="shared" si="12"/>
        <v>0</v>
      </c>
      <c r="J256" s="39" t="str">
        <f>IFERROR(IF($J$2*D256=0, "-", $J$2*D256), "-")</f>
        <v>-</v>
      </c>
      <c r="K256" s="39" t="str">
        <f t="shared" si="13"/>
        <v>-</v>
      </c>
      <c r="L256" s="40" t="str">
        <f>IF(F256&gt;0,F256*D256, "-")</f>
        <v>-</v>
      </c>
      <c r="M256" s="41" t="str">
        <f t="shared" si="14"/>
        <v>-</v>
      </c>
      <c r="O256" s="41" t="str">
        <f t="shared" si="15"/>
        <v>-</v>
      </c>
    </row>
    <row r="257" spans="1:15" x14ac:dyDescent="0.3">
      <c r="A257" s="4" t="s">
        <v>613</v>
      </c>
      <c r="B257" s="3">
        <v>810014678627</v>
      </c>
      <c r="C257" s="2" t="s">
        <v>1090</v>
      </c>
      <c r="D257" s="30">
        <v>0.28999999999999998</v>
      </c>
      <c r="E257" s="20">
        <v>14.463749999999999</v>
      </c>
      <c r="F257" s="27"/>
      <c r="G257" s="23">
        <f t="shared" si="12"/>
        <v>0</v>
      </c>
      <c r="J257" s="39" t="str">
        <f>IFERROR(IF($J$2*D257=0, "-", $J$2*D257), "-")</f>
        <v>-</v>
      </c>
      <c r="K257" s="39" t="str">
        <f t="shared" si="13"/>
        <v>-</v>
      </c>
      <c r="L257" s="40" t="str">
        <f>IF(F257&gt;0,F257*D257, "-")</f>
        <v>-</v>
      </c>
      <c r="M257" s="41" t="str">
        <f t="shared" si="14"/>
        <v>-</v>
      </c>
      <c r="O257" s="41" t="str">
        <f t="shared" si="15"/>
        <v>-</v>
      </c>
    </row>
    <row r="258" spans="1:15" x14ac:dyDescent="0.3">
      <c r="A258" s="4" t="s">
        <v>399</v>
      </c>
      <c r="B258" s="3">
        <v>810014672564</v>
      </c>
      <c r="C258" s="2" t="s">
        <v>1091</v>
      </c>
      <c r="D258" s="30">
        <v>0.3</v>
      </c>
      <c r="E258" s="20">
        <v>14.463749999999999</v>
      </c>
      <c r="F258" s="27"/>
      <c r="G258" s="23">
        <f t="shared" si="12"/>
        <v>0</v>
      </c>
      <c r="J258" s="39" t="str">
        <f>IFERROR(IF($J$2*D258=0, "-", $J$2*D258), "-")</f>
        <v>-</v>
      </c>
      <c r="K258" s="39" t="str">
        <f t="shared" si="13"/>
        <v>-</v>
      </c>
      <c r="L258" s="40" t="str">
        <f>IF(F258&gt;0,F258*D258, "-")</f>
        <v>-</v>
      </c>
      <c r="M258" s="41" t="str">
        <f t="shared" si="14"/>
        <v>-</v>
      </c>
      <c r="O258" s="41" t="str">
        <f t="shared" si="15"/>
        <v>-</v>
      </c>
    </row>
    <row r="259" spans="1:15" x14ac:dyDescent="0.3">
      <c r="A259" s="4" t="s">
        <v>1092</v>
      </c>
      <c r="B259" s="3">
        <v>810139572725</v>
      </c>
      <c r="C259" s="2" t="s">
        <v>1093</v>
      </c>
      <c r="D259" s="30">
        <v>0.11</v>
      </c>
      <c r="E259" s="20">
        <v>14.463749999999999</v>
      </c>
      <c r="F259" s="27"/>
      <c r="G259" s="23">
        <f t="shared" si="12"/>
        <v>0</v>
      </c>
      <c r="J259" s="39" t="str">
        <f>IFERROR(IF($J$2*D259=0, "-", $J$2*D259), "-")</f>
        <v>-</v>
      </c>
      <c r="K259" s="39" t="str">
        <f t="shared" si="13"/>
        <v>-</v>
      </c>
      <c r="L259" s="40" t="str">
        <f>IF(F259&gt;0,F259*D259, "-")</f>
        <v>-</v>
      </c>
      <c r="M259" s="41" t="str">
        <f t="shared" si="14"/>
        <v>-</v>
      </c>
      <c r="O259" s="41" t="str">
        <f t="shared" si="15"/>
        <v>-</v>
      </c>
    </row>
    <row r="260" spans="1:15" x14ac:dyDescent="0.3">
      <c r="A260" s="4" t="s">
        <v>196</v>
      </c>
      <c r="B260" s="3">
        <v>810014670829</v>
      </c>
      <c r="C260" s="2" t="s">
        <v>1094</v>
      </c>
      <c r="D260" s="30">
        <v>0.09</v>
      </c>
      <c r="E260" s="20">
        <v>14.463749999999999</v>
      </c>
      <c r="F260" s="27"/>
      <c r="G260" s="23">
        <f t="shared" ref="G260:G323" si="16">F260*E260</f>
        <v>0</v>
      </c>
      <c r="J260" s="39" t="str">
        <f>IFERROR(IF($J$2*D260=0, "-", $J$2*D260), "-")</f>
        <v>-</v>
      </c>
      <c r="K260" s="39" t="str">
        <f t="shared" ref="K260:K323" si="17">IF(F260&gt;0,E260+J260,"-")</f>
        <v>-</v>
      </c>
      <c r="L260" s="40" t="str">
        <f>IF(F260&gt;0,F260*D260, "-")</f>
        <v>-</v>
      </c>
      <c r="M260" s="41" t="str">
        <f t="shared" ref="M260:M323" si="18">IFERROR(IF($J$2&gt;0, $J$2*L260, "-"), "-")</f>
        <v>-</v>
      </c>
      <c r="O260" s="41" t="str">
        <f t="shared" ref="O260:O323" si="19">IFERROR(IF(M260+G260=0, "-", IF(M260&gt;0, M260+G260, "-")), "-")</f>
        <v>-</v>
      </c>
    </row>
    <row r="261" spans="1:15" x14ac:dyDescent="0.3">
      <c r="A261" s="4" t="s">
        <v>1095</v>
      </c>
      <c r="B261" s="3">
        <v>810139576082</v>
      </c>
      <c r="C261" s="2" t="s">
        <v>1096</v>
      </c>
      <c r="D261" s="30">
        <v>0.13</v>
      </c>
      <c r="E261" s="20">
        <v>14.463749999999999</v>
      </c>
      <c r="F261" s="27"/>
      <c r="G261" s="23">
        <f t="shared" si="16"/>
        <v>0</v>
      </c>
      <c r="J261" s="39" t="str">
        <f>IFERROR(IF($J$2*D261=0, "-", $J$2*D261), "-")</f>
        <v>-</v>
      </c>
      <c r="K261" s="39" t="str">
        <f t="shared" si="17"/>
        <v>-</v>
      </c>
      <c r="L261" s="40" t="str">
        <f>IF(F261&gt;0,F261*D261, "-")</f>
        <v>-</v>
      </c>
      <c r="M261" s="41" t="str">
        <f t="shared" si="18"/>
        <v>-</v>
      </c>
      <c r="O261" s="41" t="str">
        <f t="shared" si="19"/>
        <v>-</v>
      </c>
    </row>
    <row r="262" spans="1:15" x14ac:dyDescent="0.3">
      <c r="A262" s="4" t="s">
        <v>172</v>
      </c>
      <c r="B262" s="3">
        <v>810014678412</v>
      </c>
      <c r="C262" s="2" t="s">
        <v>1097</v>
      </c>
      <c r="D262" s="30">
        <v>0.14000000000000001</v>
      </c>
      <c r="E262" s="20">
        <v>14.463749999999999</v>
      </c>
      <c r="F262" s="27"/>
      <c r="G262" s="23">
        <f t="shared" si="16"/>
        <v>0</v>
      </c>
      <c r="J262" s="39" t="str">
        <f>IFERROR(IF($J$2*D262=0, "-", $J$2*D262), "-")</f>
        <v>-</v>
      </c>
      <c r="K262" s="39" t="str">
        <f t="shared" si="17"/>
        <v>-</v>
      </c>
      <c r="L262" s="40" t="str">
        <f>IF(F262&gt;0,F262*D262, "-")</f>
        <v>-</v>
      </c>
      <c r="M262" s="41" t="str">
        <f t="shared" si="18"/>
        <v>-</v>
      </c>
      <c r="O262" s="41" t="str">
        <f t="shared" si="19"/>
        <v>-</v>
      </c>
    </row>
    <row r="263" spans="1:15" x14ac:dyDescent="0.3">
      <c r="A263" s="4" t="s">
        <v>1098</v>
      </c>
      <c r="B263" s="3">
        <v>810139572305</v>
      </c>
      <c r="C263" s="2" t="s">
        <v>1099</v>
      </c>
      <c r="D263" s="30">
        <v>0.18</v>
      </c>
      <c r="E263" s="20">
        <v>14.463749999999999</v>
      </c>
      <c r="F263" s="27"/>
      <c r="G263" s="23">
        <f t="shared" si="16"/>
        <v>0</v>
      </c>
      <c r="J263" s="39" t="str">
        <f>IFERROR(IF($J$2*D263=0, "-", $J$2*D263), "-")</f>
        <v>-</v>
      </c>
      <c r="K263" s="39" t="str">
        <f t="shared" si="17"/>
        <v>-</v>
      </c>
      <c r="L263" s="40" t="str">
        <f>IF(F263&gt;0,F263*D263, "-")</f>
        <v>-</v>
      </c>
      <c r="M263" s="41" t="str">
        <f t="shared" si="18"/>
        <v>-</v>
      </c>
      <c r="O263" s="41" t="str">
        <f t="shared" si="19"/>
        <v>-</v>
      </c>
    </row>
    <row r="264" spans="1:15" x14ac:dyDescent="0.3">
      <c r="A264" s="4" t="s">
        <v>111</v>
      </c>
      <c r="B264" s="3">
        <v>810014671994</v>
      </c>
      <c r="C264" s="2" t="s">
        <v>1100</v>
      </c>
      <c r="D264" s="30">
        <v>0.19</v>
      </c>
      <c r="E264" s="20">
        <v>14.463749999999999</v>
      </c>
      <c r="F264" s="27"/>
      <c r="G264" s="23">
        <f t="shared" si="16"/>
        <v>0</v>
      </c>
      <c r="J264" s="39" t="str">
        <f>IFERROR(IF($J$2*D264=0, "-", $J$2*D264), "-")</f>
        <v>-</v>
      </c>
      <c r="K264" s="39" t="str">
        <f t="shared" si="17"/>
        <v>-</v>
      </c>
      <c r="L264" s="40" t="str">
        <f>IF(F264&gt;0,F264*D264, "-")</f>
        <v>-</v>
      </c>
      <c r="M264" s="41" t="str">
        <f t="shared" si="18"/>
        <v>-</v>
      </c>
      <c r="O264" s="41" t="str">
        <f t="shared" si="19"/>
        <v>-</v>
      </c>
    </row>
    <row r="265" spans="1:15" x14ac:dyDescent="0.3">
      <c r="A265" s="4" t="s">
        <v>519</v>
      </c>
      <c r="B265" s="3">
        <v>810139572121</v>
      </c>
      <c r="C265" s="2" t="s">
        <v>1101</v>
      </c>
      <c r="D265" s="30">
        <v>0.19</v>
      </c>
      <c r="E265" s="20">
        <v>14.463749999999999</v>
      </c>
      <c r="F265" s="27"/>
      <c r="G265" s="23">
        <f t="shared" si="16"/>
        <v>0</v>
      </c>
      <c r="J265" s="39" t="str">
        <f>IFERROR(IF($J$2*D265=0, "-", $J$2*D265), "-")</f>
        <v>-</v>
      </c>
      <c r="K265" s="39" t="str">
        <f t="shared" si="17"/>
        <v>-</v>
      </c>
      <c r="L265" s="40" t="str">
        <f>IF(F265&gt;0,F265*D265, "-")</f>
        <v>-</v>
      </c>
      <c r="M265" s="41" t="str">
        <f t="shared" si="18"/>
        <v>-</v>
      </c>
      <c r="O265" s="41" t="str">
        <f t="shared" si="19"/>
        <v>-</v>
      </c>
    </row>
    <row r="266" spans="1:15" x14ac:dyDescent="0.3">
      <c r="A266" s="4" t="s">
        <v>259</v>
      </c>
      <c r="B266" s="3">
        <v>810014679211</v>
      </c>
      <c r="C266" s="2" t="s">
        <v>1102</v>
      </c>
      <c r="D266" s="30">
        <v>0.28000000000000003</v>
      </c>
      <c r="E266" s="20">
        <v>14.463749999999999</v>
      </c>
      <c r="F266" s="27"/>
      <c r="G266" s="23">
        <f t="shared" si="16"/>
        <v>0</v>
      </c>
      <c r="J266" s="39" t="str">
        <f>IFERROR(IF($J$2*D266=0, "-", $J$2*D266), "-")</f>
        <v>-</v>
      </c>
      <c r="K266" s="39" t="str">
        <f t="shared" si="17"/>
        <v>-</v>
      </c>
      <c r="L266" s="40" t="str">
        <f>IF(F266&gt;0,F266*D266, "-")</f>
        <v>-</v>
      </c>
      <c r="M266" s="41" t="str">
        <f t="shared" si="18"/>
        <v>-</v>
      </c>
      <c r="O266" s="41" t="str">
        <f t="shared" si="19"/>
        <v>-</v>
      </c>
    </row>
    <row r="267" spans="1:15" x14ac:dyDescent="0.3">
      <c r="A267" s="4" t="s">
        <v>168</v>
      </c>
      <c r="B267" s="3">
        <v>810014672045</v>
      </c>
      <c r="C267" s="2" t="s">
        <v>1103</v>
      </c>
      <c r="D267" s="30">
        <v>0.37</v>
      </c>
      <c r="E267" s="20">
        <v>14.463749999999999</v>
      </c>
      <c r="F267" s="27"/>
      <c r="G267" s="23">
        <f t="shared" si="16"/>
        <v>0</v>
      </c>
      <c r="J267" s="39" t="str">
        <f>IFERROR(IF($J$2*D267=0, "-", $J$2*D267), "-")</f>
        <v>-</v>
      </c>
      <c r="K267" s="39" t="str">
        <f t="shared" si="17"/>
        <v>-</v>
      </c>
      <c r="L267" s="40" t="str">
        <f>IF(F267&gt;0,F267*D267, "-")</f>
        <v>-</v>
      </c>
      <c r="M267" s="41" t="str">
        <f t="shared" si="18"/>
        <v>-</v>
      </c>
      <c r="O267" s="41" t="str">
        <f t="shared" si="19"/>
        <v>-</v>
      </c>
    </row>
    <row r="268" spans="1:15" x14ac:dyDescent="0.3">
      <c r="A268" s="4" t="s">
        <v>485</v>
      </c>
      <c r="B268" s="3">
        <v>810014679907</v>
      </c>
      <c r="C268" s="2" t="s">
        <v>1104</v>
      </c>
      <c r="D268" s="30">
        <v>0.16</v>
      </c>
      <c r="E268" s="20">
        <v>14.463749999999999</v>
      </c>
      <c r="F268" s="27"/>
      <c r="G268" s="23">
        <f t="shared" si="16"/>
        <v>0</v>
      </c>
      <c r="J268" s="39" t="str">
        <f>IFERROR(IF($J$2*D268=0, "-", $J$2*D268), "-")</f>
        <v>-</v>
      </c>
      <c r="K268" s="39" t="str">
        <f t="shared" si="17"/>
        <v>-</v>
      </c>
      <c r="L268" s="40" t="str">
        <f>IF(F268&gt;0,F268*D268, "-")</f>
        <v>-</v>
      </c>
      <c r="M268" s="41" t="str">
        <f t="shared" si="18"/>
        <v>-</v>
      </c>
      <c r="O268" s="41" t="str">
        <f t="shared" si="19"/>
        <v>-</v>
      </c>
    </row>
    <row r="269" spans="1:15" x14ac:dyDescent="0.3">
      <c r="A269" s="4" t="s">
        <v>1105</v>
      </c>
      <c r="B269" s="3">
        <v>810139575719</v>
      </c>
      <c r="C269" s="2" t="s">
        <v>1106</v>
      </c>
      <c r="D269" s="30">
        <v>0.27</v>
      </c>
      <c r="E269" s="20">
        <v>14.463749999999999</v>
      </c>
      <c r="F269" s="27"/>
      <c r="G269" s="23">
        <f t="shared" si="16"/>
        <v>0</v>
      </c>
      <c r="J269" s="39" t="str">
        <f>IFERROR(IF($J$2*D269=0, "-", $J$2*D269), "-")</f>
        <v>-</v>
      </c>
      <c r="K269" s="39" t="str">
        <f t="shared" si="17"/>
        <v>-</v>
      </c>
      <c r="L269" s="40" t="str">
        <f>IF(F269&gt;0,F269*D269, "-")</f>
        <v>-</v>
      </c>
      <c r="M269" s="41" t="str">
        <f t="shared" si="18"/>
        <v>-</v>
      </c>
      <c r="O269" s="41" t="str">
        <f t="shared" si="19"/>
        <v>-</v>
      </c>
    </row>
    <row r="270" spans="1:15" x14ac:dyDescent="0.3">
      <c r="A270" s="4" t="s">
        <v>640</v>
      </c>
      <c r="B270" s="3">
        <v>810014670737</v>
      </c>
      <c r="C270" s="2" t="s">
        <v>1107</v>
      </c>
      <c r="D270" s="30">
        <v>0.26</v>
      </c>
      <c r="E270" s="20">
        <v>14.463749999999999</v>
      </c>
      <c r="F270" s="27"/>
      <c r="G270" s="23">
        <f t="shared" si="16"/>
        <v>0</v>
      </c>
      <c r="J270" s="39" t="str">
        <f>IFERROR(IF($J$2*D270=0, "-", $J$2*D270), "-")</f>
        <v>-</v>
      </c>
      <c r="K270" s="39" t="str">
        <f t="shared" si="17"/>
        <v>-</v>
      </c>
      <c r="L270" s="40" t="str">
        <f>IF(F270&gt;0,F270*D270, "-")</f>
        <v>-</v>
      </c>
      <c r="M270" s="41" t="str">
        <f t="shared" si="18"/>
        <v>-</v>
      </c>
      <c r="O270" s="41" t="str">
        <f t="shared" si="19"/>
        <v>-</v>
      </c>
    </row>
    <row r="271" spans="1:15" x14ac:dyDescent="0.3">
      <c r="A271" s="4" t="s">
        <v>318</v>
      </c>
      <c r="B271" s="3">
        <v>810014670720</v>
      </c>
      <c r="C271" s="2" t="s">
        <v>1108</v>
      </c>
      <c r="D271" s="30">
        <v>0.12</v>
      </c>
      <c r="E271" s="20">
        <v>14.463749999999999</v>
      </c>
      <c r="F271" s="27"/>
      <c r="G271" s="23">
        <f t="shared" si="16"/>
        <v>0</v>
      </c>
      <c r="J271" s="39" t="str">
        <f>IFERROR(IF($J$2*D271=0, "-", $J$2*D271), "-")</f>
        <v>-</v>
      </c>
      <c r="K271" s="39" t="str">
        <f t="shared" si="17"/>
        <v>-</v>
      </c>
      <c r="L271" s="40" t="str">
        <f>IF(F271&gt;0,F271*D271, "-")</f>
        <v>-</v>
      </c>
      <c r="M271" s="41" t="str">
        <f t="shared" si="18"/>
        <v>-</v>
      </c>
      <c r="O271" s="41" t="str">
        <f t="shared" si="19"/>
        <v>-</v>
      </c>
    </row>
    <row r="272" spans="1:15" x14ac:dyDescent="0.3">
      <c r="A272" s="4" t="s">
        <v>742</v>
      </c>
      <c r="B272" s="3">
        <v>810014673530</v>
      </c>
      <c r="C272" s="2" t="s">
        <v>1109</v>
      </c>
      <c r="D272" s="30">
        <v>0.11</v>
      </c>
      <c r="E272" s="20">
        <v>14.463749999999999</v>
      </c>
      <c r="F272" s="27"/>
      <c r="G272" s="23">
        <f t="shared" si="16"/>
        <v>0</v>
      </c>
      <c r="J272" s="39" t="str">
        <f>IFERROR(IF($J$2*D272=0, "-", $J$2*D272), "-")</f>
        <v>-</v>
      </c>
      <c r="K272" s="39" t="str">
        <f t="shared" si="17"/>
        <v>-</v>
      </c>
      <c r="L272" s="40" t="str">
        <f>IF(F272&gt;0,F272*D272, "-")</f>
        <v>-</v>
      </c>
      <c r="M272" s="41" t="str">
        <f t="shared" si="18"/>
        <v>-</v>
      </c>
      <c r="O272" s="41" t="str">
        <f t="shared" si="19"/>
        <v>-</v>
      </c>
    </row>
    <row r="273" spans="1:15" x14ac:dyDescent="0.3">
      <c r="A273" s="4" t="s">
        <v>358</v>
      </c>
      <c r="B273" s="3">
        <v>810139574392</v>
      </c>
      <c r="C273" s="2" t="s">
        <v>1110</v>
      </c>
      <c r="D273" s="30">
        <v>0.36</v>
      </c>
      <c r="E273" s="20">
        <v>14.463749999999999</v>
      </c>
      <c r="F273" s="27"/>
      <c r="G273" s="23">
        <f t="shared" si="16"/>
        <v>0</v>
      </c>
      <c r="J273" s="39" t="str">
        <f>IFERROR(IF($J$2*D273=0, "-", $J$2*D273), "-")</f>
        <v>-</v>
      </c>
      <c r="K273" s="39" t="str">
        <f t="shared" si="17"/>
        <v>-</v>
      </c>
      <c r="L273" s="40" t="str">
        <f>IF(F273&gt;0,F273*D273, "-")</f>
        <v>-</v>
      </c>
      <c r="M273" s="41" t="str">
        <f t="shared" si="18"/>
        <v>-</v>
      </c>
      <c r="O273" s="41" t="str">
        <f t="shared" si="19"/>
        <v>-</v>
      </c>
    </row>
    <row r="274" spans="1:15" x14ac:dyDescent="0.3">
      <c r="A274" s="4" t="s">
        <v>694</v>
      </c>
      <c r="B274" s="3">
        <v>810139573234</v>
      </c>
      <c r="C274" s="2" t="s">
        <v>1111</v>
      </c>
      <c r="D274" s="30">
        <v>0.09</v>
      </c>
      <c r="E274" s="20">
        <v>14.463749999999999</v>
      </c>
      <c r="F274" s="27"/>
      <c r="G274" s="23">
        <f t="shared" si="16"/>
        <v>0</v>
      </c>
      <c r="J274" s="39" t="str">
        <f>IFERROR(IF($J$2*D274=0, "-", $J$2*D274), "-")</f>
        <v>-</v>
      </c>
      <c r="K274" s="39" t="str">
        <f t="shared" si="17"/>
        <v>-</v>
      </c>
      <c r="L274" s="40" t="str">
        <f>IF(F274&gt;0,F274*D274, "-")</f>
        <v>-</v>
      </c>
      <c r="M274" s="41" t="str">
        <f t="shared" si="18"/>
        <v>-</v>
      </c>
      <c r="O274" s="41" t="str">
        <f t="shared" si="19"/>
        <v>-</v>
      </c>
    </row>
    <row r="275" spans="1:15" x14ac:dyDescent="0.3">
      <c r="A275" s="4" t="s">
        <v>266</v>
      </c>
      <c r="B275" s="3">
        <v>810014679228</v>
      </c>
      <c r="C275" s="2" t="s">
        <v>1112</v>
      </c>
      <c r="D275" s="30">
        <v>0.22</v>
      </c>
      <c r="E275" s="20">
        <v>14.463749999999999</v>
      </c>
      <c r="F275" s="27"/>
      <c r="G275" s="23">
        <f t="shared" si="16"/>
        <v>0</v>
      </c>
      <c r="J275" s="39" t="str">
        <f>IFERROR(IF($J$2*D275=0, "-", $J$2*D275), "-")</f>
        <v>-</v>
      </c>
      <c r="K275" s="39" t="str">
        <f t="shared" si="17"/>
        <v>-</v>
      </c>
      <c r="L275" s="40" t="str">
        <f>IF(F275&gt;0,F275*D275, "-")</f>
        <v>-</v>
      </c>
      <c r="M275" s="41" t="str">
        <f t="shared" si="18"/>
        <v>-</v>
      </c>
      <c r="O275" s="41" t="str">
        <f t="shared" si="19"/>
        <v>-</v>
      </c>
    </row>
    <row r="276" spans="1:15" x14ac:dyDescent="0.3">
      <c r="A276" s="4" t="s">
        <v>371</v>
      </c>
      <c r="B276" s="3">
        <v>857077008497</v>
      </c>
      <c r="C276" s="2" t="s">
        <v>1113</v>
      </c>
      <c r="D276" s="30">
        <v>0.13</v>
      </c>
      <c r="E276" s="20">
        <v>14.463749999999999</v>
      </c>
      <c r="F276" s="27"/>
      <c r="G276" s="23">
        <f t="shared" si="16"/>
        <v>0</v>
      </c>
      <c r="J276" s="39" t="str">
        <f>IFERROR(IF($J$2*D276=0, "-", $J$2*D276), "-")</f>
        <v>-</v>
      </c>
      <c r="K276" s="39" t="str">
        <f t="shared" si="17"/>
        <v>-</v>
      </c>
      <c r="L276" s="40" t="str">
        <f>IF(F276&gt;0,F276*D276, "-")</f>
        <v>-</v>
      </c>
      <c r="M276" s="41" t="str">
        <f t="shared" si="18"/>
        <v>-</v>
      </c>
      <c r="O276" s="41" t="str">
        <f t="shared" si="19"/>
        <v>-</v>
      </c>
    </row>
    <row r="277" spans="1:15" x14ac:dyDescent="0.3">
      <c r="A277" s="4" t="s">
        <v>489</v>
      </c>
      <c r="B277" s="3">
        <v>810139573142</v>
      </c>
      <c r="C277" s="2" t="s">
        <v>1114</v>
      </c>
      <c r="D277" s="30">
        <v>0.69</v>
      </c>
      <c r="E277" s="20">
        <v>14.844375000000001</v>
      </c>
      <c r="F277" s="27"/>
      <c r="G277" s="23">
        <f t="shared" si="16"/>
        <v>0</v>
      </c>
      <c r="J277" s="39" t="str">
        <f>IFERROR(IF($J$2*D277=0, "-", $J$2*D277), "-")</f>
        <v>-</v>
      </c>
      <c r="K277" s="39" t="str">
        <f t="shared" si="17"/>
        <v>-</v>
      </c>
      <c r="L277" s="40" t="str">
        <f>IF(F277&gt;0,F277*D277, "-")</f>
        <v>-</v>
      </c>
      <c r="M277" s="41" t="str">
        <f t="shared" si="18"/>
        <v>-</v>
      </c>
      <c r="O277" s="41" t="str">
        <f t="shared" si="19"/>
        <v>-</v>
      </c>
    </row>
    <row r="278" spans="1:15" x14ac:dyDescent="0.3">
      <c r="A278" s="4" t="s">
        <v>685</v>
      </c>
      <c r="B278" s="3">
        <v>810139571858</v>
      </c>
      <c r="C278" s="2" t="s">
        <v>1115</v>
      </c>
      <c r="D278" s="30">
        <v>0.57999999999999996</v>
      </c>
      <c r="E278" s="20">
        <v>14.844375000000001</v>
      </c>
      <c r="F278" s="27"/>
      <c r="G278" s="23">
        <f t="shared" si="16"/>
        <v>0</v>
      </c>
      <c r="J278" s="39" t="str">
        <f>IFERROR(IF($J$2*D278=0, "-", $J$2*D278), "-")</f>
        <v>-</v>
      </c>
      <c r="K278" s="39" t="str">
        <f t="shared" si="17"/>
        <v>-</v>
      </c>
      <c r="L278" s="40" t="str">
        <f>IF(F278&gt;0,F278*D278, "-")</f>
        <v>-</v>
      </c>
      <c r="M278" s="41" t="str">
        <f t="shared" si="18"/>
        <v>-</v>
      </c>
      <c r="O278" s="41" t="str">
        <f t="shared" si="19"/>
        <v>-</v>
      </c>
    </row>
    <row r="279" spans="1:15" x14ac:dyDescent="0.3">
      <c r="A279" s="4" t="s">
        <v>452</v>
      </c>
      <c r="B279" s="3">
        <v>810014671970</v>
      </c>
      <c r="C279" s="2" t="s">
        <v>1116</v>
      </c>
      <c r="D279" s="30">
        <v>0.56000000000000005</v>
      </c>
      <c r="E279" s="20">
        <v>14.844375000000001</v>
      </c>
      <c r="F279" s="27"/>
      <c r="G279" s="23">
        <f t="shared" si="16"/>
        <v>0</v>
      </c>
      <c r="J279" s="39" t="str">
        <f>IFERROR(IF($J$2*D279=0, "-", $J$2*D279), "-")</f>
        <v>-</v>
      </c>
      <c r="K279" s="39" t="str">
        <f t="shared" si="17"/>
        <v>-</v>
      </c>
      <c r="L279" s="40" t="str">
        <f>IF(F279&gt;0,F279*D279, "-")</f>
        <v>-</v>
      </c>
      <c r="M279" s="41" t="str">
        <f t="shared" si="18"/>
        <v>-</v>
      </c>
      <c r="O279" s="41" t="str">
        <f t="shared" si="19"/>
        <v>-</v>
      </c>
    </row>
    <row r="280" spans="1:15" x14ac:dyDescent="0.3">
      <c r="A280" s="4" t="s">
        <v>80</v>
      </c>
      <c r="B280" s="3">
        <v>810139571162</v>
      </c>
      <c r="C280" s="2" t="s">
        <v>1117</v>
      </c>
      <c r="D280" s="30">
        <v>0.32</v>
      </c>
      <c r="E280" s="20">
        <v>14.844375000000001</v>
      </c>
      <c r="F280" s="27"/>
      <c r="G280" s="23">
        <f t="shared" si="16"/>
        <v>0</v>
      </c>
      <c r="J280" s="39" t="str">
        <f>IFERROR(IF($J$2*D280=0, "-", $J$2*D280), "-")</f>
        <v>-</v>
      </c>
      <c r="K280" s="39" t="str">
        <f t="shared" si="17"/>
        <v>-</v>
      </c>
      <c r="L280" s="40" t="str">
        <f>IF(F280&gt;0,F280*D280, "-")</f>
        <v>-</v>
      </c>
      <c r="M280" s="41" t="str">
        <f t="shared" si="18"/>
        <v>-</v>
      </c>
      <c r="O280" s="41" t="str">
        <f t="shared" si="19"/>
        <v>-</v>
      </c>
    </row>
    <row r="281" spans="1:15" x14ac:dyDescent="0.3">
      <c r="A281" s="4" t="s">
        <v>1118</v>
      </c>
      <c r="B281" s="3">
        <v>810139576228</v>
      </c>
      <c r="C281" s="2" t="s">
        <v>1119</v>
      </c>
      <c r="D281" s="30">
        <v>0.23</v>
      </c>
      <c r="E281" s="20">
        <v>14.844375000000001</v>
      </c>
      <c r="F281" s="27"/>
      <c r="G281" s="23">
        <f t="shared" si="16"/>
        <v>0</v>
      </c>
      <c r="J281" s="39" t="str">
        <f>IFERROR(IF($J$2*D281=0, "-", $J$2*D281), "-")</f>
        <v>-</v>
      </c>
      <c r="K281" s="39" t="str">
        <f t="shared" si="17"/>
        <v>-</v>
      </c>
      <c r="L281" s="40" t="str">
        <f>IF(F281&gt;0,F281*D281, "-")</f>
        <v>-</v>
      </c>
      <c r="M281" s="41" t="str">
        <f t="shared" si="18"/>
        <v>-</v>
      </c>
      <c r="O281" s="41" t="str">
        <f t="shared" si="19"/>
        <v>-</v>
      </c>
    </row>
    <row r="282" spans="1:15" x14ac:dyDescent="0.3">
      <c r="A282" s="4" t="s">
        <v>651</v>
      </c>
      <c r="B282" s="3">
        <v>810014673424</v>
      </c>
      <c r="C282" s="2" t="s">
        <v>1120</v>
      </c>
      <c r="D282" s="30">
        <v>0.14000000000000001</v>
      </c>
      <c r="E282" s="20">
        <v>14.844375000000001</v>
      </c>
      <c r="F282" s="27"/>
      <c r="G282" s="23">
        <f t="shared" si="16"/>
        <v>0</v>
      </c>
      <c r="J282" s="39" t="str">
        <f>IFERROR(IF($J$2*D282=0, "-", $J$2*D282), "-")</f>
        <v>-</v>
      </c>
      <c r="K282" s="39" t="str">
        <f t="shared" si="17"/>
        <v>-</v>
      </c>
      <c r="L282" s="40" t="str">
        <f>IF(F282&gt;0,F282*D282, "-")</f>
        <v>-</v>
      </c>
      <c r="M282" s="41" t="str">
        <f t="shared" si="18"/>
        <v>-</v>
      </c>
      <c r="O282" s="41" t="str">
        <f t="shared" si="19"/>
        <v>-</v>
      </c>
    </row>
    <row r="283" spans="1:15" x14ac:dyDescent="0.3">
      <c r="A283" s="4" t="s">
        <v>487</v>
      </c>
      <c r="B283" s="3">
        <v>810014671710</v>
      </c>
      <c r="C283" s="2" t="s">
        <v>1121</v>
      </c>
      <c r="D283" s="30">
        <v>0.17</v>
      </c>
      <c r="E283" s="20">
        <v>14.844375000000001</v>
      </c>
      <c r="F283" s="27"/>
      <c r="G283" s="23">
        <f t="shared" si="16"/>
        <v>0</v>
      </c>
      <c r="J283" s="39" t="str">
        <f>IFERROR(IF($J$2*D283=0, "-", $J$2*D283), "-")</f>
        <v>-</v>
      </c>
      <c r="K283" s="39" t="str">
        <f t="shared" si="17"/>
        <v>-</v>
      </c>
      <c r="L283" s="40" t="str">
        <f>IF(F283&gt;0,F283*D283, "-")</f>
        <v>-</v>
      </c>
      <c r="M283" s="41" t="str">
        <f t="shared" si="18"/>
        <v>-</v>
      </c>
      <c r="O283" s="41" t="str">
        <f t="shared" si="19"/>
        <v>-</v>
      </c>
    </row>
    <row r="284" spans="1:15" x14ac:dyDescent="0.3">
      <c r="A284" s="4" t="s">
        <v>404</v>
      </c>
      <c r="B284" s="3">
        <v>810014671314</v>
      </c>
      <c r="C284" s="2" t="s">
        <v>1122</v>
      </c>
      <c r="D284" s="30">
        <v>0.16</v>
      </c>
      <c r="E284" s="20">
        <v>14.844375000000001</v>
      </c>
      <c r="F284" s="27"/>
      <c r="G284" s="23">
        <f t="shared" si="16"/>
        <v>0</v>
      </c>
      <c r="J284" s="39" t="str">
        <f>IFERROR(IF($J$2*D284=0, "-", $J$2*D284), "-")</f>
        <v>-</v>
      </c>
      <c r="K284" s="39" t="str">
        <f t="shared" si="17"/>
        <v>-</v>
      </c>
      <c r="L284" s="40" t="str">
        <f>IF(F284&gt;0,F284*D284, "-")</f>
        <v>-</v>
      </c>
      <c r="M284" s="41" t="str">
        <f t="shared" si="18"/>
        <v>-</v>
      </c>
      <c r="O284" s="41" t="str">
        <f t="shared" si="19"/>
        <v>-</v>
      </c>
    </row>
    <row r="285" spans="1:15" x14ac:dyDescent="0.3">
      <c r="A285" s="4" t="s">
        <v>576</v>
      </c>
      <c r="B285" s="3">
        <v>810014673486</v>
      </c>
      <c r="C285" s="2" t="s">
        <v>1123</v>
      </c>
      <c r="D285" s="30">
        <v>0.11</v>
      </c>
      <c r="E285" s="20">
        <v>14.844375000000001</v>
      </c>
      <c r="F285" s="27"/>
      <c r="G285" s="23">
        <f t="shared" si="16"/>
        <v>0</v>
      </c>
      <c r="J285" s="39" t="str">
        <f>IFERROR(IF($J$2*D285=0, "-", $J$2*D285), "-")</f>
        <v>-</v>
      </c>
      <c r="K285" s="39" t="str">
        <f t="shared" si="17"/>
        <v>-</v>
      </c>
      <c r="L285" s="40" t="str">
        <f>IF(F285&gt;0,F285*D285, "-")</f>
        <v>-</v>
      </c>
      <c r="M285" s="41" t="str">
        <f t="shared" si="18"/>
        <v>-</v>
      </c>
      <c r="O285" s="41" t="str">
        <f t="shared" si="19"/>
        <v>-</v>
      </c>
    </row>
    <row r="286" spans="1:15" x14ac:dyDescent="0.3">
      <c r="A286" s="4" t="s">
        <v>697</v>
      </c>
      <c r="B286" s="3">
        <v>857077008695</v>
      </c>
      <c r="C286" s="2" t="s">
        <v>1124</v>
      </c>
      <c r="D286" s="30">
        <v>0.23</v>
      </c>
      <c r="E286" s="20">
        <v>14.844375000000001</v>
      </c>
      <c r="F286" s="27"/>
      <c r="G286" s="23">
        <f t="shared" si="16"/>
        <v>0</v>
      </c>
      <c r="J286" s="39" t="str">
        <f>IFERROR(IF($J$2*D286=0, "-", $J$2*D286), "-")</f>
        <v>-</v>
      </c>
      <c r="K286" s="39" t="str">
        <f t="shared" si="17"/>
        <v>-</v>
      </c>
      <c r="L286" s="40" t="str">
        <f>IF(F286&gt;0,F286*D286, "-")</f>
        <v>-</v>
      </c>
      <c r="M286" s="41" t="str">
        <f t="shared" si="18"/>
        <v>-</v>
      </c>
      <c r="O286" s="41" t="str">
        <f t="shared" si="19"/>
        <v>-</v>
      </c>
    </row>
    <row r="287" spans="1:15" x14ac:dyDescent="0.3">
      <c r="A287" s="4" t="s">
        <v>494</v>
      </c>
      <c r="B287" s="3">
        <v>810014679433</v>
      </c>
      <c r="C287" s="2" t="s">
        <v>1125</v>
      </c>
      <c r="D287" s="30">
        <v>0.15</v>
      </c>
      <c r="E287" s="20">
        <v>14.844375000000001</v>
      </c>
      <c r="F287" s="27"/>
      <c r="G287" s="23">
        <f t="shared" si="16"/>
        <v>0</v>
      </c>
      <c r="J287" s="39" t="str">
        <f>IFERROR(IF($J$2*D287=0, "-", $J$2*D287), "-")</f>
        <v>-</v>
      </c>
      <c r="K287" s="39" t="str">
        <f t="shared" si="17"/>
        <v>-</v>
      </c>
      <c r="L287" s="40" t="str">
        <f>IF(F287&gt;0,F287*D287, "-")</f>
        <v>-</v>
      </c>
      <c r="M287" s="41" t="str">
        <f t="shared" si="18"/>
        <v>-</v>
      </c>
      <c r="O287" s="41" t="str">
        <f t="shared" si="19"/>
        <v>-</v>
      </c>
    </row>
    <row r="288" spans="1:15" x14ac:dyDescent="0.3">
      <c r="A288" s="4" t="s">
        <v>324</v>
      </c>
      <c r="B288" s="3">
        <v>810014674902</v>
      </c>
      <c r="C288" s="2" t="s">
        <v>1126</v>
      </c>
      <c r="D288" s="30">
        <v>0.14000000000000001</v>
      </c>
      <c r="E288" s="20">
        <v>14.844375000000001</v>
      </c>
      <c r="F288" s="27"/>
      <c r="G288" s="23">
        <f t="shared" si="16"/>
        <v>0</v>
      </c>
      <c r="J288" s="39" t="str">
        <f>IFERROR(IF($J$2*D288=0, "-", $J$2*D288), "-")</f>
        <v>-</v>
      </c>
      <c r="K288" s="39" t="str">
        <f t="shared" si="17"/>
        <v>-</v>
      </c>
      <c r="L288" s="40" t="str">
        <f>IF(F288&gt;0,F288*D288, "-")</f>
        <v>-</v>
      </c>
      <c r="M288" s="41" t="str">
        <f t="shared" si="18"/>
        <v>-</v>
      </c>
      <c r="O288" s="41" t="str">
        <f t="shared" si="19"/>
        <v>-</v>
      </c>
    </row>
    <row r="289" spans="1:15" x14ac:dyDescent="0.3">
      <c r="A289" s="4" t="s">
        <v>331</v>
      </c>
      <c r="B289" s="3">
        <v>810014674896</v>
      </c>
      <c r="C289" s="2" t="s">
        <v>1127</v>
      </c>
      <c r="D289" s="30">
        <v>0.14000000000000001</v>
      </c>
      <c r="E289" s="20">
        <v>14.844375000000001</v>
      </c>
      <c r="F289" s="27"/>
      <c r="G289" s="23">
        <f t="shared" si="16"/>
        <v>0</v>
      </c>
      <c r="J289" s="39" t="str">
        <f>IFERROR(IF($J$2*D289=0, "-", $J$2*D289), "-")</f>
        <v>-</v>
      </c>
      <c r="K289" s="39" t="str">
        <f t="shared" si="17"/>
        <v>-</v>
      </c>
      <c r="L289" s="40" t="str">
        <f>IF(F289&gt;0,F289*D289, "-")</f>
        <v>-</v>
      </c>
      <c r="M289" s="41" t="str">
        <f t="shared" si="18"/>
        <v>-</v>
      </c>
      <c r="O289" s="41" t="str">
        <f t="shared" si="19"/>
        <v>-</v>
      </c>
    </row>
    <row r="290" spans="1:15" x14ac:dyDescent="0.3">
      <c r="A290" s="4" t="s">
        <v>424</v>
      </c>
      <c r="B290" s="3">
        <v>810014670287</v>
      </c>
      <c r="C290" s="2" t="s">
        <v>1128</v>
      </c>
      <c r="D290" s="30">
        <v>0.11</v>
      </c>
      <c r="E290" s="20">
        <v>14.844375000000001</v>
      </c>
      <c r="F290" s="27"/>
      <c r="G290" s="23">
        <f t="shared" si="16"/>
        <v>0</v>
      </c>
      <c r="J290" s="39" t="str">
        <f>IFERROR(IF($J$2*D290=0, "-", $J$2*D290), "-")</f>
        <v>-</v>
      </c>
      <c r="K290" s="39" t="str">
        <f t="shared" si="17"/>
        <v>-</v>
      </c>
      <c r="L290" s="40" t="str">
        <f>IF(F290&gt;0,F290*D290, "-")</f>
        <v>-</v>
      </c>
      <c r="M290" s="41" t="str">
        <f t="shared" si="18"/>
        <v>-</v>
      </c>
      <c r="O290" s="41" t="str">
        <f t="shared" si="19"/>
        <v>-</v>
      </c>
    </row>
    <row r="291" spans="1:15" x14ac:dyDescent="0.3">
      <c r="A291" s="4" t="s">
        <v>1129</v>
      </c>
      <c r="B291" s="3">
        <v>810139573739</v>
      </c>
      <c r="C291" s="2" t="s">
        <v>1130</v>
      </c>
      <c r="D291" s="30">
        <v>0.11</v>
      </c>
      <c r="E291" s="20">
        <v>14.844375000000001</v>
      </c>
      <c r="F291" s="27"/>
      <c r="G291" s="23">
        <f t="shared" si="16"/>
        <v>0</v>
      </c>
      <c r="J291" s="39" t="str">
        <f>IFERROR(IF($J$2*D291=0, "-", $J$2*D291), "-")</f>
        <v>-</v>
      </c>
      <c r="K291" s="39" t="str">
        <f t="shared" si="17"/>
        <v>-</v>
      </c>
      <c r="L291" s="40" t="str">
        <f>IF(F291&gt;0,F291*D291, "-")</f>
        <v>-</v>
      </c>
      <c r="M291" s="41" t="str">
        <f t="shared" si="18"/>
        <v>-</v>
      </c>
      <c r="O291" s="41" t="str">
        <f t="shared" si="19"/>
        <v>-</v>
      </c>
    </row>
    <row r="292" spans="1:15" x14ac:dyDescent="0.3">
      <c r="A292" s="4" t="s">
        <v>160</v>
      </c>
      <c r="B292" s="3">
        <v>810014672656</v>
      </c>
      <c r="C292" s="2" t="s">
        <v>1131</v>
      </c>
      <c r="D292" s="30">
        <v>0.17</v>
      </c>
      <c r="E292" s="20">
        <v>14.844375000000001</v>
      </c>
      <c r="F292" s="27"/>
      <c r="G292" s="23">
        <f t="shared" si="16"/>
        <v>0</v>
      </c>
      <c r="J292" s="39" t="str">
        <f>IFERROR(IF($J$2*D292=0, "-", $J$2*D292), "-")</f>
        <v>-</v>
      </c>
      <c r="K292" s="39" t="str">
        <f t="shared" si="17"/>
        <v>-</v>
      </c>
      <c r="L292" s="40" t="str">
        <f>IF(F292&gt;0,F292*D292, "-")</f>
        <v>-</v>
      </c>
      <c r="M292" s="41" t="str">
        <f t="shared" si="18"/>
        <v>-</v>
      </c>
      <c r="O292" s="41" t="str">
        <f t="shared" si="19"/>
        <v>-</v>
      </c>
    </row>
    <row r="293" spans="1:15" x14ac:dyDescent="0.3">
      <c r="A293" s="4" t="s">
        <v>1132</v>
      </c>
      <c r="B293" s="3">
        <v>810139576044</v>
      </c>
      <c r="C293" s="2" t="s">
        <v>1133</v>
      </c>
      <c r="D293" s="30">
        <v>0.08</v>
      </c>
      <c r="E293" s="20">
        <v>14.844375000000001</v>
      </c>
      <c r="F293" s="27"/>
      <c r="G293" s="23">
        <f t="shared" si="16"/>
        <v>0</v>
      </c>
      <c r="J293" s="39" t="str">
        <f>IFERROR(IF($J$2*D293=0, "-", $J$2*D293), "-")</f>
        <v>-</v>
      </c>
      <c r="K293" s="39" t="str">
        <f t="shared" si="17"/>
        <v>-</v>
      </c>
      <c r="L293" s="40" t="str">
        <f>IF(F293&gt;0,F293*D293, "-")</f>
        <v>-</v>
      </c>
      <c r="M293" s="41" t="str">
        <f t="shared" si="18"/>
        <v>-</v>
      </c>
      <c r="O293" s="41" t="str">
        <f t="shared" si="19"/>
        <v>-</v>
      </c>
    </row>
    <row r="294" spans="1:15" x14ac:dyDescent="0.3">
      <c r="A294" s="4" t="s">
        <v>211</v>
      </c>
      <c r="B294" s="3">
        <v>810014679181</v>
      </c>
      <c r="C294" s="2" t="s">
        <v>1134</v>
      </c>
      <c r="D294" s="30">
        <v>0.24</v>
      </c>
      <c r="E294" s="20">
        <v>14.844375000000001</v>
      </c>
      <c r="F294" s="27"/>
      <c r="G294" s="23">
        <f t="shared" si="16"/>
        <v>0</v>
      </c>
      <c r="J294" s="39" t="str">
        <f>IFERROR(IF($J$2*D294=0, "-", $J$2*D294), "-")</f>
        <v>-</v>
      </c>
      <c r="K294" s="39" t="str">
        <f t="shared" si="17"/>
        <v>-</v>
      </c>
      <c r="L294" s="40" t="str">
        <f>IF(F294&gt;0,F294*D294, "-")</f>
        <v>-</v>
      </c>
      <c r="M294" s="41" t="str">
        <f t="shared" si="18"/>
        <v>-</v>
      </c>
      <c r="O294" s="41" t="str">
        <f t="shared" si="19"/>
        <v>-</v>
      </c>
    </row>
    <row r="295" spans="1:15" x14ac:dyDescent="0.3">
      <c r="A295" s="4" t="s">
        <v>412</v>
      </c>
      <c r="B295" s="3">
        <v>810014679396</v>
      </c>
      <c r="C295" s="2" t="s">
        <v>1135</v>
      </c>
      <c r="D295" s="30">
        <v>0.22</v>
      </c>
      <c r="E295" s="20">
        <v>14.844375000000001</v>
      </c>
      <c r="F295" s="27"/>
      <c r="G295" s="23">
        <f t="shared" si="16"/>
        <v>0</v>
      </c>
      <c r="J295" s="39" t="str">
        <f>IFERROR(IF($J$2*D295=0, "-", $J$2*D295), "-")</f>
        <v>-</v>
      </c>
      <c r="K295" s="39" t="str">
        <f t="shared" si="17"/>
        <v>-</v>
      </c>
      <c r="L295" s="40" t="str">
        <f>IF(F295&gt;0,F295*D295, "-")</f>
        <v>-</v>
      </c>
      <c r="M295" s="41" t="str">
        <f t="shared" si="18"/>
        <v>-</v>
      </c>
      <c r="O295" s="41" t="str">
        <f t="shared" si="19"/>
        <v>-</v>
      </c>
    </row>
    <row r="296" spans="1:15" x14ac:dyDescent="0.3">
      <c r="A296" s="4" t="s">
        <v>126</v>
      </c>
      <c r="B296" s="3">
        <v>810014671932</v>
      </c>
      <c r="C296" s="2" t="s">
        <v>1136</v>
      </c>
      <c r="D296" s="30">
        <v>0.2</v>
      </c>
      <c r="E296" s="20">
        <v>14.844375000000001</v>
      </c>
      <c r="F296" s="27"/>
      <c r="G296" s="23">
        <f t="shared" si="16"/>
        <v>0</v>
      </c>
      <c r="J296" s="39" t="str">
        <f>IFERROR(IF($J$2*D296=0, "-", $J$2*D296), "-")</f>
        <v>-</v>
      </c>
      <c r="K296" s="39" t="str">
        <f t="shared" si="17"/>
        <v>-</v>
      </c>
      <c r="L296" s="40" t="str">
        <f>IF(F296&gt;0,F296*D296, "-")</f>
        <v>-</v>
      </c>
      <c r="M296" s="41" t="str">
        <f t="shared" si="18"/>
        <v>-</v>
      </c>
      <c r="O296" s="41" t="str">
        <f t="shared" si="19"/>
        <v>-</v>
      </c>
    </row>
    <row r="297" spans="1:15" x14ac:dyDescent="0.3">
      <c r="A297" s="4" t="s">
        <v>454</v>
      </c>
      <c r="B297" s="3">
        <v>810014678887</v>
      </c>
      <c r="C297" s="2" t="s">
        <v>1137</v>
      </c>
      <c r="D297" s="30">
        <v>1.22</v>
      </c>
      <c r="E297" s="20">
        <v>15.225</v>
      </c>
      <c r="F297" s="27"/>
      <c r="G297" s="23">
        <f t="shared" si="16"/>
        <v>0</v>
      </c>
      <c r="J297" s="39" t="str">
        <f>IFERROR(IF($J$2*D297=0, "-", $J$2*D297), "-")</f>
        <v>-</v>
      </c>
      <c r="K297" s="39" t="str">
        <f t="shared" si="17"/>
        <v>-</v>
      </c>
      <c r="L297" s="40" t="str">
        <f>IF(F297&gt;0,F297*D297, "-")</f>
        <v>-</v>
      </c>
      <c r="M297" s="41" t="str">
        <f t="shared" si="18"/>
        <v>-</v>
      </c>
      <c r="O297" s="41" t="str">
        <f t="shared" si="19"/>
        <v>-</v>
      </c>
    </row>
    <row r="298" spans="1:15" x14ac:dyDescent="0.3">
      <c r="A298" s="4" t="s">
        <v>190</v>
      </c>
      <c r="B298" s="3">
        <v>810014675190</v>
      </c>
      <c r="C298" s="2" t="s">
        <v>1138</v>
      </c>
      <c r="D298" s="30">
        <v>0.13</v>
      </c>
      <c r="E298" s="20">
        <v>15.225</v>
      </c>
      <c r="F298" s="27"/>
      <c r="G298" s="23">
        <f t="shared" si="16"/>
        <v>0</v>
      </c>
      <c r="J298" s="39" t="str">
        <f>IFERROR(IF($J$2*D298=0, "-", $J$2*D298), "-")</f>
        <v>-</v>
      </c>
      <c r="K298" s="39" t="str">
        <f t="shared" si="17"/>
        <v>-</v>
      </c>
      <c r="L298" s="40" t="str">
        <f>IF(F298&gt;0,F298*D298, "-")</f>
        <v>-</v>
      </c>
      <c r="M298" s="41" t="str">
        <f t="shared" si="18"/>
        <v>-</v>
      </c>
      <c r="O298" s="41" t="str">
        <f t="shared" si="19"/>
        <v>-</v>
      </c>
    </row>
    <row r="299" spans="1:15" x14ac:dyDescent="0.3">
      <c r="A299" s="4" t="s">
        <v>175</v>
      </c>
      <c r="B299" s="3">
        <v>702669934978</v>
      </c>
      <c r="C299" s="2" t="s">
        <v>1139</v>
      </c>
      <c r="D299" s="30">
        <v>0.63</v>
      </c>
      <c r="E299" s="20">
        <v>15.225</v>
      </c>
      <c r="F299" s="27"/>
      <c r="G299" s="23">
        <f t="shared" si="16"/>
        <v>0</v>
      </c>
      <c r="J299" s="39" t="str">
        <f>IFERROR(IF($J$2*D299=0, "-", $J$2*D299), "-")</f>
        <v>-</v>
      </c>
      <c r="K299" s="39" t="str">
        <f t="shared" si="17"/>
        <v>-</v>
      </c>
      <c r="L299" s="40" t="str">
        <f>IF(F299&gt;0,F299*D299, "-")</f>
        <v>-</v>
      </c>
      <c r="M299" s="41" t="str">
        <f t="shared" si="18"/>
        <v>-</v>
      </c>
      <c r="O299" s="41" t="str">
        <f t="shared" si="19"/>
        <v>-</v>
      </c>
    </row>
    <row r="300" spans="1:15" x14ac:dyDescent="0.3">
      <c r="A300" s="4" t="s">
        <v>436</v>
      </c>
      <c r="B300" s="3">
        <v>810014679419</v>
      </c>
      <c r="C300" s="2" t="s">
        <v>1140</v>
      </c>
      <c r="D300" s="30">
        <v>0.66</v>
      </c>
      <c r="E300" s="20">
        <v>15.225</v>
      </c>
      <c r="F300" s="27"/>
      <c r="G300" s="23">
        <f t="shared" si="16"/>
        <v>0</v>
      </c>
      <c r="J300" s="39" t="str">
        <f>IFERROR(IF($J$2*D300=0, "-", $J$2*D300), "-")</f>
        <v>-</v>
      </c>
      <c r="K300" s="39" t="str">
        <f t="shared" si="17"/>
        <v>-</v>
      </c>
      <c r="L300" s="40" t="str">
        <f>IF(F300&gt;0,F300*D300, "-")</f>
        <v>-</v>
      </c>
      <c r="M300" s="41" t="str">
        <f t="shared" si="18"/>
        <v>-</v>
      </c>
      <c r="O300" s="41" t="str">
        <f t="shared" si="19"/>
        <v>-</v>
      </c>
    </row>
    <row r="301" spans="1:15" x14ac:dyDescent="0.3">
      <c r="A301" s="4" t="s">
        <v>457</v>
      </c>
      <c r="B301" s="3">
        <v>810014670362</v>
      </c>
      <c r="C301" s="2" t="s">
        <v>1141</v>
      </c>
      <c r="D301" s="30">
        <v>0.61</v>
      </c>
      <c r="E301" s="20">
        <v>15.225</v>
      </c>
      <c r="F301" s="27"/>
      <c r="G301" s="23">
        <f t="shared" si="16"/>
        <v>0</v>
      </c>
      <c r="J301" s="39" t="str">
        <f>IFERROR(IF($J$2*D301=0, "-", $J$2*D301), "-")</f>
        <v>-</v>
      </c>
      <c r="K301" s="39" t="str">
        <f t="shared" si="17"/>
        <v>-</v>
      </c>
      <c r="L301" s="40" t="str">
        <f>IF(F301&gt;0,F301*D301, "-")</f>
        <v>-</v>
      </c>
      <c r="M301" s="41" t="str">
        <f t="shared" si="18"/>
        <v>-</v>
      </c>
      <c r="O301" s="41" t="str">
        <f t="shared" si="19"/>
        <v>-</v>
      </c>
    </row>
    <row r="302" spans="1:15" x14ac:dyDescent="0.3">
      <c r="A302" s="4" t="s">
        <v>499</v>
      </c>
      <c r="B302" s="3">
        <v>810014675350</v>
      </c>
      <c r="C302" s="2" t="s">
        <v>1142</v>
      </c>
      <c r="D302" s="30">
        <v>0.25</v>
      </c>
      <c r="E302" s="20">
        <v>15.225</v>
      </c>
      <c r="F302" s="27"/>
      <c r="G302" s="23">
        <f t="shared" si="16"/>
        <v>0</v>
      </c>
      <c r="J302" s="39" t="str">
        <f>IFERROR(IF($J$2*D302=0, "-", $J$2*D302), "-")</f>
        <v>-</v>
      </c>
      <c r="K302" s="39" t="str">
        <f t="shared" si="17"/>
        <v>-</v>
      </c>
      <c r="L302" s="40" t="str">
        <f>IF(F302&gt;0,F302*D302, "-")</f>
        <v>-</v>
      </c>
      <c r="M302" s="41" t="str">
        <f t="shared" si="18"/>
        <v>-</v>
      </c>
      <c r="O302" s="41" t="str">
        <f t="shared" si="19"/>
        <v>-</v>
      </c>
    </row>
    <row r="303" spans="1:15" x14ac:dyDescent="0.3">
      <c r="A303" s="4" t="s">
        <v>182</v>
      </c>
      <c r="B303" s="3">
        <v>810014678320</v>
      </c>
      <c r="C303" s="2" t="s">
        <v>1143</v>
      </c>
      <c r="D303" s="30">
        <v>0.25</v>
      </c>
      <c r="E303" s="20">
        <v>15.225</v>
      </c>
      <c r="F303" s="27"/>
      <c r="G303" s="23">
        <f t="shared" si="16"/>
        <v>0</v>
      </c>
      <c r="J303" s="39" t="str">
        <f>IFERROR(IF($J$2*D303=0, "-", $J$2*D303), "-")</f>
        <v>-</v>
      </c>
      <c r="K303" s="39" t="str">
        <f t="shared" si="17"/>
        <v>-</v>
      </c>
      <c r="L303" s="40" t="str">
        <f>IF(F303&gt;0,F303*D303, "-")</f>
        <v>-</v>
      </c>
      <c r="M303" s="41" t="str">
        <f t="shared" si="18"/>
        <v>-</v>
      </c>
      <c r="O303" s="41" t="str">
        <f t="shared" si="19"/>
        <v>-</v>
      </c>
    </row>
    <row r="304" spans="1:15" x14ac:dyDescent="0.3">
      <c r="A304" s="4" t="s">
        <v>1144</v>
      </c>
      <c r="B304" s="3">
        <v>810139572817</v>
      </c>
      <c r="C304" s="2" t="s">
        <v>1145</v>
      </c>
      <c r="D304" s="30">
        <v>0.08</v>
      </c>
      <c r="E304" s="20">
        <v>15.225</v>
      </c>
      <c r="F304" s="27"/>
      <c r="G304" s="23">
        <f t="shared" si="16"/>
        <v>0</v>
      </c>
      <c r="J304" s="39" t="str">
        <f>IFERROR(IF($J$2*D304=0, "-", $J$2*D304), "-")</f>
        <v>-</v>
      </c>
      <c r="K304" s="39" t="str">
        <f t="shared" si="17"/>
        <v>-</v>
      </c>
      <c r="L304" s="40" t="str">
        <f>IF(F304&gt;0,F304*D304, "-")</f>
        <v>-</v>
      </c>
      <c r="M304" s="41" t="str">
        <f t="shared" si="18"/>
        <v>-</v>
      </c>
      <c r="O304" s="41" t="str">
        <f t="shared" si="19"/>
        <v>-</v>
      </c>
    </row>
    <row r="305" spans="1:15" x14ac:dyDescent="0.3">
      <c r="A305" s="4" t="s">
        <v>432</v>
      </c>
      <c r="B305" s="3">
        <v>810139573135</v>
      </c>
      <c r="C305" s="2" t="s">
        <v>1146</v>
      </c>
      <c r="D305" s="30">
        <v>0.24</v>
      </c>
      <c r="E305" s="20">
        <v>15.225</v>
      </c>
      <c r="F305" s="27"/>
      <c r="G305" s="23">
        <f t="shared" si="16"/>
        <v>0</v>
      </c>
      <c r="J305" s="39" t="str">
        <f>IFERROR(IF($J$2*D305=0, "-", $J$2*D305), "-")</f>
        <v>-</v>
      </c>
      <c r="K305" s="39" t="str">
        <f t="shared" si="17"/>
        <v>-</v>
      </c>
      <c r="L305" s="40" t="str">
        <f>IF(F305&gt;0,F305*D305, "-")</f>
        <v>-</v>
      </c>
      <c r="M305" s="41" t="str">
        <f t="shared" si="18"/>
        <v>-</v>
      </c>
      <c r="O305" s="41" t="str">
        <f t="shared" si="19"/>
        <v>-</v>
      </c>
    </row>
    <row r="306" spans="1:15" x14ac:dyDescent="0.3">
      <c r="A306" s="4" t="s">
        <v>113</v>
      </c>
      <c r="B306" s="3">
        <v>810014677026</v>
      </c>
      <c r="C306" s="2" t="s">
        <v>1147</v>
      </c>
      <c r="D306" s="30">
        <v>0.21</v>
      </c>
      <c r="E306" s="20">
        <v>15.225</v>
      </c>
      <c r="F306" s="27"/>
      <c r="G306" s="23">
        <f t="shared" si="16"/>
        <v>0</v>
      </c>
      <c r="J306" s="39" t="str">
        <f>IFERROR(IF($J$2*D306=0, "-", $J$2*D306), "-")</f>
        <v>-</v>
      </c>
      <c r="K306" s="39" t="str">
        <f t="shared" si="17"/>
        <v>-</v>
      </c>
      <c r="L306" s="40" t="str">
        <f>IF(F306&gt;0,F306*D306, "-")</f>
        <v>-</v>
      </c>
      <c r="M306" s="41" t="str">
        <f t="shared" si="18"/>
        <v>-</v>
      </c>
      <c r="O306" s="41" t="str">
        <f t="shared" si="19"/>
        <v>-</v>
      </c>
    </row>
    <row r="307" spans="1:15" x14ac:dyDescent="0.3">
      <c r="A307" s="4" t="s">
        <v>438</v>
      </c>
      <c r="B307" s="3">
        <v>810139571308</v>
      </c>
      <c r="C307" s="2" t="s">
        <v>1148</v>
      </c>
      <c r="D307" s="30">
        <v>0.33</v>
      </c>
      <c r="E307" s="20">
        <v>15.225</v>
      </c>
      <c r="F307" s="27"/>
      <c r="G307" s="23">
        <f t="shared" si="16"/>
        <v>0</v>
      </c>
      <c r="J307" s="39" t="str">
        <f>IFERROR(IF($J$2*D307=0, "-", $J$2*D307), "-")</f>
        <v>-</v>
      </c>
      <c r="K307" s="39" t="str">
        <f t="shared" si="17"/>
        <v>-</v>
      </c>
      <c r="L307" s="40" t="str">
        <f>IF(F307&gt;0,F307*D307, "-")</f>
        <v>-</v>
      </c>
      <c r="M307" s="41" t="str">
        <f t="shared" si="18"/>
        <v>-</v>
      </c>
      <c r="O307" s="41" t="str">
        <f t="shared" si="19"/>
        <v>-</v>
      </c>
    </row>
    <row r="308" spans="1:15" x14ac:dyDescent="0.3">
      <c r="A308" s="4" t="s">
        <v>307</v>
      </c>
      <c r="B308" s="3">
        <v>810014670713</v>
      </c>
      <c r="C308" s="2" t="s">
        <v>1149</v>
      </c>
      <c r="D308" s="30">
        <v>0.15</v>
      </c>
      <c r="E308" s="20">
        <v>15.225</v>
      </c>
      <c r="F308" s="27"/>
      <c r="G308" s="23">
        <f t="shared" si="16"/>
        <v>0</v>
      </c>
      <c r="J308" s="39" t="str">
        <f>IFERROR(IF($J$2*D308=0, "-", $J$2*D308), "-")</f>
        <v>-</v>
      </c>
      <c r="K308" s="39" t="str">
        <f t="shared" si="17"/>
        <v>-</v>
      </c>
      <c r="L308" s="40" t="str">
        <f>IF(F308&gt;0,F308*D308, "-")</f>
        <v>-</v>
      </c>
      <c r="M308" s="41" t="str">
        <f t="shared" si="18"/>
        <v>-</v>
      </c>
      <c r="O308" s="41" t="str">
        <f t="shared" si="19"/>
        <v>-</v>
      </c>
    </row>
    <row r="309" spans="1:15" x14ac:dyDescent="0.3">
      <c r="A309" s="4" t="s">
        <v>418</v>
      </c>
      <c r="B309" s="3">
        <v>810014679402</v>
      </c>
      <c r="C309" s="2" t="s">
        <v>1150</v>
      </c>
      <c r="D309" s="30">
        <v>0.11</v>
      </c>
      <c r="E309" s="20">
        <v>15.225</v>
      </c>
      <c r="F309" s="27"/>
      <c r="G309" s="23">
        <f t="shared" si="16"/>
        <v>0</v>
      </c>
      <c r="J309" s="39" t="str">
        <f>IFERROR(IF($J$2*D309=0, "-", $J$2*D309), "-")</f>
        <v>-</v>
      </c>
      <c r="K309" s="39" t="str">
        <f t="shared" si="17"/>
        <v>-</v>
      </c>
      <c r="L309" s="40" t="str">
        <f>IF(F309&gt;0,F309*D309, "-")</f>
        <v>-</v>
      </c>
      <c r="M309" s="41" t="str">
        <f t="shared" si="18"/>
        <v>-</v>
      </c>
      <c r="O309" s="41" t="str">
        <f t="shared" si="19"/>
        <v>-</v>
      </c>
    </row>
    <row r="310" spans="1:15" x14ac:dyDescent="0.3">
      <c r="A310" s="4" t="s">
        <v>329</v>
      </c>
      <c r="B310" s="3">
        <v>810139572152</v>
      </c>
      <c r="C310" s="2" t="s">
        <v>1151</v>
      </c>
      <c r="D310" s="30">
        <v>0.18</v>
      </c>
      <c r="E310" s="20">
        <v>15.225</v>
      </c>
      <c r="F310" s="27"/>
      <c r="G310" s="23">
        <f t="shared" si="16"/>
        <v>0</v>
      </c>
      <c r="J310" s="39" t="str">
        <f>IFERROR(IF($J$2*D310=0, "-", $J$2*D310), "-")</f>
        <v>-</v>
      </c>
      <c r="K310" s="39" t="str">
        <f t="shared" si="17"/>
        <v>-</v>
      </c>
      <c r="L310" s="40" t="str">
        <f>IF(F310&gt;0,F310*D310, "-")</f>
        <v>-</v>
      </c>
      <c r="M310" s="41" t="str">
        <f t="shared" si="18"/>
        <v>-</v>
      </c>
      <c r="O310" s="41" t="str">
        <f t="shared" si="19"/>
        <v>-</v>
      </c>
    </row>
    <row r="311" spans="1:15" x14ac:dyDescent="0.3">
      <c r="A311" s="4" t="s">
        <v>164</v>
      </c>
      <c r="B311" s="3">
        <v>810014670454</v>
      </c>
      <c r="C311" s="2" t="s">
        <v>1152</v>
      </c>
      <c r="D311" s="30">
        <v>0.15</v>
      </c>
      <c r="E311" s="20">
        <v>15.225</v>
      </c>
      <c r="F311" s="27"/>
      <c r="G311" s="23">
        <f t="shared" si="16"/>
        <v>0</v>
      </c>
      <c r="J311" s="39" t="str">
        <f>IFERROR(IF($J$2*D311=0, "-", $J$2*D311), "-")</f>
        <v>-</v>
      </c>
      <c r="K311" s="39" t="str">
        <f t="shared" si="17"/>
        <v>-</v>
      </c>
      <c r="L311" s="40" t="str">
        <f>IF(F311&gt;0,F311*D311, "-")</f>
        <v>-</v>
      </c>
      <c r="M311" s="41" t="str">
        <f t="shared" si="18"/>
        <v>-</v>
      </c>
      <c r="O311" s="41" t="str">
        <f t="shared" si="19"/>
        <v>-</v>
      </c>
    </row>
    <row r="312" spans="1:15" x14ac:dyDescent="0.3">
      <c r="A312" s="4" t="s">
        <v>425</v>
      </c>
      <c r="B312" s="3">
        <v>810014673363</v>
      </c>
      <c r="C312" s="2" t="s">
        <v>1153</v>
      </c>
      <c r="D312" s="30">
        <v>0.1</v>
      </c>
      <c r="E312" s="20">
        <v>15.225</v>
      </c>
      <c r="F312" s="27"/>
      <c r="G312" s="23">
        <f t="shared" si="16"/>
        <v>0</v>
      </c>
      <c r="J312" s="39" t="str">
        <f>IFERROR(IF($J$2*D312=0, "-", $J$2*D312), "-")</f>
        <v>-</v>
      </c>
      <c r="K312" s="39" t="str">
        <f t="shared" si="17"/>
        <v>-</v>
      </c>
      <c r="L312" s="40" t="str">
        <f>IF(F312&gt;0,F312*D312, "-")</f>
        <v>-</v>
      </c>
      <c r="M312" s="41" t="str">
        <f t="shared" si="18"/>
        <v>-</v>
      </c>
      <c r="O312" s="41" t="str">
        <f t="shared" si="19"/>
        <v>-</v>
      </c>
    </row>
    <row r="313" spans="1:15" x14ac:dyDescent="0.3">
      <c r="A313" s="4" t="s">
        <v>528</v>
      </c>
      <c r="B313" s="3">
        <v>810014672472</v>
      </c>
      <c r="C313" s="2" t="s">
        <v>1154</v>
      </c>
      <c r="D313" s="30">
        <v>1.1200000000000001</v>
      </c>
      <c r="E313" s="20">
        <v>15.225</v>
      </c>
      <c r="F313" s="27"/>
      <c r="G313" s="23">
        <f t="shared" si="16"/>
        <v>0</v>
      </c>
      <c r="J313" s="39" t="str">
        <f>IFERROR(IF($J$2*D313=0, "-", $J$2*D313), "-")</f>
        <v>-</v>
      </c>
      <c r="K313" s="39" t="str">
        <f t="shared" si="17"/>
        <v>-</v>
      </c>
      <c r="L313" s="40" t="str">
        <f>IF(F313&gt;0,F313*D313, "-")</f>
        <v>-</v>
      </c>
      <c r="M313" s="41" t="str">
        <f t="shared" si="18"/>
        <v>-</v>
      </c>
      <c r="O313" s="41" t="str">
        <f t="shared" si="19"/>
        <v>-</v>
      </c>
    </row>
    <row r="314" spans="1:15" x14ac:dyDescent="0.3">
      <c r="A314" s="4" t="s">
        <v>1155</v>
      </c>
      <c r="B314" s="3">
        <v>810139571926</v>
      </c>
      <c r="C314" s="2" t="s">
        <v>1156</v>
      </c>
      <c r="D314" s="30">
        <v>0.57999999999999996</v>
      </c>
      <c r="E314" s="20">
        <v>15.225</v>
      </c>
      <c r="F314" s="27"/>
      <c r="G314" s="23">
        <f t="shared" si="16"/>
        <v>0</v>
      </c>
      <c r="J314" s="39" t="str">
        <f>IFERROR(IF($J$2*D314=0, "-", $J$2*D314), "-")</f>
        <v>-</v>
      </c>
      <c r="K314" s="39" t="str">
        <f t="shared" si="17"/>
        <v>-</v>
      </c>
      <c r="L314" s="40" t="str">
        <f>IF(F314&gt;0,F314*D314, "-")</f>
        <v>-</v>
      </c>
      <c r="M314" s="41" t="str">
        <f t="shared" si="18"/>
        <v>-</v>
      </c>
      <c r="O314" s="41" t="str">
        <f t="shared" si="19"/>
        <v>-</v>
      </c>
    </row>
    <row r="315" spans="1:15" x14ac:dyDescent="0.3">
      <c r="A315" s="4" t="s">
        <v>696</v>
      </c>
      <c r="B315" s="3">
        <v>857077008664</v>
      </c>
      <c r="C315" s="2" t="s">
        <v>1157</v>
      </c>
      <c r="D315" s="30">
        <v>7.0000000000000007E-2</v>
      </c>
      <c r="E315" s="20">
        <v>15.225</v>
      </c>
      <c r="F315" s="27"/>
      <c r="G315" s="23">
        <f t="shared" si="16"/>
        <v>0</v>
      </c>
      <c r="J315" s="39" t="str">
        <f>IFERROR(IF($J$2*D315=0, "-", $J$2*D315), "-")</f>
        <v>-</v>
      </c>
      <c r="K315" s="39" t="str">
        <f t="shared" si="17"/>
        <v>-</v>
      </c>
      <c r="L315" s="40" t="str">
        <f>IF(F315&gt;0,F315*D315, "-")</f>
        <v>-</v>
      </c>
      <c r="M315" s="41" t="str">
        <f t="shared" si="18"/>
        <v>-</v>
      </c>
      <c r="O315" s="41" t="str">
        <f t="shared" si="19"/>
        <v>-</v>
      </c>
    </row>
    <row r="316" spans="1:15" x14ac:dyDescent="0.3">
      <c r="A316" s="4" t="s">
        <v>184</v>
      </c>
      <c r="B316" s="3">
        <v>810014671604</v>
      </c>
      <c r="C316" s="2" t="s">
        <v>185</v>
      </c>
      <c r="D316" s="30">
        <v>0.35</v>
      </c>
      <c r="E316" s="20">
        <v>15.225</v>
      </c>
      <c r="F316" s="27"/>
      <c r="G316" s="23">
        <f t="shared" si="16"/>
        <v>0</v>
      </c>
      <c r="J316" s="39" t="str">
        <f>IFERROR(IF($J$2*D316=0, "-", $J$2*D316), "-")</f>
        <v>-</v>
      </c>
      <c r="K316" s="39" t="str">
        <f t="shared" si="17"/>
        <v>-</v>
      </c>
      <c r="L316" s="40" t="str">
        <f>IF(F316&gt;0,F316*D316, "-")</f>
        <v>-</v>
      </c>
      <c r="M316" s="41" t="str">
        <f t="shared" si="18"/>
        <v>-</v>
      </c>
      <c r="O316" s="41" t="str">
        <f t="shared" si="19"/>
        <v>-</v>
      </c>
    </row>
    <row r="317" spans="1:15" x14ac:dyDescent="0.3">
      <c r="A317" s="4" t="s">
        <v>416</v>
      </c>
      <c r="B317" s="3">
        <v>810139574439</v>
      </c>
      <c r="C317" s="2" t="s">
        <v>1158</v>
      </c>
      <c r="D317" s="30">
        <v>0.11</v>
      </c>
      <c r="E317" s="20">
        <v>15.225</v>
      </c>
      <c r="F317" s="27"/>
      <c r="G317" s="23">
        <f t="shared" si="16"/>
        <v>0</v>
      </c>
      <c r="J317" s="39" t="str">
        <f>IFERROR(IF($J$2*D317=0, "-", $J$2*D317), "-")</f>
        <v>-</v>
      </c>
      <c r="K317" s="39" t="str">
        <f t="shared" si="17"/>
        <v>-</v>
      </c>
      <c r="L317" s="40" t="str">
        <f>IF(F317&gt;0,F317*D317, "-")</f>
        <v>-</v>
      </c>
      <c r="M317" s="41" t="str">
        <f t="shared" si="18"/>
        <v>-</v>
      </c>
      <c r="O317" s="41" t="str">
        <f t="shared" si="19"/>
        <v>-</v>
      </c>
    </row>
    <row r="318" spans="1:15" x14ac:dyDescent="0.3">
      <c r="A318" s="4" t="s">
        <v>406</v>
      </c>
      <c r="B318" s="3">
        <v>810014671321</v>
      </c>
      <c r="C318" s="2" t="s">
        <v>1159</v>
      </c>
      <c r="D318" s="30">
        <v>0.12</v>
      </c>
      <c r="E318" s="20">
        <v>15.225</v>
      </c>
      <c r="F318" s="27"/>
      <c r="G318" s="23">
        <f t="shared" si="16"/>
        <v>0</v>
      </c>
      <c r="J318" s="39" t="str">
        <f>IFERROR(IF($J$2*D318=0, "-", $J$2*D318), "-")</f>
        <v>-</v>
      </c>
      <c r="K318" s="39" t="str">
        <f t="shared" si="17"/>
        <v>-</v>
      </c>
      <c r="L318" s="40" t="str">
        <f>IF(F318&gt;0,F318*D318, "-")</f>
        <v>-</v>
      </c>
      <c r="M318" s="41" t="str">
        <f t="shared" si="18"/>
        <v>-</v>
      </c>
      <c r="O318" s="41" t="str">
        <f t="shared" si="19"/>
        <v>-</v>
      </c>
    </row>
    <row r="319" spans="1:15" x14ac:dyDescent="0.3">
      <c r="A319" s="4" t="s">
        <v>199</v>
      </c>
      <c r="B319" s="3">
        <v>810139572930</v>
      </c>
      <c r="C319" s="2" t="s">
        <v>1160</v>
      </c>
      <c r="D319" s="30">
        <v>0.16</v>
      </c>
      <c r="E319" s="20">
        <v>15.225</v>
      </c>
      <c r="F319" s="27"/>
      <c r="G319" s="23">
        <f t="shared" si="16"/>
        <v>0</v>
      </c>
      <c r="J319" s="39" t="str">
        <f>IFERROR(IF($J$2*D319=0, "-", $J$2*D319), "-")</f>
        <v>-</v>
      </c>
      <c r="K319" s="39" t="str">
        <f t="shared" si="17"/>
        <v>-</v>
      </c>
      <c r="L319" s="40" t="str">
        <f>IF(F319&gt;0,F319*D319, "-")</f>
        <v>-</v>
      </c>
      <c r="M319" s="41" t="str">
        <f t="shared" si="18"/>
        <v>-</v>
      </c>
      <c r="O319" s="41" t="str">
        <f t="shared" si="19"/>
        <v>-</v>
      </c>
    </row>
    <row r="320" spans="1:15" x14ac:dyDescent="0.3">
      <c r="A320" s="4" t="s">
        <v>24</v>
      </c>
      <c r="B320" s="3">
        <v>810014679112</v>
      </c>
      <c r="C320" s="2" t="s">
        <v>1161</v>
      </c>
      <c r="D320" s="30">
        <v>0.09</v>
      </c>
      <c r="E320" s="20">
        <v>15.225</v>
      </c>
      <c r="F320" s="27"/>
      <c r="G320" s="23">
        <f t="shared" si="16"/>
        <v>0</v>
      </c>
      <c r="J320" s="39" t="str">
        <f>IFERROR(IF($J$2*D320=0, "-", $J$2*D320), "-")</f>
        <v>-</v>
      </c>
      <c r="K320" s="39" t="str">
        <f t="shared" si="17"/>
        <v>-</v>
      </c>
      <c r="L320" s="40" t="str">
        <f>IF(F320&gt;0,F320*D320, "-")</f>
        <v>-</v>
      </c>
      <c r="M320" s="41" t="str">
        <f t="shared" si="18"/>
        <v>-</v>
      </c>
      <c r="O320" s="41" t="str">
        <f t="shared" si="19"/>
        <v>-</v>
      </c>
    </row>
    <row r="321" spans="1:15" x14ac:dyDescent="0.3">
      <c r="A321" s="4" t="s">
        <v>140</v>
      </c>
      <c r="B321" s="3">
        <v>810014673561</v>
      </c>
      <c r="C321" s="2" t="s">
        <v>1162</v>
      </c>
      <c r="D321" s="30">
        <v>0.12</v>
      </c>
      <c r="E321" s="20">
        <v>15.225</v>
      </c>
      <c r="F321" s="27"/>
      <c r="G321" s="23">
        <f t="shared" si="16"/>
        <v>0</v>
      </c>
      <c r="J321" s="39" t="str">
        <f>IFERROR(IF($J$2*D321=0, "-", $J$2*D321), "-")</f>
        <v>-</v>
      </c>
      <c r="K321" s="39" t="str">
        <f t="shared" si="17"/>
        <v>-</v>
      </c>
      <c r="L321" s="40" t="str">
        <f>IF(F321&gt;0,F321*D321, "-")</f>
        <v>-</v>
      </c>
      <c r="M321" s="41" t="str">
        <f t="shared" si="18"/>
        <v>-</v>
      </c>
      <c r="O321" s="41" t="str">
        <f t="shared" si="19"/>
        <v>-</v>
      </c>
    </row>
    <row r="322" spans="1:15" x14ac:dyDescent="0.3">
      <c r="A322" s="4" t="s">
        <v>16</v>
      </c>
      <c r="B322" s="3">
        <v>700425812171</v>
      </c>
      <c r="C322" s="2" t="s">
        <v>1163</v>
      </c>
      <c r="D322" s="30">
        <v>0.16</v>
      </c>
      <c r="E322" s="20">
        <v>15.225</v>
      </c>
      <c r="F322" s="27"/>
      <c r="G322" s="23">
        <f t="shared" si="16"/>
        <v>0</v>
      </c>
      <c r="J322" s="39" t="str">
        <f>IFERROR(IF($J$2*D322=0, "-", $J$2*D322), "-")</f>
        <v>-</v>
      </c>
      <c r="K322" s="39" t="str">
        <f t="shared" si="17"/>
        <v>-</v>
      </c>
      <c r="L322" s="40" t="str">
        <f>IF(F322&gt;0,F322*D322, "-")</f>
        <v>-</v>
      </c>
      <c r="M322" s="41" t="str">
        <f t="shared" si="18"/>
        <v>-</v>
      </c>
      <c r="O322" s="41" t="str">
        <f t="shared" si="19"/>
        <v>-</v>
      </c>
    </row>
    <row r="323" spans="1:15" x14ac:dyDescent="0.3">
      <c r="A323" s="4" t="s">
        <v>639</v>
      </c>
      <c r="B323" s="3">
        <v>810139572497</v>
      </c>
      <c r="C323" s="2" t="s">
        <v>1164</v>
      </c>
      <c r="D323" s="30">
        <v>0.14000000000000001</v>
      </c>
      <c r="E323" s="20">
        <v>15.225</v>
      </c>
      <c r="F323" s="27"/>
      <c r="G323" s="23">
        <f t="shared" si="16"/>
        <v>0</v>
      </c>
      <c r="J323" s="39" t="str">
        <f>IFERROR(IF($J$2*D323=0, "-", $J$2*D323), "-")</f>
        <v>-</v>
      </c>
      <c r="K323" s="39" t="str">
        <f t="shared" si="17"/>
        <v>-</v>
      </c>
      <c r="L323" s="40" t="str">
        <f>IF(F323&gt;0,F323*D323, "-")</f>
        <v>-</v>
      </c>
      <c r="M323" s="41" t="str">
        <f t="shared" si="18"/>
        <v>-</v>
      </c>
      <c r="O323" s="41" t="str">
        <f t="shared" si="19"/>
        <v>-</v>
      </c>
    </row>
    <row r="324" spans="1:15" x14ac:dyDescent="0.3">
      <c r="A324" s="4" t="s">
        <v>108</v>
      </c>
      <c r="B324" s="3">
        <v>857077008091</v>
      </c>
      <c r="C324" s="2" t="s">
        <v>1165</v>
      </c>
      <c r="D324" s="30">
        <v>0.15</v>
      </c>
      <c r="E324" s="20">
        <v>15.225</v>
      </c>
      <c r="F324" s="27"/>
      <c r="G324" s="23">
        <f t="shared" ref="G324:G387" si="20">F324*E324</f>
        <v>0</v>
      </c>
      <c r="J324" s="39" t="str">
        <f>IFERROR(IF($J$2*D324=0, "-", $J$2*D324), "-")</f>
        <v>-</v>
      </c>
      <c r="K324" s="39" t="str">
        <f t="shared" ref="K324:K387" si="21">IF(F324&gt;0,E324+J324,"-")</f>
        <v>-</v>
      </c>
      <c r="L324" s="40" t="str">
        <f>IF(F324&gt;0,F324*D324, "-")</f>
        <v>-</v>
      </c>
      <c r="M324" s="41" t="str">
        <f t="shared" ref="M324:M387" si="22">IFERROR(IF($J$2&gt;0, $J$2*L324, "-"), "-")</f>
        <v>-</v>
      </c>
      <c r="O324" s="41" t="str">
        <f t="shared" ref="O324:O387" si="23">IFERROR(IF(M324+G324=0, "-", IF(M324&gt;0, M324+G324, "-")), "-")</f>
        <v>-</v>
      </c>
    </row>
    <row r="325" spans="1:15" x14ac:dyDescent="0.3">
      <c r="A325" s="4" t="s">
        <v>450</v>
      </c>
      <c r="B325" s="3">
        <v>810014672083</v>
      </c>
      <c r="C325" s="2" t="s">
        <v>1166</v>
      </c>
      <c r="D325" s="30">
        <v>0.18</v>
      </c>
      <c r="E325" s="20">
        <v>15.225</v>
      </c>
      <c r="F325" s="27"/>
      <c r="G325" s="23">
        <f t="shared" si="20"/>
        <v>0</v>
      </c>
      <c r="J325" s="39" t="str">
        <f>IFERROR(IF($J$2*D325=0, "-", $J$2*D325), "-")</f>
        <v>-</v>
      </c>
      <c r="K325" s="39" t="str">
        <f t="shared" si="21"/>
        <v>-</v>
      </c>
      <c r="L325" s="40" t="str">
        <f>IF(F325&gt;0,F325*D325, "-")</f>
        <v>-</v>
      </c>
      <c r="M325" s="41" t="str">
        <f t="shared" si="22"/>
        <v>-</v>
      </c>
      <c r="O325" s="41" t="str">
        <f t="shared" si="23"/>
        <v>-</v>
      </c>
    </row>
    <row r="326" spans="1:15" x14ac:dyDescent="0.3">
      <c r="A326" s="4" t="s">
        <v>191</v>
      </c>
      <c r="B326" s="3">
        <v>810014671642</v>
      </c>
      <c r="C326" s="2" t="s">
        <v>1167</v>
      </c>
      <c r="D326" s="30">
        <v>7.0000000000000007E-2</v>
      </c>
      <c r="E326" s="20">
        <v>15.225</v>
      </c>
      <c r="F326" s="27"/>
      <c r="G326" s="23">
        <f t="shared" si="20"/>
        <v>0</v>
      </c>
      <c r="J326" s="39" t="str">
        <f>IFERROR(IF($J$2*D326=0, "-", $J$2*D326), "-")</f>
        <v>-</v>
      </c>
      <c r="K326" s="39" t="str">
        <f t="shared" si="21"/>
        <v>-</v>
      </c>
      <c r="L326" s="40" t="str">
        <f>IF(F326&gt;0,F326*D326, "-")</f>
        <v>-</v>
      </c>
      <c r="M326" s="41" t="str">
        <f t="shared" si="22"/>
        <v>-</v>
      </c>
      <c r="O326" s="41" t="str">
        <f t="shared" si="23"/>
        <v>-</v>
      </c>
    </row>
    <row r="327" spans="1:15" x14ac:dyDescent="0.3">
      <c r="A327" s="4" t="s">
        <v>40</v>
      </c>
      <c r="B327" s="3">
        <v>810139572510</v>
      </c>
      <c r="C327" s="2" t="s">
        <v>1168</v>
      </c>
      <c r="D327" s="30">
        <v>0.05</v>
      </c>
      <c r="E327" s="20">
        <v>15.225</v>
      </c>
      <c r="F327" s="27"/>
      <c r="G327" s="23">
        <f t="shared" si="20"/>
        <v>0</v>
      </c>
      <c r="J327" s="39" t="str">
        <f>IFERROR(IF($J$2*D327=0, "-", $J$2*D327), "-")</f>
        <v>-</v>
      </c>
      <c r="K327" s="39" t="str">
        <f t="shared" si="21"/>
        <v>-</v>
      </c>
      <c r="L327" s="40" t="str">
        <f>IF(F327&gt;0,F327*D327, "-")</f>
        <v>-</v>
      </c>
      <c r="M327" s="41" t="str">
        <f t="shared" si="22"/>
        <v>-</v>
      </c>
      <c r="O327" s="41" t="str">
        <f t="shared" si="23"/>
        <v>-</v>
      </c>
    </row>
    <row r="328" spans="1:15" x14ac:dyDescent="0.3">
      <c r="A328" s="4" t="s">
        <v>312</v>
      </c>
      <c r="B328" s="3">
        <v>857077008879</v>
      </c>
      <c r="C328" s="2" t="s">
        <v>1169</v>
      </c>
      <c r="D328" s="30">
        <v>0.13</v>
      </c>
      <c r="E328" s="20">
        <v>15.225</v>
      </c>
      <c r="F328" s="27"/>
      <c r="G328" s="23">
        <f t="shared" si="20"/>
        <v>0</v>
      </c>
      <c r="J328" s="39" t="str">
        <f>IFERROR(IF($J$2*D328=0, "-", $J$2*D328), "-")</f>
        <v>-</v>
      </c>
      <c r="K328" s="39" t="str">
        <f t="shared" si="21"/>
        <v>-</v>
      </c>
      <c r="L328" s="40" t="str">
        <f>IF(F328&gt;0,F328*D328, "-")</f>
        <v>-</v>
      </c>
      <c r="M328" s="41" t="str">
        <f t="shared" si="22"/>
        <v>-</v>
      </c>
      <c r="O328" s="41" t="str">
        <f t="shared" si="23"/>
        <v>-</v>
      </c>
    </row>
    <row r="329" spans="1:15" x14ac:dyDescent="0.3">
      <c r="A329" s="4" t="s">
        <v>530</v>
      </c>
      <c r="B329" s="3">
        <v>810014678689</v>
      </c>
      <c r="C329" s="2" t="s">
        <v>1170</v>
      </c>
      <c r="D329" s="30">
        <v>0.89</v>
      </c>
      <c r="E329" s="20">
        <v>15.225</v>
      </c>
      <c r="F329" s="27"/>
      <c r="G329" s="23">
        <f t="shared" si="20"/>
        <v>0</v>
      </c>
      <c r="J329" s="39" t="str">
        <f>IFERROR(IF($J$2*D329=0, "-", $J$2*D329), "-")</f>
        <v>-</v>
      </c>
      <c r="K329" s="39" t="str">
        <f t="shared" si="21"/>
        <v>-</v>
      </c>
      <c r="L329" s="40" t="str">
        <f>IF(F329&gt;0,F329*D329, "-")</f>
        <v>-</v>
      </c>
      <c r="M329" s="41" t="str">
        <f t="shared" si="22"/>
        <v>-</v>
      </c>
      <c r="O329" s="41" t="str">
        <f t="shared" si="23"/>
        <v>-</v>
      </c>
    </row>
    <row r="330" spans="1:15" x14ac:dyDescent="0.3">
      <c r="A330" s="4" t="s">
        <v>498</v>
      </c>
      <c r="B330" s="3">
        <v>810014675367</v>
      </c>
      <c r="C330" s="2" t="s">
        <v>1171</v>
      </c>
      <c r="D330" s="30">
        <v>0.17</v>
      </c>
      <c r="E330" s="20">
        <v>15.225</v>
      </c>
      <c r="F330" s="27"/>
      <c r="G330" s="23">
        <f t="shared" si="20"/>
        <v>0</v>
      </c>
      <c r="J330" s="39" t="str">
        <f>IFERROR(IF($J$2*D330=0, "-", $J$2*D330), "-")</f>
        <v>-</v>
      </c>
      <c r="K330" s="39" t="str">
        <f t="shared" si="21"/>
        <v>-</v>
      </c>
      <c r="L330" s="40" t="str">
        <f>IF(F330&gt;0,F330*D330, "-")</f>
        <v>-</v>
      </c>
      <c r="M330" s="41" t="str">
        <f t="shared" si="22"/>
        <v>-</v>
      </c>
      <c r="O330" s="41" t="str">
        <f t="shared" si="23"/>
        <v>-</v>
      </c>
    </row>
    <row r="331" spans="1:15" x14ac:dyDescent="0.3">
      <c r="A331" s="4" t="s">
        <v>238</v>
      </c>
      <c r="B331" s="3">
        <v>810139575481</v>
      </c>
      <c r="C331" s="2" t="s">
        <v>1172</v>
      </c>
      <c r="D331" s="30">
        <v>0.24</v>
      </c>
      <c r="E331" s="20">
        <v>15.605625000000002</v>
      </c>
      <c r="F331" s="27"/>
      <c r="G331" s="23">
        <f t="shared" si="20"/>
        <v>0</v>
      </c>
      <c r="J331" s="39" t="str">
        <f>IFERROR(IF($J$2*D331=0, "-", $J$2*D331), "-")</f>
        <v>-</v>
      </c>
      <c r="K331" s="39" t="str">
        <f t="shared" si="21"/>
        <v>-</v>
      </c>
      <c r="L331" s="40" t="str">
        <f>IF(F331&gt;0,F331*D331, "-")</f>
        <v>-</v>
      </c>
      <c r="M331" s="41" t="str">
        <f t="shared" si="22"/>
        <v>-</v>
      </c>
      <c r="O331" s="41" t="str">
        <f t="shared" si="23"/>
        <v>-</v>
      </c>
    </row>
    <row r="332" spans="1:15" x14ac:dyDescent="0.3">
      <c r="A332" s="4" t="s">
        <v>1173</v>
      </c>
      <c r="B332" s="3">
        <v>810139576150</v>
      </c>
      <c r="C332" s="2" t="s">
        <v>1174</v>
      </c>
      <c r="D332" s="30">
        <v>0.34</v>
      </c>
      <c r="E332" s="20">
        <v>15.605625000000002</v>
      </c>
      <c r="F332" s="27"/>
      <c r="G332" s="23">
        <f t="shared" si="20"/>
        <v>0</v>
      </c>
      <c r="J332" s="39" t="str">
        <f>IFERROR(IF($J$2*D332=0, "-", $J$2*D332), "-")</f>
        <v>-</v>
      </c>
      <c r="K332" s="39" t="str">
        <f t="shared" si="21"/>
        <v>-</v>
      </c>
      <c r="L332" s="40" t="str">
        <f>IF(F332&gt;0,F332*D332, "-")</f>
        <v>-</v>
      </c>
      <c r="M332" s="41" t="str">
        <f t="shared" si="22"/>
        <v>-</v>
      </c>
      <c r="O332" s="41" t="str">
        <f t="shared" si="23"/>
        <v>-</v>
      </c>
    </row>
    <row r="333" spans="1:15" x14ac:dyDescent="0.3">
      <c r="A333" s="4" t="s">
        <v>392</v>
      </c>
      <c r="B333" s="3">
        <v>810139573098</v>
      </c>
      <c r="C333" s="2" t="s">
        <v>1175</v>
      </c>
      <c r="D333" s="30">
        <v>0.28000000000000003</v>
      </c>
      <c r="E333" s="20">
        <v>15.605625000000002</v>
      </c>
      <c r="F333" s="27"/>
      <c r="G333" s="23">
        <f t="shared" si="20"/>
        <v>0</v>
      </c>
      <c r="J333" s="39" t="str">
        <f>IFERROR(IF($J$2*D333=0, "-", $J$2*D333), "-")</f>
        <v>-</v>
      </c>
      <c r="K333" s="39" t="str">
        <f t="shared" si="21"/>
        <v>-</v>
      </c>
      <c r="L333" s="40" t="str">
        <f>IF(F333&gt;0,F333*D333, "-")</f>
        <v>-</v>
      </c>
      <c r="M333" s="41" t="str">
        <f t="shared" si="22"/>
        <v>-</v>
      </c>
      <c r="O333" s="41" t="str">
        <f t="shared" si="23"/>
        <v>-</v>
      </c>
    </row>
    <row r="334" spans="1:15" x14ac:dyDescent="0.3">
      <c r="A334" s="4" t="s">
        <v>391</v>
      </c>
      <c r="B334" s="3">
        <v>810014674889</v>
      </c>
      <c r="C334" s="2" t="s">
        <v>1176</v>
      </c>
      <c r="D334" s="30">
        <v>0.2</v>
      </c>
      <c r="E334" s="20">
        <v>15.605625000000002</v>
      </c>
      <c r="F334" s="27"/>
      <c r="G334" s="23">
        <f t="shared" si="20"/>
        <v>0</v>
      </c>
      <c r="J334" s="39" t="str">
        <f>IFERROR(IF($J$2*D334=0, "-", $J$2*D334), "-")</f>
        <v>-</v>
      </c>
      <c r="K334" s="39" t="str">
        <f t="shared" si="21"/>
        <v>-</v>
      </c>
      <c r="L334" s="40" t="str">
        <f>IF(F334&gt;0,F334*D334, "-")</f>
        <v>-</v>
      </c>
      <c r="M334" s="41" t="str">
        <f t="shared" si="22"/>
        <v>-</v>
      </c>
      <c r="O334" s="41" t="str">
        <f t="shared" si="23"/>
        <v>-</v>
      </c>
    </row>
    <row r="335" spans="1:15" x14ac:dyDescent="0.3">
      <c r="A335" s="4" t="s">
        <v>469</v>
      </c>
      <c r="B335" s="3">
        <v>857077008671</v>
      </c>
      <c r="C335" s="2" t="s">
        <v>1177</v>
      </c>
      <c r="D335" s="30">
        <v>0.3</v>
      </c>
      <c r="E335" s="20">
        <v>15.605625000000002</v>
      </c>
      <c r="F335" s="27"/>
      <c r="G335" s="23">
        <f t="shared" si="20"/>
        <v>0</v>
      </c>
      <c r="J335" s="39" t="str">
        <f>IFERROR(IF($J$2*D335=0, "-", $J$2*D335), "-")</f>
        <v>-</v>
      </c>
      <c r="K335" s="39" t="str">
        <f t="shared" si="21"/>
        <v>-</v>
      </c>
      <c r="L335" s="40" t="str">
        <f>IF(F335&gt;0,F335*D335, "-")</f>
        <v>-</v>
      </c>
      <c r="M335" s="41" t="str">
        <f t="shared" si="22"/>
        <v>-</v>
      </c>
      <c r="O335" s="41" t="str">
        <f t="shared" si="23"/>
        <v>-</v>
      </c>
    </row>
    <row r="336" spans="1:15" x14ac:dyDescent="0.3">
      <c r="A336" s="4" t="s">
        <v>658</v>
      </c>
      <c r="B336" s="3">
        <v>810014671802</v>
      </c>
      <c r="C336" s="2" t="s">
        <v>1178</v>
      </c>
      <c r="D336" s="30">
        <v>0.23</v>
      </c>
      <c r="E336" s="20">
        <v>15.605625000000002</v>
      </c>
      <c r="F336" s="27"/>
      <c r="G336" s="23">
        <f t="shared" si="20"/>
        <v>0</v>
      </c>
      <c r="J336" s="39" t="str">
        <f>IFERROR(IF($J$2*D336=0, "-", $J$2*D336), "-")</f>
        <v>-</v>
      </c>
      <c r="K336" s="39" t="str">
        <f t="shared" si="21"/>
        <v>-</v>
      </c>
      <c r="L336" s="40" t="str">
        <f>IF(F336&gt;0,F336*D336, "-")</f>
        <v>-</v>
      </c>
      <c r="M336" s="41" t="str">
        <f t="shared" si="22"/>
        <v>-</v>
      </c>
      <c r="O336" s="41" t="str">
        <f t="shared" si="23"/>
        <v>-</v>
      </c>
    </row>
    <row r="337" spans="1:15" x14ac:dyDescent="0.3">
      <c r="A337" s="4" t="s">
        <v>153</v>
      </c>
      <c r="B337" s="3">
        <v>810014674063</v>
      </c>
      <c r="C337" s="2" t="s">
        <v>1179</v>
      </c>
      <c r="D337" s="30">
        <v>0.2</v>
      </c>
      <c r="E337" s="20">
        <v>15.605625000000002</v>
      </c>
      <c r="F337" s="27"/>
      <c r="G337" s="23">
        <f t="shared" si="20"/>
        <v>0</v>
      </c>
      <c r="J337" s="39" t="str">
        <f>IFERROR(IF($J$2*D337=0, "-", $J$2*D337), "-")</f>
        <v>-</v>
      </c>
      <c r="K337" s="39" t="str">
        <f t="shared" si="21"/>
        <v>-</v>
      </c>
      <c r="L337" s="40" t="str">
        <f>IF(F337&gt;0,F337*D337, "-")</f>
        <v>-</v>
      </c>
      <c r="M337" s="41" t="str">
        <f t="shared" si="22"/>
        <v>-</v>
      </c>
      <c r="O337" s="41" t="str">
        <f t="shared" si="23"/>
        <v>-</v>
      </c>
    </row>
    <row r="338" spans="1:15" x14ac:dyDescent="0.3">
      <c r="A338" s="4" t="s">
        <v>411</v>
      </c>
      <c r="B338" s="3">
        <v>810014679389</v>
      </c>
      <c r="C338" s="2" t="s">
        <v>1180</v>
      </c>
      <c r="D338" s="30">
        <v>0.17</v>
      </c>
      <c r="E338" s="20">
        <v>15.605625000000002</v>
      </c>
      <c r="F338" s="27"/>
      <c r="G338" s="23">
        <f t="shared" si="20"/>
        <v>0</v>
      </c>
      <c r="J338" s="39" t="str">
        <f>IFERROR(IF($J$2*D338=0, "-", $J$2*D338), "-")</f>
        <v>-</v>
      </c>
      <c r="K338" s="39" t="str">
        <f t="shared" si="21"/>
        <v>-</v>
      </c>
      <c r="L338" s="40" t="str">
        <f>IF(F338&gt;0,F338*D338, "-")</f>
        <v>-</v>
      </c>
      <c r="M338" s="41" t="str">
        <f t="shared" si="22"/>
        <v>-</v>
      </c>
      <c r="O338" s="41" t="str">
        <f t="shared" si="23"/>
        <v>-</v>
      </c>
    </row>
    <row r="339" spans="1:15" x14ac:dyDescent="0.3">
      <c r="A339" s="4" t="s">
        <v>137</v>
      </c>
      <c r="B339" s="3">
        <v>810139575160</v>
      </c>
      <c r="C339" s="2" t="s">
        <v>1181</v>
      </c>
      <c r="D339" s="30">
        <v>0.68</v>
      </c>
      <c r="E339" s="20">
        <v>15.98625</v>
      </c>
      <c r="F339" s="27"/>
      <c r="G339" s="23">
        <f t="shared" si="20"/>
        <v>0</v>
      </c>
      <c r="J339" s="39" t="str">
        <f>IFERROR(IF($J$2*D339=0, "-", $J$2*D339), "-")</f>
        <v>-</v>
      </c>
      <c r="K339" s="39" t="str">
        <f t="shared" si="21"/>
        <v>-</v>
      </c>
      <c r="L339" s="40" t="str">
        <f>IF(F339&gt;0,F339*D339, "-")</f>
        <v>-</v>
      </c>
      <c r="M339" s="41" t="str">
        <f t="shared" si="22"/>
        <v>-</v>
      </c>
      <c r="O339" s="41" t="str">
        <f t="shared" si="23"/>
        <v>-</v>
      </c>
    </row>
    <row r="340" spans="1:15" x14ac:dyDescent="0.3">
      <c r="A340" s="4" t="s">
        <v>553</v>
      </c>
      <c r="B340" s="3">
        <v>810014672199</v>
      </c>
      <c r="C340" s="2" t="s">
        <v>1182</v>
      </c>
      <c r="D340" s="30">
        <v>0.59</v>
      </c>
      <c r="E340" s="20">
        <v>15.98625</v>
      </c>
      <c r="F340" s="27"/>
      <c r="G340" s="23">
        <f t="shared" si="20"/>
        <v>0</v>
      </c>
      <c r="J340" s="39" t="str">
        <f>IFERROR(IF($J$2*D340=0, "-", $J$2*D340), "-")</f>
        <v>-</v>
      </c>
      <c r="K340" s="39" t="str">
        <f t="shared" si="21"/>
        <v>-</v>
      </c>
      <c r="L340" s="40" t="str">
        <f>IF(F340&gt;0,F340*D340, "-")</f>
        <v>-</v>
      </c>
      <c r="M340" s="41" t="str">
        <f t="shared" si="22"/>
        <v>-</v>
      </c>
      <c r="O340" s="41" t="str">
        <f t="shared" si="23"/>
        <v>-</v>
      </c>
    </row>
    <row r="341" spans="1:15" x14ac:dyDescent="0.3">
      <c r="A341" s="4" t="s">
        <v>619</v>
      </c>
      <c r="B341" s="3">
        <v>810014672885</v>
      </c>
      <c r="C341" s="2" t="s">
        <v>1183</v>
      </c>
      <c r="D341" s="30">
        <v>0.57999999999999996</v>
      </c>
      <c r="E341" s="20">
        <v>15.98625</v>
      </c>
      <c r="F341" s="27"/>
      <c r="G341" s="23">
        <f t="shared" si="20"/>
        <v>0</v>
      </c>
      <c r="J341" s="39" t="str">
        <f>IFERROR(IF($J$2*D341=0, "-", $J$2*D341), "-")</f>
        <v>-</v>
      </c>
      <c r="K341" s="39" t="str">
        <f t="shared" si="21"/>
        <v>-</v>
      </c>
      <c r="L341" s="40" t="str">
        <f>IF(F341&gt;0,F341*D341, "-")</f>
        <v>-</v>
      </c>
      <c r="M341" s="41" t="str">
        <f t="shared" si="22"/>
        <v>-</v>
      </c>
      <c r="O341" s="41" t="str">
        <f t="shared" si="23"/>
        <v>-</v>
      </c>
    </row>
    <row r="342" spans="1:15" x14ac:dyDescent="0.3">
      <c r="A342" s="4" t="s">
        <v>477</v>
      </c>
      <c r="B342" s="3">
        <v>810014672601</v>
      </c>
      <c r="C342" s="2" t="s">
        <v>1184</v>
      </c>
      <c r="D342" s="30">
        <v>0.5</v>
      </c>
      <c r="E342" s="20">
        <v>15.98625</v>
      </c>
      <c r="F342" s="27"/>
      <c r="G342" s="23">
        <f t="shared" si="20"/>
        <v>0</v>
      </c>
      <c r="J342" s="39" t="str">
        <f>IFERROR(IF($J$2*D342=0, "-", $J$2*D342), "-")</f>
        <v>-</v>
      </c>
      <c r="K342" s="39" t="str">
        <f t="shared" si="21"/>
        <v>-</v>
      </c>
      <c r="L342" s="40" t="str">
        <f>IF(F342&gt;0,F342*D342, "-")</f>
        <v>-</v>
      </c>
      <c r="M342" s="41" t="str">
        <f t="shared" si="22"/>
        <v>-</v>
      </c>
      <c r="O342" s="41" t="str">
        <f t="shared" si="23"/>
        <v>-</v>
      </c>
    </row>
    <row r="343" spans="1:15" x14ac:dyDescent="0.3">
      <c r="A343" s="4" t="s">
        <v>181</v>
      </c>
      <c r="B343" s="3">
        <v>810014674070</v>
      </c>
      <c r="C343" s="2" t="s">
        <v>1185</v>
      </c>
      <c r="D343" s="30">
        <v>0.41</v>
      </c>
      <c r="E343" s="20">
        <v>15.98625</v>
      </c>
      <c r="F343" s="27"/>
      <c r="G343" s="23">
        <f t="shared" si="20"/>
        <v>0</v>
      </c>
      <c r="J343" s="39" t="str">
        <f>IFERROR(IF($J$2*D343=0, "-", $J$2*D343), "-")</f>
        <v>-</v>
      </c>
      <c r="K343" s="39" t="str">
        <f t="shared" si="21"/>
        <v>-</v>
      </c>
      <c r="L343" s="40" t="str">
        <f>IF(F343&gt;0,F343*D343, "-")</f>
        <v>-</v>
      </c>
      <c r="M343" s="41" t="str">
        <f t="shared" si="22"/>
        <v>-</v>
      </c>
      <c r="O343" s="41" t="str">
        <f t="shared" si="23"/>
        <v>-</v>
      </c>
    </row>
    <row r="344" spans="1:15" x14ac:dyDescent="0.3">
      <c r="A344" s="4" t="s">
        <v>174</v>
      </c>
      <c r="B344" s="3">
        <v>810139573111</v>
      </c>
      <c r="C344" s="2" t="s">
        <v>1186</v>
      </c>
      <c r="D344" s="30">
        <v>0.47</v>
      </c>
      <c r="E344" s="20">
        <v>15.98625</v>
      </c>
      <c r="F344" s="27"/>
      <c r="G344" s="23">
        <f t="shared" si="20"/>
        <v>0</v>
      </c>
      <c r="J344" s="39" t="str">
        <f>IFERROR(IF($J$2*D344=0, "-", $J$2*D344), "-")</f>
        <v>-</v>
      </c>
      <c r="K344" s="39" t="str">
        <f t="shared" si="21"/>
        <v>-</v>
      </c>
      <c r="L344" s="40" t="str">
        <f>IF(F344&gt;0,F344*D344, "-")</f>
        <v>-</v>
      </c>
      <c r="M344" s="41" t="str">
        <f t="shared" si="22"/>
        <v>-</v>
      </c>
      <c r="O344" s="41" t="str">
        <f t="shared" si="23"/>
        <v>-</v>
      </c>
    </row>
    <row r="345" spans="1:15" x14ac:dyDescent="0.3">
      <c r="A345" s="4" t="s">
        <v>1187</v>
      </c>
      <c r="B345" s="3">
        <v>810139575733</v>
      </c>
      <c r="C345" s="2" t="s">
        <v>1188</v>
      </c>
      <c r="D345" s="30">
        <v>0.1</v>
      </c>
      <c r="E345" s="20">
        <v>15.98625</v>
      </c>
      <c r="F345" s="27"/>
      <c r="G345" s="23">
        <f t="shared" si="20"/>
        <v>0</v>
      </c>
      <c r="J345" s="39" t="str">
        <f>IFERROR(IF($J$2*D345=0, "-", $J$2*D345), "-")</f>
        <v>-</v>
      </c>
      <c r="K345" s="39" t="str">
        <f t="shared" si="21"/>
        <v>-</v>
      </c>
      <c r="L345" s="40" t="str">
        <f>IF(F345&gt;0,F345*D345, "-")</f>
        <v>-</v>
      </c>
      <c r="M345" s="41" t="str">
        <f t="shared" si="22"/>
        <v>-</v>
      </c>
      <c r="O345" s="41" t="str">
        <f t="shared" si="23"/>
        <v>-</v>
      </c>
    </row>
    <row r="346" spans="1:15" x14ac:dyDescent="0.3">
      <c r="A346" s="4" t="s">
        <v>476</v>
      </c>
      <c r="B346" s="3">
        <v>810014672595</v>
      </c>
      <c r="C346" s="2" t="s">
        <v>1189</v>
      </c>
      <c r="D346" s="30">
        <v>0.48</v>
      </c>
      <c r="E346" s="20">
        <v>15.98625</v>
      </c>
      <c r="F346" s="27"/>
      <c r="G346" s="23">
        <f t="shared" si="20"/>
        <v>0</v>
      </c>
      <c r="J346" s="39" t="str">
        <f>IFERROR(IF($J$2*D346=0, "-", $J$2*D346), "-")</f>
        <v>-</v>
      </c>
      <c r="K346" s="39" t="str">
        <f t="shared" si="21"/>
        <v>-</v>
      </c>
      <c r="L346" s="40" t="str">
        <f>IF(F346&gt;0,F346*D346, "-")</f>
        <v>-</v>
      </c>
      <c r="M346" s="41" t="str">
        <f t="shared" si="22"/>
        <v>-</v>
      </c>
      <c r="O346" s="41" t="str">
        <f t="shared" si="23"/>
        <v>-</v>
      </c>
    </row>
    <row r="347" spans="1:15" x14ac:dyDescent="0.3">
      <c r="A347" s="4" t="s">
        <v>1190</v>
      </c>
      <c r="B347" s="3">
        <v>810139575672</v>
      </c>
      <c r="C347" s="2" t="s">
        <v>1191</v>
      </c>
      <c r="D347" s="30">
        <v>0.16</v>
      </c>
      <c r="E347" s="20">
        <v>15.98625</v>
      </c>
      <c r="F347" s="27"/>
      <c r="G347" s="23">
        <f t="shared" si="20"/>
        <v>0</v>
      </c>
      <c r="J347" s="39" t="str">
        <f>IFERROR(IF($J$2*D347=0, "-", $J$2*D347), "-")</f>
        <v>-</v>
      </c>
      <c r="K347" s="39" t="str">
        <f t="shared" si="21"/>
        <v>-</v>
      </c>
      <c r="L347" s="40" t="str">
        <f>IF(F347&gt;0,F347*D347, "-")</f>
        <v>-</v>
      </c>
      <c r="M347" s="41" t="str">
        <f t="shared" si="22"/>
        <v>-</v>
      </c>
      <c r="O347" s="41" t="str">
        <f t="shared" si="23"/>
        <v>-</v>
      </c>
    </row>
    <row r="348" spans="1:15" x14ac:dyDescent="0.3">
      <c r="A348" s="4" t="s">
        <v>1192</v>
      </c>
      <c r="B348" s="3">
        <v>810139575665</v>
      </c>
      <c r="C348" s="2" t="s">
        <v>1193</v>
      </c>
      <c r="D348" s="30">
        <v>0.15</v>
      </c>
      <c r="E348" s="20">
        <v>15.98625</v>
      </c>
      <c r="F348" s="27"/>
      <c r="G348" s="23">
        <f t="shared" si="20"/>
        <v>0</v>
      </c>
      <c r="J348" s="39" t="str">
        <f>IFERROR(IF($J$2*D348=0, "-", $J$2*D348), "-")</f>
        <v>-</v>
      </c>
      <c r="K348" s="39" t="str">
        <f t="shared" si="21"/>
        <v>-</v>
      </c>
      <c r="L348" s="40" t="str">
        <f>IF(F348&gt;0,F348*D348, "-")</f>
        <v>-</v>
      </c>
      <c r="M348" s="41" t="str">
        <f t="shared" si="22"/>
        <v>-</v>
      </c>
      <c r="O348" s="41" t="str">
        <f t="shared" si="23"/>
        <v>-</v>
      </c>
    </row>
    <row r="349" spans="1:15" x14ac:dyDescent="0.3">
      <c r="A349" s="4" t="s">
        <v>29</v>
      </c>
      <c r="B349" s="3">
        <v>810014673325</v>
      </c>
      <c r="C349" s="2" t="s">
        <v>1194</v>
      </c>
      <c r="D349" s="30">
        <v>0.15</v>
      </c>
      <c r="E349" s="20">
        <v>15.98625</v>
      </c>
      <c r="F349" s="27"/>
      <c r="G349" s="23">
        <f t="shared" si="20"/>
        <v>0</v>
      </c>
      <c r="J349" s="39" t="str">
        <f>IFERROR(IF($J$2*D349=0, "-", $J$2*D349), "-")</f>
        <v>-</v>
      </c>
      <c r="K349" s="39" t="str">
        <f t="shared" si="21"/>
        <v>-</v>
      </c>
      <c r="L349" s="40" t="str">
        <f>IF(F349&gt;0,F349*D349, "-")</f>
        <v>-</v>
      </c>
      <c r="M349" s="41" t="str">
        <f t="shared" si="22"/>
        <v>-</v>
      </c>
      <c r="O349" s="41" t="str">
        <f t="shared" si="23"/>
        <v>-</v>
      </c>
    </row>
    <row r="350" spans="1:15" x14ac:dyDescent="0.3">
      <c r="A350" s="4" t="s">
        <v>1195</v>
      </c>
      <c r="B350" s="3">
        <v>810139575436</v>
      </c>
      <c r="C350" s="2" t="s">
        <v>1196</v>
      </c>
      <c r="D350" s="30">
        <v>0.09</v>
      </c>
      <c r="E350" s="20">
        <v>15.98625</v>
      </c>
      <c r="F350" s="27"/>
      <c r="G350" s="23">
        <f t="shared" si="20"/>
        <v>0</v>
      </c>
      <c r="J350" s="39" t="str">
        <f>IFERROR(IF($J$2*D350=0, "-", $J$2*D350), "-")</f>
        <v>-</v>
      </c>
      <c r="K350" s="39" t="str">
        <f t="shared" si="21"/>
        <v>-</v>
      </c>
      <c r="L350" s="40" t="str">
        <f>IF(F350&gt;0,F350*D350, "-")</f>
        <v>-</v>
      </c>
      <c r="M350" s="41" t="str">
        <f t="shared" si="22"/>
        <v>-</v>
      </c>
      <c r="O350" s="41" t="str">
        <f t="shared" si="23"/>
        <v>-</v>
      </c>
    </row>
    <row r="351" spans="1:15" x14ac:dyDescent="0.3">
      <c r="A351" s="4" t="s">
        <v>1197</v>
      </c>
      <c r="B351" s="3">
        <v>810139573500</v>
      </c>
      <c r="C351" s="2" t="s">
        <v>1198</v>
      </c>
      <c r="D351" s="30">
        <v>0.18</v>
      </c>
      <c r="E351" s="20">
        <v>15.98625</v>
      </c>
      <c r="F351" s="27"/>
      <c r="G351" s="23">
        <f t="shared" si="20"/>
        <v>0</v>
      </c>
      <c r="J351" s="39" t="str">
        <f>IFERROR(IF($J$2*D351=0, "-", $J$2*D351), "-")</f>
        <v>-</v>
      </c>
      <c r="K351" s="39" t="str">
        <f t="shared" si="21"/>
        <v>-</v>
      </c>
      <c r="L351" s="40" t="str">
        <f>IF(F351&gt;0,F351*D351, "-")</f>
        <v>-</v>
      </c>
      <c r="M351" s="41" t="str">
        <f t="shared" si="22"/>
        <v>-</v>
      </c>
      <c r="O351" s="41" t="str">
        <f t="shared" si="23"/>
        <v>-</v>
      </c>
    </row>
    <row r="352" spans="1:15" x14ac:dyDescent="0.3">
      <c r="A352" s="4" t="s">
        <v>272</v>
      </c>
      <c r="B352" s="3">
        <v>810139571537</v>
      </c>
      <c r="C352" s="2" t="s">
        <v>1199</v>
      </c>
      <c r="D352" s="30">
        <v>0.09</v>
      </c>
      <c r="E352" s="20">
        <v>15.98625</v>
      </c>
      <c r="F352" s="27"/>
      <c r="G352" s="23">
        <f t="shared" si="20"/>
        <v>0</v>
      </c>
      <c r="J352" s="39" t="str">
        <f>IFERROR(IF($J$2*D352=0, "-", $J$2*D352), "-")</f>
        <v>-</v>
      </c>
      <c r="K352" s="39" t="str">
        <f t="shared" si="21"/>
        <v>-</v>
      </c>
      <c r="L352" s="40" t="str">
        <f>IF(F352&gt;0,F352*D352, "-")</f>
        <v>-</v>
      </c>
      <c r="M352" s="41" t="str">
        <f t="shared" si="22"/>
        <v>-</v>
      </c>
      <c r="O352" s="41" t="str">
        <f t="shared" si="23"/>
        <v>-</v>
      </c>
    </row>
    <row r="353" spans="1:15" x14ac:dyDescent="0.3">
      <c r="A353" s="4" t="s">
        <v>496</v>
      </c>
      <c r="B353" s="3">
        <v>810014674957</v>
      </c>
      <c r="C353" s="2" t="s">
        <v>1200</v>
      </c>
      <c r="D353" s="30">
        <v>0.12</v>
      </c>
      <c r="E353" s="20">
        <v>15.98625</v>
      </c>
      <c r="F353" s="27"/>
      <c r="G353" s="23">
        <f t="shared" si="20"/>
        <v>0</v>
      </c>
      <c r="J353" s="39" t="str">
        <f>IFERROR(IF($J$2*D353=0, "-", $J$2*D353), "-")</f>
        <v>-</v>
      </c>
      <c r="K353" s="39" t="str">
        <f t="shared" si="21"/>
        <v>-</v>
      </c>
      <c r="L353" s="40" t="str">
        <f>IF(F353&gt;0,F353*D353, "-")</f>
        <v>-</v>
      </c>
      <c r="M353" s="41" t="str">
        <f t="shared" si="22"/>
        <v>-</v>
      </c>
      <c r="O353" s="41" t="str">
        <f t="shared" si="23"/>
        <v>-</v>
      </c>
    </row>
    <row r="354" spans="1:15" x14ac:dyDescent="0.3">
      <c r="A354" s="4" t="s">
        <v>96</v>
      </c>
      <c r="B354" s="3">
        <v>810139572527</v>
      </c>
      <c r="C354" s="2" t="s">
        <v>1201</v>
      </c>
      <c r="D354" s="30">
        <v>0.69</v>
      </c>
      <c r="E354" s="20">
        <v>15.98625</v>
      </c>
      <c r="F354" s="27"/>
      <c r="G354" s="23">
        <f t="shared" si="20"/>
        <v>0</v>
      </c>
      <c r="J354" s="39" t="str">
        <f>IFERROR(IF($J$2*D354=0, "-", $J$2*D354), "-")</f>
        <v>-</v>
      </c>
      <c r="K354" s="39" t="str">
        <f t="shared" si="21"/>
        <v>-</v>
      </c>
      <c r="L354" s="40" t="str">
        <f>IF(F354&gt;0,F354*D354, "-")</f>
        <v>-</v>
      </c>
      <c r="M354" s="41" t="str">
        <f t="shared" si="22"/>
        <v>-</v>
      </c>
      <c r="O354" s="41" t="str">
        <f t="shared" si="23"/>
        <v>-</v>
      </c>
    </row>
    <row r="355" spans="1:15" x14ac:dyDescent="0.3">
      <c r="A355" s="4" t="s">
        <v>1202</v>
      </c>
      <c r="B355" s="3">
        <v>810139577638</v>
      </c>
      <c r="C355" s="2" t="s">
        <v>1203</v>
      </c>
      <c r="D355" s="30">
        <v>0.23</v>
      </c>
      <c r="E355" s="20">
        <v>15.98625</v>
      </c>
      <c r="F355" s="27"/>
      <c r="G355" s="23">
        <f t="shared" si="20"/>
        <v>0</v>
      </c>
      <c r="J355" s="39" t="str">
        <f>IFERROR(IF($J$2*D355=0, "-", $J$2*D355), "-")</f>
        <v>-</v>
      </c>
      <c r="K355" s="39" t="str">
        <f t="shared" si="21"/>
        <v>-</v>
      </c>
      <c r="L355" s="40" t="str">
        <f>IF(F355&gt;0,F355*D355, "-")</f>
        <v>-</v>
      </c>
      <c r="M355" s="41" t="str">
        <f t="shared" si="22"/>
        <v>-</v>
      </c>
      <c r="O355" s="41" t="str">
        <f t="shared" si="23"/>
        <v>-</v>
      </c>
    </row>
    <row r="356" spans="1:15" x14ac:dyDescent="0.3">
      <c r="A356" s="4" t="s">
        <v>6</v>
      </c>
      <c r="B356" s="3">
        <v>810014675466</v>
      </c>
      <c r="C356" s="2" t="s">
        <v>1204</v>
      </c>
      <c r="D356" s="30">
        <v>7.0000000000000007E-2</v>
      </c>
      <c r="E356" s="20">
        <v>15.98625</v>
      </c>
      <c r="F356" s="27"/>
      <c r="G356" s="23">
        <f t="shared" si="20"/>
        <v>0</v>
      </c>
      <c r="J356" s="39" t="str">
        <f>IFERROR(IF($J$2*D356=0, "-", $J$2*D356), "-")</f>
        <v>-</v>
      </c>
      <c r="K356" s="39" t="str">
        <f t="shared" si="21"/>
        <v>-</v>
      </c>
      <c r="L356" s="40" t="str">
        <f>IF(F356&gt;0,F356*D356, "-")</f>
        <v>-</v>
      </c>
      <c r="M356" s="41" t="str">
        <f t="shared" si="22"/>
        <v>-</v>
      </c>
      <c r="O356" s="41" t="str">
        <f t="shared" si="23"/>
        <v>-</v>
      </c>
    </row>
    <row r="357" spans="1:15" x14ac:dyDescent="0.3">
      <c r="A357" s="4" t="s">
        <v>360</v>
      </c>
      <c r="B357" s="3">
        <v>810014670317</v>
      </c>
      <c r="C357" s="2" t="s">
        <v>1205</v>
      </c>
      <c r="D357" s="30">
        <v>0.28000000000000003</v>
      </c>
      <c r="E357" s="20">
        <v>15.98625</v>
      </c>
      <c r="F357" s="27"/>
      <c r="G357" s="23">
        <f t="shared" si="20"/>
        <v>0</v>
      </c>
      <c r="J357" s="39" t="str">
        <f>IFERROR(IF($J$2*D357=0, "-", $J$2*D357), "-")</f>
        <v>-</v>
      </c>
      <c r="K357" s="39" t="str">
        <f t="shared" si="21"/>
        <v>-</v>
      </c>
      <c r="L357" s="40" t="str">
        <f>IF(F357&gt;0,F357*D357, "-")</f>
        <v>-</v>
      </c>
      <c r="M357" s="41" t="str">
        <f t="shared" si="22"/>
        <v>-</v>
      </c>
      <c r="O357" s="41" t="str">
        <f t="shared" si="23"/>
        <v>-</v>
      </c>
    </row>
    <row r="358" spans="1:15" x14ac:dyDescent="0.3">
      <c r="A358" s="4" t="s">
        <v>105</v>
      </c>
      <c r="B358" s="3">
        <v>810014679174</v>
      </c>
      <c r="C358" s="2" t="s">
        <v>1206</v>
      </c>
      <c r="D358" s="30">
        <v>0.24</v>
      </c>
      <c r="E358" s="20">
        <v>15.98625</v>
      </c>
      <c r="F358" s="27"/>
      <c r="G358" s="23">
        <f t="shared" si="20"/>
        <v>0</v>
      </c>
      <c r="J358" s="39" t="str">
        <f>IFERROR(IF($J$2*D358=0, "-", $J$2*D358), "-")</f>
        <v>-</v>
      </c>
      <c r="K358" s="39" t="str">
        <f t="shared" si="21"/>
        <v>-</v>
      </c>
      <c r="L358" s="40" t="str">
        <f>IF(F358&gt;0,F358*D358, "-")</f>
        <v>-</v>
      </c>
      <c r="M358" s="41" t="str">
        <f t="shared" si="22"/>
        <v>-</v>
      </c>
      <c r="O358" s="41" t="str">
        <f t="shared" si="23"/>
        <v>-</v>
      </c>
    </row>
    <row r="359" spans="1:15" x14ac:dyDescent="0.3">
      <c r="A359" s="4" t="s">
        <v>151</v>
      </c>
      <c r="B359" s="3">
        <v>810014670447</v>
      </c>
      <c r="C359" s="2" t="s">
        <v>1207</v>
      </c>
      <c r="D359" s="30">
        <v>0.14000000000000001</v>
      </c>
      <c r="E359" s="20">
        <v>15.98625</v>
      </c>
      <c r="F359" s="27"/>
      <c r="G359" s="23">
        <f t="shared" si="20"/>
        <v>0</v>
      </c>
      <c r="J359" s="39" t="str">
        <f>IFERROR(IF($J$2*D359=0, "-", $J$2*D359), "-")</f>
        <v>-</v>
      </c>
      <c r="K359" s="39" t="str">
        <f t="shared" si="21"/>
        <v>-</v>
      </c>
      <c r="L359" s="40" t="str">
        <f>IF(F359&gt;0,F359*D359, "-")</f>
        <v>-</v>
      </c>
      <c r="M359" s="41" t="str">
        <f t="shared" si="22"/>
        <v>-</v>
      </c>
      <c r="O359" s="41" t="str">
        <f t="shared" si="23"/>
        <v>-</v>
      </c>
    </row>
    <row r="360" spans="1:15" x14ac:dyDescent="0.3">
      <c r="A360" s="4" t="s">
        <v>518</v>
      </c>
      <c r="B360" s="3">
        <v>810014670188</v>
      </c>
      <c r="C360" s="2" t="s">
        <v>1208</v>
      </c>
      <c r="D360" s="30">
        <v>0.14000000000000001</v>
      </c>
      <c r="E360" s="20">
        <v>15.98625</v>
      </c>
      <c r="F360" s="27"/>
      <c r="G360" s="23">
        <f t="shared" si="20"/>
        <v>0</v>
      </c>
      <c r="J360" s="39" t="str">
        <f>IFERROR(IF($J$2*D360=0, "-", $J$2*D360), "-")</f>
        <v>-</v>
      </c>
      <c r="K360" s="39" t="str">
        <f t="shared" si="21"/>
        <v>-</v>
      </c>
      <c r="L360" s="40" t="str">
        <f>IF(F360&gt;0,F360*D360, "-")</f>
        <v>-</v>
      </c>
      <c r="M360" s="41" t="str">
        <f t="shared" si="22"/>
        <v>-</v>
      </c>
      <c r="O360" s="41" t="str">
        <f t="shared" si="23"/>
        <v>-</v>
      </c>
    </row>
    <row r="361" spans="1:15" x14ac:dyDescent="0.3">
      <c r="A361" s="4" t="s">
        <v>410</v>
      </c>
      <c r="B361" s="3">
        <v>810139572190</v>
      </c>
      <c r="C361" s="2" t="s">
        <v>1209</v>
      </c>
      <c r="D361" s="30">
        <v>0.19</v>
      </c>
      <c r="E361" s="20">
        <v>15.98625</v>
      </c>
      <c r="F361" s="27"/>
      <c r="G361" s="23">
        <f t="shared" si="20"/>
        <v>0</v>
      </c>
      <c r="J361" s="39" t="str">
        <f>IFERROR(IF($J$2*D361=0, "-", $J$2*D361), "-")</f>
        <v>-</v>
      </c>
      <c r="K361" s="39" t="str">
        <f t="shared" si="21"/>
        <v>-</v>
      </c>
      <c r="L361" s="40" t="str">
        <f>IF(F361&gt;0,F361*D361, "-")</f>
        <v>-</v>
      </c>
      <c r="M361" s="41" t="str">
        <f t="shared" si="22"/>
        <v>-</v>
      </c>
      <c r="O361" s="41" t="str">
        <f t="shared" si="23"/>
        <v>-</v>
      </c>
    </row>
    <row r="362" spans="1:15" x14ac:dyDescent="0.3">
      <c r="A362" s="4" t="s">
        <v>550</v>
      </c>
      <c r="B362" s="3">
        <v>810014673042</v>
      </c>
      <c r="C362" s="2" t="s">
        <v>1210</v>
      </c>
      <c r="D362" s="30">
        <v>0.09</v>
      </c>
      <c r="E362" s="20">
        <v>15.98625</v>
      </c>
      <c r="F362" s="27"/>
      <c r="G362" s="23">
        <f t="shared" si="20"/>
        <v>0</v>
      </c>
      <c r="J362" s="39" t="str">
        <f>IFERROR(IF($J$2*D362=0, "-", $J$2*D362), "-")</f>
        <v>-</v>
      </c>
      <c r="K362" s="39" t="str">
        <f t="shared" si="21"/>
        <v>-</v>
      </c>
      <c r="L362" s="40" t="str">
        <f>IF(F362&gt;0,F362*D362, "-")</f>
        <v>-</v>
      </c>
      <c r="M362" s="41" t="str">
        <f t="shared" si="22"/>
        <v>-</v>
      </c>
      <c r="O362" s="41" t="str">
        <f t="shared" si="23"/>
        <v>-</v>
      </c>
    </row>
    <row r="363" spans="1:15" x14ac:dyDescent="0.3">
      <c r="A363" s="4" t="s">
        <v>1211</v>
      </c>
      <c r="B363" s="3">
        <v>810139574323</v>
      </c>
      <c r="C363" s="2" t="s">
        <v>1212</v>
      </c>
      <c r="D363" s="30">
        <v>0.24</v>
      </c>
      <c r="E363" s="20">
        <v>15.98625</v>
      </c>
      <c r="F363" s="27"/>
      <c r="G363" s="23">
        <f t="shared" si="20"/>
        <v>0</v>
      </c>
      <c r="J363" s="39" t="str">
        <f>IFERROR(IF($J$2*D363=0, "-", $J$2*D363), "-")</f>
        <v>-</v>
      </c>
      <c r="K363" s="39" t="str">
        <f t="shared" si="21"/>
        <v>-</v>
      </c>
      <c r="L363" s="40" t="str">
        <f>IF(F363&gt;0,F363*D363, "-")</f>
        <v>-</v>
      </c>
      <c r="M363" s="41" t="str">
        <f t="shared" si="22"/>
        <v>-</v>
      </c>
      <c r="O363" s="41" t="str">
        <f t="shared" si="23"/>
        <v>-</v>
      </c>
    </row>
    <row r="364" spans="1:15" x14ac:dyDescent="0.3">
      <c r="A364" s="4" t="s">
        <v>112</v>
      </c>
      <c r="B364" s="3">
        <v>810014670867</v>
      </c>
      <c r="C364" s="2" t="s">
        <v>1213</v>
      </c>
      <c r="D364" s="30">
        <v>0.17</v>
      </c>
      <c r="E364" s="20">
        <v>15.98625</v>
      </c>
      <c r="F364" s="27"/>
      <c r="G364" s="23">
        <f t="shared" si="20"/>
        <v>0</v>
      </c>
      <c r="J364" s="39" t="str">
        <f>IFERROR(IF($J$2*D364=0, "-", $J$2*D364), "-")</f>
        <v>-</v>
      </c>
      <c r="K364" s="39" t="str">
        <f t="shared" si="21"/>
        <v>-</v>
      </c>
      <c r="L364" s="40" t="str">
        <f>IF(F364&gt;0,F364*D364, "-")</f>
        <v>-</v>
      </c>
      <c r="M364" s="41" t="str">
        <f t="shared" si="22"/>
        <v>-</v>
      </c>
      <c r="O364" s="41" t="str">
        <f t="shared" si="23"/>
        <v>-</v>
      </c>
    </row>
    <row r="365" spans="1:15" x14ac:dyDescent="0.3">
      <c r="A365" s="4" t="s">
        <v>444</v>
      </c>
      <c r="B365" s="3">
        <v>810014672960</v>
      </c>
      <c r="C365" s="2" t="s">
        <v>1214</v>
      </c>
      <c r="D365" s="30">
        <v>0.21</v>
      </c>
      <c r="E365" s="20">
        <v>15.98625</v>
      </c>
      <c r="F365" s="27"/>
      <c r="G365" s="23">
        <f t="shared" si="20"/>
        <v>0</v>
      </c>
      <c r="J365" s="39" t="str">
        <f>IFERROR(IF($J$2*D365=0, "-", $J$2*D365), "-")</f>
        <v>-</v>
      </c>
      <c r="K365" s="39" t="str">
        <f t="shared" si="21"/>
        <v>-</v>
      </c>
      <c r="L365" s="40" t="str">
        <f>IF(F365&gt;0,F365*D365, "-")</f>
        <v>-</v>
      </c>
      <c r="M365" s="41" t="str">
        <f t="shared" si="22"/>
        <v>-</v>
      </c>
      <c r="O365" s="41" t="str">
        <f t="shared" si="23"/>
        <v>-</v>
      </c>
    </row>
    <row r="366" spans="1:15" x14ac:dyDescent="0.3">
      <c r="A366" s="4" t="s">
        <v>260</v>
      </c>
      <c r="B366" s="3">
        <v>810139573203</v>
      </c>
      <c r="C366" s="2" t="s">
        <v>1215</v>
      </c>
      <c r="D366" s="30">
        <v>0.22</v>
      </c>
      <c r="E366" s="20">
        <v>15.98625</v>
      </c>
      <c r="F366" s="27"/>
      <c r="G366" s="23">
        <f t="shared" si="20"/>
        <v>0</v>
      </c>
      <c r="J366" s="39" t="str">
        <f>IFERROR(IF($J$2*D366=0, "-", $J$2*D366), "-")</f>
        <v>-</v>
      </c>
      <c r="K366" s="39" t="str">
        <f t="shared" si="21"/>
        <v>-</v>
      </c>
      <c r="L366" s="40" t="str">
        <f>IF(F366&gt;0,F366*D366, "-")</f>
        <v>-</v>
      </c>
      <c r="M366" s="41" t="str">
        <f t="shared" si="22"/>
        <v>-</v>
      </c>
      <c r="O366" s="41" t="str">
        <f t="shared" si="23"/>
        <v>-</v>
      </c>
    </row>
    <row r="367" spans="1:15" x14ac:dyDescent="0.3">
      <c r="A367" s="4" t="s">
        <v>281</v>
      </c>
      <c r="B367" s="3">
        <v>810014675015</v>
      </c>
      <c r="C367" s="2" t="s">
        <v>1216</v>
      </c>
      <c r="D367" s="30">
        <v>0.16</v>
      </c>
      <c r="E367" s="20">
        <v>15.98625</v>
      </c>
      <c r="F367" s="27"/>
      <c r="G367" s="23">
        <f t="shared" si="20"/>
        <v>0</v>
      </c>
      <c r="J367" s="39" t="str">
        <f>IFERROR(IF($J$2*D367=0, "-", $J$2*D367), "-")</f>
        <v>-</v>
      </c>
      <c r="K367" s="39" t="str">
        <f t="shared" si="21"/>
        <v>-</v>
      </c>
      <c r="L367" s="40" t="str">
        <f>IF(F367&gt;0,F367*D367, "-")</f>
        <v>-</v>
      </c>
      <c r="M367" s="41" t="str">
        <f t="shared" si="22"/>
        <v>-</v>
      </c>
      <c r="O367" s="41" t="str">
        <f t="shared" si="23"/>
        <v>-</v>
      </c>
    </row>
    <row r="368" spans="1:15" x14ac:dyDescent="0.3">
      <c r="A368" s="4" t="s">
        <v>188</v>
      </c>
      <c r="B368" s="3">
        <v>810139573036</v>
      </c>
      <c r="C368" s="2" t="s">
        <v>1217</v>
      </c>
      <c r="D368" s="30">
        <v>0.14000000000000001</v>
      </c>
      <c r="E368" s="20">
        <v>15.98625</v>
      </c>
      <c r="F368" s="27"/>
      <c r="G368" s="23">
        <f t="shared" si="20"/>
        <v>0</v>
      </c>
      <c r="J368" s="39" t="str">
        <f>IFERROR(IF($J$2*D368=0, "-", $J$2*D368), "-")</f>
        <v>-</v>
      </c>
      <c r="K368" s="39" t="str">
        <f t="shared" si="21"/>
        <v>-</v>
      </c>
      <c r="L368" s="40" t="str">
        <f>IF(F368&gt;0,F368*D368, "-")</f>
        <v>-</v>
      </c>
      <c r="M368" s="41" t="str">
        <f t="shared" si="22"/>
        <v>-</v>
      </c>
      <c r="O368" s="41" t="str">
        <f t="shared" si="23"/>
        <v>-</v>
      </c>
    </row>
    <row r="369" spans="1:15" x14ac:dyDescent="0.3">
      <c r="A369" s="4" t="s">
        <v>1218</v>
      </c>
      <c r="B369" s="3">
        <v>810139573548</v>
      </c>
      <c r="C369" s="2" t="s">
        <v>1219</v>
      </c>
      <c r="D369" s="30">
        <v>0.6</v>
      </c>
      <c r="E369" s="20">
        <v>15.98625</v>
      </c>
      <c r="F369" s="27"/>
      <c r="G369" s="23">
        <f t="shared" si="20"/>
        <v>0</v>
      </c>
      <c r="J369" s="39" t="str">
        <f>IFERROR(IF($J$2*D369=0, "-", $J$2*D369), "-")</f>
        <v>-</v>
      </c>
      <c r="K369" s="39" t="str">
        <f t="shared" si="21"/>
        <v>-</v>
      </c>
      <c r="L369" s="40" t="str">
        <f>IF(F369&gt;0,F369*D369, "-")</f>
        <v>-</v>
      </c>
      <c r="M369" s="41" t="str">
        <f t="shared" si="22"/>
        <v>-</v>
      </c>
      <c r="O369" s="41" t="str">
        <f t="shared" si="23"/>
        <v>-</v>
      </c>
    </row>
    <row r="370" spans="1:15" x14ac:dyDescent="0.3">
      <c r="A370" s="4" t="s">
        <v>482</v>
      </c>
      <c r="B370" s="3">
        <v>810014673141</v>
      </c>
      <c r="C370" s="2" t="s">
        <v>1220</v>
      </c>
      <c r="D370" s="30">
        <v>0.1</v>
      </c>
      <c r="E370" s="20">
        <v>15.98625</v>
      </c>
      <c r="F370" s="27"/>
      <c r="G370" s="23">
        <f t="shared" si="20"/>
        <v>0</v>
      </c>
      <c r="J370" s="39" t="str">
        <f>IFERROR(IF($J$2*D370=0, "-", $J$2*D370), "-")</f>
        <v>-</v>
      </c>
      <c r="K370" s="39" t="str">
        <f t="shared" si="21"/>
        <v>-</v>
      </c>
      <c r="L370" s="40" t="str">
        <f>IF(F370&gt;0,F370*D370, "-")</f>
        <v>-</v>
      </c>
      <c r="M370" s="41" t="str">
        <f t="shared" si="22"/>
        <v>-</v>
      </c>
      <c r="O370" s="41" t="str">
        <f t="shared" si="23"/>
        <v>-</v>
      </c>
    </row>
    <row r="371" spans="1:15" x14ac:dyDescent="0.3">
      <c r="A371" s="4" t="s">
        <v>676</v>
      </c>
      <c r="B371" s="3">
        <v>810014679440</v>
      </c>
      <c r="C371" s="2" t="s">
        <v>1221</v>
      </c>
      <c r="D371" s="30">
        <v>0.28000000000000003</v>
      </c>
      <c r="E371" s="20">
        <v>15.98625</v>
      </c>
      <c r="F371" s="27"/>
      <c r="G371" s="23">
        <f t="shared" si="20"/>
        <v>0</v>
      </c>
      <c r="J371" s="39" t="str">
        <f>IFERROR(IF($J$2*D371=0, "-", $J$2*D371), "-")</f>
        <v>-</v>
      </c>
      <c r="K371" s="39" t="str">
        <f t="shared" si="21"/>
        <v>-</v>
      </c>
      <c r="L371" s="40" t="str">
        <f>IF(F371&gt;0,F371*D371, "-")</f>
        <v>-</v>
      </c>
      <c r="M371" s="41" t="str">
        <f t="shared" si="22"/>
        <v>-</v>
      </c>
      <c r="O371" s="41" t="str">
        <f t="shared" si="23"/>
        <v>-</v>
      </c>
    </row>
    <row r="372" spans="1:15" x14ac:dyDescent="0.3">
      <c r="A372" s="4" t="s">
        <v>643</v>
      </c>
      <c r="B372" s="3">
        <v>810014679525</v>
      </c>
      <c r="C372" s="2" t="s">
        <v>1222</v>
      </c>
      <c r="D372" s="30">
        <v>7.0000000000000007E-2</v>
      </c>
      <c r="E372" s="20">
        <v>15.98625</v>
      </c>
      <c r="F372" s="27"/>
      <c r="G372" s="23">
        <f t="shared" si="20"/>
        <v>0</v>
      </c>
      <c r="J372" s="39" t="str">
        <f>IFERROR(IF($J$2*D372=0, "-", $J$2*D372), "-")</f>
        <v>-</v>
      </c>
      <c r="K372" s="39" t="str">
        <f t="shared" si="21"/>
        <v>-</v>
      </c>
      <c r="L372" s="40" t="str">
        <f>IF(F372&gt;0,F372*D372, "-")</f>
        <v>-</v>
      </c>
      <c r="M372" s="41" t="str">
        <f t="shared" si="22"/>
        <v>-</v>
      </c>
      <c r="O372" s="41" t="str">
        <f t="shared" si="23"/>
        <v>-</v>
      </c>
    </row>
    <row r="373" spans="1:15" x14ac:dyDescent="0.3">
      <c r="A373" s="4" t="s">
        <v>130</v>
      </c>
      <c r="B373" s="3">
        <v>810014675176</v>
      </c>
      <c r="C373" s="2" t="s">
        <v>1223</v>
      </c>
      <c r="D373" s="30">
        <v>0.18</v>
      </c>
      <c r="E373" s="20">
        <v>15.98625</v>
      </c>
      <c r="F373" s="27"/>
      <c r="G373" s="23">
        <f t="shared" si="20"/>
        <v>0</v>
      </c>
      <c r="J373" s="39" t="str">
        <f>IFERROR(IF($J$2*D373=0, "-", $J$2*D373), "-")</f>
        <v>-</v>
      </c>
      <c r="K373" s="39" t="str">
        <f t="shared" si="21"/>
        <v>-</v>
      </c>
      <c r="L373" s="40" t="str">
        <f>IF(F373&gt;0,F373*D373, "-")</f>
        <v>-</v>
      </c>
      <c r="M373" s="41" t="str">
        <f t="shared" si="22"/>
        <v>-</v>
      </c>
      <c r="O373" s="41" t="str">
        <f t="shared" si="23"/>
        <v>-</v>
      </c>
    </row>
    <row r="374" spans="1:15" x14ac:dyDescent="0.3">
      <c r="A374" s="4" t="s">
        <v>484</v>
      </c>
      <c r="B374" s="3">
        <v>810014675374</v>
      </c>
      <c r="C374" s="2" t="s">
        <v>1224</v>
      </c>
      <c r="D374" s="30">
        <v>0.22</v>
      </c>
      <c r="E374" s="20">
        <v>15.98625</v>
      </c>
      <c r="F374" s="27"/>
      <c r="G374" s="23">
        <f t="shared" si="20"/>
        <v>0</v>
      </c>
      <c r="J374" s="39" t="str">
        <f>IFERROR(IF($J$2*D374=0, "-", $J$2*D374), "-")</f>
        <v>-</v>
      </c>
      <c r="K374" s="39" t="str">
        <f t="shared" si="21"/>
        <v>-</v>
      </c>
      <c r="L374" s="40" t="str">
        <f>IF(F374&gt;0,F374*D374, "-")</f>
        <v>-</v>
      </c>
      <c r="M374" s="41" t="str">
        <f t="shared" si="22"/>
        <v>-</v>
      </c>
      <c r="O374" s="41" t="str">
        <f t="shared" si="23"/>
        <v>-</v>
      </c>
    </row>
    <row r="375" spans="1:15" x14ac:dyDescent="0.3">
      <c r="A375" s="4" t="s">
        <v>231</v>
      </c>
      <c r="B375" s="3">
        <v>810014671840</v>
      </c>
      <c r="C375" s="2" t="s">
        <v>1225</v>
      </c>
      <c r="D375" s="30">
        <v>0.12</v>
      </c>
      <c r="E375" s="20">
        <v>15.98625</v>
      </c>
      <c r="F375" s="27"/>
      <c r="G375" s="23">
        <f t="shared" si="20"/>
        <v>0</v>
      </c>
      <c r="J375" s="39" t="str">
        <f>IFERROR(IF($J$2*D375=0, "-", $J$2*D375), "-")</f>
        <v>-</v>
      </c>
      <c r="K375" s="39" t="str">
        <f t="shared" si="21"/>
        <v>-</v>
      </c>
      <c r="L375" s="40" t="str">
        <f>IF(F375&gt;0,F375*D375, "-")</f>
        <v>-</v>
      </c>
      <c r="M375" s="41" t="str">
        <f t="shared" si="22"/>
        <v>-</v>
      </c>
      <c r="O375" s="41" t="str">
        <f t="shared" si="23"/>
        <v>-</v>
      </c>
    </row>
    <row r="376" spans="1:15" x14ac:dyDescent="0.3">
      <c r="A376" s="4" t="s">
        <v>225</v>
      </c>
      <c r="B376" s="3">
        <v>810139573593</v>
      </c>
      <c r="C376" s="2" t="s">
        <v>1226</v>
      </c>
      <c r="D376" s="30">
        <v>1.18</v>
      </c>
      <c r="E376" s="20">
        <v>16.366875</v>
      </c>
      <c r="F376" s="27"/>
      <c r="G376" s="23">
        <f t="shared" si="20"/>
        <v>0</v>
      </c>
      <c r="J376" s="39" t="str">
        <f>IFERROR(IF($J$2*D376=0, "-", $J$2*D376), "-")</f>
        <v>-</v>
      </c>
      <c r="K376" s="39" t="str">
        <f t="shared" si="21"/>
        <v>-</v>
      </c>
      <c r="L376" s="40" t="str">
        <f>IF(F376&gt;0,F376*D376, "-")</f>
        <v>-</v>
      </c>
      <c r="M376" s="41" t="str">
        <f t="shared" si="22"/>
        <v>-</v>
      </c>
      <c r="O376" s="41" t="str">
        <f t="shared" si="23"/>
        <v>-</v>
      </c>
    </row>
    <row r="377" spans="1:15" x14ac:dyDescent="0.3">
      <c r="A377" s="4" t="s">
        <v>79</v>
      </c>
      <c r="B377" s="3">
        <v>810139571155</v>
      </c>
      <c r="C377" s="2" t="s">
        <v>1227</v>
      </c>
      <c r="D377" s="30">
        <v>0.24</v>
      </c>
      <c r="E377" s="20">
        <v>16.366875</v>
      </c>
      <c r="F377" s="27"/>
      <c r="G377" s="23">
        <f t="shared" si="20"/>
        <v>0</v>
      </c>
      <c r="J377" s="39" t="str">
        <f>IFERROR(IF($J$2*D377=0, "-", $J$2*D377), "-")</f>
        <v>-</v>
      </c>
      <c r="K377" s="39" t="str">
        <f t="shared" si="21"/>
        <v>-</v>
      </c>
      <c r="L377" s="40" t="str">
        <f>IF(F377&gt;0,F377*D377, "-")</f>
        <v>-</v>
      </c>
      <c r="M377" s="41" t="str">
        <f t="shared" si="22"/>
        <v>-</v>
      </c>
      <c r="O377" s="41" t="str">
        <f t="shared" si="23"/>
        <v>-</v>
      </c>
    </row>
    <row r="378" spans="1:15" x14ac:dyDescent="0.3">
      <c r="A378" s="4" t="s">
        <v>1228</v>
      </c>
      <c r="B378" s="3">
        <v>810139574446</v>
      </c>
      <c r="C378" s="2" t="s">
        <v>1229</v>
      </c>
      <c r="D378" s="30">
        <v>1.35</v>
      </c>
      <c r="E378" s="20">
        <v>16.366875</v>
      </c>
      <c r="F378" s="27"/>
      <c r="G378" s="23">
        <f t="shared" si="20"/>
        <v>0</v>
      </c>
      <c r="J378" s="39" t="str">
        <f>IFERROR(IF($J$2*D378=0, "-", $J$2*D378), "-")</f>
        <v>-</v>
      </c>
      <c r="K378" s="39" t="str">
        <f t="shared" si="21"/>
        <v>-</v>
      </c>
      <c r="L378" s="40" t="str">
        <f>IF(F378&gt;0,F378*D378, "-")</f>
        <v>-</v>
      </c>
      <c r="M378" s="41" t="str">
        <f t="shared" si="22"/>
        <v>-</v>
      </c>
      <c r="O378" s="41" t="str">
        <f t="shared" si="23"/>
        <v>-</v>
      </c>
    </row>
    <row r="379" spans="1:15" x14ac:dyDescent="0.3">
      <c r="A379" s="4" t="s">
        <v>1230</v>
      </c>
      <c r="B379" s="3">
        <v>810139573715</v>
      </c>
      <c r="C379" s="2" t="s">
        <v>1231</v>
      </c>
      <c r="D379" s="30">
        <v>0.25</v>
      </c>
      <c r="E379" s="20">
        <v>16.366875</v>
      </c>
      <c r="F379" s="27"/>
      <c r="G379" s="23">
        <f t="shared" si="20"/>
        <v>0</v>
      </c>
      <c r="J379" s="39" t="str">
        <f>IFERROR(IF($J$2*D379=0, "-", $J$2*D379), "-")</f>
        <v>-</v>
      </c>
      <c r="K379" s="39" t="str">
        <f t="shared" si="21"/>
        <v>-</v>
      </c>
      <c r="L379" s="40" t="str">
        <f>IF(F379&gt;0,F379*D379, "-")</f>
        <v>-</v>
      </c>
      <c r="M379" s="41" t="str">
        <f t="shared" si="22"/>
        <v>-</v>
      </c>
      <c r="O379" s="41" t="str">
        <f t="shared" si="23"/>
        <v>-</v>
      </c>
    </row>
    <row r="380" spans="1:15" x14ac:dyDescent="0.3">
      <c r="A380" s="4" t="s">
        <v>1232</v>
      </c>
      <c r="B380" s="3">
        <v>810139577522</v>
      </c>
      <c r="C380" s="2" t="s">
        <v>1233</v>
      </c>
      <c r="D380" s="30">
        <v>0.59</v>
      </c>
      <c r="E380" s="20">
        <v>16.747500000000002</v>
      </c>
      <c r="F380" s="27"/>
      <c r="G380" s="23">
        <f t="shared" si="20"/>
        <v>0</v>
      </c>
      <c r="J380" s="39" t="str">
        <f>IFERROR(IF($J$2*D380=0, "-", $J$2*D380), "-")</f>
        <v>-</v>
      </c>
      <c r="K380" s="39" t="str">
        <f t="shared" si="21"/>
        <v>-</v>
      </c>
      <c r="L380" s="40" t="str">
        <f>IF(F380&gt;0,F380*D380, "-")</f>
        <v>-</v>
      </c>
      <c r="M380" s="41" t="str">
        <f t="shared" si="22"/>
        <v>-</v>
      </c>
      <c r="O380" s="41" t="str">
        <f t="shared" si="23"/>
        <v>-</v>
      </c>
    </row>
    <row r="381" spans="1:15" x14ac:dyDescent="0.3">
      <c r="A381" s="4" t="s">
        <v>98</v>
      </c>
      <c r="B381" s="3">
        <v>702669932059</v>
      </c>
      <c r="C381" s="2" t="s">
        <v>1234</v>
      </c>
      <c r="D381" s="30">
        <v>0.7</v>
      </c>
      <c r="E381" s="20">
        <v>16.747500000000002</v>
      </c>
      <c r="F381" s="27"/>
      <c r="G381" s="23">
        <f t="shared" si="20"/>
        <v>0</v>
      </c>
      <c r="J381" s="39" t="str">
        <f>IFERROR(IF($J$2*D381=0, "-", $J$2*D381), "-")</f>
        <v>-</v>
      </c>
      <c r="K381" s="39" t="str">
        <f t="shared" si="21"/>
        <v>-</v>
      </c>
      <c r="L381" s="40" t="str">
        <f>IF(F381&gt;0,F381*D381, "-")</f>
        <v>-</v>
      </c>
      <c r="M381" s="41" t="str">
        <f t="shared" si="22"/>
        <v>-</v>
      </c>
      <c r="O381" s="41" t="str">
        <f t="shared" si="23"/>
        <v>-</v>
      </c>
    </row>
    <row r="382" spans="1:15" x14ac:dyDescent="0.3">
      <c r="A382" s="4" t="s">
        <v>48</v>
      </c>
      <c r="B382" s="3">
        <v>810014673448</v>
      </c>
      <c r="C382" s="2" t="s">
        <v>1235</v>
      </c>
      <c r="D382" s="30">
        <v>0.21</v>
      </c>
      <c r="E382" s="20">
        <v>16.747500000000002</v>
      </c>
      <c r="F382" s="27"/>
      <c r="G382" s="23">
        <f t="shared" si="20"/>
        <v>0</v>
      </c>
      <c r="J382" s="39" t="str">
        <f>IFERROR(IF($J$2*D382=0, "-", $J$2*D382), "-")</f>
        <v>-</v>
      </c>
      <c r="K382" s="39" t="str">
        <f t="shared" si="21"/>
        <v>-</v>
      </c>
      <c r="L382" s="40" t="str">
        <f>IF(F382&gt;0,F382*D382, "-")</f>
        <v>-</v>
      </c>
      <c r="M382" s="41" t="str">
        <f t="shared" si="22"/>
        <v>-</v>
      </c>
      <c r="O382" s="41" t="str">
        <f t="shared" si="23"/>
        <v>-</v>
      </c>
    </row>
    <row r="383" spans="1:15" x14ac:dyDescent="0.3">
      <c r="A383" s="4" t="s">
        <v>526</v>
      </c>
      <c r="B383" s="3">
        <v>810139573159</v>
      </c>
      <c r="C383" s="2" t="s">
        <v>1236</v>
      </c>
      <c r="D383" s="30">
        <v>0.22</v>
      </c>
      <c r="E383" s="20">
        <v>16.747500000000002</v>
      </c>
      <c r="F383" s="27"/>
      <c r="G383" s="23">
        <f t="shared" si="20"/>
        <v>0</v>
      </c>
      <c r="J383" s="39" t="str">
        <f>IFERROR(IF($J$2*D383=0, "-", $J$2*D383), "-")</f>
        <v>-</v>
      </c>
      <c r="K383" s="39" t="str">
        <f t="shared" si="21"/>
        <v>-</v>
      </c>
      <c r="L383" s="40" t="str">
        <f>IF(F383&gt;0,F383*D383, "-")</f>
        <v>-</v>
      </c>
      <c r="M383" s="41" t="str">
        <f t="shared" si="22"/>
        <v>-</v>
      </c>
      <c r="O383" s="41" t="str">
        <f t="shared" si="23"/>
        <v>-</v>
      </c>
    </row>
    <row r="384" spans="1:15" x14ac:dyDescent="0.3">
      <c r="A384" s="4" t="s">
        <v>1237</v>
      </c>
      <c r="B384" s="3">
        <v>810139576655</v>
      </c>
      <c r="C384" s="2" t="s">
        <v>1238</v>
      </c>
      <c r="D384" s="30">
        <v>0.28000000000000003</v>
      </c>
      <c r="E384" s="20">
        <v>16.747500000000002</v>
      </c>
      <c r="F384" s="27"/>
      <c r="G384" s="23">
        <f t="shared" si="20"/>
        <v>0</v>
      </c>
      <c r="J384" s="39" t="str">
        <f>IFERROR(IF($J$2*D384=0, "-", $J$2*D384), "-")</f>
        <v>-</v>
      </c>
      <c r="K384" s="39" t="str">
        <f t="shared" si="21"/>
        <v>-</v>
      </c>
      <c r="L384" s="40" t="str">
        <f>IF(F384&gt;0,F384*D384, "-")</f>
        <v>-</v>
      </c>
      <c r="M384" s="41" t="str">
        <f t="shared" si="22"/>
        <v>-</v>
      </c>
      <c r="O384" s="41" t="str">
        <f t="shared" si="23"/>
        <v>-</v>
      </c>
    </row>
    <row r="385" spans="1:15" x14ac:dyDescent="0.3">
      <c r="A385" s="4" t="s">
        <v>158</v>
      </c>
      <c r="B385" s="3">
        <v>810139574514</v>
      </c>
      <c r="C385" s="2" t="s">
        <v>1239</v>
      </c>
      <c r="D385" s="30">
        <v>0.25</v>
      </c>
      <c r="E385" s="20">
        <v>16.747500000000002</v>
      </c>
      <c r="F385" s="27"/>
      <c r="G385" s="23">
        <f t="shared" si="20"/>
        <v>0</v>
      </c>
      <c r="J385" s="39" t="str">
        <f>IFERROR(IF($J$2*D385=0, "-", $J$2*D385), "-")</f>
        <v>-</v>
      </c>
      <c r="K385" s="39" t="str">
        <f t="shared" si="21"/>
        <v>-</v>
      </c>
      <c r="L385" s="40" t="str">
        <f>IF(F385&gt;0,F385*D385, "-")</f>
        <v>-</v>
      </c>
      <c r="M385" s="41" t="str">
        <f t="shared" si="22"/>
        <v>-</v>
      </c>
      <c r="O385" s="41" t="str">
        <f t="shared" si="23"/>
        <v>-</v>
      </c>
    </row>
    <row r="386" spans="1:15" x14ac:dyDescent="0.3">
      <c r="A386" s="4" t="s">
        <v>10</v>
      </c>
      <c r="B386" s="3">
        <v>810014675459</v>
      </c>
      <c r="C386" s="2" t="s">
        <v>1240</v>
      </c>
      <c r="D386" s="30">
        <v>0.17</v>
      </c>
      <c r="E386" s="20">
        <v>16.747500000000002</v>
      </c>
      <c r="F386" s="27"/>
      <c r="G386" s="23">
        <f t="shared" si="20"/>
        <v>0</v>
      </c>
      <c r="J386" s="39" t="str">
        <f>IFERROR(IF($J$2*D386=0, "-", $J$2*D386), "-")</f>
        <v>-</v>
      </c>
      <c r="K386" s="39" t="str">
        <f t="shared" si="21"/>
        <v>-</v>
      </c>
      <c r="L386" s="40" t="str">
        <f>IF(F386&gt;0,F386*D386, "-")</f>
        <v>-</v>
      </c>
      <c r="M386" s="41" t="str">
        <f t="shared" si="22"/>
        <v>-</v>
      </c>
      <c r="O386" s="41" t="str">
        <f t="shared" si="23"/>
        <v>-</v>
      </c>
    </row>
    <row r="387" spans="1:15" x14ac:dyDescent="0.3">
      <c r="A387" s="4" t="s">
        <v>115</v>
      </c>
      <c r="B387" s="3">
        <v>810014670034</v>
      </c>
      <c r="C387" s="2" t="s">
        <v>1241</v>
      </c>
      <c r="D387" s="30">
        <v>0.11</v>
      </c>
      <c r="E387" s="20">
        <v>16.747500000000002</v>
      </c>
      <c r="F387" s="27"/>
      <c r="G387" s="23">
        <f t="shared" si="20"/>
        <v>0</v>
      </c>
      <c r="J387" s="39" t="str">
        <f>IFERROR(IF($J$2*D387=0, "-", $J$2*D387), "-")</f>
        <v>-</v>
      </c>
      <c r="K387" s="39" t="str">
        <f t="shared" si="21"/>
        <v>-</v>
      </c>
      <c r="L387" s="40" t="str">
        <f>IF(F387&gt;0,F387*D387, "-")</f>
        <v>-</v>
      </c>
      <c r="M387" s="41" t="str">
        <f t="shared" si="22"/>
        <v>-</v>
      </c>
      <c r="O387" s="41" t="str">
        <f t="shared" si="23"/>
        <v>-</v>
      </c>
    </row>
    <row r="388" spans="1:15" x14ac:dyDescent="0.3">
      <c r="A388" s="4" t="s">
        <v>269</v>
      </c>
      <c r="B388" s="3">
        <v>810014672793</v>
      </c>
      <c r="C388" s="2" t="s">
        <v>1242</v>
      </c>
      <c r="D388" s="30">
        <v>0.25</v>
      </c>
      <c r="E388" s="20">
        <v>16.747500000000002</v>
      </c>
      <c r="F388" s="27"/>
      <c r="G388" s="23">
        <f t="shared" ref="G388:G451" si="24">F388*E388</f>
        <v>0</v>
      </c>
      <c r="J388" s="39" t="str">
        <f>IFERROR(IF($J$2*D388=0, "-", $J$2*D388), "-")</f>
        <v>-</v>
      </c>
      <c r="K388" s="39" t="str">
        <f t="shared" ref="K388:K451" si="25">IF(F388&gt;0,E388+J388,"-")</f>
        <v>-</v>
      </c>
      <c r="L388" s="40" t="str">
        <f>IF(F388&gt;0,F388*D388, "-")</f>
        <v>-</v>
      </c>
      <c r="M388" s="41" t="str">
        <f t="shared" ref="M388:M451" si="26">IFERROR(IF($J$2&gt;0, $J$2*L388, "-"), "-")</f>
        <v>-</v>
      </c>
      <c r="O388" s="41" t="str">
        <f t="shared" ref="O388:O451" si="27">IFERROR(IF(M388+G388=0, "-", IF(M388&gt;0, M388+G388, "-")), "-")</f>
        <v>-</v>
      </c>
    </row>
    <row r="389" spans="1:15" x14ac:dyDescent="0.3">
      <c r="A389" s="4" t="s">
        <v>148</v>
      </c>
      <c r="B389" s="3">
        <v>810014673301</v>
      </c>
      <c r="C389" s="2" t="s">
        <v>1243</v>
      </c>
      <c r="D389" s="30">
        <v>0.21</v>
      </c>
      <c r="E389" s="20">
        <v>16.747500000000002</v>
      </c>
      <c r="F389" s="27"/>
      <c r="G389" s="23">
        <f t="shared" si="24"/>
        <v>0</v>
      </c>
      <c r="J389" s="39" t="str">
        <f>IFERROR(IF($J$2*D389=0, "-", $J$2*D389), "-")</f>
        <v>-</v>
      </c>
      <c r="K389" s="39" t="str">
        <f t="shared" si="25"/>
        <v>-</v>
      </c>
      <c r="L389" s="40" t="str">
        <f>IF(F389&gt;0,F389*D389, "-")</f>
        <v>-</v>
      </c>
      <c r="M389" s="41" t="str">
        <f t="shared" si="26"/>
        <v>-</v>
      </c>
      <c r="O389" s="41" t="str">
        <f t="shared" si="27"/>
        <v>-</v>
      </c>
    </row>
    <row r="390" spans="1:15" x14ac:dyDescent="0.3">
      <c r="A390" s="4" t="s">
        <v>83</v>
      </c>
      <c r="B390" s="3">
        <v>810014673707</v>
      </c>
      <c r="C390" s="2" t="s">
        <v>1244</v>
      </c>
      <c r="D390" s="30">
        <v>0.23</v>
      </c>
      <c r="E390" s="20">
        <v>16.747500000000002</v>
      </c>
      <c r="F390" s="27"/>
      <c r="G390" s="23">
        <f t="shared" si="24"/>
        <v>0</v>
      </c>
      <c r="J390" s="39" t="str">
        <f>IFERROR(IF($J$2*D390=0, "-", $J$2*D390), "-")</f>
        <v>-</v>
      </c>
      <c r="K390" s="39" t="str">
        <f t="shared" si="25"/>
        <v>-</v>
      </c>
      <c r="L390" s="40" t="str">
        <f>IF(F390&gt;0,F390*D390, "-")</f>
        <v>-</v>
      </c>
      <c r="M390" s="41" t="str">
        <f t="shared" si="26"/>
        <v>-</v>
      </c>
      <c r="O390" s="41" t="str">
        <f t="shared" si="27"/>
        <v>-</v>
      </c>
    </row>
    <row r="391" spans="1:15" x14ac:dyDescent="0.3">
      <c r="A391" s="4" t="s">
        <v>122</v>
      </c>
      <c r="B391" s="3">
        <v>810014675558</v>
      </c>
      <c r="C391" s="2" t="s">
        <v>1245</v>
      </c>
      <c r="D391" s="30">
        <v>0.32</v>
      </c>
      <c r="E391" s="20">
        <v>16.747500000000002</v>
      </c>
      <c r="F391" s="27"/>
      <c r="G391" s="23">
        <f t="shared" si="24"/>
        <v>0</v>
      </c>
      <c r="J391" s="39" t="str">
        <f>IFERROR(IF($J$2*D391=0, "-", $J$2*D391), "-")</f>
        <v>-</v>
      </c>
      <c r="K391" s="39" t="str">
        <f t="shared" si="25"/>
        <v>-</v>
      </c>
      <c r="L391" s="40" t="str">
        <f>IF(F391&gt;0,F391*D391, "-")</f>
        <v>-</v>
      </c>
      <c r="M391" s="41" t="str">
        <f t="shared" si="26"/>
        <v>-</v>
      </c>
      <c r="O391" s="41" t="str">
        <f t="shared" si="27"/>
        <v>-</v>
      </c>
    </row>
    <row r="392" spans="1:15" x14ac:dyDescent="0.3">
      <c r="A392" s="4" t="s">
        <v>1246</v>
      </c>
      <c r="B392" s="3">
        <v>810139576464</v>
      </c>
      <c r="C392" s="2" t="s">
        <v>1247</v>
      </c>
      <c r="D392" s="30">
        <v>0.09</v>
      </c>
      <c r="E392" s="20">
        <v>16.747500000000002</v>
      </c>
      <c r="F392" s="27"/>
      <c r="G392" s="23">
        <f t="shared" si="24"/>
        <v>0</v>
      </c>
      <c r="J392" s="39" t="str">
        <f>IFERROR(IF($J$2*D392=0, "-", $J$2*D392), "-")</f>
        <v>-</v>
      </c>
      <c r="K392" s="39" t="str">
        <f t="shared" si="25"/>
        <v>-</v>
      </c>
      <c r="L392" s="40" t="str">
        <f>IF(F392&gt;0,F392*D392, "-")</f>
        <v>-</v>
      </c>
      <c r="M392" s="41" t="str">
        <f t="shared" si="26"/>
        <v>-</v>
      </c>
      <c r="O392" s="41" t="str">
        <f t="shared" si="27"/>
        <v>-</v>
      </c>
    </row>
    <row r="393" spans="1:15" x14ac:dyDescent="0.3">
      <c r="A393" s="4" t="s">
        <v>385</v>
      </c>
      <c r="B393" s="3">
        <v>810014675251</v>
      </c>
      <c r="C393" s="2" t="s">
        <v>1248</v>
      </c>
      <c r="D393" s="30">
        <v>0.36</v>
      </c>
      <c r="E393" s="20">
        <v>16.747500000000002</v>
      </c>
      <c r="F393" s="27"/>
      <c r="G393" s="23">
        <f t="shared" si="24"/>
        <v>0</v>
      </c>
      <c r="J393" s="39" t="str">
        <f>IFERROR(IF($J$2*D393=0, "-", $J$2*D393), "-")</f>
        <v>-</v>
      </c>
      <c r="K393" s="39" t="str">
        <f t="shared" si="25"/>
        <v>-</v>
      </c>
      <c r="L393" s="40" t="str">
        <f>IF(F393&gt;0,F393*D393, "-")</f>
        <v>-</v>
      </c>
      <c r="M393" s="41" t="str">
        <f t="shared" si="26"/>
        <v>-</v>
      </c>
      <c r="O393" s="41" t="str">
        <f t="shared" si="27"/>
        <v>-</v>
      </c>
    </row>
    <row r="394" spans="1:15" x14ac:dyDescent="0.3">
      <c r="A394" s="4" t="s">
        <v>133</v>
      </c>
      <c r="B394" s="3">
        <v>810014672816</v>
      </c>
      <c r="C394" s="2" t="s">
        <v>1249</v>
      </c>
      <c r="D394" s="30">
        <v>0.59</v>
      </c>
      <c r="E394" s="20">
        <v>16.747500000000002</v>
      </c>
      <c r="F394" s="27"/>
      <c r="G394" s="23">
        <f t="shared" si="24"/>
        <v>0</v>
      </c>
      <c r="J394" s="39" t="str">
        <f>IFERROR(IF($J$2*D394=0, "-", $J$2*D394), "-")</f>
        <v>-</v>
      </c>
      <c r="K394" s="39" t="str">
        <f t="shared" si="25"/>
        <v>-</v>
      </c>
      <c r="L394" s="40" t="str">
        <f>IF(F394&gt;0,F394*D394, "-")</f>
        <v>-</v>
      </c>
      <c r="M394" s="41" t="str">
        <f t="shared" si="26"/>
        <v>-</v>
      </c>
      <c r="O394" s="41" t="str">
        <f t="shared" si="27"/>
        <v>-</v>
      </c>
    </row>
    <row r="395" spans="1:15" x14ac:dyDescent="0.3">
      <c r="A395" s="4" t="s">
        <v>1250</v>
      </c>
      <c r="B395" s="3">
        <v>810139575351</v>
      </c>
      <c r="C395" s="2" t="s">
        <v>1251</v>
      </c>
      <c r="D395" s="30">
        <v>0.8</v>
      </c>
      <c r="E395" s="20">
        <v>16.747500000000002</v>
      </c>
      <c r="F395" s="27"/>
      <c r="G395" s="23">
        <f t="shared" si="24"/>
        <v>0</v>
      </c>
      <c r="J395" s="39" t="str">
        <f>IFERROR(IF($J$2*D395=0, "-", $J$2*D395), "-")</f>
        <v>-</v>
      </c>
      <c r="K395" s="39" t="str">
        <f t="shared" si="25"/>
        <v>-</v>
      </c>
      <c r="L395" s="40" t="str">
        <f>IF(F395&gt;0,F395*D395, "-")</f>
        <v>-</v>
      </c>
      <c r="M395" s="41" t="str">
        <f t="shared" si="26"/>
        <v>-</v>
      </c>
      <c r="O395" s="41" t="str">
        <f t="shared" si="27"/>
        <v>-</v>
      </c>
    </row>
    <row r="396" spans="1:15" x14ac:dyDescent="0.3">
      <c r="A396" s="4" t="s">
        <v>1252</v>
      </c>
      <c r="B396" s="3">
        <v>810139573623</v>
      </c>
      <c r="C396" s="2" t="s">
        <v>1253</v>
      </c>
      <c r="D396" s="30">
        <v>1.1000000000000001</v>
      </c>
      <c r="E396" s="20">
        <v>16.747500000000002</v>
      </c>
      <c r="F396" s="27"/>
      <c r="G396" s="23">
        <f t="shared" si="24"/>
        <v>0</v>
      </c>
      <c r="J396" s="39" t="str">
        <f>IFERROR(IF($J$2*D396=0, "-", $J$2*D396), "-")</f>
        <v>-</v>
      </c>
      <c r="K396" s="39" t="str">
        <f t="shared" si="25"/>
        <v>-</v>
      </c>
      <c r="L396" s="40" t="str">
        <f>IF(F396&gt;0,F396*D396, "-")</f>
        <v>-</v>
      </c>
      <c r="M396" s="41" t="str">
        <f t="shared" si="26"/>
        <v>-</v>
      </c>
      <c r="O396" s="41" t="str">
        <f t="shared" si="27"/>
        <v>-</v>
      </c>
    </row>
    <row r="397" spans="1:15" x14ac:dyDescent="0.3">
      <c r="A397" s="4" t="s">
        <v>254</v>
      </c>
      <c r="B397" s="3">
        <v>810014678917</v>
      </c>
      <c r="C397" s="2" t="s">
        <v>1254</v>
      </c>
      <c r="D397" s="30">
        <v>0.56000000000000005</v>
      </c>
      <c r="E397" s="20">
        <v>16.747500000000002</v>
      </c>
      <c r="F397" s="27"/>
      <c r="G397" s="23">
        <f t="shared" si="24"/>
        <v>0</v>
      </c>
      <c r="J397" s="39" t="str">
        <f>IFERROR(IF($J$2*D397=0, "-", $J$2*D397), "-")</f>
        <v>-</v>
      </c>
      <c r="K397" s="39" t="str">
        <f t="shared" si="25"/>
        <v>-</v>
      </c>
      <c r="L397" s="40" t="str">
        <f>IF(F397&gt;0,F397*D397, "-")</f>
        <v>-</v>
      </c>
      <c r="M397" s="41" t="str">
        <f t="shared" si="26"/>
        <v>-</v>
      </c>
      <c r="O397" s="41" t="str">
        <f t="shared" si="27"/>
        <v>-</v>
      </c>
    </row>
    <row r="398" spans="1:15" x14ac:dyDescent="0.3">
      <c r="A398" s="4" t="s">
        <v>216</v>
      </c>
      <c r="B398" s="3">
        <v>810139575658</v>
      </c>
      <c r="C398" s="2" t="s">
        <v>1255</v>
      </c>
      <c r="D398" s="30">
        <v>0.19</v>
      </c>
      <c r="E398" s="20">
        <v>16.747500000000002</v>
      </c>
      <c r="F398" s="27"/>
      <c r="G398" s="23">
        <f t="shared" si="24"/>
        <v>0</v>
      </c>
      <c r="J398" s="39" t="str">
        <f>IFERROR(IF($J$2*D398=0, "-", $J$2*D398), "-")</f>
        <v>-</v>
      </c>
      <c r="K398" s="39" t="str">
        <f t="shared" si="25"/>
        <v>-</v>
      </c>
      <c r="L398" s="40" t="str">
        <f>IF(F398&gt;0,F398*D398, "-")</f>
        <v>-</v>
      </c>
      <c r="M398" s="41" t="str">
        <f t="shared" si="26"/>
        <v>-</v>
      </c>
      <c r="O398" s="41" t="str">
        <f t="shared" si="27"/>
        <v>-</v>
      </c>
    </row>
    <row r="399" spans="1:15" x14ac:dyDescent="0.3">
      <c r="A399" s="4" t="s">
        <v>1256</v>
      </c>
      <c r="B399" s="3">
        <v>810139577294</v>
      </c>
      <c r="C399" s="2" t="s">
        <v>1257</v>
      </c>
      <c r="D399" s="30">
        <v>0.31</v>
      </c>
      <c r="E399" s="20">
        <v>16.747500000000002</v>
      </c>
      <c r="F399" s="27"/>
      <c r="G399" s="23">
        <f t="shared" si="24"/>
        <v>0</v>
      </c>
      <c r="J399" s="39" t="str">
        <f>IFERROR(IF($J$2*D399=0, "-", $J$2*D399), "-")</f>
        <v>-</v>
      </c>
      <c r="K399" s="39" t="str">
        <f t="shared" si="25"/>
        <v>-</v>
      </c>
      <c r="L399" s="40" t="str">
        <f>IF(F399&gt;0,F399*D399, "-")</f>
        <v>-</v>
      </c>
      <c r="M399" s="41" t="str">
        <f t="shared" si="26"/>
        <v>-</v>
      </c>
      <c r="O399" s="41" t="str">
        <f t="shared" si="27"/>
        <v>-</v>
      </c>
    </row>
    <row r="400" spans="1:15" x14ac:dyDescent="0.3">
      <c r="A400" s="4" t="s">
        <v>505</v>
      </c>
      <c r="B400" s="3">
        <v>810014673370</v>
      </c>
      <c r="C400" s="2" t="s">
        <v>1258</v>
      </c>
      <c r="D400" s="30">
        <v>0.09</v>
      </c>
      <c r="E400" s="20">
        <v>16.747500000000002</v>
      </c>
      <c r="F400" s="27"/>
      <c r="G400" s="23">
        <f t="shared" si="24"/>
        <v>0</v>
      </c>
      <c r="J400" s="39" t="str">
        <f>IFERROR(IF($J$2*D400=0, "-", $J$2*D400), "-")</f>
        <v>-</v>
      </c>
      <c r="K400" s="39" t="str">
        <f t="shared" si="25"/>
        <v>-</v>
      </c>
      <c r="L400" s="40" t="str">
        <f>IF(F400&gt;0,F400*D400, "-")</f>
        <v>-</v>
      </c>
      <c r="M400" s="41" t="str">
        <f t="shared" si="26"/>
        <v>-</v>
      </c>
      <c r="O400" s="41" t="str">
        <f t="shared" si="27"/>
        <v>-</v>
      </c>
    </row>
    <row r="401" spans="1:15" x14ac:dyDescent="0.3">
      <c r="A401" s="4" t="s">
        <v>674</v>
      </c>
      <c r="B401" s="3">
        <v>810014675442</v>
      </c>
      <c r="C401" s="2" t="s">
        <v>1259</v>
      </c>
      <c r="D401" s="30">
        <v>0.16</v>
      </c>
      <c r="E401" s="20">
        <v>16.747500000000002</v>
      </c>
      <c r="F401" s="27"/>
      <c r="G401" s="23">
        <f t="shared" si="24"/>
        <v>0</v>
      </c>
      <c r="J401" s="39" t="str">
        <f>IFERROR(IF($J$2*D401=0, "-", $J$2*D401), "-")</f>
        <v>-</v>
      </c>
      <c r="K401" s="39" t="str">
        <f t="shared" si="25"/>
        <v>-</v>
      </c>
      <c r="L401" s="40" t="str">
        <f>IF(F401&gt;0,F401*D401, "-")</f>
        <v>-</v>
      </c>
      <c r="M401" s="41" t="str">
        <f t="shared" si="26"/>
        <v>-</v>
      </c>
      <c r="O401" s="41" t="str">
        <f t="shared" si="27"/>
        <v>-</v>
      </c>
    </row>
    <row r="402" spans="1:15" x14ac:dyDescent="0.3">
      <c r="A402" s="4" t="s">
        <v>362</v>
      </c>
      <c r="B402" s="3">
        <v>810014671444</v>
      </c>
      <c r="C402" s="2" t="s">
        <v>1260</v>
      </c>
      <c r="D402" s="30">
        <v>0.16</v>
      </c>
      <c r="E402" s="20">
        <v>16.747500000000002</v>
      </c>
      <c r="F402" s="27"/>
      <c r="G402" s="23">
        <f t="shared" si="24"/>
        <v>0</v>
      </c>
      <c r="J402" s="39" t="str">
        <f>IFERROR(IF($J$2*D402=0, "-", $J$2*D402), "-")</f>
        <v>-</v>
      </c>
      <c r="K402" s="39" t="str">
        <f t="shared" si="25"/>
        <v>-</v>
      </c>
      <c r="L402" s="40" t="str">
        <f>IF(F402&gt;0,F402*D402, "-")</f>
        <v>-</v>
      </c>
      <c r="M402" s="41" t="str">
        <f t="shared" si="26"/>
        <v>-</v>
      </c>
      <c r="O402" s="41" t="str">
        <f t="shared" si="27"/>
        <v>-</v>
      </c>
    </row>
    <row r="403" spans="1:15" x14ac:dyDescent="0.3">
      <c r="A403" s="4" t="s">
        <v>633</v>
      </c>
      <c r="B403" s="3">
        <v>810014670225</v>
      </c>
      <c r="C403" s="2" t="s">
        <v>1261</v>
      </c>
      <c r="D403" s="30">
        <v>0.22</v>
      </c>
      <c r="E403" s="20">
        <v>16.747500000000002</v>
      </c>
      <c r="F403" s="27"/>
      <c r="G403" s="23">
        <f t="shared" si="24"/>
        <v>0</v>
      </c>
      <c r="J403" s="39" t="str">
        <f>IFERROR(IF($J$2*D403=0, "-", $J$2*D403), "-")</f>
        <v>-</v>
      </c>
      <c r="K403" s="39" t="str">
        <f t="shared" si="25"/>
        <v>-</v>
      </c>
      <c r="L403" s="40" t="str">
        <f>IF(F403&gt;0,F403*D403, "-")</f>
        <v>-</v>
      </c>
      <c r="M403" s="41" t="str">
        <f t="shared" si="26"/>
        <v>-</v>
      </c>
      <c r="O403" s="41" t="str">
        <f t="shared" si="27"/>
        <v>-</v>
      </c>
    </row>
    <row r="404" spans="1:15" x14ac:dyDescent="0.3">
      <c r="A404" s="4" t="s">
        <v>101</v>
      </c>
      <c r="B404" s="3">
        <v>810014675268</v>
      </c>
      <c r="C404" s="2" t="s">
        <v>1262</v>
      </c>
      <c r="D404" s="30">
        <v>0.23</v>
      </c>
      <c r="E404" s="20">
        <v>16.747500000000002</v>
      </c>
      <c r="F404" s="27"/>
      <c r="G404" s="23">
        <f t="shared" si="24"/>
        <v>0</v>
      </c>
      <c r="J404" s="39" t="str">
        <f>IFERROR(IF($J$2*D404=0, "-", $J$2*D404), "-")</f>
        <v>-</v>
      </c>
      <c r="K404" s="39" t="str">
        <f t="shared" si="25"/>
        <v>-</v>
      </c>
      <c r="L404" s="40" t="str">
        <f>IF(F404&gt;0,F404*D404, "-")</f>
        <v>-</v>
      </c>
      <c r="M404" s="41" t="str">
        <f t="shared" si="26"/>
        <v>-</v>
      </c>
      <c r="O404" s="41" t="str">
        <f t="shared" si="27"/>
        <v>-</v>
      </c>
    </row>
    <row r="405" spans="1:15" x14ac:dyDescent="0.3">
      <c r="A405" s="4" t="s">
        <v>678</v>
      </c>
      <c r="B405" s="3">
        <v>810014679457</v>
      </c>
      <c r="C405" s="2" t="s">
        <v>1263</v>
      </c>
      <c r="D405" s="30">
        <v>0.22</v>
      </c>
      <c r="E405" s="20">
        <v>16.747500000000002</v>
      </c>
      <c r="F405" s="27"/>
      <c r="G405" s="23">
        <f t="shared" si="24"/>
        <v>0</v>
      </c>
      <c r="J405" s="39" t="str">
        <f>IFERROR(IF($J$2*D405=0, "-", $J$2*D405), "-")</f>
        <v>-</v>
      </c>
      <c r="K405" s="39" t="str">
        <f t="shared" si="25"/>
        <v>-</v>
      </c>
      <c r="L405" s="40" t="str">
        <f>IF(F405&gt;0,F405*D405, "-")</f>
        <v>-</v>
      </c>
      <c r="M405" s="41" t="str">
        <f t="shared" si="26"/>
        <v>-</v>
      </c>
      <c r="O405" s="41" t="str">
        <f t="shared" si="27"/>
        <v>-</v>
      </c>
    </row>
    <row r="406" spans="1:15" x14ac:dyDescent="0.3">
      <c r="A406" s="4" t="s">
        <v>275</v>
      </c>
      <c r="B406" s="3">
        <v>810014679242</v>
      </c>
      <c r="C406" s="2" t="s">
        <v>1264</v>
      </c>
      <c r="D406" s="30">
        <v>0.23</v>
      </c>
      <c r="E406" s="20">
        <v>16.747500000000002</v>
      </c>
      <c r="F406" s="27"/>
      <c r="G406" s="23">
        <f t="shared" si="24"/>
        <v>0</v>
      </c>
      <c r="J406" s="39" t="str">
        <f>IFERROR(IF($J$2*D406=0, "-", $J$2*D406), "-")</f>
        <v>-</v>
      </c>
      <c r="K406" s="39" t="str">
        <f t="shared" si="25"/>
        <v>-</v>
      </c>
      <c r="L406" s="40" t="str">
        <f>IF(F406&gt;0,F406*D406, "-")</f>
        <v>-</v>
      </c>
      <c r="M406" s="41" t="str">
        <f t="shared" si="26"/>
        <v>-</v>
      </c>
      <c r="O406" s="41" t="str">
        <f t="shared" si="27"/>
        <v>-</v>
      </c>
    </row>
    <row r="407" spans="1:15" x14ac:dyDescent="0.3">
      <c r="A407" s="4" t="s">
        <v>687</v>
      </c>
      <c r="B407" s="3">
        <v>810014671574</v>
      </c>
      <c r="C407" s="2" t="s">
        <v>1265</v>
      </c>
      <c r="D407" s="30">
        <v>0.19</v>
      </c>
      <c r="E407" s="20">
        <v>16.747500000000002</v>
      </c>
      <c r="F407" s="27"/>
      <c r="G407" s="23">
        <f t="shared" si="24"/>
        <v>0</v>
      </c>
      <c r="J407" s="39" t="str">
        <f>IFERROR(IF($J$2*D407=0, "-", $J$2*D407), "-")</f>
        <v>-</v>
      </c>
      <c r="K407" s="39" t="str">
        <f t="shared" si="25"/>
        <v>-</v>
      </c>
      <c r="L407" s="40" t="str">
        <f>IF(F407&gt;0,F407*D407, "-")</f>
        <v>-</v>
      </c>
      <c r="M407" s="41" t="str">
        <f t="shared" si="26"/>
        <v>-</v>
      </c>
      <c r="O407" s="41" t="str">
        <f t="shared" si="27"/>
        <v>-</v>
      </c>
    </row>
    <row r="408" spans="1:15" x14ac:dyDescent="0.3">
      <c r="A408" s="4" t="s">
        <v>1266</v>
      </c>
      <c r="B408" s="3">
        <v>810139575740</v>
      </c>
      <c r="C408" s="2" t="s">
        <v>1267</v>
      </c>
      <c r="D408" s="30">
        <v>0.05</v>
      </c>
      <c r="E408" s="20">
        <v>16.747500000000002</v>
      </c>
      <c r="F408" s="27"/>
      <c r="G408" s="23">
        <f t="shared" si="24"/>
        <v>0</v>
      </c>
      <c r="J408" s="39" t="str">
        <f>IFERROR(IF($J$2*D408=0, "-", $J$2*D408), "-")</f>
        <v>-</v>
      </c>
      <c r="K408" s="39" t="str">
        <f t="shared" si="25"/>
        <v>-</v>
      </c>
      <c r="L408" s="40" t="str">
        <f>IF(F408&gt;0,F408*D408, "-")</f>
        <v>-</v>
      </c>
      <c r="M408" s="41" t="str">
        <f t="shared" si="26"/>
        <v>-</v>
      </c>
      <c r="O408" s="41" t="str">
        <f t="shared" si="27"/>
        <v>-</v>
      </c>
    </row>
    <row r="409" spans="1:15" x14ac:dyDescent="0.3">
      <c r="A409" s="4" t="s">
        <v>1268</v>
      </c>
      <c r="B409" s="3">
        <v>810014674032</v>
      </c>
      <c r="C409" s="2" t="s">
        <v>1269</v>
      </c>
      <c r="D409" s="30">
        <v>0.13</v>
      </c>
      <c r="E409" s="20">
        <v>17.128125000000001</v>
      </c>
      <c r="F409" s="27"/>
      <c r="G409" s="23">
        <f t="shared" si="24"/>
        <v>0</v>
      </c>
      <c r="J409" s="39" t="str">
        <f>IFERROR(IF($J$2*D409=0, "-", $J$2*D409), "-")</f>
        <v>-</v>
      </c>
      <c r="K409" s="39" t="str">
        <f t="shared" si="25"/>
        <v>-</v>
      </c>
      <c r="L409" s="40" t="str">
        <f>IF(F409&gt;0,F409*D409, "-")</f>
        <v>-</v>
      </c>
      <c r="M409" s="41" t="str">
        <f t="shared" si="26"/>
        <v>-</v>
      </c>
      <c r="O409" s="41" t="str">
        <f t="shared" si="27"/>
        <v>-</v>
      </c>
    </row>
    <row r="410" spans="1:15" x14ac:dyDescent="0.3">
      <c r="A410" s="4" t="s">
        <v>165</v>
      </c>
      <c r="B410" s="3">
        <v>810014673721</v>
      </c>
      <c r="C410" s="2" t="s">
        <v>1270</v>
      </c>
      <c r="D410" s="30">
        <v>0.13</v>
      </c>
      <c r="E410" s="20">
        <v>17.128125000000001</v>
      </c>
      <c r="F410" s="27"/>
      <c r="G410" s="23">
        <f t="shared" si="24"/>
        <v>0</v>
      </c>
      <c r="J410" s="39" t="str">
        <f>IFERROR(IF($J$2*D410=0, "-", $J$2*D410), "-")</f>
        <v>-</v>
      </c>
      <c r="K410" s="39" t="str">
        <f t="shared" si="25"/>
        <v>-</v>
      </c>
      <c r="L410" s="40" t="str">
        <f>IF(F410&gt;0,F410*D410, "-")</f>
        <v>-</v>
      </c>
      <c r="M410" s="41" t="str">
        <f t="shared" si="26"/>
        <v>-</v>
      </c>
      <c r="O410" s="41" t="str">
        <f t="shared" si="27"/>
        <v>-</v>
      </c>
    </row>
    <row r="411" spans="1:15" x14ac:dyDescent="0.3">
      <c r="A411" s="4" t="s">
        <v>309</v>
      </c>
      <c r="B411" s="3">
        <v>810014674940</v>
      </c>
      <c r="C411" s="2" t="s">
        <v>1271</v>
      </c>
      <c r="D411" s="30">
        <v>0.23</v>
      </c>
      <c r="E411" s="20">
        <v>17.128125000000001</v>
      </c>
      <c r="F411" s="27"/>
      <c r="G411" s="23">
        <f t="shared" si="24"/>
        <v>0</v>
      </c>
      <c r="J411" s="39" t="str">
        <f>IFERROR(IF($J$2*D411=0, "-", $J$2*D411), "-")</f>
        <v>-</v>
      </c>
      <c r="K411" s="39" t="str">
        <f t="shared" si="25"/>
        <v>-</v>
      </c>
      <c r="L411" s="40" t="str">
        <f>IF(F411&gt;0,F411*D411, "-")</f>
        <v>-</v>
      </c>
      <c r="M411" s="41" t="str">
        <f t="shared" si="26"/>
        <v>-</v>
      </c>
      <c r="O411" s="41" t="str">
        <f t="shared" si="27"/>
        <v>-</v>
      </c>
    </row>
    <row r="412" spans="1:15" x14ac:dyDescent="0.3">
      <c r="A412" s="4" t="s">
        <v>356</v>
      </c>
      <c r="B412" s="3">
        <v>810139571797</v>
      </c>
      <c r="C412" s="2" t="s">
        <v>1272</v>
      </c>
      <c r="D412" s="30">
        <v>0.25</v>
      </c>
      <c r="E412" s="20">
        <v>17.128125000000001</v>
      </c>
      <c r="F412" s="27"/>
      <c r="G412" s="23">
        <f t="shared" si="24"/>
        <v>0</v>
      </c>
      <c r="J412" s="39" t="str">
        <f>IFERROR(IF($J$2*D412=0, "-", $J$2*D412), "-")</f>
        <v>-</v>
      </c>
      <c r="K412" s="39" t="str">
        <f t="shared" si="25"/>
        <v>-</v>
      </c>
      <c r="L412" s="40" t="str">
        <f>IF(F412&gt;0,F412*D412, "-")</f>
        <v>-</v>
      </c>
      <c r="M412" s="41" t="str">
        <f t="shared" si="26"/>
        <v>-</v>
      </c>
      <c r="O412" s="41" t="str">
        <f t="shared" si="27"/>
        <v>-</v>
      </c>
    </row>
    <row r="413" spans="1:15" x14ac:dyDescent="0.3">
      <c r="A413" s="4" t="s">
        <v>543</v>
      </c>
      <c r="B413" s="3">
        <v>810014677002</v>
      </c>
      <c r="C413" s="2" t="s">
        <v>1273</v>
      </c>
      <c r="D413" s="30">
        <v>0.12</v>
      </c>
      <c r="E413" s="20">
        <v>17.128125000000001</v>
      </c>
      <c r="F413" s="27"/>
      <c r="G413" s="23">
        <f t="shared" si="24"/>
        <v>0</v>
      </c>
      <c r="J413" s="39" t="str">
        <f>IFERROR(IF($J$2*D413=0, "-", $J$2*D413), "-")</f>
        <v>-</v>
      </c>
      <c r="K413" s="39" t="str">
        <f t="shared" si="25"/>
        <v>-</v>
      </c>
      <c r="L413" s="40" t="str">
        <f>IF(F413&gt;0,F413*D413, "-")</f>
        <v>-</v>
      </c>
      <c r="M413" s="41" t="str">
        <f t="shared" si="26"/>
        <v>-</v>
      </c>
      <c r="O413" s="41" t="str">
        <f t="shared" si="27"/>
        <v>-</v>
      </c>
    </row>
    <row r="414" spans="1:15" x14ac:dyDescent="0.3">
      <c r="A414" s="4" t="s">
        <v>161</v>
      </c>
      <c r="B414" s="3">
        <v>810014673158</v>
      </c>
      <c r="C414" s="2" t="s">
        <v>1274</v>
      </c>
      <c r="D414" s="30">
        <v>0.28000000000000003</v>
      </c>
      <c r="E414" s="20">
        <v>17.128125000000001</v>
      </c>
      <c r="F414" s="27"/>
      <c r="G414" s="23">
        <f t="shared" si="24"/>
        <v>0</v>
      </c>
      <c r="J414" s="39" t="str">
        <f>IFERROR(IF($J$2*D414=0, "-", $J$2*D414), "-")</f>
        <v>-</v>
      </c>
      <c r="K414" s="39" t="str">
        <f t="shared" si="25"/>
        <v>-</v>
      </c>
      <c r="L414" s="40" t="str">
        <f>IF(F414&gt;0,F414*D414, "-")</f>
        <v>-</v>
      </c>
      <c r="M414" s="41" t="str">
        <f t="shared" si="26"/>
        <v>-</v>
      </c>
      <c r="O414" s="41" t="str">
        <f t="shared" si="27"/>
        <v>-</v>
      </c>
    </row>
    <row r="415" spans="1:15" x14ac:dyDescent="0.3">
      <c r="A415" s="4" t="s">
        <v>671</v>
      </c>
      <c r="B415" s="3">
        <v>810014678504</v>
      </c>
      <c r="C415" s="2" t="s">
        <v>1275</v>
      </c>
      <c r="D415" s="30">
        <v>0.13</v>
      </c>
      <c r="E415" s="20">
        <v>17.128125000000001</v>
      </c>
      <c r="F415" s="27"/>
      <c r="G415" s="23">
        <f t="shared" si="24"/>
        <v>0</v>
      </c>
      <c r="J415" s="39" t="str">
        <f>IFERROR(IF($J$2*D415=0, "-", $J$2*D415), "-")</f>
        <v>-</v>
      </c>
      <c r="K415" s="39" t="str">
        <f t="shared" si="25"/>
        <v>-</v>
      </c>
      <c r="L415" s="40" t="str">
        <f>IF(F415&gt;0,F415*D415, "-")</f>
        <v>-</v>
      </c>
      <c r="M415" s="41" t="str">
        <f t="shared" si="26"/>
        <v>-</v>
      </c>
      <c r="O415" s="41" t="str">
        <f t="shared" si="27"/>
        <v>-</v>
      </c>
    </row>
    <row r="416" spans="1:15" x14ac:dyDescent="0.3">
      <c r="A416" s="4" t="s">
        <v>1276</v>
      </c>
      <c r="B416" s="3">
        <v>810139575177</v>
      </c>
      <c r="C416" s="2" t="s">
        <v>1277</v>
      </c>
      <c r="D416" s="30">
        <v>0.8</v>
      </c>
      <c r="E416" s="20">
        <v>17.508750000000003</v>
      </c>
      <c r="F416" s="27"/>
      <c r="G416" s="23">
        <f t="shared" si="24"/>
        <v>0</v>
      </c>
      <c r="J416" s="39" t="str">
        <f>IFERROR(IF($J$2*D416=0, "-", $J$2*D416), "-")</f>
        <v>-</v>
      </c>
      <c r="K416" s="39" t="str">
        <f t="shared" si="25"/>
        <v>-</v>
      </c>
      <c r="L416" s="40" t="str">
        <f>IF(F416&gt;0,F416*D416, "-")</f>
        <v>-</v>
      </c>
      <c r="M416" s="41" t="str">
        <f t="shared" si="26"/>
        <v>-</v>
      </c>
      <c r="O416" s="41" t="str">
        <f t="shared" si="27"/>
        <v>-</v>
      </c>
    </row>
    <row r="417" spans="1:15" x14ac:dyDescent="0.3">
      <c r="A417" s="4" t="s">
        <v>514</v>
      </c>
      <c r="B417" s="3">
        <v>810139573449</v>
      </c>
      <c r="C417" s="2" t="s">
        <v>1278</v>
      </c>
      <c r="D417" s="30">
        <v>0.62</v>
      </c>
      <c r="E417" s="20">
        <v>17.508750000000003</v>
      </c>
      <c r="F417" s="27"/>
      <c r="G417" s="23">
        <f t="shared" si="24"/>
        <v>0</v>
      </c>
      <c r="J417" s="39" t="str">
        <f>IFERROR(IF($J$2*D417=0, "-", $J$2*D417), "-")</f>
        <v>-</v>
      </c>
      <c r="K417" s="39" t="str">
        <f t="shared" si="25"/>
        <v>-</v>
      </c>
      <c r="L417" s="40" t="str">
        <f>IF(F417&gt;0,F417*D417, "-")</f>
        <v>-</v>
      </c>
      <c r="M417" s="41" t="str">
        <f t="shared" si="26"/>
        <v>-</v>
      </c>
      <c r="O417" s="41" t="str">
        <f t="shared" si="27"/>
        <v>-</v>
      </c>
    </row>
    <row r="418" spans="1:15" x14ac:dyDescent="0.3">
      <c r="A418" s="4" t="s">
        <v>178</v>
      </c>
      <c r="B418" s="3">
        <v>702669934954</v>
      </c>
      <c r="C418" s="2" t="s">
        <v>1279</v>
      </c>
      <c r="D418" s="30">
        <v>0.63</v>
      </c>
      <c r="E418" s="20">
        <v>17.508750000000003</v>
      </c>
      <c r="F418" s="27"/>
      <c r="G418" s="23">
        <f t="shared" si="24"/>
        <v>0</v>
      </c>
      <c r="J418" s="39" t="str">
        <f>IFERROR(IF($J$2*D418=0, "-", $J$2*D418), "-")</f>
        <v>-</v>
      </c>
      <c r="K418" s="39" t="str">
        <f t="shared" si="25"/>
        <v>-</v>
      </c>
      <c r="L418" s="40" t="str">
        <f>IF(F418&gt;0,F418*D418, "-")</f>
        <v>-</v>
      </c>
      <c r="M418" s="41" t="str">
        <f t="shared" si="26"/>
        <v>-</v>
      </c>
      <c r="O418" s="41" t="str">
        <f t="shared" si="27"/>
        <v>-</v>
      </c>
    </row>
    <row r="419" spans="1:15" x14ac:dyDescent="0.3">
      <c r="A419" s="4" t="s">
        <v>638</v>
      </c>
      <c r="B419" s="3">
        <v>702669933827</v>
      </c>
      <c r="C419" s="2" t="s">
        <v>1280</v>
      </c>
      <c r="D419" s="30">
        <v>0.69</v>
      </c>
      <c r="E419" s="20">
        <v>17.508750000000003</v>
      </c>
      <c r="F419" s="27"/>
      <c r="G419" s="23">
        <f t="shared" si="24"/>
        <v>0</v>
      </c>
      <c r="J419" s="39" t="str">
        <f>IFERROR(IF($J$2*D419=0, "-", $J$2*D419), "-")</f>
        <v>-</v>
      </c>
      <c r="K419" s="39" t="str">
        <f t="shared" si="25"/>
        <v>-</v>
      </c>
      <c r="L419" s="40" t="str">
        <f>IF(F419&gt;0,F419*D419, "-")</f>
        <v>-</v>
      </c>
      <c r="M419" s="41" t="str">
        <f t="shared" si="26"/>
        <v>-</v>
      </c>
      <c r="O419" s="41" t="str">
        <f t="shared" si="27"/>
        <v>-</v>
      </c>
    </row>
    <row r="420" spans="1:15" x14ac:dyDescent="0.3">
      <c r="A420" s="4" t="s">
        <v>1281</v>
      </c>
      <c r="B420" s="3">
        <v>810139573883</v>
      </c>
      <c r="C420" s="2" t="s">
        <v>1282</v>
      </c>
      <c r="D420" s="30">
        <v>0.48</v>
      </c>
      <c r="E420" s="20">
        <v>17.508750000000003</v>
      </c>
      <c r="F420" s="27"/>
      <c r="G420" s="23">
        <f t="shared" si="24"/>
        <v>0</v>
      </c>
      <c r="J420" s="39" t="str">
        <f>IFERROR(IF($J$2*D420=0, "-", $J$2*D420), "-")</f>
        <v>-</v>
      </c>
      <c r="K420" s="39" t="str">
        <f t="shared" si="25"/>
        <v>-</v>
      </c>
      <c r="L420" s="40" t="str">
        <f>IF(F420&gt;0,F420*D420, "-")</f>
        <v>-</v>
      </c>
      <c r="M420" s="41" t="str">
        <f t="shared" si="26"/>
        <v>-</v>
      </c>
      <c r="O420" s="41" t="str">
        <f t="shared" si="27"/>
        <v>-</v>
      </c>
    </row>
    <row r="421" spans="1:15" x14ac:dyDescent="0.3">
      <c r="A421" s="4" t="s">
        <v>475</v>
      </c>
      <c r="B421" s="3">
        <v>810014672618</v>
      </c>
      <c r="C421" s="2" t="s">
        <v>1283</v>
      </c>
      <c r="D421" s="30">
        <v>0.49</v>
      </c>
      <c r="E421" s="20">
        <v>17.508750000000003</v>
      </c>
      <c r="F421" s="27"/>
      <c r="G421" s="23">
        <f t="shared" si="24"/>
        <v>0</v>
      </c>
      <c r="J421" s="39" t="str">
        <f>IFERROR(IF($J$2*D421=0, "-", $J$2*D421), "-")</f>
        <v>-</v>
      </c>
      <c r="K421" s="39" t="str">
        <f t="shared" si="25"/>
        <v>-</v>
      </c>
      <c r="L421" s="40" t="str">
        <f>IF(F421&gt;0,F421*D421, "-")</f>
        <v>-</v>
      </c>
      <c r="M421" s="41" t="str">
        <f t="shared" si="26"/>
        <v>-</v>
      </c>
      <c r="O421" s="41" t="str">
        <f t="shared" si="27"/>
        <v>-</v>
      </c>
    </row>
    <row r="422" spans="1:15" x14ac:dyDescent="0.3">
      <c r="A422" s="4" t="s">
        <v>490</v>
      </c>
      <c r="B422" s="3">
        <v>810014674124</v>
      </c>
      <c r="C422" s="2" t="s">
        <v>1284</v>
      </c>
      <c r="D422" s="30">
        <v>0.44</v>
      </c>
      <c r="E422" s="20">
        <v>17.508750000000003</v>
      </c>
      <c r="F422" s="27"/>
      <c r="G422" s="23">
        <f t="shared" si="24"/>
        <v>0</v>
      </c>
      <c r="J422" s="39" t="str">
        <f>IFERROR(IF($J$2*D422=0, "-", $J$2*D422), "-")</f>
        <v>-</v>
      </c>
      <c r="K422" s="39" t="str">
        <f t="shared" si="25"/>
        <v>-</v>
      </c>
      <c r="L422" s="40" t="str">
        <f>IF(F422&gt;0,F422*D422, "-")</f>
        <v>-</v>
      </c>
      <c r="M422" s="41" t="str">
        <f t="shared" si="26"/>
        <v>-</v>
      </c>
      <c r="O422" s="41" t="str">
        <f t="shared" si="27"/>
        <v>-</v>
      </c>
    </row>
    <row r="423" spans="1:15" x14ac:dyDescent="0.3">
      <c r="A423" s="4" t="s">
        <v>273</v>
      </c>
      <c r="B423" s="3">
        <v>810139573586</v>
      </c>
      <c r="C423" s="2" t="s">
        <v>1285</v>
      </c>
      <c r="D423" s="30">
        <v>0.22</v>
      </c>
      <c r="E423" s="20">
        <v>17.508750000000003</v>
      </c>
      <c r="F423" s="27"/>
      <c r="G423" s="23">
        <f t="shared" si="24"/>
        <v>0</v>
      </c>
      <c r="J423" s="39" t="str">
        <f>IFERROR(IF($J$2*D423=0, "-", $J$2*D423), "-")</f>
        <v>-</v>
      </c>
      <c r="K423" s="39" t="str">
        <f t="shared" si="25"/>
        <v>-</v>
      </c>
      <c r="L423" s="40" t="str">
        <f>IF(F423&gt;0,F423*D423, "-")</f>
        <v>-</v>
      </c>
      <c r="M423" s="41" t="str">
        <f t="shared" si="26"/>
        <v>-</v>
      </c>
      <c r="O423" s="41" t="str">
        <f t="shared" si="27"/>
        <v>-</v>
      </c>
    </row>
    <row r="424" spans="1:15" x14ac:dyDescent="0.3">
      <c r="A424" s="4" t="s">
        <v>97</v>
      </c>
      <c r="B424" s="3">
        <v>810014679167</v>
      </c>
      <c r="C424" s="2" t="s">
        <v>1286</v>
      </c>
      <c r="D424" s="30">
        <v>0.32</v>
      </c>
      <c r="E424" s="20">
        <v>17.508750000000003</v>
      </c>
      <c r="F424" s="27"/>
      <c r="G424" s="23">
        <f t="shared" si="24"/>
        <v>0</v>
      </c>
      <c r="J424" s="39" t="str">
        <f>IFERROR(IF($J$2*D424=0, "-", $J$2*D424), "-")</f>
        <v>-</v>
      </c>
      <c r="K424" s="39" t="str">
        <f t="shared" si="25"/>
        <v>-</v>
      </c>
      <c r="L424" s="40" t="str">
        <f>IF(F424&gt;0,F424*D424, "-")</f>
        <v>-</v>
      </c>
      <c r="M424" s="41" t="str">
        <f t="shared" si="26"/>
        <v>-</v>
      </c>
      <c r="O424" s="41" t="str">
        <f t="shared" si="27"/>
        <v>-</v>
      </c>
    </row>
    <row r="425" spans="1:15" x14ac:dyDescent="0.3">
      <c r="A425" s="4" t="s">
        <v>1287</v>
      </c>
      <c r="B425" s="3">
        <v>810139575825</v>
      </c>
      <c r="C425" s="2" t="s">
        <v>1288</v>
      </c>
      <c r="D425" s="30">
        <v>0.38</v>
      </c>
      <c r="E425" s="20">
        <v>17.508750000000003</v>
      </c>
      <c r="F425" s="27"/>
      <c r="G425" s="23">
        <f t="shared" si="24"/>
        <v>0</v>
      </c>
      <c r="J425" s="39" t="str">
        <f>IFERROR(IF($J$2*D425=0, "-", $J$2*D425), "-")</f>
        <v>-</v>
      </c>
      <c r="K425" s="39" t="str">
        <f t="shared" si="25"/>
        <v>-</v>
      </c>
      <c r="L425" s="40" t="str">
        <f>IF(F425&gt;0,F425*D425, "-")</f>
        <v>-</v>
      </c>
      <c r="M425" s="41" t="str">
        <f t="shared" si="26"/>
        <v>-</v>
      </c>
      <c r="O425" s="41" t="str">
        <f t="shared" si="27"/>
        <v>-</v>
      </c>
    </row>
    <row r="426" spans="1:15" x14ac:dyDescent="0.3">
      <c r="A426" s="4" t="s">
        <v>1289</v>
      </c>
      <c r="B426" s="3">
        <v>810139575832</v>
      </c>
      <c r="C426" s="2" t="s">
        <v>1290</v>
      </c>
      <c r="D426" s="30">
        <v>0.4</v>
      </c>
      <c r="E426" s="20">
        <v>17.508750000000003</v>
      </c>
      <c r="F426" s="27"/>
      <c r="G426" s="23">
        <f t="shared" si="24"/>
        <v>0</v>
      </c>
      <c r="J426" s="39" t="str">
        <f>IFERROR(IF($J$2*D426=0, "-", $J$2*D426), "-")</f>
        <v>-</v>
      </c>
      <c r="K426" s="39" t="str">
        <f t="shared" si="25"/>
        <v>-</v>
      </c>
      <c r="L426" s="40" t="str">
        <f>IF(F426&gt;0,F426*D426, "-")</f>
        <v>-</v>
      </c>
      <c r="M426" s="41" t="str">
        <f t="shared" si="26"/>
        <v>-</v>
      </c>
      <c r="O426" s="41" t="str">
        <f t="shared" si="27"/>
        <v>-</v>
      </c>
    </row>
    <row r="427" spans="1:15" x14ac:dyDescent="0.3">
      <c r="A427" s="4" t="s">
        <v>1291</v>
      </c>
      <c r="B427" s="3">
        <v>810139575818</v>
      </c>
      <c r="C427" s="2" t="s">
        <v>1292</v>
      </c>
      <c r="D427" s="30">
        <v>0.4</v>
      </c>
      <c r="E427" s="20">
        <v>17.508750000000003</v>
      </c>
      <c r="F427" s="27"/>
      <c r="G427" s="23">
        <f t="shared" si="24"/>
        <v>0</v>
      </c>
      <c r="J427" s="39" t="str">
        <f>IFERROR(IF($J$2*D427=0, "-", $J$2*D427), "-")</f>
        <v>-</v>
      </c>
      <c r="K427" s="39" t="str">
        <f t="shared" si="25"/>
        <v>-</v>
      </c>
      <c r="L427" s="40" t="str">
        <f>IF(F427&gt;0,F427*D427, "-")</f>
        <v>-</v>
      </c>
      <c r="M427" s="41" t="str">
        <f t="shared" si="26"/>
        <v>-</v>
      </c>
      <c r="O427" s="41" t="str">
        <f t="shared" si="27"/>
        <v>-</v>
      </c>
    </row>
    <row r="428" spans="1:15" x14ac:dyDescent="0.3">
      <c r="A428" s="4" t="s">
        <v>1293</v>
      </c>
      <c r="B428" s="3">
        <v>810139575801</v>
      </c>
      <c r="C428" s="2" t="s">
        <v>1294</v>
      </c>
      <c r="D428" s="30">
        <v>0.38</v>
      </c>
      <c r="E428" s="20">
        <v>17.508750000000003</v>
      </c>
      <c r="F428" s="27"/>
      <c r="G428" s="23">
        <f t="shared" si="24"/>
        <v>0</v>
      </c>
      <c r="J428" s="39" t="str">
        <f>IFERROR(IF($J$2*D428=0, "-", $J$2*D428), "-")</f>
        <v>-</v>
      </c>
      <c r="K428" s="39" t="str">
        <f t="shared" si="25"/>
        <v>-</v>
      </c>
      <c r="L428" s="40" t="str">
        <f>IF(F428&gt;0,F428*D428, "-")</f>
        <v>-</v>
      </c>
      <c r="M428" s="41" t="str">
        <f t="shared" si="26"/>
        <v>-</v>
      </c>
      <c r="O428" s="41" t="str">
        <f t="shared" si="27"/>
        <v>-</v>
      </c>
    </row>
    <row r="429" spans="1:15" x14ac:dyDescent="0.3">
      <c r="A429" s="4" t="s">
        <v>320</v>
      </c>
      <c r="B429" s="3">
        <v>810014671765</v>
      </c>
      <c r="C429" s="2" t="s">
        <v>1295</v>
      </c>
      <c r="D429" s="30">
        <v>0.25</v>
      </c>
      <c r="E429" s="20">
        <v>17.508750000000003</v>
      </c>
      <c r="F429" s="27"/>
      <c r="G429" s="23">
        <f t="shared" si="24"/>
        <v>0</v>
      </c>
      <c r="J429" s="39" t="str">
        <f>IFERROR(IF($J$2*D429=0, "-", $J$2*D429), "-")</f>
        <v>-</v>
      </c>
      <c r="K429" s="39" t="str">
        <f t="shared" si="25"/>
        <v>-</v>
      </c>
      <c r="L429" s="40" t="str">
        <f>IF(F429&gt;0,F429*D429, "-")</f>
        <v>-</v>
      </c>
      <c r="M429" s="41" t="str">
        <f t="shared" si="26"/>
        <v>-</v>
      </c>
      <c r="O429" s="41" t="str">
        <f t="shared" si="27"/>
        <v>-</v>
      </c>
    </row>
    <row r="430" spans="1:15" x14ac:dyDescent="0.3">
      <c r="A430" s="4" t="s">
        <v>601</v>
      </c>
      <c r="B430" s="3">
        <v>810139572985</v>
      </c>
      <c r="C430" s="2" t="s">
        <v>1296</v>
      </c>
      <c r="D430" s="30">
        <v>0.08</v>
      </c>
      <c r="E430" s="20">
        <v>17.508750000000003</v>
      </c>
      <c r="F430" s="27"/>
      <c r="G430" s="23">
        <f t="shared" si="24"/>
        <v>0</v>
      </c>
      <c r="J430" s="39" t="str">
        <f>IFERROR(IF($J$2*D430=0, "-", $J$2*D430), "-")</f>
        <v>-</v>
      </c>
      <c r="K430" s="39" t="str">
        <f t="shared" si="25"/>
        <v>-</v>
      </c>
      <c r="L430" s="40" t="str">
        <f>IF(F430&gt;0,F430*D430, "-")</f>
        <v>-</v>
      </c>
      <c r="M430" s="41" t="str">
        <f t="shared" si="26"/>
        <v>-</v>
      </c>
      <c r="O430" s="41" t="str">
        <f t="shared" si="27"/>
        <v>-</v>
      </c>
    </row>
    <row r="431" spans="1:15" x14ac:dyDescent="0.3">
      <c r="A431" s="4" t="s">
        <v>507</v>
      </c>
      <c r="B431" s="3">
        <v>810014672120</v>
      </c>
      <c r="C431" s="2" t="s">
        <v>1297</v>
      </c>
      <c r="D431" s="30">
        <v>0.12</v>
      </c>
      <c r="E431" s="20">
        <v>17.508750000000003</v>
      </c>
      <c r="F431" s="27"/>
      <c r="G431" s="23">
        <f t="shared" si="24"/>
        <v>0</v>
      </c>
      <c r="J431" s="39" t="str">
        <f>IFERROR(IF($J$2*D431=0, "-", $J$2*D431), "-")</f>
        <v>-</v>
      </c>
      <c r="K431" s="39" t="str">
        <f t="shared" si="25"/>
        <v>-</v>
      </c>
      <c r="L431" s="40" t="str">
        <f>IF(F431&gt;0,F431*D431, "-")</f>
        <v>-</v>
      </c>
      <c r="M431" s="41" t="str">
        <f t="shared" si="26"/>
        <v>-</v>
      </c>
      <c r="O431" s="41" t="str">
        <f t="shared" si="27"/>
        <v>-</v>
      </c>
    </row>
    <row r="432" spans="1:15" x14ac:dyDescent="0.3">
      <c r="A432" s="4" t="s">
        <v>1298</v>
      </c>
      <c r="B432" s="3">
        <v>810139574552</v>
      </c>
      <c r="C432" s="2" t="s">
        <v>1299</v>
      </c>
      <c r="D432" s="30">
        <v>0.23</v>
      </c>
      <c r="E432" s="20">
        <v>17.508750000000003</v>
      </c>
      <c r="F432" s="27"/>
      <c r="G432" s="23">
        <f t="shared" si="24"/>
        <v>0</v>
      </c>
      <c r="J432" s="39" t="str">
        <f>IFERROR(IF($J$2*D432=0, "-", $J$2*D432), "-")</f>
        <v>-</v>
      </c>
      <c r="K432" s="39" t="str">
        <f t="shared" si="25"/>
        <v>-</v>
      </c>
      <c r="L432" s="40" t="str">
        <f>IF(F432&gt;0,F432*D432, "-")</f>
        <v>-</v>
      </c>
      <c r="M432" s="41" t="str">
        <f t="shared" si="26"/>
        <v>-</v>
      </c>
      <c r="O432" s="41" t="str">
        <f t="shared" si="27"/>
        <v>-</v>
      </c>
    </row>
    <row r="433" spans="1:15" x14ac:dyDescent="0.3">
      <c r="A433" s="4" t="s">
        <v>1300</v>
      </c>
      <c r="B433" s="3">
        <v>810139576495</v>
      </c>
      <c r="C433" s="2" t="s">
        <v>1301</v>
      </c>
      <c r="D433" s="30">
        <v>0.16</v>
      </c>
      <c r="E433" s="20">
        <v>17.508750000000003</v>
      </c>
      <c r="F433" s="27"/>
      <c r="G433" s="23">
        <f t="shared" si="24"/>
        <v>0</v>
      </c>
      <c r="J433" s="39" t="str">
        <f>IFERROR(IF($J$2*D433=0, "-", $J$2*D433), "-")</f>
        <v>-</v>
      </c>
      <c r="K433" s="39" t="str">
        <f t="shared" si="25"/>
        <v>-</v>
      </c>
      <c r="L433" s="40" t="str">
        <f>IF(F433&gt;0,F433*D433, "-")</f>
        <v>-</v>
      </c>
      <c r="M433" s="41" t="str">
        <f t="shared" si="26"/>
        <v>-</v>
      </c>
      <c r="O433" s="41" t="str">
        <f t="shared" si="27"/>
        <v>-</v>
      </c>
    </row>
    <row r="434" spans="1:15" x14ac:dyDescent="0.3">
      <c r="A434" s="4" t="s">
        <v>525</v>
      </c>
      <c r="B434" s="3">
        <v>810014672229</v>
      </c>
      <c r="C434" s="2" t="s">
        <v>1302</v>
      </c>
      <c r="D434" s="30">
        <v>0.17</v>
      </c>
      <c r="E434" s="20">
        <v>17.508750000000003</v>
      </c>
      <c r="F434" s="27"/>
      <c r="G434" s="23">
        <f t="shared" si="24"/>
        <v>0</v>
      </c>
      <c r="J434" s="39" t="str">
        <f>IFERROR(IF($J$2*D434=0, "-", $J$2*D434), "-")</f>
        <v>-</v>
      </c>
      <c r="K434" s="39" t="str">
        <f t="shared" si="25"/>
        <v>-</v>
      </c>
      <c r="L434" s="40" t="str">
        <f>IF(F434&gt;0,F434*D434, "-")</f>
        <v>-</v>
      </c>
      <c r="M434" s="41" t="str">
        <f t="shared" si="26"/>
        <v>-</v>
      </c>
      <c r="O434" s="41" t="str">
        <f t="shared" si="27"/>
        <v>-</v>
      </c>
    </row>
    <row r="435" spans="1:15" x14ac:dyDescent="0.3">
      <c r="A435" s="4" t="s">
        <v>46</v>
      </c>
      <c r="B435" s="3">
        <v>810014673288</v>
      </c>
      <c r="C435" s="2" t="s">
        <v>1303</v>
      </c>
      <c r="D435" s="30">
        <v>0.13</v>
      </c>
      <c r="E435" s="20">
        <v>17.508750000000003</v>
      </c>
      <c r="F435" s="27"/>
      <c r="G435" s="23">
        <f t="shared" si="24"/>
        <v>0</v>
      </c>
      <c r="J435" s="39" t="str">
        <f>IFERROR(IF($J$2*D435=0, "-", $J$2*D435), "-")</f>
        <v>-</v>
      </c>
      <c r="K435" s="39" t="str">
        <f t="shared" si="25"/>
        <v>-</v>
      </c>
      <c r="L435" s="40" t="str">
        <f>IF(F435&gt;0,F435*D435, "-")</f>
        <v>-</v>
      </c>
      <c r="M435" s="41" t="str">
        <f t="shared" si="26"/>
        <v>-</v>
      </c>
      <c r="O435" s="41" t="str">
        <f t="shared" si="27"/>
        <v>-</v>
      </c>
    </row>
    <row r="436" spans="1:15" x14ac:dyDescent="0.3">
      <c r="A436" s="4" t="s">
        <v>1304</v>
      </c>
      <c r="B436" s="3">
        <v>810139576204</v>
      </c>
      <c r="C436" s="2" t="s">
        <v>1305</v>
      </c>
      <c r="D436" s="30">
        <v>0.22</v>
      </c>
      <c r="E436" s="20">
        <v>17.508750000000003</v>
      </c>
      <c r="F436" s="27"/>
      <c r="G436" s="23">
        <f t="shared" si="24"/>
        <v>0</v>
      </c>
      <c r="J436" s="39" t="str">
        <f>IFERROR(IF($J$2*D436=0, "-", $J$2*D436), "-")</f>
        <v>-</v>
      </c>
      <c r="K436" s="39" t="str">
        <f t="shared" si="25"/>
        <v>-</v>
      </c>
      <c r="L436" s="40" t="str">
        <f>IF(F436&gt;0,F436*D436, "-")</f>
        <v>-</v>
      </c>
      <c r="M436" s="41" t="str">
        <f t="shared" si="26"/>
        <v>-</v>
      </c>
      <c r="O436" s="41" t="str">
        <f t="shared" si="27"/>
        <v>-</v>
      </c>
    </row>
    <row r="437" spans="1:15" x14ac:dyDescent="0.3">
      <c r="A437" s="4" t="s">
        <v>597</v>
      </c>
      <c r="B437" s="3">
        <v>810014673790</v>
      </c>
      <c r="C437" s="2" t="s">
        <v>1306</v>
      </c>
      <c r="D437" s="30">
        <v>0.16</v>
      </c>
      <c r="E437" s="20">
        <v>17.508750000000003</v>
      </c>
      <c r="F437" s="27"/>
      <c r="G437" s="23">
        <f t="shared" si="24"/>
        <v>0</v>
      </c>
      <c r="J437" s="39" t="str">
        <f>IFERROR(IF($J$2*D437=0, "-", $J$2*D437), "-")</f>
        <v>-</v>
      </c>
      <c r="K437" s="39" t="str">
        <f t="shared" si="25"/>
        <v>-</v>
      </c>
      <c r="L437" s="40" t="str">
        <f>IF(F437&gt;0,F437*D437, "-")</f>
        <v>-</v>
      </c>
      <c r="M437" s="41" t="str">
        <f t="shared" si="26"/>
        <v>-</v>
      </c>
      <c r="O437" s="41" t="str">
        <f t="shared" si="27"/>
        <v>-</v>
      </c>
    </row>
    <row r="438" spans="1:15" x14ac:dyDescent="0.3">
      <c r="A438" s="4" t="s">
        <v>156</v>
      </c>
      <c r="B438" s="3">
        <v>810014675800</v>
      </c>
      <c r="C438" s="2" t="s">
        <v>1307</v>
      </c>
      <c r="D438" s="30">
        <v>0.14000000000000001</v>
      </c>
      <c r="E438" s="20">
        <v>17.508750000000003</v>
      </c>
      <c r="F438" s="27"/>
      <c r="G438" s="23">
        <f t="shared" si="24"/>
        <v>0</v>
      </c>
      <c r="J438" s="39" t="str">
        <f>IFERROR(IF($J$2*D438=0, "-", $J$2*D438), "-")</f>
        <v>-</v>
      </c>
      <c r="K438" s="39" t="str">
        <f t="shared" si="25"/>
        <v>-</v>
      </c>
      <c r="L438" s="40" t="str">
        <f>IF(F438&gt;0,F438*D438, "-")</f>
        <v>-</v>
      </c>
      <c r="M438" s="41" t="str">
        <f t="shared" si="26"/>
        <v>-</v>
      </c>
      <c r="O438" s="41" t="str">
        <f t="shared" si="27"/>
        <v>-</v>
      </c>
    </row>
    <row r="439" spans="1:15" x14ac:dyDescent="0.3">
      <c r="A439" s="4" t="s">
        <v>150</v>
      </c>
      <c r="B439" s="3">
        <v>857077008756</v>
      </c>
      <c r="C439" s="2" t="s">
        <v>1308</v>
      </c>
      <c r="D439" s="30">
        <v>0.09</v>
      </c>
      <c r="E439" s="20">
        <v>17.508750000000003</v>
      </c>
      <c r="F439" s="27"/>
      <c r="G439" s="23">
        <f t="shared" si="24"/>
        <v>0</v>
      </c>
      <c r="J439" s="39" t="str">
        <f>IFERROR(IF($J$2*D439=0, "-", $J$2*D439), "-")</f>
        <v>-</v>
      </c>
      <c r="K439" s="39" t="str">
        <f t="shared" si="25"/>
        <v>-</v>
      </c>
      <c r="L439" s="40" t="str">
        <f>IF(F439&gt;0,F439*D439, "-")</f>
        <v>-</v>
      </c>
      <c r="M439" s="41" t="str">
        <f t="shared" si="26"/>
        <v>-</v>
      </c>
      <c r="O439" s="41" t="str">
        <f t="shared" si="27"/>
        <v>-</v>
      </c>
    </row>
    <row r="440" spans="1:15" x14ac:dyDescent="0.3">
      <c r="A440" s="4" t="s">
        <v>598</v>
      </c>
      <c r="B440" s="3">
        <v>810014670294</v>
      </c>
      <c r="C440" s="2" t="s">
        <v>1309</v>
      </c>
      <c r="D440" s="30">
        <v>0.15</v>
      </c>
      <c r="E440" s="20">
        <v>17.508750000000003</v>
      </c>
      <c r="F440" s="27"/>
      <c r="G440" s="23">
        <f t="shared" si="24"/>
        <v>0</v>
      </c>
      <c r="J440" s="39" t="str">
        <f>IFERROR(IF($J$2*D440=0, "-", $J$2*D440), "-")</f>
        <v>-</v>
      </c>
      <c r="K440" s="39" t="str">
        <f t="shared" si="25"/>
        <v>-</v>
      </c>
      <c r="L440" s="40" t="str">
        <f>IF(F440&gt;0,F440*D440, "-")</f>
        <v>-</v>
      </c>
      <c r="M440" s="41" t="str">
        <f t="shared" si="26"/>
        <v>-</v>
      </c>
      <c r="O440" s="41" t="str">
        <f t="shared" si="27"/>
        <v>-</v>
      </c>
    </row>
    <row r="441" spans="1:15" x14ac:dyDescent="0.3">
      <c r="A441" s="4" t="s">
        <v>692</v>
      </c>
      <c r="B441" s="3">
        <v>810139573128</v>
      </c>
      <c r="C441" s="2" t="s">
        <v>1310</v>
      </c>
      <c r="D441" s="30">
        <v>0.11</v>
      </c>
      <c r="E441" s="20">
        <v>17.508750000000003</v>
      </c>
      <c r="F441" s="27"/>
      <c r="G441" s="23">
        <f t="shared" si="24"/>
        <v>0</v>
      </c>
      <c r="J441" s="39" t="str">
        <f>IFERROR(IF($J$2*D441=0, "-", $J$2*D441), "-")</f>
        <v>-</v>
      </c>
      <c r="K441" s="39" t="str">
        <f t="shared" si="25"/>
        <v>-</v>
      </c>
      <c r="L441" s="40" t="str">
        <f>IF(F441&gt;0,F441*D441, "-")</f>
        <v>-</v>
      </c>
      <c r="M441" s="41" t="str">
        <f t="shared" si="26"/>
        <v>-</v>
      </c>
      <c r="O441" s="41" t="str">
        <f t="shared" si="27"/>
        <v>-</v>
      </c>
    </row>
    <row r="442" spans="1:15" x14ac:dyDescent="0.3">
      <c r="A442" s="4" t="s">
        <v>1311</v>
      </c>
      <c r="B442" s="3">
        <v>810139575887</v>
      </c>
      <c r="C442" s="2" t="s">
        <v>1312</v>
      </c>
      <c r="D442" s="30">
        <v>0.09</v>
      </c>
      <c r="E442" s="20">
        <v>17.508750000000003</v>
      </c>
      <c r="F442" s="27"/>
      <c r="G442" s="23">
        <f t="shared" si="24"/>
        <v>0</v>
      </c>
      <c r="J442" s="39" t="str">
        <f>IFERROR(IF($J$2*D442=0, "-", $J$2*D442), "-")</f>
        <v>-</v>
      </c>
      <c r="K442" s="39" t="str">
        <f t="shared" si="25"/>
        <v>-</v>
      </c>
      <c r="L442" s="40" t="str">
        <f>IF(F442&gt;0,F442*D442, "-")</f>
        <v>-</v>
      </c>
      <c r="M442" s="41" t="str">
        <f t="shared" si="26"/>
        <v>-</v>
      </c>
      <c r="O442" s="41" t="str">
        <f t="shared" si="27"/>
        <v>-</v>
      </c>
    </row>
    <row r="443" spans="1:15" x14ac:dyDescent="0.3">
      <c r="A443" s="4" t="s">
        <v>551</v>
      </c>
      <c r="B443" s="3">
        <v>810014673912</v>
      </c>
      <c r="C443" s="2" t="s">
        <v>1313</v>
      </c>
      <c r="D443" s="30">
        <v>0.09</v>
      </c>
      <c r="E443" s="20">
        <v>17.508750000000003</v>
      </c>
      <c r="F443" s="27"/>
      <c r="G443" s="23">
        <f t="shared" si="24"/>
        <v>0</v>
      </c>
      <c r="J443" s="39" t="str">
        <f>IFERROR(IF($J$2*D443=0, "-", $J$2*D443), "-")</f>
        <v>-</v>
      </c>
      <c r="K443" s="39" t="str">
        <f t="shared" si="25"/>
        <v>-</v>
      </c>
      <c r="L443" s="40" t="str">
        <f>IF(F443&gt;0,F443*D443, "-")</f>
        <v>-</v>
      </c>
      <c r="M443" s="41" t="str">
        <f t="shared" si="26"/>
        <v>-</v>
      </c>
      <c r="O443" s="41" t="str">
        <f t="shared" si="27"/>
        <v>-</v>
      </c>
    </row>
    <row r="444" spans="1:15" x14ac:dyDescent="0.3">
      <c r="A444" s="4" t="s">
        <v>110</v>
      </c>
      <c r="B444" s="3">
        <v>810014674858</v>
      </c>
      <c r="C444" s="2" t="s">
        <v>1314</v>
      </c>
      <c r="D444" s="30">
        <v>0.18</v>
      </c>
      <c r="E444" s="20">
        <v>17.508750000000003</v>
      </c>
      <c r="F444" s="27"/>
      <c r="G444" s="23">
        <f t="shared" si="24"/>
        <v>0</v>
      </c>
      <c r="J444" s="39" t="str">
        <f>IFERROR(IF($J$2*D444=0, "-", $J$2*D444), "-")</f>
        <v>-</v>
      </c>
      <c r="K444" s="39" t="str">
        <f t="shared" si="25"/>
        <v>-</v>
      </c>
      <c r="L444" s="40" t="str">
        <f>IF(F444&gt;0,F444*D444, "-")</f>
        <v>-</v>
      </c>
      <c r="M444" s="41" t="str">
        <f t="shared" si="26"/>
        <v>-</v>
      </c>
      <c r="O444" s="41" t="str">
        <f t="shared" si="27"/>
        <v>-</v>
      </c>
    </row>
    <row r="445" spans="1:15" x14ac:dyDescent="0.3">
      <c r="A445" s="4" t="s">
        <v>203</v>
      </c>
      <c r="B445" s="3">
        <v>810014675657</v>
      </c>
      <c r="C445" s="2" t="s">
        <v>1315</v>
      </c>
      <c r="D445" s="30">
        <v>0.23</v>
      </c>
      <c r="E445" s="20">
        <v>17.508750000000003</v>
      </c>
      <c r="F445" s="27"/>
      <c r="G445" s="23">
        <f t="shared" si="24"/>
        <v>0</v>
      </c>
      <c r="J445" s="39" t="str">
        <f>IFERROR(IF($J$2*D445=0, "-", $J$2*D445), "-")</f>
        <v>-</v>
      </c>
      <c r="K445" s="39" t="str">
        <f t="shared" si="25"/>
        <v>-</v>
      </c>
      <c r="L445" s="40" t="str">
        <f>IF(F445&gt;0,F445*D445, "-")</f>
        <v>-</v>
      </c>
      <c r="M445" s="41" t="str">
        <f t="shared" si="26"/>
        <v>-</v>
      </c>
      <c r="O445" s="41" t="str">
        <f t="shared" si="27"/>
        <v>-</v>
      </c>
    </row>
    <row r="446" spans="1:15" x14ac:dyDescent="0.3">
      <c r="A446" s="4" t="s">
        <v>36</v>
      </c>
      <c r="B446" s="3">
        <v>810014673943</v>
      </c>
      <c r="C446" s="2" t="s">
        <v>1316</v>
      </c>
      <c r="D446" s="30">
        <v>0.26</v>
      </c>
      <c r="E446" s="20">
        <v>17.508750000000003</v>
      </c>
      <c r="F446" s="27"/>
      <c r="G446" s="23">
        <f t="shared" si="24"/>
        <v>0</v>
      </c>
      <c r="J446" s="39" t="str">
        <f>IFERROR(IF($J$2*D446=0, "-", $J$2*D446), "-")</f>
        <v>-</v>
      </c>
      <c r="K446" s="39" t="str">
        <f t="shared" si="25"/>
        <v>-</v>
      </c>
      <c r="L446" s="40" t="str">
        <f>IF(F446&gt;0,F446*D446, "-")</f>
        <v>-</v>
      </c>
      <c r="M446" s="41" t="str">
        <f t="shared" si="26"/>
        <v>-</v>
      </c>
      <c r="O446" s="41" t="str">
        <f t="shared" si="27"/>
        <v>-</v>
      </c>
    </row>
    <row r="447" spans="1:15" x14ac:dyDescent="0.3">
      <c r="A447" s="4" t="s">
        <v>1317</v>
      </c>
      <c r="B447" s="3">
        <v>810139571766</v>
      </c>
      <c r="C447" s="2" t="s">
        <v>1318</v>
      </c>
      <c r="D447" s="30">
        <v>7.0000000000000007E-2</v>
      </c>
      <c r="E447" s="20">
        <v>17.508750000000003</v>
      </c>
      <c r="F447" s="27"/>
      <c r="G447" s="23">
        <f t="shared" si="24"/>
        <v>0</v>
      </c>
      <c r="J447" s="39" t="str">
        <f>IFERROR(IF($J$2*D447=0, "-", $J$2*D447), "-")</f>
        <v>-</v>
      </c>
      <c r="K447" s="39" t="str">
        <f t="shared" si="25"/>
        <v>-</v>
      </c>
      <c r="L447" s="40" t="str">
        <f>IF(F447&gt;0,F447*D447, "-")</f>
        <v>-</v>
      </c>
      <c r="M447" s="41" t="str">
        <f t="shared" si="26"/>
        <v>-</v>
      </c>
      <c r="O447" s="41" t="str">
        <f t="shared" si="27"/>
        <v>-</v>
      </c>
    </row>
    <row r="448" spans="1:15" x14ac:dyDescent="0.3">
      <c r="A448" s="4" t="s">
        <v>427</v>
      </c>
      <c r="B448" s="3">
        <v>810014673974</v>
      </c>
      <c r="C448" s="2" t="s">
        <v>1319</v>
      </c>
      <c r="D448" s="30">
        <v>0.09</v>
      </c>
      <c r="E448" s="20">
        <v>17.508750000000003</v>
      </c>
      <c r="F448" s="27"/>
      <c r="G448" s="23">
        <f t="shared" si="24"/>
        <v>0</v>
      </c>
      <c r="J448" s="39" t="str">
        <f>IFERROR(IF($J$2*D448=0, "-", $J$2*D448), "-")</f>
        <v>-</v>
      </c>
      <c r="K448" s="39" t="str">
        <f t="shared" si="25"/>
        <v>-</v>
      </c>
      <c r="L448" s="40" t="str">
        <f>IF(F448&gt;0,F448*D448, "-")</f>
        <v>-</v>
      </c>
      <c r="M448" s="41" t="str">
        <f t="shared" si="26"/>
        <v>-</v>
      </c>
      <c r="O448" s="41" t="str">
        <f t="shared" si="27"/>
        <v>-</v>
      </c>
    </row>
    <row r="449" spans="1:15" x14ac:dyDescent="0.3">
      <c r="A449" s="4" t="s">
        <v>614</v>
      </c>
      <c r="B449" s="3">
        <v>810139572473</v>
      </c>
      <c r="C449" s="2" t="s">
        <v>1320</v>
      </c>
      <c r="D449" s="30">
        <v>0.21</v>
      </c>
      <c r="E449" s="20">
        <v>17.508750000000003</v>
      </c>
      <c r="F449" s="27"/>
      <c r="G449" s="23">
        <f t="shared" si="24"/>
        <v>0</v>
      </c>
      <c r="J449" s="39" t="str">
        <f>IFERROR(IF($J$2*D449=0, "-", $J$2*D449), "-")</f>
        <v>-</v>
      </c>
      <c r="K449" s="39" t="str">
        <f t="shared" si="25"/>
        <v>-</v>
      </c>
      <c r="L449" s="40" t="str">
        <f>IF(F449&gt;0,F449*D449, "-")</f>
        <v>-</v>
      </c>
      <c r="M449" s="41" t="str">
        <f t="shared" si="26"/>
        <v>-</v>
      </c>
      <c r="O449" s="41" t="str">
        <f t="shared" si="27"/>
        <v>-</v>
      </c>
    </row>
    <row r="450" spans="1:15" x14ac:dyDescent="0.3">
      <c r="A450" s="4" t="s">
        <v>91</v>
      </c>
      <c r="B450" s="3">
        <v>810014670638</v>
      </c>
      <c r="C450" s="2" t="s">
        <v>1321</v>
      </c>
      <c r="D450" s="30">
        <v>0.06</v>
      </c>
      <c r="E450" s="20">
        <v>17.508750000000003</v>
      </c>
      <c r="F450" s="27"/>
      <c r="G450" s="23">
        <f t="shared" si="24"/>
        <v>0</v>
      </c>
      <c r="J450" s="39" t="str">
        <f>IFERROR(IF($J$2*D450=0, "-", $J$2*D450), "-")</f>
        <v>-</v>
      </c>
      <c r="K450" s="39" t="str">
        <f t="shared" si="25"/>
        <v>-</v>
      </c>
      <c r="L450" s="40" t="str">
        <f>IF(F450&gt;0,F450*D450, "-")</f>
        <v>-</v>
      </c>
      <c r="M450" s="41" t="str">
        <f t="shared" si="26"/>
        <v>-</v>
      </c>
      <c r="O450" s="41" t="str">
        <f t="shared" si="27"/>
        <v>-</v>
      </c>
    </row>
    <row r="451" spans="1:15" x14ac:dyDescent="0.3">
      <c r="A451" s="4" t="s">
        <v>446</v>
      </c>
      <c r="B451" s="3">
        <v>810014673653</v>
      </c>
      <c r="C451" s="2" t="s">
        <v>1322</v>
      </c>
      <c r="D451" s="30">
        <v>0.13</v>
      </c>
      <c r="E451" s="20">
        <v>17.508750000000003</v>
      </c>
      <c r="F451" s="27"/>
      <c r="G451" s="23">
        <f t="shared" si="24"/>
        <v>0</v>
      </c>
      <c r="J451" s="39" t="str">
        <f>IFERROR(IF($J$2*D451=0, "-", $J$2*D451), "-")</f>
        <v>-</v>
      </c>
      <c r="K451" s="39" t="str">
        <f t="shared" si="25"/>
        <v>-</v>
      </c>
      <c r="L451" s="40" t="str">
        <f>IF(F451&gt;0,F451*D451, "-")</f>
        <v>-</v>
      </c>
      <c r="M451" s="41" t="str">
        <f t="shared" si="26"/>
        <v>-</v>
      </c>
      <c r="O451" s="41" t="str">
        <f t="shared" si="27"/>
        <v>-</v>
      </c>
    </row>
    <row r="452" spans="1:15" x14ac:dyDescent="0.3">
      <c r="A452" s="4" t="s">
        <v>617</v>
      </c>
      <c r="B452" s="3">
        <v>810014671956</v>
      </c>
      <c r="C452" s="2" t="s">
        <v>1323</v>
      </c>
      <c r="D452" s="30">
        <v>1.1100000000000001</v>
      </c>
      <c r="E452" s="20">
        <v>17.508750000000003</v>
      </c>
      <c r="F452" s="27"/>
      <c r="G452" s="23">
        <f t="shared" ref="G452:G515" si="28">F452*E452</f>
        <v>0</v>
      </c>
      <c r="J452" s="39" t="str">
        <f>IFERROR(IF($J$2*D452=0, "-", $J$2*D452), "-")</f>
        <v>-</v>
      </c>
      <c r="K452" s="39" t="str">
        <f t="shared" ref="K452:K515" si="29">IF(F452&gt;0,E452+J452,"-")</f>
        <v>-</v>
      </c>
      <c r="L452" s="40" t="str">
        <f>IF(F452&gt;0,F452*D452, "-")</f>
        <v>-</v>
      </c>
      <c r="M452" s="41" t="str">
        <f t="shared" ref="M452:M515" si="30">IFERROR(IF($J$2&gt;0, $J$2*L452, "-"), "-")</f>
        <v>-</v>
      </c>
      <c r="O452" s="41" t="str">
        <f t="shared" ref="O452:O515" si="31">IFERROR(IF(M452+G452=0, "-", IF(M452&gt;0, M452+G452, "-")), "-")</f>
        <v>-</v>
      </c>
    </row>
    <row r="453" spans="1:15" x14ac:dyDescent="0.3">
      <c r="A453" s="4" t="s">
        <v>383</v>
      </c>
      <c r="B453" s="3">
        <v>702669932820</v>
      </c>
      <c r="C453" s="2" t="s">
        <v>1324</v>
      </c>
      <c r="D453" s="30">
        <v>0.25</v>
      </c>
      <c r="E453" s="20">
        <v>17.508750000000003</v>
      </c>
      <c r="F453" s="27"/>
      <c r="G453" s="23">
        <f t="shared" si="28"/>
        <v>0</v>
      </c>
      <c r="J453" s="39" t="str">
        <f>IFERROR(IF($J$2*D453=0, "-", $J$2*D453), "-")</f>
        <v>-</v>
      </c>
      <c r="K453" s="39" t="str">
        <f t="shared" si="29"/>
        <v>-</v>
      </c>
      <c r="L453" s="40" t="str">
        <f>IF(F453&gt;0,F453*D453, "-")</f>
        <v>-</v>
      </c>
      <c r="M453" s="41" t="str">
        <f t="shared" si="30"/>
        <v>-</v>
      </c>
      <c r="O453" s="41" t="str">
        <f t="shared" si="31"/>
        <v>-</v>
      </c>
    </row>
    <row r="454" spans="1:15" x14ac:dyDescent="0.3">
      <c r="A454" s="4" t="s">
        <v>1325</v>
      </c>
      <c r="B454" s="3">
        <v>810139575368</v>
      </c>
      <c r="C454" s="2" t="s">
        <v>1326</v>
      </c>
      <c r="D454" s="30">
        <v>0.23</v>
      </c>
      <c r="E454" s="20">
        <v>17.508750000000003</v>
      </c>
      <c r="F454" s="27"/>
      <c r="G454" s="23">
        <f t="shared" si="28"/>
        <v>0</v>
      </c>
      <c r="J454" s="39" t="str">
        <f>IFERROR(IF($J$2*D454=0, "-", $J$2*D454), "-")</f>
        <v>-</v>
      </c>
      <c r="K454" s="39" t="str">
        <f t="shared" si="29"/>
        <v>-</v>
      </c>
      <c r="L454" s="40" t="str">
        <f>IF(F454&gt;0,F454*D454, "-")</f>
        <v>-</v>
      </c>
      <c r="M454" s="41" t="str">
        <f t="shared" si="30"/>
        <v>-</v>
      </c>
      <c r="O454" s="41" t="str">
        <f t="shared" si="31"/>
        <v>-</v>
      </c>
    </row>
    <row r="455" spans="1:15" x14ac:dyDescent="0.3">
      <c r="A455" s="4" t="s">
        <v>103</v>
      </c>
      <c r="B455" s="3">
        <v>810014670263</v>
      </c>
      <c r="C455" s="2" t="s">
        <v>1327</v>
      </c>
      <c r="D455" s="30">
        <v>0.14000000000000001</v>
      </c>
      <c r="E455" s="20">
        <v>17.508750000000003</v>
      </c>
      <c r="F455" s="27"/>
      <c r="G455" s="23">
        <f t="shared" si="28"/>
        <v>0</v>
      </c>
      <c r="J455" s="39" t="str">
        <f>IFERROR(IF($J$2*D455=0, "-", $J$2*D455), "-")</f>
        <v>-</v>
      </c>
      <c r="K455" s="39" t="str">
        <f t="shared" si="29"/>
        <v>-</v>
      </c>
      <c r="L455" s="40" t="str">
        <f>IF(F455&gt;0,F455*D455, "-")</f>
        <v>-</v>
      </c>
      <c r="M455" s="41" t="str">
        <f t="shared" si="30"/>
        <v>-</v>
      </c>
      <c r="O455" s="41" t="str">
        <f t="shared" si="31"/>
        <v>-</v>
      </c>
    </row>
    <row r="456" spans="1:15" x14ac:dyDescent="0.3">
      <c r="A456" s="4" t="s">
        <v>663</v>
      </c>
      <c r="B456" s="3">
        <v>810139572350</v>
      </c>
      <c r="C456" s="2" t="s">
        <v>1328</v>
      </c>
      <c r="D456" s="30">
        <v>0.16</v>
      </c>
      <c r="E456" s="20">
        <v>17.508750000000003</v>
      </c>
      <c r="F456" s="27"/>
      <c r="G456" s="23">
        <f t="shared" si="28"/>
        <v>0</v>
      </c>
      <c r="J456" s="39" t="str">
        <f>IFERROR(IF($J$2*D456=0, "-", $J$2*D456), "-")</f>
        <v>-</v>
      </c>
      <c r="K456" s="39" t="str">
        <f t="shared" si="29"/>
        <v>-</v>
      </c>
      <c r="L456" s="40" t="str">
        <f>IF(F456&gt;0,F456*D456, "-")</f>
        <v>-</v>
      </c>
      <c r="M456" s="41" t="str">
        <f t="shared" si="30"/>
        <v>-</v>
      </c>
      <c r="O456" s="41" t="str">
        <f t="shared" si="31"/>
        <v>-</v>
      </c>
    </row>
    <row r="457" spans="1:15" x14ac:dyDescent="0.3">
      <c r="A457" s="4" t="s">
        <v>38</v>
      </c>
      <c r="B457" s="3">
        <v>810139572138</v>
      </c>
      <c r="C457" s="2" t="s">
        <v>1329</v>
      </c>
      <c r="D457" s="30">
        <v>0.13</v>
      </c>
      <c r="E457" s="20">
        <v>17.508750000000003</v>
      </c>
      <c r="F457" s="27"/>
      <c r="G457" s="23">
        <f t="shared" si="28"/>
        <v>0</v>
      </c>
      <c r="J457" s="39" t="str">
        <f>IFERROR(IF($J$2*D457=0, "-", $J$2*D457), "-")</f>
        <v>-</v>
      </c>
      <c r="K457" s="39" t="str">
        <f t="shared" si="29"/>
        <v>-</v>
      </c>
      <c r="L457" s="40" t="str">
        <f>IF(F457&gt;0,F457*D457, "-")</f>
        <v>-</v>
      </c>
      <c r="M457" s="41" t="str">
        <f t="shared" si="30"/>
        <v>-</v>
      </c>
      <c r="O457" s="41" t="str">
        <f t="shared" si="31"/>
        <v>-</v>
      </c>
    </row>
    <row r="458" spans="1:15" x14ac:dyDescent="0.3">
      <c r="A458" s="4" t="s">
        <v>350</v>
      </c>
      <c r="B458" s="3">
        <v>810014679273</v>
      </c>
      <c r="C458" s="2" t="s">
        <v>1330</v>
      </c>
      <c r="D458" s="30">
        <v>0.08</v>
      </c>
      <c r="E458" s="20">
        <v>17.508750000000003</v>
      </c>
      <c r="F458" s="27"/>
      <c r="G458" s="23">
        <f t="shared" si="28"/>
        <v>0</v>
      </c>
      <c r="J458" s="39" t="str">
        <f>IFERROR(IF($J$2*D458=0, "-", $J$2*D458), "-")</f>
        <v>-</v>
      </c>
      <c r="K458" s="39" t="str">
        <f t="shared" si="29"/>
        <v>-</v>
      </c>
      <c r="L458" s="40" t="str">
        <f>IF(F458&gt;0,F458*D458, "-")</f>
        <v>-</v>
      </c>
      <c r="M458" s="41" t="str">
        <f t="shared" si="30"/>
        <v>-</v>
      </c>
      <c r="O458" s="41" t="str">
        <f t="shared" si="31"/>
        <v>-</v>
      </c>
    </row>
    <row r="459" spans="1:15" x14ac:dyDescent="0.3">
      <c r="A459" s="4" t="s">
        <v>274</v>
      </c>
      <c r="B459" s="3">
        <v>810014679235</v>
      </c>
      <c r="C459" s="2" t="s">
        <v>1331</v>
      </c>
      <c r="D459" s="30">
        <v>0.22</v>
      </c>
      <c r="E459" s="20">
        <v>17.508750000000003</v>
      </c>
      <c r="F459" s="27"/>
      <c r="G459" s="23">
        <f t="shared" si="28"/>
        <v>0</v>
      </c>
      <c r="J459" s="39" t="str">
        <f>IFERROR(IF($J$2*D459=0, "-", $J$2*D459), "-")</f>
        <v>-</v>
      </c>
      <c r="K459" s="39" t="str">
        <f t="shared" si="29"/>
        <v>-</v>
      </c>
      <c r="L459" s="40" t="str">
        <f>IF(F459&gt;0,F459*D459, "-")</f>
        <v>-</v>
      </c>
      <c r="M459" s="41" t="str">
        <f t="shared" si="30"/>
        <v>-</v>
      </c>
      <c r="O459" s="41" t="str">
        <f t="shared" si="31"/>
        <v>-</v>
      </c>
    </row>
    <row r="460" spans="1:15" x14ac:dyDescent="0.3">
      <c r="A460" s="4" t="s">
        <v>736</v>
      </c>
      <c r="B460" s="3">
        <v>810014670300</v>
      </c>
      <c r="C460" s="2" t="s">
        <v>1332</v>
      </c>
      <c r="D460" s="30">
        <v>0.09</v>
      </c>
      <c r="E460" s="20">
        <v>17.508750000000003</v>
      </c>
      <c r="F460" s="27"/>
      <c r="G460" s="23">
        <f t="shared" si="28"/>
        <v>0</v>
      </c>
      <c r="J460" s="39" t="str">
        <f>IFERROR(IF($J$2*D460=0, "-", $J$2*D460), "-")</f>
        <v>-</v>
      </c>
      <c r="K460" s="39" t="str">
        <f t="shared" si="29"/>
        <v>-</v>
      </c>
      <c r="L460" s="40" t="str">
        <f>IF(F460&gt;0,F460*D460, "-")</f>
        <v>-</v>
      </c>
      <c r="M460" s="41" t="str">
        <f t="shared" si="30"/>
        <v>-</v>
      </c>
      <c r="O460" s="41" t="str">
        <f t="shared" si="31"/>
        <v>-</v>
      </c>
    </row>
    <row r="461" spans="1:15" x14ac:dyDescent="0.3">
      <c r="A461" s="4" t="s">
        <v>491</v>
      </c>
      <c r="B461" s="3">
        <v>857077008749</v>
      </c>
      <c r="C461" s="2" t="s">
        <v>1333</v>
      </c>
      <c r="D461" s="30">
        <v>0.13</v>
      </c>
      <c r="E461" s="20">
        <v>17.889375000000001</v>
      </c>
      <c r="F461" s="27"/>
      <c r="G461" s="23">
        <f t="shared" si="28"/>
        <v>0</v>
      </c>
      <c r="J461" s="39" t="str">
        <f>IFERROR(IF($J$2*D461=0, "-", $J$2*D461), "-")</f>
        <v>-</v>
      </c>
      <c r="K461" s="39" t="str">
        <f t="shared" si="29"/>
        <v>-</v>
      </c>
      <c r="L461" s="40" t="str">
        <f>IF(F461&gt;0,F461*D461, "-")</f>
        <v>-</v>
      </c>
      <c r="M461" s="41" t="str">
        <f t="shared" si="30"/>
        <v>-</v>
      </c>
      <c r="O461" s="41" t="str">
        <f t="shared" si="31"/>
        <v>-</v>
      </c>
    </row>
    <row r="462" spans="1:15" x14ac:dyDescent="0.3">
      <c r="A462" s="4" t="s">
        <v>1334</v>
      </c>
      <c r="B462" s="3">
        <v>810139574897</v>
      </c>
      <c r="C462" s="2" t="s">
        <v>1335</v>
      </c>
      <c r="D462" s="30">
        <v>1.1000000000000001</v>
      </c>
      <c r="E462" s="20">
        <v>17.889375000000001</v>
      </c>
      <c r="F462" s="27"/>
      <c r="G462" s="23">
        <f t="shared" si="28"/>
        <v>0</v>
      </c>
      <c r="J462" s="39" t="str">
        <f>IFERROR(IF($J$2*D462=0, "-", $J$2*D462), "-")</f>
        <v>-</v>
      </c>
      <c r="K462" s="39" t="str">
        <f t="shared" si="29"/>
        <v>-</v>
      </c>
      <c r="L462" s="40" t="str">
        <f>IF(F462&gt;0,F462*D462, "-")</f>
        <v>-</v>
      </c>
      <c r="M462" s="41" t="str">
        <f t="shared" si="30"/>
        <v>-</v>
      </c>
      <c r="O462" s="41" t="str">
        <f t="shared" si="31"/>
        <v>-</v>
      </c>
    </row>
    <row r="463" spans="1:15" x14ac:dyDescent="0.3">
      <c r="A463" s="4" t="s">
        <v>170</v>
      </c>
      <c r="B463" s="3">
        <v>810014673899</v>
      </c>
      <c r="C463" s="2" t="s">
        <v>1336</v>
      </c>
      <c r="D463" s="30">
        <v>1.1399999999999999</v>
      </c>
      <c r="E463" s="20">
        <v>18.270000000000003</v>
      </c>
      <c r="F463" s="27"/>
      <c r="G463" s="23">
        <f t="shared" si="28"/>
        <v>0</v>
      </c>
      <c r="J463" s="39" t="str">
        <f>IFERROR(IF($J$2*D463=0, "-", $J$2*D463), "-")</f>
        <v>-</v>
      </c>
      <c r="K463" s="39" t="str">
        <f t="shared" si="29"/>
        <v>-</v>
      </c>
      <c r="L463" s="40" t="str">
        <f>IF(F463&gt;0,F463*D463, "-")</f>
        <v>-</v>
      </c>
      <c r="M463" s="41" t="str">
        <f t="shared" si="30"/>
        <v>-</v>
      </c>
      <c r="O463" s="41" t="str">
        <f t="shared" si="31"/>
        <v>-</v>
      </c>
    </row>
    <row r="464" spans="1:15" x14ac:dyDescent="0.3">
      <c r="A464" s="4" t="s">
        <v>45</v>
      </c>
      <c r="B464" s="3">
        <v>810014670676</v>
      </c>
      <c r="C464" s="2" t="s">
        <v>1337</v>
      </c>
      <c r="D464" s="30">
        <v>0.6</v>
      </c>
      <c r="E464" s="20">
        <v>18.270000000000003</v>
      </c>
      <c r="F464" s="27"/>
      <c r="G464" s="23">
        <f t="shared" si="28"/>
        <v>0</v>
      </c>
      <c r="J464" s="39" t="str">
        <f>IFERROR(IF($J$2*D464=0, "-", $J$2*D464), "-")</f>
        <v>-</v>
      </c>
      <c r="K464" s="39" t="str">
        <f t="shared" si="29"/>
        <v>-</v>
      </c>
      <c r="L464" s="40" t="str">
        <f>IF(F464&gt;0,F464*D464, "-")</f>
        <v>-</v>
      </c>
      <c r="M464" s="41" t="str">
        <f t="shared" si="30"/>
        <v>-</v>
      </c>
      <c r="O464" s="41" t="str">
        <f t="shared" si="31"/>
        <v>-</v>
      </c>
    </row>
    <row r="465" spans="1:15" x14ac:dyDescent="0.3">
      <c r="A465" s="4" t="s">
        <v>1338</v>
      </c>
      <c r="B465" s="3">
        <v>810139573579</v>
      </c>
      <c r="C465" s="2" t="s">
        <v>1339</v>
      </c>
      <c r="D465" s="30">
        <v>0.41</v>
      </c>
      <c r="E465" s="20">
        <v>18.270000000000003</v>
      </c>
      <c r="F465" s="27"/>
      <c r="G465" s="23">
        <f t="shared" si="28"/>
        <v>0</v>
      </c>
      <c r="J465" s="39" t="str">
        <f>IFERROR(IF($J$2*D465=0, "-", $J$2*D465), "-")</f>
        <v>-</v>
      </c>
      <c r="K465" s="39" t="str">
        <f t="shared" si="29"/>
        <v>-</v>
      </c>
      <c r="L465" s="40" t="str">
        <f>IF(F465&gt;0,F465*D465, "-")</f>
        <v>-</v>
      </c>
      <c r="M465" s="41" t="str">
        <f t="shared" si="30"/>
        <v>-</v>
      </c>
      <c r="O465" s="41" t="str">
        <f t="shared" si="31"/>
        <v>-</v>
      </c>
    </row>
    <row r="466" spans="1:15" x14ac:dyDescent="0.3">
      <c r="A466" s="4" t="s">
        <v>1340</v>
      </c>
      <c r="B466" s="3">
        <v>810139572633</v>
      </c>
      <c r="C466" s="2" t="s">
        <v>1341</v>
      </c>
      <c r="D466" s="30">
        <v>0.5</v>
      </c>
      <c r="E466" s="20">
        <v>18.270000000000003</v>
      </c>
      <c r="F466" s="27"/>
      <c r="G466" s="23">
        <f t="shared" si="28"/>
        <v>0</v>
      </c>
      <c r="J466" s="39" t="str">
        <f>IFERROR(IF($J$2*D466=0, "-", $J$2*D466), "-")</f>
        <v>-</v>
      </c>
      <c r="K466" s="39" t="str">
        <f t="shared" si="29"/>
        <v>-</v>
      </c>
      <c r="L466" s="40" t="str">
        <f>IF(F466&gt;0,F466*D466, "-")</f>
        <v>-</v>
      </c>
      <c r="M466" s="41" t="str">
        <f t="shared" si="30"/>
        <v>-</v>
      </c>
      <c r="O466" s="41" t="str">
        <f t="shared" si="31"/>
        <v>-</v>
      </c>
    </row>
    <row r="467" spans="1:15" x14ac:dyDescent="0.3">
      <c r="A467" s="4" t="s">
        <v>220</v>
      </c>
      <c r="B467" s="3">
        <v>810139573647</v>
      </c>
      <c r="C467" s="2" t="s">
        <v>1342</v>
      </c>
      <c r="D467" s="30">
        <v>0.36</v>
      </c>
      <c r="E467" s="20">
        <v>18.270000000000003</v>
      </c>
      <c r="F467" s="27"/>
      <c r="G467" s="23">
        <f t="shared" si="28"/>
        <v>0</v>
      </c>
      <c r="J467" s="39" t="str">
        <f>IFERROR(IF($J$2*D467=0, "-", $J$2*D467), "-")</f>
        <v>-</v>
      </c>
      <c r="K467" s="39" t="str">
        <f t="shared" si="29"/>
        <v>-</v>
      </c>
      <c r="L467" s="40" t="str">
        <f>IF(F467&gt;0,F467*D467, "-")</f>
        <v>-</v>
      </c>
      <c r="M467" s="41" t="str">
        <f t="shared" si="30"/>
        <v>-</v>
      </c>
      <c r="O467" s="41" t="str">
        <f t="shared" si="31"/>
        <v>-</v>
      </c>
    </row>
    <row r="468" spans="1:15" x14ac:dyDescent="0.3">
      <c r="A468" s="4" t="s">
        <v>1343</v>
      </c>
      <c r="B468" s="3">
        <v>810139572626</v>
      </c>
      <c r="C468" s="2" t="s">
        <v>1344</v>
      </c>
      <c r="D468" s="30">
        <v>0.46</v>
      </c>
      <c r="E468" s="20">
        <v>18.270000000000003</v>
      </c>
      <c r="F468" s="27"/>
      <c r="G468" s="23">
        <f t="shared" si="28"/>
        <v>0</v>
      </c>
      <c r="J468" s="39" t="str">
        <f>IFERROR(IF($J$2*D468=0, "-", $J$2*D468), "-")</f>
        <v>-</v>
      </c>
      <c r="K468" s="39" t="str">
        <f t="shared" si="29"/>
        <v>-</v>
      </c>
      <c r="L468" s="40" t="str">
        <f>IF(F468&gt;0,F468*D468, "-")</f>
        <v>-</v>
      </c>
      <c r="M468" s="41" t="str">
        <f t="shared" si="30"/>
        <v>-</v>
      </c>
      <c r="O468" s="41" t="str">
        <f t="shared" si="31"/>
        <v>-</v>
      </c>
    </row>
    <row r="469" spans="1:15" x14ac:dyDescent="0.3">
      <c r="A469" s="4" t="s">
        <v>688</v>
      </c>
      <c r="B469" s="3">
        <v>810014675565</v>
      </c>
      <c r="C469" s="2" t="s">
        <v>1345</v>
      </c>
      <c r="D469" s="30">
        <v>0.39</v>
      </c>
      <c r="E469" s="20">
        <v>18.270000000000003</v>
      </c>
      <c r="F469" s="27"/>
      <c r="G469" s="23">
        <f t="shared" si="28"/>
        <v>0</v>
      </c>
      <c r="J469" s="39" t="str">
        <f>IFERROR(IF($J$2*D469=0, "-", $J$2*D469), "-")</f>
        <v>-</v>
      </c>
      <c r="K469" s="39" t="str">
        <f t="shared" si="29"/>
        <v>-</v>
      </c>
      <c r="L469" s="40" t="str">
        <f>IF(F469&gt;0,F469*D469, "-")</f>
        <v>-</v>
      </c>
      <c r="M469" s="41" t="str">
        <f t="shared" si="30"/>
        <v>-</v>
      </c>
      <c r="O469" s="41" t="str">
        <f t="shared" si="31"/>
        <v>-</v>
      </c>
    </row>
    <row r="470" spans="1:15" x14ac:dyDescent="0.3">
      <c r="A470" s="4" t="s">
        <v>42</v>
      </c>
      <c r="B470" s="3">
        <v>810014673189</v>
      </c>
      <c r="C470" s="2" t="s">
        <v>1346</v>
      </c>
      <c r="D470" s="30">
        <v>0.12</v>
      </c>
      <c r="E470" s="20">
        <v>18.270000000000003</v>
      </c>
      <c r="F470" s="27"/>
      <c r="G470" s="23">
        <f t="shared" si="28"/>
        <v>0</v>
      </c>
      <c r="J470" s="39" t="str">
        <f>IFERROR(IF($J$2*D470=0, "-", $J$2*D470), "-")</f>
        <v>-</v>
      </c>
      <c r="K470" s="39" t="str">
        <f t="shared" si="29"/>
        <v>-</v>
      </c>
      <c r="L470" s="40" t="str">
        <f>IF(F470&gt;0,F470*D470, "-")</f>
        <v>-</v>
      </c>
      <c r="M470" s="41" t="str">
        <f t="shared" si="30"/>
        <v>-</v>
      </c>
      <c r="O470" s="41" t="str">
        <f t="shared" si="31"/>
        <v>-</v>
      </c>
    </row>
    <row r="471" spans="1:15" x14ac:dyDescent="0.3">
      <c r="A471" s="4" t="s">
        <v>290</v>
      </c>
      <c r="B471" s="3">
        <v>810014678450</v>
      </c>
      <c r="C471" s="2" t="s">
        <v>1347</v>
      </c>
      <c r="D471" s="30">
        <v>0.15</v>
      </c>
      <c r="E471" s="20">
        <v>18.270000000000003</v>
      </c>
      <c r="F471" s="27"/>
      <c r="G471" s="23">
        <f t="shared" si="28"/>
        <v>0</v>
      </c>
      <c r="J471" s="39" t="str">
        <f>IFERROR(IF($J$2*D471=0, "-", $J$2*D471), "-")</f>
        <v>-</v>
      </c>
      <c r="K471" s="39" t="str">
        <f t="shared" si="29"/>
        <v>-</v>
      </c>
      <c r="L471" s="40" t="str">
        <f>IF(F471&gt;0,F471*D471, "-")</f>
        <v>-</v>
      </c>
      <c r="M471" s="41" t="str">
        <f t="shared" si="30"/>
        <v>-</v>
      </c>
      <c r="O471" s="41" t="str">
        <f t="shared" si="31"/>
        <v>-</v>
      </c>
    </row>
    <row r="472" spans="1:15" x14ac:dyDescent="0.3">
      <c r="A472" s="4" t="s">
        <v>1348</v>
      </c>
      <c r="B472" s="3">
        <v>810139572909</v>
      </c>
      <c r="C472" s="2" t="s">
        <v>1349</v>
      </c>
      <c r="D472" s="30">
        <v>0.24</v>
      </c>
      <c r="E472" s="20">
        <v>18.270000000000003</v>
      </c>
      <c r="F472" s="27"/>
      <c r="G472" s="23">
        <f t="shared" si="28"/>
        <v>0</v>
      </c>
      <c r="J472" s="39" t="str">
        <f>IFERROR(IF($J$2*D472=0, "-", $J$2*D472), "-")</f>
        <v>-</v>
      </c>
      <c r="K472" s="39" t="str">
        <f t="shared" si="29"/>
        <v>-</v>
      </c>
      <c r="L472" s="40" t="str">
        <f>IF(F472&gt;0,F472*D472, "-")</f>
        <v>-</v>
      </c>
      <c r="M472" s="41" t="str">
        <f t="shared" si="30"/>
        <v>-</v>
      </c>
      <c r="O472" s="41" t="str">
        <f t="shared" si="31"/>
        <v>-</v>
      </c>
    </row>
    <row r="473" spans="1:15" x14ac:dyDescent="0.3">
      <c r="A473" s="4" t="s">
        <v>1350</v>
      </c>
      <c r="B473" s="3">
        <v>810139574880</v>
      </c>
      <c r="C473" s="2" t="s">
        <v>1351</v>
      </c>
      <c r="D473" s="30">
        <v>0.6</v>
      </c>
      <c r="E473" s="20">
        <v>18.270000000000003</v>
      </c>
      <c r="F473" s="27"/>
      <c r="G473" s="23">
        <f t="shared" si="28"/>
        <v>0</v>
      </c>
      <c r="J473" s="39" t="str">
        <f>IFERROR(IF($J$2*D473=0, "-", $J$2*D473), "-")</f>
        <v>-</v>
      </c>
      <c r="K473" s="39" t="str">
        <f t="shared" si="29"/>
        <v>-</v>
      </c>
      <c r="L473" s="40" t="str">
        <f>IF(F473&gt;0,F473*D473, "-")</f>
        <v>-</v>
      </c>
      <c r="M473" s="41" t="str">
        <f t="shared" si="30"/>
        <v>-</v>
      </c>
      <c r="O473" s="41" t="str">
        <f t="shared" si="31"/>
        <v>-</v>
      </c>
    </row>
    <row r="474" spans="1:15" x14ac:dyDescent="0.3">
      <c r="A474" s="4" t="s">
        <v>612</v>
      </c>
      <c r="B474" s="3">
        <v>810014671628</v>
      </c>
      <c r="C474" s="2" t="s">
        <v>1352</v>
      </c>
      <c r="D474" s="30">
        <v>0.33</v>
      </c>
      <c r="E474" s="20">
        <v>18.270000000000003</v>
      </c>
      <c r="F474" s="27"/>
      <c r="G474" s="23">
        <f t="shared" si="28"/>
        <v>0</v>
      </c>
      <c r="J474" s="39" t="str">
        <f>IFERROR(IF($J$2*D474=0, "-", $J$2*D474), "-")</f>
        <v>-</v>
      </c>
      <c r="K474" s="39" t="str">
        <f t="shared" si="29"/>
        <v>-</v>
      </c>
      <c r="L474" s="40" t="str">
        <f>IF(F474&gt;0,F474*D474, "-")</f>
        <v>-</v>
      </c>
      <c r="M474" s="41" t="str">
        <f t="shared" si="30"/>
        <v>-</v>
      </c>
      <c r="O474" s="41" t="str">
        <f t="shared" si="31"/>
        <v>-</v>
      </c>
    </row>
    <row r="475" spans="1:15" x14ac:dyDescent="0.3">
      <c r="A475" s="4" t="s">
        <v>405</v>
      </c>
      <c r="B475" s="3">
        <v>810014671376</v>
      </c>
      <c r="C475" s="2" t="s">
        <v>1353</v>
      </c>
      <c r="D475" s="30">
        <v>0.36</v>
      </c>
      <c r="E475" s="20">
        <v>18.270000000000003</v>
      </c>
      <c r="F475" s="27"/>
      <c r="G475" s="23">
        <f t="shared" si="28"/>
        <v>0</v>
      </c>
      <c r="J475" s="39" t="str">
        <f>IFERROR(IF($J$2*D475=0, "-", $J$2*D475), "-")</f>
        <v>-</v>
      </c>
      <c r="K475" s="39" t="str">
        <f t="shared" si="29"/>
        <v>-</v>
      </c>
      <c r="L475" s="40" t="str">
        <f>IF(F475&gt;0,F475*D475, "-")</f>
        <v>-</v>
      </c>
      <c r="M475" s="41" t="str">
        <f t="shared" si="30"/>
        <v>-</v>
      </c>
      <c r="O475" s="41" t="str">
        <f t="shared" si="31"/>
        <v>-</v>
      </c>
    </row>
    <row r="476" spans="1:15" x14ac:dyDescent="0.3">
      <c r="A476" s="4" t="s">
        <v>1354</v>
      </c>
      <c r="B476" s="3">
        <v>810139577362</v>
      </c>
      <c r="C476" s="2" t="s">
        <v>1355</v>
      </c>
      <c r="D476" s="30">
        <v>0.33</v>
      </c>
      <c r="E476" s="20">
        <v>18.270000000000003</v>
      </c>
      <c r="F476" s="27"/>
      <c r="G476" s="23">
        <f t="shared" si="28"/>
        <v>0</v>
      </c>
      <c r="J476" s="39" t="str">
        <f>IFERROR(IF($J$2*D476=0, "-", $J$2*D476), "-")</f>
        <v>-</v>
      </c>
      <c r="K476" s="39" t="str">
        <f t="shared" si="29"/>
        <v>-</v>
      </c>
      <c r="L476" s="40" t="str">
        <f>IF(F476&gt;0,F476*D476, "-")</f>
        <v>-</v>
      </c>
      <c r="M476" s="41" t="str">
        <f t="shared" si="30"/>
        <v>-</v>
      </c>
      <c r="O476" s="41" t="str">
        <f t="shared" si="31"/>
        <v>-</v>
      </c>
    </row>
    <row r="477" spans="1:15" x14ac:dyDescent="0.3">
      <c r="A477" s="4" t="s">
        <v>1356</v>
      </c>
      <c r="B477" s="3">
        <v>810139577348</v>
      </c>
      <c r="C477" s="2" t="s">
        <v>1357</v>
      </c>
      <c r="D477" s="30">
        <v>0.28000000000000003</v>
      </c>
      <c r="E477" s="20">
        <v>18.270000000000003</v>
      </c>
      <c r="F477" s="27"/>
      <c r="G477" s="23">
        <f t="shared" si="28"/>
        <v>0</v>
      </c>
      <c r="J477" s="39" t="str">
        <f>IFERROR(IF($J$2*D477=0, "-", $J$2*D477), "-")</f>
        <v>-</v>
      </c>
      <c r="K477" s="39" t="str">
        <f t="shared" si="29"/>
        <v>-</v>
      </c>
      <c r="L477" s="40" t="str">
        <f>IF(F477&gt;0,F477*D477, "-")</f>
        <v>-</v>
      </c>
      <c r="M477" s="41" t="str">
        <f t="shared" si="30"/>
        <v>-</v>
      </c>
      <c r="O477" s="41" t="str">
        <f t="shared" si="31"/>
        <v>-</v>
      </c>
    </row>
    <row r="478" spans="1:15" x14ac:dyDescent="0.3">
      <c r="A478" s="4" t="s">
        <v>729</v>
      </c>
      <c r="B478" s="3">
        <v>810014672069</v>
      </c>
      <c r="C478" s="2" t="s">
        <v>1358</v>
      </c>
      <c r="D478" s="30">
        <v>0.27</v>
      </c>
      <c r="E478" s="20">
        <v>18.270000000000003</v>
      </c>
      <c r="F478" s="27"/>
      <c r="G478" s="23">
        <f t="shared" si="28"/>
        <v>0</v>
      </c>
      <c r="J478" s="39" t="str">
        <f>IFERROR(IF($J$2*D478=0, "-", $J$2*D478), "-")</f>
        <v>-</v>
      </c>
      <c r="K478" s="39" t="str">
        <f t="shared" si="29"/>
        <v>-</v>
      </c>
      <c r="L478" s="40" t="str">
        <f>IF(F478&gt;0,F478*D478, "-")</f>
        <v>-</v>
      </c>
      <c r="M478" s="41" t="str">
        <f t="shared" si="30"/>
        <v>-</v>
      </c>
      <c r="O478" s="41" t="str">
        <f t="shared" si="31"/>
        <v>-</v>
      </c>
    </row>
    <row r="479" spans="1:15" x14ac:dyDescent="0.3">
      <c r="A479" s="4" t="s">
        <v>1359</v>
      </c>
      <c r="B479" s="3">
        <v>810139576433</v>
      </c>
      <c r="C479" s="2" t="s">
        <v>1360</v>
      </c>
      <c r="D479" s="30">
        <v>0.28000000000000003</v>
      </c>
      <c r="E479" s="20">
        <v>18.270000000000003</v>
      </c>
      <c r="F479" s="27"/>
      <c r="G479" s="23">
        <f t="shared" si="28"/>
        <v>0</v>
      </c>
      <c r="J479" s="39" t="str">
        <f>IFERROR(IF($J$2*D479=0, "-", $J$2*D479), "-")</f>
        <v>-</v>
      </c>
      <c r="K479" s="39" t="str">
        <f t="shared" si="29"/>
        <v>-</v>
      </c>
      <c r="L479" s="40" t="str">
        <f>IF(F479&gt;0,F479*D479, "-")</f>
        <v>-</v>
      </c>
      <c r="M479" s="41" t="str">
        <f t="shared" si="30"/>
        <v>-</v>
      </c>
      <c r="O479" s="41" t="str">
        <f t="shared" si="31"/>
        <v>-</v>
      </c>
    </row>
    <row r="480" spans="1:15" x14ac:dyDescent="0.3">
      <c r="A480" s="4" t="s">
        <v>69</v>
      </c>
      <c r="B480" s="3">
        <v>857077008244</v>
      </c>
      <c r="C480" s="2" t="s">
        <v>1361</v>
      </c>
      <c r="D480" s="30">
        <v>0.43</v>
      </c>
      <c r="E480" s="20">
        <v>18.270000000000003</v>
      </c>
      <c r="F480" s="27"/>
      <c r="G480" s="23">
        <f t="shared" si="28"/>
        <v>0</v>
      </c>
      <c r="J480" s="39" t="str">
        <f>IFERROR(IF($J$2*D480=0, "-", $J$2*D480), "-")</f>
        <v>-</v>
      </c>
      <c r="K480" s="39" t="str">
        <f t="shared" si="29"/>
        <v>-</v>
      </c>
      <c r="L480" s="40" t="str">
        <f>IF(F480&gt;0,F480*D480, "-")</f>
        <v>-</v>
      </c>
      <c r="M480" s="41" t="str">
        <f t="shared" si="30"/>
        <v>-</v>
      </c>
      <c r="O480" s="41" t="str">
        <f t="shared" si="31"/>
        <v>-</v>
      </c>
    </row>
    <row r="481" spans="1:15" x14ac:dyDescent="0.3">
      <c r="A481" s="4" t="s">
        <v>1362</v>
      </c>
      <c r="B481" s="3">
        <v>810139577331</v>
      </c>
      <c r="C481" s="2" t="s">
        <v>1363</v>
      </c>
      <c r="D481" s="30">
        <v>0.28999999999999998</v>
      </c>
      <c r="E481" s="20">
        <v>18.270000000000003</v>
      </c>
      <c r="F481" s="27"/>
      <c r="G481" s="23">
        <f t="shared" si="28"/>
        <v>0</v>
      </c>
      <c r="J481" s="39" t="str">
        <f>IFERROR(IF($J$2*D481=0, "-", $J$2*D481), "-")</f>
        <v>-</v>
      </c>
      <c r="K481" s="39" t="str">
        <f t="shared" si="29"/>
        <v>-</v>
      </c>
      <c r="L481" s="40" t="str">
        <f>IF(F481&gt;0,F481*D481, "-")</f>
        <v>-</v>
      </c>
      <c r="M481" s="41" t="str">
        <f t="shared" si="30"/>
        <v>-</v>
      </c>
      <c r="O481" s="41" t="str">
        <f t="shared" si="31"/>
        <v>-</v>
      </c>
    </row>
    <row r="482" spans="1:15" x14ac:dyDescent="0.3">
      <c r="A482" s="4" t="s">
        <v>1364</v>
      </c>
      <c r="B482" s="3">
        <v>810139577355</v>
      </c>
      <c r="C482" s="2" t="s">
        <v>1365</v>
      </c>
      <c r="D482" s="30">
        <v>0.27</v>
      </c>
      <c r="E482" s="20">
        <v>18.270000000000003</v>
      </c>
      <c r="F482" s="27"/>
      <c r="G482" s="23">
        <f t="shared" si="28"/>
        <v>0</v>
      </c>
      <c r="J482" s="39" t="str">
        <f>IFERROR(IF($J$2*D482=0, "-", $J$2*D482), "-")</f>
        <v>-</v>
      </c>
      <c r="K482" s="39" t="str">
        <f t="shared" si="29"/>
        <v>-</v>
      </c>
      <c r="L482" s="40" t="str">
        <f>IF(F482&gt;0,F482*D482, "-")</f>
        <v>-</v>
      </c>
      <c r="M482" s="41" t="str">
        <f t="shared" si="30"/>
        <v>-</v>
      </c>
      <c r="O482" s="41" t="str">
        <f t="shared" si="31"/>
        <v>-</v>
      </c>
    </row>
    <row r="483" spans="1:15" x14ac:dyDescent="0.3">
      <c r="A483" s="4" t="s">
        <v>1366</v>
      </c>
      <c r="B483" s="3">
        <v>810139574538</v>
      </c>
      <c r="C483" s="2" t="s">
        <v>1367</v>
      </c>
      <c r="D483" s="30">
        <v>0.39</v>
      </c>
      <c r="E483" s="20">
        <v>18.270000000000003</v>
      </c>
      <c r="F483" s="27"/>
      <c r="G483" s="23">
        <f t="shared" si="28"/>
        <v>0</v>
      </c>
      <c r="J483" s="39" t="str">
        <f>IFERROR(IF($J$2*D483=0, "-", $J$2*D483), "-")</f>
        <v>-</v>
      </c>
      <c r="K483" s="39" t="str">
        <f t="shared" si="29"/>
        <v>-</v>
      </c>
      <c r="L483" s="40" t="str">
        <f>IF(F483&gt;0,F483*D483, "-")</f>
        <v>-</v>
      </c>
      <c r="M483" s="41" t="str">
        <f t="shared" si="30"/>
        <v>-</v>
      </c>
      <c r="O483" s="41" t="str">
        <f t="shared" si="31"/>
        <v>-</v>
      </c>
    </row>
    <row r="484" spans="1:15" x14ac:dyDescent="0.3">
      <c r="A484" s="4" t="s">
        <v>1368</v>
      </c>
      <c r="B484" s="3">
        <v>810139573319</v>
      </c>
      <c r="C484" s="2" t="s">
        <v>1369</v>
      </c>
      <c r="D484" s="30">
        <v>0.33</v>
      </c>
      <c r="E484" s="20">
        <v>18.270000000000003</v>
      </c>
      <c r="F484" s="27"/>
      <c r="G484" s="23">
        <f t="shared" si="28"/>
        <v>0</v>
      </c>
      <c r="J484" s="39" t="str">
        <f>IFERROR(IF($J$2*D484=0, "-", $J$2*D484), "-")</f>
        <v>-</v>
      </c>
      <c r="K484" s="39" t="str">
        <f t="shared" si="29"/>
        <v>-</v>
      </c>
      <c r="L484" s="40" t="str">
        <f>IF(F484&gt;0,F484*D484, "-")</f>
        <v>-</v>
      </c>
      <c r="M484" s="41" t="str">
        <f t="shared" si="30"/>
        <v>-</v>
      </c>
      <c r="O484" s="41" t="str">
        <f t="shared" si="31"/>
        <v>-</v>
      </c>
    </row>
    <row r="485" spans="1:15" x14ac:dyDescent="0.3">
      <c r="A485" s="4" t="s">
        <v>1370</v>
      </c>
      <c r="B485" s="3">
        <v>810139572831</v>
      </c>
      <c r="C485" s="2" t="s">
        <v>1371</v>
      </c>
      <c r="D485" s="30">
        <v>0.1</v>
      </c>
      <c r="E485" s="20">
        <v>18.270000000000003</v>
      </c>
      <c r="F485" s="27"/>
      <c r="G485" s="23">
        <f t="shared" si="28"/>
        <v>0</v>
      </c>
      <c r="J485" s="39" t="str">
        <f>IFERROR(IF($J$2*D485=0, "-", $J$2*D485), "-")</f>
        <v>-</v>
      </c>
      <c r="K485" s="39" t="str">
        <f t="shared" si="29"/>
        <v>-</v>
      </c>
      <c r="L485" s="40" t="str">
        <f>IF(F485&gt;0,F485*D485, "-")</f>
        <v>-</v>
      </c>
      <c r="M485" s="41" t="str">
        <f t="shared" si="30"/>
        <v>-</v>
      </c>
      <c r="O485" s="41" t="str">
        <f t="shared" si="31"/>
        <v>-</v>
      </c>
    </row>
    <row r="486" spans="1:15" x14ac:dyDescent="0.3">
      <c r="A486" s="4" t="s">
        <v>1372</v>
      </c>
      <c r="B486" s="3">
        <v>810139573081</v>
      </c>
      <c r="C486" s="2" t="s">
        <v>1373</v>
      </c>
      <c r="D486" s="30">
        <v>0.33</v>
      </c>
      <c r="E486" s="20">
        <v>18.270000000000003</v>
      </c>
      <c r="F486" s="27"/>
      <c r="G486" s="23">
        <f t="shared" si="28"/>
        <v>0</v>
      </c>
      <c r="J486" s="39" t="str">
        <f>IFERROR(IF($J$2*D486=0, "-", $J$2*D486), "-")</f>
        <v>-</v>
      </c>
      <c r="K486" s="39" t="str">
        <f t="shared" si="29"/>
        <v>-</v>
      </c>
      <c r="L486" s="40" t="str">
        <f>IF(F486&gt;0,F486*D486, "-")</f>
        <v>-</v>
      </c>
      <c r="M486" s="41" t="str">
        <f t="shared" si="30"/>
        <v>-</v>
      </c>
      <c r="O486" s="41" t="str">
        <f t="shared" si="31"/>
        <v>-</v>
      </c>
    </row>
    <row r="487" spans="1:15" x14ac:dyDescent="0.3">
      <c r="A487" s="4" t="s">
        <v>1374</v>
      </c>
      <c r="B487" s="3">
        <v>810139571377</v>
      </c>
      <c r="C487" s="2" t="s">
        <v>1375</v>
      </c>
      <c r="D487" s="30">
        <v>0.28999999999999998</v>
      </c>
      <c r="E487" s="20">
        <v>18.270000000000003</v>
      </c>
      <c r="F487" s="27"/>
      <c r="G487" s="23">
        <f t="shared" si="28"/>
        <v>0</v>
      </c>
      <c r="J487" s="39" t="str">
        <f>IFERROR(IF($J$2*D487=0, "-", $J$2*D487), "-")</f>
        <v>-</v>
      </c>
      <c r="K487" s="39" t="str">
        <f t="shared" si="29"/>
        <v>-</v>
      </c>
      <c r="L487" s="40" t="str">
        <f>IF(F487&gt;0,F487*D487, "-")</f>
        <v>-</v>
      </c>
      <c r="M487" s="41" t="str">
        <f t="shared" si="30"/>
        <v>-</v>
      </c>
      <c r="O487" s="41" t="str">
        <f t="shared" si="31"/>
        <v>-</v>
      </c>
    </row>
    <row r="488" spans="1:15" x14ac:dyDescent="0.3">
      <c r="A488" s="4" t="s">
        <v>72</v>
      </c>
      <c r="B488" s="3">
        <v>857077008589</v>
      </c>
      <c r="C488" s="2" t="s">
        <v>1376</v>
      </c>
      <c r="D488" s="30">
        <v>0.36</v>
      </c>
      <c r="E488" s="20">
        <v>18.270000000000003</v>
      </c>
      <c r="F488" s="27"/>
      <c r="G488" s="23">
        <f t="shared" si="28"/>
        <v>0</v>
      </c>
      <c r="J488" s="39" t="str">
        <f>IFERROR(IF($J$2*D488=0, "-", $J$2*D488), "-")</f>
        <v>-</v>
      </c>
      <c r="K488" s="39" t="str">
        <f t="shared" si="29"/>
        <v>-</v>
      </c>
      <c r="L488" s="40" t="str">
        <f>IF(F488&gt;0,F488*D488, "-")</f>
        <v>-</v>
      </c>
      <c r="M488" s="41" t="str">
        <f t="shared" si="30"/>
        <v>-</v>
      </c>
      <c r="O488" s="41" t="str">
        <f t="shared" si="31"/>
        <v>-</v>
      </c>
    </row>
    <row r="489" spans="1:15" x14ac:dyDescent="0.3">
      <c r="A489" s="4" t="s">
        <v>60</v>
      </c>
      <c r="B489" s="3">
        <v>857077008527</v>
      </c>
      <c r="C489" s="2" t="s">
        <v>1377</v>
      </c>
      <c r="D489" s="30">
        <v>0.38</v>
      </c>
      <c r="E489" s="20">
        <v>18.270000000000003</v>
      </c>
      <c r="F489" s="27"/>
      <c r="G489" s="23">
        <f t="shared" si="28"/>
        <v>0</v>
      </c>
      <c r="J489" s="39" t="str">
        <f>IFERROR(IF($J$2*D489=0, "-", $J$2*D489), "-")</f>
        <v>-</v>
      </c>
      <c r="K489" s="39" t="str">
        <f t="shared" si="29"/>
        <v>-</v>
      </c>
      <c r="L489" s="40" t="str">
        <f>IF(F489&gt;0,F489*D489, "-")</f>
        <v>-</v>
      </c>
      <c r="M489" s="41" t="str">
        <f t="shared" si="30"/>
        <v>-</v>
      </c>
      <c r="O489" s="41" t="str">
        <f t="shared" si="31"/>
        <v>-</v>
      </c>
    </row>
    <row r="490" spans="1:15" x14ac:dyDescent="0.3">
      <c r="A490" s="4" t="s">
        <v>1378</v>
      </c>
      <c r="B490" s="3">
        <v>810139572374</v>
      </c>
      <c r="C490" s="2" t="s">
        <v>1379</v>
      </c>
      <c r="D490" s="30">
        <v>0.06</v>
      </c>
      <c r="E490" s="20">
        <v>18.270000000000003</v>
      </c>
      <c r="F490" s="27"/>
      <c r="G490" s="23">
        <f t="shared" si="28"/>
        <v>0</v>
      </c>
      <c r="J490" s="39" t="str">
        <f>IFERROR(IF($J$2*D490=0, "-", $J$2*D490), "-")</f>
        <v>-</v>
      </c>
      <c r="K490" s="39" t="str">
        <f t="shared" si="29"/>
        <v>-</v>
      </c>
      <c r="L490" s="40" t="str">
        <f>IF(F490&gt;0,F490*D490, "-")</f>
        <v>-</v>
      </c>
      <c r="M490" s="41" t="str">
        <f t="shared" si="30"/>
        <v>-</v>
      </c>
      <c r="O490" s="41" t="str">
        <f t="shared" si="31"/>
        <v>-</v>
      </c>
    </row>
    <row r="491" spans="1:15" x14ac:dyDescent="0.3">
      <c r="A491" s="4" t="s">
        <v>1380</v>
      </c>
      <c r="B491" s="3">
        <v>810139573241</v>
      </c>
      <c r="C491" s="2" t="s">
        <v>1381</v>
      </c>
      <c r="D491" s="30">
        <v>0.33</v>
      </c>
      <c r="E491" s="20">
        <v>18.270000000000003</v>
      </c>
      <c r="F491" s="27"/>
      <c r="G491" s="23">
        <f t="shared" si="28"/>
        <v>0</v>
      </c>
      <c r="J491" s="39" t="str">
        <f>IFERROR(IF($J$2*D491=0, "-", $J$2*D491), "-")</f>
        <v>-</v>
      </c>
      <c r="K491" s="39" t="str">
        <f t="shared" si="29"/>
        <v>-</v>
      </c>
      <c r="L491" s="40" t="str">
        <f>IF(F491&gt;0,F491*D491, "-")</f>
        <v>-</v>
      </c>
      <c r="M491" s="41" t="str">
        <f t="shared" si="30"/>
        <v>-</v>
      </c>
      <c r="O491" s="41" t="str">
        <f t="shared" si="31"/>
        <v>-</v>
      </c>
    </row>
    <row r="492" spans="1:15" x14ac:dyDescent="0.3">
      <c r="A492" s="4" t="s">
        <v>139</v>
      </c>
      <c r="B492" s="3">
        <v>810014678757</v>
      </c>
      <c r="C492" s="2" t="s">
        <v>1382</v>
      </c>
      <c r="D492" s="30">
        <v>0.22</v>
      </c>
      <c r="E492" s="20">
        <v>18.270000000000003</v>
      </c>
      <c r="F492" s="27"/>
      <c r="G492" s="23">
        <f t="shared" si="28"/>
        <v>0</v>
      </c>
      <c r="J492" s="39" t="str">
        <f>IFERROR(IF($J$2*D492=0, "-", $J$2*D492), "-")</f>
        <v>-</v>
      </c>
      <c r="K492" s="39" t="str">
        <f t="shared" si="29"/>
        <v>-</v>
      </c>
      <c r="L492" s="40" t="str">
        <f>IF(F492&gt;0,F492*D492, "-")</f>
        <v>-</v>
      </c>
      <c r="M492" s="41" t="str">
        <f t="shared" si="30"/>
        <v>-</v>
      </c>
      <c r="O492" s="41" t="str">
        <f t="shared" si="31"/>
        <v>-</v>
      </c>
    </row>
    <row r="493" spans="1:15" x14ac:dyDescent="0.3">
      <c r="A493" s="4" t="s">
        <v>1383</v>
      </c>
      <c r="B493" s="3">
        <v>810139573470</v>
      </c>
      <c r="C493" s="2" t="s">
        <v>1384</v>
      </c>
      <c r="D493" s="30">
        <v>0.12</v>
      </c>
      <c r="E493" s="20">
        <v>18.270000000000003</v>
      </c>
      <c r="F493" s="27"/>
      <c r="G493" s="23">
        <f t="shared" si="28"/>
        <v>0</v>
      </c>
      <c r="J493" s="39" t="str">
        <f>IFERROR(IF($J$2*D493=0, "-", $J$2*D493), "-")</f>
        <v>-</v>
      </c>
      <c r="K493" s="39" t="str">
        <f t="shared" si="29"/>
        <v>-</v>
      </c>
      <c r="L493" s="40" t="str">
        <f>IF(F493&gt;0,F493*D493, "-")</f>
        <v>-</v>
      </c>
      <c r="M493" s="41" t="str">
        <f t="shared" si="30"/>
        <v>-</v>
      </c>
      <c r="O493" s="41" t="str">
        <f t="shared" si="31"/>
        <v>-</v>
      </c>
    </row>
    <row r="494" spans="1:15" x14ac:dyDescent="0.3">
      <c r="A494" s="4" t="s">
        <v>510</v>
      </c>
      <c r="B494" s="3">
        <v>810014672809</v>
      </c>
      <c r="C494" s="2" t="s">
        <v>1385</v>
      </c>
      <c r="D494" s="30">
        <v>0.23</v>
      </c>
      <c r="E494" s="20">
        <v>18.270000000000003</v>
      </c>
      <c r="F494" s="27"/>
      <c r="G494" s="23">
        <f t="shared" si="28"/>
        <v>0</v>
      </c>
      <c r="J494" s="39" t="str">
        <f>IFERROR(IF($J$2*D494=0, "-", $J$2*D494), "-")</f>
        <v>-</v>
      </c>
      <c r="K494" s="39" t="str">
        <f t="shared" si="29"/>
        <v>-</v>
      </c>
      <c r="L494" s="40" t="str">
        <f>IF(F494&gt;0,F494*D494, "-")</f>
        <v>-</v>
      </c>
      <c r="M494" s="41" t="str">
        <f t="shared" si="30"/>
        <v>-</v>
      </c>
      <c r="O494" s="41" t="str">
        <f t="shared" si="31"/>
        <v>-</v>
      </c>
    </row>
    <row r="495" spans="1:15" x14ac:dyDescent="0.3">
      <c r="A495" s="4" t="s">
        <v>109</v>
      </c>
      <c r="B495" s="3">
        <v>810014671703</v>
      </c>
      <c r="C495" s="2" t="s">
        <v>1386</v>
      </c>
      <c r="D495" s="30">
        <v>0.32</v>
      </c>
      <c r="E495" s="20">
        <v>18.270000000000003</v>
      </c>
      <c r="F495" s="27"/>
      <c r="G495" s="23">
        <f t="shared" si="28"/>
        <v>0</v>
      </c>
      <c r="J495" s="39" t="str">
        <f>IFERROR(IF($J$2*D495=0, "-", $J$2*D495), "-")</f>
        <v>-</v>
      </c>
      <c r="K495" s="39" t="str">
        <f t="shared" si="29"/>
        <v>-</v>
      </c>
      <c r="L495" s="40" t="str">
        <f>IF(F495&gt;0,F495*D495, "-")</f>
        <v>-</v>
      </c>
      <c r="M495" s="41" t="str">
        <f t="shared" si="30"/>
        <v>-</v>
      </c>
      <c r="O495" s="41" t="str">
        <f t="shared" si="31"/>
        <v>-</v>
      </c>
    </row>
    <row r="496" spans="1:15" x14ac:dyDescent="0.3">
      <c r="A496" s="4" t="s">
        <v>599</v>
      </c>
      <c r="B496" s="3">
        <v>810014670201</v>
      </c>
      <c r="C496" s="2" t="s">
        <v>1387</v>
      </c>
      <c r="D496" s="30">
        <v>0.33</v>
      </c>
      <c r="E496" s="20">
        <v>18.270000000000003</v>
      </c>
      <c r="F496" s="27"/>
      <c r="G496" s="23">
        <f t="shared" si="28"/>
        <v>0</v>
      </c>
      <c r="J496" s="39" t="str">
        <f>IFERROR(IF($J$2*D496=0, "-", $J$2*D496), "-")</f>
        <v>-</v>
      </c>
      <c r="K496" s="39" t="str">
        <f t="shared" si="29"/>
        <v>-</v>
      </c>
      <c r="L496" s="40" t="str">
        <f>IF(F496&gt;0,F496*D496, "-")</f>
        <v>-</v>
      </c>
      <c r="M496" s="41" t="str">
        <f t="shared" si="30"/>
        <v>-</v>
      </c>
      <c r="O496" s="41" t="str">
        <f t="shared" si="31"/>
        <v>-</v>
      </c>
    </row>
    <row r="497" spans="1:15" x14ac:dyDescent="0.3">
      <c r="A497" s="4" t="s">
        <v>1388</v>
      </c>
      <c r="B497" s="3">
        <v>810139573197</v>
      </c>
      <c r="C497" s="2" t="s">
        <v>1389</v>
      </c>
      <c r="D497" s="30">
        <v>0.31</v>
      </c>
      <c r="E497" s="20">
        <v>18.270000000000003</v>
      </c>
      <c r="F497" s="27"/>
      <c r="G497" s="23">
        <f t="shared" si="28"/>
        <v>0</v>
      </c>
      <c r="J497" s="39" t="str">
        <f>IFERROR(IF($J$2*D497=0, "-", $J$2*D497), "-")</f>
        <v>-</v>
      </c>
      <c r="K497" s="39" t="str">
        <f t="shared" si="29"/>
        <v>-</v>
      </c>
      <c r="L497" s="40" t="str">
        <f>IF(F497&gt;0,F497*D497, "-")</f>
        <v>-</v>
      </c>
      <c r="M497" s="41" t="str">
        <f t="shared" si="30"/>
        <v>-</v>
      </c>
      <c r="O497" s="41" t="str">
        <f t="shared" si="31"/>
        <v>-</v>
      </c>
    </row>
    <row r="498" spans="1:15" x14ac:dyDescent="0.3">
      <c r="A498" s="4" t="s">
        <v>245</v>
      </c>
      <c r="B498" s="3">
        <v>810014675022</v>
      </c>
      <c r="C498" s="2" t="s">
        <v>1390</v>
      </c>
      <c r="D498" s="30">
        <v>0.25</v>
      </c>
      <c r="E498" s="20">
        <v>18.270000000000003</v>
      </c>
      <c r="F498" s="27"/>
      <c r="G498" s="23">
        <f t="shared" si="28"/>
        <v>0</v>
      </c>
      <c r="J498" s="39" t="str">
        <f>IFERROR(IF($J$2*D498=0, "-", $J$2*D498), "-")</f>
        <v>-</v>
      </c>
      <c r="K498" s="39" t="str">
        <f t="shared" si="29"/>
        <v>-</v>
      </c>
      <c r="L498" s="40" t="str">
        <f>IF(F498&gt;0,F498*D498, "-")</f>
        <v>-</v>
      </c>
      <c r="M498" s="41" t="str">
        <f t="shared" si="30"/>
        <v>-</v>
      </c>
      <c r="O498" s="41" t="str">
        <f t="shared" si="31"/>
        <v>-</v>
      </c>
    </row>
    <row r="499" spans="1:15" x14ac:dyDescent="0.3">
      <c r="A499" s="4" t="s">
        <v>634</v>
      </c>
      <c r="B499" s="3">
        <v>810014674971</v>
      </c>
      <c r="C499" s="2" t="s">
        <v>1391</v>
      </c>
      <c r="D499" s="30">
        <v>0.34</v>
      </c>
      <c r="E499" s="20">
        <v>18.270000000000003</v>
      </c>
      <c r="F499" s="27"/>
      <c r="G499" s="23">
        <f t="shared" si="28"/>
        <v>0</v>
      </c>
      <c r="J499" s="39" t="str">
        <f>IFERROR(IF($J$2*D499=0, "-", $J$2*D499), "-")</f>
        <v>-</v>
      </c>
      <c r="K499" s="39" t="str">
        <f t="shared" si="29"/>
        <v>-</v>
      </c>
      <c r="L499" s="40" t="str">
        <f>IF(F499&gt;0,F499*D499, "-")</f>
        <v>-</v>
      </c>
      <c r="M499" s="41" t="str">
        <f t="shared" si="30"/>
        <v>-</v>
      </c>
      <c r="O499" s="41" t="str">
        <f t="shared" si="31"/>
        <v>-</v>
      </c>
    </row>
    <row r="500" spans="1:15" x14ac:dyDescent="0.3">
      <c r="A500" s="4" t="s">
        <v>666</v>
      </c>
      <c r="B500" s="3">
        <v>810014679549</v>
      </c>
      <c r="C500" s="2" t="s">
        <v>1392</v>
      </c>
      <c r="D500" s="30">
        <v>0.13</v>
      </c>
      <c r="E500" s="20">
        <v>18.270000000000003</v>
      </c>
      <c r="F500" s="27"/>
      <c r="G500" s="23">
        <f t="shared" si="28"/>
        <v>0</v>
      </c>
      <c r="J500" s="39" t="str">
        <f>IFERROR(IF($J$2*D500=0, "-", $J$2*D500), "-")</f>
        <v>-</v>
      </c>
      <c r="K500" s="39" t="str">
        <f t="shared" si="29"/>
        <v>-</v>
      </c>
      <c r="L500" s="40" t="str">
        <f>IF(F500&gt;0,F500*D500, "-")</f>
        <v>-</v>
      </c>
      <c r="M500" s="41" t="str">
        <f t="shared" si="30"/>
        <v>-</v>
      </c>
      <c r="O500" s="41" t="str">
        <f t="shared" si="31"/>
        <v>-</v>
      </c>
    </row>
    <row r="501" spans="1:15" x14ac:dyDescent="0.3">
      <c r="A501" s="4" t="s">
        <v>85</v>
      </c>
      <c r="B501" s="3">
        <v>810014673769</v>
      </c>
      <c r="C501" s="2" t="s">
        <v>1393</v>
      </c>
      <c r="D501" s="30">
        <v>0.09</v>
      </c>
      <c r="E501" s="20">
        <v>18.270000000000003</v>
      </c>
      <c r="F501" s="27"/>
      <c r="G501" s="23">
        <f t="shared" si="28"/>
        <v>0</v>
      </c>
      <c r="J501" s="39" t="str">
        <f>IFERROR(IF($J$2*D501=0, "-", $J$2*D501), "-")</f>
        <v>-</v>
      </c>
      <c r="K501" s="39" t="str">
        <f t="shared" si="29"/>
        <v>-</v>
      </c>
      <c r="L501" s="40" t="str">
        <f>IF(F501&gt;0,F501*D501, "-")</f>
        <v>-</v>
      </c>
      <c r="M501" s="41" t="str">
        <f t="shared" si="30"/>
        <v>-</v>
      </c>
      <c r="O501" s="41" t="str">
        <f t="shared" si="31"/>
        <v>-</v>
      </c>
    </row>
    <row r="502" spans="1:15" x14ac:dyDescent="0.3">
      <c r="A502" s="4" t="s">
        <v>744</v>
      </c>
      <c r="B502" s="3">
        <v>810014671482</v>
      </c>
      <c r="C502" s="2" t="s">
        <v>1394</v>
      </c>
      <c r="D502" s="30">
        <v>0.12</v>
      </c>
      <c r="E502" s="20">
        <v>18.270000000000003</v>
      </c>
      <c r="F502" s="27"/>
      <c r="G502" s="23">
        <f t="shared" si="28"/>
        <v>0</v>
      </c>
      <c r="J502" s="39" t="str">
        <f>IFERROR(IF($J$2*D502=0, "-", $J$2*D502), "-")</f>
        <v>-</v>
      </c>
      <c r="K502" s="39" t="str">
        <f t="shared" si="29"/>
        <v>-</v>
      </c>
      <c r="L502" s="40" t="str">
        <f>IF(F502&gt;0,F502*D502, "-")</f>
        <v>-</v>
      </c>
      <c r="M502" s="41" t="str">
        <f t="shared" si="30"/>
        <v>-</v>
      </c>
      <c r="O502" s="41" t="str">
        <f t="shared" si="31"/>
        <v>-</v>
      </c>
    </row>
    <row r="503" spans="1:15" x14ac:dyDescent="0.3">
      <c r="A503" s="4" t="s">
        <v>508</v>
      </c>
      <c r="B503" s="3">
        <v>810014673318</v>
      </c>
      <c r="C503" s="2" t="s">
        <v>1395</v>
      </c>
      <c r="D503" s="30">
        <v>0.22</v>
      </c>
      <c r="E503" s="20">
        <v>18.270000000000003</v>
      </c>
      <c r="F503" s="27"/>
      <c r="G503" s="23">
        <f t="shared" si="28"/>
        <v>0</v>
      </c>
      <c r="J503" s="39" t="str">
        <f>IFERROR(IF($J$2*D503=0, "-", $J$2*D503), "-")</f>
        <v>-</v>
      </c>
      <c r="K503" s="39" t="str">
        <f t="shared" si="29"/>
        <v>-</v>
      </c>
      <c r="L503" s="40" t="str">
        <f>IF(F503&gt;0,F503*D503, "-")</f>
        <v>-</v>
      </c>
      <c r="M503" s="41" t="str">
        <f t="shared" si="30"/>
        <v>-</v>
      </c>
      <c r="O503" s="41" t="str">
        <f t="shared" si="31"/>
        <v>-</v>
      </c>
    </row>
    <row r="504" spans="1:15" x14ac:dyDescent="0.3">
      <c r="A504" s="4" t="s">
        <v>215</v>
      </c>
      <c r="B504" s="3">
        <v>810139572770</v>
      </c>
      <c r="C504" s="2" t="s">
        <v>1396</v>
      </c>
      <c r="D504" s="30">
        <v>0.16</v>
      </c>
      <c r="E504" s="20">
        <v>18.270000000000003</v>
      </c>
      <c r="F504" s="27"/>
      <c r="G504" s="23">
        <f t="shared" si="28"/>
        <v>0</v>
      </c>
      <c r="J504" s="39" t="str">
        <f>IFERROR(IF($J$2*D504=0, "-", $J$2*D504), "-")</f>
        <v>-</v>
      </c>
      <c r="K504" s="39" t="str">
        <f t="shared" si="29"/>
        <v>-</v>
      </c>
      <c r="L504" s="40" t="str">
        <f>IF(F504&gt;0,F504*D504, "-")</f>
        <v>-</v>
      </c>
      <c r="M504" s="41" t="str">
        <f t="shared" si="30"/>
        <v>-</v>
      </c>
      <c r="O504" s="41" t="str">
        <f t="shared" si="31"/>
        <v>-</v>
      </c>
    </row>
    <row r="505" spans="1:15" x14ac:dyDescent="0.3">
      <c r="A505" s="4" t="s">
        <v>214</v>
      </c>
      <c r="B505" s="3">
        <v>810139571551</v>
      </c>
      <c r="C505" s="2" t="s">
        <v>1397</v>
      </c>
      <c r="D505" s="30">
        <v>0.44</v>
      </c>
      <c r="E505" s="20">
        <v>18.650625000000002</v>
      </c>
      <c r="F505" s="27"/>
      <c r="G505" s="23">
        <f t="shared" si="28"/>
        <v>0</v>
      </c>
      <c r="J505" s="39" t="str">
        <f>IFERROR(IF($J$2*D505=0, "-", $J$2*D505), "-")</f>
        <v>-</v>
      </c>
      <c r="K505" s="39" t="str">
        <f t="shared" si="29"/>
        <v>-</v>
      </c>
      <c r="L505" s="40" t="str">
        <f>IF(F505&gt;0,F505*D505, "-")</f>
        <v>-</v>
      </c>
      <c r="M505" s="41" t="str">
        <f t="shared" si="30"/>
        <v>-</v>
      </c>
      <c r="O505" s="41" t="str">
        <f t="shared" si="31"/>
        <v>-</v>
      </c>
    </row>
    <row r="506" spans="1:15" x14ac:dyDescent="0.3">
      <c r="A506" s="4" t="s">
        <v>212</v>
      </c>
      <c r="B506" s="3">
        <v>700425812201</v>
      </c>
      <c r="C506" s="2" t="s">
        <v>1398</v>
      </c>
      <c r="D506" s="30">
        <v>0.41</v>
      </c>
      <c r="E506" s="20">
        <v>18.650625000000002</v>
      </c>
      <c r="F506" s="27"/>
      <c r="G506" s="23">
        <f t="shared" si="28"/>
        <v>0</v>
      </c>
      <c r="J506" s="39" t="str">
        <f>IFERROR(IF($J$2*D506=0, "-", $J$2*D506), "-")</f>
        <v>-</v>
      </c>
      <c r="K506" s="39" t="str">
        <f t="shared" si="29"/>
        <v>-</v>
      </c>
      <c r="L506" s="40" t="str">
        <f>IF(F506&gt;0,F506*D506, "-")</f>
        <v>-</v>
      </c>
      <c r="M506" s="41" t="str">
        <f t="shared" si="30"/>
        <v>-</v>
      </c>
      <c r="O506" s="41" t="str">
        <f t="shared" si="31"/>
        <v>-</v>
      </c>
    </row>
    <row r="507" spans="1:15" x14ac:dyDescent="0.3">
      <c r="A507" s="4" t="s">
        <v>414</v>
      </c>
      <c r="B507" s="3">
        <v>810139577003</v>
      </c>
      <c r="C507" s="2" t="s">
        <v>1399</v>
      </c>
      <c r="D507" s="30">
        <v>0.38</v>
      </c>
      <c r="E507" s="20">
        <v>18.650625000000002</v>
      </c>
      <c r="F507" s="27"/>
      <c r="G507" s="23">
        <f t="shared" si="28"/>
        <v>0</v>
      </c>
      <c r="J507" s="39" t="str">
        <f>IFERROR(IF($J$2*D507=0, "-", $J$2*D507), "-")</f>
        <v>-</v>
      </c>
      <c r="K507" s="39" t="str">
        <f t="shared" si="29"/>
        <v>-</v>
      </c>
      <c r="L507" s="40" t="str">
        <f>IF(F507&gt;0,F507*D507, "-")</f>
        <v>-</v>
      </c>
      <c r="M507" s="41" t="str">
        <f t="shared" si="30"/>
        <v>-</v>
      </c>
      <c r="O507" s="41" t="str">
        <f t="shared" si="31"/>
        <v>-</v>
      </c>
    </row>
    <row r="508" spans="1:15" x14ac:dyDescent="0.3">
      <c r="A508" s="4" t="s">
        <v>608</v>
      </c>
      <c r="B508" s="3">
        <v>810014673998</v>
      </c>
      <c r="C508" s="2" t="s">
        <v>1400</v>
      </c>
      <c r="D508" s="30">
        <v>0.12</v>
      </c>
      <c r="E508" s="20">
        <v>18.650625000000002</v>
      </c>
      <c r="F508" s="27"/>
      <c r="G508" s="23">
        <f t="shared" si="28"/>
        <v>0</v>
      </c>
      <c r="J508" s="39" t="str">
        <f>IFERROR(IF($J$2*D508=0, "-", $J$2*D508), "-")</f>
        <v>-</v>
      </c>
      <c r="K508" s="39" t="str">
        <f t="shared" si="29"/>
        <v>-</v>
      </c>
      <c r="L508" s="40" t="str">
        <f>IF(F508&gt;0,F508*D508, "-")</f>
        <v>-</v>
      </c>
      <c r="M508" s="41" t="str">
        <f t="shared" si="30"/>
        <v>-</v>
      </c>
      <c r="O508" s="41" t="str">
        <f t="shared" si="31"/>
        <v>-</v>
      </c>
    </row>
    <row r="509" spans="1:15" x14ac:dyDescent="0.3">
      <c r="A509" s="4" t="s">
        <v>1401</v>
      </c>
      <c r="B509" s="3">
        <v>810139575894</v>
      </c>
      <c r="C509" s="2" t="s">
        <v>1402</v>
      </c>
      <c r="D509" s="30">
        <v>0.12</v>
      </c>
      <c r="E509" s="20">
        <v>18.650625000000002</v>
      </c>
      <c r="F509" s="27"/>
      <c r="G509" s="23">
        <f t="shared" si="28"/>
        <v>0</v>
      </c>
      <c r="J509" s="39" t="str">
        <f>IFERROR(IF($J$2*D509=0, "-", $J$2*D509), "-")</f>
        <v>-</v>
      </c>
      <c r="K509" s="39" t="str">
        <f t="shared" si="29"/>
        <v>-</v>
      </c>
      <c r="L509" s="40" t="str">
        <f>IF(F509&gt;0,F509*D509, "-")</f>
        <v>-</v>
      </c>
      <c r="M509" s="41" t="str">
        <f t="shared" si="30"/>
        <v>-</v>
      </c>
      <c r="O509" s="41" t="str">
        <f t="shared" si="31"/>
        <v>-</v>
      </c>
    </row>
    <row r="510" spans="1:15" x14ac:dyDescent="0.3">
      <c r="A510" s="4" t="s">
        <v>449</v>
      </c>
      <c r="B510" s="3">
        <v>810014678597</v>
      </c>
      <c r="C510" s="2" t="s">
        <v>1403</v>
      </c>
      <c r="D510" s="30">
        <v>0.25</v>
      </c>
      <c r="E510" s="20">
        <v>18.650625000000002</v>
      </c>
      <c r="F510" s="27"/>
      <c r="G510" s="23">
        <f t="shared" si="28"/>
        <v>0</v>
      </c>
      <c r="J510" s="39" t="str">
        <f>IFERROR(IF($J$2*D510=0, "-", $J$2*D510), "-")</f>
        <v>-</v>
      </c>
      <c r="K510" s="39" t="str">
        <f t="shared" si="29"/>
        <v>-</v>
      </c>
      <c r="L510" s="40" t="str">
        <f>IF(F510&gt;0,F510*D510, "-")</f>
        <v>-</v>
      </c>
      <c r="M510" s="41" t="str">
        <f t="shared" si="30"/>
        <v>-</v>
      </c>
      <c r="O510" s="41" t="str">
        <f t="shared" si="31"/>
        <v>-</v>
      </c>
    </row>
    <row r="511" spans="1:15" x14ac:dyDescent="0.3">
      <c r="A511" s="4" t="s">
        <v>657</v>
      </c>
      <c r="B511" s="3">
        <v>810014673820</v>
      </c>
      <c r="C511" s="2" t="s">
        <v>1404</v>
      </c>
      <c r="D511" s="30">
        <v>0.09</v>
      </c>
      <c r="E511" s="20">
        <v>18.650625000000002</v>
      </c>
      <c r="F511" s="27"/>
      <c r="G511" s="23">
        <f t="shared" si="28"/>
        <v>0</v>
      </c>
      <c r="J511" s="39" t="str">
        <f>IFERROR(IF($J$2*D511=0, "-", $J$2*D511), "-")</f>
        <v>-</v>
      </c>
      <c r="K511" s="39" t="str">
        <f t="shared" si="29"/>
        <v>-</v>
      </c>
      <c r="L511" s="40" t="str">
        <f>IF(F511&gt;0,F511*D511, "-")</f>
        <v>-</v>
      </c>
      <c r="M511" s="41" t="str">
        <f t="shared" si="30"/>
        <v>-</v>
      </c>
      <c r="O511" s="41" t="str">
        <f t="shared" si="31"/>
        <v>-</v>
      </c>
    </row>
    <row r="512" spans="1:15" x14ac:dyDescent="0.3">
      <c r="A512" s="4" t="s">
        <v>330</v>
      </c>
      <c r="B512" s="3">
        <v>810014674605</v>
      </c>
      <c r="C512" s="2" t="s">
        <v>1405</v>
      </c>
      <c r="D512" s="30">
        <v>0.17</v>
      </c>
      <c r="E512" s="20">
        <v>18.650625000000002</v>
      </c>
      <c r="F512" s="27"/>
      <c r="G512" s="23">
        <f t="shared" si="28"/>
        <v>0</v>
      </c>
      <c r="J512" s="39" t="str">
        <f>IFERROR(IF($J$2*D512=0, "-", $J$2*D512), "-")</f>
        <v>-</v>
      </c>
      <c r="K512" s="39" t="str">
        <f t="shared" si="29"/>
        <v>-</v>
      </c>
      <c r="L512" s="40" t="str">
        <f>IF(F512&gt;0,F512*D512, "-")</f>
        <v>-</v>
      </c>
      <c r="M512" s="41" t="str">
        <f t="shared" si="30"/>
        <v>-</v>
      </c>
      <c r="O512" s="41" t="str">
        <f t="shared" si="31"/>
        <v>-</v>
      </c>
    </row>
    <row r="513" spans="1:15" x14ac:dyDescent="0.3">
      <c r="A513" s="4" t="s">
        <v>1406</v>
      </c>
      <c r="B513" s="3">
        <v>810139574583</v>
      </c>
      <c r="C513" s="2" t="s">
        <v>1407</v>
      </c>
      <c r="D513" s="30">
        <v>0.75</v>
      </c>
      <c r="E513" s="20">
        <v>19.03125</v>
      </c>
      <c r="F513" s="27"/>
      <c r="G513" s="23">
        <f t="shared" si="28"/>
        <v>0</v>
      </c>
      <c r="J513" s="39" t="str">
        <f>IFERROR(IF($J$2*D513=0, "-", $J$2*D513), "-")</f>
        <v>-</v>
      </c>
      <c r="K513" s="39" t="str">
        <f t="shared" si="29"/>
        <v>-</v>
      </c>
      <c r="L513" s="40" t="str">
        <f>IF(F513&gt;0,F513*D513, "-")</f>
        <v>-</v>
      </c>
      <c r="M513" s="41" t="str">
        <f t="shared" si="30"/>
        <v>-</v>
      </c>
      <c r="O513" s="41" t="str">
        <f t="shared" si="31"/>
        <v>-</v>
      </c>
    </row>
    <row r="514" spans="1:15" x14ac:dyDescent="0.3">
      <c r="A514" s="4" t="s">
        <v>623</v>
      </c>
      <c r="B514" s="3">
        <v>810139572268</v>
      </c>
      <c r="C514" s="2" t="s">
        <v>1408</v>
      </c>
      <c r="D514" s="30">
        <v>0.63</v>
      </c>
      <c r="E514" s="20">
        <v>19.03125</v>
      </c>
      <c r="F514" s="27"/>
      <c r="G514" s="23">
        <f t="shared" si="28"/>
        <v>0</v>
      </c>
      <c r="J514" s="39" t="str">
        <f>IFERROR(IF($J$2*D514=0, "-", $J$2*D514), "-")</f>
        <v>-</v>
      </c>
      <c r="K514" s="39" t="str">
        <f t="shared" si="29"/>
        <v>-</v>
      </c>
      <c r="L514" s="40" t="str">
        <f>IF(F514&gt;0,F514*D514, "-")</f>
        <v>-</v>
      </c>
      <c r="M514" s="41" t="str">
        <f t="shared" si="30"/>
        <v>-</v>
      </c>
      <c r="O514" s="41" t="str">
        <f t="shared" si="31"/>
        <v>-</v>
      </c>
    </row>
    <row r="515" spans="1:15" x14ac:dyDescent="0.3">
      <c r="A515" s="4" t="s">
        <v>1409</v>
      </c>
      <c r="B515" s="3">
        <v>810139574309</v>
      </c>
      <c r="C515" s="2" t="s">
        <v>1410</v>
      </c>
      <c r="D515" s="30">
        <v>0.6</v>
      </c>
      <c r="E515" s="20">
        <v>19.03125</v>
      </c>
      <c r="F515" s="27"/>
      <c r="G515" s="23">
        <f t="shared" si="28"/>
        <v>0</v>
      </c>
      <c r="J515" s="39" t="str">
        <f>IFERROR(IF($J$2*D515=0, "-", $J$2*D515), "-")</f>
        <v>-</v>
      </c>
      <c r="K515" s="39" t="str">
        <f t="shared" si="29"/>
        <v>-</v>
      </c>
      <c r="L515" s="40" t="str">
        <f>IF(F515&gt;0,F515*D515, "-")</f>
        <v>-</v>
      </c>
      <c r="M515" s="41" t="str">
        <f t="shared" si="30"/>
        <v>-</v>
      </c>
      <c r="O515" s="41" t="str">
        <f t="shared" si="31"/>
        <v>-</v>
      </c>
    </row>
    <row r="516" spans="1:15" x14ac:dyDescent="0.3">
      <c r="A516" s="4" t="s">
        <v>417</v>
      </c>
      <c r="B516" s="3">
        <v>702669935173</v>
      </c>
      <c r="C516" s="2" t="s">
        <v>1411</v>
      </c>
      <c r="D516" s="30">
        <v>0.66</v>
      </c>
      <c r="E516" s="20">
        <v>19.03125</v>
      </c>
      <c r="F516" s="27"/>
      <c r="G516" s="23">
        <f t="shared" ref="G516:G579" si="32">F516*E516</f>
        <v>0</v>
      </c>
      <c r="J516" s="39" t="str">
        <f>IFERROR(IF($J$2*D516=0, "-", $J$2*D516), "-")</f>
        <v>-</v>
      </c>
      <c r="K516" s="39" t="str">
        <f t="shared" ref="K516:K579" si="33">IF(F516&gt;0,E516+J516,"-")</f>
        <v>-</v>
      </c>
      <c r="L516" s="40" t="str">
        <f>IF(F516&gt;0,F516*D516, "-")</f>
        <v>-</v>
      </c>
      <c r="M516" s="41" t="str">
        <f t="shared" ref="M516:M579" si="34">IFERROR(IF($J$2&gt;0, $J$2*L516, "-"), "-")</f>
        <v>-</v>
      </c>
      <c r="O516" s="41" t="str">
        <f t="shared" ref="O516:O579" si="35">IFERROR(IF(M516+G516=0, "-", IF(M516&gt;0, M516+G516, "-")), "-")</f>
        <v>-</v>
      </c>
    </row>
    <row r="517" spans="1:15" x14ac:dyDescent="0.3">
      <c r="A517" s="4" t="s">
        <v>1412</v>
      </c>
      <c r="B517" s="3">
        <v>810139575771</v>
      </c>
      <c r="C517" s="2" t="s">
        <v>1413</v>
      </c>
      <c r="D517" s="30">
        <v>0.6</v>
      </c>
      <c r="E517" s="20">
        <v>19.03125</v>
      </c>
      <c r="F517" s="27"/>
      <c r="G517" s="23">
        <f t="shared" si="32"/>
        <v>0</v>
      </c>
      <c r="J517" s="39" t="str">
        <f>IFERROR(IF($J$2*D517=0, "-", $J$2*D517), "-")</f>
        <v>-</v>
      </c>
      <c r="K517" s="39" t="str">
        <f t="shared" si="33"/>
        <v>-</v>
      </c>
      <c r="L517" s="40" t="str">
        <f>IF(F517&gt;0,F517*D517, "-")</f>
        <v>-</v>
      </c>
      <c r="M517" s="41" t="str">
        <f t="shared" si="34"/>
        <v>-</v>
      </c>
      <c r="O517" s="41" t="str">
        <f t="shared" si="35"/>
        <v>-</v>
      </c>
    </row>
    <row r="518" spans="1:15" x14ac:dyDescent="0.3">
      <c r="A518" s="4" t="s">
        <v>162</v>
      </c>
      <c r="B518" s="3">
        <v>810139575153</v>
      </c>
      <c r="C518" s="2" t="s">
        <v>1414</v>
      </c>
      <c r="D518" s="30">
        <v>0.66</v>
      </c>
      <c r="E518" s="20">
        <v>19.03125</v>
      </c>
      <c r="F518" s="27"/>
      <c r="G518" s="23">
        <f t="shared" si="32"/>
        <v>0</v>
      </c>
      <c r="J518" s="39" t="str">
        <f>IFERROR(IF($J$2*D518=0, "-", $J$2*D518), "-")</f>
        <v>-</v>
      </c>
      <c r="K518" s="39" t="str">
        <f t="shared" si="33"/>
        <v>-</v>
      </c>
      <c r="L518" s="40" t="str">
        <f>IF(F518&gt;0,F518*D518, "-")</f>
        <v>-</v>
      </c>
      <c r="M518" s="41" t="str">
        <f t="shared" si="34"/>
        <v>-</v>
      </c>
      <c r="O518" s="41" t="str">
        <f t="shared" si="35"/>
        <v>-</v>
      </c>
    </row>
    <row r="519" spans="1:15" x14ac:dyDescent="0.3">
      <c r="A519" s="4" t="s">
        <v>1415</v>
      </c>
      <c r="B519" s="3">
        <v>810139573852</v>
      </c>
      <c r="C519" s="2" t="s">
        <v>1416</v>
      </c>
      <c r="D519" s="30">
        <v>1.39</v>
      </c>
      <c r="E519" s="20">
        <v>19.03125</v>
      </c>
      <c r="F519" s="27"/>
      <c r="G519" s="23">
        <f t="shared" si="32"/>
        <v>0</v>
      </c>
      <c r="J519" s="39" t="str">
        <f>IFERROR(IF($J$2*D519=0, "-", $J$2*D519), "-")</f>
        <v>-</v>
      </c>
      <c r="K519" s="39" t="str">
        <f t="shared" si="33"/>
        <v>-</v>
      </c>
      <c r="L519" s="40" t="str">
        <f>IF(F519&gt;0,F519*D519, "-")</f>
        <v>-</v>
      </c>
      <c r="M519" s="41" t="str">
        <f t="shared" si="34"/>
        <v>-</v>
      </c>
      <c r="O519" s="41" t="str">
        <f t="shared" si="35"/>
        <v>-</v>
      </c>
    </row>
    <row r="520" spans="1:15" x14ac:dyDescent="0.3">
      <c r="A520" s="4" t="s">
        <v>586</v>
      </c>
      <c r="B520" s="3">
        <v>857077008183</v>
      </c>
      <c r="C520" s="2" t="s">
        <v>1417</v>
      </c>
      <c r="D520" s="30">
        <v>0.62</v>
      </c>
      <c r="E520" s="20">
        <v>19.03125</v>
      </c>
      <c r="F520" s="27"/>
      <c r="G520" s="23">
        <f t="shared" si="32"/>
        <v>0</v>
      </c>
      <c r="J520" s="39" t="str">
        <f>IFERROR(IF($J$2*D520=0, "-", $J$2*D520), "-")</f>
        <v>-</v>
      </c>
      <c r="K520" s="39" t="str">
        <f t="shared" si="33"/>
        <v>-</v>
      </c>
      <c r="L520" s="40" t="str">
        <f>IF(F520&gt;0,F520*D520, "-")</f>
        <v>-</v>
      </c>
      <c r="M520" s="41" t="str">
        <f t="shared" si="34"/>
        <v>-</v>
      </c>
      <c r="O520" s="41" t="str">
        <f t="shared" si="35"/>
        <v>-</v>
      </c>
    </row>
    <row r="521" spans="1:15" x14ac:dyDescent="0.3">
      <c r="A521" s="4" t="s">
        <v>1418</v>
      </c>
      <c r="B521" s="3">
        <v>810139574644</v>
      </c>
      <c r="C521" s="2" t="s">
        <v>1419</v>
      </c>
      <c r="D521" s="30">
        <v>1.04</v>
      </c>
      <c r="E521" s="20">
        <v>19.03125</v>
      </c>
      <c r="F521" s="27"/>
      <c r="G521" s="23">
        <f t="shared" si="32"/>
        <v>0</v>
      </c>
      <c r="J521" s="39" t="str">
        <f>IFERROR(IF($J$2*D521=0, "-", $J$2*D521), "-")</f>
        <v>-</v>
      </c>
      <c r="K521" s="39" t="str">
        <f t="shared" si="33"/>
        <v>-</v>
      </c>
      <c r="L521" s="40" t="str">
        <f>IF(F521&gt;0,F521*D521, "-")</f>
        <v>-</v>
      </c>
      <c r="M521" s="41" t="str">
        <f t="shared" si="34"/>
        <v>-</v>
      </c>
      <c r="O521" s="41" t="str">
        <f t="shared" si="35"/>
        <v>-</v>
      </c>
    </row>
    <row r="522" spans="1:15" x14ac:dyDescent="0.3">
      <c r="A522" s="4" t="s">
        <v>53</v>
      </c>
      <c r="B522" s="3">
        <v>857077008640</v>
      </c>
      <c r="C522" s="2" t="s">
        <v>1420</v>
      </c>
      <c r="D522" s="30">
        <v>0.43</v>
      </c>
      <c r="E522" s="20">
        <v>19.03125</v>
      </c>
      <c r="F522" s="27"/>
      <c r="G522" s="23">
        <f t="shared" si="32"/>
        <v>0</v>
      </c>
      <c r="J522" s="39" t="str">
        <f>IFERROR(IF($J$2*D522=0, "-", $J$2*D522), "-")</f>
        <v>-</v>
      </c>
      <c r="K522" s="39" t="str">
        <f t="shared" si="33"/>
        <v>-</v>
      </c>
      <c r="L522" s="40" t="str">
        <f>IF(F522&gt;0,F522*D522, "-")</f>
        <v>-</v>
      </c>
      <c r="M522" s="41" t="str">
        <f t="shared" si="34"/>
        <v>-</v>
      </c>
      <c r="O522" s="41" t="str">
        <f t="shared" si="35"/>
        <v>-</v>
      </c>
    </row>
    <row r="523" spans="1:15" x14ac:dyDescent="0.3">
      <c r="A523" s="4" t="s">
        <v>54</v>
      </c>
      <c r="B523" s="3">
        <v>857077008657</v>
      </c>
      <c r="C523" s="2" t="s">
        <v>1421</v>
      </c>
      <c r="D523" s="30">
        <v>0.38</v>
      </c>
      <c r="E523" s="20">
        <v>19.03125</v>
      </c>
      <c r="F523" s="27"/>
      <c r="G523" s="23">
        <f t="shared" si="32"/>
        <v>0</v>
      </c>
      <c r="J523" s="39" t="str">
        <f>IFERROR(IF($J$2*D523=0, "-", $J$2*D523), "-")</f>
        <v>-</v>
      </c>
      <c r="K523" s="39" t="str">
        <f t="shared" si="33"/>
        <v>-</v>
      </c>
      <c r="L523" s="40" t="str">
        <f>IF(F523&gt;0,F523*D523, "-")</f>
        <v>-</v>
      </c>
      <c r="M523" s="41" t="str">
        <f t="shared" si="34"/>
        <v>-</v>
      </c>
      <c r="O523" s="41" t="str">
        <f t="shared" si="35"/>
        <v>-</v>
      </c>
    </row>
    <row r="524" spans="1:15" x14ac:dyDescent="0.3">
      <c r="A524" s="4" t="s">
        <v>1422</v>
      </c>
      <c r="B524" s="3">
        <v>810139572442</v>
      </c>
      <c r="C524" s="2" t="s">
        <v>1423</v>
      </c>
      <c r="D524" s="30">
        <v>0.26</v>
      </c>
      <c r="E524" s="20">
        <v>19.03125</v>
      </c>
      <c r="F524" s="27"/>
      <c r="G524" s="23">
        <f t="shared" si="32"/>
        <v>0</v>
      </c>
      <c r="J524" s="39" t="str">
        <f>IFERROR(IF($J$2*D524=0, "-", $J$2*D524), "-")</f>
        <v>-</v>
      </c>
      <c r="K524" s="39" t="str">
        <f t="shared" si="33"/>
        <v>-</v>
      </c>
      <c r="L524" s="40" t="str">
        <f>IF(F524&gt;0,F524*D524, "-")</f>
        <v>-</v>
      </c>
      <c r="M524" s="41" t="str">
        <f t="shared" si="34"/>
        <v>-</v>
      </c>
      <c r="O524" s="41" t="str">
        <f t="shared" si="35"/>
        <v>-</v>
      </c>
    </row>
    <row r="525" spans="1:15" x14ac:dyDescent="0.3">
      <c r="A525" s="4" t="s">
        <v>239</v>
      </c>
      <c r="B525" s="3">
        <v>810014678436</v>
      </c>
      <c r="C525" s="2" t="s">
        <v>1424</v>
      </c>
      <c r="D525" s="30">
        <v>0.28000000000000003</v>
      </c>
      <c r="E525" s="20">
        <v>19.03125</v>
      </c>
      <c r="F525" s="27"/>
      <c r="G525" s="23">
        <f t="shared" si="32"/>
        <v>0</v>
      </c>
      <c r="J525" s="39" t="str">
        <f>IFERROR(IF($J$2*D525=0, "-", $J$2*D525), "-")</f>
        <v>-</v>
      </c>
      <c r="K525" s="39" t="str">
        <f t="shared" si="33"/>
        <v>-</v>
      </c>
      <c r="L525" s="40" t="str">
        <f>IF(F525&gt;0,F525*D525, "-")</f>
        <v>-</v>
      </c>
      <c r="M525" s="41" t="str">
        <f t="shared" si="34"/>
        <v>-</v>
      </c>
      <c r="O525" s="41" t="str">
        <f t="shared" si="35"/>
        <v>-</v>
      </c>
    </row>
    <row r="526" spans="1:15" x14ac:dyDescent="0.3">
      <c r="A526" s="4" t="s">
        <v>535</v>
      </c>
      <c r="B526" s="3">
        <v>810014678900</v>
      </c>
      <c r="C526" s="2" t="s">
        <v>1425</v>
      </c>
      <c r="D526" s="30">
        <v>0.59</v>
      </c>
      <c r="E526" s="20">
        <v>19.03125</v>
      </c>
      <c r="F526" s="27"/>
      <c r="G526" s="23">
        <f t="shared" si="32"/>
        <v>0</v>
      </c>
      <c r="J526" s="39" t="str">
        <f>IFERROR(IF($J$2*D526=0, "-", $J$2*D526), "-")</f>
        <v>-</v>
      </c>
      <c r="K526" s="39" t="str">
        <f t="shared" si="33"/>
        <v>-</v>
      </c>
      <c r="L526" s="40" t="str">
        <f>IF(F526&gt;0,F526*D526, "-")</f>
        <v>-</v>
      </c>
      <c r="M526" s="41" t="str">
        <f t="shared" si="34"/>
        <v>-</v>
      </c>
      <c r="O526" s="41" t="str">
        <f t="shared" si="35"/>
        <v>-</v>
      </c>
    </row>
    <row r="527" spans="1:15" x14ac:dyDescent="0.3">
      <c r="A527" s="4" t="s">
        <v>35</v>
      </c>
      <c r="B527" s="3">
        <v>810014674025</v>
      </c>
      <c r="C527" s="2" t="s">
        <v>1426</v>
      </c>
      <c r="D527" s="30">
        <v>0.09</v>
      </c>
      <c r="E527" s="20">
        <v>19.03125</v>
      </c>
      <c r="F527" s="27"/>
      <c r="G527" s="23">
        <f t="shared" si="32"/>
        <v>0</v>
      </c>
      <c r="J527" s="39" t="str">
        <f>IFERROR(IF($J$2*D527=0, "-", $J$2*D527), "-")</f>
        <v>-</v>
      </c>
      <c r="K527" s="39" t="str">
        <f t="shared" si="33"/>
        <v>-</v>
      </c>
      <c r="L527" s="40" t="str">
        <f>IF(F527&gt;0,F527*D527, "-")</f>
        <v>-</v>
      </c>
      <c r="M527" s="41" t="str">
        <f t="shared" si="34"/>
        <v>-</v>
      </c>
      <c r="O527" s="41" t="str">
        <f t="shared" si="35"/>
        <v>-</v>
      </c>
    </row>
    <row r="528" spans="1:15" x14ac:dyDescent="0.3">
      <c r="A528" s="4" t="s">
        <v>513</v>
      </c>
      <c r="B528" s="3">
        <v>702669930819</v>
      </c>
      <c r="C528" s="2" t="s">
        <v>1427</v>
      </c>
      <c r="D528" s="30">
        <v>0.35</v>
      </c>
      <c r="E528" s="20">
        <v>19.03125</v>
      </c>
      <c r="F528" s="27"/>
      <c r="G528" s="23">
        <f t="shared" si="32"/>
        <v>0</v>
      </c>
      <c r="J528" s="39" t="str">
        <f>IFERROR(IF($J$2*D528=0, "-", $J$2*D528), "-")</f>
        <v>-</v>
      </c>
      <c r="K528" s="39" t="str">
        <f t="shared" si="33"/>
        <v>-</v>
      </c>
      <c r="L528" s="40" t="str">
        <f>IF(F528&gt;0,F528*D528, "-")</f>
        <v>-</v>
      </c>
      <c r="M528" s="41" t="str">
        <f t="shared" si="34"/>
        <v>-</v>
      </c>
      <c r="O528" s="41" t="str">
        <f t="shared" si="35"/>
        <v>-</v>
      </c>
    </row>
    <row r="529" spans="1:15" x14ac:dyDescent="0.3">
      <c r="A529" s="4" t="s">
        <v>1428</v>
      </c>
      <c r="B529" s="3">
        <v>810139576952</v>
      </c>
      <c r="C529" s="2" t="s">
        <v>1429</v>
      </c>
      <c r="D529" s="30">
        <v>0.15</v>
      </c>
      <c r="E529" s="20">
        <v>19.03125</v>
      </c>
      <c r="F529" s="27"/>
      <c r="G529" s="23">
        <f t="shared" si="32"/>
        <v>0</v>
      </c>
      <c r="J529" s="39" t="str">
        <f>IFERROR(IF($J$2*D529=0, "-", $J$2*D529), "-")</f>
        <v>-</v>
      </c>
      <c r="K529" s="39" t="str">
        <f t="shared" si="33"/>
        <v>-</v>
      </c>
      <c r="L529" s="40" t="str">
        <f>IF(F529&gt;0,F529*D529, "-")</f>
        <v>-</v>
      </c>
      <c r="M529" s="41" t="str">
        <f t="shared" si="34"/>
        <v>-</v>
      </c>
      <c r="O529" s="41" t="str">
        <f t="shared" si="35"/>
        <v>-</v>
      </c>
    </row>
    <row r="530" spans="1:15" x14ac:dyDescent="0.3">
      <c r="A530" s="4" t="s">
        <v>66</v>
      </c>
      <c r="B530" s="3">
        <v>857077008558</v>
      </c>
      <c r="C530" s="2" t="s">
        <v>1430</v>
      </c>
      <c r="D530" s="30">
        <v>0.35</v>
      </c>
      <c r="E530" s="20">
        <v>19.03125</v>
      </c>
      <c r="F530" s="27"/>
      <c r="G530" s="23">
        <f t="shared" si="32"/>
        <v>0</v>
      </c>
      <c r="J530" s="39" t="str">
        <f>IFERROR(IF($J$2*D530=0, "-", $J$2*D530), "-")</f>
        <v>-</v>
      </c>
      <c r="K530" s="39" t="str">
        <f t="shared" si="33"/>
        <v>-</v>
      </c>
      <c r="L530" s="40" t="str">
        <f>IF(F530&gt;0,F530*D530, "-")</f>
        <v>-</v>
      </c>
      <c r="M530" s="41" t="str">
        <f t="shared" si="34"/>
        <v>-</v>
      </c>
      <c r="O530" s="41" t="str">
        <f t="shared" si="35"/>
        <v>-</v>
      </c>
    </row>
    <row r="531" spans="1:15" x14ac:dyDescent="0.3">
      <c r="A531" s="4" t="s">
        <v>1431</v>
      </c>
      <c r="B531" s="3">
        <v>810139576778</v>
      </c>
      <c r="C531" s="2" t="s">
        <v>1432</v>
      </c>
      <c r="D531" s="30">
        <v>0.15</v>
      </c>
      <c r="E531" s="20">
        <v>19.03125</v>
      </c>
      <c r="F531" s="27"/>
      <c r="G531" s="23">
        <f t="shared" si="32"/>
        <v>0</v>
      </c>
      <c r="J531" s="39" t="str">
        <f>IFERROR(IF($J$2*D531=0, "-", $J$2*D531), "-")</f>
        <v>-</v>
      </c>
      <c r="K531" s="39" t="str">
        <f t="shared" si="33"/>
        <v>-</v>
      </c>
      <c r="L531" s="40" t="str">
        <f>IF(F531&gt;0,F531*D531, "-")</f>
        <v>-</v>
      </c>
      <c r="M531" s="41" t="str">
        <f t="shared" si="34"/>
        <v>-</v>
      </c>
      <c r="O531" s="41" t="str">
        <f t="shared" si="35"/>
        <v>-</v>
      </c>
    </row>
    <row r="532" spans="1:15" x14ac:dyDescent="0.3">
      <c r="A532" s="4" t="s">
        <v>1433</v>
      </c>
      <c r="B532" s="3">
        <v>810139576167</v>
      </c>
      <c r="C532" s="2" t="s">
        <v>1434</v>
      </c>
      <c r="D532" s="30">
        <v>0.09</v>
      </c>
      <c r="E532" s="20">
        <v>19.03125</v>
      </c>
      <c r="F532" s="27"/>
      <c r="G532" s="23">
        <f t="shared" si="32"/>
        <v>0</v>
      </c>
      <c r="J532" s="39" t="str">
        <f>IFERROR(IF($J$2*D532=0, "-", $J$2*D532), "-")</f>
        <v>-</v>
      </c>
      <c r="K532" s="39" t="str">
        <f t="shared" si="33"/>
        <v>-</v>
      </c>
      <c r="L532" s="40" t="str">
        <f>IF(F532&gt;0,F532*D532, "-")</f>
        <v>-</v>
      </c>
      <c r="M532" s="41" t="str">
        <f t="shared" si="34"/>
        <v>-</v>
      </c>
      <c r="O532" s="41" t="str">
        <f t="shared" si="35"/>
        <v>-</v>
      </c>
    </row>
    <row r="533" spans="1:15" x14ac:dyDescent="0.3">
      <c r="A533" s="4" t="s">
        <v>560</v>
      </c>
      <c r="B533" s="3">
        <v>810139572275</v>
      </c>
      <c r="C533" s="2" t="s">
        <v>1435</v>
      </c>
      <c r="D533" s="30">
        <v>0.11</v>
      </c>
      <c r="E533" s="20">
        <v>19.03125</v>
      </c>
      <c r="F533" s="27"/>
      <c r="G533" s="23">
        <f t="shared" si="32"/>
        <v>0</v>
      </c>
      <c r="J533" s="39" t="str">
        <f>IFERROR(IF($J$2*D533=0, "-", $J$2*D533), "-")</f>
        <v>-</v>
      </c>
      <c r="K533" s="39" t="str">
        <f t="shared" si="33"/>
        <v>-</v>
      </c>
      <c r="L533" s="40" t="str">
        <f>IF(F533&gt;0,F533*D533, "-")</f>
        <v>-</v>
      </c>
      <c r="M533" s="41" t="str">
        <f t="shared" si="34"/>
        <v>-</v>
      </c>
      <c r="O533" s="41" t="str">
        <f t="shared" si="35"/>
        <v>-</v>
      </c>
    </row>
    <row r="534" spans="1:15" x14ac:dyDescent="0.3">
      <c r="A534" s="4" t="s">
        <v>506</v>
      </c>
      <c r="B534" s="3">
        <v>810014670058</v>
      </c>
      <c r="C534" s="2" t="s">
        <v>1436</v>
      </c>
      <c r="D534" s="30">
        <v>0.22</v>
      </c>
      <c r="E534" s="20">
        <v>19.03125</v>
      </c>
      <c r="F534" s="27"/>
      <c r="G534" s="23">
        <f t="shared" si="32"/>
        <v>0</v>
      </c>
      <c r="J534" s="39" t="str">
        <f>IFERROR(IF($J$2*D534=0, "-", $J$2*D534), "-")</f>
        <v>-</v>
      </c>
      <c r="K534" s="39" t="str">
        <f t="shared" si="33"/>
        <v>-</v>
      </c>
      <c r="L534" s="40" t="str">
        <f>IF(F534&gt;0,F534*D534, "-")</f>
        <v>-</v>
      </c>
      <c r="M534" s="41" t="str">
        <f t="shared" si="34"/>
        <v>-</v>
      </c>
      <c r="O534" s="41" t="str">
        <f t="shared" si="35"/>
        <v>-</v>
      </c>
    </row>
    <row r="535" spans="1:15" x14ac:dyDescent="0.3">
      <c r="A535" s="4" t="s">
        <v>76</v>
      </c>
      <c r="B535" s="3">
        <v>857077008237</v>
      </c>
      <c r="C535" s="2" t="s">
        <v>1437</v>
      </c>
      <c r="D535" s="30">
        <v>0.38</v>
      </c>
      <c r="E535" s="20">
        <v>19.03125</v>
      </c>
      <c r="F535" s="27"/>
      <c r="G535" s="23">
        <f t="shared" si="32"/>
        <v>0</v>
      </c>
      <c r="J535" s="39" t="str">
        <f>IFERROR(IF($J$2*D535=0, "-", $J$2*D535), "-")</f>
        <v>-</v>
      </c>
      <c r="K535" s="39" t="str">
        <f t="shared" si="33"/>
        <v>-</v>
      </c>
      <c r="L535" s="40" t="str">
        <f>IF(F535&gt;0,F535*D535, "-")</f>
        <v>-</v>
      </c>
      <c r="M535" s="41" t="str">
        <f t="shared" si="34"/>
        <v>-</v>
      </c>
      <c r="O535" s="41" t="str">
        <f t="shared" si="35"/>
        <v>-</v>
      </c>
    </row>
    <row r="536" spans="1:15" x14ac:dyDescent="0.3">
      <c r="A536" s="4" t="s">
        <v>1438</v>
      </c>
      <c r="B536" s="3">
        <v>810139574545</v>
      </c>
      <c r="C536" s="2" t="s">
        <v>1439</v>
      </c>
      <c r="D536" s="30">
        <v>0.39</v>
      </c>
      <c r="E536" s="20">
        <v>19.03125</v>
      </c>
      <c r="F536" s="27"/>
      <c r="G536" s="23">
        <f t="shared" si="32"/>
        <v>0</v>
      </c>
      <c r="J536" s="39" t="str">
        <f>IFERROR(IF($J$2*D536=0, "-", $J$2*D536), "-")</f>
        <v>-</v>
      </c>
      <c r="K536" s="39" t="str">
        <f t="shared" si="33"/>
        <v>-</v>
      </c>
      <c r="L536" s="40" t="str">
        <f>IF(F536&gt;0,F536*D536, "-")</f>
        <v>-</v>
      </c>
      <c r="M536" s="41" t="str">
        <f t="shared" si="34"/>
        <v>-</v>
      </c>
      <c r="O536" s="41" t="str">
        <f t="shared" si="35"/>
        <v>-</v>
      </c>
    </row>
    <row r="537" spans="1:15" x14ac:dyDescent="0.3">
      <c r="A537" s="4" t="s">
        <v>205</v>
      </c>
      <c r="B537" s="3">
        <v>810014674452</v>
      </c>
      <c r="C537" s="2" t="s">
        <v>1440</v>
      </c>
      <c r="D537" s="30">
        <v>0.24</v>
      </c>
      <c r="E537" s="20">
        <v>19.03125</v>
      </c>
      <c r="F537" s="27"/>
      <c r="G537" s="23">
        <f t="shared" si="32"/>
        <v>0</v>
      </c>
      <c r="J537" s="39" t="str">
        <f>IFERROR(IF($J$2*D537=0, "-", $J$2*D537), "-")</f>
        <v>-</v>
      </c>
      <c r="K537" s="39" t="str">
        <f t="shared" si="33"/>
        <v>-</v>
      </c>
      <c r="L537" s="40" t="str">
        <f>IF(F537&gt;0,F537*D537, "-")</f>
        <v>-</v>
      </c>
      <c r="M537" s="41" t="str">
        <f t="shared" si="34"/>
        <v>-</v>
      </c>
      <c r="O537" s="41" t="str">
        <f t="shared" si="35"/>
        <v>-</v>
      </c>
    </row>
    <row r="538" spans="1:15" x14ac:dyDescent="0.3">
      <c r="A538" s="4" t="s">
        <v>437</v>
      </c>
      <c r="B538" s="3">
        <v>810014672779</v>
      </c>
      <c r="C538" s="2" t="s">
        <v>1441</v>
      </c>
      <c r="D538" s="30">
        <v>0.38</v>
      </c>
      <c r="E538" s="20">
        <v>19.03125</v>
      </c>
      <c r="F538" s="27"/>
      <c r="G538" s="23">
        <f t="shared" si="32"/>
        <v>0</v>
      </c>
      <c r="J538" s="39" t="str">
        <f>IFERROR(IF($J$2*D538=0, "-", $J$2*D538), "-")</f>
        <v>-</v>
      </c>
      <c r="K538" s="39" t="str">
        <f t="shared" si="33"/>
        <v>-</v>
      </c>
      <c r="L538" s="40" t="str">
        <f>IF(F538&gt;0,F538*D538, "-")</f>
        <v>-</v>
      </c>
      <c r="M538" s="41" t="str">
        <f t="shared" si="34"/>
        <v>-</v>
      </c>
      <c r="O538" s="41" t="str">
        <f t="shared" si="35"/>
        <v>-</v>
      </c>
    </row>
    <row r="539" spans="1:15" x14ac:dyDescent="0.3">
      <c r="A539" s="4" t="s">
        <v>192</v>
      </c>
      <c r="B539" s="3">
        <v>810014671659</v>
      </c>
      <c r="C539" s="2" t="s">
        <v>1442</v>
      </c>
      <c r="D539" s="30">
        <v>0.06</v>
      </c>
      <c r="E539" s="20">
        <v>19.03125</v>
      </c>
      <c r="F539" s="27"/>
      <c r="G539" s="23">
        <f t="shared" si="32"/>
        <v>0</v>
      </c>
      <c r="J539" s="39" t="str">
        <f>IFERROR(IF($J$2*D539=0, "-", $J$2*D539), "-")</f>
        <v>-</v>
      </c>
      <c r="K539" s="39" t="str">
        <f t="shared" si="33"/>
        <v>-</v>
      </c>
      <c r="L539" s="40" t="str">
        <f>IF(F539&gt;0,F539*D539, "-")</f>
        <v>-</v>
      </c>
      <c r="M539" s="41" t="str">
        <f t="shared" si="34"/>
        <v>-</v>
      </c>
      <c r="O539" s="41" t="str">
        <f t="shared" si="35"/>
        <v>-</v>
      </c>
    </row>
    <row r="540" spans="1:15" x14ac:dyDescent="0.3">
      <c r="A540" s="4" t="s">
        <v>556</v>
      </c>
      <c r="B540" s="3">
        <v>810014677019</v>
      </c>
      <c r="C540" s="2" t="s">
        <v>1443</v>
      </c>
      <c r="D540" s="30">
        <v>0.18</v>
      </c>
      <c r="E540" s="20">
        <v>19.03125</v>
      </c>
      <c r="F540" s="27"/>
      <c r="G540" s="23">
        <f t="shared" si="32"/>
        <v>0</v>
      </c>
      <c r="J540" s="39" t="str">
        <f>IFERROR(IF($J$2*D540=0, "-", $J$2*D540), "-")</f>
        <v>-</v>
      </c>
      <c r="K540" s="39" t="str">
        <f t="shared" si="33"/>
        <v>-</v>
      </c>
      <c r="L540" s="40" t="str">
        <f>IF(F540&gt;0,F540*D540, "-")</f>
        <v>-</v>
      </c>
      <c r="M540" s="41" t="str">
        <f t="shared" si="34"/>
        <v>-</v>
      </c>
      <c r="O540" s="41" t="str">
        <f t="shared" si="35"/>
        <v>-</v>
      </c>
    </row>
    <row r="541" spans="1:15" x14ac:dyDescent="0.3">
      <c r="A541" s="4" t="s">
        <v>680</v>
      </c>
      <c r="B541" s="3">
        <v>810014679464</v>
      </c>
      <c r="C541" s="2" t="s">
        <v>1444</v>
      </c>
      <c r="D541" s="30">
        <v>0.24</v>
      </c>
      <c r="E541" s="20">
        <v>19.411875000000002</v>
      </c>
      <c r="F541" s="27"/>
      <c r="G541" s="23">
        <f t="shared" si="32"/>
        <v>0</v>
      </c>
      <c r="J541" s="39" t="str">
        <f>IFERROR(IF($J$2*D541=0, "-", $J$2*D541), "-")</f>
        <v>-</v>
      </c>
      <c r="K541" s="39" t="str">
        <f t="shared" si="33"/>
        <v>-</v>
      </c>
      <c r="L541" s="40" t="str">
        <f>IF(F541&gt;0,F541*D541, "-")</f>
        <v>-</v>
      </c>
      <c r="M541" s="41" t="str">
        <f t="shared" si="34"/>
        <v>-</v>
      </c>
      <c r="O541" s="41" t="str">
        <f t="shared" si="35"/>
        <v>-</v>
      </c>
    </row>
    <row r="542" spans="1:15" x14ac:dyDescent="0.3">
      <c r="A542" s="4" t="s">
        <v>240</v>
      </c>
      <c r="B542" s="3">
        <v>810014674223</v>
      </c>
      <c r="C542" s="2" t="s">
        <v>1445</v>
      </c>
      <c r="D542" s="30">
        <v>0.36</v>
      </c>
      <c r="E542" s="20">
        <v>19.411875000000002</v>
      </c>
      <c r="F542" s="27"/>
      <c r="G542" s="23">
        <f t="shared" si="32"/>
        <v>0</v>
      </c>
      <c r="J542" s="39" t="str">
        <f>IFERROR(IF($J$2*D542=0, "-", $J$2*D542), "-")</f>
        <v>-</v>
      </c>
      <c r="K542" s="39" t="str">
        <f t="shared" si="33"/>
        <v>-</v>
      </c>
      <c r="L542" s="40" t="str">
        <f>IF(F542&gt;0,F542*D542, "-")</f>
        <v>-</v>
      </c>
      <c r="M542" s="41" t="str">
        <f t="shared" si="34"/>
        <v>-</v>
      </c>
      <c r="O542" s="41" t="str">
        <f t="shared" si="35"/>
        <v>-</v>
      </c>
    </row>
    <row r="543" spans="1:15" x14ac:dyDescent="0.3">
      <c r="A543" s="4" t="s">
        <v>1446</v>
      </c>
      <c r="B543" s="3">
        <v>810139572800</v>
      </c>
      <c r="C543" s="2" t="s">
        <v>1447</v>
      </c>
      <c r="D543" s="30">
        <v>0.09</v>
      </c>
      <c r="E543" s="20">
        <v>19.411875000000002</v>
      </c>
      <c r="F543" s="27"/>
      <c r="G543" s="23">
        <f t="shared" si="32"/>
        <v>0</v>
      </c>
      <c r="J543" s="39" t="str">
        <f>IFERROR(IF($J$2*D543=0, "-", $J$2*D543), "-")</f>
        <v>-</v>
      </c>
      <c r="K543" s="39" t="str">
        <f t="shared" si="33"/>
        <v>-</v>
      </c>
      <c r="L543" s="40" t="str">
        <f>IF(F543&gt;0,F543*D543, "-")</f>
        <v>-</v>
      </c>
      <c r="M543" s="41" t="str">
        <f t="shared" si="34"/>
        <v>-</v>
      </c>
      <c r="O543" s="41" t="str">
        <f t="shared" si="35"/>
        <v>-</v>
      </c>
    </row>
    <row r="544" spans="1:15" x14ac:dyDescent="0.3">
      <c r="A544" s="4" t="s">
        <v>257</v>
      </c>
      <c r="B544" s="3">
        <v>857077008282</v>
      </c>
      <c r="C544" s="2" t="s">
        <v>1448</v>
      </c>
      <c r="D544" s="30">
        <v>0.28999999999999998</v>
      </c>
      <c r="E544" s="20">
        <v>19.411875000000002</v>
      </c>
      <c r="F544" s="27"/>
      <c r="G544" s="23">
        <f t="shared" si="32"/>
        <v>0</v>
      </c>
      <c r="J544" s="39" t="str">
        <f>IFERROR(IF($J$2*D544=0, "-", $J$2*D544), "-")</f>
        <v>-</v>
      </c>
      <c r="K544" s="39" t="str">
        <f t="shared" si="33"/>
        <v>-</v>
      </c>
      <c r="L544" s="40" t="str">
        <f>IF(F544&gt;0,F544*D544, "-")</f>
        <v>-</v>
      </c>
      <c r="M544" s="41" t="str">
        <f t="shared" si="34"/>
        <v>-</v>
      </c>
      <c r="O544" s="41" t="str">
        <f t="shared" si="35"/>
        <v>-</v>
      </c>
    </row>
    <row r="545" spans="1:15" x14ac:dyDescent="0.3">
      <c r="A545" s="4" t="s">
        <v>376</v>
      </c>
      <c r="B545" s="3">
        <v>810014675060</v>
      </c>
      <c r="C545" s="2" t="s">
        <v>1449</v>
      </c>
      <c r="D545" s="30">
        <v>0.42</v>
      </c>
      <c r="E545" s="20">
        <v>19.7925</v>
      </c>
      <c r="F545" s="27"/>
      <c r="G545" s="23">
        <f t="shared" si="32"/>
        <v>0</v>
      </c>
      <c r="J545" s="39" t="str">
        <f>IFERROR(IF($J$2*D545=0, "-", $J$2*D545), "-")</f>
        <v>-</v>
      </c>
      <c r="K545" s="39" t="str">
        <f t="shared" si="33"/>
        <v>-</v>
      </c>
      <c r="L545" s="40" t="str">
        <f>IF(F545&gt;0,F545*D545, "-")</f>
        <v>-</v>
      </c>
      <c r="M545" s="41" t="str">
        <f t="shared" si="34"/>
        <v>-</v>
      </c>
      <c r="O545" s="41" t="str">
        <f t="shared" si="35"/>
        <v>-</v>
      </c>
    </row>
    <row r="546" spans="1:15" x14ac:dyDescent="0.3">
      <c r="A546" s="4" t="s">
        <v>380</v>
      </c>
      <c r="B546" s="3">
        <v>810014675077</v>
      </c>
      <c r="C546" s="2" t="s">
        <v>1450</v>
      </c>
      <c r="D546" s="30">
        <v>0.44</v>
      </c>
      <c r="E546" s="20">
        <v>19.7925</v>
      </c>
      <c r="F546" s="27"/>
      <c r="G546" s="23">
        <f t="shared" si="32"/>
        <v>0</v>
      </c>
      <c r="J546" s="39" t="str">
        <f>IFERROR(IF($J$2*D546=0, "-", $J$2*D546), "-")</f>
        <v>-</v>
      </c>
      <c r="K546" s="39" t="str">
        <f t="shared" si="33"/>
        <v>-</v>
      </c>
      <c r="L546" s="40" t="str">
        <f>IF(F546&gt;0,F546*D546, "-")</f>
        <v>-</v>
      </c>
      <c r="M546" s="41" t="str">
        <f t="shared" si="34"/>
        <v>-</v>
      </c>
      <c r="O546" s="41" t="str">
        <f t="shared" si="35"/>
        <v>-</v>
      </c>
    </row>
    <row r="547" spans="1:15" x14ac:dyDescent="0.3">
      <c r="A547" s="4" t="s">
        <v>378</v>
      </c>
      <c r="B547" s="3">
        <v>810139570080</v>
      </c>
      <c r="C547" s="2" t="s">
        <v>1451</v>
      </c>
      <c r="D547" s="30">
        <v>0.42</v>
      </c>
      <c r="E547" s="20">
        <v>19.7925</v>
      </c>
      <c r="F547" s="27"/>
      <c r="G547" s="23">
        <f t="shared" si="32"/>
        <v>0</v>
      </c>
      <c r="J547" s="39" t="str">
        <f>IFERROR(IF($J$2*D547=0, "-", $J$2*D547), "-")</f>
        <v>-</v>
      </c>
      <c r="K547" s="39" t="str">
        <f t="shared" si="33"/>
        <v>-</v>
      </c>
      <c r="L547" s="40" t="str">
        <f>IF(F547&gt;0,F547*D547, "-")</f>
        <v>-</v>
      </c>
      <c r="M547" s="41" t="str">
        <f t="shared" si="34"/>
        <v>-</v>
      </c>
      <c r="O547" s="41" t="str">
        <f t="shared" si="35"/>
        <v>-</v>
      </c>
    </row>
    <row r="548" spans="1:15" x14ac:dyDescent="0.3">
      <c r="A548" s="4" t="s">
        <v>374</v>
      </c>
      <c r="B548" s="3">
        <v>810014675053</v>
      </c>
      <c r="C548" s="2" t="s">
        <v>1452</v>
      </c>
      <c r="D548" s="30">
        <v>0.44</v>
      </c>
      <c r="E548" s="20">
        <v>19.7925</v>
      </c>
      <c r="F548" s="27"/>
      <c r="G548" s="23">
        <f t="shared" si="32"/>
        <v>0</v>
      </c>
      <c r="J548" s="39" t="str">
        <f>IFERROR(IF($J$2*D548=0, "-", $J$2*D548), "-")</f>
        <v>-</v>
      </c>
      <c r="K548" s="39" t="str">
        <f t="shared" si="33"/>
        <v>-</v>
      </c>
      <c r="L548" s="40" t="str">
        <f>IF(F548&gt;0,F548*D548, "-")</f>
        <v>-</v>
      </c>
      <c r="M548" s="41" t="str">
        <f t="shared" si="34"/>
        <v>-</v>
      </c>
      <c r="O548" s="41" t="str">
        <f t="shared" si="35"/>
        <v>-</v>
      </c>
    </row>
    <row r="549" spans="1:15" x14ac:dyDescent="0.3">
      <c r="A549" s="4" t="s">
        <v>1453</v>
      </c>
      <c r="B549" s="3">
        <v>810139575900</v>
      </c>
      <c r="C549" s="2" t="s">
        <v>1454</v>
      </c>
      <c r="D549" s="30">
        <v>0.62</v>
      </c>
      <c r="E549" s="20">
        <v>19.7925</v>
      </c>
      <c r="F549" s="27"/>
      <c r="G549" s="23">
        <f t="shared" si="32"/>
        <v>0</v>
      </c>
      <c r="J549" s="39" t="str">
        <f>IFERROR(IF($J$2*D549=0, "-", $J$2*D549), "-")</f>
        <v>-</v>
      </c>
      <c r="K549" s="39" t="str">
        <f t="shared" si="33"/>
        <v>-</v>
      </c>
      <c r="L549" s="40" t="str">
        <f>IF(F549&gt;0,F549*D549, "-")</f>
        <v>-</v>
      </c>
      <c r="M549" s="41" t="str">
        <f t="shared" si="34"/>
        <v>-</v>
      </c>
      <c r="O549" s="41" t="str">
        <f t="shared" si="35"/>
        <v>-</v>
      </c>
    </row>
    <row r="550" spans="1:15" x14ac:dyDescent="0.3">
      <c r="A550" s="4" t="s">
        <v>57</v>
      </c>
      <c r="B550" s="3">
        <v>857077008206</v>
      </c>
      <c r="C550" s="2" t="s">
        <v>1455</v>
      </c>
      <c r="D550" s="30">
        <v>0.5</v>
      </c>
      <c r="E550" s="20">
        <v>19.7925</v>
      </c>
      <c r="F550" s="27"/>
      <c r="G550" s="23">
        <f t="shared" si="32"/>
        <v>0</v>
      </c>
      <c r="J550" s="39" t="str">
        <f>IFERROR(IF($J$2*D550=0, "-", $J$2*D550), "-")</f>
        <v>-</v>
      </c>
      <c r="K550" s="39" t="str">
        <f t="shared" si="33"/>
        <v>-</v>
      </c>
      <c r="L550" s="40" t="str">
        <f>IF(F550&gt;0,F550*D550, "-")</f>
        <v>-</v>
      </c>
      <c r="M550" s="41" t="str">
        <f t="shared" si="34"/>
        <v>-</v>
      </c>
      <c r="O550" s="41" t="str">
        <f t="shared" si="35"/>
        <v>-</v>
      </c>
    </row>
    <row r="551" spans="1:15" x14ac:dyDescent="0.3">
      <c r="A551" s="4" t="s">
        <v>34</v>
      </c>
      <c r="B551" s="3">
        <v>810139573029</v>
      </c>
      <c r="C551" s="2" t="s">
        <v>1456</v>
      </c>
      <c r="D551" s="30">
        <v>0.41</v>
      </c>
      <c r="E551" s="20">
        <v>19.7925</v>
      </c>
      <c r="F551" s="27"/>
      <c r="G551" s="23">
        <f t="shared" si="32"/>
        <v>0</v>
      </c>
      <c r="J551" s="39" t="str">
        <f>IFERROR(IF($J$2*D551=0, "-", $J$2*D551), "-")</f>
        <v>-</v>
      </c>
      <c r="K551" s="39" t="str">
        <f t="shared" si="33"/>
        <v>-</v>
      </c>
      <c r="L551" s="40" t="str">
        <f>IF(F551&gt;0,F551*D551, "-")</f>
        <v>-</v>
      </c>
      <c r="M551" s="41" t="str">
        <f t="shared" si="34"/>
        <v>-</v>
      </c>
      <c r="O551" s="41" t="str">
        <f t="shared" si="35"/>
        <v>-</v>
      </c>
    </row>
    <row r="552" spans="1:15" x14ac:dyDescent="0.3">
      <c r="A552" s="4" t="s">
        <v>241</v>
      </c>
      <c r="B552" s="3">
        <v>810014673608</v>
      </c>
      <c r="C552" s="2" t="s">
        <v>1457</v>
      </c>
      <c r="D552" s="30">
        <v>0.44</v>
      </c>
      <c r="E552" s="20">
        <v>19.7925</v>
      </c>
      <c r="F552" s="27"/>
      <c r="G552" s="23">
        <f t="shared" si="32"/>
        <v>0</v>
      </c>
      <c r="J552" s="39" t="str">
        <f>IFERROR(IF($J$2*D552=0, "-", $J$2*D552), "-")</f>
        <v>-</v>
      </c>
      <c r="K552" s="39" t="str">
        <f t="shared" si="33"/>
        <v>-</v>
      </c>
      <c r="L552" s="40" t="str">
        <f>IF(F552&gt;0,F552*D552, "-")</f>
        <v>-</v>
      </c>
      <c r="M552" s="41" t="str">
        <f t="shared" si="34"/>
        <v>-</v>
      </c>
      <c r="O552" s="41" t="str">
        <f t="shared" si="35"/>
        <v>-</v>
      </c>
    </row>
    <row r="553" spans="1:15" x14ac:dyDescent="0.3">
      <c r="A553" s="4" t="s">
        <v>244</v>
      </c>
      <c r="B553" s="3">
        <v>810014673622</v>
      </c>
      <c r="C553" s="2" t="s">
        <v>1458</v>
      </c>
      <c r="D553" s="30">
        <v>0.45</v>
      </c>
      <c r="E553" s="20">
        <v>19.7925</v>
      </c>
      <c r="F553" s="27"/>
      <c r="G553" s="23">
        <f t="shared" si="32"/>
        <v>0</v>
      </c>
      <c r="J553" s="39" t="str">
        <f>IFERROR(IF($J$2*D553=0, "-", $J$2*D553), "-")</f>
        <v>-</v>
      </c>
      <c r="K553" s="39" t="str">
        <f t="shared" si="33"/>
        <v>-</v>
      </c>
      <c r="L553" s="40" t="str">
        <f>IF(F553&gt;0,F553*D553, "-")</f>
        <v>-</v>
      </c>
      <c r="M553" s="41" t="str">
        <f t="shared" si="34"/>
        <v>-</v>
      </c>
      <c r="O553" s="41" t="str">
        <f t="shared" si="35"/>
        <v>-</v>
      </c>
    </row>
    <row r="554" spans="1:15" x14ac:dyDescent="0.3">
      <c r="A554" s="4" t="s">
        <v>243</v>
      </c>
      <c r="B554" s="3">
        <v>810014673615</v>
      </c>
      <c r="C554" s="2" t="s">
        <v>1459</v>
      </c>
      <c r="D554" s="30">
        <v>0.44</v>
      </c>
      <c r="E554" s="20">
        <v>19.7925</v>
      </c>
      <c r="F554" s="27"/>
      <c r="G554" s="23">
        <f t="shared" si="32"/>
        <v>0</v>
      </c>
      <c r="J554" s="39" t="str">
        <f>IFERROR(IF($J$2*D554=0, "-", $J$2*D554), "-")</f>
        <v>-</v>
      </c>
      <c r="K554" s="39" t="str">
        <f t="shared" si="33"/>
        <v>-</v>
      </c>
      <c r="L554" s="40" t="str">
        <f>IF(F554&gt;0,F554*D554, "-")</f>
        <v>-</v>
      </c>
      <c r="M554" s="41" t="str">
        <f t="shared" si="34"/>
        <v>-</v>
      </c>
      <c r="O554" s="41" t="str">
        <f t="shared" si="35"/>
        <v>-</v>
      </c>
    </row>
    <row r="555" spans="1:15" x14ac:dyDescent="0.3">
      <c r="A555" s="4" t="s">
        <v>242</v>
      </c>
      <c r="B555" s="3">
        <v>810014673592</v>
      </c>
      <c r="C555" s="2" t="s">
        <v>1460</v>
      </c>
      <c r="D555" s="30">
        <v>0.44</v>
      </c>
      <c r="E555" s="20">
        <v>19.7925</v>
      </c>
      <c r="F555" s="27"/>
      <c r="G555" s="23">
        <f t="shared" si="32"/>
        <v>0</v>
      </c>
      <c r="J555" s="39" t="str">
        <f>IFERROR(IF($J$2*D555=0, "-", $J$2*D555), "-")</f>
        <v>-</v>
      </c>
      <c r="K555" s="39" t="str">
        <f t="shared" si="33"/>
        <v>-</v>
      </c>
      <c r="L555" s="40" t="str">
        <f>IF(F555&gt;0,F555*D555, "-")</f>
        <v>-</v>
      </c>
      <c r="M555" s="41" t="str">
        <f t="shared" si="34"/>
        <v>-</v>
      </c>
      <c r="O555" s="41" t="str">
        <f t="shared" si="35"/>
        <v>-</v>
      </c>
    </row>
    <row r="556" spans="1:15" x14ac:dyDescent="0.3">
      <c r="A556" s="4" t="s">
        <v>353</v>
      </c>
      <c r="B556" s="3">
        <v>810014679280</v>
      </c>
      <c r="C556" s="2" t="s">
        <v>1461</v>
      </c>
      <c r="D556" s="30">
        <v>0.39</v>
      </c>
      <c r="E556" s="20">
        <v>19.7925</v>
      </c>
      <c r="F556" s="27"/>
      <c r="G556" s="23">
        <f t="shared" si="32"/>
        <v>0</v>
      </c>
      <c r="J556" s="39" t="str">
        <f>IFERROR(IF($J$2*D556=0, "-", $J$2*D556), "-")</f>
        <v>-</v>
      </c>
      <c r="K556" s="39" t="str">
        <f t="shared" si="33"/>
        <v>-</v>
      </c>
      <c r="L556" s="40" t="str">
        <f>IF(F556&gt;0,F556*D556, "-")</f>
        <v>-</v>
      </c>
      <c r="M556" s="41" t="str">
        <f t="shared" si="34"/>
        <v>-</v>
      </c>
      <c r="O556" s="41" t="str">
        <f t="shared" si="35"/>
        <v>-</v>
      </c>
    </row>
    <row r="557" spans="1:15" x14ac:dyDescent="0.3">
      <c r="A557" s="4" t="s">
        <v>193</v>
      </c>
      <c r="B557" s="3">
        <v>810014678573</v>
      </c>
      <c r="C557" s="2" t="s">
        <v>1462</v>
      </c>
      <c r="D557" s="30">
        <v>0.1</v>
      </c>
      <c r="E557" s="20">
        <v>19.7925</v>
      </c>
      <c r="F557" s="27"/>
      <c r="G557" s="23">
        <f t="shared" si="32"/>
        <v>0</v>
      </c>
      <c r="J557" s="39" t="str">
        <f>IFERROR(IF($J$2*D557=0, "-", $J$2*D557), "-")</f>
        <v>-</v>
      </c>
      <c r="K557" s="39" t="str">
        <f t="shared" si="33"/>
        <v>-</v>
      </c>
      <c r="L557" s="40" t="str">
        <f>IF(F557&gt;0,F557*D557, "-")</f>
        <v>-</v>
      </c>
      <c r="M557" s="41" t="str">
        <f t="shared" si="34"/>
        <v>-</v>
      </c>
      <c r="O557" s="41" t="str">
        <f t="shared" si="35"/>
        <v>-</v>
      </c>
    </row>
    <row r="558" spans="1:15" x14ac:dyDescent="0.3">
      <c r="A558" s="4" t="s">
        <v>1463</v>
      </c>
      <c r="B558" s="3">
        <v>810139576419</v>
      </c>
      <c r="C558" s="2" t="s">
        <v>1464</v>
      </c>
      <c r="D558" s="30">
        <v>0.17</v>
      </c>
      <c r="E558" s="20">
        <v>19.7925</v>
      </c>
      <c r="F558" s="27"/>
      <c r="G558" s="23">
        <f t="shared" si="32"/>
        <v>0</v>
      </c>
      <c r="J558" s="39" t="str">
        <f>IFERROR(IF($J$2*D558=0, "-", $J$2*D558), "-")</f>
        <v>-</v>
      </c>
      <c r="K558" s="39" t="str">
        <f t="shared" si="33"/>
        <v>-</v>
      </c>
      <c r="L558" s="40" t="str">
        <f>IF(F558&gt;0,F558*D558, "-")</f>
        <v>-</v>
      </c>
      <c r="M558" s="41" t="str">
        <f t="shared" si="34"/>
        <v>-</v>
      </c>
      <c r="O558" s="41" t="str">
        <f t="shared" si="35"/>
        <v>-</v>
      </c>
    </row>
    <row r="559" spans="1:15" x14ac:dyDescent="0.3">
      <c r="A559" s="4" t="s">
        <v>1465</v>
      </c>
      <c r="B559" s="3">
        <v>810139572688</v>
      </c>
      <c r="C559" s="2" t="s">
        <v>1466</v>
      </c>
      <c r="D559" s="30">
        <v>0.13</v>
      </c>
      <c r="E559" s="20">
        <v>19.7925</v>
      </c>
      <c r="F559" s="27"/>
      <c r="G559" s="23">
        <f t="shared" si="32"/>
        <v>0</v>
      </c>
      <c r="J559" s="39" t="str">
        <f>IFERROR(IF($J$2*D559=0, "-", $J$2*D559), "-")</f>
        <v>-</v>
      </c>
      <c r="K559" s="39" t="str">
        <f t="shared" si="33"/>
        <v>-</v>
      </c>
      <c r="L559" s="40" t="str">
        <f>IF(F559&gt;0,F559*D559, "-")</f>
        <v>-</v>
      </c>
      <c r="M559" s="41" t="str">
        <f t="shared" si="34"/>
        <v>-</v>
      </c>
      <c r="O559" s="41" t="str">
        <f t="shared" si="35"/>
        <v>-</v>
      </c>
    </row>
    <row r="560" spans="1:15" x14ac:dyDescent="0.3">
      <c r="A560" s="4" t="s">
        <v>1467</v>
      </c>
      <c r="B560" s="3">
        <v>810139578000</v>
      </c>
      <c r="C560" s="2" t="s">
        <v>1468</v>
      </c>
      <c r="D560" s="30">
        <v>0.36</v>
      </c>
      <c r="E560" s="20">
        <v>19.7925</v>
      </c>
      <c r="F560" s="27"/>
      <c r="G560" s="23">
        <f t="shared" si="32"/>
        <v>0</v>
      </c>
      <c r="J560" s="39" t="str">
        <f>IFERROR(IF($J$2*D560=0, "-", $J$2*D560), "-")</f>
        <v>-</v>
      </c>
      <c r="K560" s="39" t="str">
        <f t="shared" si="33"/>
        <v>-</v>
      </c>
      <c r="L560" s="40" t="str">
        <f>IF(F560&gt;0,F560*D560, "-")</f>
        <v>-</v>
      </c>
      <c r="M560" s="41" t="str">
        <f t="shared" si="34"/>
        <v>-</v>
      </c>
      <c r="O560" s="41" t="str">
        <f t="shared" si="35"/>
        <v>-</v>
      </c>
    </row>
    <row r="561" spans="1:15" x14ac:dyDescent="0.3">
      <c r="A561" s="4" t="s">
        <v>197</v>
      </c>
      <c r="B561" s="3">
        <v>810014670799</v>
      </c>
      <c r="C561" s="2" t="s">
        <v>1469</v>
      </c>
      <c r="D561" s="30">
        <v>0.2</v>
      </c>
      <c r="E561" s="20">
        <v>19.7925</v>
      </c>
      <c r="F561" s="27"/>
      <c r="G561" s="23">
        <f t="shared" si="32"/>
        <v>0</v>
      </c>
      <c r="J561" s="39" t="str">
        <f>IFERROR(IF($J$2*D561=0, "-", $J$2*D561), "-")</f>
        <v>-</v>
      </c>
      <c r="K561" s="39" t="str">
        <f t="shared" si="33"/>
        <v>-</v>
      </c>
      <c r="L561" s="40" t="str">
        <f>IF(F561&gt;0,F561*D561, "-")</f>
        <v>-</v>
      </c>
      <c r="M561" s="41" t="str">
        <f t="shared" si="34"/>
        <v>-</v>
      </c>
      <c r="O561" s="41" t="str">
        <f t="shared" si="35"/>
        <v>-</v>
      </c>
    </row>
    <row r="562" spans="1:15" x14ac:dyDescent="0.3">
      <c r="A562" s="4" t="s">
        <v>200</v>
      </c>
      <c r="B562" s="3">
        <v>810014675909</v>
      </c>
      <c r="C562" s="2" t="s">
        <v>1470</v>
      </c>
      <c r="D562" s="30">
        <v>0.2</v>
      </c>
      <c r="E562" s="20">
        <v>19.7925</v>
      </c>
      <c r="F562" s="27"/>
      <c r="G562" s="23">
        <f t="shared" si="32"/>
        <v>0</v>
      </c>
      <c r="J562" s="39" t="str">
        <f>IFERROR(IF($J$2*D562=0, "-", $J$2*D562), "-")</f>
        <v>-</v>
      </c>
      <c r="K562" s="39" t="str">
        <f t="shared" si="33"/>
        <v>-</v>
      </c>
      <c r="L562" s="40" t="str">
        <f>IF(F562&gt;0,F562*D562, "-")</f>
        <v>-</v>
      </c>
      <c r="M562" s="41" t="str">
        <f t="shared" si="34"/>
        <v>-</v>
      </c>
      <c r="O562" s="41" t="str">
        <f t="shared" si="35"/>
        <v>-</v>
      </c>
    </row>
    <row r="563" spans="1:15" x14ac:dyDescent="0.3">
      <c r="A563" s="4" t="s">
        <v>227</v>
      </c>
      <c r="B563" s="3">
        <v>810014671833</v>
      </c>
      <c r="C563" s="2" t="s">
        <v>1471</v>
      </c>
      <c r="D563" s="30">
        <v>0.12</v>
      </c>
      <c r="E563" s="20">
        <v>19.7925</v>
      </c>
      <c r="F563" s="27"/>
      <c r="G563" s="23">
        <f t="shared" si="32"/>
        <v>0</v>
      </c>
      <c r="J563" s="39" t="str">
        <f>IFERROR(IF($J$2*D563=0, "-", $J$2*D563), "-")</f>
        <v>-</v>
      </c>
      <c r="K563" s="39" t="str">
        <f t="shared" si="33"/>
        <v>-</v>
      </c>
      <c r="L563" s="40" t="str">
        <f>IF(F563&gt;0,F563*D563, "-")</f>
        <v>-</v>
      </c>
      <c r="M563" s="41" t="str">
        <f t="shared" si="34"/>
        <v>-</v>
      </c>
      <c r="O563" s="41" t="str">
        <f t="shared" si="35"/>
        <v>-</v>
      </c>
    </row>
    <row r="564" spans="1:15" x14ac:dyDescent="0.3">
      <c r="A564" s="4" t="s">
        <v>1472</v>
      </c>
      <c r="B564" s="3">
        <v>810139575313</v>
      </c>
      <c r="C564" s="2" t="s">
        <v>1473</v>
      </c>
      <c r="D564" s="30">
        <v>0.05</v>
      </c>
      <c r="E564" s="20">
        <v>19.7925</v>
      </c>
      <c r="F564" s="27"/>
      <c r="G564" s="23">
        <f t="shared" si="32"/>
        <v>0</v>
      </c>
      <c r="J564" s="39" t="str">
        <f>IFERROR(IF($J$2*D564=0, "-", $J$2*D564), "-")</f>
        <v>-</v>
      </c>
      <c r="K564" s="39" t="str">
        <f t="shared" si="33"/>
        <v>-</v>
      </c>
      <c r="L564" s="40" t="str">
        <f>IF(F564&gt;0,F564*D564, "-")</f>
        <v>-</v>
      </c>
      <c r="M564" s="41" t="str">
        <f t="shared" si="34"/>
        <v>-</v>
      </c>
      <c r="O564" s="41" t="str">
        <f t="shared" si="35"/>
        <v>-</v>
      </c>
    </row>
    <row r="565" spans="1:15" x14ac:dyDescent="0.3">
      <c r="A565" s="4" t="s">
        <v>263</v>
      </c>
      <c r="B565" s="3">
        <v>810014674650</v>
      </c>
      <c r="C565" s="2" t="s">
        <v>1474</v>
      </c>
      <c r="D565" s="30">
        <v>0.28999999999999998</v>
      </c>
      <c r="E565" s="20">
        <v>19.7925</v>
      </c>
      <c r="F565" s="27"/>
      <c r="G565" s="23">
        <f t="shared" si="32"/>
        <v>0</v>
      </c>
      <c r="J565" s="39" t="str">
        <f>IFERROR(IF($J$2*D565=0, "-", $J$2*D565), "-")</f>
        <v>-</v>
      </c>
      <c r="K565" s="39" t="str">
        <f t="shared" si="33"/>
        <v>-</v>
      </c>
      <c r="L565" s="40" t="str">
        <f>IF(F565&gt;0,F565*D565, "-")</f>
        <v>-</v>
      </c>
      <c r="M565" s="41" t="str">
        <f t="shared" si="34"/>
        <v>-</v>
      </c>
      <c r="O565" s="41" t="str">
        <f t="shared" si="35"/>
        <v>-</v>
      </c>
    </row>
    <row r="566" spans="1:15" x14ac:dyDescent="0.3">
      <c r="A566" s="4" t="s">
        <v>352</v>
      </c>
      <c r="B566" s="3">
        <v>810014671253</v>
      </c>
      <c r="C566" s="2" t="s">
        <v>1475</v>
      </c>
      <c r="D566" s="30">
        <v>0.28999999999999998</v>
      </c>
      <c r="E566" s="20">
        <v>19.7925</v>
      </c>
      <c r="F566" s="27"/>
      <c r="G566" s="23">
        <f t="shared" si="32"/>
        <v>0</v>
      </c>
      <c r="J566" s="39" t="str">
        <f>IFERROR(IF($J$2*D566=0, "-", $J$2*D566), "-")</f>
        <v>-</v>
      </c>
      <c r="K566" s="39" t="str">
        <f t="shared" si="33"/>
        <v>-</v>
      </c>
      <c r="L566" s="40" t="str">
        <f>IF(F566&gt;0,F566*D566, "-")</f>
        <v>-</v>
      </c>
      <c r="M566" s="41" t="str">
        <f t="shared" si="34"/>
        <v>-</v>
      </c>
      <c r="O566" s="41" t="str">
        <f t="shared" si="35"/>
        <v>-</v>
      </c>
    </row>
    <row r="567" spans="1:15" x14ac:dyDescent="0.3">
      <c r="A567" s="4" t="s">
        <v>631</v>
      </c>
      <c r="B567" s="3">
        <v>810014674377</v>
      </c>
      <c r="C567" s="2" t="s">
        <v>1476</v>
      </c>
      <c r="D567" s="30">
        <v>0.21</v>
      </c>
      <c r="E567" s="20">
        <v>19.7925</v>
      </c>
      <c r="F567" s="27"/>
      <c r="G567" s="23">
        <f t="shared" si="32"/>
        <v>0</v>
      </c>
      <c r="J567" s="39" t="str">
        <f>IFERROR(IF($J$2*D567=0, "-", $J$2*D567), "-")</f>
        <v>-</v>
      </c>
      <c r="K567" s="39" t="str">
        <f t="shared" si="33"/>
        <v>-</v>
      </c>
      <c r="L567" s="40" t="str">
        <f>IF(F567&gt;0,F567*D567, "-")</f>
        <v>-</v>
      </c>
      <c r="M567" s="41" t="str">
        <f t="shared" si="34"/>
        <v>-</v>
      </c>
      <c r="O567" s="41" t="str">
        <f t="shared" si="35"/>
        <v>-</v>
      </c>
    </row>
    <row r="568" spans="1:15" x14ac:dyDescent="0.3">
      <c r="A568" s="4" t="s">
        <v>278</v>
      </c>
      <c r="B568" s="3">
        <v>810014679259</v>
      </c>
      <c r="C568" s="2" t="s">
        <v>1477</v>
      </c>
      <c r="D568" s="30">
        <v>0.36</v>
      </c>
      <c r="E568" s="20">
        <v>19.7925</v>
      </c>
      <c r="F568" s="27"/>
      <c r="G568" s="23">
        <f t="shared" si="32"/>
        <v>0</v>
      </c>
      <c r="J568" s="39" t="str">
        <f>IFERROR(IF($J$2*D568=0, "-", $J$2*D568), "-")</f>
        <v>-</v>
      </c>
      <c r="K568" s="39" t="str">
        <f t="shared" si="33"/>
        <v>-</v>
      </c>
      <c r="L568" s="40" t="str">
        <f>IF(F568&gt;0,F568*D568, "-")</f>
        <v>-</v>
      </c>
      <c r="M568" s="41" t="str">
        <f t="shared" si="34"/>
        <v>-</v>
      </c>
      <c r="O568" s="41" t="str">
        <f t="shared" si="35"/>
        <v>-</v>
      </c>
    </row>
    <row r="569" spans="1:15" x14ac:dyDescent="0.3">
      <c r="A569" s="4" t="s">
        <v>107</v>
      </c>
      <c r="B569" s="3">
        <v>810014673684</v>
      </c>
      <c r="C569" s="2" t="s">
        <v>1478</v>
      </c>
      <c r="D569" s="30">
        <v>0.12</v>
      </c>
      <c r="E569" s="20">
        <v>19.7925</v>
      </c>
      <c r="F569" s="27"/>
      <c r="G569" s="23">
        <f t="shared" si="32"/>
        <v>0</v>
      </c>
      <c r="J569" s="39" t="str">
        <f>IFERROR(IF($J$2*D569=0, "-", $J$2*D569), "-")</f>
        <v>-</v>
      </c>
      <c r="K569" s="39" t="str">
        <f t="shared" si="33"/>
        <v>-</v>
      </c>
      <c r="L569" s="40" t="str">
        <f>IF(F569&gt;0,F569*D569, "-")</f>
        <v>-</v>
      </c>
      <c r="M569" s="41" t="str">
        <f t="shared" si="34"/>
        <v>-</v>
      </c>
      <c r="O569" s="41" t="str">
        <f t="shared" si="35"/>
        <v>-</v>
      </c>
    </row>
    <row r="570" spans="1:15" x14ac:dyDescent="0.3">
      <c r="A570" s="4" t="s">
        <v>92</v>
      </c>
      <c r="B570" s="3">
        <v>810014670584</v>
      </c>
      <c r="C570" s="2" t="s">
        <v>1479</v>
      </c>
      <c r="D570" s="30">
        <v>0.15</v>
      </c>
      <c r="E570" s="20">
        <v>19.7925</v>
      </c>
      <c r="F570" s="27"/>
      <c r="G570" s="23">
        <f t="shared" si="32"/>
        <v>0</v>
      </c>
      <c r="J570" s="39" t="str">
        <f>IFERROR(IF($J$2*D570=0, "-", $J$2*D570), "-")</f>
        <v>-</v>
      </c>
      <c r="K570" s="39" t="str">
        <f t="shared" si="33"/>
        <v>-</v>
      </c>
      <c r="L570" s="40" t="str">
        <f>IF(F570&gt;0,F570*D570, "-")</f>
        <v>-</v>
      </c>
      <c r="M570" s="41" t="str">
        <f t="shared" si="34"/>
        <v>-</v>
      </c>
      <c r="O570" s="41" t="str">
        <f t="shared" si="35"/>
        <v>-</v>
      </c>
    </row>
    <row r="571" spans="1:15" x14ac:dyDescent="0.3">
      <c r="A571" s="4" t="s">
        <v>670</v>
      </c>
      <c r="B571" s="3">
        <v>810014675435</v>
      </c>
      <c r="C571" s="2" t="s">
        <v>1480</v>
      </c>
      <c r="D571" s="30">
        <v>0.2</v>
      </c>
      <c r="E571" s="20">
        <v>19.7925</v>
      </c>
      <c r="F571" s="27"/>
      <c r="G571" s="23">
        <f t="shared" si="32"/>
        <v>0</v>
      </c>
      <c r="J571" s="39" t="str">
        <f>IFERROR(IF($J$2*D571=0, "-", $J$2*D571), "-")</f>
        <v>-</v>
      </c>
      <c r="K571" s="39" t="str">
        <f t="shared" si="33"/>
        <v>-</v>
      </c>
      <c r="L571" s="40" t="str">
        <f>IF(F571&gt;0,F571*D571, "-")</f>
        <v>-</v>
      </c>
      <c r="M571" s="41" t="str">
        <f t="shared" si="34"/>
        <v>-</v>
      </c>
      <c r="O571" s="41" t="str">
        <f t="shared" si="35"/>
        <v>-</v>
      </c>
    </row>
    <row r="572" spans="1:15" x14ac:dyDescent="0.3">
      <c r="A572" s="4" t="s">
        <v>653</v>
      </c>
      <c r="B572" s="3">
        <v>810014675206</v>
      </c>
      <c r="C572" s="2" t="s">
        <v>1481</v>
      </c>
      <c r="D572" s="30">
        <v>0.18</v>
      </c>
      <c r="E572" s="20">
        <v>19.7925</v>
      </c>
      <c r="F572" s="27"/>
      <c r="G572" s="23">
        <f t="shared" si="32"/>
        <v>0</v>
      </c>
      <c r="J572" s="39" t="str">
        <f>IFERROR(IF($J$2*D572=0, "-", $J$2*D572), "-")</f>
        <v>-</v>
      </c>
      <c r="K572" s="39" t="str">
        <f t="shared" si="33"/>
        <v>-</v>
      </c>
      <c r="L572" s="40" t="str">
        <f>IF(F572&gt;0,F572*D572, "-")</f>
        <v>-</v>
      </c>
      <c r="M572" s="41" t="str">
        <f t="shared" si="34"/>
        <v>-</v>
      </c>
      <c r="O572" s="41" t="str">
        <f t="shared" si="35"/>
        <v>-</v>
      </c>
    </row>
    <row r="573" spans="1:15" x14ac:dyDescent="0.3">
      <c r="A573" s="4" t="s">
        <v>4</v>
      </c>
      <c r="B573" s="3">
        <v>810014675145</v>
      </c>
      <c r="C573" s="2" t="s">
        <v>1482</v>
      </c>
      <c r="D573" s="30">
        <v>0.13</v>
      </c>
      <c r="E573" s="20">
        <v>19.7925</v>
      </c>
      <c r="F573" s="27"/>
      <c r="G573" s="23">
        <f t="shared" si="32"/>
        <v>0</v>
      </c>
      <c r="J573" s="39" t="str">
        <f>IFERROR(IF($J$2*D573=0, "-", $J$2*D573), "-")</f>
        <v>-</v>
      </c>
      <c r="K573" s="39" t="str">
        <f t="shared" si="33"/>
        <v>-</v>
      </c>
      <c r="L573" s="40" t="str">
        <f>IF(F573&gt;0,F573*D573, "-")</f>
        <v>-</v>
      </c>
      <c r="M573" s="41" t="str">
        <f t="shared" si="34"/>
        <v>-</v>
      </c>
      <c r="O573" s="41" t="str">
        <f t="shared" si="35"/>
        <v>-</v>
      </c>
    </row>
    <row r="574" spans="1:15" x14ac:dyDescent="0.3">
      <c r="A574" s="4" t="s">
        <v>19</v>
      </c>
      <c r="B574" s="3">
        <v>810014679891</v>
      </c>
      <c r="C574" s="2" t="s">
        <v>1483</v>
      </c>
      <c r="D574" s="30">
        <v>0.23</v>
      </c>
      <c r="E574" s="20">
        <v>20.173125000000002</v>
      </c>
      <c r="F574" s="27"/>
      <c r="G574" s="23">
        <f t="shared" si="32"/>
        <v>0</v>
      </c>
      <c r="J574" s="39" t="str">
        <f>IFERROR(IF($J$2*D574=0, "-", $J$2*D574), "-")</f>
        <v>-</v>
      </c>
      <c r="K574" s="39" t="str">
        <f t="shared" si="33"/>
        <v>-</v>
      </c>
      <c r="L574" s="40" t="str">
        <f>IF(F574&gt;0,F574*D574, "-")</f>
        <v>-</v>
      </c>
      <c r="M574" s="41" t="str">
        <f t="shared" si="34"/>
        <v>-</v>
      </c>
      <c r="O574" s="41" t="str">
        <f t="shared" si="35"/>
        <v>-</v>
      </c>
    </row>
    <row r="575" spans="1:15" x14ac:dyDescent="0.3">
      <c r="A575" s="4" t="s">
        <v>219</v>
      </c>
      <c r="B575" s="3">
        <v>810014670010</v>
      </c>
      <c r="C575" s="2" t="s">
        <v>1484</v>
      </c>
      <c r="D575" s="30">
        <v>0.3</v>
      </c>
      <c r="E575" s="20">
        <v>20.173125000000002</v>
      </c>
      <c r="F575" s="27"/>
      <c r="G575" s="23">
        <f t="shared" si="32"/>
        <v>0</v>
      </c>
      <c r="J575" s="39" t="str">
        <f>IFERROR(IF($J$2*D575=0, "-", $J$2*D575), "-")</f>
        <v>-</v>
      </c>
      <c r="K575" s="39" t="str">
        <f t="shared" si="33"/>
        <v>-</v>
      </c>
      <c r="L575" s="40" t="str">
        <f>IF(F575&gt;0,F575*D575, "-")</f>
        <v>-</v>
      </c>
      <c r="M575" s="41" t="str">
        <f t="shared" si="34"/>
        <v>-</v>
      </c>
      <c r="O575" s="41" t="str">
        <f t="shared" si="35"/>
        <v>-</v>
      </c>
    </row>
    <row r="576" spans="1:15" x14ac:dyDescent="0.3">
      <c r="A576" s="4" t="s">
        <v>442</v>
      </c>
      <c r="B576" s="3">
        <v>810139571568</v>
      </c>
      <c r="C576" s="2" t="s">
        <v>1485</v>
      </c>
      <c r="D576" s="30">
        <v>0.36</v>
      </c>
      <c r="E576" s="20">
        <v>20.173125000000002</v>
      </c>
      <c r="F576" s="27"/>
      <c r="G576" s="23">
        <f t="shared" si="32"/>
        <v>0</v>
      </c>
      <c r="J576" s="39" t="str">
        <f>IFERROR(IF($J$2*D576=0, "-", $J$2*D576), "-")</f>
        <v>-</v>
      </c>
      <c r="K576" s="39" t="str">
        <f t="shared" si="33"/>
        <v>-</v>
      </c>
      <c r="L576" s="40" t="str">
        <f>IF(F576&gt;0,F576*D576, "-")</f>
        <v>-</v>
      </c>
      <c r="M576" s="41" t="str">
        <f t="shared" si="34"/>
        <v>-</v>
      </c>
      <c r="O576" s="41" t="str">
        <f t="shared" si="35"/>
        <v>-</v>
      </c>
    </row>
    <row r="577" spans="1:15" x14ac:dyDescent="0.3">
      <c r="A577" s="4" t="s">
        <v>574</v>
      </c>
      <c r="B577" s="3">
        <v>810014673493</v>
      </c>
      <c r="C577" s="2" t="s">
        <v>1486</v>
      </c>
      <c r="D577" s="30">
        <v>0.11</v>
      </c>
      <c r="E577" s="20">
        <v>20.173125000000002</v>
      </c>
      <c r="F577" s="27"/>
      <c r="G577" s="23">
        <f t="shared" si="32"/>
        <v>0</v>
      </c>
      <c r="J577" s="39" t="str">
        <f>IFERROR(IF($J$2*D577=0, "-", $J$2*D577), "-")</f>
        <v>-</v>
      </c>
      <c r="K577" s="39" t="str">
        <f t="shared" si="33"/>
        <v>-</v>
      </c>
      <c r="L577" s="40" t="str">
        <f>IF(F577&gt;0,F577*D577, "-")</f>
        <v>-</v>
      </c>
      <c r="M577" s="41" t="str">
        <f t="shared" si="34"/>
        <v>-</v>
      </c>
      <c r="O577" s="41" t="str">
        <f t="shared" si="35"/>
        <v>-</v>
      </c>
    </row>
    <row r="578" spans="1:15" x14ac:dyDescent="0.3">
      <c r="A578" s="4" t="s">
        <v>621</v>
      </c>
      <c r="B578" s="3">
        <v>810014674056</v>
      </c>
      <c r="C578" s="2" t="s">
        <v>1487</v>
      </c>
      <c r="D578" s="30">
        <v>0.16</v>
      </c>
      <c r="E578" s="20">
        <v>20.173125000000002</v>
      </c>
      <c r="F578" s="27"/>
      <c r="G578" s="23">
        <f t="shared" si="32"/>
        <v>0</v>
      </c>
      <c r="J578" s="39" t="str">
        <f>IFERROR(IF($J$2*D578=0, "-", $J$2*D578), "-")</f>
        <v>-</v>
      </c>
      <c r="K578" s="39" t="str">
        <f t="shared" si="33"/>
        <v>-</v>
      </c>
      <c r="L578" s="40" t="str">
        <f>IF(F578&gt;0,F578*D578, "-")</f>
        <v>-</v>
      </c>
      <c r="M578" s="41" t="str">
        <f t="shared" si="34"/>
        <v>-</v>
      </c>
      <c r="O578" s="41" t="str">
        <f t="shared" si="35"/>
        <v>-</v>
      </c>
    </row>
    <row r="579" spans="1:15" x14ac:dyDescent="0.3">
      <c r="A579" s="4" t="s">
        <v>138</v>
      </c>
      <c r="B579" s="3">
        <v>810014673806</v>
      </c>
      <c r="C579" s="2" t="s">
        <v>1488</v>
      </c>
      <c r="D579" s="30">
        <v>0.13</v>
      </c>
      <c r="E579" s="20">
        <v>20.173125000000002</v>
      </c>
      <c r="F579" s="27"/>
      <c r="G579" s="23">
        <f t="shared" si="32"/>
        <v>0</v>
      </c>
      <c r="J579" s="39" t="str">
        <f>IFERROR(IF($J$2*D579=0, "-", $J$2*D579), "-")</f>
        <v>-</v>
      </c>
      <c r="K579" s="39" t="str">
        <f t="shared" si="33"/>
        <v>-</v>
      </c>
      <c r="L579" s="40" t="str">
        <f>IF(F579&gt;0,F579*D579, "-")</f>
        <v>-</v>
      </c>
      <c r="M579" s="41" t="str">
        <f t="shared" si="34"/>
        <v>-</v>
      </c>
      <c r="O579" s="41" t="str">
        <f t="shared" si="35"/>
        <v>-</v>
      </c>
    </row>
    <row r="580" spans="1:15" x14ac:dyDescent="0.3">
      <c r="A580" s="4" t="s">
        <v>282</v>
      </c>
      <c r="B580" s="3">
        <v>810014672298</v>
      </c>
      <c r="C580" s="2" t="s">
        <v>1489</v>
      </c>
      <c r="D580" s="30">
        <v>0.16</v>
      </c>
      <c r="E580" s="20">
        <v>20.173125000000002</v>
      </c>
      <c r="F580" s="27"/>
      <c r="G580" s="23">
        <f t="shared" ref="G580:G643" si="36">F580*E580</f>
        <v>0</v>
      </c>
      <c r="J580" s="39" t="str">
        <f>IFERROR(IF($J$2*D580=0, "-", $J$2*D580), "-")</f>
        <v>-</v>
      </c>
      <c r="K580" s="39" t="str">
        <f t="shared" ref="K580:K643" si="37">IF(F580&gt;0,E580+J580,"-")</f>
        <v>-</v>
      </c>
      <c r="L580" s="40" t="str">
        <f>IF(F580&gt;0,F580*D580, "-")</f>
        <v>-</v>
      </c>
      <c r="M580" s="41" t="str">
        <f t="shared" ref="M580:M643" si="38">IFERROR(IF($J$2&gt;0, $J$2*L580, "-"), "-")</f>
        <v>-</v>
      </c>
      <c r="O580" s="41" t="str">
        <f t="shared" ref="O580:O643" si="39">IFERROR(IF(M580+G580=0, "-", IF(M580&gt;0, M580+G580, "-")), "-")</f>
        <v>-</v>
      </c>
    </row>
    <row r="581" spans="1:15" x14ac:dyDescent="0.3">
      <c r="A581" s="4" t="s">
        <v>397</v>
      </c>
      <c r="B581" s="3">
        <v>810139571452</v>
      </c>
      <c r="C581" s="2" t="s">
        <v>1490</v>
      </c>
      <c r="D581" s="30">
        <v>1.26</v>
      </c>
      <c r="E581" s="20">
        <v>20.553750000000001</v>
      </c>
      <c r="F581" s="27"/>
      <c r="G581" s="23">
        <f t="shared" si="36"/>
        <v>0</v>
      </c>
      <c r="J581" s="39" t="str">
        <f>IFERROR(IF($J$2*D581=0, "-", $J$2*D581), "-")</f>
        <v>-</v>
      </c>
      <c r="K581" s="39" t="str">
        <f t="shared" si="37"/>
        <v>-</v>
      </c>
      <c r="L581" s="40" t="str">
        <f>IF(F581&gt;0,F581*D581, "-")</f>
        <v>-</v>
      </c>
      <c r="M581" s="41" t="str">
        <f t="shared" si="38"/>
        <v>-</v>
      </c>
      <c r="O581" s="41" t="str">
        <f t="shared" si="39"/>
        <v>-</v>
      </c>
    </row>
    <row r="582" spans="1:15" x14ac:dyDescent="0.3">
      <c r="A582" s="4" t="s">
        <v>233</v>
      </c>
      <c r="B582" s="3">
        <v>810139570752</v>
      </c>
      <c r="C582" s="2" t="s">
        <v>1491</v>
      </c>
      <c r="D582" s="30">
        <v>0.14000000000000001</v>
      </c>
      <c r="E582" s="20">
        <v>20.553750000000001</v>
      </c>
      <c r="F582" s="27"/>
      <c r="G582" s="23">
        <f t="shared" si="36"/>
        <v>0</v>
      </c>
      <c r="J582" s="39" t="str">
        <f>IFERROR(IF($J$2*D582=0, "-", $J$2*D582), "-")</f>
        <v>-</v>
      </c>
      <c r="K582" s="39" t="str">
        <f t="shared" si="37"/>
        <v>-</v>
      </c>
      <c r="L582" s="40" t="str">
        <f>IF(F582&gt;0,F582*D582, "-")</f>
        <v>-</v>
      </c>
      <c r="M582" s="41" t="str">
        <f t="shared" si="38"/>
        <v>-</v>
      </c>
      <c r="O582" s="41" t="str">
        <f t="shared" si="39"/>
        <v>-</v>
      </c>
    </row>
    <row r="583" spans="1:15" x14ac:dyDescent="0.3">
      <c r="A583" s="4" t="s">
        <v>401</v>
      </c>
      <c r="B583" s="3">
        <v>810139571827</v>
      </c>
      <c r="C583" s="2" t="s">
        <v>1492</v>
      </c>
      <c r="D583" s="30">
        <v>0.09</v>
      </c>
      <c r="E583" s="20">
        <v>20.553750000000001</v>
      </c>
      <c r="F583" s="27"/>
      <c r="G583" s="23">
        <f t="shared" si="36"/>
        <v>0</v>
      </c>
      <c r="J583" s="39" t="str">
        <f>IFERROR(IF($J$2*D583=0, "-", $J$2*D583), "-")</f>
        <v>-</v>
      </c>
      <c r="K583" s="39" t="str">
        <f t="shared" si="37"/>
        <v>-</v>
      </c>
      <c r="L583" s="40" t="str">
        <f>IF(F583&gt;0,F583*D583, "-")</f>
        <v>-</v>
      </c>
      <c r="M583" s="41" t="str">
        <f t="shared" si="38"/>
        <v>-</v>
      </c>
      <c r="O583" s="41" t="str">
        <f t="shared" si="39"/>
        <v>-</v>
      </c>
    </row>
    <row r="584" spans="1:15" x14ac:dyDescent="0.3">
      <c r="A584" s="4" t="s">
        <v>118</v>
      </c>
      <c r="B584" s="3">
        <v>810139570653</v>
      </c>
      <c r="C584" s="2" t="s">
        <v>1493</v>
      </c>
      <c r="D584" s="30">
        <v>0.18</v>
      </c>
      <c r="E584" s="20">
        <v>20.553750000000001</v>
      </c>
      <c r="F584" s="27"/>
      <c r="G584" s="23">
        <f t="shared" si="36"/>
        <v>0</v>
      </c>
      <c r="J584" s="39" t="str">
        <f>IFERROR(IF($J$2*D584=0, "-", $J$2*D584), "-")</f>
        <v>-</v>
      </c>
      <c r="K584" s="39" t="str">
        <f t="shared" si="37"/>
        <v>-</v>
      </c>
      <c r="L584" s="40" t="str">
        <f>IF(F584&gt;0,F584*D584, "-")</f>
        <v>-</v>
      </c>
      <c r="M584" s="41" t="str">
        <f t="shared" si="38"/>
        <v>-</v>
      </c>
      <c r="O584" s="41" t="str">
        <f t="shared" si="39"/>
        <v>-</v>
      </c>
    </row>
    <row r="585" spans="1:15" x14ac:dyDescent="0.3">
      <c r="A585" s="4" t="s">
        <v>1494</v>
      </c>
      <c r="B585" s="3">
        <v>810139575726</v>
      </c>
      <c r="C585" s="2" t="s">
        <v>1495</v>
      </c>
      <c r="D585" s="30">
        <v>0.49</v>
      </c>
      <c r="E585" s="20">
        <v>20.553750000000001</v>
      </c>
      <c r="F585" s="27"/>
      <c r="G585" s="23">
        <f t="shared" si="36"/>
        <v>0</v>
      </c>
      <c r="J585" s="39" t="str">
        <f>IFERROR(IF($J$2*D585=0, "-", $J$2*D585), "-")</f>
        <v>-</v>
      </c>
      <c r="K585" s="39" t="str">
        <f t="shared" si="37"/>
        <v>-</v>
      </c>
      <c r="L585" s="40" t="str">
        <f>IF(F585&gt;0,F585*D585, "-")</f>
        <v>-</v>
      </c>
      <c r="M585" s="41" t="str">
        <f t="shared" si="38"/>
        <v>-</v>
      </c>
      <c r="O585" s="41" t="str">
        <f t="shared" si="39"/>
        <v>-</v>
      </c>
    </row>
    <row r="586" spans="1:15" x14ac:dyDescent="0.3">
      <c r="A586" s="4" t="s">
        <v>520</v>
      </c>
      <c r="B586" s="3">
        <v>810014675329</v>
      </c>
      <c r="C586" s="2" t="s">
        <v>1496</v>
      </c>
      <c r="D586" s="30">
        <v>0.62</v>
      </c>
      <c r="E586" s="20">
        <v>20.553750000000001</v>
      </c>
      <c r="F586" s="27"/>
      <c r="G586" s="23">
        <f t="shared" si="36"/>
        <v>0</v>
      </c>
      <c r="J586" s="39" t="str">
        <f>IFERROR(IF($J$2*D586=0, "-", $J$2*D586), "-")</f>
        <v>-</v>
      </c>
      <c r="K586" s="39" t="str">
        <f t="shared" si="37"/>
        <v>-</v>
      </c>
      <c r="L586" s="40" t="str">
        <f>IF(F586&gt;0,F586*D586, "-")</f>
        <v>-</v>
      </c>
      <c r="M586" s="41" t="str">
        <f t="shared" si="38"/>
        <v>-</v>
      </c>
      <c r="O586" s="41" t="str">
        <f t="shared" si="39"/>
        <v>-</v>
      </c>
    </row>
    <row r="587" spans="1:15" x14ac:dyDescent="0.3">
      <c r="A587" s="4" t="s">
        <v>319</v>
      </c>
      <c r="B587" s="3">
        <v>810139571230</v>
      </c>
      <c r="C587" s="2" t="s">
        <v>1497</v>
      </c>
      <c r="D587" s="30">
        <v>0.1</v>
      </c>
      <c r="E587" s="20">
        <v>20.553750000000001</v>
      </c>
      <c r="F587" s="27"/>
      <c r="G587" s="23">
        <f t="shared" si="36"/>
        <v>0</v>
      </c>
      <c r="J587" s="39" t="str">
        <f>IFERROR(IF($J$2*D587=0, "-", $J$2*D587), "-")</f>
        <v>-</v>
      </c>
      <c r="K587" s="39" t="str">
        <f t="shared" si="37"/>
        <v>-</v>
      </c>
      <c r="L587" s="40" t="str">
        <f>IF(F587&gt;0,F587*D587, "-")</f>
        <v>-</v>
      </c>
      <c r="M587" s="41" t="str">
        <f t="shared" si="38"/>
        <v>-</v>
      </c>
      <c r="O587" s="41" t="str">
        <f t="shared" si="39"/>
        <v>-</v>
      </c>
    </row>
    <row r="588" spans="1:15" x14ac:dyDescent="0.3">
      <c r="A588" s="4" t="s">
        <v>1498</v>
      </c>
      <c r="B588" s="3">
        <v>810139574569</v>
      </c>
      <c r="C588" s="2" t="s">
        <v>1499</v>
      </c>
      <c r="D588" s="30">
        <v>1.1000000000000001</v>
      </c>
      <c r="E588" s="20">
        <v>20.553750000000001</v>
      </c>
      <c r="F588" s="27"/>
      <c r="G588" s="23">
        <f t="shared" si="36"/>
        <v>0</v>
      </c>
      <c r="J588" s="39" t="str">
        <f>IFERROR(IF($J$2*D588=0, "-", $J$2*D588), "-")</f>
        <v>-</v>
      </c>
      <c r="K588" s="39" t="str">
        <f t="shared" si="37"/>
        <v>-</v>
      </c>
      <c r="L588" s="40" t="str">
        <f>IF(F588&gt;0,F588*D588, "-")</f>
        <v>-</v>
      </c>
      <c r="M588" s="41" t="str">
        <f t="shared" si="38"/>
        <v>-</v>
      </c>
      <c r="O588" s="41" t="str">
        <f t="shared" si="39"/>
        <v>-</v>
      </c>
    </row>
    <row r="589" spans="1:15" x14ac:dyDescent="0.3">
      <c r="A589" s="4" t="s">
        <v>1500</v>
      </c>
      <c r="B589" s="3">
        <v>810139574330</v>
      </c>
      <c r="C589" s="2" t="s">
        <v>1501</v>
      </c>
      <c r="D589" s="30">
        <v>0.45</v>
      </c>
      <c r="E589" s="20">
        <v>20.553750000000001</v>
      </c>
      <c r="F589" s="27"/>
      <c r="G589" s="23">
        <f t="shared" si="36"/>
        <v>0</v>
      </c>
      <c r="J589" s="39" t="str">
        <f>IFERROR(IF($J$2*D589=0, "-", $J$2*D589), "-")</f>
        <v>-</v>
      </c>
      <c r="K589" s="39" t="str">
        <f t="shared" si="37"/>
        <v>-</v>
      </c>
      <c r="L589" s="40" t="str">
        <f>IF(F589&gt;0,F589*D589, "-")</f>
        <v>-</v>
      </c>
      <c r="M589" s="41" t="str">
        <f t="shared" si="38"/>
        <v>-</v>
      </c>
      <c r="O589" s="41" t="str">
        <f t="shared" si="39"/>
        <v>-</v>
      </c>
    </row>
    <row r="590" spans="1:15" x14ac:dyDescent="0.3">
      <c r="A590" s="4" t="s">
        <v>1502</v>
      </c>
      <c r="B590" s="3">
        <v>810139571834</v>
      </c>
      <c r="C590" s="2" t="s">
        <v>1503</v>
      </c>
      <c r="D590" s="30">
        <v>0.17</v>
      </c>
      <c r="E590" s="20">
        <v>20.553750000000001</v>
      </c>
      <c r="F590" s="27"/>
      <c r="G590" s="23">
        <f t="shared" si="36"/>
        <v>0</v>
      </c>
      <c r="J590" s="39" t="str">
        <f>IFERROR(IF($J$2*D590=0, "-", $J$2*D590), "-")</f>
        <v>-</v>
      </c>
      <c r="K590" s="39" t="str">
        <f t="shared" si="37"/>
        <v>-</v>
      </c>
      <c r="L590" s="40" t="str">
        <f>IF(F590&gt;0,F590*D590, "-")</f>
        <v>-</v>
      </c>
      <c r="M590" s="41" t="str">
        <f t="shared" si="38"/>
        <v>-</v>
      </c>
      <c r="O590" s="41" t="str">
        <f t="shared" si="39"/>
        <v>-</v>
      </c>
    </row>
    <row r="591" spans="1:15" x14ac:dyDescent="0.3">
      <c r="A591" s="4" t="s">
        <v>1504</v>
      </c>
      <c r="B591" s="3">
        <v>810139575627</v>
      </c>
      <c r="C591" s="2" t="s">
        <v>1505</v>
      </c>
      <c r="D591" s="30">
        <v>0.5</v>
      </c>
      <c r="E591" s="20">
        <v>20.553750000000001</v>
      </c>
      <c r="F591" s="27"/>
      <c r="G591" s="23">
        <f t="shared" si="36"/>
        <v>0</v>
      </c>
      <c r="J591" s="39" t="str">
        <f>IFERROR(IF($J$2*D591=0, "-", $J$2*D591), "-")</f>
        <v>-</v>
      </c>
      <c r="K591" s="39" t="str">
        <f t="shared" si="37"/>
        <v>-</v>
      </c>
      <c r="L591" s="40" t="str">
        <f>IF(F591&gt;0,F591*D591, "-")</f>
        <v>-</v>
      </c>
      <c r="M591" s="41" t="str">
        <f t="shared" si="38"/>
        <v>-</v>
      </c>
      <c r="O591" s="41" t="str">
        <f t="shared" si="39"/>
        <v>-</v>
      </c>
    </row>
    <row r="592" spans="1:15" x14ac:dyDescent="0.3">
      <c r="A592" s="4" t="s">
        <v>1506</v>
      </c>
      <c r="B592" s="3">
        <v>810139575610</v>
      </c>
      <c r="C592" s="2" t="s">
        <v>1507</v>
      </c>
      <c r="D592" s="30">
        <v>0.5</v>
      </c>
      <c r="E592" s="20">
        <v>20.553750000000001</v>
      </c>
      <c r="F592" s="27"/>
      <c r="G592" s="23">
        <f t="shared" si="36"/>
        <v>0</v>
      </c>
      <c r="J592" s="39" t="str">
        <f>IFERROR(IF($J$2*D592=0, "-", $J$2*D592), "-")</f>
        <v>-</v>
      </c>
      <c r="K592" s="39" t="str">
        <f t="shared" si="37"/>
        <v>-</v>
      </c>
      <c r="L592" s="40" t="str">
        <f>IF(F592&gt;0,F592*D592, "-")</f>
        <v>-</v>
      </c>
      <c r="M592" s="41" t="str">
        <f t="shared" si="38"/>
        <v>-</v>
      </c>
      <c r="O592" s="41" t="str">
        <f t="shared" si="39"/>
        <v>-</v>
      </c>
    </row>
    <row r="593" spans="1:15" x14ac:dyDescent="0.3">
      <c r="A593" s="4" t="s">
        <v>1508</v>
      </c>
      <c r="B593" s="3">
        <v>810139575641</v>
      </c>
      <c r="C593" s="2" t="s">
        <v>1509</v>
      </c>
      <c r="D593" s="30">
        <v>0.5</v>
      </c>
      <c r="E593" s="20">
        <v>20.553750000000001</v>
      </c>
      <c r="F593" s="27"/>
      <c r="G593" s="23">
        <f t="shared" si="36"/>
        <v>0</v>
      </c>
      <c r="J593" s="39" t="str">
        <f>IFERROR(IF($J$2*D593=0, "-", $J$2*D593), "-")</f>
        <v>-</v>
      </c>
      <c r="K593" s="39" t="str">
        <f t="shared" si="37"/>
        <v>-</v>
      </c>
      <c r="L593" s="40" t="str">
        <f>IF(F593&gt;0,F593*D593, "-")</f>
        <v>-</v>
      </c>
      <c r="M593" s="41" t="str">
        <f t="shared" si="38"/>
        <v>-</v>
      </c>
      <c r="O593" s="41" t="str">
        <f t="shared" si="39"/>
        <v>-</v>
      </c>
    </row>
    <row r="594" spans="1:15" x14ac:dyDescent="0.3">
      <c r="A594" s="4" t="s">
        <v>1510</v>
      </c>
      <c r="B594" s="3">
        <v>810139575634</v>
      </c>
      <c r="C594" s="2" t="s">
        <v>1511</v>
      </c>
      <c r="D594" s="30">
        <v>0.51</v>
      </c>
      <c r="E594" s="20">
        <v>20.553750000000001</v>
      </c>
      <c r="F594" s="27"/>
      <c r="G594" s="23">
        <f t="shared" si="36"/>
        <v>0</v>
      </c>
      <c r="J594" s="39" t="str">
        <f>IFERROR(IF($J$2*D594=0, "-", $J$2*D594), "-")</f>
        <v>-</v>
      </c>
      <c r="K594" s="39" t="str">
        <f t="shared" si="37"/>
        <v>-</v>
      </c>
      <c r="L594" s="40" t="str">
        <f>IF(F594&gt;0,F594*D594, "-")</f>
        <v>-</v>
      </c>
      <c r="M594" s="41" t="str">
        <f t="shared" si="38"/>
        <v>-</v>
      </c>
      <c r="O594" s="41" t="str">
        <f t="shared" si="39"/>
        <v>-</v>
      </c>
    </row>
    <row r="595" spans="1:15" x14ac:dyDescent="0.3">
      <c r="A595" s="4" t="s">
        <v>646</v>
      </c>
      <c r="B595" s="3">
        <v>810014675282</v>
      </c>
      <c r="C595" s="2" t="s">
        <v>1512</v>
      </c>
      <c r="D595" s="30">
        <v>0.06</v>
      </c>
      <c r="E595" s="20">
        <v>20.553750000000001</v>
      </c>
      <c r="F595" s="27"/>
      <c r="G595" s="23">
        <f t="shared" si="36"/>
        <v>0</v>
      </c>
      <c r="J595" s="39" t="str">
        <f>IFERROR(IF($J$2*D595=0, "-", $J$2*D595), "-")</f>
        <v>-</v>
      </c>
      <c r="K595" s="39" t="str">
        <f t="shared" si="37"/>
        <v>-</v>
      </c>
      <c r="L595" s="40" t="str">
        <f>IF(F595&gt;0,F595*D595, "-")</f>
        <v>-</v>
      </c>
      <c r="M595" s="41" t="str">
        <f t="shared" si="38"/>
        <v>-</v>
      </c>
      <c r="O595" s="41" t="str">
        <f t="shared" si="39"/>
        <v>-</v>
      </c>
    </row>
    <row r="596" spans="1:15" x14ac:dyDescent="0.3">
      <c r="A596" s="4" t="s">
        <v>232</v>
      </c>
      <c r="B596" s="3">
        <v>810014671789</v>
      </c>
      <c r="C596" s="2" t="s">
        <v>1513</v>
      </c>
      <c r="D596" s="30">
        <v>0.21</v>
      </c>
      <c r="E596" s="20">
        <v>20.553750000000001</v>
      </c>
      <c r="F596" s="27"/>
      <c r="G596" s="23">
        <f t="shared" si="36"/>
        <v>0</v>
      </c>
      <c r="J596" s="39" t="str">
        <f>IFERROR(IF($J$2*D596=0, "-", $J$2*D596), "-")</f>
        <v>-</v>
      </c>
      <c r="K596" s="39" t="str">
        <f t="shared" si="37"/>
        <v>-</v>
      </c>
      <c r="L596" s="40" t="str">
        <f>IF(F596&gt;0,F596*D596, "-")</f>
        <v>-</v>
      </c>
      <c r="M596" s="41" t="str">
        <f t="shared" si="38"/>
        <v>-</v>
      </c>
      <c r="O596" s="41" t="str">
        <f t="shared" si="39"/>
        <v>-</v>
      </c>
    </row>
    <row r="597" spans="1:15" x14ac:dyDescent="0.3">
      <c r="A597" s="4" t="s">
        <v>1514</v>
      </c>
      <c r="B597" s="3">
        <v>810139574842</v>
      </c>
      <c r="C597" s="2" t="s">
        <v>1515</v>
      </c>
      <c r="D597" s="30">
        <v>0.06</v>
      </c>
      <c r="E597" s="20">
        <v>20.553750000000001</v>
      </c>
      <c r="F597" s="27"/>
      <c r="G597" s="23">
        <f t="shared" si="36"/>
        <v>0</v>
      </c>
      <c r="J597" s="39" t="str">
        <f>IFERROR(IF($J$2*D597=0, "-", $J$2*D597), "-")</f>
        <v>-</v>
      </c>
      <c r="K597" s="39" t="str">
        <f t="shared" si="37"/>
        <v>-</v>
      </c>
      <c r="L597" s="40" t="str">
        <f>IF(F597&gt;0,F597*D597, "-")</f>
        <v>-</v>
      </c>
      <c r="M597" s="41" t="str">
        <f t="shared" si="38"/>
        <v>-</v>
      </c>
      <c r="O597" s="41" t="str">
        <f t="shared" si="39"/>
        <v>-</v>
      </c>
    </row>
    <row r="598" spans="1:15" x14ac:dyDescent="0.3">
      <c r="A598" s="4" t="s">
        <v>492</v>
      </c>
      <c r="B598" s="3">
        <v>857077008787</v>
      </c>
      <c r="C598" s="2" t="s">
        <v>1516</v>
      </c>
      <c r="D598" s="30">
        <v>0.36</v>
      </c>
      <c r="E598" s="20">
        <v>20.934374999999999</v>
      </c>
      <c r="F598" s="27"/>
      <c r="G598" s="23">
        <f t="shared" si="36"/>
        <v>0</v>
      </c>
      <c r="J598" s="39" t="str">
        <f>IFERROR(IF($J$2*D598=0, "-", $J$2*D598), "-")</f>
        <v>-</v>
      </c>
      <c r="K598" s="39" t="str">
        <f t="shared" si="37"/>
        <v>-</v>
      </c>
      <c r="L598" s="40" t="str">
        <f>IF(F598&gt;0,F598*D598, "-")</f>
        <v>-</v>
      </c>
      <c r="M598" s="41" t="str">
        <f t="shared" si="38"/>
        <v>-</v>
      </c>
      <c r="O598" s="41" t="str">
        <f t="shared" si="39"/>
        <v>-</v>
      </c>
    </row>
    <row r="599" spans="1:15" x14ac:dyDescent="0.3">
      <c r="A599" s="4" t="s">
        <v>1517</v>
      </c>
      <c r="B599" s="3">
        <v>810139572572</v>
      </c>
      <c r="C599" s="2" t="s">
        <v>1518</v>
      </c>
      <c r="D599" s="30">
        <v>0.06</v>
      </c>
      <c r="E599" s="20">
        <v>20.934374999999999</v>
      </c>
      <c r="F599" s="27"/>
      <c r="G599" s="23">
        <f t="shared" si="36"/>
        <v>0</v>
      </c>
      <c r="J599" s="39" t="str">
        <f>IFERROR(IF($J$2*D599=0, "-", $J$2*D599), "-")</f>
        <v>-</v>
      </c>
      <c r="K599" s="39" t="str">
        <f t="shared" si="37"/>
        <v>-</v>
      </c>
      <c r="L599" s="40" t="str">
        <f>IF(F599&gt;0,F599*D599, "-")</f>
        <v>-</v>
      </c>
      <c r="M599" s="41" t="str">
        <f t="shared" si="38"/>
        <v>-</v>
      </c>
      <c r="O599" s="41" t="str">
        <f t="shared" si="39"/>
        <v>-</v>
      </c>
    </row>
    <row r="600" spans="1:15" x14ac:dyDescent="0.3">
      <c r="A600" s="4" t="s">
        <v>382</v>
      </c>
      <c r="B600" s="3">
        <v>810014674131</v>
      </c>
      <c r="C600" s="2" t="s">
        <v>1519</v>
      </c>
      <c r="D600" s="30">
        <v>0.27</v>
      </c>
      <c r="E600" s="20">
        <v>20.934374999999999</v>
      </c>
      <c r="F600" s="27"/>
      <c r="G600" s="23">
        <f t="shared" si="36"/>
        <v>0</v>
      </c>
      <c r="J600" s="39" t="str">
        <f>IFERROR(IF($J$2*D600=0, "-", $J$2*D600), "-")</f>
        <v>-</v>
      </c>
      <c r="K600" s="39" t="str">
        <f t="shared" si="37"/>
        <v>-</v>
      </c>
      <c r="L600" s="40" t="str">
        <f>IF(F600&gt;0,F600*D600, "-")</f>
        <v>-</v>
      </c>
      <c r="M600" s="41" t="str">
        <f t="shared" si="38"/>
        <v>-</v>
      </c>
      <c r="O600" s="41" t="str">
        <f t="shared" si="39"/>
        <v>-</v>
      </c>
    </row>
    <row r="601" spans="1:15" x14ac:dyDescent="0.3">
      <c r="A601" s="4" t="s">
        <v>548</v>
      </c>
      <c r="B601" s="3">
        <v>810014672335</v>
      </c>
      <c r="C601" s="2" t="s">
        <v>1520</v>
      </c>
      <c r="D601" s="30">
        <v>0.33</v>
      </c>
      <c r="E601" s="20">
        <v>20.934374999999999</v>
      </c>
      <c r="F601" s="27"/>
      <c r="G601" s="23">
        <f t="shared" si="36"/>
        <v>0</v>
      </c>
      <c r="J601" s="39" t="str">
        <f>IFERROR(IF($J$2*D601=0, "-", $J$2*D601), "-")</f>
        <v>-</v>
      </c>
      <c r="K601" s="39" t="str">
        <f t="shared" si="37"/>
        <v>-</v>
      </c>
      <c r="L601" s="40" t="str">
        <f>IF(F601&gt;0,F601*D601, "-")</f>
        <v>-</v>
      </c>
      <c r="M601" s="41" t="str">
        <f t="shared" si="38"/>
        <v>-</v>
      </c>
      <c r="O601" s="41" t="str">
        <f t="shared" si="39"/>
        <v>-</v>
      </c>
    </row>
    <row r="602" spans="1:15" x14ac:dyDescent="0.3">
      <c r="A602" s="4" t="s">
        <v>314</v>
      </c>
      <c r="B602" s="3">
        <v>857077008916</v>
      </c>
      <c r="C602" s="2" t="s">
        <v>1521</v>
      </c>
      <c r="D602" s="30">
        <v>0.36</v>
      </c>
      <c r="E602" s="20">
        <v>20.934374999999999</v>
      </c>
      <c r="F602" s="27"/>
      <c r="G602" s="23">
        <f t="shared" si="36"/>
        <v>0</v>
      </c>
      <c r="J602" s="39" t="str">
        <f>IFERROR(IF($J$2*D602=0, "-", $J$2*D602), "-")</f>
        <v>-</v>
      </c>
      <c r="K602" s="39" t="str">
        <f t="shared" si="37"/>
        <v>-</v>
      </c>
      <c r="L602" s="40" t="str">
        <f>IF(F602&gt;0,F602*D602, "-")</f>
        <v>-</v>
      </c>
      <c r="M602" s="41" t="str">
        <f t="shared" si="38"/>
        <v>-</v>
      </c>
      <c r="O602" s="41" t="str">
        <f t="shared" si="39"/>
        <v>-</v>
      </c>
    </row>
    <row r="603" spans="1:15" x14ac:dyDescent="0.3">
      <c r="A603" s="4" t="s">
        <v>603</v>
      </c>
      <c r="B603" s="3">
        <v>810014673523</v>
      </c>
      <c r="C603" s="2" t="s">
        <v>1522</v>
      </c>
      <c r="D603" s="30">
        <v>0.21</v>
      </c>
      <c r="E603" s="20">
        <v>20.934374999999999</v>
      </c>
      <c r="F603" s="27"/>
      <c r="G603" s="23">
        <f t="shared" si="36"/>
        <v>0</v>
      </c>
      <c r="J603" s="39" t="str">
        <f>IFERROR(IF($J$2*D603=0, "-", $J$2*D603), "-")</f>
        <v>-</v>
      </c>
      <c r="K603" s="39" t="str">
        <f t="shared" si="37"/>
        <v>-</v>
      </c>
      <c r="L603" s="40" t="str">
        <f>IF(F603&gt;0,F603*D603, "-")</f>
        <v>-</v>
      </c>
      <c r="M603" s="41" t="str">
        <f t="shared" si="38"/>
        <v>-</v>
      </c>
      <c r="O603" s="41" t="str">
        <f t="shared" si="39"/>
        <v>-</v>
      </c>
    </row>
    <row r="604" spans="1:15" x14ac:dyDescent="0.3">
      <c r="A604" s="4" t="s">
        <v>1523</v>
      </c>
      <c r="B604" s="3">
        <v>810139574255</v>
      </c>
      <c r="C604" s="2" t="s">
        <v>1524</v>
      </c>
      <c r="D604" s="30">
        <v>0.24</v>
      </c>
      <c r="E604" s="20">
        <v>20.934374999999999</v>
      </c>
      <c r="F604" s="27"/>
      <c r="G604" s="23">
        <f t="shared" si="36"/>
        <v>0</v>
      </c>
      <c r="J604" s="39" t="str">
        <f>IFERROR(IF($J$2*D604=0, "-", $J$2*D604), "-")</f>
        <v>-</v>
      </c>
      <c r="K604" s="39" t="str">
        <f t="shared" si="37"/>
        <v>-</v>
      </c>
      <c r="L604" s="40" t="str">
        <f>IF(F604&gt;0,F604*D604, "-")</f>
        <v>-</v>
      </c>
      <c r="M604" s="41" t="str">
        <f t="shared" si="38"/>
        <v>-</v>
      </c>
      <c r="O604" s="41" t="str">
        <f t="shared" si="39"/>
        <v>-</v>
      </c>
    </row>
    <row r="605" spans="1:15" x14ac:dyDescent="0.3">
      <c r="A605" s="4" t="s">
        <v>517</v>
      </c>
      <c r="B605" s="3">
        <v>810014672977</v>
      </c>
      <c r="C605" s="2" t="s">
        <v>1525</v>
      </c>
      <c r="D605" s="30">
        <v>0.21</v>
      </c>
      <c r="E605" s="20">
        <v>20.934374999999999</v>
      </c>
      <c r="F605" s="27"/>
      <c r="G605" s="23">
        <f t="shared" si="36"/>
        <v>0</v>
      </c>
      <c r="J605" s="39" t="str">
        <f>IFERROR(IF($J$2*D605=0, "-", $J$2*D605), "-")</f>
        <v>-</v>
      </c>
      <c r="K605" s="39" t="str">
        <f t="shared" si="37"/>
        <v>-</v>
      </c>
      <c r="L605" s="40" t="str">
        <f>IF(F605&gt;0,F605*D605, "-")</f>
        <v>-</v>
      </c>
      <c r="M605" s="41" t="str">
        <f t="shared" si="38"/>
        <v>-</v>
      </c>
      <c r="O605" s="41" t="str">
        <f t="shared" si="39"/>
        <v>-</v>
      </c>
    </row>
    <row r="606" spans="1:15" x14ac:dyDescent="0.3">
      <c r="A606" s="4" t="s">
        <v>536</v>
      </c>
      <c r="B606" s="3">
        <v>810014678894</v>
      </c>
      <c r="C606" s="2" t="s">
        <v>1526</v>
      </c>
      <c r="D606" s="30">
        <v>1.02</v>
      </c>
      <c r="E606" s="20">
        <v>21.315000000000001</v>
      </c>
      <c r="F606" s="27"/>
      <c r="G606" s="23">
        <f t="shared" si="36"/>
        <v>0</v>
      </c>
      <c r="J606" s="39" t="str">
        <f>IFERROR(IF($J$2*D606=0, "-", $J$2*D606), "-")</f>
        <v>-</v>
      </c>
      <c r="K606" s="39" t="str">
        <f t="shared" si="37"/>
        <v>-</v>
      </c>
      <c r="L606" s="40" t="str">
        <f>IF(F606&gt;0,F606*D606, "-")</f>
        <v>-</v>
      </c>
      <c r="M606" s="41" t="str">
        <f t="shared" si="38"/>
        <v>-</v>
      </c>
      <c r="O606" s="41" t="str">
        <f t="shared" si="39"/>
        <v>-</v>
      </c>
    </row>
    <row r="607" spans="1:15" x14ac:dyDescent="0.3">
      <c r="A607" s="4" t="s">
        <v>396</v>
      </c>
      <c r="B607" s="3">
        <v>810014679358</v>
      </c>
      <c r="C607" s="2" t="s">
        <v>1527</v>
      </c>
      <c r="D607" s="30">
        <v>0.6</v>
      </c>
      <c r="E607" s="20">
        <v>21.315000000000001</v>
      </c>
      <c r="F607" s="27"/>
      <c r="G607" s="23">
        <f t="shared" si="36"/>
        <v>0</v>
      </c>
      <c r="J607" s="39" t="str">
        <f>IFERROR(IF($J$2*D607=0, "-", $J$2*D607), "-")</f>
        <v>-</v>
      </c>
      <c r="K607" s="39" t="str">
        <f t="shared" si="37"/>
        <v>-</v>
      </c>
      <c r="L607" s="40" t="str">
        <f>IF(F607&gt;0,F607*D607, "-")</f>
        <v>-</v>
      </c>
      <c r="M607" s="41" t="str">
        <f t="shared" si="38"/>
        <v>-</v>
      </c>
      <c r="O607" s="41" t="str">
        <f t="shared" si="39"/>
        <v>-</v>
      </c>
    </row>
    <row r="608" spans="1:15" x14ac:dyDescent="0.3">
      <c r="A608" s="4" t="s">
        <v>20</v>
      </c>
      <c r="B608" s="3">
        <v>857077008947</v>
      </c>
      <c r="C608" s="2" t="s">
        <v>1528</v>
      </c>
      <c r="D608" s="30">
        <v>0.62</v>
      </c>
      <c r="E608" s="20">
        <v>21.315000000000001</v>
      </c>
      <c r="F608" s="27"/>
      <c r="G608" s="23">
        <f t="shared" si="36"/>
        <v>0</v>
      </c>
      <c r="J608" s="39" t="str">
        <f>IFERROR(IF($J$2*D608=0, "-", $J$2*D608), "-")</f>
        <v>-</v>
      </c>
      <c r="K608" s="39" t="str">
        <f t="shared" si="37"/>
        <v>-</v>
      </c>
      <c r="L608" s="40" t="str">
        <f>IF(F608&gt;0,F608*D608, "-")</f>
        <v>-</v>
      </c>
      <c r="M608" s="41" t="str">
        <f t="shared" si="38"/>
        <v>-</v>
      </c>
      <c r="O608" s="41" t="str">
        <f t="shared" si="39"/>
        <v>-</v>
      </c>
    </row>
    <row r="609" spans="1:15" x14ac:dyDescent="0.3">
      <c r="A609" s="4" t="s">
        <v>699</v>
      </c>
      <c r="B609" s="3">
        <v>702669937603</v>
      </c>
      <c r="C609" s="2" t="s">
        <v>1529</v>
      </c>
      <c r="D609" s="30">
        <v>0.66</v>
      </c>
      <c r="E609" s="20">
        <v>21.315000000000001</v>
      </c>
      <c r="F609" s="27"/>
      <c r="G609" s="23">
        <f t="shared" si="36"/>
        <v>0</v>
      </c>
      <c r="J609" s="39" t="str">
        <f>IFERROR(IF($J$2*D609=0, "-", $J$2*D609), "-")</f>
        <v>-</v>
      </c>
      <c r="K609" s="39" t="str">
        <f t="shared" si="37"/>
        <v>-</v>
      </c>
      <c r="L609" s="40" t="str">
        <f>IF(F609&gt;0,F609*D609, "-")</f>
        <v>-</v>
      </c>
      <c r="M609" s="41" t="str">
        <f t="shared" si="38"/>
        <v>-</v>
      </c>
      <c r="O609" s="41" t="str">
        <f t="shared" si="39"/>
        <v>-</v>
      </c>
    </row>
    <row r="610" spans="1:15" x14ac:dyDescent="0.3">
      <c r="A610" s="4" t="s">
        <v>1530</v>
      </c>
      <c r="B610" s="3">
        <v>810139573456</v>
      </c>
      <c r="C610" s="2" t="s">
        <v>1531</v>
      </c>
      <c r="D610" s="30">
        <v>0.69</v>
      </c>
      <c r="E610" s="20">
        <v>21.315000000000001</v>
      </c>
      <c r="F610" s="27"/>
      <c r="G610" s="23">
        <f t="shared" si="36"/>
        <v>0</v>
      </c>
      <c r="J610" s="39" t="str">
        <f>IFERROR(IF($J$2*D610=0, "-", $J$2*D610), "-")</f>
        <v>-</v>
      </c>
      <c r="K610" s="39" t="str">
        <f t="shared" si="37"/>
        <v>-</v>
      </c>
      <c r="L610" s="40" t="str">
        <f>IF(F610&gt;0,F610*D610, "-")</f>
        <v>-</v>
      </c>
      <c r="M610" s="41" t="str">
        <f t="shared" si="38"/>
        <v>-</v>
      </c>
      <c r="O610" s="41" t="str">
        <f t="shared" si="39"/>
        <v>-</v>
      </c>
    </row>
    <row r="611" spans="1:15" x14ac:dyDescent="0.3">
      <c r="A611" s="4" t="s">
        <v>90</v>
      </c>
      <c r="B611" s="3">
        <v>810139571681</v>
      </c>
      <c r="C611" s="2" t="s">
        <v>1532</v>
      </c>
      <c r="D611" s="30">
        <v>0.66</v>
      </c>
      <c r="E611" s="20">
        <v>21.315000000000001</v>
      </c>
      <c r="F611" s="27"/>
      <c r="G611" s="23">
        <f t="shared" si="36"/>
        <v>0</v>
      </c>
      <c r="J611" s="39" t="str">
        <f>IFERROR(IF($J$2*D611=0, "-", $J$2*D611), "-")</f>
        <v>-</v>
      </c>
      <c r="K611" s="39" t="str">
        <f t="shared" si="37"/>
        <v>-</v>
      </c>
      <c r="L611" s="40" t="str">
        <f>IF(F611&gt;0,F611*D611, "-")</f>
        <v>-</v>
      </c>
      <c r="M611" s="41" t="str">
        <f t="shared" si="38"/>
        <v>-</v>
      </c>
      <c r="O611" s="41" t="str">
        <f t="shared" si="39"/>
        <v>-</v>
      </c>
    </row>
    <row r="612" spans="1:15" x14ac:dyDescent="0.3">
      <c r="A612" s="4" t="s">
        <v>1533</v>
      </c>
      <c r="B612" s="3">
        <v>810139576563</v>
      </c>
      <c r="C612" s="2" t="s">
        <v>1534</v>
      </c>
      <c r="D612" s="30">
        <v>0.18</v>
      </c>
      <c r="E612" s="20">
        <v>21.315000000000001</v>
      </c>
      <c r="F612" s="27"/>
      <c r="G612" s="23">
        <f t="shared" si="36"/>
        <v>0</v>
      </c>
      <c r="J612" s="39" t="str">
        <f>IFERROR(IF($J$2*D612=0, "-", $J$2*D612), "-")</f>
        <v>-</v>
      </c>
      <c r="K612" s="39" t="str">
        <f t="shared" si="37"/>
        <v>-</v>
      </c>
      <c r="L612" s="40" t="str">
        <f>IF(F612&gt;0,F612*D612, "-")</f>
        <v>-</v>
      </c>
      <c r="M612" s="41" t="str">
        <f t="shared" si="38"/>
        <v>-</v>
      </c>
      <c r="O612" s="41" t="str">
        <f t="shared" si="39"/>
        <v>-</v>
      </c>
    </row>
    <row r="613" spans="1:15" x14ac:dyDescent="0.3">
      <c r="A613" s="4" t="s">
        <v>348</v>
      </c>
      <c r="B613" s="3">
        <v>810139572183</v>
      </c>
      <c r="C613" s="2" t="s">
        <v>1535</v>
      </c>
      <c r="D613" s="30">
        <v>0.22</v>
      </c>
      <c r="E613" s="20">
        <v>21.315000000000001</v>
      </c>
      <c r="F613" s="27"/>
      <c r="G613" s="23">
        <f t="shared" si="36"/>
        <v>0</v>
      </c>
      <c r="J613" s="39" t="str">
        <f>IFERROR(IF($J$2*D613=0, "-", $J$2*D613), "-")</f>
        <v>-</v>
      </c>
      <c r="K613" s="39" t="str">
        <f t="shared" si="37"/>
        <v>-</v>
      </c>
      <c r="L613" s="40" t="str">
        <f>IF(F613&gt;0,F613*D613, "-")</f>
        <v>-</v>
      </c>
      <c r="M613" s="41" t="str">
        <f t="shared" si="38"/>
        <v>-</v>
      </c>
      <c r="O613" s="41" t="str">
        <f t="shared" si="39"/>
        <v>-</v>
      </c>
    </row>
    <row r="614" spans="1:15" x14ac:dyDescent="0.3">
      <c r="A614" s="4" t="s">
        <v>43</v>
      </c>
      <c r="B614" s="3">
        <v>810014673196</v>
      </c>
      <c r="C614" s="2" t="s">
        <v>1536</v>
      </c>
      <c r="D614" s="30">
        <v>0.12</v>
      </c>
      <c r="E614" s="20">
        <v>21.315000000000001</v>
      </c>
      <c r="F614" s="27"/>
      <c r="G614" s="23">
        <f t="shared" si="36"/>
        <v>0</v>
      </c>
      <c r="J614" s="39" t="str">
        <f>IFERROR(IF($J$2*D614=0, "-", $J$2*D614), "-")</f>
        <v>-</v>
      </c>
      <c r="K614" s="39" t="str">
        <f t="shared" si="37"/>
        <v>-</v>
      </c>
      <c r="L614" s="40" t="str">
        <f>IF(F614&gt;0,F614*D614, "-")</f>
        <v>-</v>
      </c>
      <c r="M614" s="41" t="str">
        <f t="shared" si="38"/>
        <v>-</v>
      </c>
      <c r="O614" s="41" t="str">
        <f t="shared" si="39"/>
        <v>-</v>
      </c>
    </row>
    <row r="615" spans="1:15" x14ac:dyDescent="0.3">
      <c r="A615" s="4" t="s">
        <v>428</v>
      </c>
      <c r="B615" s="3">
        <v>810014673776</v>
      </c>
      <c r="C615" s="2" t="s">
        <v>1537</v>
      </c>
      <c r="D615" s="30">
        <v>0.13</v>
      </c>
      <c r="E615" s="20">
        <v>21.315000000000001</v>
      </c>
      <c r="F615" s="27"/>
      <c r="G615" s="23">
        <f t="shared" si="36"/>
        <v>0</v>
      </c>
      <c r="J615" s="39" t="str">
        <f>IFERROR(IF($J$2*D615=0, "-", $J$2*D615), "-")</f>
        <v>-</v>
      </c>
      <c r="K615" s="39" t="str">
        <f t="shared" si="37"/>
        <v>-</v>
      </c>
      <c r="L615" s="40" t="str">
        <f>IF(F615&gt;0,F615*D615, "-")</f>
        <v>-</v>
      </c>
      <c r="M615" s="41" t="str">
        <f t="shared" si="38"/>
        <v>-</v>
      </c>
      <c r="O615" s="41" t="str">
        <f t="shared" si="39"/>
        <v>-</v>
      </c>
    </row>
    <row r="616" spans="1:15" x14ac:dyDescent="0.3">
      <c r="A616" s="4" t="s">
        <v>186</v>
      </c>
      <c r="B616" s="3">
        <v>810014673639</v>
      </c>
      <c r="C616" s="2" t="s">
        <v>187</v>
      </c>
      <c r="D616" s="30">
        <v>0.56000000000000005</v>
      </c>
      <c r="E616" s="20">
        <v>21.315000000000001</v>
      </c>
      <c r="F616" s="27"/>
      <c r="G616" s="23">
        <f t="shared" si="36"/>
        <v>0</v>
      </c>
      <c r="J616" s="39" t="str">
        <f>IFERROR(IF($J$2*D616=0, "-", $J$2*D616), "-")</f>
        <v>-</v>
      </c>
      <c r="K616" s="39" t="str">
        <f t="shared" si="37"/>
        <v>-</v>
      </c>
      <c r="L616" s="40" t="str">
        <f>IF(F616&gt;0,F616*D616, "-")</f>
        <v>-</v>
      </c>
      <c r="M616" s="41" t="str">
        <f t="shared" si="38"/>
        <v>-</v>
      </c>
      <c r="O616" s="41" t="str">
        <f t="shared" si="39"/>
        <v>-</v>
      </c>
    </row>
    <row r="617" spans="1:15" x14ac:dyDescent="0.3">
      <c r="A617" s="4" t="s">
        <v>1538</v>
      </c>
      <c r="B617" s="3">
        <v>810139576792</v>
      </c>
      <c r="C617" s="2" t="s">
        <v>1539</v>
      </c>
      <c r="D617" s="30">
        <v>0.33</v>
      </c>
      <c r="E617" s="20">
        <v>21.315000000000001</v>
      </c>
      <c r="F617" s="27"/>
      <c r="G617" s="23">
        <f t="shared" si="36"/>
        <v>0</v>
      </c>
      <c r="J617" s="39" t="str">
        <f>IFERROR(IF($J$2*D617=0, "-", $J$2*D617), "-")</f>
        <v>-</v>
      </c>
      <c r="K617" s="39" t="str">
        <f t="shared" si="37"/>
        <v>-</v>
      </c>
      <c r="L617" s="40" t="str">
        <f>IF(F617&gt;0,F617*D617, "-")</f>
        <v>-</v>
      </c>
      <c r="M617" s="41" t="str">
        <f t="shared" si="38"/>
        <v>-</v>
      </c>
      <c r="O617" s="41" t="str">
        <f t="shared" si="39"/>
        <v>-</v>
      </c>
    </row>
    <row r="618" spans="1:15" x14ac:dyDescent="0.3">
      <c r="A618" s="4" t="s">
        <v>602</v>
      </c>
      <c r="B618" s="3">
        <v>810014673455</v>
      </c>
      <c r="C618" s="2" t="s">
        <v>1540</v>
      </c>
      <c r="D618" s="30">
        <v>0.16</v>
      </c>
      <c r="E618" s="20">
        <v>21.315000000000001</v>
      </c>
      <c r="F618" s="27"/>
      <c r="G618" s="23">
        <f t="shared" si="36"/>
        <v>0</v>
      </c>
      <c r="J618" s="39" t="str">
        <f>IFERROR(IF($J$2*D618=0, "-", $J$2*D618), "-")</f>
        <v>-</v>
      </c>
      <c r="K618" s="39" t="str">
        <f t="shared" si="37"/>
        <v>-</v>
      </c>
      <c r="L618" s="40" t="str">
        <f>IF(F618&gt;0,F618*D618, "-")</f>
        <v>-</v>
      </c>
      <c r="M618" s="41" t="str">
        <f t="shared" si="38"/>
        <v>-</v>
      </c>
      <c r="O618" s="41" t="str">
        <f t="shared" si="39"/>
        <v>-</v>
      </c>
    </row>
    <row r="619" spans="1:15" x14ac:dyDescent="0.3">
      <c r="A619" s="4" t="s">
        <v>584</v>
      </c>
      <c r="B619" s="3">
        <v>810139572404</v>
      </c>
      <c r="C619" s="2" t="s">
        <v>1541</v>
      </c>
      <c r="D619" s="30">
        <v>0.09</v>
      </c>
      <c r="E619" s="20">
        <v>21.315000000000001</v>
      </c>
      <c r="F619" s="27"/>
      <c r="G619" s="23">
        <f t="shared" si="36"/>
        <v>0</v>
      </c>
      <c r="J619" s="39" t="str">
        <f>IFERROR(IF($J$2*D619=0, "-", $J$2*D619), "-")</f>
        <v>-</v>
      </c>
      <c r="K619" s="39" t="str">
        <f t="shared" si="37"/>
        <v>-</v>
      </c>
      <c r="L619" s="40" t="str">
        <f>IF(F619&gt;0,F619*D619, "-")</f>
        <v>-</v>
      </c>
      <c r="M619" s="41" t="str">
        <f t="shared" si="38"/>
        <v>-</v>
      </c>
      <c r="O619" s="41" t="str">
        <f t="shared" si="39"/>
        <v>-</v>
      </c>
    </row>
    <row r="620" spans="1:15" x14ac:dyDescent="0.3">
      <c r="A620" s="4" t="s">
        <v>1542</v>
      </c>
      <c r="B620" s="3">
        <v>810139576631</v>
      </c>
      <c r="C620" s="2" t="s">
        <v>1543</v>
      </c>
      <c r="D620" s="30">
        <v>0.13</v>
      </c>
      <c r="E620" s="20">
        <v>21.315000000000001</v>
      </c>
      <c r="F620" s="27"/>
      <c r="G620" s="23">
        <f t="shared" si="36"/>
        <v>0</v>
      </c>
      <c r="J620" s="39" t="str">
        <f>IFERROR(IF($J$2*D620=0, "-", $J$2*D620), "-")</f>
        <v>-</v>
      </c>
      <c r="K620" s="39" t="str">
        <f t="shared" si="37"/>
        <v>-</v>
      </c>
      <c r="L620" s="40" t="str">
        <f>IF(F620&gt;0,F620*D620, "-")</f>
        <v>-</v>
      </c>
      <c r="M620" s="41" t="str">
        <f t="shared" si="38"/>
        <v>-</v>
      </c>
      <c r="O620" s="41" t="str">
        <f t="shared" si="39"/>
        <v>-</v>
      </c>
    </row>
    <row r="621" spans="1:15" x14ac:dyDescent="0.3">
      <c r="A621" s="4" t="s">
        <v>270</v>
      </c>
      <c r="B621" s="3">
        <v>810014672786</v>
      </c>
      <c r="C621" s="2" t="s">
        <v>1544</v>
      </c>
      <c r="D621" s="30">
        <v>0.28999999999999998</v>
      </c>
      <c r="E621" s="20">
        <v>21.315000000000001</v>
      </c>
      <c r="F621" s="27"/>
      <c r="G621" s="23">
        <f t="shared" si="36"/>
        <v>0</v>
      </c>
      <c r="J621" s="39" t="str">
        <f>IFERROR(IF($J$2*D621=0, "-", $J$2*D621), "-")</f>
        <v>-</v>
      </c>
      <c r="K621" s="39" t="str">
        <f t="shared" si="37"/>
        <v>-</v>
      </c>
      <c r="L621" s="40" t="str">
        <f>IF(F621&gt;0,F621*D621, "-")</f>
        <v>-</v>
      </c>
      <c r="M621" s="41" t="str">
        <f t="shared" si="38"/>
        <v>-</v>
      </c>
      <c r="O621" s="41" t="str">
        <f t="shared" si="39"/>
        <v>-</v>
      </c>
    </row>
    <row r="622" spans="1:15" x14ac:dyDescent="0.3">
      <c r="A622" s="4" t="s">
        <v>522</v>
      </c>
      <c r="B622" s="3">
        <v>810014670843</v>
      </c>
      <c r="C622" s="2" t="s">
        <v>1545</v>
      </c>
      <c r="D622" s="30">
        <v>0.24</v>
      </c>
      <c r="E622" s="20">
        <v>21.315000000000001</v>
      </c>
      <c r="F622" s="27"/>
      <c r="G622" s="23">
        <f t="shared" si="36"/>
        <v>0</v>
      </c>
      <c r="J622" s="39" t="str">
        <f>IFERROR(IF($J$2*D622=0, "-", $J$2*D622), "-")</f>
        <v>-</v>
      </c>
      <c r="K622" s="39" t="str">
        <f t="shared" si="37"/>
        <v>-</v>
      </c>
      <c r="L622" s="40" t="str">
        <f>IF(F622&gt;0,F622*D622, "-")</f>
        <v>-</v>
      </c>
      <c r="M622" s="41" t="str">
        <f t="shared" si="38"/>
        <v>-</v>
      </c>
      <c r="O622" s="41" t="str">
        <f t="shared" si="39"/>
        <v>-</v>
      </c>
    </row>
    <row r="623" spans="1:15" x14ac:dyDescent="0.3">
      <c r="A623" s="4" t="s">
        <v>317</v>
      </c>
      <c r="B623" s="3">
        <v>810014671390</v>
      </c>
      <c r="C623" s="2" t="s">
        <v>1546</v>
      </c>
      <c r="D623" s="30">
        <v>0.22</v>
      </c>
      <c r="E623" s="20">
        <v>21.315000000000001</v>
      </c>
      <c r="F623" s="27"/>
      <c r="G623" s="23">
        <f t="shared" si="36"/>
        <v>0</v>
      </c>
      <c r="J623" s="39" t="str">
        <f>IFERROR(IF($J$2*D623=0, "-", $J$2*D623), "-")</f>
        <v>-</v>
      </c>
      <c r="K623" s="39" t="str">
        <f t="shared" si="37"/>
        <v>-</v>
      </c>
      <c r="L623" s="40" t="str">
        <f>IF(F623&gt;0,F623*D623, "-")</f>
        <v>-</v>
      </c>
      <c r="M623" s="41" t="str">
        <f t="shared" si="38"/>
        <v>-</v>
      </c>
      <c r="O623" s="41" t="str">
        <f t="shared" si="39"/>
        <v>-</v>
      </c>
    </row>
    <row r="624" spans="1:15" x14ac:dyDescent="0.3">
      <c r="A624" s="4" t="s">
        <v>1547</v>
      </c>
      <c r="B624" s="3">
        <v>810139574453</v>
      </c>
      <c r="C624" s="2" t="s">
        <v>1548</v>
      </c>
      <c r="D624" s="30">
        <v>0.27</v>
      </c>
      <c r="E624" s="20">
        <v>21.315000000000001</v>
      </c>
      <c r="F624" s="27"/>
      <c r="G624" s="23">
        <f t="shared" si="36"/>
        <v>0</v>
      </c>
      <c r="J624" s="39" t="str">
        <f>IFERROR(IF($J$2*D624=0, "-", $J$2*D624), "-")</f>
        <v>-</v>
      </c>
      <c r="K624" s="39" t="str">
        <f t="shared" si="37"/>
        <v>-</v>
      </c>
      <c r="L624" s="40" t="str">
        <f>IF(F624&gt;0,F624*D624, "-")</f>
        <v>-</v>
      </c>
      <c r="M624" s="41" t="str">
        <f t="shared" si="38"/>
        <v>-</v>
      </c>
      <c r="O624" s="41" t="str">
        <f t="shared" si="39"/>
        <v>-</v>
      </c>
    </row>
    <row r="625" spans="1:15" x14ac:dyDescent="0.3">
      <c r="A625" s="4" t="s">
        <v>283</v>
      </c>
      <c r="B625" s="3">
        <v>810014673394</v>
      </c>
      <c r="C625" s="2" t="s">
        <v>1549</v>
      </c>
      <c r="D625" s="30">
        <v>0.19</v>
      </c>
      <c r="E625" s="20">
        <v>21.315000000000001</v>
      </c>
      <c r="F625" s="27"/>
      <c r="G625" s="23">
        <f t="shared" si="36"/>
        <v>0</v>
      </c>
      <c r="J625" s="39" t="str">
        <f>IFERROR(IF($J$2*D625=0, "-", $J$2*D625), "-")</f>
        <v>-</v>
      </c>
      <c r="K625" s="39" t="str">
        <f t="shared" si="37"/>
        <v>-</v>
      </c>
      <c r="L625" s="40" t="str">
        <f>IF(F625&gt;0,F625*D625, "-")</f>
        <v>-</v>
      </c>
      <c r="M625" s="41" t="str">
        <f t="shared" si="38"/>
        <v>-</v>
      </c>
      <c r="O625" s="41" t="str">
        <f t="shared" si="39"/>
        <v>-</v>
      </c>
    </row>
    <row r="626" spans="1:15" x14ac:dyDescent="0.3">
      <c r="A626" s="4" t="s">
        <v>439</v>
      </c>
      <c r="B626" s="3">
        <v>810139571391</v>
      </c>
      <c r="C626" s="2" t="s">
        <v>1550</v>
      </c>
      <c r="D626" s="30">
        <v>0.2</v>
      </c>
      <c r="E626" s="20">
        <v>21.315000000000001</v>
      </c>
      <c r="F626" s="27"/>
      <c r="G626" s="23">
        <f t="shared" si="36"/>
        <v>0</v>
      </c>
      <c r="J626" s="39" t="str">
        <f>IFERROR(IF($J$2*D626=0, "-", $J$2*D626), "-")</f>
        <v>-</v>
      </c>
      <c r="K626" s="39" t="str">
        <f t="shared" si="37"/>
        <v>-</v>
      </c>
      <c r="L626" s="40" t="str">
        <f>IF(F626&gt;0,F626*D626, "-")</f>
        <v>-</v>
      </c>
      <c r="M626" s="41" t="str">
        <f t="shared" si="38"/>
        <v>-</v>
      </c>
      <c r="O626" s="41" t="str">
        <f t="shared" si="39"/>
        <v>-</v>
      </c>
    </row>
    <row r="627" spans="1:15" x14ac:dyDescent="0.3">
      <c r="A627" s="4" t="s">
        <v>86</v>
      </c>
      <c r="B627" s="3">
        <v>810139572879</v>
      </c>
      <c r="C627" s="2" t="s">
        <v>1551</v>
      </c>
      <c r="D627" s="30">
        <v>0.08</v>
      </c>
      <c r="E627" s="20">
        <v>21.315000000000001</v>
      </c>
      <c r="F627" s="27"/>
      <c r="G627" s="23">
        <f t="shared" si="36"/>
        <v>0</v>
      </c>
      <c r="J627" s="39" t="str">
        <f>IFERROR(IF($J$2*D627=0, "-", $J$2*D627), "-")</f>
        <v>-</v>
      </c>
      <c r="K627" s="39" t="str">
        <f t="shared" si="37"/>
        <v>-</v>
      </c>
      <c r="L627" s="40" t="str">
        <f>IF(F627&gt;0,F627*D627, "-")</f>
        <v>-</v>
      </c>
      <c r="M627" s="41" t="str">
        <f t="shared" si="38"/>
        <v>-</v>
      </c>
      <c r="O627" s="41" t="str">
        <f t="shared" si="39"/>
        <v>-</v>
      </c>
    </row>
    <row r="628" spans="1:15" x14ac:dyDescent="0.3">
      <c r="A628" s="4" t="s">
        <v>88</v>
      </c>
      <c r="B628" s="3">
        <v>810014670157</v>
      </c>
      <c r="C628" s="2" t="s">
        <v>1552</v>
      </c>
      <c r="D628" s="30">
        <v>0.39</v>
      </c>
      <c r="E628" s="20">
        <v>21.315000000000001</v>
      </c>
      <c r="F628" s="27"/>
      <c r="G628" s="23">
        <f t="shared" si="36"/>
        <v>0</v>
      </c>
      <c r="J628" s="39" t="str">
        <f>IFERROR(IF($J$2*D628=0, "-", $J$2*D628), "-")</f>
        <v>-</v>
      </c>
      <c r="K628" s="39" t="str">
        <f t="shared" si="37"/>
        <v>-</v>
      </c>
      <c r="L628" s="40" t="str">
        <f>IF(F628&gt;0,F628*D628, "-")</f>
        <v>-</v>
      </c>
      <c r="M628" s="41" t="str">
        <f t="shared" si="38"/>
        <v>-</v>
      </c>
      <c r="O628" s="41" t="str">
        <f t="shared" si="39"/>
        <v>-</v>
      </c>
    </row>
    <row r="629" spans="1:15" x14ac:dyDescent="0.3">
      <c r="A629" s="4" t="s">
        <v>1553</v>
      </c>
      <c r="B629" s="3">
        <v>810139575993</v>
      </c>
      <c r="C629" s="2" t="s">
        <v>1554</v>
      </c>
      <c r="D629" s="30">
        <v>0.18</v>
      </c>
      <c r="E629" s="20">
        <v>21.315000000000001</v>
      </c>
      <c r="F629" s="27"/>
      <c r="G629" s="23">
        <f t="shared" si="36"/>
        <v>0</v>
      </c>
      <c r="J629" s="39" t="str">
        <f>IFERROR(IF($J$2*D629=0, "-", $J$2*D629), "-")</f>
        <v>-</v>
      </c>
      <c r="K629" s="39" t="str">
        <f t="shared" si="37"/>
        <v>-</v>
      </c>
      <c r="L629" s="40" t="str">
        <f>IF(F629&gt;0,F629*D629, "-")</f>
        <v>-</v>
      </c>
      <c r="M629" s="41" t="str">
        <f t="shared" si="38"/>
        <v>-</v>
      </c>
      <c r="O629" s="41" t="str">
        <f t="shared" si="39"/>
        <v>-</v>
      </c>
    </row>
    <row r="630" spans="1:15" x14ac:dyDescent="0.3">
      <c r="A630" s="4" t="s">
        <v>128</v>
      </c>
      <c r="B630" s="3">
        <v>810014671819</v>
      </c>
      <c r="C630" s="2" t="s">
        <v>1555</v>
      </c>
      <c r="D630" s="30">
        <v>0.4</v>
      </c>
      <c r="E630" s="20">
        <v>21.315000000000001</v>
      </c>
      <c r="F630" s="27"/>
      <c r="G630" s="23">
        <f t="shared" si="36"/>
        <v>0</v>
      </c>
      <c r="J630" s="39" t="str">
        <f>IFERROR(IF($J$2*D630=0, "-", $J$2*D630), "-")</f>
        <v>-</v>
      </c>
      <c r="K630" s="39" t="str">
        <f t="shared" si="37"/>
        <v>-</v>
      </c>
      <c r="L630" s="40" t="str">
        <f>IF(F630&gt;0,F630*D630, "-")</f>
        <v>-</v>
      </c>
      <c r="M630" s="41" t="str">
        <f t="shared" si="38"/>
        <v>-</v>
      </c>
      <c r="O630" s="41" t="str">
        <f t="shared" si="39"/>
        <v>-</v>
      </c>
    </row>
    <row r="631" spans="1:15" x14ac:dyDescent="0.3">
      <c r="A631" s="4" t="s">
        <v>372</v>
      </c>
      <c r="B631" s="3">
        <v>810014675411</v>
      </c>
      <c r="C631" s="2" t="s">
        <v>1556</v>
      </c>
      <c r="D631" s="30">
        <v>0.24</v>
      </c>
      <c r="E631" s="20">
        <v>21.315000000000001</v>
      </c>
      <c r="F631" s="27"/>
      <c r="G631" s="23">
        <f t="shared" si="36"/>
        <v>0</v>
      </c>
      <c r="J631" s="39" t="str">
        <f>IFERROR(IF($J$2*D631=0, "-", $J$2*D631), "-")</f>
        <v>-</v>
      </c>
      <c r="K631" s="39" t="str">
        <f t="shared" si="37"/>
        <v>-</v>
      </c>
      <c r="L631" s="40" t="str">
        <f>IF(F631&gt;0,F631*D631, "-")</f>
        <v>-</v>
      </c>
      <c r="M631" s="41" t="str">
        <f t="shared" si="38"/>
        <v>-</v>
      </c>
      <c r="O631" s="41" t="str">
        <f t="shared" si="39"/>
        <v>-</v>
      </c>
    </row>
    <row r="632" spans="1:15" x14ac:dyDescent="0.3">
      <c r="A632" s="4" t="s">
        <v>698</v>
      </c>
      <c r="B632" s="3">
        <v>810014672649</v>
      </c>
      <c r="C632" s="2" t="s">
        <v>1557</v>
      </c>
      <c r="D632" s="30">
        <v>0.09</v>
      </c>
      <c r="E632" s="20">
        <v>21.315000000000001</v>
      </c>
      <c r="F632" s="27"/>
      <c r="G632" s="23">
        <f t="shared" si="36"/>
        <v>0</v>
      </c>
      <c r="J632" s="39" t="str">
        <f>IFERROR(IF($J$2*D632=0, "-", $J$2*D632), "-")</f>
        <v>-</v>
      </c>
      <c r="K632" s="39" t="str">
        <f t="shared" si="37"/>
        <v>-</v>
      </c>
      <c r="L632" s="40" t="str">
        <f>IF(F632&gt;0,F632*D632, "-")</f>
        <v>-</v>
      </c>
      <c r="M632" s="41" t="str">
        <f t="shared" si="38"/>
        <v>-</v>
      </c>
      <c r="O632" s="41" t="str">
        <f t="shared" si="39"/>
        <v>-</v>
      </c>
    </row>
    <row r="633" spans="1:15" x14ac:dyDescent="0.3">
      <c r="A633" s="4" t="s">
        <v>323</v>
      </c>
      <c r="B633" s="3">
        <v>810014671086</v>
      </c>
      <c r="C633" s="2" t="s">
        <v>1558</v>
      </c>
      <c r="D633" s="30">
        <v>0.63</v>
      </c>
      <c r="E633" s="20">
        <v>21.695625</v>
      </c>
      <c r="F633" s="27"/>
      <c r="G633" s="23">
        <f t="shared" si="36"/>
        <v>0</v>
      </c>
      <c r="J633" s="39" t="str">
        <f>IFERROR(IF($J$2*D633=0, "-", $J$2*D633), "-")</f>
        <v>-</v>
      </c>
      <c r="K633" s="39" t="str">
        <f t="shared" si="37"/>
        <v>-</v>
      </c>
      <c r="L633" s="40" t="str">
        <f>IF(F633&gt;0,F633*D633, "-")</f>
        <v>-</v>
      </c>
      <c r="M633" s="41" t="str">
        <f t="shared" si="38"/>
        <v>-</v>
      </c>
      <c r="O633" s="41" t="str">
        <f t="shared" si="39"/>
        <v>-</v>
      </c>
    </row>
    <row r="634" spans="1:15" x14ac:dyDescent="0.3">
      <c r="A634" s="4" t="s">
        <v>271</v>
      </c>
      <c r="B634" s="3">
        <v>702669931007</v>
      </c>
      <c r="C634" s="2" t="s">
        <v>1559</v>
      </c>
      <c r="D634" s="30">
        <v>0.68</v>
      </c>
      <c r="E634" s="20">
        <v>21.695625</v>
      </c>
      <c r="F634" s="27"/>
      <c r="G634" s="23">
        <f t="shared" si="36"/>
        <v>0</v>
      </c>
      <c r="J634" s="39" t="str">
        <f>IFERROR(IF($J$2*D634=0, "-", $J$2*D634), "-")</f>
        <v>-</v>
      </c>
      <c r="K634" s="39" t="str">
        <f t="shared" si="37"/>
        <v>-</v>
      </c>
      <c r="L634" s="40" t="str">
        <f>IF(F634&gt;0,F634*D634, "-")</f>
        <v>-</v>
      </c>
      <c r="M634" s="41" t="str">
        <f t="shared" si="38"/>
        <v>-</v>
      </c>
      <c r="O634" s="41" t="str">
        <f t="shared" si="39"/>
        <v>-</v>
      </c>
    </row>
    <row r="635" spans="1:15" x14ac:dyDescent="0.3">
      <c r="A635" s="4" t="s">
        <v>1560</v>
      </c>
      <c r="B635" s="3">
        <v>810139573791</v>
      </c>
      <c r="C635" s="2" t="s">
        <v>1561</v>
      </c>
      <c r="D635" s="30">
        <v>0.62</v>
      </c>
      <c r="E635" s="20">
        <v>21.695625</v>
      </c>
      <c r="F635" s="27"/>
      <c r="G635" s="23">
        <f t="shared" si="36"/>
        <v>0</v>
      </c>
      <c r="J635" s="39" t="str">
        <f>IFERROR(IF($J$2*D635=0, "-", $J$2*D635), "-")</f>
        <v>-</v>
      </c>
      <c r="K635" s="39" t="str">
        <f t="shared" si="37"/>
        <v>-</v>
      </c>
      <c r="L635" s="40" t="str">
        <f>IF(F635&gt;0,F635*D635, "-")</f>
        <v>-</v>
      </c>
      <c r="M635" s="41" t="str">
        <f t="shared" si="38"/>
        <v>-</v>
      </c>
      <c r="O635" s="41" t="str">
        <f t="shared" si="39"/>
        <v>-</v>
      </c>
    </row>
    <row r="636" spans="1:15" x14ac:dyDescent="0.3">
      <c r="A636" s="4" t="s">
        <v>455</v>
      </c>
      <c r="B636" s="3">
        <v>810139573166</v>
      </c>
      <c r="C636" s="2" t="s">
        <v>1562</v>
      </c>
      <c r="D636" s="30">
        <v>2.23</v>
      </c>
      <c r="E636" s="20">
        <v>22.076250000000002</v>
      </c>
      <c r="F636" s="27"/>
      <c r="G636" s="23">
        <f t="shared" si="36"/>
        <v>0</v>
      </c>
      <c r="J636" s="39" t="str">
        <f>IFERROR(IF($J$2*D636=0, "-", $J$2*D636), "-")</f>
        <v>-</v>
      </c>
      <c r="K636" s="39" t="str">
        <f t="shared" si="37"/>
        <v>-</v>
      </c>
      <c r="L636" s="40" t="str">
        <f>IF(F636&gt;0,F636*D636, "-")</f>
        <v>-</v>
      </c>
      <c r="M636" s="41" t="str">
        <f t="shared" si="38"/>
        <v>-</v>
      </c>
      <c r="O636" s="41" t="str">
        <f t="shared" si="39"/>
        <v>-</v>
      </c>
    </row>
    <row r="637" spans="1:15" x14ac:dyDescent="0.3">
      <c r="A637" s="4" t="s">
        <v>1563</v>
      </c>
      <c r="B637" s="3">
        <v>810139573050</v>
      </c>
      <c r="C637" s="2" t="s">
        <v>1564</v>
      </c>
      <c r="D637" s="30">
        <v>0.73</v>
      </c>
      <c r="E637" s="20">
        <v>22.076250000000002</v>
      </c>
      <c r="F637" s="27"/>
      <c r="G637" s="23">
        <f t="shared" si="36"/>
        <v>0</v>
      </c>
      <c r="J637" s="39" t="str">
        <f>IFERROR(IF($J$2*D637=0, "-", $J$2*D637), "-")</f>
        <v>-</v>
      </c>
      <c r="K637" s="39" t="str">
        <f t="shared" si="37"/>
        <v>-</v>
      </c>
      <c r="L637" s="40" t="str">
        <f>IF(F637&gt;0,F637*D637, "-")</f>
        <v>-</v>
      </c>
      <c r="M637" s="41" t="str">
        <f t="shared" si="38"/>
        <v>-</v>
      </c>
      <c r="O637" s="41" t="str">
        <f t="shared" si="39"/>
        <v>-</v>
      </c>
    </row>
    <row r="638" spans="1:15" x14ac:dyDescent="0.3">
      <c r="A638" s="4" t="s">
        <v>1565</v>
      </c>
      <c r="B638" s="3">
        <v>810139573067</v>
      </c>
      <c r="C638" s="2" t="s">
        <v>1566</v>
      </c>
      <c r="D638" s="30">
        <v>0.51</v>
      </c>
      <c r="E638" s="20">
        <v>22.076250000000002</v>
      </c>
      <c r="F638" s="27"/>
      <c r="G638" s="23">
        <f t="shared" si="36"/>
        <v>0</v>
      </c>
      <c r="J638" s="39" t="str">
        <f>IFERROR(IF($J$2*D638=0, "-", $J$2*D638), "-")</f>
        <v>-</v>
      </c>
      <c r="K638" s="39" t="str">
        <f t="shared" si="37"/>
        <v>-</v>
      </c>
      <c r="L638" s="40" t="str">
        <f>IF(F638&gt;0,F638*D638, "-")</f>
        <v>-</v>
      </c>
      <c r="M638" s="41" t="str">
        <f t="shared" si="38"/>
        <v>-</v>
      </c>
      <c r="O638" s="41" t="str">
        <f t="shared" si="39"/>
        <v>-</v>
      </c>
    </row>
    <row r="639" spans="1:15" x14ac:dyDescent="0.3">
      <c r="A639" s="4" t="s">
        <v>1567</v>
      </c>
      <c r="B639" s="3">
        <v>810139575764</v>
      </c>
      <c r="C639" s="2" t="s">
        <v>1568</v>
      </c>
      <c r="D639" s="30">
        <v>0.6</v>
      </c>
      <c r="E639" s="20">
        <v>22.076250000000002</v>
      </c>
      <c r="F639" s="27"/>
      <c r="G639" s="23">
        <f t="shared" si="36"/>
        <v>0</v>
      </c>
      <c r="J639" s="39" t="str">
        <f>IFERROR(IF($J$2*D639=0, "-", $J$2*D639), "-")</f>
        <v>-</v>
      </c>
      <c r="K639" s="39" t="str">
        <f t="shared" si="37"/>
        <v>-</v>
      </c>
      <c r="L639" s="40" t="str">
        <f>IF(F639&gt;0,F639*D639, "-")</f>
        <v>-</v>
      </c>
      <c r="M639" s="41" t="str">
        <f t="shared" si="38"/>
        <v>-</v>
      </c>
      <c r="O639" s="41" t="str">
        <f t="shared" si="39"/>
        <v>-</v>
      </c>
    </row>
    <row r="640" spans="1:15" x14ac:dyDescent="0.3">
      <c r="A640" s="4" t="s">
        <v>84</v>
      </c>
      <c r="B640" s="3">
        <v>810014671697</v>
      </c>
      <c r="C640" s="2" t="s">
        <v>1569</v>
      </c>
      <c r="D640" s="30">
        <v>0.6</v>
      </c>
      <c r="E640" s="20">
        <v>22.076250000000002</v>
      </c>
      <c r="F640" s="27"/>
      <c r="G640" s="23">
        <f t="shared" si="36"/>
        <v>0</v>
      </c>
      <c r="J640" s="39" t="str">
        <f>IFERROR(IF($J$2*D640=0, "-", $J$2*D640), "-")</f>
        <v>-</v>
      </c>
      <c r="K640" s="39" t="str">
        <f t="shared" si="37"/>
        <v>-</v>
      </c>
      <c r="L640" s="40" t="str">
        <f>IF(F640&gt;0,F640*D640, "-")</f>
        <v>-</v>
      </c>
      <c r="M640" s="41" t="str">
        <f t="shared" si="38"/>
        <v>-</v>
      </c>
      <c r="O640" s="41" t="str">
        <f t="shared" si="39"/>
        <v>-</v>
      </c>
    </row>
    <row r="641" spans="1:15" x14ac:dyDescent="0.3">
      <c r="A641" s="4" t="s">
        <v>14</v>
      </c>
      <c r="B641" s="3">
        <v>810014670119</v>
      </c>
      <c r="C641" s="2" t="s">
        <v>1570</v>
      </c>
      <c r="D641" s="30">
        <v>0.72</v>
      </c>
      <c r="E641" s="20">
        <v>22.076250000000002</v>
      </c>
      <c r="F641" s="27"/>
      <c r="G641" s="23">
        <f t="shared" si="36"/>
        <v>0</v>
      </c>
      <c r="J641" s="39" t="str">
        <f>IFERROR(IF($J$2*D641=0, "-", $J$2*D641), "-")</f>
        <v>-</v>
      </c>
      <c r="K641" s="39" t="str">
        <f t="shared" si="37"/>
        <v>-</v>
      </c>
      <c r="L641" s="40" t="str">
        <f>IF(F641&gt;0,F641*D641, "-")</f>
        <v>-</v>
      </c>
      <c r="M641" s="41" t="str">
        <f t="shared" si="38"/>
        <v>-</v>
      </c>
      <c r="O641" s="41" t="str">
        <f t="shared" si="39"/>
        <v>-</v>
      </c>
    </row>
    <row r="642" spans="1:15" x14ac:dyDescent="0.3">
      <c r="A642" s="4" t="s">
        <v>394</v>
      </c>
      <c r="B642" s="3">
        <v>810014679341</v>
      </c>
      <c r="C642" s="2" t="s">
        <v>1571</v>
      </c>
      <c r="D642" s="30">
        <v>0.69</v>
      </c>
      <c r="E642" s="20">
        <v>22.076250000000002</v>
      </c>
      <c r="F642" s="27"/>
      <c r="G642" s="23">
        <f t="shared" si="36"/>
        <v>0</v>
      </c>
      <c r="J642" s="39" t="str">
        <f>IFERROR(IF($J$2*D642=0, "-", $J$2*D642), "-")</f>
        <v>-</v>
      </c>
      <c r="K642" s="39" t="str">
        <f t="shared" si="37"/>
        <v>-</v>
      </c>
      <c r="L642" s="40" t="str">
        <f>IF(F642&gt;0,F642*D642, "-")</f>
        <v>-</v>
      </c>
      <c r="M642" s="41" t="str">
        <f t="shared" si="38"/>
        <v>-</v>
      </c>
      <c r="O642" s="41" t="str">
        <f t="shared" si="39"/>
        <v>-</v>
      </c>
    </row>
    <row r="643" spans="1:15" x14ac:dyDescent="0.3">
      <c r="A643" s="4" t="s">
        <v>82</v>
      </c>
      <c r="B643" s="3">
        <v>810014678870</v>
      </c>
      <c r="C643" s="2" t="s">
        <v>1572</v>
      </c>
      <c r="D643" s="30">
        <v>0.11</v>
      </c>
      <c r="E643" s="20">
        <v>22.076250000000002</v>
      </c>
      <c r="F643" s="27"/>
      <c r="G643" s="23">
        <f t="shared" si="36"/>
        <v>0</v>
      </c>
      <c r="J643" s="39" t="str">
        <f>IFERROR(IF($J$2*D643=0, "-", $J$2*D643), "-")</f>
        <v>-</v>
      </c>
      <c r="K643" s="39" t="str">
        <f t="shared" si="37"/>
        <v>-</v>
      </c>
      <c r="L643" s="40" t="str">
        <f>IF(F643&gt;0,F643*D643, "-")</f>
        <v>-</v>
      </c>
      <c r="M643" s="41" t="str">
        <f t="shared" si="38"/>
        <v>-</v>
      </c>
      <c r="O643" s="41" t="str">
        <f t="shared" si="39"/>
        <v>-</v>
      </c>
    </row>
    <row r="644" spans="1:15" x14ac:dyDescent="0.3">
      <c r="A644" s="4" t="s">
        <v>41</v>
      </c>
      <c r="B644" s="3">
        <v>810139571575</v>
      </c>
      <c r="C644" s="2" t="s">
        <v>1573</v>
      </c>
      <c r="D644" s="30">
        <v>0.09</v>
      </c>
      <c r="E644" s="20">
        <v>22.076250000000002</v>
      </c>
      <c r="F644" s="27"/>
      <c r="G644" s="23">
        <f t="shared" ref="G644:G707" si="40">F644*E644</f>
        <v>0</v>
      </c>
      <c r="J644" s="39" t="str">
        <f>IFERROR(IF($J$2*D644=0, "-", $J$2*D644), "-")</f>
        <v>-</v>
      </c>
      <c r="K644" s="39" t="str">
        <f t="shared" ref="K644:K707" si="41">IF(F644&gt;0,E644+J644,"-")</f>
        <v>-</v>
      </c>
      <c r="L644" s="40" t="str">
        <f>IF(F644&gt;0,F644*D644, "-")</f>
        <v>-</v>
      </c>
      <c r="M644" s="41" t="str">
        <f t="shared" ref="M644:M707" si="42">IFERROR(IF($J$2&gt;0, $J$2*L644, "-"), "-")</f>
        <v>-</v>
      </c>
      <c r="O644" s="41" t="str">
        <f t="shared" ref="O644:O707" si="43">IFERROR(IF(M644+G644=0, "-", IF(M644&gt;0, M644+G644, "-")), "-")</f>
        <v>-</v>
      </c>
    </row>
    <row r="645" spans="1:15" x14ac:dyDescent="0.3">
      <c r="A645" s="4" t="s">
        <v>1574</v>
      </c>
      <c r="B645" s="3">
        <v>810139575603</v>
      </c>
      <c r="C645" s="2" t="s">
        <v>1575</v>
      </c>
      <c r="D645" s="30">
        <v>0.37</v>
      </c>
      <c r="E645" s="20">
        <v>22.076250000000002</v>
      </c>
      <c r="F645" s="27"/>
      <c r="G645" s="23">
        <f t="shared" si="40"/>
        <v>0</v>
      </c>
      <c r="J645" s="39" t="str">
        <f>IFERROR(IF($J$2*D645=0, "-", $J$2*D645), "-")</f>
        <v>-</v>
      </c>
      <c r="K645" s="39" t="str">
        <f t="shared" si="41"/>
        <v>-</v>
      </c>
      <c r="L645" s="40" t="str">
        <f>IF(F645&gt;0,F645*D645, "-")</f>
        <v>-</v>
      </c>
      <c r="M645" s="41" t="str">
        <f t="shared" si="42"/>
        <v>-</v>
      </c>
      <c r="O645" s="41" t="str">
        <f t="shared" si="43"/>
        <v>-</v>
      </c>
    </row>
    <row r="646" spans="1:15" x14ac:dyDescent="0.3">
      <c r="A646" s="4" t="s">
        <v>1576</v>
      </c>
      <c r="B646" s="3">
        <v>810139575580</v>
      </c>
      <c r="C646" s="2" t="s">
        <v>1577</v>
      </c>
      <c r="D646" s="30">
        <v>0.37</v>
      </c>
      <c r="E646" s="20">
        <v>22.076250000000002</v>
      </c>
      <c r="F646" s="27"/>
      <c r="G646" s="23">
        <f t="shared" si="40"/>
        <v>0</v>
      </c>
      <c r="J646" s="39" t="str">
        <f>IFERROR(IF($J$2*D646=0, "-", $J$2*D646), "-")</f>
        <v>-</v>
      </c>
      <c r="K646" s="39" t="str">
        <f t="shared" si="41"/>
        <v>-</v>
      </c>
      <c r="L646" s="40" t="str">
        <f>IF(F646&gt;0,F646*D646, "-")</f>
        <v>-</v>
      </c>
      <c r="M646" s="41" t="str">
        <f t="shared" si="42"/>
        <v>-</v>
      </c>
      <c r="O646" s="41" t="str">
        <f t="shared" si="43"/>
        <v>-</v>
      </c>
    </row>
    <row r="647" spans="1:15" x14ac:dyDescent="0.3">
      <c r="A647" s="4" t="s">
        <v>1578</v>
      </c>
      <c r="B647" s="3">
        <v>810139575573</v>
      </c>
      <c r="C647" s="2" t="s">
        <v>1579</v>
      </c>
      <c r="D647" s="30">
        <v>0.38</v>
      </c>
      <c r="E647" s="20">
        <v>22.076250000000002</v>
      </c>
      <c r="F647" s="27"/>
      <c r="G647" s="23">
        <f t="shared" si="40"/>
        <v>0</v>
      </c>
      <c r="J647" s="39" t="str">
        <f>IFERROR(IF($J$2*D647=0, "-", $J$2*D647), "-")</f>
        <v>-</v>
      </c>
      <c r="K647" s="39" t="str">
        <f t="shared" si="41"/>
        <v>-</v>
      </c>
      <c r="L647" s="40" t="str">
        <f>IF(F647&gt;0,F647*D647, "-")</f>
        <v>-</v>
      </c>
      <c r="M647" s="41" t="str">
        <f t="shared" si="42"/>
        <v>-</v>
      </c>
      <c r="O647" s="41" t="str">
        <f t="shared" si="43"/>
        <v>-</v>
      </c>
    </row>
    <row r="648" spans="1:15" x14ac:dyDescent="0.3">
      <c r="A648" s="4" t="s">
        <v>1580</v>
      </c>
      <c r="B648" s="3">
        <v>810139575597</v>
      </c>
      <c r="C648" s="2" t="s">
        <v>1581</v>
      </c>
      <c r="D648" s="30">
        <v>0.37</v>
      </c>
      <c r="E648" s="20">
        <v>22.076250000000002</v>
      </c>
      <c r="F648" s="27"/>
      <c r="G648" s="23">
        <f t="shared" si="40"/>
        <v>0</v>
      </c>
      <c r="J648" s="39" t="str">
        <f>IFERROR(IF($J$2*D648=0, "-", $J$2*D648), "-")</f>
        <v>-</v>
      </c>
      <c r="K648" s="39" t="str">
        <f t="shared" si="41"/>
        <v>-</v>
      </c>
      <c r="L648" s="40" t="str">
        <f>IF(F648&gt;0,F648*D648, "-")</f>
        <v>-</v>
      </c>
      <c r="M648" s="41" t="str">
        <f t="shared" si="42"/>
        <v>-</v>
      </c>
      <c r="O648" s="41" t="str">
        <f t="shared" si="43"/>
        <v>-</v>
      </c>
    </row>
    <row r="649" spans="1:15" x14ac:dyDescent="0.3">
      <c r="A649" s="4" t="s">
        <v>661</v>
      </c>
      <c r="B649" s="3">
        <v>810139571780</v>
      </c>
      <c r="C649" s="2" t="s">
        <v>1582</v>
      </c>
      <c r="D649" s="30">
        <v>0.19</v>
      </c>
      <c r="E649" s="20">
        <v>22.076250000000002</v>
      </c>
      <c r="F649" s="27"/>
      <c r="G649" s="23">
        <f t="shared" si="40"/>
        <v>0</v>
      </c>
      <c r="J649" s="39" t="str">
        <f>IFERROR(IF($J$2*D649=0, "-", $J$2*D649), "-")</f>
        <v>-</v>
      </c>
      <c r="K649" s="39" t="str">
        <f t="shared" si="41"/>
        <v>-</v>
      </c>
      <c r="L649" s="40" t="str">
        <f>IF(F649&gt;0,F649*D649, "-")</f>
        <v>-</v>
      </c>
      <c r="M649" s="41" t="str">
        <f t="shared" si="42"/>
        <v>-</v>
      </c>
      <c r="O649" s="41" t="str">
        <f t="shared" si="43"/>
        <v>-</v>
      </c>
    </row>
    <row r="650" spans="1:15" x14ac:dyDescent="0.3">
      <c r="A650" s="4" t="s">
        <v>735</v>
      </c>
      <c r="B650" s="3">
        <v>810014679587</v>
      </c>
      <c r="C650" s="2" t="s">
        <v>1583</v>
      </c>
      <c r="D650" s="30">
        <v>0.23</v>
      </c>
      <c r="E650" s="20">
        <v>22.076250000000002</v>
      </c>
      <c r="F650" s="27"/>
      <c r="G650" s="23">
        <f t="shared" si="40"/>
        <v>0</v>
      </c>
      <c r="J650" s="39" t="str">
        <f>IFERROR(IF($J$2*D650=0, "-", $J$2*D650), "-")</f>
        <v>-</v>
      </c>
      <c r="K650" s="39" t="str">
        <f t="shared" si="41"/>
        <v>-</v>
      </c>
      <c r="L650" s="40" t="str">
        <f>IF(F650&gt;0,F650*D650, "-")</f>
        <v>-</v>
      </c>
      <c r="M650" s="41" t="str">
        <f t="shared" si="42"/>
        <v>-</v>
      </c>
      <c r="O650" s="41" t="str">
        <f t="shared" si="43"/>
        <v>-</v>
      </c>
    </row>
    <row r="651" spans="1:15" x14ac:dyDescent="0.3">
      <c r="A651" s="4" t="s">
        <v>434</v>
      </c>
      <c r="B651" s="3">
        <v>810014671901</v>
      </c>
      <c r="C651" s="2" t="s">
        <v>1584</v>
      </c>
      <c r="D651" s="30">
        <v>0.3</v>
      </c>
      <c r="E651" s="20">
        <v>22.076250000000002</v>
      </c>
      <c r="F651" s="27"/>
      <c r="G651" s="23">
        <f t="shared" si="40"/>
        <v>0</v>
      </c>
      <c r="J651" s="39" t="str">
        <f>IFERROR(IF($J$2*D651=0, "-", $J$2*D651), "-")</f>
        <v>-</v>
      </c>
      <c r="K651" s="39" t="str">
        <f t="shared" si="41"/>
        <v>-</v>
      </c>
      <c r="L651" s="40" t="str">
        <f>IF(F651&gt;0,F651*D651, "-")</f>
        <v>-</v>
      </c>
      <c r="M651" s="41" t="str">
        <f t="shared" si="42"/>
        <v>-</v>
      </c>
      <c r="O651" s="41" t="str">
        <f t="shared" si="43"/>
        <v>-</v>
      </c>
    </row>
    <row r="652" spans="1:15" x14ac:dyDescent="0.3">
      <c r="A652" s="4" t="s">
        <v>277</v>
      </c>
      <c r="B652" s="3">
        <v>810014672687</v>
      </c>
      <c r="C652" s="2" t="s">
        <v>1585</v>
      </c>
      <c r="D652" s="30">
        <v>0.49</v>
      </c>
      <c r="E652" s="20">
        <v>22.456875</v>
      </c>
      <c r="F652" s="27"/>
      <c r="G652" s="23">
        <f t="shared" si="40"/>
        <v>0</v>
      </c>
      <c r="J652" s="39" t="str">
        <f>IFERROR(IF($J$2*D652=0, "-", $J$2*D652), "-")</f>
        <v>-</v>
      </c>
      <c r="K652" s="39" t="str">
        <f t="shared" si="41"/>
        <v>-</v>
      </c>
      <c r="L652" s="40" t="str">
        <f>IF(F652&gt;0,F652*D652, "-")</f>
        <v>-</v>
      </c>
      <c r="M652" s="41" t="str">
        <f t="shared" si="42"/>
        <v>-</v>
      </c>
      <c r="O652" s="41" t="str">
        <f t="shared" si="43"/>
        <v>-</v>
      </c>
    </row>
    <row r="653" spans="1:15" x14ac:dyDescent="0.3">
      <c r="A653" s="4" t="s">
        <v>235</v>
      </c>
      <c r="B653" s="3">
        <v>810014678337</v>
      </c>
      <c r="C653" s="2" t="s">
        <v>1586</v>
      </c>
      <c r="D653" s="30">
        <v>0.14000000000000001</v>
      </c>
      <c r="E653" s="20">
        <v>22.456875</v>
      </c>
      <c r="F653" s="27"/>
      <c r="G653" s="23">
        <f t="shared" si="40"/>
        <v>0</v>
      </c>
      <c r="J653" s="39" t="str">
        <f>IFERROR(IF($J$2*D653=0, "-", $J$2*D653), "-")</f>
        <v>-</v>
      </c>
      <c r="K653" s="39" t="str">
        <f t="shared" si="41"/>
        <v>-</v>
      </c>
      <c r="L653" s="40" t="str">
        <f>IF(F653&gt;0,F653*D653, "-")</f>
        <v>-</v>
      </c>
      <c r="M653" s="41" t="str">
        <f t="shared" si="42"/>
        <v>-</v>
      </c>
      <c r="O653" s="41" t="str">
        <f t="shared" si="43"/>
        <v>-</v>
      </c>
    </row>
    <row r="654" spans="1:15" x14ac:dyDescent="0.3">
      <c r="A654" s="4" t="s">
        <v>252</v>
      </c>
      <c r="B654" s="3">
        <v>810139570394</v>
      </c>
      <c r="C654" s="2" t="s">
        <v>1587</v>
      </c>
      <c r="D654" s="30">
        <v>0.4</v>
      </c>
      <c r="E654" s="20">
        <v>22.456875</v>
      </c>
      <c r="F654" s="27"/>
      <c r="G654" s="23">
        <f t="shared" si="40"/>
        <v>0</v>
      </c>
      <c r="J654" s="39" t="str">
        <f>IFERROR(IF($J$2*D654=0, "-", $J$2*D654), "-")</f>
        <v>-</v>
      </c>
      <c r="K654" s="39" t="str">
        <f t="shared" si="41"/>
        <v>-</v>
      </c>
      <c r="L654" s="40" t="str">
        <f>IF(F654&gt;0,F654*D654, "-")</f>
        <v>-</v>
      </c>
      <c r="M654" s="41" t="str">
        <f t="shared" si="42"/>
        <v>-</v>
      </c>
      <c r="O654" s="41" t="str">
        <f t="shared" si="43"/>
        <v>-</v>
      </c>
    </row>
    <row r="655" spans="1:15" x14ac:dyDescent="0.3">
      <c r="A655" s="4" t="s">
        <v>532</v>
      </c>
      <c r="B655" s="3">
        <v>810014678641</v>
      </c>
      <c r="C655" s="2" t="s">
        <v>1588</v>
      </c>
      <c r="D655" s="30">
        <v>1.92</v>
      </c>
      <c r="E655" s="20">
        <v>22.837499999999999</v>
      </c>
      <c r="F655" s="27"/>
      <c r="G655" s="23">
        <f t="shared" si="40"/>
        <v>0</v>
      </c>
      <c r="J655" s="39" t="str">
        <f>IFERROR(IF($J$2*D655=0, "-", $J$2*D655), "-")</f>
        <v>-</v>
      </c>
      <c r="K655" s="39" t="str">
        <f t="shared" si="41"/>
        <v>-</v>
      </c>
      <c r="L655" s="40" t="str">
        <f>IF(F655&gt;0,F655*D655, "-")</f>
        <v>-</v>
      </c>
      <c r="M655" s="41" t="str">
        <f t="shared" si="42"/>
        <v>-</v>
      </c>
      <c r="O655" s="41" t="str">
        <f t="shared" si="43"/>
        <v>-</v>
      </c>
    </row>
    <row r="656" spans="1:15" x14ac:dyDescent="0.3">
      <c r="A656" s="4" t="s">
        <v>177</v>
      </c>
      <c r="B656" s="3">
        <v>702669934961</v>
      </c>
      <c r="C656" s="2" t="s">
        <v>1589</v>
      </c>
      <c r="D656" s="30">
        <v>0.62</v>
      </c>
      <c r="E656" s="20">
        <v>22.837499999999999</v>
      </c>
      <c r="F656" s="27"/>
      <c r="G656" s="23">
        <f t="shared" si="40"/>
        <v>0</v>
      </c>
      <c r="J656" s="39" t="str">
        <f>IFERROR(IF($J$2*D656=0, "-", $J$2*D656), "-")</f>
        <v>-</v>
      </c>
      <c r="K656" s="39" t="str">
        <f t="shared" si="41"/>
        <v>-</v>
      </c>
      <c r="L656" s="40" t="str">
        <f>IF(F656&gt;0,F656*D656, "-")</f>
        <v>-</v>
      </c>
      <c r="M656" s="41" t="str">
        <f t="shared" si="42"/>
        <v>-</v>
      </c>
      <c r="O656" s="41" t="str">
        <f t="shared" si="43"/>
        <v>-</v>
      </c>
    </row>
    <row r="657" spans="1:15" x14ac:dyDescent="0.3">
      <c r="A657" s="4" t="s">
        <v>592</v>
      </c>
      <c r="B657" s="3">
        <v>810014675480</v>
      </c>
      <c r="C657" s="2" t="s">
        <v>1590</v>
      </c>
      <c r="D657" s="30">
        <v>0.13</v>
      </c>
      <c r="E657" s="20">
        <v>22.837499999999999</v>
      </c>
      <c r="F657" s="27"/>
      <c r="G657" s="23">
        <f t="shared" si="40"/>
        <v>0</v>
      </c>
      <c r="J657" s="39" t="str">
        <f>IFERROR(IF($J$2*D657=0, "-", $J$2*D657), "-")</f>
        <v>-</v>
      </c>
      <c r="K657" s="39" t="str">
        <f t="shared" si="41"/>
        <v>-</v>
      </c>
      <c r="L657" s="40" t="str">
        <f>IF(F657&gt;0,F657*D657, "-")</f>
        <v>-</v>
      </c>
      <c r="M657" s="41" t="str">
        <f t="shared" si="42"/>
        <v>-</v>
      </c>
      <c r="O657" s="41" t="str">
        <f t="shared" si="43"/>
        <v>-</v>
      </c>
    </row>
    <row r="658" spans="1:15" x14ac:dyDescent="0.3">
      <c r="A658" s="4" t="s">
        <v>445</v>
      </c>
      <c r="B658" s="3">
        <v>810014672946</v>
      </c>
      <c r="C658" s="2" t="s">
        <v>1591</v>
      </c>
      <c r="D658" s="30">
        <v>0.42</v>
      </c>
      <c r="E658" s="20">
        <v>22.837499999999999</v>
      </c>
      <c r="F658" s="27"/>
      <c r="G658" s="23">
        <f t="shared" si="40"/>
        <v>0</v>
      </c>
      <c r="J658" s="39" t="str">
        <f>IFERROR(IF($J$2*D658=0, "-", $J$2*D658), "-")</f>
        <v>-</v>
      </c>
      <c r="K658" s="39" t="str">
        <f t="shared" si="41"/>
        <v>-</v>
      </c>
      <c r="L658" s="40" t="str">
        <f>IF(F658&gt;0,F658*D658, "-")</f>
        <v>-</v>
      </c>
      <c r="M658" s="41" t="str">
        <f t="shared" si="42"/>
        <v>-</v>
      </c>
      <c r="O658" s="41" t="str">
        <f t="shared" si="43"/>
        <v>-</v>
      </c>
    </row>
    <row r="659" spans="1:15" x14ac:dyDescent="0.3">
      <c r="A659" s="4" t="s">
        <v>581</v>
      </c>
      <c r="B659" s="3">
        <v>810139570325</v>
      </c>
      <c r="C659" s="2" t="s">
        <v>1592</v>
      </c>
      <c r="D659" s="30">
        <v>0.48</v>
      </c>
      <c r="E659" s="20">
        <v>22.837499999999999</v>
      </c>
      <c r="F659" s="27"/>
      <c r="G659" s="23">
        <f t="shared" si="40"/>
        <v>0</v>
      </c>
      <c r="J659" s="39" t="str">
        <f>IFERROR(IF($J$2*D659=0, "-", $J$2*D659), "-")</f>
        <v>-</v>
      </c>
      <c r="K659" s="39" t="str">
        <f t="shared" si="41"/>
        <v>-</v>
      </c>
      <c r="L659" s="40" t="str">
        <f>IF(F659&gt;0,F659*D659, "-")</f>
        <v>-</v>
      </c>
      <c r="M659" s="41" t="str">
        <f t="shared" si="42"/>
        <v>-</v>
      </c>
      <c r="O659" s="41" t="str">
        <f t="shared" si="43"/>
        <v>-</v>
      </c>
    </row>
    <row r="660" spans="1:15" x14ac:dyDescent="0.3">
      <c r="A660" s="4" t="s">
        <v>577</v>
      </c>
      <c r="B660" s="3">
        <v>810139570349</v>
      </c>
      <c r="C660" s="2" t="s">
        <v>1593</v>
      </c>
      <c r="D660" s="30">
        <v>0.47</v>
      </c>
      <c r="E660" s="20">
        <v>22.837499999999999</v>
      </c>
      <c r="F660" s="27"/>
      <c r="G660" s="23">
        <f t="shared" si="40"/>
        <v>0</v>
      </c>
      <c r="J660" s="39" t="str">
        <f>IFERROR(IF($J$2*D660=0, "-", $J$2*D660), "-")</f>
        <v>-</v>
      </c>
      <c r="K660" s="39" t="str">
        <f t="shared" si="41"/>
        <v>-</v>
      </c>
      <c r="L660" s="40" t="str">
        <f>IF(F660&gt;0,F660*D660, "-")</f>
        <v>-</v>
      </c>
      <c r="M660" s="41" t="str">
        <f t="shared" si="42"/>
        <v>-</v>
      </c>
      <c r="O660" s="41" t="str">
        <f t="shared" si="43"/>
        <v>-</v>
      </c>
    </row>
    <row r="661" spans="1:15" x14ac:dyDescent="0.3">
      <c r="A661" s="4" t="s">
        <v>1594</v>
      </c>
      <c r="B661" s="3">
        <v>810139577966</v>
      </c>
      <c r="C661" s="2" t="s">
        <v>1595</v>
      </c>
      <c r="D661" s="30">
        <v>0.46</v>
      </c>
      <c r="E661" s="20">
        <v>22.837499999999999</v>
      </c>
      <c r="F661" s="27"/>
      <c r="G661" s="23">
        <f t="shared" si="40"/>
        <v>0</v>
      </c>
      <c r="J661" s="39" t="str">
        <f>IFERROR(IF($J$2*D661=0, "-", $J$2*D661), "-")</f>
        <v>-</v>
      </c>
      <c r="K661" s="39" t="str">
        <f t="shared" si="41"/>
        <v>-</v>
      </c>
      <c r="L661" s="40" t="str">
        <f>IF(F661&gt;0,F661*D661, "-")</f>
        <v>-</v>
      </c>
      <c r="M661" s="41" t="str">
        <f t="shared" si="42"/>
        <v>-</v>
      </c>
      <c r="O661" s="41" t="str">
        <f t="shared" si="43"/>
        <v>-</v>
      </c>
    </row>
    <row r="662" spans="1:15" x14ac:dyDescent="0.3">
      <c r="A662" s="4" t="s">
        <v>1596</v>
      </c>
      <c r="B662" s="3">
        <v>810139577959</v>
      </c>
      <c r="C662" s="2" t="s">
        <v>1597</v>
      </c>
      <c r="D662" s="30">
        <v>0.5</v>
      </c>
      <c r="E662" s="20">
        <v>22.837499999999999</v>
      </c>
      <c r="F662" s="27"/>
      <c r="G662" s="23">
        <f t="shared" si="40"/>
        <v>0</v>
      </c>
      <c r="J662" s="39" t="str">
        <f>IFERROR(IF($J$2*D662=0, "-", $J$2*D662), "-")</f>
        <v>-</v>
      </c>
      <c r="K662" s="39" t="str">
        <f t="shared" si="41"/>
        <v>-</v>
      </c>
      <c r="L662" s="40" t="str">
        <f>IF(F662&gt;0,F662*D662, "-")</f>
        <v>-</v>
      </c>
      <c r="M662" s="41" t="str">
        <f t="shared" si="42"/>
        <v>-</v>
      </c>
      <c r="O662" s="41" t="str">
        <f t="shared" si="43"/>
        <v>-</v>
      </c>
    </row>
    <row r="663" spans="1:15" x14ac:dyDescent="0.3">
      <c r="A663" s="4" t="s">
        <v>1598</v>
      </c>
      <c r="B663" s="3">
        <v>810139577461</v>
      </c>
      <c r="C663" s="2" t="s">
        <v>1599</v>
      </c>
      <c r="D663" s="30">
        <v>0.49</v>
      </c>
      <c r="E663" s="20">
        <v>22.837499999999999</v>
      </c>
      <c r="F663" s="27"/>
      <c r="G663" s="23">
        <f t="shared" si="40"/>
        <v>0</v>
      </c>
      <c r="J663" s="39" t="str">
        <f>IFERROR(IF($J$2*D663=0, "-", $J$2*D663), "-")</f>
        <v>-</v>
      </c>
      <c r="K663" s="39" t="str">
        <f t="shared" si="41"/>
        <v>-</v>
      </c>
      <c r="L663" s="40" t="str">
        <f>IF(F663&gt;0,F663*D663, "-")</f>
        <v>-</v>
      </c>
      <c r="M663" s="41" t="str">
        <f t="shared" si="42"/>
        <v>-</v>
      </c>
      <c r="O663" s="41" t="str">
        <f t="shared" si="43"/>
        <v>-</v>
      </c>
    </row>
    <row r="664" spans="1:15" x14ac:dyDescent="0.3">
      <c r="A664" s="4" t="s">
        <v>1600</v>
      </c>
      <c r="B664" s="3">
        <v>810139577454</v>
      </c>
      <c r="C664" s="2" t="s">
        <v>1601</v>
      </c>
      <c r="D664" s="30">
        <v>0.49</v>
      </c>
      <c r="E664" s="20">
        <v>22.837499999999999</v>
      </c>
      <c r="F664" s="27"/>
      <c r="G664" s="23">
        <f t="shared" si="40"/>
        <v>0</v>
      </c>
      <c r="J664" s="39" t="str">
        <f>IFERROR(IF($J$2*D664=0, "-", $J$2*D664), "-")</f>
        <v>-</v>
      </c>
      <c r="K664" s="39" t="str">
        <f t="shared" si="41"/>
        <v>-</v>
      </c>
      <c r="L664" s="40" t="str">
        <f>IF(F664&gt;0,F664*D664, "-")</f>
        <v>-</v>
      </c>
      <c r="M664" s="41" t="str">
        <f t="shared" si="42"/>
        <v>-</v>
      </c>
      <c r="O664" s="41" t="str">
        <f t="shared" si="43"/>
        <v>-</v>
      </c>
    </row>
    <row r="665" spans="1:15" x14ac:dyDescent="0.3">
      <c r="A665" s="4" t="s">
        <v>579</v>
      </c>
      <c r="B665" s="3">
        <v>810139570301</v>
      </c>
      <c r="C665" s="2" t="s">
        <v>1602</v>
      </c>
      <c r="D665" s="30">
        <v>0.48</v>
      </c>
      <c r="E665" s="20">
        <v>22.837499999999999</v>
      </c>
      <c r="F665" s="27"/>
      <c r="G665" s="23">
        <f t="shared" si="40"/>
        <v>0</v>
      </c>
      <c r="J665" s="39" t="str">
        <f>IFERROR(IF($J$2*D665=0, "-", $J$2*D665), "-")</f>
        <v>-</v>
      </c>
      <c r="K665" s="39" t="str">
        <f t="shared" si="41"/>
        <v>-</v>
      </c>
      <c r="L665" s="40" t="str">
        <f>IF(F665&gt;0,F665*D665, "-")</f>
        <v>-</v>
      </c>
      <c r="M665" s="41" t="str">
        <f t="shared" si="42"/>
        <v>-</v>
      </c>
      <c r="O665" s="41" t="str">
        <f t="shared" si="43"/>
        <v>-</v>
      </c>
    </row>
    <row r="666" spans="1:15" x14ac:dyDescent="0.3">
      <c r="A666" s="4" t="s">
        <v>1603</v>
      </c>
      <c r="B666" s="3">
        <v>810139570370</v>
      </c>
      <c r="C666" s="2" t="s">
        <v>1604</v>
      </c>
      <c r="D666" s="30">
        <v>0.41</v>
      </c>
      <c r="E666" s="20">
        <v>22.837499999999999</v>
      </c>
      <c r="F666" s="27"/>
      <c r="G666" s="23">
        <f t="shared" si="40"/>
        <v>0</v>
      </c>
      <c r="J666" s="39" t="str">
        <f>IFERROR(IF($J$2*D666=0, "-", $J$2*D666), "-")</f>
        <v>-</v>
      </c>
      <c r="K666" s="39" t="str">
        <f t="shared" si="41"/>
        <v>-</v>
      </c>
      <c r="L666" s="40" t="str">
        <f>IF(F666&gt;0,F666*D666, "-")</f>
        <v>-</v>
      </c>
      <c r="M666" s="41" t="str">
        <f t="shared" si="42"/>
        <v>-</v>
      </c>
      <c r="O666" s="41" t="str">
        <f t="shared" si="43"/>
        <v>-</v>
      </c>
    </row>
    <row r="667" spans="1:15" x14ac:dyDescent="0.3">
      <c r="A667" s="4" t="s">
        <v>1605</v>
      </c>
      <c r="B667" s="3">
        <v>810139570363</v>
      </c>
      <c r="C667" s="2" t="s">
        <v>1606</v>
      </c>
      <c r="D667" s="30">
        <v>0.4</v>
      </c>
      <c r="E667" s="20">
        <v>22.837499999999999</v>
      </c>
      <c r="F667" s="27"/>
      <c r="G667" s="23">
        <f t="shared" si="40"/>
        <v>0</v>
      </c>
      <c r="J667" s="39" t="str">
        <f>IFERROR(IF($J$2*D667=0, "-", $J$2*D667), "-")</f>
        <v>-</v>
      </c>
      <c r="K667" s="39" t="str">
        <f t="shared" si="41"/>
        <v>-</v>
      </c>
      <c r="L667" s="40" t="str">
        <f>IF(F667&gt;0,F667*D667, "-")</f>
        <v>-</v>
      </c>
      <c r="M667" s="41" t="str">
        <f t="shared" si="42"/>
        <v>-</v>
      </c>
      <c r="O667" s="41" t="str">
        <f t="shared" si="43"/>
        <v>-</v>
      </c>
    </row>
    <row r="668" spans="1:15" x14ac:dyDescent="0.3">
      <c r="A668" s="4" t="s">
        <v>369</v>
      </c>
      <c r="B668" s="3">
        <v>857077008176</v>
      </c>
      <c r="C668" s="2" t="s">
        <v>1607</v>
      </c>
      <c r="D668" s="30">
        <v>0.38</v>
      </c>
      <c r="E668" s="20">
        <v>22.837499999999999</v>
      </c>
      <c r="F668" s="27"/>
      <c r="G668" s="23">
        <f t="shared" si="40"/>
        <v>0</v>
      </c>
      <c r="J668" s="39" t="str">
        <f>IFERROR(IF($J$2*D668=0, "-", $J$2*D668), "-")</f>
        <v>-</v>
      </c>
      <c r="K668" s="39" t="str">
        <f t="shared" si="41"/>
        <v>-</v>
      </c>
      <c r="L668" s="40" t="str">
        <f>IF(F668&gt;0,F668*D668, "-")</f>
        <v>-</v>
      </c>
      <c r="M668" s="41" t="str">
        <f t="shared" si="42"/>
        <v>-</v>
      </c>
      <c r="O668" s="41" t="str">
        <f t="shared" si="43"/>
        <v>-</v>
      </c>
    </row>
    <row r="669" spans="1:15" x14ac:dyDescent="0.3">
      <c r="A669" s="4" t="s">
        <v>1608</v>
      </c>
      <c r="B669" s="3">
        <v>810139574651</v>
      </c>
      <c r="C669" s="2" t="s">
        <v>1609</v>
      </c>
      <c r="D669" s="30">
        <v>0.13</v>
      </c>
      <c r="E669" s="20">
        <v>22.837499999999999</v>
      </c>
      <c r="F669" s="27"/>
      <c r="G669" s="23">
        <f t="shared" si="40"/>
        <v>0</v>
      </c>
      <c r="J669" s="39" t="str">
        <f>IFERROR(IF($J$2*D669=0, "-", $J$2*D669), "-")</f>
        <v>-</v>
      </c>
      <c r="K669" s="39" t="str">
        <f t="shared" si="41"/>
        <v>-</v>
      </c>
      <c r="L669" s="40" t="str">
        <f>IF(F669&gt;0,F669*D669, "-")</f>
        <v>-</v>
      </c>
      <c r="M669" s="41" t="str">
        <f t="shared" si="42"/>
        <v>-</v>
      </c>
      <c r="O669" s="41" t="str">
        <f t="shared" si="43"/>
        <v>-</v>
      </c>
    </row>
    <row r="670" spans="1:15" x14ac:dyDescent="0.3">
      <c r="A670" s="4" t="s">
        <v>313</v>
      </c>
      <c r="B670" s="3">
        <v>857077008886</v>
      </c>
      <c r="C670" s="2" t="s">
        <v>1610</v>
      </c>
      <c r="D670" s="30">
        <v>0.22</v>
      </c>
      <c r="E670" s="20">
        <v>22.837499999999999</v>
      </c>
      <c r="F670" s="27"/>
      <c r="G670" s="23">
        <f t="shared" si="40"/>
        <v>0</v>
      </c>
      <c r="J670" s="39" t="str">
        <f>IFERROR(IF($J$2*D670=0, "-", $J$2*D670), "-")</f>
        <v>-</v>
      </c>
      <c r="K670" s="39" t="str">
        <f t="shared" si="41"/>
        <v>-</v>
      </c>
      <c r="L670" s="40" t="str">
        <f>IF(F670&gt;0,F670*D670, "-")</f>
        <v>-</v>
      </c>
      <c r="M670" s="41" t="str">
        <f t="shared" si="42"/>
        <v>-</v>
      </c>
      <c r="O670" s="41" t="str">
        <f t="shared" si="43"/>
        <v>-</v>
      </c>
    </row>
    <row r="671" spans="1:15" x14ac:dyDescent="0.3">
      <c r="A671" s="4" t="s">
        <v>1611</v>
      </c>
      <c r="B671" s="3">
        <v>810139576648</v>
      </c>
      <c r="C671" s="2" t="s">
        <v>1612</v>
      </c>
      <c r="D671" s="30">
        <v>7.0000000000000007E-2</v>
      </c>
      <c r="E671" s="20">
        <v>22.837499999999999</v>
      </c>
      <c r="F671" s="27"/>
      <c r="G671" s="23">
        <f t="shared" si="40"/>
        <v>0</v>
      </c>
      <c r="J671" s="39" t="str">
        <f>IFERROR(IF($J$2*D671=0, "-", $J$2*D671), "-")</f>
        <v>-</v>
      </c>
      <c r="K671" s="39" t="str">
        <f t="shared" si="41"/>
        <v>-</v>
      </c>
      <c r="L671" s="40" t="str">
        <f>IF(F671&gt;0,F671*D671, "-")</f>
        <v>-</v>
      </c>
      <c r="M671" s="41" t="str">
        <f t="shared" si="42"/>
        <v>-</v>
      </c>
      <c r="O671" s="41" t="str">
        <f t="shared" si="43"/>
        <v>-</v>
      </c>
    </row>
    <row r="672" spans="1:15" x14ac:dyDescent="0.3">
      <c r="A672" s="4" t="s">
        <v>549</v>
      </c>
      <c r="B672" s="3">
        <v>810014673929</v>
      </c>
      <c r="C672" s="2" t="s">
        <v>1613</v>
      </c>
      <c r="D672" s="30">
        <v>0.09</v>
      </c>
      <c r="E672" s="20">
        <v>22.837499999999999</v>
      </c>
      <c r="F672" s="27"/>
      <c r="G672" s="23">
        <f t="shared" si="40"/>
        <v>0</v>
      </c>
      <c r="J672" s="39" t="str">
        <f>IFERROR(IF($J$2*D672=0, "-", $J$2*D672), "-")</f>
        <v>-</v>
      </c>
      <c r="K672" s="39" t="str">
        <f t="shared" si="41"/>
        <v>-</v>
      </c>
      <c r="L672" s="40" t="str">
        <f>IF(F672&gt;0,F672*D672, "-")</f>
        <v>-</v>
      </c>
      <c r="M672" s="41" t="str">
        <f t="shared" si="42"/>
        <v>-</v>
      </c>
      <c r="O672" s="41" t="str">
        <f t="shared" si="43"/>
        <v>-</v>
      </c>
    </row>
    <row r="673" spans="1:15" x14ac:dyDescent="0.3">
      <c r="A673" s="4" t="s">
        <v>738</v>
      </c>
      <c r="B673" s="3">
        <v>810014677033</v>
      </c>
      <c r="C673" s="2" t="s">
        <v>1614</v>
      </c>
      <c r="D673" s="30">
        <v>0.09</v>
      </c>
      <c r="E673" s="20">
        <v>22.837499999999999</v>
      </c>
      <c r="F673" s="27"/>
      <c r="G673" s="23">
        <f t="shared" si="40"/>
        <v>0</v>
      </c>
      <c r="J673" s="39" t="str">
        <f>IFERROR(IF($J$2*D673=0, "-", $J$2*D673), "-")</f>
        <v>-</v>
      </c>
      <c r="K673" s="39" t="str">
        <f t="shared" si="41"/>
        <v>-</v>
      </c>
      <c r="L673" s="40" t="str">
        <f>IF(F673&gt;0,F673*D673, "-")</f>
        <v>-</v>
      </c>
      <c r="M673" s="41" t="str">
        <f t="shared" si="42"/>
        <v>-</v>
      </c>
      <c r="O673" s="41" t="str">
        <f t="shared" si="43"/>
        <v>-</v>
      </c>
    </row>
    <row r="674" spans="1:15" x14ac:dyDescent="0.3">
      <c r="A674" s="4" t="s">
        <v>3</v>
      </c>
      <c r="B674" s="3">
        <v>810014675121</v>
      </c>
      <c r="C674" s="2" t="s">
        <v>1615</v>
      </c>
      <c r="D674" s="30">
        <v>0.18</v>
      </c>
      <c r="E674" s="20">
        <v>22.837499999999999</v>
      </c>
      <c r="F674" s="27"/>
      <c r="G674" s="23">
        <f t="shared" si="40"/>
        <v>0</v>
      </c>
      <c r="J674" s="39" t="str">
        <f>IFERROR(IF($J$2*D674=0, "-", $J$2*D674), "-")</f>
        <v>-</v>
      </c>
      <c r="K674" s="39" t="str">
        <f t="shared" si="41"/>
        <v>-</v>
      </c>
      <c r="L674" s="40" t="str">
        <f>IF(F674&gt;0,F674*D674, "-")</f>
        <v>-</v>
      </c>
      <c r="M674" s="41" t="str">
        <f t="shared" si="42"/>
        <v>-</v>
      </c>
      <c r="O674" s="41" t="str">
        <f t="shared" si="43"/>
        <v>-</v>
      </c>
    </row>
    <row r="675" spans="1:15" x14ac:dyDescent="0.3">
      <c r="A675" s="4" t="s">
        <v>635</v>
      </c>
      <c r="B675" s="3">
        <v>810014679501</v>
      </c>
      <c r="C675" s="2" t="s">
        <v>1616</v>
      </c>
      <c r="D675" s="30">
        <v>0.57999999999999996</v>
      </c>
      <c r="E675" s="20">
        <v>22.837499999999999</v>
      </c>
      <c r="F675" s="27"/>
      <c r="G675" s="23">
        <f t="shared" si="40"/>
        <v>0</v>
      </c>
      <c r="J675" s="39" t="str">
        <f>IFERROR(IF($J$2*D675=0, "-", $J$2*D675), "-")</f>
        <v>-</v>
      </c>
      <c r="K675" s="39" t="str">
        <f t="shared" si="41"/>
        <v>-</v>
      </c>
      <c r="L675" s="40" t="str">
        <f>IF(F675&gt;0,F675*D675, "-")</f>
        <v>-</v>
      </c>
      <c r="M675" s="41" t="str">
        <f t="shared" si="42"/>
        <v>-</v>
      </c>
      <c r="O675" s="41" t="str">
        <f t="shared" si="43"/>
        <v>-</v>
      </c>
    </row>
    <row r="676" spans="1:15" x14ac:dyDescent="0.3">
      <c r="A676" s="4" t="s">
        <v>743</v>
      </c>
      <c r="B676" s="3">
        <v>810014673547</v>
      </c>
      <c r="C676" s="2" t="s">
        <v>1617</v>
      </c>
      <c r="D676" s="30">
        <v>0.21</v>
      </c>
      <c r="E676" s="20">
        <v>22.837499999999999</v>
      </c>
      <c r="F676" s="27"/>
      <c r="G676" s="23">
        <f t="shared" si="40"/>
        <v>0</v>
      </c>
      <c r="J676" s="39" t="str">
        <f>IFERROR(IF($J$2*D676=0, "-", $J$2*D676), "-")</f>
        <v>-</v>
      </c>
      <c r="K676" s="39" t="str">
        <f t="shared" si="41"/>
        <v>-</v>
      </c>
      <c r="L676" s="40" t="str">
        <f>IF(F676&gt;0,F676*D676, "-")</f>
        <v>-</v>
      </c>
      <c r="M676" s="41" t="str">
        <f t="shared" si="42"/>
        <v>-</v>
      </c>
      <c r="O676" s="41" t="str">
        <f t="shared" si="43"/>
        <v>-</v>
      </c>
    </row>
    <row r="677" spans="1:15" x14ac:dyDescent="0.3">
      <c r="A677" s="4" t="s">
        <v>642</v>
      </c>
      <c r="B677" s="3">
        <v>810014678610</v>
      </c>
      <c r="C677" s="2" t="s">
        <v>1618</v>
      </c>
      <c r="D677" s="30">
        <v>0.16</v>
      </c>
      <c r="E677" s="20">
        <v>22.837499999999999</v>
      </c>
      <c r="F677" s="27"/>
      <c r="G677" s="23">
        <f t="shared" si="40"/>
        <v>0</v>
      </c>
      <c r="J677" s="39" t="str">
        <f>IFERROR(IF($J$2*D677=0, "-", $J$2*D677), "-")</f>
        <v>-</v>
      </c>
      <c r="K677" s="39" t="str">
        <f t="shared" si="41"/>
        <v>-</v>
      </c>
      <c r="L677" s="40" t="str">
        <f>IF(F677&gt;0,F677*D677, "-")</f>
        <v>-</v>
      </c>
      <c r="M677" s="41" t="str">
        <f t="shared" si="42"/>
        <v>-</v>
      </c>
      <c r="O677" s="41" t="str">
        <f t="shared" si="43"/>
        <v>-</v>
      </c>
    </row>
    <row r="678" spans="1:15" x14ac:dyDescent="0.3">
      <c r="A678" s="4" t="s">
        <v>9</v>
      </c>
      <c r="B678" s="3">
        <v>810014679082</v>
      </c>
      <c r="C678" s="2" t="s">
        <v>1619</v>
      </c>
      <c r="D678" s="30">
        <v>0.24</v>
      </c>
      <c r="E678" s="20">
        <v>22.837499999999999</v>
      </c>
      <c r="F678" s="27"/>
      <c r="G678" s="23">
        <f t="shared" si="40"/>
        <v>0</v>
      </c>
      <c r="J678" s="39" t="str">
        <f>IFERROR(IF($J$2*D678=0, "-", $J$2*D678), "-")</f>
        <v>-</v>
      </c>
      <c r="K678" s="39" t="str">
        <f t="shared" si="41"/>
        <v>-</v>
      </c>
      <c r="L678" s="40" t="str">
        <f>IF(F678&gt;0,F678*D678, "-")</f>
        <v>-</v>
      </c>
      <c r="M678" s="41" t="str">
        <f t="shared" si="42"/>
        <v>-</v>
      </c>
      <c r="O678" s="41" t="str">
        <f t="shared" si="43"/>
        <v>-</v>
      </c>
    </row>
    <row r="679" spans="1:15" x14ac:dyDescent="0.3">
      <c r="A679" s="4" t="s">
        <v>555</v>
      </c>
      <c r="B679" s="3">
        <v>810014672878</v>
      </c>
      <c r="C679" s="2" t="s">
        <v>1620</v>
      </c>
      <c r="D679" s="30">
        <v>1.24</v>
      </c>
      <c r="E679" s="20">
        <v>23.218124999999997</v>
      </c>
      <c r="F679" s="27"/>
      <c r="G679" s="23">
        <f t="shared" si="40"/>
        <v>0</v>
      </c>
      <c r="J679" s="39" t="str">
        <f>IFERROR(IF($J$2*D679=0, "-", $J$2*D679), "-")</f>
        <v>-</v>
      </c>
      <c r="K679" s="39" t="str">
        <f t="shared" si="41"/>
        <v>-</v>
      </c>
      <c r="L679" s="40" t="str">
        <f>IF(F679&gt;0,F679*D679, "-")</f>
        <v>-</v>
      </c>
      <c r="M679" s="41" t="str">
        <f t="shared" si="42"/>
        <v>-</v>
      </c>
      <c r="O679" s="41" t="str">
        <f t="shared" si="43"/>
        <v>-</v>
      </c>
    </row>
    <row r="680" spans="1:15" x14ac:dyDescent="0.3">
      <c r="A680" s="4" t="s">
        <v>7</v>
      </c>
      <c r="B680" s="3">
        <v>810014672328</v>
      </c>
      <c r="C680" s="2" t="s">
        <v>1621</v>
      </c>
      <c r="D680" s="30">
        <v>1.1599999999999999</v>
      </c>
      <c r="E680" s="20">
        <v>23.598750000000003</v>
      </c>
      <c r="F680" s="27"/>
      <c r="G680" s="23">
        <f t="shared" si="40"/>
        <v>0</v>
      </c>
      <c r="J680" s="39" t="str">
        <f>IFERROR(IF($J$2*D680=0, "-", $J$2*D680), "-")</f>
        <v>-</v>
      </c>
      <c r="K680" s="39" t="str">
        <f t="shared" si="41"/>
        <v>-</v>
      </c>
      <c r="L680" s="40" t="str">
        <f>IF(F680&gt;0,F680*D680, "-")</f>
        <v>-</v>
      </c>
      <c r="M680" s="41" t="str">
        <f t="shared" si="42"/>
        <v>-</v>
      </c>
      <c r="O680" s="41" t="str">
        <f t="shared" si="43"/>
        <v>-</v>
      </c>
    </row>
    <row r="681" spans="1:15" x14ac:dyDescent="0.3">
      <c r="A681" s="4" t="s">
        <v>1622</v>
      </c>
      <c r="B681" s="3">
        <v>810139572732</v>
      </c>
      <c r="C681" s="2" t="s">
        <v>1623</v>
      </c>
      <c r="D681" s="30">
        <v>0.21</v>
      </c>
      <c r="E681" s="20">
        <v>23.598750000000003</v>
      </c>
      <c r="F681" s="27"/>
      <c r="G681" s="23">
        <f t="shared" si="40"/>
        <v>0</v>
      </c>
      <c r="J681" s="39" t="str">
        <f>IFERROR(IF($J$2*D681=0, "-", $J$2*D681), "-")</f>
        <v>-</v>
      </c>
      <c r="K681" s="39" t="str">
        <f t="shared" si="41"/>
        <v>-</v>
      </c>
      <c r="L681" s="40" t="str">
        <f>IF(F681&gt;0,F681*D681, "-")</f>
        <v>-</v>
      </c>
      <c r="M681" s="41" t="str">
        <f t="shared" si="42"/>
        <v>-</v>
      </c>
      <c r="O681" s="41" t="str">
        <f t="shared" si="43"/>
        <v>-</v>
      </c>
    </row>
    <row r="682" spans="1:15" x14ac:dyDescent="0.3">
      <c r="A682" s="4" t="s">
        <v>152</v>
      </c>
      <c r="B682" s="3">
        <v>810014670355</v>
      </c>
      <c r="C682" s="2" t="s">
        <v>1624</v>
      </c>
      <c r="D682" s="30">
        <v>0.33</v>
      </c>
      <c r="E682" s="20">
        <v>23.598750000000003</v>
      </c>
      <c r="F682" s="27"/>
      <c r="G682" s="23">
        <f t="shared" si="40"/>
        <v>0</v>
      </c>
      <c r="J682" s="39" t="str">
        <f>IFERROR(IF($J$2*D682=0, "-", $J$2*D682), "-")</f>
        <v>-</v>
      </c>
      <c r="K682" s="39" t="str">
        <f t="shared" si="41"/>
        <v>-</v>
      </c>
      <c r="L682" s="40" t="str">
        <f>IF(F682&gt;0,F682*D682, "-")</f>
        <v>-</v>
      </c>
      <c r="M682" s="41" t="str">
        <f t="shared" si="42"/>
        <v>-</v>
      </c>
      <c r="O682" s="41" t="str">
        <f t="shared" si="43"/>
        <v>-</v>
      </c>
    </row>
    <row r="683" spans="1:15" x14ac:dyDescent="0.3">
      <c r="A683" s="4" t="s">
        <v>1625</v>
      </c>
      <c r="B683" s="3">
        <v>810139576679</v>
      </c>
      <c r="C683" s="2" t="s">
        <v>1626</v>
      </c>
      <c r="D683" s="30">
        <v>0.33</v>
      </c>
      <c r="E683" s="20">
        <v>23.598750000000003</v>
      </c>
      <c r="F683" s="27"/>
      <c r="G683" s="23">
        <f t="shared" si="40"/>
        <v>0</v>
      </c>
      <c r="J683" s="39" t="str">
        <f>IFERROR(IF($J$2*D683=0, "-", $J$2*D683), "-")</f>
        <v>-</v>
      </c>
      <c r="K683" s="39" t="str">
        <f t="shared" si="41"/>
        <v>-</v>
      </c>
      <c r="L683" s="40" t="str">
        <f>IF(F683&gt;0,F683*D683, "-")</f>
        <v>-</v>
      </c>
      <c r="M683" s="41" t="str">
        <f t="shared" si="42"/>
        <v>-</v>
      </c>
      <c r="O683" s="41" t="str">
        <f t="shared" si="43"/>
        <v>-</v>
      </c>
    </row>
    <row r="684" spans="1:15" x14ac:dyDescent="0.3">
      <c r="A684" s="4" t="s">
        <v>600</v>
      </c>
      <c r="B684" s="3">
        <v>810014679488</v>
      </c>
      <c r="C684" s="2" t="s">
        <v>1627</v>
      </c>
      <c r="D684" s="30">
        <v>0.16</v>
      </c>
      <c r="E684" s="20">
        <v>23.598750000000003</v>
      </c>
      <c r="F684" s="27"/>
      <c r="G684" s="23">
        <f t="shared" si="40"/>
        <v>0</v>
      </c>
      <c r="J684" s="39" t="str">
        <f>IFERROR(IF($J$2*D684=0, "-", $J$2*D684), "-")</f>
        <v>-</v>
      </c>
      <c r="K684" s="39" t="str">
        <f t="shared" si="41"/>
        <v>-</v>
      </c>
      <c r="L684" s="40" t="str">
        <f>IF(F684&gt;0,F684*D684, "-")</f>
        <v>-</v>
      </c>
      <c r="M684" s="41" t="str">
        <f t="shared" si="42"/>
        <v>-</v>
      </c>
      <c r="O684" s="41" t="str">
        <f t="shared" si="43"/>
        <v>-</v>
      </c>
    </row>
    <row r="685" spans="1:15" x14ac:dyDescent="0.3">
      <c r="A685" s="4" t="s">
        <v>258</v>
      </c>
      <c r="B685" s="3">
        <v>810014678672</v>
      </c>
      <c r="C685" s="2" t="s">
        <v>1628</v>
      </c>
      <c r="D685" s="30">
        <v>0.28999999999999998</v>
      </c>
      <c r="E685" s="20">
        <v>23.598750000000003</v>
      </c>
      <c r="F685" s="27"/>
      <c r="G685" s="23">
        <f t="shared" si="40"/>
        <v>0</v>
      </c>
      <c r="J685" s="39" t="str">
        <f>IFERROR(IF($J$2*D685=0, "-", $J$2*D685), "-")</f>
        <v>-</v>
      </c>
      <c r="K685" s="39" t="str">
        <f t="shared" si="41"/>
        <v>-</v>
      </c>
      <c r="L685" s="40" t="str">
        <f>IF(F685&gt;0,F685*D685, "-")</f>
        <v>-</v>
      </c>
      <c r="M685" s="41" t="str">
        <f t="shared" si="42"/>
        <v>-</v>
      </c>
      <c r="O685" s="41" t="str">
        <f t="shared" si="43"/>
        <v>-</v>
      </c>
    </row>
    <row r="686" spans="1:15" x14ac:dyDescent="0.3">
      <c r="A686" s="4" t="s">
        <v>30</v>
      </c>
      <c r="B686" s="3">
        <v>810014678467</v>
      </c>
      <c r="C686" s="2" t="s">
        <v>1629</v>
      </c>
      <c r="D686" s="30">
        <v>0.14000000000000001</v>
      </c>
      <c r="E686" s="20">
        <v>23.598750000000003</v>
      </c>
      <c r="F686" s="27"/>
      <c r="G686" s="23">
        <f t="shared" si="40"/>
        <v>0</v>
      </c>
      <c r="J686" s="39" t="str">
        <f>IFERROR(IF($J$2*D686=0, "-", $J$2*D686), "-")</f>
        <v>-</v>
      </c>
      <c r="K686" s="39" t="str">
        <f t="shared" si="41"/>
        <v>-</v>
      </c>
      <c r="L686" s="40" t="str">
        <f>IF(F686&gt;0,F686*D686, "-")</f>
        <v>-</v>
      </c>
      <c r="M686" s="41" t="str">
        <f t="shared" si="42"/>
        <v>-</v>
      </c>
      <c r="O686" s="41" t="str">
        <f t="shared" si="43"/>
        <v>-</v>
      </c>
    </row>
    <row r="687" spans="1:15" x14ac:dyDescent="0.3">
      <c r="A687" s="4" t="s">
        <v>195</v>
      </c>
      <c r="B687" s="3">
        <v>810014670812</v>
      </c>
      <c r="C687" s="2" t="s">
        <v>1630</v>
      </c>
      <c r="D687" s="30">
        <v>0.21</v>
      </c>
      <c r="E687" s="20">
        <v>23.598750000000003</v>
      </c>
      <c r="F687" s="27"/>
      <c r="G687" s="23">
        <f t="shared" si="40"/>
        <v>0</v>
      </c>
      <c r="J687" s="39" t="str">
        <f>IFERROR(IF($J$2*D687=0, "-", $J$2*D687), "-")</f>
        <v>-</v>
      </c>
      <c r="K687" s="39" t="str">
        <f t="shared" si="41"/>
        <v>-</v>
      </c>
      <c r="L687" s="40" t="str">
        <f>IF(F687&gt;0,F687*D687, "-")</f>
        <v>-</v>
      </c>
      <c r="M687" s="41" t="str">
        <f t="shared" si="42"/>
        <v>-</v>
      </c>
      <c r="O687" s="41" t="str">
        <f t="shared" si="43"/>
        <v>-</v>
      </c>
    </row>
    <row r="688" spans="1:15" x14ac:dyDescent="0.3">
      <c r="A688" s="4" t="s">
        <v>662</v>
      </c>
      <c r="B688" s="3">
        <v>810014674810</v>
      </c>
      <c r="C688" s="2" t="s">
        <v>1631</v>
      </c>
      <c r="D688" s="30">
        <v>0.17</v>
      </c>
      <c r="E688" s="20">
        <v>23.598750000000003</v>
      </c>
      <c r="F688" s="27"/>
      <c r="G688" s="23">
        <f t="shared" si="40"/>
        <v>0</v>
      </c>
      <c r="J688" s="39" t="str">
        <f>IFERROR(IF($J$2*D688=0, "-", $J$2*D688), "-")</f>
        <v>-</v>
      </c>
      <c r="K688" s="39" t="str">
        <f t="shared" si="41"/>
        <v>-</v>
      </c>
      <c r="L688" s="40" t="str">
        <f>IF(F688&gt;0,F688*D688, "-")</f>
        <v>-</v>
      </c>
      <c r="M688" s="41" t="str">
        <f t="shared" si="42"/>
        <v>-</v>
      </c>
      <c r="O688" s="41" t="str">
        <f t="shared" si="43"/>
        <v>-</v>
      </c>
    </row>
    <row r="689" spans="1:15" x14ac:dyDescent="0.3">
      <c r="A689" s="4" t="s">
        <v>363</v>
      </c>
      <c r="B689" s="3">
        <v>810014679303</v>
      </c>
      <c r="C689" s="2" t="s">
        <v>1632</v>
      </c>
      <c r="D689" s="30">
        <v>0.32</v>
      </c>
      <c r="E689" s="20">
        <v>23.598750000000003</v>
      </c>
      <c r="F689" s="27"/>
      <c r="G689" s="23">
        <f t="shared" si="40"/>
        <v>0</v>
      </c>
      <c r="J689" s="39" t="str">
        <f>IFERROR(IF($J$2*D689=0, "-", $J$2*D689), "-")</f>
        <v>-</v>
      </c>
      <c r="K689" s="39" t="str">
        <f t="shared" si="41"/>
        <v>-</v>
      </c>
      <c r="L689" s="40" t="str">
        <f>IF(F689&gt;0,F689*D689, "-")</f>
        <v>-</v>
      </c>
      <c r="M689" s="41" t="str">
        <f t="shared" si="42"/>
        <v>-</v>
      </c>
      <c r="O689" s="41" t="str">
        <f t="shared" si="43"/>
        <v>-</v>
      </c>
    </row>
    <row r="690" spans="1:15" x14ac:dyDescent="0.3">
      <c r="A690" s="4" t="s">
        <v>557</v>
      </c>
      <c r="B690" s="3">
        <v>810014679471</v>
      </c>
      <c r="C690" s="2" t="s">
        <v>1633</v>
      </c>
      <c r="D690" s="30">
        <v>0.52</v>
      </c>
      <c r="E690" s="20">
        <v>23.598750000000003</v>
      </c>
      <c r="F690" s="27"/>
      <c r="G690" s="23">
        <f t="shared" si="40"/>
        <v>0</v>
      </c>
      <c r="J690" s="39" t="str">
        <f>IFERROR(IF($J$2*D690=0, "-", $J$2*D690), "-")</f>
        <v>-</v>
      </c>
      <c r="K690" s="39" t="str">
        <f t="shared" si="41"/>
        <v>-</v>
      </c>
      <c r="L690" s="40" t="str">
        <f>IF(F690&gt;0,F690*D690, "-")</f>
        <v>-</v>
      </c>
      <c r="M690" s="41" t="str">
        <f t="shared" si="42"/>
        <v>-</v>
      </c>
      <c r="O690" s="41" t="str">
        <f t="shared" si="43"/>
        <v>-</v>
      </c>
    </row>
    <row r="691" spans="1:15" x14ac:dyDescent="0.3">
      <c r="A691" s="4" t="s">
        <v>695</v>
      </c>
      <c r="B691" s="3">
        <v>810014679563</v>
      </c>
      <c r="C691" s="2" t="s">
        <v>1634</v>
      </c>
      <c r="D691" s="30">
        <v>0.21</v>
      </c>
      <c r="E691" s="20">
        <v>23.598750000000003</v>
      </c>
      <c r="F691" s="27"/>
      <c r="G691" s="23">
        <f t="shared" si="40"/>
        <v>0</v>
      </c>
      <c r="J691" s="39" t="str">
        <f>IFERROR(IF($J$2*D691=0, "-", $J$2*D691), "-")</f>
        <v>-</v>
      </c>
      <c r="K691" s="39" t="str">
        <f t="shared" si="41"/>
        <v>-</v>
      </c>
      <c r="L691" s="40" t="str">
        <f>IF(F691&gt;0,F691*D691, "-")</f>
        <v>-</v>
      </c>
      <c r="M691" s="41" t="str">
        <f t="shared" si="42"/>
        <v>-</v>
      </c>
      <c r="O691" s="41" t="str">
        <f t="shared" si="43"/>
        <v>-</v>
      </c>
    </row>
    <row r="692" spans="1:15" x14ac:dyDescent="0.3">
      <c r="A692" s="4" t="s">
        <v>131</v>
      </c>
      <c r="B692" s="3">
        <v>810014675152</v>
      </c>
      <c r="C692" s="2" t="s">
        <v>1635</v>
      </c>
      <c r="D692" s="30">
        <v>0.43</v>
      </c>
      <c r="E692" s="20">
        <v>23.598750000000003</v>
      </c>
      <c r="F692" s="27"/>
      <c r="G692" s="23">
        <f t="shared" si="40"/>
        <v>0</v>
      </c>
      <c r="J692" s="39" t="str">
        <f>IFERROR(IF($J$2*D692=0, "-", $J$2*D692), "-")</f>
        <v>-</v>
      </c>
      <c r="K692" s="39" t="str">
        <f t="shared" si="41"/>
        <v>-</v>
      </c>
      <c r="L692" s="40" t="str">
        <f>IF(F692&gt;0,F692*D692, "-")</f>
        <v>-</v>
      </c>
      <c r="M692" s="41" t="str">
        <f t="shared" si="42"/>
        <v>-</v>
      </c>
      <c r="O692" s="41" t="str">
        <f t="shared" si="43"/>
        <v>-</v>
      </c>
    </row>
    <row r="693" spans="1:15" x14ac:dyDescent="0.3">
      <c r="A693" s="4" t="s">
        <v>25</v>
      </c>
      <c r="B693" s="3">
        <v>810014671666</v>
      </c>
      <c r="C693" s="2" t="s">
        <v>1636</v>
      </c>
      <c r="D693" s="30">
        <v>0.12</v>
      </c>
      <c r="E693" s="20">
        <v>23.598750000000003</v>
      </c>
      <c r="F693" s="27"/>
      <c r="G693" s="23">
        <f t="shared" si="40"/>
        <v>0</v>
      </c>
      <c r="J693" s="39" t="str">
        <f>IFERROR(IF($J$2*D693=0, "-", $J$2*D693), "-")</f>
        <v>-</v>
      </c>
      <c r="K693" s="39" t="str">
        <f t="shared" si="41"/>
        <v>-</v>
      </c>
      <c r="L693" s="40" t="str">
        <f>IF(F693&gt;0,F693*D693, "-")</f>
        <v>-</v>
      </c>
      <c r="M693" s="41" t="str">
        <f t="shared" si="42"/>
        <v>-</v>
      </c>
      <c r="O693" s="41" t="str">
        <f t="shared" si="43"/>
        <v>-</v>
      </c>
    </row>
    <row r="694" spans="1:15" x14ac:dyDescent="0.3">
      <c r="A694" s="4" t="s">
        <v>652</v>
      </c>
      <c r="B694" s="3">
        <v>810014673417</v>
      </c>
      <c r="C694" s="2" t="s">
        <v>1637</v>
      </c>
      <c r="D694" s="30">
        <v>0.25</v>
      </c>
      <c r="E694" s="20">
        <v>23.979375000000001</v>
      </c>
      <c r="F694" s="27"/>
      <c r="G694" s="23">
        <f t="shared" si="40"/>
        <v>0</v>
      </c>
      <c r="J694" s="39" t="str">
        <f>IFERROR(IF($J$2*D694=0, "-", $J$2*D694), "-")</f>
        <v>-</v>
      </c>
      <c r="K694" s="39" t="str">
        <f t="shared" si="41"/>
        <v>-</v>
      </c>
      <c r="L694" s="40" t="str">
        <f>IF(F694&gt;0,F694*D694, "-")</f>
        <v>-</v>
      </c>
      <c r="M694" s="41" t="str">
        <f t="shared" si="42"/>
        <v>-</v>
      </c>
      <c r="O694" s="41" t="str">
        <f t="shared" si="43"/>
        <v>-</v>
      </c>
    </row>
    <row r="695" spans="1:15" x14ac:dyDescent="0.3">
      <c r="A695" s="4" t="s">
        <v>349</v>
      </c>
      <c r="B695" s="3">
        <v>810139572992</v>
      </c>
      <c r="C695" s="2" t="s">
        <v>1638</v>
      </c>
      <c r="D695" s="30">
        <v>0.09</v>
      </c>
      <c r="E695" s="20">
        <v>23.979375000000001</v>
      </c>
      <c r="F695" s="27"/>
      <c r="G695" s="23">
        <f t="shared" si="40"/>
        <v>0</v>
      </c>
      <c r="J695" s="39" t="str">
        <f>IFERROR(IF($J$2*D695=0, "-", $J$2*D695), "-")</f>
        <v>-</v>
      </c>
      <c r="K695" s="39" t="str">
        <f t="shared" si="41"/>
        <v>-</v>
      </c>
      <c r="L695" s="40" t="str">
        <f>IF(F695&gt;0,F695*D695, "-")</f>
        <v>-</v>
      </c>
      <c r="M695" s="41" t="str">
        <f t="shared" si="42"/>
        <v>-</v>
      </c>
      <c r="O695" s="41" t="str">
        <f t="shared" si="43"/>
        <v>-</v>
      </c>
    </row>
    <row r="696" spans="1:15" x14ac:dyDescent="0.3">
      <c r="A696" s="4" t="s">
        <v>605</v>
      </c>
      <c r="B696" s="3">
        <v>810014673516</v>
      </c>
      <c r="C696" s="2" t="s">
        <v>1639</v>
      </c>
      <c r="D696" s="30">
        <v>0.32</v>
      </c>
      <c r="E696" s="20">
        <v>23.979375000000001</v>
      </c>
      <c r="F696" s="27"/>
      <c r="G696" s="23">
        <f t="shared" si="40"/>
        <v>0</v>
      </c>
      <c r="J696" s="39" t="str">
        <f>IFERROR(IF($J$2*D696=0, "-", $J$2*D696), "-")</f>
        <v>-</v>
      </c>
      <c r="K696" s="39" t="str">
        <f t="shared" si="41"/>
        <v>-</v>
      </c>
      <c r="L696" s="40" t="str">
        <f>IF(F696&gt;0,F696*D696, "-")</f>
        <v>-</v>
      </c>
      <c r="M696" s="41" t="str">
        <f t="shared" si="42"/>
        <v>-</v>
      </c>
      <c r="O696" s="41" t="str">
        <f t="shared" si="43"/>
        <v>-</v>
      </c>
    </row>
    <row r="697" spans="1:15" x14ac:dyDescent="0.3">
      <c r="A697" s="4" t="s">
        <v>311</v>
      </c>
      <c r="B697" s="3">
        <v>810014678290</v>
      </c>
      <c r="C697" s="2" t="s">
        <v>1640</v>
      </c>
      <c r="D697" s="30">
        <v>0.24</v>
      </c>
      <c r="E697" s="20">
        <v>23.979375000000001</v>
      </c>
      <c r="F697" s="27"/>
      <c r="G697" s="23">
        <f t="shared" si="40"/>
        <v>0</v>
      </c>
      <c r="J697" s="39" t="str">
        <f>IFERROR(IF($J$2*D697=0, "-", $J$2*D697), "-")</f>
        <v>-</v>
      </c>
      <c r="K697" s="39" t="str">
        <f t="shared" si="41"/>
        <v>-</v>
      </c>
      <c r="L697" s="40" t="str">
        <f>IF(F697&gt;0,F697*D697, "-")</f>
        <v>-</v>
      </c>
      <c r="M697" s="41" t="str">
        <f t="shared" si="42"/>
        <v>-</v>
      </c>
      <c r="O697" s="41" t="str">
        <f t="shared" si="43"/>
        <v>-</v>
      </c>
    </row>
    <row r="698" spans="1:15" x14ac:dyDescent="0.3">
      <c r="A698" s="4" t="s">
        <v>400</v>
      </c>
      <c r="B698" s="3">
        <v>810014672571</v>
      </c>
      <c r="C698" s="2" t="s">
        <v>1641</v>
      </c>
      <c r="D698" s="30">
        <v>0.59</v>
      </c>
      <c r="E698" s="20">
        <v>23.979375000000001</v>
      </c>
      <c r="F698" s="27"/>
      <c r="G698" s="23">
        <f t="shared" si="40"/>
        <v>0</v>
      </c>
      <c r="J698" s="39" t="str">
        <f>IFERROR(IF($J$2*D698=0, "-", $J$2*D698), "-")</f>
        <v>-</v>
      </c>
      <c r="K698" s="39" t="str">
        <f t="shared" si="41"/>
        <v>-</v>
      </c>
      <c r="L698" s="40" t="str">
        <f>IF(F698&gt;0,F698*D698, "-")</f>
        <v>-</v>
      </c>
      <c r="M698" s="41" t="str">
        <f t="shared" si="42"/>
        <v>-</v>
      </c>
      <c r="O698" s="41" t="str">
        <f t="shared" si="43"/>
        <v>-</v>
      </c>
    </row>
    <row r="699" spans="1:15" x14ac:dyDescent="0.3">
      <c r="A699" s="4" t="s">
        <v>409</v>
      </c>
      <c r="B699" s="3">
        <v>810014679365</v>
      </c>
      <c r="C699" s="2" t="s">
        <v>1642</v>
      </c>
      <c r="D699" s="30">
        <v>0.13</v>
      </c>
      <c r="E699" s="20">
        <v>23.979375000000001</v>
      </c>
      <c r="F699" s="27"/>
      <c r="G699" s="23">
        <f t="shared" si="40"/>
        <v>0</v>
      </c>
      <c r="J699" s="39" t="str">
        <f>IFERROR(IF($J$2*D699=0, "-", $J$2*D699), "-")</f>
        <v>-</v>
      </c>
      <c r="K699" s="39" t="str">
        <f t="shared" si="41"/>
        <v>-</v>
      </c>
      <c r="L699" s="40" t="str">
        <f>IF(F699&gt;0,F699*D699, "-")</f>
        <v>-</v>
      </c>
      <c r="M699" s="41" t="str">
        <f t="shared" si="42"/>
        <v>-</v>
      </c>
      <c r="O699" s="41" t="str">
        <f t="shared" si="43"/>
        <v>-</v>
      </c>
    </row>
    <row r="700" spans="1:15" x14ac:dyDescent="0.3">
      <c r="A700" s="4" t="s">
        <v>1643</v>
      </c>
      <c r="B700" s="3">
        <v>810139571056</v>
      </c>
      <c r="C700" s="2" t="s">
        <v>1644</v>
      </c>
      <c r="D700" s="30">
        <v>1.1200000000000001</v>
      </c>
      <c r="E700" s="20">
        <v>24.36</v>
      </c>
      <c r="F700" s="27"/>
      <c r="G700" s="23">
        <f t="shared" si="40"/>
        <v>0</v>
      </c>
      <c r="J700" s="39" t="str">
        <f>IFERROR(IF($J$2*D700=0, "-", $J$2*D700), "-")</f>
        <v>-</v>
      </c>
      <c r="K700" s="39" t="str">
        <f t="shared" si="41"/>
        <v>-</v>
      </c>
      <c r="L700" s="40" t="str">
        <f>IF(F700&gt;0,F700*D700, "-")</f>
        <v>-</v>
      </c>
      <c r="M700" s="41" t="str">
        <f t="shared" si="42"/>
        <v>-</v>
      </c>
      <c r="O700" s="41" t="str">
        <f t="shared" si="43"/>
        <v>-</v>
      </c>
    </row>
    <row r="701" spans="1:15" x14ac:dyDescent="0.3">
      <c r="A701" s="4" t="s">
        <v>488</v>
      </c>
      <c r="B701" s="3">
        <v>810014672151</v>
      </c>
      <c r="C701" s="2" t="s">
        <v>1645</v>
      </c>
      <c r="D701" s="30">
        <v>0.61</v>
      </c>
      <c r="E701" s="20">
        <v>24.36</v>
      </c>
      <c r="F701" s="27"/>
      <c r="G701" s="23">
        <f t="shared" si="40"/>
        <v>0</v>
      </c>
      <c r="J701" s="39" t="str">
        <f>IFERROR(IF($J$2*D701=0, "-", $J$2*D701), "-")</f>
        <v>-</v>
      </c>
      <c r="K701" s="39" t="str">
        <f t="shared" si="41"/>
        <v>-</v>
      </c>
      <c r="L701" s="40" t="str">
        <f>IF(F701&gt;0,F701*D701, "-")</f>
        <v>-</v>
      </c>
      <c r="M701" s="41" t="str">
        <f t="shared" si="42"/>
        <v>-</v>
      </c>
      <c r="O701" s="41" t="str">
        <f t="shared" si="43"/>
        <v>-</v>
      </c>
    </row>
    <row r="702" spans="1:15" x14ac:dyDescent="0.3">
      <c r="A702" s="4" t="s">
        <v>58</v>
      </c>
      <c r="B702" s="3">
        <v>810014679143</v>
      </c>
      <c r="C702" s="2" t="s">
        <v>1646</v>
      </c>
      <c r="D702" s="30">
        <v>0.7</v>
      </c>
      <c r="E702" s="20">
        <v>24.36</v>
      </c>
      <c r="F702" s="27"/>
      <c r="G702" s="23">
        <f t="shared" si="40"/>
        <v>0</v>
      </c>
      <c r="J702" s="39" t="str">
        <f>IFERROR(IF($J$2*D702=0, "-", $J$2*D702), "-")</f>
        <v>-</v>
      </c>
      <c r="K702" s="39" t="str">
        <f t="shared" si="41"/>
        <v>-</v>
      </c>
      <c r="L702" s="40" t="str">
        <f>IF(F702&gt;0,F702*D702, "-")</f>
        <v>-</v>
      </c>
      <c r="M702" s="41" t="str">
        <f t="shared" si="42"/>
        <v>-</v>
      </c>
      <c r="O702" s="41" t="str">
        <f t="shared" si="43"/>
        <v>-</v>
      </c>
    </row>
    <row r="703" spans="1:15" x14ac:dyDescent="0.3">
      <c r="A703" s="4" t="s">
        <v>386</v>
      </c>
      <c r="B703" s="3">
        <v>810014675213</v>
      </c>
      <c r="C703" s="2" t="s">
        <v>1647</v>
      </c>
      <c r="D703" s="30">
        <v>0.66</v>
      </c>
      <c r="E703" s="20">
        <v>24.36</v>
      </c>
      <c r="F703" s="27"/>
      <c r="G703" s="23">
        <f t="shared" si="40"/>
        <v>0</v>
      </c>
      <c r="J703" s="39" t="str">
        <f>IFERROR(IF($J$2*D703=0, "-", $J$2*D703), "-")</f>
        <v>-</v>
      </c>
      <c r="K703" s="39" t="str">
        <f t="shared" si="41"/>
        <v>-</v>
      </c>
      <c r="L703" s="40" t="str">
        <f>IF(F703&gt;0,F703*D703, "-")</f>
        <v>-</v>
      </c>
      <c r="M703" s="41" t="str">
        <f t="shared" si="42"/>
        <v>-</v>
      </c>
      <c r="O703" s="41" t="str">
        <f t="shared" si="43"/>
        <v>-</v>
      </c>
    </row>
    <row r="704" spans="1:15" x14ac:dyDescent="0.3">
      <c r="A704" s="4" t="s">
        <v>423</v>
      </c>
      <c r="B704" s="3">
        <v>810139571247</v>
      </c>
      <c r="C704" s="2" t="s">
        <v>1648</v>
      </c>
      <c r="D704" s="30">
        <v>0.32</v>
      </c>
      <c r="E704" s="20">
        <v>24.36</v>
      </c>
      <c r="F704" s="27"/>
      <c r="G704" s="23">
        <f t="shared" si="40"/>
        <v>0</v>
      </c>
      <c r="J704" s="39" t="str">
        <f>IFERROR(IF($J$2*D704=0, "-", $J$2*D704), "-")</f>
        <v>-</v>
      </c>
      <c r="K704" s="39" t="str">
        <f t="shared" si="41"/>
        <v>-</v>
      </c>
      <c r="L704" s="40" t="str">
        <f>IF(F704&gt;0,F704*D704, "-")</f>
        <v>-</v>
      </c>
      <c r="M704" s="41" t="str">
        <f t="shared" si="42"/>
        <v>-</v>
      </c>
      <c r="O704" s="41" t="str">
        <f t="shared" si="43"/>
        <v>-</v>
      </c>
    </row>
    <row r="705" spans="1:15" x14ac:dyDescent="0.3">
      <c r="A705" s="4" t="s">
        <v>1649</v>
      </c>
      <c r="B705" s="3">
        <v>810139574033</v>
      </c>
      <c r="C705" s="2" t="s">
        <v>1650</v>
      </c>
      <c r="D705" s="30">
        <v>0.64</v>
      </c>
      <c r="E705" s="20">
        <v>24.36</v>
      </c>
      <c r="F705" s="27"/>
      <c r="G705" s="23">
        <f t="shared" si="40"/>
        <v>0</v>
      </c>
      <c r="J705" s="39" t="str">
        <f>IFERROR(IF($J$2*D705=0, "-", $J$2*D705), "-")</f>
        <v>-</v>
      </c>
      <c r="K705" s="39" t="str">
        <f t="shared" si="41"/>
        <v>-</v>
      </c>
      <c r="L705" s="40" t="str">
        <f>IF(F705&gt;0,F705*D705, "-")</f>
        <v>-</v>
      </c>
      <c r="M705" s="41" t="str">
        <f t="shared" si="42"/>
        <v>-</v>
      </c>
      <c r="O705" s="41" t="str">
        <f t="shared" si="43"/>
        <v>-</v>
      </c>
    </row>
    <row r="706" spans="1:15" x14ac:dyDescent="0.3">
      <c r="A706" s="4" t="s">
        <v>1651</v>
      </c>
      <c r="B706" s="3">
        <v>810139573531</v>
      </c>
      <c r="C706" s="2" t="s">
        <v>1652</v>
      </c>
      <c r="D706" s="30">
        <v>1.1399999999999999</v>
      </c>
      <c r="E706" s="20">
        <v>24.36</v>
      </c>
      <c r="F706" s="27"/>
      <c r="G706" s="23">
        <f t="shared" si="40"/>
        <v>0</v>
      </c>
      <c r="J706" s="39" t="str">
        <f>IFERROR(IF($J$2*D706=0, "-", $J$2*D706), "-")</f>
        <v>-</v>
      </c>
      <c r="K706" s="39" t="str">
        <f t="shared" si="41"/>
        <v>-</v>
      </c>
      <c r="L706" s="40" t="str">
        <f>IF(F706&gt;0,F706*D706, "-")</f>
        <v>-</v>
      </c>
      <c r="M706" s="41" t="str">
        <f t="shared" si="42"/>
        <v>-</v>
      </c>
      <c r="O706" s="41" t="str">
        <f t="shared" si="43"/>
        <v>-</v>
      </c>
    </row>
    <row r="707" spans="1:15" x14ac:dyDescent="0.3">
      <c r="A707" s="4" t="s">
        <v>500</v>
      </c>
      <c r="B707" s="3">
        <v>810139571650</v>
      </c>
      <c r="C707" s="2" t="s">
        <v>1653</v>
      </c>
      <c r="D707" s="30">
        <v>0.32</v>
      </c>
      <c r="E707" s="20">
        <v>24.36</v>
      </c>
      <c r="F707" s="27"/>
      <c r="G707" s="23">
        <f t="shared" si="40"/>
        <v>0</v>
      </c>
      <c r="J707" s="39" t="str">
        <f>IFERROR(IF($J$2*D707=0, "-", $J$2*D707), "-")</f>
        <v>-</v>
      </c>
      <c r="K707" s="39" t="str">
        <f t="shared" si="41"/>
        <v>-</v>
      </c>
      <c r="L707" s="40" t="str">
        <f>IF(F707&gt;0,F707*D707, "-")</f>
        <v>-</v>
      </c>
      <c r="M707" s="41" t="str">
        <f t="shared" si="42"/>
        <v>-</v>
      </c>
      <c r="O707" s="41" t="str">
        <f t="shared" si="43"/>
        <v>-</v>
      </c>
    </row>
    <row r="708" spans="1:15" x14ac:dyDescent="0.3">
      <c r="A708" s="4" t="s">
        <v>431</v>
      </c>
      <c r="B708" s="3">
        <v>810014678405</v>
      </c>
      <c r="C708" s="2" t="s">
        <v>1654</v>
      </c>
      <c r="D708" s="30">
        <v>0.09</v>
      </c>
      <c r="E708" s="20">
        <v>24.36</v>
      </c>
      <c r="F708" s="27"/>
      <c r="G708" s="23">
        <f t="shared" ref="G708:G771" si="44">F708*E708</f>
        <v>0</v>
      </c>
      <c r="J708" s="39" t="str">
        <f>IFERROR(IF($J$2*D708=0, "-", $J$2*D708), "-")</f>
        <v>-</v>
      </c>
      <c r="K708" s="39" t="str">
        <f t="shared" ref="K708:K771" si="45">IF(F708&gt;0,E708+J708,"-")</f>
        <v>-</v>
      </c>
      <c r="L708" s="40" t="str">
        <f>IF(F708&gt;0,F708*D708, "-")</f>
        <v>-</v>
      </c>
      <c r="M708" s="41" t="str">
        <f t="shared" ref="M708:M771" si="46">IFERROR(IF($J$2&gt;0, $J$2*L708, "-"), "-")</f>
        <v>-</v>
      </c>
      <c r="O708" s="41" t="str">
        <f t="shared" ref="O708:O771" si="47">IFERROR(IF(M708+G708=0, "-", IF(M708&gt;0, M708+G708, "-")), "-")</f>
        <v>-</v>
      </c>
    </row>
    <row r="709" spans="1:15" x14ac:dyDescent="0.3">
      <c r="A709" s="4" t="s">
        <v>1655</v>
      </c>
      <c r="B709" s="3">
        <v>810139577010</v>
      </c>
      <c r="C709" s="2" t="s">
        <v>1656</v>
      </c>
      <c r="D709" s="30">
        <v>0.09</v>
      </c>
      <c r="E709" s="20">
        <v>24.36</v>
      </c>
      <c r="F709" s="27"/>
      <c r="G709" s="23">
        <f t="shared" si="44"/>
        <v>0</v>
      </c>
      <c r="J709" s="39" t="str">
        <f>IFERROR(IF($J$2*D709=0, "-", $J$2*D709), "-")</f>
        <v>-</v>
      </c>
      <c r="K709" s="39" t="str">
        <f t="shared" si="45"/>
        <v>-</v>
      </c>
      <c r="L709" s="40" t="str">
        <f>IF(F709&gt;0,F709*D709, "-")</f>
        <v>-</v>
      </c>
      <c r="M709" s="41" t="str">
        <f t="shared" si="46"/>
        <v>-</v>
      </c>
      <c r="O709" s="41" t="str">
        <f t="shared" si="47"/>
        <v>-</v>
      </c>
    </row>
    <row r="710" spans="1:15" x14ac:dyDescent="0.3">
      <c r="A710" s="4" t="s">
        <v>524</v>
      </c>
      <c r="B710" s="3">
        <v>810014672236</v>
      </c>
      <c r="C710" s="2" t="s">
        <v>1657</v>
      </c>
      <c r="D710" s="30">
        <v>0.17</v>
      </c>
      <c r="E710" s="20">
        <v>24.36</v>
      </c>
      <c r="F710" s="27"/>
      <c r="G710" s="23">
        <f t="shared" si="44"/>
        <v>0</v>
      </c>
      <c r="J710" s="39" t="str">
        <f>IFERROR(IF($J$2*D710=0, "-", $J$2*D710), "-")</f>
        <v>-</v>
      </c>
      <c r="K710" s="39" t="str">
        <f t="shared" si="45"/>
        <v>-</v>
      </c>
      <c r="L710" s="40" t="str">
        <f>IF(F710&gt;0,F710*D710, "-")</f>
        <v>-</v>
      </c>
      <c r="M710" s="41" t="str">
        <f t="shared" si="46"/>
        <v>-</v>
      </c>
      <c r="O710" s="41" t="str">
        <f t="shared" si="47"/>
        <v>-</v>
      </c>
    </row>
    <row r="711" spans="1:15" x14ac:dyDescent="0.3">
      <c r="A711" s="4" t="s">
        <v>589</v>
      </c>
      <c r="B711" s="3">
        <v>810014672021</v>
      </c>
      <c r="C711" s="2" t="s">
        <v>1658</v>
      </c>
      <c r="D711" s="30">
        <v>0.11</v>
      </c>
      <c r="E711" s="20">
        <v>24.36</v>
      </c>
      <c r="F711" s="27"/>
      <c r="G711" s="23">
        <f t="shared" si="44"/>
        <v>0</v>
      </c>
      <c r="J711" s="39" t="str">
        <f>IFERROR(IF($J$2*D711=0, "-", $J$2*D711), "-")</f>
        <v>-</v>
      </c>
      <c r="K711" s="39" t="str">
        <f t="shared" si="45"/>
        <v>-</v>
      </c>
      <c r="L711" s="40" t="str">
        <f>IF(F711&gt;0,F711*D711, "-")</f>
        <v>-</v>
      </c>
      <c r="M711" s="41" t="str">
        <f t="shared" si="46"/>
        <v>-</v>
      </c>
      <c r="O711" s="41" t="str">
        <f t="shared" si="47"/>
        <v>-</v>
      </c>
    </row>
    <row r="712" spans="1:15" x14ac:dyDescent="0.3">
      <c r="A712" s="4" t="s">
        <v>591</v>
      </c>
      <c r="B712" s="3">
        <v>810014673264</v>
      </c>
      <c r="C712" s="2" t="s">
        <v>1659</v>
      </c>
      <c r="D712" s="30">
        <v>0.12</v>
      </c>
      <c r="E712" s="20">
        <v>24.36</v>
      </c>
      <c r="F712" s="27"/>
      <c r="G712" s="23">
        <f t="shared" si="44"/>
        <v>0</v>
      </c>
      <c r="J712" s="39" t="str">
        <f>IFERROR(IF($J$2*D712=0, "-", $J$2*D712), "-")</f>
        <v>-</v>
      </c>
      <c r="K712" s="39" t="str">
        <f t="shared" si="45"/>
        <v>-</v>
      </c>
      <c r="L712" s="40" t="str">
        <f>IF(F712&gt;0,F712*D712, "-")</f>
        <v>-</v>
      </c>
      <c r="M712" s="41" t="str">
        <f t="shared" si="46"/>
        <v>-</v>
      </c>
      <c r="O712" s="41" t="str">
        <f t="shared" si="47"/>
        <v>-</v>
      </c>
    </row>
    <row r="713" spans="1:15" x14ac:dyDescent="0.3">
      <c r="A713" s="4" t="s">
        <v>359</v>
      </c>
      <c r="B713" s="3">
        <v>810014679297</v>
      </c>
      <c r="C713" s="2" t="s">
        <v>1660</v>
      </c>
      <c r="D713" s="30">
        <v>0.73</v>
      </c>
      <c r="E713" s="20">
        <v>24.36</v>
      </c>
      <c r="F713" s="27"/>
      <c r="G713" s="23">
        <f t="shared" si="44"/>
        <v>0</v>
      </c>
      <c r="J713" s="39" t="str">
        <f>IFERROR(IF($J$2*D713=0, "-", $J$2*D713), "-")</f>
        <v>-</v>
      </c>
      <c r="K713" s="39" t="str">
        <f t="shared" si="45"/>
        <v>-</v>
      </c>
      <c r="L713" s="40" t="str">
        <f>IF(F713&gt;0,F713*D713, "-")</f>
        <v>-</v>
      </c>
      <c r="M713" s="41" t="str">
        <f t="shared" si="46"/>
        <v>-</v>
      </c>
      <c r="O713" s="41" t="str">
        <f t="shared" si="47"/>
        <v>-</v>
      </c>
    </row>
    <row r="714" spans="1:15" x14ac:dyDescent="0.3">
      <c r="A714" s="4" t="s">
        <v>264</v>
      </c>
      <c r="B714" s="3">
        <v>810014678566</v>
      </c>
      <c r="C714" s="2" t="s">
        <v>1661</v>
      </c>
      <c r="D714" s="30">
        <v>7.0000000000000007E-2</v>
      </c>
      <c r="E714" s="20">
        <v>24.36</v>
      </c>
      <c r="F714" s="27"/>
      <c r="G714" s="23">
        <f t="shared" si="44"/>
        <v>0</v>
      </c>
      <c r="J714" s="39" t="str">
        <f>IFERROR(IF($J$2*D714=0, "-", $J$2*D714), "-")</f>
        <v>-</v>
      </c>
      <c r="K714" s="39" t="str">
        <f t="shared" si="45"/>
        <v>-</v>
      </c>
      <c r="L714" s="40" t="str">
        <f>IF(F714&gt;0,F714*D714, "-")</f>
        <v>-</v>
      </c>
      <c r="M714" s="41" t="str">
        <f t="shared" si="46"/>
        <v>-</v>
      </c>
      <c r="O714" s="41" t="str">
        <f t="shared" si="47"/>
        <v>-</v>
      </c>
    </row>
    <row r="715" spans="1:15" x14ac:dyDescent="0.3">
      <c r="A715" s="4" t="s">
        <v>594</v>
      </c>
      <c r="B715" s="3">
        <v>810014674001</v>
      </c>
      <c r="C715" s="2" t="s">
        <v>1662</v>
      </c>
      <c r="D715" s="30">
        <v>0.11</v>
      </c>
      <c r="E715" s="20">
        <v>24.36</v>
      </c>
      <c r="F715" s="27"/>
      <c r="G715" s="23">
        <f t="shared" si="44"/>
        <v>0</v>
      </c>
      <c r="J715" s="39" t="str">
        <f>IFERROR(IF($J$2*D715=0, "-", $J$2*D715), "-")</f>
        <v>-</v>
      </c>
      <c r="K715" s="39" t="str">
        <f t="shared" si="45"/>
        <v>-</v>
      </c>
      <c r="L715" s="40" t="str">
        <f>IF(F715&gt;0,F715*D715, "-")</f>
        <v>-</v>
      </c>
      <c r="M715" s="41" t="str">
        <f t="shared" si="46"/>
        <v>-</v>
      </c>
      <c r="O715" s="41" t="str">
        <f t="shared" si="47"/>
        <v>-</v>
      </c>
    </row>
    <row r="716" spans="1:15" x14ac:dyDescent="0.3">
      <c r="A716" s="4" t="s">
        <v>17</v>
      </c>
      <c r="B716" s="3">
        <v>702669930987</v>
      </c>
      <c r="C716" s="2" t="s">
        <v>1663</v>
      </c>
      <c r="D716" s="30">
        <v>0.37</v>
      </c>
      <c r="E716" s="20">
        <v>24.36</v>
      </c>
      <c r="F716" s="27"/>
      <c r="G716" s="23">
        <f t="shared" si="44"/>
        <v>0</v>
      </c>
      <c r="J716" s="39" t="str">
        <f>IFERROR(IF($J$2*D716=0, "-", $J$2*D716), "-")</f>
        <v>-</v>
      </c>
      <c r="K716" s="39" t="str">
        <f t="shared" si="45"/>
        <v>-</v>
      </c>
      <c r="L716" s="40" t="str">
        <f>IF(F716&gt;0,F716*D716, "-")</f>
        <v>-</v>
      </c>
      <c r="M716" s="41" t="str">
        <f t="shared" si="46"/>
        <v>-</v>
      </c>
      <c r="O716" s="41" t="str">
        <f t="shared" si="47"/>
        <v>-</v>
      </c>
    </row>
    <row r="717" spans="1:15" x14ac:dyDescent="0.3">
      <c r="A717" s="4" t="s">
        <v>509</v>
      </c>
      <c r="B717" s="3">
        <v>810014673356</v>
      </c>
      <c r="C717" s="2" t="s">
        <v>1664</v>
      </c>
      <c r="D717" s="30">
        <v>7.0000000000000007E-2</v>
      </c>
      <c r="E717" s="20">
        <v>24.36</v>
      </c>
      <c r="F717" s="27"/>
      <c r="G717" s="23">
        <f t="shared" si="44"/>
        <v>0</v>
      </c>
      <c r="J717" s="39" t="str">
        <f>IFERROR(IF($J$2*D717=0, "-", $J$2*D717), "-")</f>
        <v>-</v>
      </c>
      <c r="K717" s="39" t="str">
        <f t="shared" si="45"/>
        <v>-</v>
      </c>
      <c r="L717" s="40" t="str">
        <f>IF(F717&gt;0,F717*D717, "-")</f>
        <v>-</v>
      </c>
      <c r="M717" s="41" t="str">
        <f t="shared" si="46"/>
        <v>-</v>
      </c>
      <c r="O717" s="41" t="str">
        <f t="shared" si="47"/>
        <v>-</v>
      </c>
    </row>
    <row r="718" spans="1:15" x14ac:dyDescent="0.3">
      <c r="A718" s="4" t="s">
        <v>1665</v>
      </c>
      <c r="B718" s="3">
        <v>810139571728</v>
      </c>
      <c r="C718" s="2" t="s">
        <v>1666</v>
      </c>
      <c r="D718" s="30">
        <v>0.14000000000000001</v>
      </c>
      <c r="E718" s="20">
        <v>24.36</v>
      </c>
      <c r="F718" s="27"/>
      <c r="G718" s="23">
        <f t="shared" si="44"/>
        <v>0</v>
      </c>
      <c r="J718" s="39" t="str">
        <f>IFERROR(IF($J$2*D718=0, "-", $J$2*D718), "-")</f>
        <v>-</v>
      </c>
      <c r="K718" s="39" t="str">
        <f t="shared" si="45"/>
        <v>-</v>
      </c>
      <c r="L718" s="40" t="str">
        <f>IF(F718&gt;0,F718*D718, "-")</f>
        <v>-</v>
      </c>
      <c r="M718" s="41" t="str">
        <f t="shared" si="46"/>
        <v>-</v>
      </c>
      <c r="O718" s="41" t="str">
        <f t="shared" si="47"/>
        <v>-</v>
      </c>
    </row>
    <row r="719" spans="1:15" x14ac:dyDescent="0.3">
      <c r="A719" s="4" t="s">
        <v>587</v>
      </c>
      <c r="B719" s="3">
        <v>810014675381</v>
      </c>
      <c r="C719" s="2" t="s">
        <v>1667</v>
      </c>
      <c r="D719" s="30">
        <v>0.49</v>
      </c>
      <c r="E719" s="20">
        <v>24.36</v>
      </c>
      <c r="F719" s="27"/>
      <c r="G719" s="23">
        <f t="shared" si="44"/>
        <v>0</v>
      </c>
      <c r="J719" s="39" t="str">
        <f>IFERROR(IF($J$2*D719=0, "-", $J$2*D719), "-")</f>
        <v>-</v>
      </c>
      <c r="K719" s="39" t="str">
        <f t="shared" si="45"/>
        <v>-</v>
      </c>
      <c r="L719" s="40" t="str">
        <f>IF(F719&gt;0,F719*D719, "-")</f>
        <v>-</v>
      </c>
      <c r="M719" s="41" t="str">
        <f t="shared" si="46"/>
        <v>-</v>
      </c>
      <c r="O719" s="41" t="str">
        <f t="shared" si="47"/>
        <v>-</v>
      </c>
    </row>
    <row r="720" spans="1:15" x14ac:dyDescent="0.3">
      <c r="A720" s="4" t="s">
        <v>451</v>
      </c>
      <c r="B720" s="3">
        <v>810014672090</v>
      </c>
      <c r="C720" s="2" t="s">
        <v>1668</v>
      </c>
      <c r="D720" s="30">
        <v>0.33</v>
      </c>
      <c r="E720" s="20">
        <v>24.36</v>
      </c>
      <c r="F720" s="27"/>
      <c r="G720" s="23">
        <f t="shared" si="44"/>
        <v>0</v>
      </c>
      <c r="J720" s="39" t="str">
        <f>IFERROR(IF($J$2*D720=0, "-", $J$2*D720), "-")</f>
        <v>-</v>
      </c>
      <c r="K720" s="39" t="str">
        <f t="shared" si="45"/>
        <v>-</v>
      </c>
      <c r="L720" s="40" t="str">
        <f>IF(F720&gt;0,F720*D720, "-")</f>
        <v>-</v>
      </c>
      <c r="M720" s="41" t="str">
        <f t="shared" si="46"/>
        <v>-</v>
      </c>
      <c r="O720" s="41" t="str">
        <f t="shared" si="47"/>
        <v>-</v>
      </c>
    </row>
    <row r="721" spans="1:15" x14ac:dyDescent="0.3">
      <c r="A721" s="4" t="s">
        <v>93</v>
      </c>
      <c r="B721" s="3">
        <v>810014679037</v>
      </c>
      <c r="C721" s="2" t="s">
        <v>1669</v>
      </c>
      <c r="D721" s="30">
        <v>0.26</v>
      </c>
      <c r="E721" s="20">
        <v>24.36</v>
      </c>
      <c r="F721" s="27"/>
      <c r="G721" s="23">
        <f t="shared" si="44"/>
        <v>0</v>
      </c>
      <c r="J721" s="39" t="str">
        <f>IFERROR(IF($J$2*D721=0, "-", $J$2*D721), "-")</f>
        <v>-</v>
      </c>
      <c r="K721" s="39" t="str">
        <f t="shared" si="45"/>
        <v>-</v>
      </c>
      <c r="L721" s="40" t="str">
        <f>IF(F721&gt;0,F721*D721, "-")</f>
        <v>-</v>
      </c>
      <c r="M721" s="41" t="str">
        <f t="shared" si="46"/>
        <v>-</v>
      </c>
      <c r="O721" s="41" t="str">
        <f t="shared" si="47"/>
        <v>-</v>
      </c>
    </row>
    <row r="722" spans="1:15" x14ac:dyDescent="0.3">
      <c r="A722" s="4" t="s">
        <v>1670</v>
      </c>
      <c r="B722" s="3">
        <v>810139573487</v>
      </c>
      <c r="C722" s="2" t="s">
        <v>1671</v>
      </c>
      <c r="D722" s="30">
        <v>0.36</v>
      </c>
      <c r="E722" s="20">
        <v>24.36</v>
      </c>
      <c r="F722" s="27"/>
      <c r="G722" s="23">
        <f t="shared" si="44"/>
        <v>0</v>
      </c>
      <c r="J722" s="39" t="str">
        <f>IFERROR(IF($J$2*D722=0, "-", $J$2*D722), "-")</f>
        <v>-</v>
      </c>
      <c r="K722" s="39" t="str">
        <f t="shared" si="45"/>
        <v>-</v>
      </c>
      <c r="L722" s="40" t="str">
        <f>IF(F722&gt;0,F722*D722, "-")</f>
        <v>-</v>
      </c>
      <c r="M722" s="41" t="str">
        <f t="shared" si="46"/>
        <v>-</v>
      </c>
      <c r="O722" s="41" t="str">
        <f t="shared" si="47"/>
        <v>-</v>
      </c>
    </row>
    <row r="723" spans="1:15" x14ac:dyDescent="0.3">
      <c r="A723" s="4" t="s">
        <v>1672</v>
      </c>
      <c r="B723" s="3">
        <v>810139576389</v>
      </c>
      <c r="C723" s="2" t="s">
        <v>1673</v>
      </c>
      <c r="D723" s="30">
        <v>0.13</v>
      </c>
      <c r="E723" s="20">
        <v>24.36</v>
      </c>
      <c r="F723" s="27"/>
      <c r="G723" s="23">
        <f t="shared" si="44"/>
        <v>0</v>
      </c>
      <c r="J723" s="39" t="str">
        <f>IFERROR(IF($J$2*D723=0, "-", $J$2*D723), "-")</f>
        <v>-</v>
      </c>
      <c r="K723" s="39" t="str">
        <f t="shared" si="45"/>
        <v>-</v>
      </c>
      <c r="L723" s="40" t="str">
        <f>IF(F723&gt;0,F723*D723, "-")</f>
        <v>-</v>
      </c>
      <c r="M723" s="41" t="str">
        <f t="shared" si="46"/>
        <v>-</v>
      </c>
      <c r="O723" s="41" t="str">
        <f t="shared" si="47"/>
        <v>-</v>
      </c>
    </row>
    <row r="724" spans="1:15" x14ac:dyDescent="0.3">
      <c r="A724" s="4" t="s">
        <v>1674</v>
      </c>
      <c r="B724" s="3">
        <v>810139576396</v>
      </c>
      <c r="C724" s="2" t="s">
        <v>1675</v>
      </c>
      <c r="D724" s="30">
        <v>0.1</v>
      </c>
      <c r="E724" s="20">
        <v>24.36</v>
      </c>
      <c r="F724" s="27"/>
      <c r="G724" s="23">
        <f t="shared" si="44"/>
        <v>0</v>
      </c>
      <c r="J724" s="39" t="str">
        <f>IFERROR(IF($J$2*D724=0, "-", $J$2*D724), "-")</f>
        <v>-</v>
      </c>
      <c r="K724" s="39" t="str">
        <f t="shared" si="45"/>
        <v>-</v>
      </c>
      <c r="L724" s="40" t="str">
        <f>IF(F724&gt;0,F724*D724, "-")</f>
        <v>-</v>
      </c>
      <c r="M724" s="41" t="str">
        <f t="shared" si="46"/>
        <v>-</v>
      </c>
      <c r="O724" s="41" t="str">
        <f t="shared" si="47"/>
        <v>-</v>
      </c>
    </row>
    <row r="725" spans="1:15" x14ac:dyDescent="0.3">
      <c r="A725" s="4" t="s">
        <v>234</v>
      </c>
      <c r="B725" s="3">
        <v>810014675428</v>
      </c>
      <c r="C725" s="2" t="s">
        <v>1676</v>
      </c>
      <c r="D725" s="30">
        <v>0.13</v>
      </c>
      <c r="E725" s="20">
        <v>24.36</v>
      </c>
      <c r="F725" s="27"/>
      <c r="G725" s="23">
        <f t="shared" si="44"/>
        <v>0</v>
      </c>
      <c r="J725" s="39" t="str">
        <f>IFERROR(IF($J$2*D725=0, "-", $J$2*D725), "-")</f>
        <v>-</v>
      </c>
      <c r="K725" s="39" t="str">
        <f t="shared" si="45"/>
        <v>-</v>
      </c>
      <c r="L725" s="40" t="str">
        <f>IF(F725&gt;0,F725*D725, "-")</f>
        <v>-</v>
      </c>
      <c r="M725" s="41" t="str">
        <f t="shared" si="46"/>
        <v>-</v>
      </c>
      <c r="O725" s="41" t="str">
        <f t="shared" si="47"/>
        <v>-</v>
      </c>
    </row>
    <row r="726" spans="1:15" x14ac:dyDescent="0.3">
      <c r="A726" s="4" t="s">
        <v>554</v>
      </c>
      <c r="B726" s="3">
        <v>810014672205</v>
      </c>
      <c r="C726" s="2" t="s">
        <v>1677</v>
      </c>
      <c r="D726" s="30">
        <v>1.1499999999999999</v>
      </c>
      <c r="E726" s="20">
        <v>24.740624999999998</v>
      </c>
      <c r="F726" s="27"/>
      <c r="G726" s="23">
        <f t="shared" si="44"/>
        <v>0</v>
      </c>
      <c r="J726" s="39" t="str">
        <f>IFERROR(IF($J$2*D726=0, "-", $J$2*D726), "-")</f>
        <v>-</v>
      </c>
      <c r="K726" s="39" t="str">
        <f t="shared" si="45"/>
        <v>-</v>
      </c>
      <c r="L726" s="40" t="str">
        <f>IF(F726&gt;0,F726*D726, "-")</f>
        <v>-</v>
      </c>
      <c r="M726" s="41" t="str">
        <f t="shared" si="46"/>
        <v>-</v>
      </c>
      <c r="O726" s="41" t="str">
        <f t="shared" si="47"/>
        <v>-</v>
      </c>
    </row>
    <row r="727" spans="1:15" x14ac:dyDescent="0.3">
      <c r="A727" s="4" t="s">
        <v>620</v>
      </c>
      <c r="B727" s="3">
        <v>810014672892</v>
      </c>
      <c r="C727" s="2" t="s">
        <v>1678</v>
      </c>
      <c r="D727" s="30">
        <v>1.1399999999999999</v>
      </c>
      <c r="E727" s="20">
        <v>24.740624999999998</v>
      </c>
      <c r="F727" s="27"/>
      <c r="G727" s="23">
        <f t="shared" si="44"/>
        <v>0</v>
      </c>
      <c r="J727" s="39" t="str">
        <f>IFERROR(IF($J$2*D727=0, "-", $J$2*D727), "-")</f>
        <v>-</v>
      </c>
      <c r="K727" s="39" t="str">
        <f t="shared" si="45"/>
        <v>-</v>
      </c>
      <c r="L727" s="40" t="str">
        <f>IF(F727&gt;0,F727*D727, "-")</f>
        <v>-</v>
      </c>
      <c r="M727" s="41" t="str">
        <f t="shared" si="46"/>
        <v>-</v>
      </c>
      <c r="O727" s="41" t="str">
        <f t="shared" si="47"/>
        <v>-</v>
      </c>
    </row>
    <row r="728" spans="1:15" x14ac:dyDescent="0.3">
      <c r="A728" s="4" t="s">
        <v>529</v>
      </c>
      <c r="B728" s="3">
        <v>810014672489</v>
      </c>
      <c r="C728" s="2" t="s">
        <v>1679</v>
      </c>
      <c r="D728" s="30">
        <v>2.7</v>
      </c>
      <c r="E728" s="20">
        <v>25.12125</v>
      </c>
      <c r="F728" s="27"/>
      <c r="G728" s="23">
        <f t="shared" si="44"/>
        <v>0</v>
      </c>
      <c r="J728" s="39" t="str">
        <f>IFERROR(IF($J$2*D728=0, "-", $J$2*D728), "-")</f>
        <v>-</v>
      </c>
      <c r="K728" s="39" t="str">
        <f t="shared" si="45"/>
        <v>-</v>
      </c>
      <c r="L728" s="40" t="str">
        <f>IF(F728&gt;0,F728*D728, "-")</f>
        <v>-</v>
      </c>
      <c r="M728" s="41" t="str">
        <f t="shared" si="46"/>
        <v>-</v>
      </c>
      <c r="O728" s="41" t="str">
        <f t="shared" si="47"/>
        <v>-</v>
      </c>
    </row>
    <row r="729" spans="1:15" x14ac:dyDescent="0.3">
      <c r="A729" s="4" t="s">
        <v>1680</v>
      </c>
      <c r="B729" s="3">
        <v>810139576846</v>
      </c>
      <c r="C729" s="2" t="s">
        <v>1681</v>
      </c>
      <c r="D729" s="30">
        <v>1.1599999999999999</v>
      </c>
      <c r="E729" s="20">
        <v>25.12125</v>
      </c>
      <c r="F729" s="27"/>
      <c r="G729" s="23">
        <f t="shared" si="44"/>
        <v>0</v>
      </c>
      <c r="J729" s="39" t="str">
        <f>IFERROR(IF($J$2*D729=0, "-", $J$2*D729), "-")</f>
        <v>-</v>
      </c>
      <c r="K729" s="39" t="str">
        <f t="shared" si="45"/>
        <v>-</v>
      </c>
      <c r="L729" s="40" t="str">
        <f>IF(F729&gt;0,F729*D729, "-")</f>
        <v>-</v>
      </c>
      <c r="M729" s="41" t="str">
        <f t="shared" si="46"/>
        <v>-</v>
      </c>
      <c r="O729" s="41" t="str">
        <f t="shared" si="47"/>
        <v>-</v>
      </c>
    </row>
    <row r="730" spans="1:15" x14ac:dyDescent="0.3">
      <c r="A730" s="4" t="s">
        <v>468</v>
      </c>
      <c r="B730" s="3">
        <v>810014670171</v>
      </c>
      <c r="C730" s="2" t="s">
        <v>1682</v>
      </c>
      <c r="D730" s="30">
        <v>0.62</v>
      </c>
      <c r="E730" s="20">
        <v>25.12125</v>
      </c>
      <c r="F730" s="27"/>
      <c r="G730" s="23">
        <f t="shared" si="44"/>
        <v>0</v>
      </c>
      <c r="J730" s="39" t="str">
        <f>IFERROR(IF($J$2*D730=0, "-", $J$2*D730), "-")</f>
        <v>-</v>
      </c>
      <c r="K730" s="39" t="str">
        <f t="shared" si="45"/>
        <v>-</v>
      </c>
      <c r="L730" s="40" t="str">
        <f>IF(F730&gt;0,F730*D730, "-")</f>
        <v>-</v>
      </c>
      <c r="M730" s="41" t="str">
        <f t="shared" si="46"/>
        <v>-</v>
      </c>
      <c r="O730" s="41" t="str">
        <f t="shared" si="47"/>
        <v>-</v>
      </c>
    </row>
    <row r="731" spans="1:15" x14ac:dyDescent="0.3">
      <c r="A731" s="4" t="s">
        <v>467</v>
      </c>
      <c r="B731" s="3">
        <v>810139571322</v>
      </c>
      <c r="C731" s="2" t="s">
        <v>1683</v>
      </c>
      <c r="D731" s="30">
        <v>0.62</v>
      </c>
      <c r="E731" s="20">
        <v>25.12125</v>
      </c>
      <c r="F731" s="27"/>
      <c r="G731" s="23">
        <f t="shared" si="44"/>
        <v>0</v>
      </c>
      <c r="J731" s="39" t="str">
        <f>IFERROR(IF($J$2*D731=0, "-", $J$2*D731), "-")</f>
        <v>-</v>
      </c>
      <c r="K731" s="39" t="str">
        <f t="shared" si="45"/>
        <v>-</v>
      </c>
      <c r="L731" s="40" t="str">
        <f>IF(F731&gt;0,F731*D731, "-")</f>
        <v>-</v>
      </c>
      <c r="M731" s="41" t="str">
        <f t="shared" si="46"/>
        <v>-</v>
      </c>
      <c r="O731" s="41" t="str">
        <f t="shared" si="47"/>
        <v>-</v>
      </c>
    </row>
    <row r="732" spans="1:15" x14ac:dyDescent="0.3">
      <c r="A732" s="4" t="s">
        <v>465</v>
      </c>
      <c r="B732" s="3">
        <v>810014675503</v>
      </c>
      <c r="C732" s="2" t="s">
        <v>1684</v>
      </c>
      <c r="D732" s="30">
        <v>0.62</v>
      </c>
      <c r="E732" s="20">
        <v>25.12125</v>
      </c>
      <c r="F732" s="27"/>
      <c r="G732" s="23">
        <f t="shared" si="44"/>
        <v>0</v>
      </c>
      <c r="J732" s="39" t="str">
        <f>IFERROR(IF($J$2*D732=0, "-", $J$2*D732), "-")</f>
        <v>-</v>
      </c>
      <c r="K732" s="39" t="str">
        <f t="shared" si="45"/>
        <v>-</v>
      </c>
      <c r="L732" s="40" t="str">
        <f>IF(F732&gt;0,F732*D732, "-")</f>
        <v>-</v>
      </c>
      <c r="M732" s="41" t="str">
        <f t="shared" si="46"/>
        <v>-</v>
      </c>
      <c r="O732" s="41" t="str">
        <f t="shared" si="47"/>
        <v>-</v>
      </c>
    </row>
    <row r="733" spans="1:15" x14ac:dyDescent="0.3">
      <c r="A733" s="4" t="s">
        <v>1685</v>
      </c>
      <c r="B733" s="3">
        <v>810139571964</v>
      </c>
      <c r="C733" s="2" t="s">
        <v>1686</v>
      </c>
      <c r="D733" s="30">
        <v>0.48</v>
      </c>
      <c r="E733" s="20">
        <v>25.12125</v>
      </c>
      <c r="F733" s="27"/>
      <c r="G733" s="23">
        <f t="shared" si="44"/>
        <v>0</v>
      </c>
      <c r="J733" s="39" t="str">
        <f>IFERROR(IF($J$2*D733=0, "-", $J$2*D733), "-")</f>
        <v>-</v>
      </c>
      <c r="K733" s="39" t="str">
        <f t="shared" si="45"/>
        <v>-</v>
      </c>
      <c r="L733" s="40" t="str">
        <f>IF(F733&gt;0,F733*D733, "-")</f>
        <v>-</v>
      </c>
      <c r="M733" s="41" t="str">
        <f t="shared" si="46"/>
        <v>-</v>
      </c>
      <c r="O733" s="41" t="str">
        <f t="shared" si="47"/>
        <v>-</v>
      </c>
    </row>
    <row r="734" spans="1:15" x14ac:dyDescent="0.3">
      <c r="A734" s="4" t="s">
        <v>1687</v>
      </c>
      <c r="B734" s="3">
        <v>810139571933</v>
      </c>
      <c r="C734" s="2" t="s">
        <v>1688</v>
      </c>
      <c r="D734" s="30">
        <v>0.41</v>
      </c>
      <c r="E734" s="20">
        <v>25.12125</v>
      </c>
      <c r="F734" s="27"/>
      <c r="G734" s="23">
        <f t="shared" si="44"/>
        <v>0</v>
      </c>
      <c r="J734" s="39" t="str">
        <f>IFERROR(IF($J$2*D734=0, "-", $J$2*D734), "-")</f>
        <v>-</v>
      </c>
      <c r="K734" s="39" t="str">
        <f t="shared" si="45"/>
        <v>-</v>
      </c>
      <c r="L734" s="40" t="str">
        <f>IF(F734&gt;0,F734*D734, "-")</f>
        <v>-</v>
      </c>
      <c r="M734" s="41" t="str">
        <f t="shared" si="46"/>
        <v>-</v>
      </c>
      <c r="O734" s="41" t="str">
        <f t="shared" si="47"/>
        <v>-</v>
      </c>
    </row>
    <row r="735" spans="1:15" x14ac:dyDescent="0.3">
      <c r="A735" s="4" t="s">
        <v>1689</v>
      </c>
      <c r="B735" s="3">
        <v>810139571940</v>
      </c>
      <c r="C735" s="2" t="s">
        <v>1690</v>
      </c>
      <c r="D735" s="30">
        <v>0.43</v>
      </c>
      <c r="E735" s="20">
        <v>25.12125</v>
      </c>
      <c r="F735" s="27"/>
      <c r="G735" s="23">
        <f t="shared" si="44"/>
        <v>0</v>
      </c>
      <c r="J735" s="39" t="str">
        <f>IFERROR(IF($J$2*D735=0, "-", $J$2*D735), "-")</f>
        <v>-</v>
      </c>
      <c r="K735" s="39" t="str">
        <f t="shared" si="45"/>
        <v>-</v>
      </c>
      <c r="L735" s="40" t="str">
        <f>IF(F735&gt;0,F735*D735, "-")</f>
        <v>-</v>
      </c>
      <c r="M735" s="41" t="str">
        <f t="shared" si="46"/>
        <v>-</v>
      </c>
      <c r="O735" s="41" t="str">
        <f t="shared" si="47"/>
        <v>-</v>
      </c>
    </row>
    <row r="736" spans="1:15" x14ac:dyDescent="0.3">
      <c r="A736" s="4" t="s">
        <v>1691</v>
      </c>
      <c r="B736" s="3">
        <v>810139571971</v>
      </c>
      <c r="C736" s="2" t="s">
        <v>1692</v>
      </c>
      <c r="D736" s="30">
        <v>0.42</v>
      </c>
      <c r="E736" s="20">
        <v>25.12125</v>
      </c>
      <c r="F736" s="27"/>
      <c r="G736" s="23">
        <f t="shared" si="44"/>
        <v>0</v>
      </c>
      <c r="J736" s="39" t="str">
        <f>IFERROR(IF($J$2*D736=0, "-", $J$2*D736), "-")</f>
        <v>-</v>
      </c>
      <c r="K736" s="39" t="str">
        <f t="shared" si="45"/>
        <v>-</v>
      </c>
      <c r="L736" s="40" t="str">
        <f>IF(F736&gt;0,F736*D736, "-")</f>
        <v>-</v>
      </c>
      <c r="M736" s="41" t="str">
        <f t="shared" si="46"/>
        <v>-</v>
      </c>
      <c r="O736" s="41" t="str">
        <f t="shared" si="47"/>
        <v>-</v>
      </c>
    </row>
    <row r="737" spans="1:15" x14ac:dyDescent="0.3">
      <c r="A737" s="4" t="s">
        <v>1693</v>
      </c>
      <c r="B737" s="3">
        <v>810139571957</v>
      </c>
      <c r="C737" s="2" t="s">
        <v>1694</v>
      </c>
      <c r="D737" s="30">
        <v>0.42</v>
      </c>
      <c r="E737" s="20">
        <v>25.12125</v>
      </c>
      <c r="F737" s="27"/>
      <c r="G737" s="23">
        <f t="shared" si="44"/>
        <v>0</v>
      </c>
      <c r="J737" s="39" t="str">
        <f>IFERROR(IF($J$2*D737=0, "-", $J$2*D737), "-")</f>
        <v>-</v>
      </c>
      <c r="K737" s="39" t="str">
        <f t="shared" si="45"/>
        <v>-</v>
      </c>
      <c r="L737" s="40" t="str">
        <f>IF(F737&gt;0,F737*D737, "-")</f>
        <v>-</v>
      </c>
      <c r="M737" s="41" t="str">
        <f t="shared" si="46"/>
        <v>-</v>
      </c>
      <c r="O737" s="41" t="str">
        <f t="shared" si="47"/>
        <v>-</v>
      </c>
    </row>
    <row r="738" spans="1:15" x14ac:dyDescent="0.3">
      <c r="A738" s="4" t="s">
        <v>1695</v>
      </c>
      <c r="B738" s="3">
        <v>810139571353</v>
      </c>
      <c r="C738" s="2" t="s">
        <v>1696</v>
      </c>
      <c r="D738" s="30">
        <v>0.43</v>
      </c>
      <c r="E738" s="20">
        <v>25.12125</v>
      </c>
      <c r="F738" s="27"/>
      <c r="G738" s="23">
        <f t="shared" si="44"/>
        <v>0</v>
      </c>
      <c r="J738" s="39" t="str">
        <f>IFERROR(IF($J$2*D738=0, "-", $J$2*D738), "-")</f>
        <v>-</v>
      </c>
      <c r="K738" s="39" t="str">
        <f t="shared" si="45"/>
        <v>-</v>
      </c>
      <c r="L738" s="40" t="str">
        <f>IF(F738&gt;0,F738*D738, "-")</f>
        <v>-</v>
      </c>
      <c r="M738" s="41" t="str">
        <f t="shared" si="46"/>
        <v>-</v>
      </c>
      <c r="O738" s="41" t="str">
        <f t="shared" si="47"/>
        <v>-</v>
      </c>
    </row>
    <row r="739" spans="1:15" x14ac:dyDescent="0.3">
      <c r="A739" s="4" t="s">
        <v>365</v>
      </c>
      <c r="B739" s="3">
        <v>810139573104</v>
      </c>
      <c r="C739" s="2" t="s">
        <v>1699</v>
      </c>
      <c r="D739" s="30">
        <v>0.35</v>
      </c>
      <c r="E739" s="20">
        <v>25.12125</v>
      </c>
      <c r="F739" s="27"/>
      <c r="G739" s="23">
        <f t="shared" si="44"/>
        <v>0</v>
      </c>
      <c r="J739" s="39" t="str">
        <f>IFERROR(IF($J$2*D739=0, "-", $J$2*D739), "-")</f>
        <v>-</v>
      </c>
      <c r="K739" s="39" t="str">
        <f t="shared" si="45"/>
        <v>-</v>
      </c>
      <c r="L739" s="40" t="str">
        <f>IF(F739&gt;0,F739*D739, "-")</f>
        <v>-</v>
      </c>
      <c r="M739" s="41" t="str">
        <f t="shared" si="46"/>
        <v>-</v>
      </c>
      <c r="O739" s="41" t="str">
        <f t="shared" si="47"/>
        <v>-</v>
      </c>
    </row>
    <row r="740" spans="1:15" x14ac:dyDescent="0.3">
      <c r="A740" s="4" t="s">
        <v>1700</v>
      </c>
      <c r="B740" s="3">
        <v>810139576761</v>
      </c>
      <c r="C740" s="2" t="s">
        <v>1701</v>
      </c>
      <c r="D740" s="30">
        <v>0.17</v>
      </c>
      <c r="E740" s="20">
        <v>25.12125</v>
      </c>
      <c r="F740" s="27"/>
      <c r="G740" s="23">
        <f t="shared" si="44"/>
        <v>0</v>
      </c>
      <c r="J740" s="39" t="str">
        <f>IFERROR(IF($J$2*D740=0, "-", $J$2*D740), "-")</f>
        <v>-</v>
      </c>
      <c r="K740" s="39" t="str">
        <f t="shared" si="45"/>
        <v>-</v>
      </c>
      <c r="L740" s="40" t="str">
        <f>IF(F740&gt;0,F740*D740, "-")</f>
        <v>-</v>
      </c>
      <c r="M740" s="41" t="str">
        <f t="shared" si="46"/>
        <v>-</v>
      </c>
      <c r="O740" s="41" t="str">
        <f t="shared" si="47"/>
        <v>-</v>
      </c>
    </row>
    <row r="741" spans="1:15" x14ac:dyDescent="0.3">
      <c r="A741" s="4" t="s">
        <v>1702</v>
      </c>
      <c r="B741" s="3">
        <v>810139570097</v>
      </c>
      <c r="C741" s="2" t="s">
        <v>1703</v>
      </c>
      <c r="D741" s="30">
        <v>0.66</v>
      </c>
      <c r="E741" s="20">
        <v>25.501875000000002</v>
      </c>
      <c r="F741" s="27"/>
      <c r="G741" s="23">
        <f t="shared" si="44"/>
        <v>0</v>
      </c>
      <c r="J741" s="39" t="str">
        <f>IFERROR(IF($J$2*D741=0, "-", $J$2*D741), "-")</f>
        <v>-</v>
      </c>
      <c r="K741" s="39" t="str">
        <f t="shared" si="45"/>
        <v>-</v>
      </c>
      <c r="L741" s="40" t="str">
        <f>IF(F741&gt;0,F741*D741, "-")</f>
        <v>-</v>
      </c>
      <c r="M741" s="41" t="str">
        <f t="shared" si="46"/>
        <v>-</v>
      </c>
      <c r="O741" s="41" t="str">
        <f t="shared" si="47"/>
        <v>-</v>
      </c>
    </row>
    <row r="742" spans="1:15" x14ac:dyDescent="0.3">
      <c r="A742" s="4" t="s">
        <v>387</v>
      </c>
      <c r="B742" s="3">
        <v>810014678979</v>
      </c>
      <c r="C742" s="2" t="s">
        <v>1704</v>
      </c>
      <c r="D742" s="30">
        <v>0.66</v>
      </c>
      <c r="E742" s="20">
        <v>25.501875000000002</v>
      </c>
      <c r="F742" s="27"/>
      <c r="G742" s="23">
        <f t="shared" si="44"/>
        <v>0</v>
      </c>
      <c r="J742" s="39" t="str">
        <f>IFERROR(IF($J$2*D742=0, "-", $J$2*D742), "-")</f>
        <v>-</v>
      </c>
      <c r="K742" s="39" t="str">
        <f t="shared" si="45"/>
        <v>-</v>
      </c>
      <c r="L742" s="40" t="str">
        <f>IF(F742&gt;0,F742*D742, "-")</f>
        <v>-</v>
      </c>
      <c r="M742" s="41" t="str">
        <f t="shared" si="46"/>
        <v>-</v>
      </c>
      <c r="O742" s="41" t="str">
        <f t="shared" si="47"/>
        <v>-</v>
      </c>
    </row>
    <row r="743" spans="1:15" x14ac:dyDescent="0.3">
      <c r="A743" s="4" t="s">
        <v>388</v>
      </c>
      <c r="B743" s="3">
        <v>810014675237</v>
      </c>
      <c r="C743" s="2" t="s">
        <v>1705</v>
      </c>
      <c r="D743" s="30">
        <v>0.68</v>
      </c>
      <c r="E743" s="20">
        <v>25.501875000000002</v>
      </c>
      <c r="F743" s="27"/>
      <c r="G743" s="23">
        <f t="shared" si="44"/>
        <v>0</v>
      </c>
      <c r="J743" s="39" t="str">
        <f>IFERROR(IF($J$2*D743=0, "-", $J$2*D743), "-")</f>
        <v>-</v>
      </c>
      <c r="K743" s="39" t="str">
        <f t="shared" si="45"/>
        <v>-</v>
      </c>
      <c r="L743" s="40" t="str">
        <f>IF(F743&gt;0,F743*D743, "-")</f>
        <v>-</v>
      </c>
      <c r="M743" s="41" t="str">
        <f t="shared" si="46"/>
        <v>-</v>
      </c>
      <c r="O743" s="41" t="str">
        <f t="shared" si="47"/>
        <v>-</v>
      </c>
    </row>
    <row r="744" spans="1:15" x14ac:dyDescent="0.3">
      <c r="A744" s="4" t="s">
        <v>390</v>
      </c>
      <c r="B744" s="3">
        <v>810014678986</v>
      </c>
      <c r="C744" s="2" t="s">
        <v>1706</v>
      </c>
      <c r="D744" s="30">
        <v>0.57999999999999996</v>
      </c>
      <c r="E744" s="20">
        <v>25.501875000000002</v>
      </c>
      <c r="F744" s="27"/>
      <c r="G744" s="23">
        <f t="shared" si="44"/>
        <v>0</v>
      </c>
      <c r="J744" s="39" t="str">
        <f>IFERROR(IF($J$2*D744=0, "-", $J$2*D744), "-")</f>
        <v>-</v>
      </c>
      <c r="K744" s="39" t="str">
        <f t="shared" si="45"/>
        <v>-</v>
      </c>
      <c r="L744" s="40" t="str">
        <f>IF(F744&gt;0,F744*D744, "-")</f>
        <v>-</v>
      </c>
      <c r="M744" s="41" t="str">
        <f t="shared" si="46"/>
        <v>-</v>
      </c>
      <c r="O744" s="41" t="str">
        <f t="shared" si="47"/>
        <v>-</v>
      </c>
    </row>
    <row r="745" spans="1:15" x14ac:dyDescent="0.3">
      <c r="A745" s="4" t="s">
        <v>389</v>
      </c>
      <c r="B745" s="3">
        <v>810014675220</v>
      </c>
      <c r="C745" s="2" t="s">
        <v>1707</v>
      </c>
      <c r="D745" s="30">
        <v>0.67</v>
      </c>
      <c r="E745" s="20">
        <v>25.501875000000002</v>
      </c>
      <c r="F745" s="27"/>
      <c r="G745" s="23">
        <f t="shared" si="44"/>
        <v>0</v>
      </c>
      <c r="J745" s="39" t="str">
        <f>IFERROR(IF($J$2*D745=0, "-", $J$2*D745), "-")</f>
        <v>-</v>
      </c>
      <c r="K745" s="39" t="str">
        <f t="shared" si="45"/>
        <v>-</v>
      </c>
      <c r="L745" s="40" t="str">
        <f>IF(F745&gt;0,F745*D745, "-")</f>
        <v>-</v>
      </c>
      <c r="M745" s="41" t="str">
        <f t="shared" si="46"/>
        <v>-</v>
      </c>
      <c r="O745" s="41" t="str">
        <f t="shared" si="47"/>
        <v>-</v>
      </c>
    </row>
    <row r="746" spans="1:15" x14ac:dyDescent="0.3">
      <c r="A746" s="4" t="s">
        <v>585</v>
      </c>
      <c r="B746" s="3">
        <v>810014675923</v>
      </c>
      <c r="C746" s="2" t="s">
        <v>1708</v>
      </c>
      <c r="D746" s="30">
        <v>7.0000000000000007E-2</v>
      </c>
      <c r="E746" s="20">
        <v>25.501875000000002</v>
      </c>
      <c r="F746" s="27"/>
      <c r="G746" s="23">
        <f t="shared" si="44"/>
        <v>0</v>
      </c>
      <c r="J746" s="39" t="str">
        <f>IFERROR(IF($J$2*D746=0, "-", $J$2*D746), "-")</f>
        <v>-</v>
      </c>
      <c r="K746" s="39" t="str">
        <f t="shared" si="45"/>
        <v>-</v>
      </c>
      <c r="L746" s="40" t="str">
        <f>IF(F746&gt;0,F746*D746, "-")</f>
        <v>-</v>
      </c>
      <c r="M746" s="41" t="str">
        <f t="shared" si="46"/>
        <v>-</v>
      </c>
      <c r="O746" s="41" t="str">
        <f t="shared" si="47"/>
        <v>-</v>
      </c>
    </row>
    <row r="747" spans="1:15" x14ac:dyDescent="0.3">
      <c r="A747" s="4" t="s">
        <v>426</v>
      </c>
      <c r="B747" s="3">
        <v>810014673967</v>
      </c>
      <c r="C747" s="2" t="s">
        <v>1709</v>
      </c>
      <c r="D747" s="30">
        <v>0.09</v>
      </c>
      <c r="E747" s="20">
        <v>25.501875000000002</v>
      </c>
      <c r="F747" s="27"/>
      <c r="G747" s="23">
        <f t="shared" si="44"/>
        <v>0</v>
      </c>
      <c r="J747" s="39" t="str">
        <f>IFERROR(IF($J$2*D747=0, "-", $J$2*D747), "-")</f>
        <v>-</v>
      </c>
      <c r="K747" s="39" t="str">
        <f t="shared" si="45"/>
        <v>-</v>
      </c>
      <c r="L747" s="40" t="str">
        <f>IF(F747&gt;0,F747*D747, "-")</f>
        <v>-</v>
      </c>
      <c r="M747" s="41" t="str">
        <f t="shared" si="46"/>
        <v>-</v>
      </c>
      <c r="O747" s="41" t="str">
        <f t="shared" si="47"/>
        <v>-</v>
      </c>
    </row>
    <row r="748" spans="1:15" x14ac:dyDescent="0.3">
      <c r="A748" s="4" t="s">
        <v>1710</v>
      </c>
      <c r="B748" s="3">
        <v>810139575191</v>
      </c>
      <c r="C748" s="2" t="s">
        <v>1711</v>
      </c>
      <c r="D748" s="30">
        <v>7.0000000000000007E-2</v>
      </c>
      <c r="E748" s="20">
        <v>25.562774999999998</v>
      </c>
      <c r="F748" s="27"/>
      <c r="G748" s="23">
        <f t="shared" si="44"/>
        <v>0</v>
      </c>
      <c r="J748" s="39" t="str">
        <f>IFERROR(IF($J$2*D748=0, "-", $J$2*D748), "-")</f>
        <v>-</v>
      </c>
      <c r="K748" s="39" t="str">
        <f t="shared" si="45"/>
        <v>-</v>
      </c>
      <c r="L748" s="40" t="str">
        <f>IF(F748&gt;0,F748*D748, "-")</f>
        <v>-</v>
      </c>
      <c r="M748" s="41" t="str">
        <f t="shared" si="46"/>
        <v>-</v>
      </c>
      <c r="O748" s="41" t="str">
        <f t="shared" si="47"/>
        <v>-</v>
      </c>
    </row>
    <row r="749" spans="1:15" x14ac:dyDescent="0.3">
      <c r="A749" s="4" t="s">
        <v>636</v>
      </c>
      <c r="B749" s="3">
        <v>810139570141</v>
      </c>
      <c r="C749" s="2" t="s">
        <v>1712</v>
      </c>
      <c r="D749" s="30">
        <v>1.26</v>
      </c>
      <c r="E749" s="20">
        <v>25.8825</v>
      </c>
      <c r="F749" s="27"/>
      <c r="G749" s="23">
        <f t="shared" si="44"/>
        <v>0</v>
      </c>
      <c r="J749" s="39" t="str">
        <f>IFERROR(IF($J$2*D749=0, "-", $J$2*D749), "-")</f>
        <v>-</v>
      </c>
      <c r="K749" s="39" t="str">
        <f t="shared" si="45"/>
        <v>-</v>
      </c>
      <c r="L749" s="40" t="str">
        <f>IF(F749&gt;0,F749*D749, "-")</f>
        <v>-</v>
      </c>
      <c r="M749" s="41" t="str">
        <f t="shared" si="46"/>
        <v>-</v>
      </c>
      <c r="O749" s="41" t="str">
        <f t="shared" si="47"/>
        <v>-</v>
      </c>
    </row>
    <row r="750" spans="1:15" x14ac:dyDescent="0.3">
      <c r="A750" s="4" t="s">
        <v>1713</v>
      </c>
      <c r="B750" s="3">
        <v>810139574477</v>
      </c>
      <c r="C750" s="2" t="s">
        <v>1714</v>
      </c>
      <c r="D750" s="30">
        <v>0.85</v>
      </c>
      <c r="E750" s="20">
        <v>25.8825</v>
      </c>
      <c r="F750" s="27"/>
      <c r="G750" s="23">
        <f t="shared" si="44"/>
        <v>0</v>
      </c>
      <c r="J750" s="39" t="str">
        <f>IFERROR(IF($J$2*D750=0, "-", $J$2*D750), "-")</f>
        <v>-</v>
      </c>
      <c r="K750" s="39" t="str">
        <f t="shared" si="45"/>
        <v>-</v>
      </c>
      <c r="L750" s="40" t="str">
        <f>IF(F750&gt;0,F750*D750, "-")</f>
        <v>-</v>
      </c>
      <c r="M750" s="41" t="str">
        <f t="shared" si="46"/>
        <v>-</v>
      </c>
      <c r="O750" s="41" t="str">
        <f t="shared" si="47"/>
        <v>-</v>
      </c>
    </row>
    <row r="751" spans="1:15" x14ac:dyDescent="0.3">
      <c r="A751" s="4" t="s">
        <v>531</v>
      </c>
      <c r="B751" s="3">
        <v>810014679921</v>
      </c>
      <c r="C751" s="2" t="s">
        <v>1715</v>
      </c>
      <c r="D751" s="30">
        <v>0.88</v>
      </c>
      <c r="E751" s="20">
        <v>25.8825</v>
      </c>
      <c r="F751" s="27"/>
      <c r="G751" s="23">
        <f t="shared" si="44"/>
        <v>0</v>
      </c>
      <c r="J751" s="39" t="str">
        <f>IFERROR(IF($J$2*D751=0, "-", $J$2*D751), "-")</f>
        <v>-</v>
      </c>
      <c r="K751" s="39" t="str">
        <f t="shared" si="45"/>
        <v>-</v>
      </c>
      <c r="L751" s="40" t="str">
        <f>IF(F751&gt;0,F751*D751, "-")</f>
        <v>-</v>
      </c>
      <c r="M751" s="41" t="str">
        <f t="shared" si="46"/>
        <v>-</v>
      </c>
      <c r="O751" s="41" t="str">
        <f t="shared" si="47"/>
        <v>-</v>
      </c>
    </row>
    <row r="752" spans="1:15" x14ac:dyDescent="0.3">
      <c r="A752" s="4" t="s">
        <v>77</v>
      </c>
      <c r="B752" s="3">
        <v>810139571506</v>
      </c>
      <c r="C752" s="2" t="s">
        <v>1716</v>
      </c>
      <c r="D752" s="30">
        <v>0.71</v>
      </c>
      <c r="E752" s="20">
        <v>25.8825</v>
      </c>
      <c r="F752" s="27"/>
      <c r="G752" s="23">
        <f t="shared" si="44"/>
        <v>0</v>
      </c>
      <c r="J752" s="39" t="str">
        <f>IFERROR(IF($J$2*D752=0, "-", $J$2*D752), "-")</f>
        <v>-</v>
      </c>
      <c r="K752" s="39" t="str">
        <f t="shared" si="45"/>
        <v>-</v>
      </c>
      <c r="L752" s="40" t="str">
        <f>IF(F752&gt;0,F752*D752, "-")</f>
        <v>-</v>
      </c>
      <c r="M752" s="41" t="str">
        <f t="shared" si="46"/>
        <v>-</v>
      </c>
      <c r="O752" s="41" t="str">
        <f t="shared" si="47"/>
        <v>-</v>
      </c>
    </row>
    <row r="753" spans="1:15" x14ac:dyDescent="0.3">
      <c r="A753" s="4" t="s">
        <v>1717</v>
      </c>
      <c r="B753" s="3">
        <v>810139574620</v>
      </c>
      <c r="C753" s="2" t="s">
        <v>1718</v>
      </c>
      <c r="D753" s="30">
        <v>0.62</v>
      </c>
      <c r="E753" s="20">
        <v>25.8825</v>
      </c>
      <c r="F753" s="27"/>
      <c r="G753" s="23">
        <f t="shared" si="44"/>
        <v>0</v>
      </c>
      <c r="J753" s="39" t="str">
        <f>IFERROR(IF($J$2*D753=0, "-", $J$2*D753), "-")</f>
        <v>-</v>
      </c>
      <c r="K753" s="39" t="str">
        <f t="shared" si="45"/>
        <v>-</v>
      </c>
      <c r="L753" s="40" t="str">
        <f>IF(F753&gt;0,F753*D753, "-")</f>
        <v>-</v>
      </c>
      <c r="M753" s="41" t="str">
        <f t="shared" si="46"/>
        <v>-</v>
      </c>
      <c r="O753" s="41" t="str">
        <f t="shared" si="47"/>
        <v>-</v>
      </c>
    </row>
    <row r="754" spans="1:15" x14ac:dyDescent="0.3">
      <c r="A754" s="4" t="s">
        <v>1719</v>
      </c>
      <c r="B754" s="3">
        <v>810139574606</v>
      </c>
      <c r="C754" s="2" t="s">
        <v>1720</v>
      </c>
      <c r="D754" s="30">
        <v>0.63</v>
      </c>
      <c r="E754" s="20">
        <v>25.8825</v>
      </c>
      <c r="F754" s="27"/>
      <c r="G754" s="23">
        <f t="shared" si="44"/>
        <v>0</v>
      </c>
      <c r="J754" s="39" t="str">
        <f>IFERROR(IF($J$2*D754=0, "-", $J$2*D754), "-")</f>
        <v>-</v>
      </c>
      <c r="K754" s="39" t="str">
        <f t="shared" si="45"/>
        <v>-</v>
      </c>
      <c r="L754" s="40" t="str">
        <f>IF(F754&gt;0,F754*D754, "-")</f>
        <v>-</v>
      </c>
      <c r="M754" s="41" t="str">
        <f t="shared" si="46"/>
        <v>-</v>
      </c>
      <c r="O754" s="41" t="str">
        <f t="shared" si="47"/>
        <v>-</v>
      </c>
    </row>
    <row r="755" spans="1:15" x14ac:dyDescent="0.3">
      <c r="A755" s="4" t="s">
        <v>1721</v>
      </c>
      <c r="B755" s="3">
        <v>810139575856</v>
      </c>
      <c r="C755" s="2" t="s">
        <v>1722</v>
      </c>
      <c r="D755" s="30">
        <v>0.69</v>
      </c>
      <c r="E755" s="20">
        <v>25.8825</v>
      </c>
      <c r="F755" s="27"/>
      <c r="G755" s="23">
        <f t="shared" si="44"/>
        <v>0</v>
      </c>
      <c r="J755" s="39" t="str">
        <f>IFERROR(IF($J$2*D755=0, "-", $J$2*D755), "-")</f>
        <v>-</v>
      </c>
      <c r="K755" s="39" t="str">
        <f t="shared" si="45"/>
        <v>-</v>
      </c>
      <c r="L755" s="40" t="str">
        <f>IF(F755&gt;0,F755*D755, "-")</f>
        <v>-</v>
      </c>
      <c r="M755" s="41" t="str">
        <f t="shared" si="46"/>
        <v>-</v>
      </c>
      <c r="O755" s="41" t="str">
        <f t="shared" si="47"/>
        <v>-</v>
      </c>
    </row>
    <row r="756" spans="1:15" x14ac:dyDescent="0.3">
      <c r="A756" s="4" t="s">
        <v>515</v>
      </c>
      <c r="B756" s="3">
        <v>810139572336</v>
      </c>
      <c r="C756" s="2" t="s">
        <v>1723</v>
      </c>
      <c r="D756" s="30">
        <v>0.68</v>
      </c>
      <c r="E756" s="20">
        <v>25.8825</v>
      </c>
      <c r="F756" s="27"/>
      <c r="G756" s="23">
        <f t="shared" si="44"/>
        <v>0</v>
      </c>
      <c r="J756" s="39" t="str">
        <f>IFERROR(IF($J$2*D756=0, "-", $J$2*D756), "-")</f>
        <v>-</v>
      </c>
      <c r="K756" s="39" t="str">
        <f t="shared" si="45"/>
        <v>-</v>
      </c>
      <c r="L756" s="40" t="str">
        <f>IF(F756&gt;0,F756*D756, "-")</f>
        <v>-</v>
      </c>
      <c r="M756" s="41" t="str">
        <f t="shared" si="46"/>
        <v>-</v>
      </c>
      <c r="O756" s="41" t="str">
        <f t="shared" si="47"/>
        <v>-</v>
      </c>
    </row>
    <row r="757" spans="1:15" x14ac:dyDescent="0.3">
      <c r="A757" s="4" t="s">
        <v>289</v>
      </c>
      <c r="B757" s="3">
        <v>810014670621</v>
      </c>
      <c r="C757" s="2" t="s">
        <v>1724</v>
      </c>
      <c r="D757" s="30">
        <v>0.66</v>
      </c>
      <c r="E757" s="20">
        <v>25.8825</v>
      </c>
      <c r="F757" s="27"/>
      <c r="G757" s="23">
        <f t="shared" si="44"/>
        <v>0</v>
      </c>
      <c r="J757" s="39" t="str">
        <f>IFERROR(IF($J$2*D757=0, "-", $J$2*D757), "-")</f>
        <v>-</v>
      </c>
      <c r="K757" s="39" t="str">
        <f t="shared" si="45"/>
        <v>-</v>
      </c>
      <c r="L757" s="40" t="str">
        <f>IF(F757&gt;0,F757*D757, "-")</f>
        <v>-</v>
      </c>
      <c r="M757" s="41" t="str">
        <f t="shared" si="46"/>
        <v>-</v>
      </c>
      <c r="O757" s="41" t="str">
        <f t="shared" si="47"/>
        <v>-</v>
      </c>
    </row>
    <row r="758" spans="1:15" x14ac:dyDescent="0.3">
      <c r="A758" s="4" t="s">
        <v>288</v>
      </c>
      <c r="B758" s="3">
        <v>810014671123</v>
      </c>
      <c r="C758" s="2" t="s">
        <v>1725</v>
      </c>
      <c r="D758" s="30">
        <v>0.62</v>
      </c>
      <c r="E758" s="20">
        <v>25.8825</v>
      </c>
      <c r="F758" s="27"/>
      <c r="G758" s="23">
        <f t="shared" si="44"/>
        <v>0</v>
      </c>
      <c r="J758" s="39" t="str">
        <f>IFERROR(IF($J$2*D758=0, "-", $J$2*D758), "-")</f>
        <v>-</v>
      </c>
      <c r="K758" s="39" t="str">
        <f t="shared" si="45"/>
        <v>-</v>
      </c>
      <c r="L758" s="40" t="str">
        <f>IF(F758&gt;0,F758*D758, "-")</f>
        <v>-</v>
      </c>
      <c r="M758" s="41" t="str">
        <f t="shared" si="46"/>
        <v>-</v>
      </c>
      <c r="O758" s="41" t="str">
        <f t="shared" si="47"/>
        <v>-</v>
      </c>
    </row>
    <row r="759" spans="1:15" x14ac:dyDescent="0.3">
      <c r="A759" s="4" t="s">
        <v>287</v>
      </c>
      <c r="B759" s="3">
        <v>810014670591</v>
      </c>
      <c r="C759" s="2" t="s">
        <v>1726</v>
      </c>
      <c r="D759" s="30">
        <v>0.62</v>
      </c>
      <c r="E759" s="20">
        <v>25.8825</v>
      </c>
      <c r="F759" s="27"/>
      <c r="G759" s="23">
        <f t="shared" si="44"/>
        <v>0</v>
      </c>
      <c r="J759" s="39" t="str">
        <f>IFERROR(IF($J$2*D759=0, "-", $J$2*D759), "-")</f>
        <v>-</v>
      </c>
      <c r="K759" s="39" t="str">
        <f t="shared" si="45"/>
        <v>-</v>
      </c>
      <c r="L759" s="40" t="str">
        <f>IF(F759&gt;0,F759*D759, "-")</f>
        <v>-</v>
      </c>
      <c r="M759" s="41" t="str">
        <f t="shared" si="46"/>
        <v>-</v>
      </c>
      <c r="O759" s="41" t="str">
        <f t="shared" si="47"/>
        <v>-</v>
      </c>
    </row>
    <row r="760" spans="1:15" x14ac:dyDescent="0.3">
      <c r="A760" s="4" t="s">
        <v>285</v>
      </c>
      <c r="B760" s="3">
        <v>810014675039</v>
      </c>
      <c r="C760" s="2" t="s">
        <v>1727</v>
      </c>
      <c r="D760" s="30">
        <v>0.66</v>
      </c>
      <c r="E760" s="20">
        <v>25.8825</v>
      </c>
      <c r="F760" s="27"/>
      <c r="G760" s="23">
        <f t="shared" si="44"/>
        <v>0</v>
      </c>
      <c r="J760" s="39" t="str">
        <f>IFERROR(IF($J$2*D760=0, "-", $J$2*D760), "-")</f>
        <v>-</v>
      </c>
      <c r="K760" s="39" t="str">
        <f t="shared" si="45"/>
        <v>-</v>
      </c>
      <c r="L760" s="40" t="str">
        <f>IF(F760&gt;0,F760*D760, "-")</f>
        <v>-</v>
      </c>
      <c r="M760" s="41" t="str">
        <f t="shared" si="46"/>
        <v>-</v>
      </c>
      <c r="O760" s="41" t="str">
        <f t="shared" si="47"/>
        <v>-</v>
      </c>
    </row>
    <row r="761" spans="1:15" x14ac:dyDescent="0.3">
      <c r="A761" s="4" t="s">
        <v>1728</v>
      </c>
      <c r="B761" s="3">
        <v>810139575399</v>
      </c>
      <c r="C761" s="2" t="s">
        <v>1729</v>
      </c>
      <c r="D761" s="30">
        <v>0.99</v>
      </c>
      <c r="E761" s="20">
        <v>25.8825</v>
      </c>
      <c r="F761" s="27"/>
      <c r="G761" s="23">
        <f t="shared" si="44"/>
        <v>0</v>
      </c>
      <c r="J761" s="39" t="str">
        <f>IFERROR(IF($J$2*D761=0, "-", $J$2*D761), "-")</f>
        <v>-</v>
      </c>
      <c r="K761" s="39" t="str">
        <f t="shared" si="45"/>
        <v>-</v>
      </c>
      <c r="L761" s="40" t="str">
        <f>IF(F761&gt;0,F761*D761, "-")</f>
        <v>-</v>
      </c>
      <c r="M761" s="41" t="str">
        <f t="shared" si="46"/>
        <v>-</v>
      </c>
      <c r="O761" s="41" t="str">
        <f t="shared" si="47"/>
        <v>-</v>
      </c>
    </row>
    <row r="762" spans="1:15" x14ac:dyDescent="0.3">
      <c r="A762" s="4" t="s">
        <v>672</v>
      </c>
      <c r="B762" s="3">
        <v>810014672144</v>
      </c>
      <c r="C762" s="2" t="s">
        <v>1730</v>
      </c>
      <c r="D762" s="30">
        <v>0.23</v>
      </c>
      <c r="E762" s="20">
        <v>25.8825</v>
      </c>
      <c r="F762" s="27"/>
      <c r="G762" s="23">
        <f t="shared" si="44"/>
        <v>0</v>
      </c>
      <c r="J762" s="39" t="str">
        <f>IFERROR(IF($J$2*D762=0, "-", $J$2*D762), "-")</f>
        <v>-</v>
      </c>
      <c r="K762" s="39" t="str">
        <f t="shared" si="45"/>
        <v>-</v>
      </c>
      <c r="L762" s="40" t="str">
        <f>IF(F762&gt;0,F762*D762, "-")</f>
        <v>-</v>
      </c>
      <c r="M762" s="41" t="str">
        <f t="shared" si="46"/>
        <v>-</v>
      </c>
      <c r="O762" s="41" t="str">
        <f t="shared" si="47"/>
        <v>-</v>
      </c>
    </row>
    <row r="763" spans="1:15" x14ac:dyDescent="0.3">
      <c r="A763" s="4" t="s">
        <v>228</v>
      </c>
      <c r="B763" s="3">
        <v>810014671772</v>
      </c>
      <c r="C763" s="2" t="s">
        <v>1731</v>
      </c>
      <c r="D763" s="30">
        <v>0.24</v>
      </c>
      <c r="E763" s="20">
        <v>25.8825</v>
      </c>
      <c r="F763" s="27"/>
      <c r="G763" s="23">
        <f t="shared" si="44"/>
        <v>0</v>
      </c>
      <c r="J763" s="39" t="str">
        <f>IFERROR(IF($J$2*D763=0, "-", $J$2*D763), "-")</f>
        <v>-</v>
      </c>
      <c r="K763" s="39" t="str">
        <f t="shared" si="45"/>
        <v>-</v>
      </c>
      <c r="L763" s="40" t="str">
        <f>IF(F763&gt;0,F763*D763, "-")</f>
        <v>-</v>
      </c>
      <c r="M763" s="41" t="str">
        <f t="shared" si="46"/>
        <v>-</v>
      </c>
      <c r="O763" s="41" t="str">
        <f t="shared" si="47"/>
        <v>-</v>
      </c>
    </row>
    <row r="764" spans="1:15" x14ac:dyDescent="0.3">
      <c r="A764" s="4" t="s">
        <v>52</v>
      </c>
      <c r="B764" s="3">
        <v>810139571698</v>
      </c>
      <c r="C764" s="2" t="s">
        <v>1732</v>
      </c>
      <c r="D764" s="30">
        <v>0.55000000000000004</v>
      </c>
      <c r="E764" s="20">
        <v>25.8825</v>
      </c>
      <c r="F764" s="27"/>
      <c r="G764" s="23">
        <f t="shared" si="44"/>
        <v>0</v>
      </c>
      <c r="J764" s="39" t="str">
        <f>IFERROR(IF($J$2*D764=0, "-", $J$2*D764), "-")</f>
        <v>-</v>
      </c>
      <c r="K764" s="39" t="str">
        <f t="shared" si="45"/>
        <v>-</v>
      </c>
      <c r="L764" s="40" t="str">
        <f>IF(F764&gt;0,F764*D764, "-")</f>
        <v>-</v>
      </c>
      <c r="M764" s="41" t="str">
        <f t="shared" si="46"/>
        <v>-</v>
      </c>
      <c r="O764" s="41" t="str">
        <f t="shared" si="47"/>
        <v>-</v>
      </c>
    </row>
    <row r="765" spans="1:15" x14ac:dyDescent="0.3">
      <c r="A765" s="4" t="s">
        <v>512</v>
      </c>
      <c r="B765" s="3">
        <v>810014672984</v>
      </c>
      <c r="C765" s="2" t="s">
        <v>1733</v>
      </c>
      <c r="D765" s="30">
        <v>0.26</v>
      </c>
      <c r="E765" s="20">
        <v>26.263124999999999</v>
      </c>
      <c r="F765" s="27"/>
      <c r="G765" s="23">
        <f t="shared" si="44"/>
        <v>0</v>
      </c>
      <c r="J765" s="39" t="str">
        <f>IFERROR(IF($J$2*D765=0, "-", $J$2*D765), "-")</f>
        <v>-</v>
      </c>
      <c r="K765" s="39" t="str">
        <f t="shared" si="45"/>
        <v>-</v>
      </c>
      <c r="L765" s="40" t="str">
        <f>IF(F765&gt;0,F765*D765, "-")</f>
        <v>-</v>
      </c>
      <c r="M765" s="41" t="str">
        <f t="shared" si="46"/>
        <v>-</v>
      </c>
      <c r="O765" s="41" t="str">
        <f t="shared" si="47"/>
        <v>-</v>
      </c>
    </row>
    <row r="766" spans="1:15" x14ac:dyDescent="0.3">
      <c r="A766" s="4" t="s">
        <v>326</v>
      </c>
      <c r="B766" s="3">
        <v>810014673387</v>
      </c>
      <c r="C766" s="2" t="s">
        <v>1734</v>
      </c>
      <c r="D766" s="30">
        <v>0.61</v>
      </c>
      <c r="E766" s="20">
        <v>26.643750000000001</v>
      </c>
      <c r="F766" s="27"/>
      <c r="G766" s="23">
        <f t="shared" si="44"/>
        <v>0</v>
      </c>
      <c r="J766" s="39" t="str">
        <f>IFERROR(IF($J$2*D766=0, "-", $J$2*D766), "-")</f>
        <v>-</v>
      </c>
      <c r="K766" s="39" t="str">
        <f t="shared" si="45"/>
        <v>-</v>
      </c>
      <c r="L766" s="40" t="str">
        <f>IF(F766&gt;0,F766*D766, "-")</f>
        <v>-</v>
      </c>
      <c r="M766" s="41" t="str">
        <f t="shared" si="46"/>
        <v>-</v>
      </c>
      <c r="O766" s="41" t="str">
        <f t="shared" si="47"/>
        <v>-</v>
      </c>
    </row>
    <row r="767" spans="1:15" x14ac:dyDescent="0.3">
      <c r="A767" s="4" t="s">
        <v>51</v>
      </c>
      <c r="B767" s="3">
        <v>810139572015</v>
      </c>
      <c r="C767" s="2" t="s">
        <v>1735</v>
      </c>
      <c r="D767" s="30">
        <v>0.53</v>
      </c>
      <c r="E767" s="20">
        <v>26.643750000000001</v>
      </c>
      <c r="F767" s="27"/>
      <c r="G767" s="23">
        <f t="shared" si="44"/>
        <v>0</v>
      </c>
      <c r="J767" s="39" t="str">
        <f>IFERROR(IF($J$2*D767=0, "-", $J$2*D767), "-")</f>
        <v>-</v>
      </c>
      <c r="K767" s="39" t="str">
        <f t="shared" si="45"/>
        <v>-</v>
      </c>
      <c r="L767" s="40" t="str">
        <f>IF(F767&gt;0,F767*D767, "-")</f>
        <v>-</v>
      </c>
      <c r="M767" s="41" t="str">
        <f t="shared" si="46"/>
        <v>-</v>
      </c>
      <c r="O767" s="41" t="str">
        <f t="shared" si="47"/>
        <v>-</v>
      </c>
    </row>
    <row r="768" spans="1:15" x14ac:dyDescent="0.3">
      <c r="A768" s="4" t="s">
        <v>49</v>
      </c>
      <c r="B768" s="3">
        <v>810139571995</v>
      </c>
      <c r="C768" s="2" t="s">
        <v>1736</v>
      </c>
      <c r="D768" s="30">
        <v>0.53</v>
      </c>
      <c r="E768" s="20">
        <v>26.643750000000001</v>
      </c>
      <c r="F768" s="27"/>
      <c r="G768" s="23">
        <f t="shared" si="44"/>
        <v>0</v>
      </c>
      <c r="J768" s="39" t="str">
        <f>IFERROR(IF($J$2*D768=0, "-", $J$2*D768), "-")</f>
        <v>-</v>
      </c>
      <c r="K768" s="39" t="str">
        <f t="shared" si="45"/>
        <v>-</v>
      </c>
      <c r="L768" s="40" t="str">
        <f>IF(F768&gt;0,F768*D768, "-")</f>
        <v>-</v>
      </c>
      <c r="M768" s="41" t="str">
        <f t="shared" si="46"/>
        <v>-</v>
      </c>
      <c r="O768" s="41" t="str">
        <f t="shared" si="47"/>
        <v>-</v>
      </c>
    </row>
    <row r="769" spans="1:15" x14ac:dyDescent="0.3">
      <c r="A769" s="4" t="s">
        <v>50</v>
      </c>
      <c r="B769" s="3">
        <v>810139572008</v>
      </c>
      <c r="C769" s="2" t="s">
        <v>1737</v>
      </c>
      <c r="D769" s="30">
        <v>0.53</v>
      </c>
      <c r="E769" s="20">
        <v>26.643750000000001</v>
      </c>
      <c r="F769" s="27"/>
      <c r="G769" s="23">
        <f t="shared" si="44"/>
        <v>0</v>
      </c>
      <c r="J769" s="39" t="str">
        <f>IFERROR(IF($J$2*D769=0, "-", $J$2*D769), "-")</f>
        <v>-</v>
      </c>
      <c r="K769" s="39" t="str">
        <f t="shared" si="45"/>
        <v>-</v>
      </c>
      <c r="L769" s="40" t="str">
        <f>IF(F769&gt;0,F769*D769, "-")</f>
        <v>-</v>
      </c>
      <c r="M769" s="41" t="str">
        <f t="shared" si="46"/>
        <v>-</v>
      </c>
      <c r="O769" s="41" t="str">
        <f t="shared" si="47"/>
        <v>-</v>
      </c>
    </row>
    <row r="770" spans="1:15" x14ac:dyDescent="0.3">
      <c r="A770" s="4" t="s">
        <v>1738</v>
      </c>
      <c r="B770" s="3">
        <v>810139572848</v>
      </c>
      <c r="C770" s="2" t="s">
        <v>1739</v>
      </c>
      <c r="D770" s="30">
        <v>0.52</v>
      </c>
      <c r="E770" s="20">
        <v>26.643750000000001</v>
      </c>
      <c r="F770" s="27"/>
      <c r="G770" s="23">
        <f t="shared" si="44"/>
        <v>0</v>
      </c>
      <c r="J770" s="39" t="str">
        <f>IFERROR(IF($J$2*D770=0, "-", $J$2*D770), "-")</f>
        <v>-</v>
      </c>
      <c r="K770" s="39" t="str">
        <f t="shared" si="45"/>
        <v>-</v>
      </c>
      <c r="L770" s="40" t="str">
        <f>IF(F770&gt;0,F770*D770, "-")</f>
        <v>-</v>
      </c>
      <c r="M770" s="41" t="str">
        <f t="shared" si="46"/>
        <v>-</v>
      </c>
      <c r="O770" s="41" t="str">
        <f t="shared" si="47"/>
        <v>-</v>
      </c>
    </row>
    <row r="771" spans="1:15" x14ac:dyDescent="0.3">
      <c r="A771" s="4" t="s">
        <v>568</v>
      </c>
      <c r="B771" s="3">
        <v>810014670966</v>
      </c>
      <c r="C771" s="2" t="s">
        <v>1740</v>
      </c>
      <c r="D771" s="30">
        <v>0.63</v>
      </c>
      <c r="E771" s="20">
        <v>26.643750000000001</v>
      </c>
      <c r="F771" s="27"/>
      <c r="G771" s="23">
        <f t="shared" si="44"/>
        <v>0</v>
      </c>
      <c r="J771" s="39" t="str">
        <f>IFERROR(IF($J$2*D771=0, "-", $J$2*D771), "-")</f>
        <v>-</v>
      </c>
      <c r="K771" s="39" t="str">
        <f t="shared" si="45"/>
        <v>-</v>
      </c>
      <c r="L771" s="40" t="str">
        <f>IF(F771&gt;0,F771*D771, "-")</f>
        <v>-</v>
      </c>
      <c r="M771" s="41" t="str">
        <f t="shared" si="46"/>
        <v>-</v>
      </c>
      <c r="O771" s="41" t="str">
        <f t="shared" si="47"/>
        <v>-</v>
      </c>
    </row>
    <row r="772" spans="1:15" x14ac:dyDescent="0.3">
      <c r="A772" s="4" t="s">
        <v>564</v>
      </c>
      <c r="B772" s="3">
        <v>810014670928</v>
      </c>
      <c r="C772" s="2" t="s">
        <v>1741</v>
      </c>
      <c r="D772" s="30">
        <v>0.65</v>
      </c>
      <c r="E772" s="20">
        <v>26.643750000000001</v>
      </c>
      <c r="F772" s="27"/>
      <c r="G772" s="23">
        <f t="shared" ref="G772:G807" si="48">F772*E772</f>
        <v>0</v>
      </c>
      <c r="J772" s="39" t="str">
        <f>IFERROR(IF($J$2*D772=0, "-", $J$2*D772), "-")</f>
        <v>-</v>
      </c>
      <c r="K772" s="39" t="str">
        <f t="shared" ref="K772:K807" si="49">IF(F772&gt;0,E772+J772,"-")</f>
        <v>-</v>
      </c>
      <c r="L772" s="40" t="str">
        <f>IF(F772&gt;0,F772*D772, "-")</f>
        <v>-</v>
      </c>
      <c r="M772" s="41" t="str">
        <f t="shared" ref="M772:M835" si="50">IFERROR(IF($J$2&gt;0, $J$2*L772, "-"), "-")</f>
        <v>-</v>
      </c>
      <c r="O772" s="41" t="str">
        <f t="shared" ref="O772:O807" si="51">IFERROR(IF(M772+G772=0, "-", IF(M772&gt;0, M772+G772, "-")), "-")</f>
        <v>-</v>
      </c>
    </row>
    <row r="773" spans="1:15" x14ac:dyDescent="0.3">
      <c r="A773" s="4" t="s">
        <v>566</v>
      </c>
      <c r="B773" s="3">
        <v>810014670904</v>
      </c>
      <c r="C773" s="2" t="s">
        <v>1742</v>
      </c>
      <c r="D773" s="30">
        <v>0.62</v>
      </c>
      <c r="E773" s="20">
        <v>26.643750000000001</v>
      </c>
      <c r="F773" s="27"/>
      <c r="G773" s="23">
        <f t="shared" si="48"/>
        <v>0</v>
      </c>
      <c r="J773" s="39" t="str">
        <f>IFERROR(IF($J$2*D773=0, "-", $J$2*D773), "-")</f>
        <v>-</v>
      </c>
      <c r="K773" s="39" t="str">
        <f t="shared" si="49"/>
        <v>-</v>
      </c>
      <c r="L773" s="40" t="str">
        <f>IF(F773&gt;0,F773*D773, "-")</f>
        <v>-</v>
      </c>
      <c r="M773" s="41" t="str">
        <f t="shared" si="50"/>
        <v>-</v>
      </c>
      <c r="O773" s="41" t="str">
        <f t="shared" si="51"/>
        <v>-</v>
      </c>
    </row>
    <row r="774" spans="1:15" x14ac:dyDescent="0.3">
      <c r="A774" s="4" t="s">
        <v>570</v>
      </c>
      <c r="B774" s="3">
        <v>857077008367</v>
      </c>
      <c r="C774" s="2" t="s">
        <v>1743</v>
      </c>
      <c r="D774" s="30">
        <v>0.63</v>
      </c>
      <c r="E774" s="20">
        <v>26.643750000000001</v>
      </c>
      <c r="F774" s="27"/>
      <c r="G774" s="23">
        <f t="shared" si="48"/>
        <v>0</v>
      </c>
      <c r="J774" s="39" t="str">
        <f>IFERROR(IF($J$2*D774=0, "-", $J$2*D774), "-")</f>
        <v>-</v>
      </c>
      <c r="K774" s="39" t="str">
        <f t="shared" si="49"/>
        <v>-</v>
      </c>
      <c r="L774" s="40" t="str">
        <f>IF(F774&gt;0,F774*D774, "-")</f>
        <v>-</v>
      </c>
      <c r="M774" s="41" t="str">
        <f t="shared" si="50"/>
        <v>-</v>
      </c>
      <c r="O774" s="41" t="str">
        <f t="shared" si="51"/>
        <v>-</v>
      </c>
    </row>
    <row r="775" spans="1:15" x14ac:dyDescent="0.3">
      <c r="A775" s="4" t="s">
        <v>1744</v>
      </c>
      <c r="B775" s="3">
        <v>810139572176</v>
      </c>
      <c r="C775" s="2" t="s">
        <v>1745</v>
      </c>
      <c r="D775" s="30">
        <v>4.26</v>
      </c>
      <c r="E775" s="20">
        <v>26.643750000000001</v>
      </c>
      <c r="F775" s="27"/>
      <c r="G775" s="23">
        <f t="shared" si="48"/>
        <v>0</v>
      </c>
      <c r="J775" s="39" t="str">
        <f>IFERROR(IF($J$2*D775=0, "-", $J$2*D775), "-")</f>
        <v>-</v>
      </c>
      <c r="K775" s="39" t="str">
        <f t="shared" si="49"/>
        <v>-</v>
      </c>
      <c r="L775" s="40" t="str">
        <f>IF(F775&gt;0,F775*D775, "-")</f>
        <v>-</v>
      </c>
      <c r="M775" s="41" t="str">
        <f t="shared" si="50"/>
        <v>-</v>
      </c>
      <c r="O775" s="41" t="str">
        <f t="shared" si="51"/>
        <v>-</v>
      </c>
    </row>
    <row r="776" spans="1:15" x14ac:dyDescent="0.3">
      <c r="A776" s="4" t="s">
        <v>1746</v>
      </c>
      <c r="B776" s="3">
        <v>810139573210</v>
      </c>
      <c r="C776" s="2" t="s">
        <v>1747</v>
      </c>
      <c r="D776" s="30">
        <v>0.09</v>
      </c>
      <c r="E776" s="20">
        <v>26.643750000000001</v>
      </c>
      <c r="F776" s="27"/>
      <c r="G776" s="23">
        <f t="shared" si="48"/>
        <v>0</v>
      </c>
      <c r="J776" s="39" t="str">
        <f>IFERROR(IF($J$2*D776=0, "-", $J$2*D776), "-")</f>
        <v>-</v>
      </c>
      <c r="K776" s="39" t="str">
        <f t="shared" si="49"/>
        <v>-</v>
      </c>
      <c r="L776" s="40" t="str">
        <f>IF(F776&gt;0,F776*D776, "-")</f>
        <v>-</v>
      </c>
      <c r="M776" s="41" t="str">
        <f t="shared" si="50"/>
        <v>-</v>
      </c>
      <c r="O776" s="41" t="str">
        <f t="shared" si="51"/>
        <v>-</v>
      </c>
    </row>
    <row r="777" spans="1:15" x14ac:dyDescent="0.3">
      <c r="A777" s="4" t="s">
        <v>1748</v>
      </c>
      <c r="B777" s="3">
        <v>810139571643</v>
      </c>
      <c r="C777" s="2" t="s">
        <v>1749</v>
      </c>
      <c r="D777" s="30">
        <v>0.28000000000000003</v>
      </c>
      <c r="E777" s="20">
        <v>26.643750000000001</v>
      </c>
      <c r="F777" s="27"/>
      <c r="G777" s="23">
        <f t="shared" si="48"/>
        <v>0</v>
      </c>
      <c r="J777" s="39" t="str">
        <f>IFERROR(IF($J$2*D777=0, "-", $J$2*D777), "-")</f>
        <v>-</v>
      </c>
      <c r="K777" s="39" t="str">
        <f t="shared" si="49"/>
        <v>-</v>
      </c>
      <c r="L777" s="40" t="str">
        <f>IF(F777&gt;0,F777*D777, "-")</f>
        <v>-</v>
      </c>
      <c r="M777" s="41" t="str">
        <f t="shared" si="50"/>
        <v>-</v>
      </c>
      <c r="O777" s="41" t="str">
        <f t="shared" si="51"/>
        <v>-</v>
      </c>
    </row>
    <row r="778" spans="1:15" x14ac:dyDescent="0.3">
      <c r="A778" s="4" t="s">
        <v>407</v>
      </c>
      <c r="B778" s="3">
        <v>810014671383</v>
      </c>
      <c r="C778" s="2" t="s">
        <v>1750</v>
      </c>
      <c r="D778" s="30">
        <v>0.32</v>
      </c>
      <c r="E778" s="20">
        <v>26.643750000000001</v>
      </c>
      <c r="F778" s="27"/>
      <c r="G778" s="23">
        <f t="shared" si="48"/>
        <v>0</v>
      </c>
      <c r="J778" s="39" t="str">
        <f>IFERROR(IF($J$2*D778=0, "-", $J$2*D778), "-")</f>
        <v>-</v>
      </c>
      <c r="K778" s="39" t="str">
        <f t="shared" si="49"/>
        <v>-</v>
      </c>
      <c r="L778" s="40" t="str">
        <f>IF(F778&gt;0,F778*D778, "-")</f>
        <v>-</v>
      </c>
      <c r="M778" s="41" t="str">
        <f t="shared" si="50"/>
        <v>-</v>
      </c>
      <c r="O778" s="41" t="str">
        <f t="shared" si="51"/>
        <v>-</v>
      </c>
    </row>
    <row r="779" spans="1:15" x14ac:dyDescent="0.3">
      <c r="A779" s="4" t="s">
        <v>280</v>
      </c>
      <c r="B779" s="3">
        <v>810014672823</v>
      </c>
      <c r="C779" s="2" t="s">
        <v>1751</v>
      </c>
      <c r="D779" s="30">
        <v>0.57999999999999996</v>
      </c>
      <c r="E779" s="20">
        <v>26.643750000000001</v>
      </c>
      <c r="F779" s="27"/>
      <c r="G779" s="23">
        <f t="shared" si="48"/>
        <v>0</v>
      </c>
      <c r="J779" s="39" t="str">
        <f>IFERROR(IF($J$2*D779=0, "-", $J$2*D779), "-")</f>
        <v>-</v>
      </c>
      <c r="K779" s="39" t="str">
        <f t="shared" si="49"/>
        <v>-</v>
      </c>
      <c r="L779" s="40" t="str">
        <f>IF(F779&gt;0,F779*D779, "-")</f>
        <v>-</v>
      </c>
      <c r="M779" s="41" t="str">
        <f t="shared" si="50"/>
        <v>-</v>
      </c>
      <c r="O779" s="41" t="str">
        <f t="shared" si="51"/>
        <v>-</v>
      </c>
    </row>
    <row r="780" spans="1:15" x14ac:dyDescent="0.3">
      <c r="A780" s="4" t="s">
        <v>523</v>
      </c>
      <c r="B780" s="3">
        <v>810014670836</v>
      </c>
      <c r="C780" s="2" t="s">
        <v>1752</v>
      </c>
      <c r="D780" s="30">
        <v>0.13</v>
      </c>
      <c r="E780" s="20">
        <v>26.643750000000001</v>
      </c>
      <c r="F780" s="27"/>
      <c r="G780" s="23">
        <f t="shared" si="48"/>
        <v>0</v>
      </c>
      <c r="J780" s="39" t="str">
        <f>IFERROR(IF($J$2*D780=0, "-", $J$2*D780), "-")</f>
        <v>-</v>
      </c>
      <c r="K780" s="39" t="str">
        <f t="shared" si="49"/>
        <v>-</v>
      </c>
      <c r="L780" s="40" t="str">
        <f>IF(F780&gt;0,F780*D780, "-")</f>
        <v>-</v>
      </c>
      <c r="M780" s="41" t="str">
        <f t="shared" si="50"/>
        <v>-</v>
      </c>
      <c r="O780" s="41" t="str">
        <f t="shared" si="51"/>
        <v>-</v>
      </c>
    </row>
    <row r="781" spans="1:15" x14ac:dyDescent="0.3">
      <c r="A781" s="4" t="s">
        <v>470</v>
      </c>
      <c r="B781" s="3">
        <v>857077008688</v>
      </c>
      <c r="C781" s="2" t="s">
        <v>1753</v>
      </c>
      <c r="D781" s="30">
        <v>0.56999999999999995</v>
      </c>
      <c r="E781" s="20">
        <v>27.024374999999999</v>
      </c>
      <c r="F781" s="27"/>
      <c r="G781" s="23">
        <f t="shared" si="48"/>
        <v>0</v>
      </c>
      <c r="J781" s="39" t="str">
        <f>IFERROR(IF($J$2*D781=0, "-", $J$2*D781), "-")</f>
        <v>-</v>
      </c>
      <c r="K781" s="39" t="str">
        <f t="shared" si="49"/>
        <v>-</v>
      </c>
      <c r="L781" s="40" t="str">
        <f>IF(F781&gt;0,F781*D781, "-")</f>
        <v>-</v>
      </c>
      <c r="M781" s="41" t="str">
        <f t="shared" si="50"/>
        <v>-</v>
      </c>
      <c r="O781" s="41" t="str">
        <f t="shared" si="51"/>
        <v>-</v>
      </c>
    </row>
    <row r="782" spans="1:15" x14ac:dyDescent="0.3">
      <c r="A782" s="4" t="s">
        <v>459</v>
      </c>
      <c r="B782" s="3">
        <v>810139571667</v>
      </c>
      <c r="C782" s="2" t="s">
        <v>1754</v>
      </c>
      <c r="D782" s="30">
        <v>0.35</v>
      </c>
      <c r="E782" s="20">
        <v>27.024374999999999</v>
      </c>
      <c r="F782" s="27"/>
      <c r="G782" s="23">
        <f t="shared" si="48"/>
        <v>0</v>
      </c>
      <c r="J782" s="39" t="str">
        <f>IFERROR(IF($J$2*D782=0, "-", $J$2*D782), "-")</f>
        <v>-</v>
      </c>
      <c r="K782" s="39" t="str">
        <f t="shared" si="49"/>
        <v>-</v>
      </c>
      <c r="L782" s="40" t="str">
        <f>IF(F782&gt;0,F782*D782, "-")</f>
        <v>-</v>
      </c>
      <c r="M782" s="41" t="str">
        <f t="shared" si="50"/>
        <v>-</v>
      </c>
      <c r="O782" s="41" t="str">
        <f t="shared" si="51"/>
        <v>-</v>
      </c>
    </row>
    <row r="783" spans="1:15" x14ac:dyDescent="0.3">
      <c r="A783" s="4" t="s">
        <v>540</v>
      </c>
      <c r="B783" s="3">
        <v>810139571544</v>
      </c>
      <c r="C783" s="2" t="s">
        <v>1755</v>
      </c>
      <c r="D783" s="30">
        <v>1.42</v>
      </c>
      <c r="E783" s="20">
        <v>27.024374999999999</v>
      </c>
      <c r="F783" s="27"/>
      <c r="G783" s="23">
        <f t="shared" si="48"/>
        <v>0</v>
      </c>
      <c r="J783" s="39" t="str">
        <f>IFERROR(IF($J$2*D783=0, "-", $J$2*D783), "-")</f>
        <v>-</v>
      </c>
      <c r="K783" s="39" t="str">
        <f t="shared" si="49"/>
        <v>-</v>
      </c>
      <c r="L783" s="40" t="str">
        <f>IF(F783&gt;0,F783*D783, "-")</f>
        <v>-</v>
      </c>
      <c r="M783" s="41" t="str">
        <f t="shared" si="50"/>
        <v>-</v>
      </c>
      <c r="O783" s="41" t="str">
        <f t="shared" si="51"/>
        <v>-</v>
      </c>
    </row>
    <row r="784" spans="1:15" x14ac:dyDescent="0.3">
      <c r="A784" s="4" t="s">
        <v>1756</v>
      </c>
      <c r="B784" s="3">
        <v>810139576358</v>
      </c>
      <c r="C784" s="2" t="s">
        <v>1757</v>
      </c>
      <c r="D784" s="30">
        <v>0.15</v>
      </c>
      <c r="E784" s="20">
        <v>27.024374999999999</v>
      </c>
      <c r="F784" s="27"/>
      <c r="G784" s="23">
        <f t="shared" si="48"/>
        <v>0</v>
      </c>
      <c r="J784" s="39" t="str">
        <f>IFERROR(IF($J$2*D784=0, "-", $J$2*D784), "-")</f>
        <v>-</v>
      </c>
      <c r="K784" s="39" t="str">
        <f t="shared" si="49"/>
        <v>-</v>
      </c>
      <c r="L784" s="40" t="str">
        <f>IF(F784&gt;0,F784*D784, "-")</f>
        <v>-</v>
      </c>
      <c r="M784" s="41" t="str">
        <f t="shared" si="50"/>
        <v>-</v>
      </c>
      <c r="O784" s="41" t="str">
        <f t="shared" si="51"/>
        <v>-</v>
      </c>
    </row>
    <row r="785" spans="1:15" x14ac:dyDescent="0.3">
      <c r="A785" s="4" t="s">
        <v>1758</v>
      </c>
      <c r="B785" s="3">
        <v>810139574279</v>
      </c>
      <c r="C785" s="2" t="s">
        <v>1759</v>
      </c>
      <c r="D785" s="30">
        <v>1.65</v>
      </c>
      <c r="E785" s="20">
        <v>27.405000000000001</v>
      </c>
      <c r="F785" s="27"/>
      <c r="G785" s="23">
        <f t="shared" si="48"/>
        <v>0</v>
      </c>
      <c r="J785" s="39" t="str">
        <f>IFERROR(IF($J$2*D785=0, "-", $J$2*D785), "-")</f>
        <v>-</v>
      </c>
      <c r="K785" s="39" t="str">
        <f t="shared" si="49"/>
        <v>-</v>
      </c>
      <c r="L785" s="40" t="str">
        <f>IF(F785&gt;0,F785*D785, "-")</f>
        <v>-</v>
      </c>
      <c r="M785" s="41" t="str">
        <f t="shared" si="50"/>
        <v>-</v>
      </c>
      <c r="O785" s="41" t="str">
        <f t="shared" si="51"/>
        <v>-</v>
      </c>
    </row>
    <row r="786" spans="1:15" x14ac:dyDescent="0.3">
      <c r="A786" s="4" t="s">
        <v>686</v>
      </c>
      <c r="B786" s="3">
        <v>810014679136</v>
      </c>
      <c r="C786" s="2" t="s">
        <v>1760</v>
      </c>
      <c r="D786" s="30">
        <v>1.1200000000000001</v>
      </c>
      <c r="E786" s="20">
        <v>27.405000000000001</v>
      </c>
      <c r="F786" s="27"/>
      <c r="G786" s="23">
        <f t="shared" si="48"/>
        <v>0</v>
      </c>
      <c r="J786" s="39" t="str">
        <f>IFERROR(IF($J$2*D786=0, "-", $J$2*D786), "-")</f>
        <v>-</v>
      </c>
      <c r="K786" s="39" t="str">
        <f t="shared" si="49"/>
        <v>-</v>
      </c>
      <c r="L786" s="40" t="str">
        <f>IF(F786&gt;0,F786*D786, "-")</f>
        <v>-</v>
      </c>
      <c r="M786" s="41" t="str">
        <f t="shared" si="50"/>
        <v>-</v>
      </c>
      <c r="O786" s="41" t="str">
        <f t="shared" si="51"/>
        <v>-</v>
      </c>
    </row>
    <row r="787" spans="1:15" x14ac:dyDescent="0.3">
      <c r="A787" s="4" t="s">
        <v>453</v>
      </c>
      <c r="B787" s="3">
        <v>810014673172</v>
      </c>
      <c r="C787" s="2" t="s">
        <v>1761</v>
      </c>
      <c r="D787" s="30">
        <v>1.1200000000000001</v>
      </c>
      <c r="E787" s="20">
        <v>27.405000000000001</v>
      </c>
      <c r="F787" s="27"/>
      <c r="G787" s="23">
        <f t="shared" si="48"/>
        <v>0</v>
      </c>
      <c r="J787" s="39" t="str">
        <f>IFERROR(IF($J$2*D787=0, "-", $J$2*D787), "-")</f>
        <v>-</v>
      </c>
      <c r="K787" s="39" t="str">
        <f t="shared" si="49"/>
        <v>-</v>
      </c>
      <c r="L787" s="40" t="str">
        <f>IF(F787&gt;0,F787*D787, "-")</f>
        <v>-</v>
      </c>
      <c r="M787" s="41" t="str">
        <f t="shared" si="50"/>
        <v>-</v>
      </c>
      <c r="O787" s="41" t="str">
        <f t="shared" si="51"/>
        <v>-</v>
      </c>
    </row>
    <row r="788" spans="1:15" x14ac:dyDescent="0.3">
      <c r="A788" s="4" t="s">
        <v>159</v>
      </c>
      <c r="B788" s="3">
        <v>857077008268</v>
      </c>
      <c r="C788" s="2" t="s">
        <v>1762</v>
      </c>
      <c r="D788" s="30">
        <v>0.63</v>
      </c>
      <c r="E788" s="20">
        <v>27.405000000000001</v>
      </c>
      <c r="F788" s="27"/>
      <c r="G788" s="23">
        <f t="shared" si="48"/>
        <v>0</v>
      </c>
      <c r="J788" s="39" t="str">
        <f>IFERROR(IF($J$2*D788=0, "-", $J$2*D788), "-")</f>
        <v>-</v>
      </c>
      <c r="K788" s="39" t="str">
        <f t="shared" si="49"/>
        <v>-</v>
      </c>
      <c r="L788" s="40" t="str">
        <f>IF(F788&gt;0,F788*D788, "-")</f>
        <v>-</v>
      </c>
      <c r="M788" s="41" t="str">
        <f t="shared" si="50"/>
        <v>-</v>
      </c>
      <c r="O788" s="41" t="str">
        <f t="shared" si="51"/>
        <v>-</v>
      </c>
    </row>
    <row r="789" spans="1:15" x14ac:dyDescent="0.3">
      <c r="A789" s="4" t="s">
        <v>213</v>
      </c>
      <c r="B789" s="3">
        <v>857077008169</v>
      </c>
      <c r="C789" s="2" t="s">
        <v>1763</v>
      </c>
      <c r="D789" s="30">
        <v>0.71</v>
      </c>
      <c r="E789" s="20">
        <v>27.405000000000001</v>
      </c>
      <c r="F789" s="27"/>
      <c r="G789" s="23">
        <f t="shared" si="48"/>
        <v>0</v>
      </c>
      <c r="J789" s="39" t="str">
        <f>IFERROR(IF($J$2*D789=0, "-", $J$2*D789), "-")</f>
        <v>-</v>
      </c>
      <c r="K789" s="39" t="str">
        <f t="shared" si="49"/>
        <v>-</v>
      </c>
      <c r="L789" s="40" t="str">
        <f>IF(F789&gt;0,F789*D789, "-")</f>
        <v>-</v>
      </c>
      <c r="M789" s="41" t="str">
        <f t="shared" si="50"/>
        <v>-</v>
      </c>
      <c r="O789" s="41" t="str">
        <f t="shared" si="51"/>
        <v>-</v>
      </c>
    </row>
    <row r="790" spans="1:15" x14ac:dyDescent="0.3">
      <c r="A790" s="4" t="s">
        <v>361</v>
      </c>
      <c r="B790" s="3">
        <v>810014670324</v>
      </c>
      <c r="C790" s="2" t="s">
        <v>1764</v>
      </c>
      <c r="D790" s="30">
        <v>0.53</v>
      </c>
      <c r="E790" s="20">
        <v>27.405000000000001</v>
      </c>
      <c r="F790" s="27"/>
      <c r="G790" s="23">
        <f t="shared" si="48"/>
        <v>0</v>
      </c>
      <c r="J790" s="39" t="str">
        <f>IFERROR(IF($J$2*D790=0, "-", $J$2*D790), "-")</f>
        <v>-</v>
      </c>
      <c r="K790" s="39" t="str">
        <f t="shared" si="49"/>
        <v>-</v>
      </c>
      <c r="L790" s="40" t="str">
        <f>IF(F790&gt;0,F790*D790, "-")</f>
        <v>-</v>
      </c>
      <c r="M790" s="41" t="str">
        <f t="shared" si="50"/>
        <v>-</v>
      </c>
      <c r="O790" s="41" t="str">
        <f t="shared" si="51"/>
        <v>-</v>
      </c>
    </row>
    <row r="791" spans="1:15" x14ac:dyDescent="0.3">
      <c r="A791" s="4" t="s">
        <v>501</v>
      </c>
      <c r="B791" s="3">
        <v>810139575696</v>
      </c>
      <c r="C791" s="2" t="s">
        <v>1765</v>
      </c>
      <c r="D791" s="30">
        <v>0.35</v>
      </c>
      <c r="E791" s="20">
        <v>27.405000000000001</v>
      </c>
      <c r="F791" s="27"/>
      <c r="G791" s="23">
        <f t="shared" si="48"/>
        <v>0</v>
      </c>
      <c r="J791" s="39" t="str">
        <f>IFERROR(IF($J$2*D791=0, "-", $J$2*D791), "-")</f>
        <v>-</v>
      </c>
      <c r="K791" s="39" t="str">
        <f t="shared" si="49"/>
        <v>-</v>
      </c>
      <c r="L791" s="40" t="str">
        <f>IF(F791&gt;0,F791*D791, "-")</f>
        <v>-</v>
      </c>
      <c r="M791" s="41" t="str">
        <f t="shared" si="50"/>
        <v>-</v>
      </c>
      <c r="O791" s="41" t="str">
        <f t="shared" si="51"/>
        <v>-</v>
      </c>
    </row>
    <row r="792" spans="1:15" x14ac:dyDescent="0.3">
      <c r="A792" s="4" t="s">
        <v>1766</v>
      </c>
      <c r="B792" s="3">
        <v>810139571285</v>
      </c>
      <c r="C792" s="2" t="s">
        <v>1767</v>
      </c>
      <c r="D792" s="30">
        <v>0.16</v>
      </c>
      <c r="E792" s="20">
        <v>27.405000000000001</v>
      </c>
      <c r="F792" s="27"/>
      <c r="G792" s="23">
        <f t="shared" si="48"/>
        <v>0</v>
      </c>
      <c r="J792" s="39" t="str">
        <f>IFERROR(IF($J$2*D792=0, "-", $J$2*D792), "-")</f>
        <v>-</v>
      </c>
      <c r="K792" s="39" t="str">
        <f t="shared" si="49"/>
        <v>-</v>
      </c>
      <c r="L792" s="40" t="str">
        <f>IF(F792&gt;0,F792*D792, "-")</f>
        <v>-</v>
      </c>
      <c r="M792" s="41" t="str">
        <f t="shared" si="50"/>
        <v>-</v>
      </c>
      <c r="O792" s="41" t="str">
        <f t="shared" si="51"/>
        <v>-</v>
      </c>
    </row>
    <row r="793" spans="1:15" x14ac:dyDescent="0.3">
      <c r="A793" s="4" t="s">
        <v>116</v>
      </c>
      <c r="B793" s="3">
        <v>810139571483</v>
      </c>
      <c r="C793" s="2" t="s">
        <v>1768</v>
      </c>
      <c r="D793" s="30">
        <v>0.33</v>
      </c>
      <c r="E793" s="20">
        <v>27.405000000000001</v>
      </c>
      <c r="F793" s="27"/>
      <c r="G793" s="23">
        <f t="shared" si="48"/>
        <v>0</v>
      </c>
      <c r="J793" s="39" t="str">
        <f>IFERROR(IF($J$2*D793=0, "-", $J$2*D793), "-")</f>
        <v>-</v>
      </c>
      <c r="K793" s="39" t="str">
        <f t="shared" si="49"/>
        <v>-</v>
      </c>
      <c r="L793" s="40" t="str">
        <f>IF(F793&gt;0,F793*D793, "-")</f>
        <v>-</v>
      </c>
      <c r="M793" s="41" t="str">
        <f t="shared" si="50"/>
        <v>-</v>
      </c>
      <c r="O793" s="41" t="str">
        <f t="shared" si="51"/>
        <v>-</v>
      </c>
    </row>
    <row r="794" spans="1:15" x14ac:dyDescent="0.3">
      <c r="A794" s="4" t="s">
        <v>1769</v>
      </c>
      <c r="B794" s="3">
        <v>810139573722</v>
      </c>
      <c r="C794" s="2" t="s">
        <v>1770</v>
      </c>
      <c r="D794" s="30">
        <v>0.33</v>
      </c>
      <c r="E794" s="20">
        <v>27.405000000000001</v>
      </c>
      <c r="F794" s="27"/>
      <c r="G794" s="23">
        <f t="shared" si="48"/>
        <v>0</v>
      </c>
      <c r="J794" s="39" t="str">
        <f>IFERROR(IF($J$2*D794=0, "-", $J$2*D794), "-")</f>
        <v>-</v>
      </c>
      <c r="K794" s="39" t="str">
        <f t="shared" si="49"/>
        <v>-</v>
      </c>
      <c r="L794" s="40" t="str">
        <f>IF(F794&gt;0,F794*D794, "-")</f>
        <v>-</v>
      </c>
      <c r="M794" s="41" t="str">
        <f t="shared" si="50"/>
        <v>-</v>
      </c>
      <c r="O794" s="41" t="str">
        <f t="shared" si="51"/>
        <v>-</v>
      </c>
    </row>
    <row r="795" spans="1:15" x14ac:dyDescent="0.3">
      <c r="A795" s="4" t="s">
        <v>276</v>
      </c>
      <c r="B795" s="3">
        <v>810139573630</v>
      </c>
      <c r="C795" s="2" t="s">
        <v>1771</v>
      </c>
      <c r="D795" s="30">
        <v>0.63</v>
      </c>
      <c r="E795" s="20">
        <v>28.166250000000002</v>
      </c>
      <c r="F795" s="27"/>
      <c r="G795" s="23">
        <f t="shared" si="48"/>
        <v>0</v>
      </c>
      <c r="J795" s="39" t="str">
        <f>IFERROR(IF($J$2*D795=0, "-", $J$2*D795), "-")</f>
        <v>-</v>
      </c>
      <c r="K795" s="39" t="str">
        <f t="shared" si="49"/>
        <v>-</v>
      </c>
      <c r="L795" s="40" t="str">
        <f>IF(F795&gt;0,F795*D795, "-")</f>
        <v>-</v>
      </c>
      <c r="M795" s="41" t="str">
        <f t="shared" si="50"/>
        <v>-</v>
      </c>
      <c r="O795" s="41" t="str">
        <f t="shared" si="51"/>
        <v>-</v>
      </c>
    </row>
    <row r="796" spans="1:15" x14ac:dyDescent="0.3">
      <c r="A796" s="4" t="s">
        <v>1772</v>
      </c>
      <c r="B796" s="3">
        <v>810139571292</v>
      </c>
      <c r="C796" s="2" t="s">
        <v>1773</v>
      </c>
      <c r="D796" s="30">
        <v>0.46</v>
      </c>
      <c r="E796" s="20">
        <v>28.166250000000002</v>
      </c>
      <c r="F796" s="27"/>
      <c r="G796" s="23">
        <f t="shared" si="48"/>
        <v>0</v>
      </c>
      <c r="J796" s="39" t="str">
        <f>IFERROR(IF($J$2*D796=0, "-", $J$2*D796), "-")</f>
        <v>-</v>
      </c>
      <c r="K796" s="39" t="str">
        <f t="shared" si="49"/>
        <v>-</v>
      </c>
      <c r="L796" s="40" t="str">
        <f>IF(F796&gt;0,F796*D796, "-")</f>
        <v>-</v>
      </c>
      <c r="M796" s="41" t="str">
        <f t="shared" si="50"/>
        <v>-</v>
      </c>
      <c r="O796" s="41" t="str">
        <f t="shared" si="51"/>
        <v>-</v>
      </c>
    </row>
    <row r="797" spans="1:15" x14ac:dyDescent="0.3">
      <c r="A797" s="4" t="s">
        <v>1774</v>
      </c>
      <c r="B797" s="3">
        <v>810139571360</v>
      </c>
      <c r="C797" s="2" t="s">
        <v>1775</v>
      </c>
      <c r="D797" s="30">
        <v>0.45</v>
      </c>
      <c r="E797" s="20">
        <v>28.166250000000002</v>
      </c>
      <c r="F797" s="27"/>
      <c r="G797" s="23">
        <f t="shared" si="48"/>
        <v>0</v>
      </c>
      <c r="J797" s="39" t="str">
        <f>IFERROR(IF($J$2*D797=0, "-", $J$2*D797), "-")</f>
        <v>-</v>
      </c>
      <c r="K797" s="39" t="str">
        <f t="shared" si="49"/>
        <v>-</v>
      </c>
      <c r="L797" s="40" t="str">
        <f>IF(F797&gt;0,F797*D797, "-")</f>
        <v>-</v>
      </c>
      <c r="M797" s="41" t="str">
        <f t="shared" si="50"/>
        <v>-</v>
      </c>
      <c r="O797" s="41" t="str">
        <f t="shared" si="51"/>
        <v>-</v>
      </c>
    </row>
    <row r="798" spans="1:15" x14ac:dyDescent="0.3">
      <c r="A798" s="4" t="s">
        <v>194</v>
      </c>
      <c r="B798" s="3">
        <v>857077008275</v>
      </c>
      <c r="C798" s="2" t="s">
        <v>1776</v>
      </c>
      <c r="D798" s="30">
        <v>0.14000000000000001</v>
      </c>
      <c r="E798" s="20">
        <v>28.166250000000002</v>
      </c>
      <c r="F798" s="27"/>
      <c r="G798" s="23">
        <f t="shared" si="48"/>
        <v>0</v>
      </c>
      <c r="J798" s="39" t="str">
        <f>IFERROR(IF($J$2*D798=0, "-", $J$2*D798), "-")</f>
        <v>-</v>
      </c>
      <c r="K798" s="39" t="str">
        <f t="shared" si="49"/>
        <v>-</v>
      </c>
      <c r="L798" s="40" t="str">
        <f>IF(F798&gt;0,F798*D798, "-")</f>
        <v>-</v>
      </c>
      <c r="M798" s="41" t="str">
        <f t="shared" si="50"/>
        <v>-</v>
      </c>
      <c r="O798" s="41" t="str">
        <f t="shared" si="51"/>
        <v>-</v>
      </c>
    </row>
    <row r="799" spans="1:15" x14ac:dyDescent="0.3">
      <c r="A799" s="4" t="s">
        <v>1777</v>
      </c>
      <c r="B799" s="3">
        <v>810139572367</v>
      </c>
      <c r="C799" s="2" t="s">
        <v>1778</v>
      </c>
      <c r="D799" s="30">
        <v>0.05</v>
      </c>
      <c r="E799" s="20">
        <v>28.166250000000002</v>
      </c>
      <c r="F799" s="27"/>
      <c r="G799" s="23">
        <f t="shared" si="48"/>
        <v>0</v>
      </c>
      <c r="J799" s="39" t="str">
        <f>IFERROR(IF($J$2*D799=0, "-", $J$2*D799), "-")</f>
        <v>-</v>
      </c>
      <c r="K799" s="39" t="str">
        <f t="shared" si="49"/>
        <v>-</v>
      </c>
      <c r="L799" s="40" t="str">
        <f>IF(F799&gt;0,F799*D799, "-")</f>
        <v>-</v>
      </c>
      <c r="M799" s="41" t="str">
        <f t="shared" si="50"/>
        <v>-</v>
      </c>
      <c r="O799" s="41" t="str">
        <f t="shared" si="51"/>
        <v>-</v>
      </c>
    </row>
    <row r="800" spans="1:15" x14ac:dyDescent="0.3">
      <c r="A800" s="4" t="s">
        <v>1779</v>
      </c>
      <c r="B800" s="3">
        <v>810139576693</v>
      </c>
      <c r="C800" s="2" t="s">
        <v>1780</v>
      </c>
      <c r="D800" s="30">
        <v>0.16</v>
      </c>
      <c r="E800" s="20">
        <v>28.166250000000002</v>
      </c>
      <c r="F800" s="27"/>
      <c r="G800" s="23">
        <f t="shared" si="48"/>
        <v>0</v>
      </c>
      <c r="J800" s="39" t="str">
        <f>IFERROR(IF($J$2*D800=0, "-", $J$2*D800), "-")</f>
        <v>-</v>
      </c>
      <c r="K800" s="39" t="str">
        <f t="shared" si="49"/>
        <v>-</v>
      </c>
      <c r="L800" s="40" t="str">
        <f>IF(F800&gt;0,F800*D800, "-")</f>
        <v>-</v>
      </c>
      <c r="M800" s="41" t="str">
        <f t="shared" si="50"/>
        <v>-</v>
      </c>
      <c r="O800" s="41" t="str">
        <f t="shared" si="51"/>
        <v>-</v>
      </c>
    </row>
    <row r="801" spans="1:15" x14ac:dyDescent="0.3">
      <c r="A801" s="4" t="s">
        <v>217</v>
      </c>
      <c r="B801" s="3">
        <v>810139573043</v>
      </c>
      <c r="C801" s="2" t="s">
        <v>1781</v>
      </c>
      <c r="D801" s="30">
        <v>0.36</v>
      </c>
      <c r="E801" s="20">
        <v>28.166250000000002</v>
      </c>
      <c r="F801" s="27"/>
      <c r="G801" s="23">
        <f t="shared" si="48"/>
        <v>0</v>
      </c>
      <c r="J801" s="39" t="str">
        <f>IFERROR(IF($J$2*D801=0, "-", $J$2*D801), "-")</f>
        <v>-</v>
      </c>
      <c r="K801" s="39" t="str">
        <f t="shared" si="49"/>
        <v>-</v>
      </c>
      <c r="L801" s="40" t="str">
        <f>IF(F801&gt;0,F801*D801, "-")</f>
        <v>-</v>
      </c>
      <c r="M801" s="41" t="str">
        <f t="shared" si="50"/>
        <v>-</v>
      </c>
      <c r="O801" s="41" t="str">
        <f t="shared" si="51"/>
        <v>-</v>
      </c>
    </row>
    <row r="802" spans="1:15" x14ac:dyDescent="0.3">
      <c r="A802" s="4" t="s">
        <v>1782</v>
      </c>
      <c r="B802" s="3">
        <v>810139573944</v>
      </c>
      <c r="C802" s="2" t="s">
        <v>1783</v>
      </c>
      <c r="D802" s="30">
        <v>0.33</v>
      </c>
      <c r="E802" s="20">
        <v>28.166250000000002</v>
      </c>
      <c r="F802" s="27"/>
      <c r="G802" s="23">
        <f t="shared" si="48"/>
        <v>0</v>
      </c>
      <c r="J802" s="39" t="str">
        <f>IFERROR(IF($J$2*D802=0, "-", $J$2*D802), "-")</f>
        <v>-</v>
      </c>
      <c r="K802" s="39" t="str">
        <f t="shared" si="49"/>
        <v>-</v>
      </c>
      <c r="L802" s="40" t="str">
        <f>IF(F802&gt;0,F802*D802, "-")</f>
        <v>-</v>
      </c>
      <c r="M802" s="41" t="str">
        <f t="shared" si="50"/>
        <v>-</v>
      </c>
      <c r="O802" s="41" t="str">
        <f t="shared" si="51"/>
        <v>-</v>
      </c>
    </row>
    <row r="803" spans="1:15" x14ac:dyDescent="0.3">
      <c r="A803" s="4" t="s">
        <v>1784</v>
      </c>
      <c r="B803" s="3">
        <v>810139572312</v>
      </c>
      <c r="C803" s="2" t="s">
        <v>1785</v>
      </c>
      <c r="D803" s="30">
        <v>0.51</v>
      </c>
      <c r="E803" s="20">
        <v>28.166250000000002</v>
      </c>
      <c r="F803" s="27"/>
      <c r="G803" s="23">
        <f t="shared" si="48"/>
        <v>0</v>
      </c>
      <c r="J803" s="39" t="str">
        <f>IFERROR(IF($J$2*D803=0, "-", $J$2*D803), "-")</f>
        <v>-</v>
      </c>
      <c r="K803" s="39" t="str">
        <f t="shared" si="49"/>
        <v>-</v>
      </c>
      <c r="L803" s="40" t="str">
        <f>IF(F803&gt;0,F803*D803, "-")</f>
        <v>-</v>
      </c>
      <c r="M803" s="41" t="str">
        <f t="shared" si="50"/>
        <v>-</v>
      </c>
      <c r="O803" s="41" t="str">
        <f t="shared" si="51"/>
        <v>-</v>
      </c>
    </row>
    <row r="804" spans="1:15" x14ac:dyDescent="0.3">
      <c r="A804" s="4" t="s">
        <v>226</v>
      </c>
      <c r="B804" s="3">
        <v>702669937368</v>
      </c>
      <c r="C804" s="2" t="s">
        <v>1786</v>
      </c>
      <c r="D804" s="30">
        <v>2.73</v>
      </c>
      <c r="E804" s="20">
        <v>28.546875</v>
      </c>
      <c r="F804" s="27"/>
      <c r="G804" s="23">
        <f t="shared" si="48"/>
        <v>0</v>
      </c>
      <c r="J804" s="39" t="str">
        <f>IFERROR(IF($J$2*D804=0, "-", $J$2*D804), "-")</f>
        <v>-</v>
      </c>
      <c r="K804" s="39" t="str">
        <f t="shared" si="49"/>
        <v>-</v>
      </c>
      <c r="L804" s="40" t="str">
        <f>IF(F804&gt;0,F804*D804, "-")</f>
        <v>-</v>
      </c>
      <c r="M804" s="41" t="str">
        <f t="shared" si="50"/>
        <v>-</v>
      </c>
      <c r="O804" s="41" t="str">
        <f t="shared" si="51"/>
        <v>-</v>
      </c>
    </row>
    <row r="805" spans="1:15" x14ac:dyDescent="0.3">
      <c r="A805" s="4" t="s">
        <v>321</v>
      </c>
      <c r="B805" s="3">
        <v>810014671758</v>
      </c>
      <c r="C805" s="2" t="s">
        <v>1787</v>
      </c>
      <c r="D805" s="30">
        <v>0.61</v>
      </c>
      <c r="E805" s="20">
        <v>28.546875</v>
      </c>
      <c r="F805" s="27"/>
      <c r="G805" s="23">
        <f t="shared" si="48"/>
        <v>0</v>
      </c>
      <c r="J805" s="39" t="str">
        <f>IFERROR(IF($J$2*D805=0, "-", $J$2*D805), "-")</f>
        <v>-</v>
      </c>
      <c r="K805" s="39" t="str">
        <f t="shared" si="49"/>
        <v>-</v>
      </c>
      <c r="L805" s="40" t="str">
        <f>IF(F805&gt;0,F805*D805, "-")</f>
        <v>-</v>
      </c>
      <c r="M805" s="41" t="str">
        <f t="shared" si="50"/>
        <v>-</v>
      </c>
      <c r="O805" s="41" t="str">
        <f t="shared" si="51"/>
        <v>-</v>
      </c>
    </row>
    <row r="806" spans="1:15" x14ac:dyDescent="0.3">
      <c r="A806" s="4" t="s">
        <v>176</v>
      </c>
      <c r="B806" s="3">
        <v>810139573227</v>
      </c>
      <c r="C806" s="2" t="s">
        <v>1788</v>
      </c>
      <c r="D806" s="30">
        <v>1.17</v>
      </c>
      <c r="E806" s="20">
        <v>28.927499999999998</v>
      </c>
      <c r="F806" s="27"/>
      <c r="G806" s="23">
        <f t="shared" si="48"/>
        <v>0</v>
      </c>
      <c r="J806" s="39" t="str">
        <f>IFERROR(IF($J$2*D806=0, "-", $J$2*D806), "-")</f>
        <v>-</v>
      </c>
      <c r="K806" s="39" t="str">
        <f t="shared" si="49"/>
        <v>-</v>
      </c>
      <c r="L806" s="40" t="str">
        <f>IF(F806&gt;0,F806*D806, "-")</f>
        <v>-</v>
      </c>
      <c r="M806" s="41" t="str">
        <f t="shared" si="50"/>
        <v>-</v>
      </c>
      <c r="O806" s="41" t="str">
        <f t="shared" si="51"/>
        <v>-</v>
      </c>
    </row>
    <row r="807" spans="1:15" x14ac:dyDescent="0.3">
      <c r="A807" s="4" t="s">
        <v>415</v>
      </c>
      <c r="B807" s="3">
        <v>810139570134</v>
      </c>
      <c r="C807" s="2" t="s">
        <v>1789</v>
      </c>
      <c r="D807" s="30">
        <v>0.67</v>
      </c>
      <c r="E807" s="20">
        <v>28.927499999999998</v>
      </c>
      <c r="F807" s="27"/>
      <c r="G807" s="23">
        <f t="shared" si="48"/>
        <v>0</v>
      </c>
      <c r="J807" s="39" t="str">
        <f>IFERROR(IF($J$2*D807=0, "-", $J$2*D807), "-")</f>
        <v>-</v>
      </c>
      <c r="K807" s="39" t="str">
        <f t="shared" si="49"/>
        <v>-</v>
      </c>
      <c r="L807" s="40" t="str">
        <f>IF(F807&gt;0,F807*D807, "-")</f>
        <v>-</v>
      </c>
      <c r="M807" s="41" t="str">
        <f t="shared" si="50"/>
        <v>-</v>
      </c>
      <c r="O807" s="41" t="str">
        <f t="shared" si="51"/>
        <v>-</v>
      </c>
    </row>
    <row r="808" spans="1:15" x14ac:dyDescent="0.3">
      <c r="A808" s="4" t="s">
        <v>1790</v>
      </c>
      <c r="B808" s="3">
        <v>810139575238</v>
      </c>
      <c r="C808" s="2" t="s">
        <v>1791</v>
      </c>
      <c r="D808" s="30">
        <v>0.87</v>
      </c>
      <c r="E808" s="20">
        <v>28.927499999999998</v>
      </c>
      <c r="F808" s="27"/>
      <c r="G808" s="23"/>
      <c r="J808" s="39" t="str">
        <f t="shared" ref="J808:J871" si="52">IFERROR(IF($J$2*D808=0, "-", $J$2*D808), "-")</f>
        <v>-</v>
      </c>
      <c r="K808" s="39" t="str">
        <f t="shared" ref="K808:K871" si="53">IF(F808&gt;0,E808+J808,"-")</f>
        <v>-</v>
      </c>
      <c r="L808" s="40" t="str">
        <f t="shared" ref="L808:L871" si="54">IF(F808&gt;0,F808*D808, "-")</f>
        <v>-</v>
      </c>
      <c r="M808" s="41" t="str">
        <f t="shared" si="50"/>
        <v>-</v>
      </c>
      <c r="O808" s="41" t="str">
        <f t="shared" ref="O808:O871" si="55">IFERROR(IF(M808+G808=0, "-", IF(M808&gt;0, M808+G808, "-")), "-")</f>
        <v>-</v>
      </c>
    </row>
    <row r="809" spans="1:15" x14ac:dyDescent="0.3">
      <c r="A809" s="4" t="s">
        <v>563</v>
      </c>
      <c r="B809" s="3">
        <v>810139570486</v>
      </c>
      <c r="C809" s="2" t="s">
        <v>1792</v>
      </c>
      <c r="D809" s="30">
        <v>0.51</v>
      </c>
      <c r="E809" s="20">
        <v>28.927499999999998</v>
      </c>
      <c r="F809" s="27"/>
      <c r="G809" s="23"/>
      <c r="J809" s="39" t="str">
        <f t="shared" si="52"/>
        <v>-</v>
      </c>
      <c r="K809" s="39" t="str">
        <f t="shared" si="53"/>
        <v>-</v>
      </c>
      <c r="L809" s="40" t="str">
        <f t="shared" si="54"/>
        <v>-</v>
      </c>
      <c r="M809" s="41" t="str">
        <f t="shared" si="50"/>
        <v>-</v>
      </c>
      <c r="O809" s="41" t="str">
        <f t="shared" si="55"/>
        <v>-</v>
      </c>
    </row>
    <row r="810" spans="1:15" x14ac:dyDescent="0.3">
      <c r="A810" s="4" t="s">
        <v>562</v>
      </c>
      <c r="B810" s="3">
        <v>810139570479</v>
      </c>
      <c r="C810" s="2" t="s">
        <v>1793</v>
      </c>
      <c r="D810" s="30">
        <v>0.59</v>
      </c>
      <c r="E810" s="20">
        <v>28.927499999999998</v>
      </c>
      <c r="F810" s="27"/>
      <c r="G810" s="23"/>
      <c r="J810" s="39" t="str">
        <f t="shared" si="52"/>
        <v>-</v>
      </c>
      <c r="K810" s="39" t="str">
        <f t="shared" si="53"/>
        <v>-</v>
      </c>
      <c r="L810" s="40" t="str">
        <f t="shared" si="54"/>
        <v>-</v>
      </c>
      <c r="M810" s="41" t="str">
        <f t="shared" si="50"/>
        <v>-</v>
      </c>
      <c r="O810" s="41" t="str">
        <f t="shared" si="55"/>
        <v>-</v>
      </c>
    </row>
    <row r="811" spans="1:15" x14ac:dyDescent="0.3">
      <c r="A811" s="4" t="s">
        <v>561</v>
      </c>
      <c r="B811" s="3">
        <v>810139570493</v>
      </c>
      <c r="C811" s="2" t="s">
        <v>1794</v>
      </c>
      <c r="D811" s="30">
        <v>0.59</v>
      </c>
      <c r="E811" s="20">
        <v>28.927499999999998</v>
      </c>
      <c r="F811" s="27"/>
      <c r="G811" s="23"/>
      <c r="J811" s="39" t="str">
        <f t="shared" si="52"/>
        <v>-</v>
      </c>
      <c r="K811" s="39" t="str">
        <f t="shared" si="53"/>
        <v>-</v>
      </c>
      <c r="L811" s="40" t="str">
        <f t="shared" si="54"/>
        <v>-</v>
      </c>
      <c r="M811" s="41" t="str">
        <f t="shared" si="50"/>
        <v>-</v>
      </c>
      <c r="O811" s="41" t="str">
        <f t="shared" si="55"/>
        <v>-</v>
      </c>
    </row>
    <row r="812" spans="1:15" x14ac:dyDescent="0.3">
      <c r="A812" s="4" t="s">
        <v>322</v>
      </c>
      <c r="B812" s="3">
        <v>810014672380</v>
      </c>
      <c r="C812" s="2" t="s">
        <v>1795</v>
      </c>
      <c r="D812" s="30">
        <v>0.86</v>
      </c>
      <c r="E812" s="20">
        <v>28.927499999999998</v>
      </c>
      <c r="F812" s="27"/>
      <c r="G812" s="23"/>
      <c r="J812" s="39" t="str">
        <f t="shared" si="52"/>
        <v>-</v>
      </c>
      <c r="K812" s="39" t="str">
        <f t="shared" si="53"/>
        <v>-</v>
      </c>
      <c r="L812" s="40" t="str">
        <f t="shared" si="54"/>
        <v>-</v>
      </c>
      <c r="M812" s="41" t="str">
        <f t="shared" si="50"/>
        <v>-</v>
      </c>
      <c r="O812" s="41" t="str">
        <f t="shared" si="55"/>
        <v>-</v>
      </c>
    </row>
    <row r="813" spans="1:15" x14ac:dyDescent="0.3">
      <c r="A813" s="4" t="s">
        <v>1796</v>
      </c>
      <c r="B813" s="3">
        <v>810139572329</v>
      </c>
      <c r="C813" s="2" t="s">
        <v>1797</v>
      </c>
      <c r="D813" s="30">
        <v>0.91</v>
      </c>
      <c r="E813" s="20">
        <v>28.927499999999998</v>
      </c>
      <c r="F813" s="27"/>
      <c r="G813" s="23"/>
      <c r="J813" s="39" t="str">
        <f t="shared" si="52"/>
        <v>-</v>
      </c>
      <c r="K813" s="39" t="str">
        <f t="shared" si="53"/>
        <v>-</v>
      </c>
      <c r="L813" s="40" t="str">
        <f t="shared" si="54"/>
        <v>-</v>
      </c>
      <c r="M813" s="41" t="str">
        <f t="shared" si="50"/>
        <v>-</v>
      </c>
      <c r="O813" s="41" t="str">
        <f t="shared" si="55"/>
        <v>-</v>
      </c>
    </row>
    <row r="814" spans="1:15" x14ac:dyDescent="0.3">
      <c r="A814" s="4" t="s">
        <v>23</v>
      </c>
      <c r="B814" s="3">
        <v>810014679105</v>
      </c>
      <c r="C814" s="2" t="s">
        <v>1798</v>
      </c>
      <c r="D814" s="30">
        <v>0.16</v>
      </c>
      <c r="E814" s="20">
        <v>28.927499999999998</v>
      </c>
      <c r="F814" s="27"/>
      <c r="G814" s="23"/>
      <c r="J814" s="39" t="str">
        <f t="shared" si="52"/>
        <v>-</v>
      </c>
      <c r="K814" s="39" t="str">
        <f t="shared" si="53"/>
        <v>-</v>
      </c>
      <c r="L814" s="40" t="str">
        <f t="shared" si="54"/>
        <v>-</v>
      </c>
      <c r="M814" s="41" t="str">
        <f t="shared" si="50"/>
        <v>-</v>
      </c>
      <c r="O814" s="41" t="str">
        <f t="shared" si="55"/>
        <v>-</v>
      </c>
    </row>
    <row r="815" spans="1:15" x14ac:dyDescent="0.3">
      <c r="A815" s="4" t="s">
        <v>664</v>
      </c>
      <c r="B815" s="3">
        <v>810014679532</v>
      </c>
      <c r="C815" s="2" t="s">
        <v>1799</v>
      </c>
      <c r="D815" s="30">
        <v>0.3</v>
      </c>
      <c r="E815" s="20">
        <v>28.927499999999998</v>
      </c>
      <c r="F815" s="27"/>
      <c r="G815" s="23"/>
      <c r="J815" s="39" t="str">
        <f t="shared" si="52"/>
        <v>-</v>
      </c>
      <c r="K815" s="39" t="str">
        <f t="shared" si="53"/>
        <v>-</v>
      </c>
      <c r="L815" s="40" t="str">
        <f t="shared" si="54"/>
        <v>-</v>
      </c>
      <c r="M815" s="41" t="str">
        <f t="shared" si="50"/>
        <v>-</v>
      </c>
      <c r="O815" s="41" t="str">
        <f t="shared" si="55"/>
        <v>-</v>
      </c>
    </row>
    <row r="816" spans="1:15" x14ac:dyDescent="0.3">
      <c r="A816" s="4" t="s">
        <v>1800</v>
      </c>
      <c r="B816" s="3">
        <v>810139577706</v>
      </c>
      <c r="C816" s="2" t="s">
        <v>1801</v>
      </c>
      <c r="D816" s="30">
        <v>0.84</v>
      </c>
      <c r="E816" s="20">
        <v>29.688750000000002</v>
      </c>
      <c r="F816" s="27"/>
      <c r="G816" s="23"/>
      <c r="J816" s="39" t="str">
        <f t="shared" si="52"/>
        <v>-</v>
      </c>
      <c r="K816" s="39" t="str">
        <f t="shared" si="53"/>
        <v>-</v>
      </c>
      <c r="L816" s="40" t="str">
        <f t="shared" si="54"/>
        <v>-</v>
      </c>
      <c r="M816" s="41" t="str">
        <f t="shared" si="50"/>
        <v>-</v>
      </c>
      <c r="O816" s="41" t="str">
        <f t="shared" si="55"/>
        <v>-</v>
      </c>
    </row>
    <row r="817" spans="1:15" x14ac:dyDescent="0.3">
      <c r="A817" s="4" t="s">
        <v>354</v>
      </c>
      <c r="B817" s="3">
        <v>810014679051</v>
      </c>
      <c r="C817" s="2" t="s">
        <v>1802</v>
      </c>
      <c r="D817" s="30">
        <v>0.65</v>
      </c>
      <c r="E817" s="20">
        <v>29.688750000000002</v>
      </c>
      <c r="F817" s="27"/>
      <c r="G817" s="23"/>
      <c r="J817" s="39" t="str">
        <f t="shared" si="52"/>
        <v>-</v>
      </c>
      <c r="K817" s="39" t="str">
        <f t="shared" si="53"/>
        <v>-</v>
      </c>
      <c r="L817" s="40" t="str">
        <f t="shared" si="54"/>
        <v>-</v>
      </c>
      <c r="M817" s="41" t="str">
        <f t="shared" si="50"/>
        <v>-</v>
      </c>
      <c r="O817" s="41" t="str">
        <f t="shared" si="55"/>
        <v>-</v>
      </c>
    </row>
    <row r="818" spans="1:15" x14ac:dyDescent="0.3">
      <c r="A818" s="4" t="s">
        <v>355</v>
      </c>
      <c r="B818" s="3">
        <v>810014679068</v>
      </c>
      <c r="C818" s="2" t="s">
        <v>1803</v>
      </c>
      <c r="D818" s="30">
        <v>0.65</v>
      </c>
      <c r="E818" s="20">
        <v>29.688750000000002</v>
      </c>
      <c r="F818" s="27"/>
      <c r="G818" s="23"/>
      <c r="J818" s="39" t="str">
        <f t="shared" si="52"/>
        <v>-</v>
      </c>
      <c r="K818" s="39" t="str">
        <f t="shared" si="53"/>
        <v>-</v>
      </c>
      <c r="L818" s="40" t="str">
        <f t="shared" si="54"/>
        <v>-</v>
      </c>
      <c r="M818" s="41" t="str">
        <f t="shared" si="50"/>
        <v>-</v>
      </c>
      <c r="O818" s="41" t="str">
        <f t="shared" si="55"/>
        <v>-</v>
      </c>
    </row>
    <row r="819" spans="1:15" x14ac:dyDescent="0.3">
      <c r="A819" s="4" t="s">
        <v>70</v>
      </c>
      <c r="B819" s="3">
        <v>857077008251</v>
      </c>
      <c r="C819" s="2" t="s">
        <v>1804</v>
      </c>
      <c r="D819" s="30">
        <v>0.79</v>
      </c>
      <c r="E819" s="20">
        <v>29.688750000000002</v>
      </c>
      <c r="F819" s="27"/>
      <c r="G819" s="23"/>
      <c r="J819" s="39" t="str">
        <f t="shared" si="52"/>
        <v>-</v>
      </c>
      <c r="K819" s="39" t="str">
        <f t="shared" si="53"/>
        <v>-</v>
      </c>
      <c r="L819" s="40" t="str">
        <f t="shared" si="54"/>
        <v>-</v>
      </c>
      <c r="M819" s="41" t="str">
        <f t="shared" si="50"/>
        <v>-</v>
      </c>
      <c r="O819" s="41" t="str">
        <f t="shared" si="55"/>
        <v>-</v>
      </c>
    </row>
    <row r="820" spans="1:15" x14ac:dyDescent="0.3">
      <c r="A820" s="4" t="s">
        <v>67</v>
      </c>
      <c r="B820" s="3">
        <v>857077008565</v>
      </c>
      <c r="C820" s="2" t="s">
        <v>1805</v>
      </c>
      <c r="D820" s="30">
        <v>0.66</v>
      </c>
      <c r="E820" s="20">
        <v>29.688750000000002</v>
      </c>
      <c r="F820" s="27"/>
      <c r="G820" s="23"/>
      <c r="J820" s="39" t="str">
        <f t="shared" si="52"/>
        <v>-</v>
      </c>
      <c r="K820" s="39" t="str">
        <f t="shared" si="53"/>
        <v>-</v>
      </c>
      <c r="L820" s="40" t="str">
        <f t="shared" si="54"/>
        <v>-</v>
      </c>
      <c r="M820" s="41" t="str">
        <f t="shared" si="50"/>
        <v>-</v>
      </c>
      <c r="O820" s="41" t="str">
        <f t="shared" si="55"/>
        <v>-</v>
      </c>
    </row>
    <row r="821" spans="1:15" x14ac:dyDescent="0.3">
      <c r="A821" s="4" t="s">
        <v>73</v>
      </c>
      <c r="B821" s="3">
        <v>857077008596</v>
      </c>
      <c r="C821" s="2" t="s">
        <v>1806</v>
      </c>
      <c r="D821" s="30">
        <v>0.68</v>
      </c>
      <c r="E821" s="20">
        <v>29.688750000000002</v>
      </c>
      <c r="F821" s="27"/>
      <c r="G821" s="23"/>
      <c r="J821" s="39" t="str">
        <f t="shared" si="52"/>
        <v>-</v>
      </c>
      <c r="K821" s="39" t="str">
        <f t="shared" si="53"/>
        <v>-</v>
      </c>
      <c r="L821" s="40" t="str">
        <f t="shared" si="54"/>
        <v>-</v>
      </c>
      <c r="M821" s="41" t="str">
        <f t="shared" si="50"/>
        <v>-</v>
      </c>
      <c r="O821" s="41" t="str">
        <f t="shared" si="55"/>
        <v>-</v>
      </c>
    </row>
    <row r="822" spans="1:15" x14ac:dyDescent="0.3">
      <c r="A822" s="4" t="s">
        <v>61</v>
      </c>
      <c r="B822" s="3">
        <v>857077008534</v>
      </c>
      <c r="C822" s="2" t="s">
        <v>1807</v>
      </c>
      <c r="D822" s="30">
        <v>0.71</v>
      </c>
      <c r="E822" s="20">
        <v>29.688750000000002</v>
      </c>
      <c r="F822" s="27"/>
      <c r="G822" s="23"/>
      <c r="J822" s="39" t="str">
        <f t="shared" si="52"/>
        <v>-</v>
      </c>
      <c r="K822" s="39" t="str">
        <f t="shared" si="53"/>
        <v>-</v>
      </c>
      <c r="L822" s="40" t="str">
        <f t="shared" si="54"/>
        <v>-</v>
      </c>
      <c r="M822" s="41" t="str">
        <f t="shared" si="50"/>
        <v>-</v>
      </c>
      <c r="O822" s="41" t="str">
        <f t="shared" si="55"/>
        <v>-</v>
      </c>
    </row>
    <row r="823" spans="1:15" x14ac:dyDescent="0.3">
      <c r="A823" s="4" t="s">
        <v>1808</v>
      </c>
      <c r="B823" s="3">
        <v>810139572756</v>
      </c>
      <c r="C823" s="2" t="s">
        <v>1809</v>
      </c>
      <c r="D823" s="30">
        <v>0.61</v>
      </c>
      <c r="E823" s="20">
        <v>29.688750000000002</v>
      </c>
      <c r="F823" s="27"/>
      <c r="G823" s="23"/>
      <c r="J823" s="39" t="str">
        <f t="shared" si="52"/>
        <v>-</v>
      </c>
      <c r="K823" s="39" t="str">
        <f t="shared" si="53"/>
        <v>-</v>
      </c>
      <c r="L823" s="40" t="str">
        <f t="shared" si="54"/>
        <v>-</v>
      </c>
      <c r="M823" s="41" t="str">
        <f t="shared" si="50"/>
        <v>-</v>
      </c>
      <c r="O823" s="41" t="str">
        <f t="shared" si="55"/>
        <v>-</v>
      </c>
    </row>
    <row r="824" spans="1:15" x14ac:dyDescent="0.3">
      <c r="A824" s="4" t="s">
        <v>64</v>
      </c>
      <c r="B824" s="3">
        <v>810139574408</v>
      </c>
      <c r="C824" s="2" t="s">
        <v>1810</v>
      </c>
      <c r="D824" s="30">
        <v>0.73</v>
      </c>
      <c r="E824" s="20">
        <v>29.688750000000002</v>
      </c>
      <c r="F824" s="27"/>
      <c r="G824" s="23"/>
      <c r="J824" s="39" t="str">
        <f t="shared" si="52"/>
        <v>-</v>
      </c>
      <c r="K824" s="39" t="str">
        <f t="shared" si="53"/>
        <v>-</v>
      </c>
      <c r="L824" s="40" t="str">
        <f t="shared" si="54"/>
        <v>-</v>
      </c>
      <c r="M824" s="41" t="str">
        <f t="shared" si="50"/>
        <v>-</v>
      </c>
      <c r="O824" s="41" t="str">
        <f t="shared" si="55"/>
        <v>-</v>
      </c>
    </row>
    <row r="825" spans="1:15" x14ac:dyDescent="0.3">
      <c r="A825" s="4" t="s">
        <v>1811</v>
      </c>
      <c r="B825" s="3">
        <v>810139572619</v>
      </c>
      <c r="C825" s="2" t="s">
        <v>1812</v>
      </c>
      <c r="D825" s="30">
        <v>0.61</v>
      </c>
      <c r="E825" s="20">
        <v>29.688750000000002</v>
      </c>
      <c r="F825" s="27"/>
      <c r="G825" s="23"/>
      <c r="J825" s="39" t="str">
        <f t="shared" si="52"/>
        <v>-</v>
      </c>
      <c r="K825" s="39" t="str">
        <f t="shared" si="53"/>
        <v>-</v>
      </c>
      <c r="L825" s="40" t="str">
        <f t="shared" si="54"/>
        <v>-</v>
      </c>
      <c r="M825" s="41" t="str">
        <f t="shared" si="50"/>
        <v>-</v>
      </c>
      <c r="O825" s="41" t="str">
        <f t="shared" si="55"/>
        <v>-</v>
      </c>
    </row>
    <row r="826" spans="1:15" x14ac:dyDescent="0.3">
      <c r="A826" s="4" t="s">
        <v>65</v>
      </c>
      <c r="B826" s="3">
        <v>810014676005</v>
      </c>
      <c r="C826" s="2" t="s">
        <v>1813</v>
      </c>
      <c r="D826" s="30">
        <v>0.68</v>
      </c>
      <c r="E826" s="20">
        <v>29.688750000000002</v>
      </c>
      <c r="F826" s="27"/>
      <c r="G826" s="23"/>
      <c r="J826" s="39" t="str">
        <f t="shared" si="52"/>
        <v>-</v>
      </c>
      <c r="K826" s="39" t="str">
        <f t="shared" si="53"/>
        <v>-</v>
      </c>
      <c r="L826" s="40" t="str">
        <f t="shared" si="54"/>
        <v>-</v>
      </c>
      <c r="M826" s="41" t="str">
        <f t="shared" si="50"/>
        <v>-</v>
      </c>
      <c r="O826" s="41" t="str">
        <f t="shared" si="55"/>
        <v>-</v>
      </c>
    </row>
    <row r="827" spans="1:15" x14ac:dyDescent="0.3">
      <c r="A827" s="4" t="s">
        <v>546</v>
      </c>
      <c r="B827" s="3">
        <v>810014671239</v>
      </c>
      <c r="C827" s="2" t="s">
        <v>1814</v>
      </c>
      <c r="D827" s="30">
        <v>0.16</v>
      </c>
      <c r="E827" s="20">
        <v>29.688750000000002</v>
      </c>
      <c r="F827" s="27"/>
      <c r="G827" s="23"/>
      <c r="J827" s="39" t="str">
        <f t="shared" si="52"/>
        <v>-</v>
      </c>
      <c r="K827" s="39" t="str">
        <f t="shared" si="53"/>
        <v>-</v>
      </c>
      <c r="L827" s="40" t="str">
        <f t="shared" si="54"/>
        <v>-</v>
      </c>
      <c r="M827" s="41" t="str">
        <f t="shared" si="50"/>
        <v>-</v>
      </c>
      <c r="O827" s="41" t="str">
        <f t="shared" si="55"/>
        <v>-</v>
      </c>
    </row>
    <row r="828" spans="1:15" x14ac:dyDescent="0.3">
      <c r="A828" s="4" t="s">
        <v>171</v>
      </c>
      <c r="B828" s="3">
        <v>810014673905</v>
      </c>
      <c r="C828" s="2" t="s">
        <v>1815</v>
      </c>
      <c r="D828" s="30">
        <v>2.68</v>
      </c>
      <c r="E828" s="20">
        <v>30.45</v>
      </c>
      <c r="F828" s="27"/>
      <c r="G828" s="23"/>
      <c r="J828" s="39" t="str">
        <f t="shared" si="52"/>
        <v>-</v>
      </c>
      <c r="K828" s="39" t="str">
        <f t="shared" si="53"/>
        <v>-</v>
      </c>
      <c r="L828" s="40" t="str">
        <f t="shared" si="54"/>
        <v>-</v>
      </c>
      <c r="M828" s="41" t="str">
        <f t="shared" si="50"/>
        <v>-</v>
      </c>
      <c r="O828" s="41" t="str">
        <f t="shared" si="55"/>
        <v>-</v>
      </c>
    </row>
    <row r="829" spans="1:15" x14ac:dyDescent="0.3">
      <c r="A829" s="4" t="s">
        <v>179</v>
      </c>
      <c r="B829" s="3">
        <v>810139571445</v>
      </c>
      <c r="C829" s="2" t="s">
        <v>1816</v>
      </c>
      <c r="D829" s="30">
        <v>1.2</v>
      </c>
      <c r="E829" s="20">
        <v>30.45</v>
      </c>
      <c r="F829" s="27"/>
      <c r="G829" s="23"/>
      <c r="J829" s="39" t="str">
        <f t="shared" si="52"/>
        <v>-</v>
      </c>
      <c r="K829" s="39" t="str">
        <f t="shared" si="53"/>
        <v>-</v>
      </c>
      <c r="L829" s="40" t="str">
        <f t="shared" si="54"/>
        <v>-</v>
      </c>
      <c r="M829" s="41" t="str">
        <f t="shared" si="50"/>
        <v>-</v>
      </c>
      <c r="O829" s="41" t="str">
        <f t="shared" si="55"/>
        <v>-</v>
      </c>
    </row>
    <row r="830" spans="1:15" x14ac:dyDescent="0.3">
      <c r="A830" s="4" t="s">
        <v>1817</v>
      </c>
      <c r="B830" s="3">
        <v>810139571209</v>
      </c>
      <c r="C830" s="2" t="s">
        <v>1818</v>
      </c>
      <c r="D830" s="30">
        <v>0.78</v>
      </c>
      <c r="E830" s="20">
        <v>30.45</v>
      </c>
      <c r="F830" s="27"/>
      <c r="G830" s="23"/>
      <c r="J830" s="39" t="str">
        <f t="shared" si="52"/>
        <v>-</v>
      </c>
      <c r="K830" s="39" t="str">
        <f t="shared" si="53"/>
        <v>-</v>
      </c>
      <c r="L830" s="40" t="str">
        <f t="shared" si="54"/>
        <v>-</v>
      </c>
      <c r="M830" s="41" t="str">
        <f t="shared" si="50"/>
        <v>-</v>
      </c>
      <c r="O830" s="41" t="str">
        <f t="shared" si="55"/>
        <v>-</v>
      </c>
    </row>
    <row r="831" spans="1:15" x14ac:dyDescent="0.3">
      <c r="A831" s="4" t="s">
        <v>1819</v>
      </c>
      <c r="B831" s="3">
        <v>810139571193</v>
      </c>
      <c r="C831" s="2" t="s">
        <v>1820</v>
      </c>
      <c r="D831" s="30">
        <v>0.67</v>
      </c>
      <c r="E831" s="20">
        <v>30.45</v>
      </c>
      <c r="F831" s="27"/>
      <c r="G831" s="23"/>
      <c r="J831" s="39" t="str">
        <f t="shared" si="52"/>
        <v>-</v>
      </c>
      <c r="K831" s="39" t="str">
        <f t="shared" si="53"/>
        <v>-</v>
      </c>
      <c r="L831" s="40" t="str">
        <f t="shared" si="54"/>
        <v>-</v>
      </c>
      <c r="M831" s="41" t="str">
        <f t="shared" si="50"/>
        <v>-</v>
      </c>
      <c r="O831" s="41" t="str">
        <f t="shared" si="55"/>
        <v>-</v>
      </c>
    </row>
    <row r="832" spans="1:15" x14ac:dyDescent="0.3">
      <c r="A832" s="4" t="s">
        <v>1821</v>
      </c>
      <c r="B832" s="3">
        <v>810139574460</v>
      </c>
      <c r="C832" s="2" t="s">
        <v>1822</v>
      </c>
      <c r="D832" s="30">
        <v>0.49</v>
      </c>
      <c r="E832" s="20">
        <v>30.45</v>
      </c>
      <c r="F832" s="27"/>
      <c r="G832" s="23"/>
      <c r="J832" s="39" t="str">
        <f t="shared" si="52"/>
        <v>-</v>
      </c>
      <c r="K832" s="39" t="str">
        <f t="shared" si="53"/>
        <v>-</v>
      </c>
      <c r="L832" s="40" t="str">
        <f t="shared" si="54"/>
        <v>-</v>
      </c>
      <c r="M832" s="41" t="str">
        <f t="shared" si="50"/>
        <v>-</v>
      </c>
      <c r="O832" s="41" t="str">
        <f t="shared" si="55"/>
        <v>-</v>
      </c>
    </row>
    <row r="833" spans="1:15" x14ac:dyDescent="0.3">
      <c r="A833" s="4" t="s">
        <v>248</v>
      </c>
      <c r="B833" s="3">
        <v>810014676876</v>
      </c>
      <c r="C833" s="2" t="s">
        <v>1823</v>
      </c>
      <c r="D833" s="30">
        <v>0.35</v>
      </c>
      <c r="E833" s="20">
        <v>30.45</v>
      </c>
      <c r="F833" s="27"/>
      <c r="G833" s="23"/>
      <c r="J833" s="39" t="str">
        <f t="shared" si="52"/>
        <v>-</v>
      </c>
      <c r="K833" s="39" t="str">
        <f t="shared" si="53"/>
        <v>-</v>
      </c>
      <c r="L833" s="40" t="str">
        <f t="shared" si="54"/>
        <v>-</v>
      </c>
      <c r="M833" s="41" t="str">
        <f t="shared" si="50"/>
        <v>-</v>
      </c>
      <c r="O833" s="41" t="str">
        <f t="shared" si="55"/>
        <v>-</v>
      </c>
    </row>
    <row r="834" spans="1:15" x14ac:dyDescent="0.3">
      <c r="A834" s="4" t="s">
        <v>1824</v>
      </c>
      <c r="B834" s="3">
        <v>810139573401</v>
      </c>
      <c r="C834" s="2" t="s">
        <v>1825</v>
      </c>
      <c r="D834" s="30">
        <v>0.35</v>
      </c>
      <c r="E834" s="20">
        <v>30.45</v>
      </c>
      <c r="F834" s="27"/>
      <c r="G834" s="23"/>
      <c r="J834" s="39" t="str">
        <f t="shared" si="52"/>
        <v>-</v>
      </c>
      <c r="K834" s="39" t="str">
        <f t="shared" si="53"/>
        <v>-</v>
      </c>
      <c r="L834" s="40" t="str">
        <f t="shared" si="54"/>
        <v>-</v>
      </c>
      <c r="M834" s="41" t="str">
        <f t="shared" si="50"/>
        <v>-</v>
      </c>
      <c r="O834" s="41" t="str">
        <f t="shared" si="55"/>
        <v>-</v>
      </c>
    </row>
    <row r="835" spans="1:15" x14ac:dyDescent="0.3">
      <c r="A835" s="4" t="s">
        <v>1826</v>
      </c>
      <c r="B835" s="3">
        <v>810139574415</v>
      </c>
      <c r="C835" s="2" t="s">
        <v>1827</v>
      </c>
      <c r="D835" s="30">
        <v>0.35</v>
      </c>
      <c r="E835" s="20">
        <v>30.45</v>
      </c>
      <c r="F835" s="27"/>
      <c r="G835" s="23"/>
      <c r="J835" s="39" t="str">
        <f t="shared" si="52"/>
        <v>-</v>
      </c>
      <c r="K835" s="39" t="str">
        <f t="shared" si="53"/>
        <v>-</v>
      </c>
      <c r="L835" s="40" t="str">
        <f t="shared" si="54"/>
        <v>-</v>
      </c>
      <c r="M835" s="41" t="str">
        <f t="shared" si="50"/>
        <v>-</v>
      </c>
      <c r="O835" s="41" t="str">
        <f t="shared" si="55"/>
        <v>-</v>
      </c>
    </row>
    <row r="836" spans="1:15" x14ac:dyDescent="0.3">
      <c r="A836" s="4" t="s">
        <v>1828</v>
      </c>
      <c r="B836" s="3">
        <v>810139571421</v>
      </c>
      <c r="C836" s="2" t="s">
        <v>1829</v>
      </c>
      <c r="D836" s="30">
        <v>0.34</v>
      </c>
      <c r="E836" s="20">
        <v>30.45</v>
      </c>
      <c r="F836" s="27"/>
      <c r="G836" s="23"/>
      <c r="J836" s="39" t="str">
        <f t="shared" si="52"/>
        <v>-</v>
      </c>
      <c r="K836" s="39" t="str">
        <f t="shared" si="53"/>
        <v>-</v>
      </c>
      <c r="L836" s="40" t="str">
        <f t="shared" si="54"/>
        <v>-</v>
      </c>
      <c r="M836" s="41" t="str">
        <f t="shared" ref="M836:M899" si="56">IFERROR(IF($J$2&gt;0, $J$2*L836, "-"), "-")</f>
        <v>-</v>
      </c>
      <c r="O836" s="41" t="str">
        <f t="shared" si="55"/>
        <v>-</v>
      </c>
    </row>
    <row r="837" spans="1:15" x14ac:dyDescent="0.3">
      <c r="A837" s="4" t="s">
        <v>1830</v>
      </c>
      <c r="B837" s="3">
        <v>810139572749</v>
      </c>
      <c r="C837" s="2" t="s">
        <v>1831</v>
      </c>
      <c r="D837" s="30">
        <v>0.34</v>
      </c>
      <c r="E837" s="20">
        <v>30.45</v>
      </c>
      <c r="F837" s="27"/>
      <c r="G837" s="23"/>
      <c r="J837" s="39" t="str">
        <f t="shared" si="52"/>
        <v>-</v>
      </c>
      <c r="K837" s="39" t="str">
        <f t="shared" si="53"/>
        <v>-</v>
      </c>
      <c r="L837" s="40" t="str">
        <f t="shared" si="54"/>
        <v>-</v>
      </c>
      <c r="M837" s="41" t="str">
        <f t="shared" si="56"/>
        <v>-</v>
      </c>
      <c r="O837" s="41" t="str">
        <f t="shared" si="55"/>
        <v>-</v>
      </c>
    </row>
    <row r="838" spans="1:15" x14ac:dyDescent="0.3">
      <c r="A838" s="4" t="s">
        <v>1832</v>
      </c>
      <c r="B838" s="3">
        <v>810139572602</v>
      </c>
      <c r="C838" s="2" t="s">
        <v>1833</v>
      </c>
      <c r="D838" s="30">
        <v>0.35</v>
      </c>
      <c r="E838" s="20">
        <v>30.45</v>
      </c>
      <c r="F838" s="27"/>
      <c r="G838" s="23"/>
      <c r="J838" s="39" t="str">
        <f t="shared" si="52"/>
        <v>-</v>
      </c>
      <c r="K838" s="39" t="str">
        <f t="shared" si="53"/>
        <v>-</v>
      </c>
      <c r="L838" s="40" t="str">
        <f t="shared" si="54"/>
        <v>-</v>
      </c>
      <c r="M838" s="41" t="str">
        <f t="shared" si="56"/>
        <v>-</v>
      </c>
      <c r="O838" s="41" t="str">
        <f t="shared" si="55"/>
        <v>-</v>
      </c>
    </row>
    <row r="839" spans="1:15" x14ac:dyDescent="0.3">
      <c r="A839" s="4" t="s">
        <v>647</v>
      </c>
      <c r="B839" s="3">
        <v>810014675275</v>
      </c>
      <c r="C839" s="2" t="s">
        <v>1834</v>
      </c>
      <c r="D839" s="30">
        <v>0.09</v>
      </c>
      <c r="E839" s="20">
        <v>30.45</v>
      </c>
      <c r="F839" s="27"/>
      <c r="G839" s="23"/>
      <c r="J839" s="39" t="str">
        <f t="shared" si="52"/>
        <v>-</v>
      </c>
      <c r="K839" s="39" t="str">
        <f t="shared" si="53"/>
        <v>-</v>
      </c>
      <c r="L839" s="40" t="str">
        <f t="shared" si="54"/>
        <v>-</v>
      </c>
      <c r="M839" s="41" t="str">
        <f t="shared" si="56"/>
        <v>-</v>
      </c>
      <c r="O839" s="41" t="str">
        <f t="shared" si="55"/>
        <v>-</v>
      </c>
    </row>
    <row r="840" spans="1:15" x14ac:dyDescent="0.3">
      <c r="A840" s="4" t="s">
        <v>1835</v>
      </c>
      <c r="B840" s="3">
        <v>810139573975</v>
      </c>
      <c r="C840" s="2" t="s">
        <v>1836</v>
      </c>
      <c r="D840" s="30">
        <v>0.65</v>
      </c>
      <c r="E840" s="20">
        <v>30.45</v>
      </c>
      <c r="F840" s="27"/>
      <c r="G840" s="23"/>
      <c r="J840" s="39" t="str">
        <f t="shared" si="52"/>
        <v>-</v>
      </c>
      <c r="K840" s="39" t="str">
        <f t="shared" si="53"/>
        <v>-</v>
      </c>
      <c r="L840" s="40" t="str">
        <f t="shared" si="54"/>
        <v>-</v>
      </c>
      <c r="M840" s="41" t="str">
        <f t="shared" si="56"/>
        <v>-</v>
      </c>
      <c r="O840" s="41" t="str">
        <f t="shared" si="55"/>
        <v>-</v>
      </c>
    </row>
    <row r="841" spans="1:15" x14ac:dyDescent="0.3">
      <c r="A841" s="4" t="s">
        <v>207</v>
      </c>
      <c r="B841" s="3">
        <v>810014675305</v>
      </c>
      <c r="C841" s="2" t="s">
        <v>1837</v>
      </c>
      <c r="D841" s="30">
        <v>0.69</v>
      </c>
      <c r="E841" s="20">
        <v>30.45</v>
      </c>
      <c r="F841" s="27"/>
      <c r="G841" s="23"/>
      <c r="J841" s="39" t="str">
        <f t="shared" si="52"/>
        <v>-</v>
      </c>
      <c r="K841" s="39" t="str">
        <f t="shared" si="53"/>
        <v>-</v>
      </c>
      <c r="L841" s="40" t="str">
        <f t="shared" si="54"/>
        <v>-</v>
      </c>
      <c r="M841" s="41" t="str">
        <f t="shared" si="56"/>
        <v>-</v>
      </c>
      <c r="O841" s="41" t="str">
        <f t="shared" si="55"/>
        <v>-</v>
      </c>
    </row>
    <row r="842" spans="1:15" x14ac:dyDescent="0.3">
      <c r="A842" s="4" t="s">
        <v>208</v>
      </c>
      <c r="B842" s="3">
        <v>810014675299</v>
      </c>
      <c r="C842" s="2" t="s">
        <v>1838</v>
      </c>
      <c r="D842" s="30">
        <v>0.66</v>
      </c>
      <c r="E842" s="20">
        <v>30.45</v>
      </c>
      <c r="F842" s="27"/>
      <c r="G842" s="23"/>
      <c r="J842" s="39" t="str">
        <f t="shared" si="52"/>
        <v>-</v>
      </c>
      <c r="K842" s="39" t="str">
        <f t="shared" si="53"/>
        <v>-</v>
      </c>
      <c r="L842" s="40" t="str">
        <f t="shared" si="54"/>
        <v>-</v>
      </c>
      <c r="M842" s="41" t="str">
        <f t="shared" si="56"/>
        <v>-</v>
      </c>
      <c r="O842" s="41" t="str">
        <f t="shared" si="55"/>
        <v>-</v>
      </c>
    </row>
    <row r="843" spans="1:15" x14ac:dyDescent="0.3">
      <c r="A843" s="4" t="s">
        <v>209</v>
      </c>
      <c r="B843" s="3">
        <v>810014678962</v>
      </c>
      <c r="C843" s="2" t="s">
        <v>1839</v>
      </c>
      <c r="D843" s="30">
        <v>0.66</v>
      </c>
      <c r="E843" s="20">
        <v>30.45</v>
      </c>
      <c r="F843" s="27"/>
      <c r="G843" s="23"/>
      <c r="J843" s="39" t="str">
        <f t="shared" si="52"/>
        <v>-</v>
      </c>
      <c r="K843" s="39" t="str">
        <f t="shared" si="53"/>
        <v>-</v>
      </c>
      <c r="L843" s="40" t="str">
        <f t="shared" si="54"/>
        <v>-</v>
      </c>
      <c r="M843" s="41" t="str">
        <f t="shared" si="56"/>
        <v>-</v>
      </c>
      <c r="O843" s="41" t="str">
        <f t="shared" si="55"/>
        <v>-</v>
      </c>
    </row>
    <row r="844" spans="1:15" x14ac:dyDescent="0.3">
      <c r="A844" s="4" t="s">
        <v>210</v>
      </c>
      <c r="B844" s="3">
        <v>810139570073</v>
      </c>
      <c r="C844" s="2" t="s">
        <v>1840</v>
      </c>
      <c r="D844" s="30">
        <v>0.66</v>
      </c>
      <c r="E844" s="20">
        <v>30.45</v>
      </c>
      <c r="F844" s="27"/>
      <c r="G844" s="23"/>
      <c r="J844" s="39" t="str">
        <f t="shared" si="52"/>
        <v>-</v>
      </c>
      <c r="K844" s="39" t="str">
        <f t="shared" si="53"/>
        <v>-</v>
      </c>
      <c r="L844" s="40" t="str">
        <f t="shared" si="54"/>
        <v>-</v>
      </c>
      <c r="M844" s="41" t="str">
        <f t="shared" si="56"/>
        <v>-</v>
      </c>
      <c r="O844" s="41" t="str">
        <f t="shared" si="55"/>
        <v>-</v>
      </c>
    </row>
    <row r="845" spans="1:15" x14ac:dyDescent="0.3">
      <c r="A845" s="4" t="s">
        <v>123</v>
      </c>
      <c r="B845" s="3">
        <v>810014675534</v>
      </c>
      <c r="C845" s="2" t="s">
        <v>1841</v>
      </c>
      <c r="D845" s="30">
        <v>0.63</v>
      </c>
      <c r="E845" s="20">
        <v>31.211250000000003</v>
      </c>
      <c r="F845" s="27"/>
      <c r="G845" s="23"/>
      <c r="J845" s="39" t="str">
        <f t="shared" si="52"/>
        <v>-</v>
      </c>
      <c r="K845" s="39" t="str">
        <f t="shared" si="53"/>
        <v>-</v>
      </c>
      <c r="L845" s="40" t="str">
        <f t="shared" si="54"/>
        <v>-</v>
      </c>
      <c r="M845" s="41" t="str">
        <f t="shared" si="56"/>
        <v>-</v>
      </c>
      <c r="O845" s="41" t="str">
        <f t="shared" si="55"/>
        <v>-</v>
      </c>
    </row>
    <row r="846" spans="1:15" x14ac:dyDescent="0.3">
      <c r="A846" s="4" t="s">
        <v>125</v>
      </c>
      <c r="B846" s="3">
        <v>810014670133</v>
      </c>
      <c r="C846" s="2" t="s">
        <v>1842</v>
      </c>
      <c r="D846" s="30">
        <v>0.61</v>
      </c>
      <c r="E846" s="20">
        <v>31.211250000000003</v>
      </c>
      <c r="F846" s="27"/>
      <c r="G846" s="23"/>
      <c r="J846" s="39" t="str">
        <f t="shared" si="52"/>
        <v>-</v>
      </c>
      <c r="K846" s="39" t="str">
        <f t="shared" si="53"/>
        <v>-</v>
      </c>
      <c r="L846" s="40" t="str">
        <f t="shared" si="54"/>
        <v>-</v>
      </c>
      <c r="M846" s="41" t="str">
        <f t="shared" si="56"/>
        <v>-</v>
      </c>
      <c r="O846" s="41" t="str">
        <f t="shared" si="55"/>
        <v>-</v>
      </c>
    </row>
    <row r="847" spans="1:15" x14ac:dyDescent="0.3">
      <c r="A847" s="4" t="s">
        <v>1843</v>
      </c>
      <c r="B847" s="3">
        <v>810139573296</v>
      </c>
      <c r="C847" s="2" t="s">
        <v>1844</v>
      </c>
      <c r="D847" s="30">
        <v>1.1599999999999999</v>
      </c>
      <c r="E847" s="20">
        <v>31.211250000000003</v>
      </c>
      <c r="F847" s="27"/>
      <c r="G847" s="23"/>
      <c r="J847" s="39" t="str">
        <f t="shared" si="52"/>
        <v>-</v>
      </c>
      <c r="K847" s="39" t="str">
        <f t="shared" si="53"/>
        <v>-</v>
      </c>
      <c r="L847" s="40" t="str">
        <f t="shared" si="54"/>
        <v>-</v>
      </c>
      <c r="M847" s="41" t="str">
        <f t="shared" si="56"/>
        <v>-</v>
      </c>
      <c r="O847" s="41" t="str">
        <f t="shared" si="55"/>
        <v>-</v>
      </c>
    </row>
    <row r="848" spans="1:15" x14ac:dyDescent="0.3">
      <c r="A848" s="4" t="s">
        <v>1845</v>
      </c>
      <c r="B848" s="3">
        <v>810139576822</v>
      </c>
      <c r="C848" s="2" t="s">
        <v>1846</v>
      </c>
      <c r="D848" s="30">
        <v>0.56999999999999995</v>
      </c>
      <c r="E848" s="20">
        <v>31.211250000000003</v>
      </c>
      <c r="F848" s="27"/>
      <c r="G848" s="23"/>
      <c r="J848" s="39" t="str">
        <f t="shared" si="52"/>
        <v>-</v>
      </c>
      <c r="K848" s="39" t="str">
        <f t="shared" si="53"/>
        <v>-</v>
      </c>
      <c r="L848" s="40" t="str">
        <f t="shared" si="54"/>
        <v>-</v>
      </c>
      <c r="M848" s="41" t="str">
        <f t="shared" si="56"/>
        <v>-</v>
      </c>
      <c r="O848" s="41" t="str">
        <f t="shared" si="55"/>
        <v>-</v>
      </c>
    </row>
    <row r="849" spans="1:15" x14ac:dyDescent="0.3">
      <c r="A849" s="4" t="s">
        <v>291</v>
      </c>
      <c r="B849" s="3">
        <v>810014672304</v>
      </c>
      <c r="C849" s="2" t="s">
        <v>1847</v>
      </c>
      <c r="D849" s="30">
        <v>0.28000000000000003</v>
      </c>
      <c r="E849" s="20">
        <v>31.211250000000003</v>
      </c>
      <c r="F849" s="27"/>
      <c r="G849" s="23"/>
      <c r="J849" s="39" t="str">
        <f t="shared" si="52"/>
        <v>-</v>
      </c>
      <c r="K849" s="39" t="str">
        <f t="shared" si="53"/>
        <v>-</v>
      </c>
      <c r="L849" s="40" t="str">
        <f t="shared" si="54"/>
        <v>-</v>
      </c>
      <c r="M849" s="41" t="str">
        <f t="shared" si="56"/>
        <v>-</v>
      </c>
      <c r="O849" s="41" t="str">
        <f t="shared" si="55"/>
        <v>-</v>
      </c>
    </row>
    <row r="850" spans="1:15" x14ac:dyDescent="0.3">
      <c r="A850" s="4" t="s">
        <v>265</v>
      </c>
      <c r="B850" s="3">
        <v>810139572282</v>
      </c>
      <c r="C850" s="2" t="s">
        <v>1848</v>
      </c>
      <c r="D850" s="30">
        <v>0.44</v>
      </c>
      <c r="E850" s="20">
        <v>31.211250000000003</v>
      </c>
      <c r="F850" s="27"/>
      <c r="G850" s="23"/>
      <c r="J850" s="39" t="str">
        <f t="shared" si="52"/>
        <v>-</v>
      </c>
      <c r="K850" s="39" t="str">
        <f t="shared" si="53"/>
        <v>-</v>
      </c>
      <c r="L850" s="40" t="str">
        <f t="shared" si="54"/>
        <v>-</v>
      </c>
      <c r="M850" s="41" t="str">
        <f t="shared" si="56"/>
        <v>-</v>
      </c>
      <c r="O850" s="41" t="str">
        <f t="shared" si="55"/>
        <v>-</v>
      </c>
    </row>
    <row r="851" spans="1:15" x14ac:dyDescent="0.3">
      <c r="A851" s="4" t="s">
        <v>1849</v>
      </c>
      <c r="B851" s="3">
        <v>810139575306</v>
      </c>
      <c r="C851" s="2" t="s">
        <v>1850</v>
      </c>
      <c r="D851" s="30">
        <v>0.05</v>
      </c>
      <c r="E851" s="20">
        <v>31.211250000000003</v>
      </c>
      <c r="F851" s="27"/>
      <c r="G851" s="23"/>
      <c r="J851" s="39" t="str">
        <f t="shared" si="52"/>
        <v>-</v>
      </c>
      <c r="K851" s="39" t="str">
        <f t="shared" si="53"/>
        <v>-</v>
      </c>
      <c r="L851" s="40" t="str">
        <f t="shared" si="54"/>
        <v>-</v>
      </c>
      <c r="M851" s="41" t="str">
        <f t="shared" si="56"/>
        <v>-</v>
      </c>
      <c r="O851" s="41" t="str">
        <f t="shared" si="55"/>
        <v>-</v>
      </c>
    </row>
    <row r="852" spans="1:15" x14ac:dyDescent="0.3">
      <c r="A852" s="4" t="s">
        <v>149</v>
      </c>
      <c r="B852" s="3">
        <v>857077008763</v>
      </c>
      <c r="C852" s="2" t="s">
        <v>1851</v>
      </c>
      <c r="D852" s="30">
        <v>0.16</v>
      </c>
      <c r="E852" s="20">
        <v>31.211250000000003</v>
      </c>
      <c r="F852" s="27"/>
      <c r="G852" s="23"/>
      <c r="J852" s="39" t="str">
        <f t="shared" si="52"/>
        <v>-</v>
      </c>
      <c r="K852" s="39" t="str">
        <f t="shared" si="53"/>
        <v>-</v>
      </c>
      <c r="L852" s="40" t="str">
        <f t="shared" si="54"/>
        <v>-</v>
      </c>
      <c r="M852" s="41" t="str">
        <f t="shared" si="56"/>
        <v>-</v>
      </c>
      <c r="O852" s="41" t="str">
        <f t="shared" si="55"/>
        <v>-</v>
      </c>
    </row>
    <row r="853" spans="1:15" x14ac:dyDescent="0.3">
      <c r="A853" s="4" t="s">
        <v>1852</v>
      </c>
      <c r="B853" s="3">
        <v>810139573807</v>
      </c>
      <c r="C853" s="2" t="s">
        <v>1853</v>
      </c>
      <c r="D853" s="30">
        <v>1.17</v>
      </c>
      <c r="E853" s="20">
        <v>31.211250000000003</v>
      </c>
      <c r="F853" s="27"/>
      <c r="G853" s="23"/>
      <c r="J853" s="39" t="str">
        <f t="shared" si="52"/>
        <v>-</v>
      </c>
      <c r="K853" s="39" t="str">
        <f t="shared" si="53"/>
        <v>-</v>
      </c>
      <c r="L853" s="40" t="str">
        <f t="shared" si="54"/>
        <v>-</v>
      </c>
      <c r="M853" s="41" t="str">
        <f t="shared" si="56"/>
        <v>-</v>
      </c>
      <c r="O853" s="41" t="str">
        <f t="shared" si="55"/>
        <v>-</v>
      </c>
    </row>
    <row r="854" spans="1:15" x14ac:dyDescent="0.3">
      <c r="A854" s="4" t="s">
        <v>746</v>
      </c>
      <c r="B854" s="3">
        <v>810014675046</v>
      </c>
      <c r="C854" s="2" t="s">
        <v>1854</v>
      </c>
      <c r="D854" s="30">
        <v>0.25</v>
      </c>
      <c r="E854" s="20">
        <v>31.211250000000003</v>
      </c>
      <c r="F854" s="27"/>
      <c r="G854" s="23"/>
      <c r="J854" s="39" t="str">
        <f t="shared" si="52"/>
        <v>-</v>
      </c>
      <c r="K854" s="39" t="str">
        <f t="shared" si="53"/>
        <v>-</v>
      </c>
      <c r="L854" s="40" t="str">
        <f t="shared" si="54"/>
        <v>-</v>
      </c>
      <c r="M854" s="41" t="str">
        <f t="shared" si="56"/>
        <v>-</v>
      </c>
      <c r="O854" s="41" t="str">
        <f t="shared" si="55"/>
        <v>-</v>
      </c>
    </row>
    <row r="855" spans="1:15" x14ac:dyDescent="0.3">
      <c r="A855" s="4" t="s">
        <v>521</v>
      </c>
      <c r="B855" s="3">
        <v>810014675336</v>
      </c>
      <c r="C855" s="2" t="s">
        <v>1855</v>
      </c>
      <c r="D855" s="30">
        <v>1.22</v>
      </c>
      <c r="E855" s="20">
        <v>31.591875000000002</v>
      </c>
      <c r="F855" s="27"/>
      <c r="G855" s="23"/>
      <c r="J855" s="39" t="str">
        <f t="shared" si="52"/>
        <v>-</v>
      </c>
      <c r="K855" s="39" t="str">
        <f t="shared" si="53"/>
        <v>-</v>
      </c>
      <c r="L855" s="40" t="str">
        <f t="shared" si="54"/>
        <v>-</v>
      </c>
      <c r="M855" s="41" t="str">
        <f t="shared" si="56"/>
        <v>-</v>
      </c>
      <c r="O855" s="41" t="str">
        <f t="shared" si="55"/>
        <v>-</v>
      </c>
    </row>
    <row r="856" spans="1:15" x14ac:dyDescent="0.3">
      <c r="A856" s="4" t="s">
        <v>221</v>
      </c>
      <c r="B856" s="3">
        <v>810014679204</v>
      </c>
      <c r="C856" s="2" t="s">
        <v>1856</v>
      </c>
      <c r="D856" s="30">
        <v>0.69</v>
      </c>
      <c r="E856" s="20">
        <v>31.9725</v>
      </c>
      <c r="F856" s="27"/>
      <c r="G856" s="23"/>
      <c r="J856" s="39" t="str">
        <f t="shared" si="52"/>
        <v>-</v>
      </c>
      <c r="K856" s="39" t="str">
        <f t="shared" si="53"/>
        <v>-</v>
      </c>
      <c r="L856" s="40" t="str">
        <f t="shared" si="54"/>
        <v>-</v>
      </c>
      <c r="M856" s="41" t="str">
        <f t="shared" si="56"/>
        <v>-</v>
      </c>
      <c r="O856" s="41" t="str">
        <f t="shared" si="55"/>
        <v>-</v>
      </c>
    </row>
    <row r="857" spans="1:15" x14ac:dyDescent="0.3">
      <c r="A857" s="4" t="s">
        <v>1857</v>
      </c>
      <c r="B857" s="3">
        <v>810139574866</v>
      </c>
      <c r="C857" s="2" t="s">
        <v>1858</v>
      </c>
      <c r="D857" s="30">
        <v>0.33</v>
      </c>
      <c r="E857" s="20">
        <v>31.9725</v>
      </c>
      <c r="F857" s="27"/>
      <c r="G857" s="23"/>
      <c r="J857" s="39" t="str">
        <f t="shared" si="52"/>
        <v>-</v>
      </c>
      <c r="K857" s="39" t="str">
        <f t="shared" si="53"/>
        <v>-</v>
      </c>
      <c r="L857" s="40" t="str">
        <f t="shared" si="54"/>
        <v>-</v>
      </c>
      <c r="M857" s="41" t="str">
        <f t="shared" si="56"/>
        <v>-</v>
      </c>
      <c r="O857" s="41" t="str">
        <f t="shared" si="55"/>
        <v>-</v>
      </c>
    </row>
    <row r="858" spans="1:15" x14ac:dyDescent="0.3">
      <c r="A858" s="4" t="s">
        <v>1859</v>
      </c>
      <c r="B858" s="3">
        <v>810139576426</v>
      </c>
      <c r="C858" s="2" t="s">
        <v>1860</v>
      </c>
      <c r="D858" s="30">
        <v>0.27</v>
      </c>
      <c r="E858" s="20">
        <v>31.9725</v>
      </c>
      <c r="F858" s="27"/>
      <c r="G858" s="23"/>
      <c r="J858" s="39" t="str">
        <f t="shared" si="52"/>
        <v>-</v>
      </c>
      <c r="K858" s="39" t="str">
        <f t="shared" si="53"/>
        <v>-</v>
      </c>
      <c r="L858" s="40" t="str">
        <f t="shared" si="54"/>
        <v>-</v>
      </c>
      <c r="M858" s="41" t="str">
        <f t="shared" si="56"/>
        <v>-</v>
      </c>
      <c r="O858" s="41" t="str">
        <f t="shared" si="55"/>
        <v>-</v>
      </c>
    </row>
    <row r="859" spans="1:15" x14ac:dyDescent="0.3">
      <c r="A859" s="4" t="s">
        <v>1861</v>
      </c>
      <c r="B859" s="3">
        <v>810139575382</v>
      </c>
      <c r="C859" s="2" t="s">
        <v>1862</v>
      </c>
      <c r="D859" s="30">
        <v>0.8</v>
      </c>
      <c r="E859" s="20">
        <v>31.9725</v>
      </c>
      <c r="F859" s="27"/>
      <c r="G859" s="23"/>
      <c r="J859" s="39" t="str">
        <f t="shared" si="52"/>
        <v>-</v>
      </c>
      <c r="K859" s="39" t="str">
        <f t="shared" si="53"/>
        <v>-</v>
      </c>
      <c r="L859" s="40" t="str">
        <f t="shared" si="54"/>
        <v>-</v>
      </c>
      <c r="M859" s="41" t="str">
        <f t="shared" si="56"/>
        <v>-</v>
      </c>
      <c r="O859" s="41" t="str">
        <f t="shared" si="55"/>
        <v>-</v>
      </c>
    </row>
    <row r="860" spans="1:15" x14ac:dyDescent="0.3">
      <c r="A860" s="4" t="s">
        <v>648</v>
      </c>
      <c r="B860" s="3">
        <v>810014670690</v>
      </c>
      <c r="C860" s="2" t="s">
        <v>1863</v>
      </c>
      <c r="D860" s="30">
        <v>0.06</v>
      </c>
      <c r="E860" s="20">
        <v>31.9725</v>
      </c>
      <c r="F860" s="27"/>
      <c r="G860" s="23"/>
      <c r="J860" s="39" t="str">
        <f t="shared" si="52"/>
        <v>-</v>
      </c>
      <c r="K860" s="39" t="str">
        <f t="shared" si="53"/>
        <v>-</v>
      </c>
      <c r="L860" s="40" t="str">
        <f t="shared" si="54"/>
        <v>-</v>
      </c>
      <c r="M860" s="41" t="str">
        <f t="shared" si="56"/>
        <v>-</v>
      </c>
      <c r="O860" s="41" t="str">
        <f t="shared" si="55"/>
        <v>-</v>
      </c>
    </row>
    <row r="861" spans="1:15" x14ac:dyDescent="0.3">
      <c r="A861" s="4" t="s">
        <v>377</v>
      </c>
      <c r="B861" s="3">
        <v>810014675091</v>
      </c>
      <c r="C861" s="2" t="s">
        <v>1864</v>
      </c>
      <c r="D861" s="30">
        <v>0.82</v>
      </c>
      <c r="E861" s="20">
        <v>32.733750000000001</v>
      </c>
      <c r="F861" s="27"/>
      <c r="G861" s="23"/>
      <c r="J861" s="39" t="str">
        <f t="shared" si="52"/>
        <v>-</v>
      </c>
      <c r="K861" s="39" t="str">
        <f t="shared" si="53"/>
        <v>-</v>
      </c>
      <c r="L861" s="40" t="str">
        <f t="shared" si="54"/>
        <v>-</v>
      </c>
      <c r="M861" s="41" t="str">
        <f t="shared" si="56"/>
        <v>-</v>
      </c>
      <c r="O861" s="41" t="str">
        <f t="shared" si="55"/>
        <v>-</v>
      </c>
    </row>
    <row r="862" spans="1:15" x14ac:dyDescent="0.3">
      <c r="A862" s="4" t="s">
        <v>381</v>
      </c>
      <c r="B862" s="3">
        <v>810014675107</v>
      </c>
      <c r="C862" s="2" t="s">
        <v>1865</v>
      </c>
      <c r="D862" s="30">
        <v>0.82</v>
      </c>
      <c r="E862" s="20">
        <v>32.733750000000001</v>
      </c>
      <c r="F862" s="27"/>
      <c r="G862" s="23"/>
      <c r="J862" s="39" t="str">
        <f t="shared" si="52"/>
        <v>-</v>
      </c>
      <c r="K862" s="39" t="str">
        <f t="shared" si="53"/>
        <v>-</v>
      </c>
      <c r="L862" s="40" t="str">
        <f t="shared" si="54"/>
        <v>-</v>
      </c>
      <c r="M862" s="41" t="str">
        <f t="shared" si="56"/>
        <v>-</v>
      </c>
      <c r="O862" s="41" t="str">
        <f t="shared" si="55"/>
        <v>-</v>
      </c>
    </row>
    <row r="863" spans="1:15" x14ac:dyDescent="0.3">
      <c r="A863" s="4" t="s">
        <v>379</v>
      </c>
      <c r="B863" s="3">
        <v>810139570905</v>
      </c>
      <c r="C863" s="2" t="s">
        <v>1866</v>
      </c>
      <c r="D863" s="30">
        <v>0.82</v>
      </c>
      <c r="E863" s="20">
        <v>32.733750000000001</v>
      </c>
      <c r="F863" s="27"/>
      <c r="G863" s="23"/>
      <c r="J863" s="39" t="str">
        <f t="shared" si="52"/>
        <v>-</v>
      </c>
      <c r="K863" s="39" t="str">
        <f t="shared" si="53"/>
        <v>-</v>
      </c>
      <c r="L863" s="40" t="str">
        <f t="shared" si="54"/>
        <v>-</v>
      </c>
      <c r="M863" s="41" t="str">
        <f t="shared" si="56"/>
        <v>-</v>
      </c>
      <c r="O863" s="41" t="str">
        <f t="shared" si="55"/>
        <v>-</v>
      </c>
    </row>
    <row r="864" spans="1:15" x14ac:dyDescent="0.3">
      <c r="A864" s="4" t="s">
        <v>375</v>
      </c>
      <c r="B864" s="3">
        <v>810014675084</v>
      </c>
      <c r="C864" s="2" t="s">
        <v>1867</v>
      </c>
      <c r="D864" s="30">
        <v>0.82</v>
      </c>
      <c r="E864" s="20">
        <v>32.733750000000001</v>
      </c>
      <c r="F864" s="27"/>
      <c r="G864" s="23"/>
      <c r="J864" s="39" t="str">
        <f t="shared" si="52"/>
        <v>-</v>
      </c>
      <c r="K864" s="39" t="str">
        <f t="shared" si="53"/>
        <v>-</v>
      </c>
      <c r="L864" s="40" t="str">
        <f t="shared" si="54"/>
        <v>-</v>
      </c>
      <c r="M864" s="41" t="str">
        <f t="shared" si="56"/>
        <v>-</v>
      </c>
      <c r="O864" s="41" t="str">
        <f t="shared" si="55"/>
        <v>-</v>
      </c>
    </row>
    <row r="865" spans="1:15" x14ac:dyDescent="0.3">
      <c r="A865" s="4" t="s">
        <v>629</v>
      </c>
      <c r="B865" s="3">
        <v>810014672366</v>
      </c>
      <c r="C865" s="2" t="s">
        <v>1868</v>
      </c>
      <c r="D865" s="30">
        <v>0.72</v>
      </c>
      <c r="E865" s="20">
        <v>32.733750000000001</v>
      </c>
      <c r="F865" s="27"/>
      <c r="G865" s="23"/>
      <c r="J865" s="39" t="str">
        <f t="shared" si="52"/>
        <v>-</v>
      </c>
      <c r="K865" s="39" t="str">
        <f t="shared" si="53"/>
        <v>-</v>
      </c>
      <c r="L865" s="40" t="str">
        <f t="shared" si="54"/>
        <v>-</v>
      </c>
      <c r="M865" s="41" t="str">
        <f t="shared" si="56"/>
        <v>-</v>
      </c>
      <c r="O865" s="41" t="str">
        <f t="shared" si="55"/>
        <v>-</v>
      </c>
    </row>
    <row r="866" spans="1:15" x14ac:dyDescent="0.3">
      <c r="A866" s="4" t="s">
        <v>627</v>
      </c>
      <c r="B866" s="3">
        <v>810014672342</v>
      </c>
      <c r="C866" s="2" t="s">
        <v>1869</v>
      </c>
      <c r="D866" s="30">
        <v>0.69</v>
      </c>
      <c r="E866" s="20">
        <v>32.733750000000001</v>
      </c>
      <c r="F866" s="27"/>
      <c r="G866" s="23"/>
      <c r="J866" s="39" t="str">
        <f t="shared" si="52"/>
        <v>-</v>
      </c>
      <c r="K866" s="39" t="str">
        <f t="shared" si="53"/>
        <v>-</v>
      </c>
      <c r="L866" s="40" t="str">
        <f t="shared" si="54"/>
        <v>-</v>
      </c>
      <c r="M866" s="41" t="str">
        <f t="shared" si="56"/>
        <v>-</v>
      </c>
      <c r="O866" s="41" t="str">
        <f t="shared" si="55"/>
        <v>-</v>
      </c>
    </row>
    <row r="867" spans="1:15" x14ac:dyDescent="0.3">
      <c r="A867" s="4" t="s">
        <v>628</v>
      </c>
      <c r="B867" s="3">
        <v>810014672359</v>
      </c>
      <c r="C867" s="2" t="s">
        <v>1870</v>
      </c>
      <c r="D867" s="30">
        <v>0.7</v>
      </c>
      <c r="E867" s="20">
        <v>32.733750000000001</v>
      </c>
      <c r="F867" s="27"/>
      <c r="G867" s="23"/>
      <c r="J867" s="39" t="str">
        <f t="shared" si="52"/>
        <v>-</v>
      </c>
      <c r="K867" s="39" t="str">
        <f t="shared" si="53"/>
        <v>-</v>
      </c>
      <c r="L867" s="40" t="str">
        <f t="shared" si="54"/>
        <v>-</v>
      </c>
      <c r="M867" s="41" t="str">
        <f t="shared" si="56"/>
        <v>-</v>
      </c>
      <c r="O867" s="41" t="str">
        <f t="shared" si="55"/>
        <v>-</v>
      </c>
    </row>
    <row r="868" spans="1:15" x14ac:dyDescent="0.3">
      <c r="A868" s="4" t="s">
        <v>166</v>
      </c>
      <c r="B868" s="3">
        <v>810014673738</v>
      </c>
      <c r="C868" s="2" t="s">
        <v>1871</v>
      </c>
      <c r="D868" s="30">
        <v>0.25</v>
      </c>
      <c r="E868" s="20">
        <v>32.733750000000001</v>
      </c>
      <c r="F868" s="27"/>
      <c r="G868" s="23"/>
      <c r="J868" s="39" t="str">
        <f t="shared" si="52"/>
        <v>-</v>
      </c>
      <c r="K868" s="39" t="str">
        <f t="shared" si="53"/>
        <v>-</v>
      </c>
      <c r="L868" s="40" t="str">
        <f t="shared" si="54"/>
        <v>-</v>
      </c>
      <c r="M868" s="41" t="str">
        <f t="shared" si="56"/>
        <v>-</v>
      </c>
      <c r="O868" s="41" t="str">
        <f t="shared" si="55"/>
        <v>-</v>
      </c>
    </row>
    <row r="869" spans="1:15" x14ac:dyDescent="0.3">
      <c r="A869" s="4" t="s">
        <v>26</v>
      </c>
      <c r="B869" s="3">
        <v>810014675343</v>
      </c>
      <c r="C869" s="2" t="s">
        <v>1872</v>
      </c>
      <c r="D869" s="30">
        <v>0.23</v>
      </c>
      <c r="E869" s="20">
        <v>32.733750000000001</v>
      </c>
      <c r="F869" s="27"/>
      <c r="G869" s="23"/>
      <c r="J869" s="39" t="str">
        <f t="shared" si="52"/>
        <v>-</v>
      </c>
      <c r="K869" s="39" t="str">
        <f t="shared" si="53"/>
        <v>-</v>
      </c>
      <c r="L869" s="40" t="str">
        <f t="shared" si="54"/>
        <v>-</v>
      </c>
      <c r="M869" s="41" t="str">
        <f t="shared" si="56"/>
        <v>-</v>
      </c>
      <c r="O869" s="41" t="str">
        <f t="shared" si="55"/>
        <v>-</v>
      </c>
    </row>
    <row r="870" spans="1:15" x14ac:dyDescent="0.3">
      <c r="A870" s="4" t="s">
        <v>11</v>
      </c>
      <c r="B870" s="3">
        <v>810139574903</v>
      </c>
      <c r="C870" s="2" t="s">
        <v>1873</v>
      </c>
      <c r="D870" s="30">
        <v>0.35</v>
      </c>
      <c r="E870" s="20">
        <v>33.418875</v>
      </c>
      <c r="F870" s="27"/>
      <c r="G870" s="23"/>
      <c r="J870" s="39" t="str">
        <f t="shared" si="52"/>
        <v>-</v>
      </c>
      <c r="K870" s="39" t="str">
        <f t="shared" si="53"/>
        <v>-</v>
      </c>
      <c r="L870" s="40" t="str">
        <f t="shared" si="54"/>
        <v>-</v>
      </c>
      <c r="M870" s="41" t="str">
        <f t="shared" si="56"/>
        <v>-</v>
      </c>
      <c r="O870" s="41" t="str">
        <f t="shared" si="55"/>
        <v>-</v>
      </c>
    </row>
    <row r="871" spans="1:15" x14ac:dyDescent="0.3">
      <c r="A871" s="4" t="s">
        <v>279</v>
      </c>
      <c r="B871" s="3">
        <v>810014671307</v>
      </c>
      <c r="C871" s="2" t="s">
        <v>1874</v>
      </c>
      <c r="D871" s="30">
        <v>0.27</v>
      </c>
      <c r="E871" s="20">
        <v>33.495000000000005</v>
      </c>
      <c r="F871" s="27"/>
      <c r="G871" s="23"/>
      <c r="J871" s="39" t="str">
        <f t="shared" si="52"/>
        <v>-</v>
      </c>
      <c r="K871" s="39" t="str">
        <f t="shared" si="53"/>
        <v>-</v>
      </c>
      <c r="L871" s="40" t="str">
        <f t="shared" si="54"/>
        <v>-</v>
      </c>
      <c r="M871" s="41" t="str">
        <f t="shared" si="56"/>
        <v>-</v>
      </c>
      <c r="O871" s="41" t="str">
        <f t="shared" si="55"/>
        <v>-</v>
      </c>
    </row>
    <row r="872" spans="1:15" x14ac:dyDescent="0.3">
      <c r="A872" s="4" t="s">
        <v>384</v>
      </c>
      <c r="B872" s="3">
        <v>810014675244</v>
      </c>
      <c r="C872" s="2" t="s">
        <v>1875</v>
      </c>
      <c r="D872" s="30">
        <v>1.29</v>
      </c>
      <c r="E872" s="20">
        <v>33.495000000000005</v>
      </c>
      <c r="F872" s="27"/>
      <c r="G872" s="23"/>
      <c r="J872" s="39" t="str">
        <f t="shared" ref="J872:J935" si="57">IFERROR(IF($J$2*D872=0, "-", $J$2*D872), "-")</f>
        <v>-</v>
      </c>
      <c r="K872" s="39" t="str">
        <f t="shared" ref="K872:K935" si="58">IF(F872&gt;0,E872+J872,"-")</f>
        <v>-</v>
      </c>
      <c r="L872" s="40" t="str">
        <f t="shared" ref="L872:L935" si="59">IF(F872&gt;0,F872*D872, "-")</f>
        <v>-</v>
      </c>
      <c r="M872" s="41" t="str">
        <f t="shared" si="56"/>
        <v>-</v>
      </c>
      <c r="O872" s="41" t="str">
        <f t="shared" ref="O872:O935" si="60">IFERROR(IF(M872+G872=0, "-", IF(M872&gt;0, M872+G872, "-")), "-")</f>
        <v>-</v>
      </c>
    </row>
    <row r="873" spans="1:15" x14ac:dyDescent="0.3">
      <c r="A873" s="4" t="s">
        <v>368</v>
      </c>
      <c r="B873" s="3">
        <v>810014671260</v>
      </c>
      <c r="C873" s="2" t="s">
        <v>1876</v>
      </c>
      <c r="D873" s="30">
        <v>0.19</v>
      </c>
      <c r="E873" s="20">
        <v>33.495000000000005</v>
      </c>
      <c r="F873" s="27"/>
      <c r="G873" s="23"/>
      <c r="J873" s="39" t="str">
        <f t="shared" si="57"/>
        <v>-</v>
      </c>
      <c r="K873" s="39" t="str">
        <f t="shared" si="58"/>
        <v>-</v>
      </c>
      <c r="L873" s="40" t="str">
        <f t="shared" si="59"/>
        <v>-</v>
      </c>
      <c r="M873" s="41" t="str">
        <f t="shared" si="56"/>
        <v>-</v>
      </c>
      <c r="O873" s="41" t="str">
        <f t="shared" si="60"/>
        <v>-</v>
      </c>
    </row>
    <row r="874" spans="1:15" x14ac:dyDescent="0.3">
      <c r="A874" s="4" t="s">
        <v>632</v>
      </c>
      <c r="B874" s="3">
        <v>810014674384</v>
      </c>
      <c r="C874" s="2" t="s">
        <v>1877</v>
      </c>
      <c r="D874" s="30">
        <v>0.39</v>
      </c>
      <c r="E874" s="20">
        <v>33.495000000000005</v>
      </c>
      <c r="F874" s="27"/>
      <c r="G874" s="23"/>
      <c r="J874" s="39" t="str">
        <f t="shared" si="57"/>
        <v>-</v>
      </c>
      <c r="K874" s="39" t="str">
        <f t="shared" si="58"/>
        <v>-</v>
      </c>
      <c r="L874" s="40" t="str">
        <f t="shared" si="59"/>
        <v>-</v>
      </c>
      <c r="M874" s="41" t="str">
        <f t="shared" si="56"/>
        <v>-</v>
      </c>
      <c r="O874" s="41" t="str">
        <f t="shared" si="60"/>
        <v>-</v>
      </c>
    </row>
    <row r="875" spans="1:15" x14ac:dyDescent="0.3">
      <c r="A875" s="4" t="s">
        <v>1878</v>
      </c>
      <c r="B875" s="3">
        <v>810139572954</v>
      </c>
      <c r="C875" s="2" t="s">
        <v>1879</v>
      </c>
      <c r="D875" s="30">
        <v>0.51</v>
      </c>
      <c r="E875" s="20">
        <v>33.495000000000005</v>
      </c>
      <c r="F875" s="27"/>
      <c r="G875" s="23"/>
      <c r="J875" s="39" t="str">
        <f t="shared" si="57"/>
        <v>-</v>
      </c>
      <c r="K875" s="39" t="str">
        <f t="shared" si="58"/>
        <v>-</v>
      </c>
      <c r="L875" s="40" t="str">
        <f t="shared" si="59"/>
        <v>-</v>
      </c>
      <c r="M875" s="41" t="str">
        <f t="shared" si="56"/>
        <v>-</v>
      </c>
      <c r="O875" s="41" t="str">
        <f t="shared" si="60"/>
        <v>-</v>
      </c>
    </row>
    <row r="876" spans="1:15" x14ac:dyDescent="0.3">
      <c r="A876" s="4" t="s">
        <v>1880</v>
      </c>
      <c r="B876" s="3">
        <v>810139574675</v>
      </c>
      <c r="C876" s="2" t="s">
        <v>1881</v>
      </c>
      <c r="D876" s="30">
        <v>0.06</v>
      </c>
      <c r="E876" s="20">
        <v>33.495000000000005</v>
      </c>
      <c r="F876" s="27"/>
      <c r="G876" s="23"/>
      <c r="J876" s="39" t="str">
        <f t="shared" si="57"/>
        <v>-</v>
      </c>
      <c r="K876" s="39" t="str">
        <f t="shared" si="58"/>
        <v>-</v>
      </c>
      <c r="L876" s="40" t="str">
        <f t="shared" si="59"/>
        <v>-</v>
      </c>
      <c r="M876" s="41" t="str">
        <f t="shared" si="56"/>
        <v>-</v>
      </c>
      <c r="O876" s="41" t="str">
        <f t="shared" si="60"/>
        <v>-</v>
      </c>
    </row>
    <row r="877" spans="1:15" x14ac:dyDescent="0.3">
      <c r="A877" s="4" t="s">
        <v>198</v>
      </c>
      <c r="B877" s="3">
        <v>857077008060</v>
      </c>
      <c r="C877" s="2" t="s">
        <v>1882</v>
      </c>
      <c r="D877" s="30">
        <v>0.38</v>
      </c>
      <c r="E877" s="20">
        <v>33.495000000000005</v>
      </c>
      <c r="F877" s="27"/>
      <c r="G877" s="23"/>
      <c r="J877" s="39" t="str">
        <f t="shared" si="57"/>
        <v>-</v>
      </c>
      <c r="K877" s="39" t="str">
        <f t="shared" si="58"/>
        <v>-</v>
      </c>
      <c r="L877" s="40" t="str">
        <f t="shared" si="59"/>
        <v>-</v>
      </c>
      <c r="M877" s="41" t="str">
        <f t="shared" si="56"/>
        <v>-</v>
      </c>
      <c r="O877" s="41" t="str">
        <f t="shared" si="60"/>
        <v>-</v>
      </c>
    </row>
    <row r="878" spans="1:15" x14ac:dyDescent="0.3">
      <c r="A878" s="4" t="s">
        <v>1883</v>
      </c>
      <c r="B878" s="3">
        <v>810139574798</v>
      </c>
      <c r="C878" s="2" t="s">
        <v>1884</v>
      </c>
      <c r="D878" s="30">
        <v>1.1000000000000001</v>
      </c>
      <c r="E878" s="20">
        <v>34.256250000000001</v>
      </c>
      <c r="F878" s="27"/>
      <c r="G878" s="23"/>
      <c r="J878" s="39" t="str">
        <f t="shared" si="57"/>
        <v>-</v>
      </c>
      <c r="K878" s="39" t="str">
        <f t="shared" si="58"/>
        <v>-</v>
      </c>
      <c r="L878" s="40" t="str">
        <f t="shared" si="59"/>
        <v>-</v>
      </c>
      <c r="M878" s="41" t="str">
        <f t="shared" si="56"/>
        <v>-</v>
      </c>
      <c r="O878" s="41" t="str">
        <f t="shared" si="60"/>
        <v>-</v>
      </c>
    </row>
    <row r="879" spans="1:15" x14ac:dyDescent="0.3">
      <c r="A879" s="4" t="s">
        <v>256</v>
      </c>
      <c r="B879" s="3">
        <v>810014678993</v>
      </c>
      <c r="C879" s="2" t="s">
        <v>1885</v>
      </c>
      <c r="D879" s="30">
        <v>0.28999999999999998</v>
      </c>
      <c r="E879" s="20">
        <v>34.256250000000001</v>
      </c>
      <c r="F879" s="27"/>
      <c r="G879" s="23"/>
      <c r="J879" s="39" t="str">
        <f t="shared" si="57"/>
        <v>-</v>
      </c>
      <c r="K879" s="39" t="str">
        <f t="shared" si="58"/>
        <v>-</v>
      </c>
      <c r="L879" s="40" t="str">
        <f t="shared" si="59"/>
        <v>-</v>
      </c>
      <c r="M879" s="41" t="str">
        <f t="shared" si="56"/>
        <v>-</v>
      </c>
      <c r="O879" s="41" t="str">
        <f t="shared" si="60"/>
        <v>-</v>
      </c>
    </row>
    <row r="880" spans="1:15" x14ac:dyDescent="0.3">
      <c r="A880" s="4" t="s">
        <v>1886</v>
      </c>
      <c r="B880" s="3">
        <v>810014679976</v>
      </c>
      <c r="C880" s="2" t="s">
        <v>1887</v>
      </c>
      <c r="D880" s="30">
        <v>1.1299999999999999</v>
      </c>
      <c r="E880" s="20">
        <v>35.017500000000005</v>
      </c>
      <c r="F880" s="27"/>
      <c r="G880" s="23"/>
      <c r="J880" s="39" t="str">
        <f t="shared" si="57"/>
        <v>-</v>
      </c>
      <c r="K880" s="39" t="str">
        <f t="shared" si="58"/>
        <v>-</v>
      </c>
      <c r="L880" s="40" t="str">
        <f t="shared" si="59"/>
        <v>-</v>
      </c>
      <c r="M880" s="41" t="str">
        <f t="shared" si="56"/>
        <v>-</v>
      </c>
      <c r="O880" s="41" t="str">
        <f t="shared" si="60"/>
        <v>-</v>
      </c>
    </row>
    <row r="881" spans="1:15" x14ac:dyDescent="0.3">
      <c r="A881" s="4" t="s">
        <v>544</v>
      </c>
      <c r="B881" s="3">
        <v>810014670515</v>
      </c>
      <c r="C881" s="2" t="s">
        <v>1888</v>
      </c>
      <c r="D881" s="30">
        <v>1.1599999999999999</v>
      </c>
      <c r="E881" s="20">
        <v>35.017500000000005</v>
      </c>
      <c r="F881" s="27"/>
      <c r="G881" s="23"/>
      <c r="J881" s="39" t="str">
        <f t="shared" si="57"/>
        <v>-</v>
      </c>
      <c r="K881" s="39" t="str">
        <f t="shared" si="58"/>
        <v>-</v>
      </c>
      <c r="L881" s="40" t="str">
        <f t="shared" si="59"/>
        <v>-</v>
      </c>
      <c r="M881" s="41" t="str">
        <f t="shared" si="56"/>
        <v>-</v>
      </c>
      <c r="O881" s="41" t="str">
        <f t="shared" si="60"/>
        <v>-</v>
      </c>
    </row>
    <row r="882" spans="1:15" x14ac:dyDescent="0.3">
      <c r="A882" s="4" t="s">
        <v>582</v>
      </c>
      <c r="B882" s="3">
        <v>810139570332</v>
      </c>
      <c r="C882" s="2" t="s">
        <v>1889</v>
      </c>
      <c r="D882" s="30">
        <v>0.93</v>
      </c>
      <c r="E882" s="20">
        <v>35.017500000000005</v>
      </c>
      <c r="F882" s="27"/>
      <c r="G882" s="23"/>
      <c r="J882" s="39" t="str">
        <f t="shared" si="57"/>
        <v>-</v>
      </c>
      <c r="K882" s="39" t="str">
        <f t="shared" si="58"/>
        <v>-</v>
      </c>
      <c r="L882" s="40" t="str">
        <f t="shared" si="59"/>
        <v>-</v>
      </c>
      <c r="M882" s="41" t="str">
        <f t="shared" si="56"/>
        <v>-</v>
      </c>
      <c r="O882" s="41" t="str">
        <f t="shared" si="60"/>
        <v>-</v>
      </c>
    </row>
    <row r="883" spans="1:15" x14ac:dyDescent="0.3">
      <c r="A883" s="4" t="s">
        <v>578</v>
      </c>
      <c r="B883" s="3">
        <v>810139570356</v>
      </c>
      <c r="C883" s="2" t="s">
        <v>1890</v>
      </c>
      <c r="D883" s="30">
        <v>0.92</v>
      </c>
      <c r="E883" s="20">
        <v>35.017500000000005</v>
      </c>
      <c r="F883" s="27"/>
      <c r="G883" s="23"/>
      <c r="J883" s="39" t="str">
        <f t="shared" si="57"/>
        <v>-</v>
      </c>
      <c r="K883" s="39" t="str">
        <f t="shared" si="58"/>
        <v>-</v>
      </c>
      <c r="L883" s="40" t="str">
        <f t="shared" si="59"/>
        <v>-</v>
      </c>
      <c r="M883" s="41" t="str">
        <f t="shared" si="56"/>
        <v>-</v>
      </c>
      <c r="O883" s="41" t="str">
        <f t="shared" si="60"/>
        <v>-</v>
      </c>
    </row>
    <row r="884" spans="1:15" x14ac:dyDescent="0.3">
      <c r="A884" s="4" t="s">
        <v>580</v>
      </c>
      <c r="B884" s="3">
        <v>810139570318</v>
      </c>
      <c r="C884" s="2" t="s">
        <v>1891</v>
      </c>
      <c r="D884" s="30">
        <v>0.92</v>
      </c>
      <c r="E884" s="20">
        <v>35.017500000000005</v>
      </c>
      <c r="F884" s="27"/>
      <c r="G884" s="23"/>
      <c r="J884" s="39" t="str">
        <f t="shared" si="57"/>
        <v>-</v>
      </c>
      <c r="K884" s="39" t="str">
        <f t="shared" si="58"/>
        <v>-</v>
      </c>
      <c r="L884" s="40" t="str">
        <f t="shared" si="59"/>
        <v>-</v>
      </c>
      <c r="M884" s="41" t="str">
        <f t="shared" si="56"/>
        <v>-</v>
      </c>
      <c r="O884" s="41" t="str">
        <f t="shared" si="60"/>
        <v>-</v>
      </c>
    </row>
    <row r="885" spans="1:15" x14ac:dyDescent="0.3">
      <c r="A885" s="4" t="s">
        <v>39</v>
      </c>
      <c r="B885" s="3">
        <v>810139572596</v>
      </c>
      <c r="C885" s="2" t="s">
        <v>1892</v>
      </c>
      <c r="D885" s="30">
        <v>0.13</v>
      </c>
      <c r="E885" s="20">
        <v>35.017500000000005</v>
      </c>
      <c r="F885" s="27"/>
      <c r="G885" s="23"/>
      <c r="J885" s="39" t="str">
        <f t="shared" si="57"/>
        <v>-</v>
      </c>
      <c r="K885" s="39" t="str">
        <f t="shared" si="58"/>
        <v>-</v>
      </c>
      <c r="L885" s="40" t="str">
        <f t="shared" si="59"/>
        <v>-</v>
      </c>
      <c r="M885" s="41" t="str">
        <f t="shared" si="56"/>
        <v>-</v>
      </c>
      <c r="O885" s="41" t="str">
        <f t="shared" si="60"/>
        <v>-</v>
      </c>
    </row>
    <row r="886" spans="1:15" x14ac:dyDescent="0.3">
      <c r="A886" s="4" t="s">
        <v>737</v>
      </c>
      <c r="B886" s="3">
        <v>810014679013</v>
      </c>
      <c r="C886" s="2" t="s">
        <v>1893</v>
      </c>
      <c r="D886" s="30">
        <v>0.06</v>
      </c>
      <c r="E886" s="20">
        <v>35.017500000000005</v>
      </c>
      <c r="F886" s="27"/>
      <c r="G886" s="23"/>
      <c r="J886" s="39" t="str">
        <f t="shared" si="57"/>
        <v>-</v>
      </c>
      <c r="K886" s="39" t="str">
        <f t="shared" si="58"/>
        <v>-</v>
      </c>
      <c r="L886" s="40" t="str">
        <f t="shared" si="59"/>
        <v>-</v>
      </c>
      <c r="M886" s="41" t="str">
        <f t="shared" si="56"/>
        <v>-</v>
      </c>
      <c r="O886" s="41" t="str">
        <f t="shared" si="60"/>
        <v>-</v>
      </c>
    </row>
    <row r="887" spans="1:15" x14ac:dyDescent="0.3">
      <c r="A887" s="4" t="s">
        <v>1894</v>
      </c>
      <c r="B887" s="3">
        <v>810139572923</v>
      </c>
      <c r="C887" s="2" t="s">
        <v>1895</v>
      </c>
      <c r="D887" s="30">
        <v>0.66</v>
      </c>
      <c r="E887" s="20">
        <v>35.017500000000005</v>
      </c>
      <c r="F887" s="27"/>
      <c r="G887" s="23"/>
      <c r="J887" s="39" t="str">
        <f t="shared" si="57"/>
        <v>-</v>
      </c>
      <c r="K887" s="39" t="str">
        <f t="shared" si="58"/>
        <v>-</v>
      </c>
      <c r="L887" s="40" t="str">
        <f t="shared" si="59"/>
        <v>-</v>
      </c>
      <c r="M887" s="41" t="str">
        <f t="shared" si="56"/>
        <v>-</v>
      </c>
      <c r="O887" s="41" t="str">
        <f t="shared" si="60"/>
        <v>-</v>
      </c>
    </row>
    <row r="888" spans="1:15" x14ac:dyDescent="0.3">
      <c r="A888" s="4" t="s">
        <v>419</v>
      </c>
      <c r="B888" s="3">
        <v>810139571148</v>
      </c>
      <c r="C888" s="2" t="s">
        <v>1896</v>
      </c>
      <c r="D888" s="30">
        <v>7.0000000000000007E-2</v>
      </c>
      <c r="E888" s="20">
        <v>35.017500000000005</v>
      </c>
      <c r="F888" s="27"/>
      <c r="G888" s="23"/>
      <c r="J888" s="39" t="str">
        <f t="shared" si="57"/>
        <v>-</v>
      </c>
      <c r="K888" s="39" t="str">
        <f t="shared" si="58"/>
        <v>-</v>
      </c>
      <c r="L888" s="40" t="str">
        <f t="shared" si="59"/>
        <v>-</v>
      </c>
      <c r="M888" s="41" t="str">
        <f t="shared" si="56"/>
        <v>-</v>
      </c>
      <c r="O888" s="41" t="str">
        <f t="shared" si="60"/>
        <v>-</v>
      </c>
    </row>
    <row r="889" spans="1:15" x14ac:dyDescent="0.3">
      <c r="A889" s="4" t="s">
        <v>1897</v>
      </c>
      <c r="B889" s="3">
        <v>810139571124</v>
      </c>
      <c r="C889" s="2" t="s">
        <v>1898</v>
      </c>
      <c r="D889" s="30">
        <v>0.51</v>
      </c>
      <c r="E889" s="20">
        <v>35.017500000000005</v>
      </c>
      <c r="F889" s="27"/>
      <c r="G889" s="23"/>
      <c r="J889" s="39" t="str">
        <f t="shared" si="57"/>
        <v>-</v>
      </c>
      <c r="K889" s="39" t="str">
        <f t="shared" si="58"/>
        <v>-</v>
      </c>
      <c r="L889" s="40" t="str">
        <f t="shared" si="59"/>
        <v>-</v>
      </c>
      <c r="M889" s="41" t="str">
        <f t="shared" si="56"/>
        <v>-</v>
      </c>
      <c r="O889" s="41" t="str">
        <f t="shared" si="60"/>
        <v>-</v>
      </c>
    </row>
    <row r="890" spans="1:15" x14ac:dyDescent="0.3">
      <c r="A890" s="4" t="s">
        <v>1899</v>
      </c>
      <c r="B890" s="3">
        <v>810139576518</v>
      </c>
      <c r="C890" s="2" t="s">
        <v>1900</v>
      </c>
      <c r="D890" s="30">
        <v>0.15</v>
      </c>
      <c r="E890" s="20">
        <v>35.017500000000005</v>
      </c>
      <c r="F890" s="27"/>
      <c r="G890" s="23"/>
      <c r="J890" s="39" t="str">
        <f t="shared" si="57"/>
        <v>-</v>
      </c>
      <c r="K890" s="39" t="str">
        <f t="shared" si="58"/>
        <v>-</v>
      </c>
      <c r="L890" s="40" t="str">
        <f t="shared" si="59"/>
        <v>-</v>
      </c>
      <c r="M890" s="41" t="str">
        <f t="shared" si="56"/>
        <v>-</v>
      </c>
      <c r="O890" s="41" t="str">
        <f t="shared" si="60"/>
        <v>-</v>
      </c>
    </row>
    <row r="891" spans="1:15" x14ac:dyDescent="0.3">
      <c r="A891" s="4" t="s">
        <v>1901</v>
      </c>
      <c r="B891" s="3">
        <v>810139572916</v>
      </c>
      <c r="C891" s="2" t="s">
        <v>1902</v>
      </c>
      <c r="D891" s="30">
        <v>0.51</v>
      </c>
      <c r="E891" s="20">
        <v>35.017500000000005</v>
      </c>
      <c r="F891" s="27"/>
      <c r="G891" s="23"/>
      <c r="J891" s="39" t="str">
        <f t="shared" si="57"/>
        <v>-</v>
      </c>
      <c r="K891" s="39" t="str">
        <f t="shared" si="58"/>
        <v>-</v>
      </c>
      <c r="L891" s="40" t="str">
        <f t="shared" si="59"/>
        <v>-</v>
      </c>
      <c r="M891" s="41" t="str">
        <f t="shared" si="56"/>
        <v>-</v>
      </c>
      <c r="O891" s="41" t="str">
        <f t="shared" si="60"/>
        <v>-</v>
      </c>
    </row>
    <row r="892" spans="1:15" x14ac:dyDescent="0.3">
      <c r="A892" s="4" t="s">
        <v>1903</v>
      </c>
      <c r="B892" s="3">
        <v>810139575252</v>
      </c>
      <c r="C892" s="2" t="s">
        <v>1904</v>
      </c>
      <c r="D892" s="30">
        <v>0.15</v>
      </c>
      <c r="E892" s="20">
        <v>35.017500000000005</v>
      </c>
      <c r="F892" s="27"/>
      <c r="G892" s="23"/>
      <c r="J892" s="39" t="str">
        <f t="shared" si="57"/>
        <v>-</v>
      </c>
      <c r="K892" s="39" t="str">
        <f t="shared" si="58"/>
        <v>-</v>
      </c>
      <c r="L892" s="40" t="str">
        <f t="shared" si="59"/>
        <v>-</v>
      </c>
      <c r="M892" s="41" t="str">
        <f t="shared" si="56"/>
        <v>-</v>
      </c>
      <c r="O892" s="41" t="str">
        <f t="shared" si="60"/>
        <v>-</v>
      </c>
    </row>
    <row r="893" spans="1:15" x14ac:dyDescent="0.3">
      <c r="A893" s="4" t="s">
        <v>440</v>
      </c>
      <c r="B893" s="3">
        <v>810139571407</v>
      </c>
      <c r="C893" s="2" t="s">
        <v>1905</v>
      </c>
      <c r="D893" s="30">
        <v>0.38</v>
      </c>
      <c r="E893" s="20">
        <v>35.017500000000005</v>
      </c>
      <c r="F893" s="27"/>
      <c r="G893" s="23"/>
      <c r="J893" s="39" t="str">
        <f t="shared" si="57"/>
        <v>-</v>
      </c>
      <c r="K893" s="39" t="str">
        <f t="shared" si="58"/>
        <v>-</v>
      </c>
      <c r="L893" s="40" t="str">
        <f t="shared" si="59"/>
        <v>-</v>
      </c>
      <c r="M893" s="41" t="str">
        <f t="shared" si="56"/>
        <v>-</v>
      </c>
      <c r="O893" s="41" t="str">
        <f t="shared" si="60"/>
        <v>-</v>
      </c>
    </row>
    <row r="894" spans="1:15" x14ac:dyDescent="0.3">
      <c r="A894" s="4" t="s">
        <v>1906</v>
      </c>
      <c r="B894" s="3">
        <v>810139575375</v>
      </c>
      <c r="C894" s="2" t="s">
        <v>1907</v>
      </c>
      <c r="D894" s="30">
        <v>0.1</v>
      </c>
      <c r="E894" s="20">
        <v>35.017500000000005</v>
      </c>
      <c r="F894" s="27"/>
      <c r="G894" s="23"/>
      <c r="J894" s="39" t="str">
        <f t="shared" si="57"/>
        <v>-</v>
      </c>
      <c r="K894" s="39" t="str">
        <f t="shared" si="58"/>
        <v>-</v>
      </c>
      <c r="L894" s="40" t="str">
        <f t="shared" si="59"/>
        <v>-</v>
      </c>
      <c r="M894" s="41" t="str">
        <f t="shared" si="56"/>
        <v>-</v>
      </c>
      <c r="O894" s="41" t="str">
        <f t="shared" si="60"/>
        <v>-</v>
      </c>
    </row>
    <row r="895" spans="1:15" x14ac:dyDescent="0.3">
      <c r="A895" s="4" t="s">
        <v>593</v>
      </c>
      <c r="B895" s="3">
        <v>810014675473</v>
      </c>
      <c r="C895" s="2" t="s">
        <v>1908</v>
      </c>
      <c r="D895" s="30">
        <v>0.25</v>
      </c>
      <c r="E895" s="20">
        <v>36.540000000000006</v>
      </c>
      <c r="F895" s="27"/>
      <c r="G895" s="23"/>
      <c r="J895" s="39" t="str">
        <f t="shared" si="57"/>
        <v>-</v>
      </c>
      <c r="K895" s="39" t="str">
        <f t="shared" si="58"/>
        <v>-</v>
      </c>
      <c r="L895" s="40" t="str">
        <f t="shared" si="59"/>
        <v>-</v>
      </c>
      <c r="M895" s="41" t="str">
        <f t="shared" si="56"/>
        <v>-</v>
      </c>
      <c r="O895" s="41" t="str">
        <f t="shared" si="60"/>
        <v>-</v>
      </c>
    </row>
    <row r="896" spans="1:15" x14ac:dyDescent="0.3">
      <c r="A896" s="4" t="s">
        <v>1909</v>
      </c>
      <c r="B896" s="3">
        <v>810139576853</v>
      </c>
      <c r="C896" s="2" t="s">
        <v>1910</v>
      </c>
      <c r="D896" s="30">
        <v>2.2000000000000002</v>
      </c>
      <c r="E896" s="20">
        <v>36.540000000000006</v>
      </c>
      <c r="F896" s="27"/>
      <c r="G896" s="23"/>
      <c r="J896" s="39" t="str">
        <f t="shared" si="57"/>
        <v>-</v>
      </c>
      <c r="K896" s="39" t="str">
        <f t="shared" si="58"/>
        <v>-</v>
      </c>
      <c r="L896" s="40" t="str">
        <f t="shared" si="59"/>
        <v>-</v>
      </c>
      <c r="M896" s="41" t="str">
        <f t="shared" si="56"/>
        <v>-</v>
      </c>
      <c r="O896" s="41" t="str">
        <f t="shared" si="60"/>
        <v>-</v>
      </c>
    </row>
    <row r="897" spans="1:15" x14ac:dyDescent="0.3">
      <c r="A897" s="4" t="s">
        <v>119</v>
      </c>
      <c r="B897" s="3">
        <v>810139571469</v>
      </c>
      <c r="C897" s="2" t="s">
        <v>1911</v>
      </c>
      <c r="D897" s="30">
        <v>0.31</v>
      </c>
      <c r="E897" s="20">
        <v>36.540000000000006</v>
      </c>
      <c r="F897" s="27"/>
      <c r="G897" s="23"/>
      <c r="J897" s="39" t="str">
        <f t="shared" si="57"/>
        <v>-</v>
      </c>
      <c r="K897" s="39" t="str">
        <f t="shared" si="58"/>
        <v>-</v>
      </c>
      <c r="L897" s="40" t="str">
        <f t="shared" si="59"/>
        <v>-</v>
      </c>
      <c r="M897" s="41" t="str">
        <f t="shared" si="56"/>
        <v>-</v>
      </c>
      <c r="O897" s="41" t="str">
        <f t="shared" si="60"/>
        <v>-</v>
      </c>
    </row>
    <row r="898" spans="1:15" x14ac:dyDescent="0.3">
      <c r="A898" s="4" t="s">
        <v>338</v>
      </c>
      <c r="B898" s="3">
        <v>810139571087</v>
      </c>
      <c r="C898" s="2" t="s">
        <v>1912</v>
      </c>
      <c r="D898" s="30">
        <v>0.37</v>
      </c>
      <c r="E898" s="20">
        <v>36.540000000000006</v>
      </c>
      <c r="F898" s="27"/>
      <c r="G898" s="23"/>
      <c r="J898" s="39" t="str">
        <f t="shared" si="57"/>
        <v>-</v>
      </c>
      <c r="K898" s="39" t="str">
        <f t="shared" si="58"/>
        <v>-</v>
      </c>
      <c r="L898" s="40" t="str">
        <f t="shared" si="59"/>
        <v>-</v>
      </c>
      <c r="M898" s="41" t="str">
        <f t="shared" si="56"/>
        <v>-</v>
      </c>
      <c r="O898" s="41" t="str">
        <f t="shared" si="60"/>
        <v>-</v>
      </c>
    </row>
    <row r="899" spans="1:15" x14ac:dyDescent="0.3">
      <c r="A899" s="4" t="s">
        <v>337</v>
      </c>
      <c r="B899" s="3">
        <v>810139571094</v>
      </c>
      <c r="C899" s="2" t="s">
        <v>1913</v>
      </c>
      <c r="D899" s="30">
        <v>0.35</v>
      </c>
      <c r="E899" s="20">
        <v>36.540000000000006</v>
      </c>
      <c r="F899" s="27"/>
      <c r="G899" s="23"/>
      <c r="J899" s="39" t="str">
        <f t="shared" si="57"/>
        <v>-</v>
      </c>
      <c r="K899" s="39" t="str">
        <f t="shared" si="58"/>
        <v>-</v>
      </c>
      <c r="L899" s="40" t="str">
        <f t="shared" si="59"/>
        <v>-</v>
      </c>
      <c r="M899" s="41" t="str">
        <f t="shared" si="56"/>
        <v>-</v>
      </c>
      <c r="O899" s="41" t="str">
        <f t="shared" si="60"/>
        <v>-</v>
      </c>
    </row>
    <row r="900" spans="1:15" x14ac:dyDescent="0.3">
      <c r="A900" s="4" t="s">
        <v>335</v>
      </c>
      <c r="B900" s="3">
        <v>810139571063</v>
      </c>
      <c r="C900" s="2" t="s">
        <v>1914</v>
      </c>
      <c r="D900" s="30">
        <v>0.37</v>
      </c>
      <c r="E900" s="20">
        <v>36.540000000000006</v>
      </c>
      <c r="F900" s="27"/>
      <c r="G900" s="23"/>
      <c r="J900" s="39" t="str">
        <f t="shared" si="57"/>
        <v>-</v>
      </c>
      <c r="K900" s="39" t="str">
        <f t="shared" si="58"/>
        <v>-</v>
      </c>
      <c r="L900" s="40" t="str">
        <f t="shared" si="59"/>
        <v>-</v>
      </c>
      <c r="M900" s="41" t="str">
        <f t="shared" ref="M900:M963" si="61">IFERROR(IF($J$2&gt;0, $J$2*L900, "-"), "-")</f>
        <v>-</v>
      </c>
      <c r="O900" s="41" t="str">
        <f t="shared" si="60"/>
        <v>-</v>
      </c>
    </row>
    <row r="901" spans="1:15" x14ac:dyDescent="0.3">
      <c r="A901" s="4" t="s">
        <v>336</v>
      </c>
      <c r="B901" s="3">
        <v>810139571070</v>
      </c>
      <c r="C901" s="2" t="s">
        <v>1915</v>
      </c>
      <c r="D901" s="30">
        <v>0.36</v>
      </c>
      <c r="E901" s="20">
        <v>36.540000000000006</v>
      </c>
      <c r="F901" s="27"/>
      <c r="G901" s="23"/>
      <c r="J901" s="39" t="str">
        <f t="shared" si="57"/>
        <v>-</v>
      </c>
      <c r="K901" s="39" t="str">
        <f t="shared" si="58"/>
        <v>-</v>
      </c>
      <c r="L901" s="40" t="str">
        <f t="shared" si="59"/>
        <v>-</v>
      </c>
      <c r="M901" s="41" t="str">
        <f t="shared" si="61"/>
        <v>-</v>
      </c>
      <c r="O901" s="41" t="str">
        <f t="shared" si="60"/>
        <v>-</v>
      </c>
    </row>
    <row r="902" spans="1:15" x14ac:dyDescent="0.3">
      <c r="A902" s="4" t="s">
        <v>1916</v>
      </c>
      <c r="B902" s="3">
        <v>810139572459</v>
      </c>
      <c r="C902" s="2" t="s">
        <v>1917</v>
      </c>
      <c r="D902" s="30">
        <v>0.53</v>
      </c>
      <c r="E902" s="20">
        <v>36.540000000000006</v>
      </c>
      <c r="F902" s="27"/>
      <c r="G902" s="23"/>
      <c r="J902" s="39" t="str">
        <f t="shared" si="57"/>
        <v>-</v>
      </c>
      <c r="K902" s="39" t="str">
        <f t="shared" si="58"/>
        <v>-</v>
      </c>
      <c r="L902" s="40" t="str">
        <f t="shared" si="59"/>
        <v>-</v>
      </c>
      <c r="M902" s="41" t="str">
        <f t="shared" si="61"/>
        <v>-</v>
      </c>
      <c r="O902" s="41" t="str">
        <f t="shared" si="60"/>
        <v>-</v>
      </c>
    </row>
    <row r="903" spans="1:15" x14ac:dyDescent="0.3">
      <c r="A903" s="4" t="s">
        <v>204</v>
      </c>
      <c r="B903" s="3">
        <v>810139572411</v>
      </c>
      <c r="C903" s="2" t="s">
        <v>1918</v>
      </c>
      <c r="D903" s="30">
        <v>0.57999999999999996</v>
      </c>
      <c r="E903" s="20">
        <v>36.920625000000001</v>
      </c>
      <c r="F903" s="27"/>
      <c r="G903" s="23"/>
      <c r="J903" s="39" t="str">
        <f t="shared" si="57"/>
        <v>-</v>
      </c>
      <c r="K903" s="39" t="str">
        <f t="shared" si="58"/>
        <v>-</v>
      </c>
      <c r="L903" s="40" t="str">
        <f t="shared" si="59"/>
        <v>-</v>
      </c>
      <c r="M903" s="41" t="str">
        <f t="shared" si="61"/>
        <v>-</v>
      </c>
      <c r="O903" s="41" t="str">
        <f t="shared" si="60"/>
        <v>-</v>
      </c>
    </row>
    <row r="904" spans="1:15" x14ac:dyDescent="0.3">
      <c r="A904" s="4" t="s">
        <v>1919</v>
      </c>
      <c r="B904" s="3">
        <v>810139572480</v>
      </c>
      <c r="C904" s="2" t="s">
        <v>1920</v>
      </c>
      <c r="D904" s="30">
        <v>1.1599999999999999</v>
      </c>
      <c r="E904" s="20">
        <v>37.301250000000003</v>
      </c>
      <c r="F904" s="27"/>
      <c r="G904" s="23"/>
      <c r="J904" s="39" t="str">
        <f t="shared" si="57"/>
        <v>-</v>
      </c>
      <c r="K904" s="39" t="str">
        <f t="shared" si="58"/>
        <v>-</v>
      </c>
      <c r="L904" s="40" t="str">
        <f t="shared" si="59"/>
        <v>-</v>
      </c>
      <c r="M904" s="41" t="str">
        <f t="shared" si="61"/>
        <v>-</v>
      </c>
      <c r="O904" s="41" t="str">
        <f t="shared" si="60"/>
        <v>-</v>
      </c>
    </row>
    <row r="905" spans="1:15" x14ac:dyDescent="0.3">
      <c r="A905" s="4" t="s">
        <v>1921</v>
      </c>
      <c r="B905" s="3">
        <v>810014679969</v>
      </c>
      <c r="C905" s="2" t="s">
        <v>1922</v>
      </c>
      <c r="D905" s="30">
        <v>1.1499999999999999</v>
      </c>
      <c r="E905" s="20">
        <v>38.0625</v>
      </c>
      <c r="F905" s="27"/>
      <c r="G905" s="23"/>
      <c r="J905" s="39" t="str">
        <f t="shared" si="57"/>
        <v>-</v>
      </c>
      <c r="K905" s="39" t="str">
        <f t="shared" si="58"/>
        <v>-</v>
      </c>
      <c r="L905" s="40" t="str">
        <f t="shared" si="59"/>
        <v>-</v>
      </c>
      <c r="M905" s="41" t="str">
        <f t="shared" si="61"/>
        <v>-</v>
      </c>
      <c r="O905" s="41" t="str">
        <f t="shared" si="60"/>
        <v>-</v>
      </c>
    </row>
    <row r="906" spans="1:15" x14ac:dyDescent="0.3">
      <c r="A906" s="4" t="s">
        <v>1923</v>
      </c>
      <c r="B906" s="3">
        <v>810014679983</v>
      </c>
      <c r="C906" s="2" t="s">
        <v>1924</v>
      </c>
      <c r="D906" s="30">
        <v>0.6</v>
      </c>
      <c r="E906" s="20">
        <v>38.0625</v>
      </c>
      <c r="F906" s="27"/>
      <c r="G906" s="23"/>
      <c r="J906" s="39" t="str">
        <f t="shared" si="57"/>
        <v>-</v>
      </c>
      <c r="K906" s="39" t="str">
        <f t="shared" si="58"/>
        <v>-</v>
      </c>
      <c r="L906" s="40" t="str">
        <f t="shared" si="59"/>
        <v>-</v>
      </c>
      <c r="M906" s="41" t="str">
        <f t="shared" si="61"/>
        <v>-</v>
      </c>
      <c r="O906" s="41" t="str">
        <f t="shared" si="60"/>
        <v>-</v>
      </c>
    </row>
    <row r="907" spans="1:15" x14ac:dyDescent="0.3">
      <c r="A907" s="4" t="s">
        <v>145</v>
      </c>
      <c r="B907" s="3">
        <v>810014670096</v>
      </c>
      <c r="C907" s="2" t="s">
        <v>1925</v>
      </c>
      <c r="D907" s="30">
        <v>1.17</v>
      </c>
      <c r="E907" s="20">
        <v>38.823750000000004</v>
      </c>
      <c r="F907" s="27"/>
      <c r="G907" s="23"/>
      <c r="J907" s="39" t="str">
        <f t="shared" si="57"/>
        <v>-</v>
      </c>
      <c r="K907" s="39" t="str">
        <f t="shared" si="58"/>
        <v>-</v>
      </c>
      <c r="L907" s="40" t="str">
        <f t="shared" si="59"/>
        <v>-</v>
      </c>
      <c r="M907" s="41" t="str">
        <f t="shared" si="61"/>
        <v>-</v>
      </c>
      <c r="O907" s="41" t="str">
        <f t="shared" si="60"/>
        <v>-</v>
      </c>
    </row>
    <row r="908" spans="1:15" x14ac:dyDescent="0.3">
      <c r="A908" s="4" t="s">
        <v>143</v>
      </c>
      <c r="B908" s="3">
        <v>810014670072</v>
      </c>
      <c r="C908" s="2" t="s">
        <v>1926</v>
      </c>
      <c r="D908" s="30">
        <v>1.17</v>
      </c>
      <c r="E908" s="20">
        <v>38.823750000000004</v>
      </c>
      <c r="F908" s="27"/>
      <c r="G908" s="23"/>
      <c r="J908" s="39" t="str">
        <f t="shared" si="57"/>
        <v>-</v>
      </c>
      <c r="K908" s="39" t="str">
        <f t="shared" si="58"/>
        <v>-</v>
      </c>
      <c r="L908" s="40" t="str">
        <f t="shared" si="59"/>
        <v>-</v>
      </c>
      <c r="M908" s="41" t="str">
        <f t="shared" si="61"/>
        <v>-</v>
      </c>
      <c r="O908" s="41" t="str">
        <f t="shared" si="60"/>
        <v>-</v>
      </c>
    </row>
    <row r="909" spans="1:15" x14ac:dyDescent="0.3">
      <c r="A909" s="4" t="s">
        <v>141</v>
      </c>
      <c r="B909" s="3">
        <v>810014672106</v>
      </c>
      <c r="C909" s="2" t="s">
        <v>1927</v>
      </c>
      <c r="D909" s="30">
        <v>1.1599999999999999</v>
      </c>
      <c r="E909" s="20">
        <v>38.823750000000004</v>
      </c>
      <c r="F909" s="27"/>
      <c r="G909" s="23"/>
      <c r="J909" s="39" t="str">
        <f t="shared" si="57"/>
        <v>-</v>
      </c>
      <c r="K909" s="39" t="str">
        <f t="shared" si="58"/>
        <v>-</v>
      </c>
      <c r="L909" s="40" t="str">
        <f t="shared" si="59"/>
        <v>-</v>
      </c>
      <c r="M909" s="41" t="str">
        <f t="shared" si="61"/>
        <v>-</v>
      </c>
      <c r="O909" s="41" t="str">
        <f t="shared" si="60"/>
        <v>-</v>
      </c>
    </row>
    <row r="910" spans="1:15" x14ac:dyDescent="0.3">
      <c r="A910" s="4" t="s">
        <v>370</v>
      </c>
      <c r="B910" s="3">
        <v>810014679327</v>
      </c>
      <c r="C910" s="2" t="s">
        <v>1928</v>
      </c>
      <c r="D910" s="30">
        <v>0.82</v>
      </c>
      <c r="E910" s="20">
        <v>38.823750000000004</v>
      </c>
      <c r="F910" s="27"/>
      <c r="G910" s="23"/>
      <c r="J910" s="39" t="str">
        <f t="shared" si="57"/>
        <v>-</v>
      </c>
      <c r="K910" s="39" t="str">
        <f t="shared" si="58"/>
        <v>-</v>
      </c>
      <c r="L910" s="40" t="str">
        <f t="shared" si="59"/>
        <v>-</v>
      </c>
      <c r="M910" s="41" t="str">
        <f t="shared" si="61"/>
        <v>-</v>
      </c>
      <c r="O910" s="41" t="str">
        <f t="shared" si="60"/>
        <v>-</v>
      </c>
    </row>
    <row r="911" spans="1:15" x14ac:dyDescent="0.3">
      <c r="A911" s="4" t="s">
        <v>1929</v>
      </c>
      <c r="B911" s="3">
        <v>810139575931</v>
      </c>
      <c r="C911" s="2" t="s">
        <v>1930</v>
      </c>
      <c r="D911" s="30">
        <v>0.61</v>
      </c>
      <c r="E911" s="20">
        <v>38.823750000000004</v>
      </c>
      <c r="F911" s="27"/>
      <c r="G911" s="23"/>
      <c r="J911" s="39" t="str">
        <f t="shared" si="57"/>
        <v>-</v>
      </c>
      <c r="K911" s="39" t="str">
        <f t="shared" si="58"/>
        <v>-</v>
      </c>
      <c r="L911" s="40" t="str">
        <f t="shared" si="59"/>
        <v>-</v>
      </c>
      <c r="M911" s="41" t="str">
        <f t="shared" si="61"/>
        <v>-</v>
      </c>
      <c r="O911" s="41" t="str">
        <f t="shared" si="60"/>
        <v>-</v>
      </c>
    </row>
    <row r="912" spans="1:15" x14ac:dyDescent="0.3">
      <c r="A912" s="4" t="s">
        <v>1931</v>
      </c>
      <c r="B912" s="3">
        <v>810139576006</v>
      </c>
      <c r="C912" s="2" t="s">
        <v>1932</v>
      </c>
      <c r="D912" s="30">
        <v>0.51</v>
      </c>
      <c r="E912" s="20">
        <v>38.823750000000004</v>
      </c>
      <c r="F912" s="27"/>
      <c r="G912" s="23"/>
      <c r="J912" s="39" t="str">
        <f t="shared" si="57"/>
        <v>-</v>
      </c>
      <c r="K912" s="39" t="str">
        <f t="shared" si="58"/>
        <v>-</v>
      </c>
      <c r="L912" s="40" t="str">
        <f t="shared" si="59"/>
        <v>-</v>
      </c>
      <c r="M912" s="41" t="str">
        <f t="shared" si="61"/>
        <v>-</v>
      </c>
      <c r="O912" s="41" t="str">
        <f t="shared" si="60"/>
        <v>-</v>
      </c>
    </row>
    <row r="913" spans="1:15" x14ac:dyDescent="0.3">
      <c r="A913" s="4" t="s">
        <v>456</v>
      </c>
      <c r="B913" s="3">
        <v>702669937436</v>
      </c>
      <c r="C913" s="2" t="s">
        <v>1933</v>
      </c>
      <c r="D913" s="30">
        <v>4.42</v>
      </c>
      <c r="E913" s="20">
        <v>39.204374999999999</v>
      </c>
      <c r="F913" s="27"/>
      <c r="G913" s="23"/>
      <c r="J913" s="39" t="str">
        <f t="shared" si="57"/>
        <v>-</v>
      </c>
      <c r="K913" s="39" t="str">
        <f t="shared" si="58"/>
        <v>-</v>
      </c>
      <c r="L913" s="40" t="str">
        <f t="shared" si="59"/>
        <v>-</v>
      </c>
      <c r="M913" s="41" t="str">
        <f t="shared" si="61"/>
        <v>-</v>
      </c>
      <c r="O913" s="41" t="str">
        <f t="shared" si="60"/>
        <v>-</v>
      </c>
    </row>
    <row r="914" spans="1:15" x14ac:dyDescent="0.3">
      <c r="A914" s="4" t="s">
        <v>340</v>
      </c>
      <c r="B914" s="3">
        <v>810139570042</v>
      </c>
      <c r="C914" s="2" t="s">
        <v>1934</v>
      </c>
      <c r="D914" s="30">
        <v>0.35</v>
      </c>
      <c r="E914" s="20">
        <v>39.204374999999999</v>
      </c>
      <c r="F914" s="27"/>
      <c r="G914" s="23"/>
      <c r="J914" s="39" t="str">
        <f t="shared" si="57"/>
        <v>-</v>
      </c>
      <c r="K914" s="39" t="str">
        <f t="shared" si="58"/>
        <v>-</v>
      </c>
      <c r="L914" s="40" t="str">
        <f t="shared" si="59"/>
        <v>-</v>
      </c>
      <c r="M914" s="41" t="str">
        <f t="shared" si="61"/>
        <v>-</v>
      </c>
      <c r="O914" s="41" t="str">
        <f t="shared" si="60"/>
        <v>-</v>
      </c>
    </row>
    <row r="915" spans="1:15" x14ac:dyDescent="0.3">
      <c r="A915" s="4" t="s">
        <v>341</v>
      </c>
      <c r="B915" s="3">
        <v>810014679938</v>
      </c>
      <c r="C915" s="2" t="s">
        <v>1935</v>
      </c>
      <c r="D915" s="30">
        <v>0.39</v>
      </c>
      <c r="E915" s="20">
        <v>39.204374999999999</v>
      </c>
      <c r="F915" s="27"/>
      <c r="G915" s="23"/>
      <c r="J915" s="39" t="str">
        <f t="shared" si="57"/>
        <v>-</v>
      </c>
      <c r="K915" s="39" t="str">
        <f t="shared" si="58"/>
        <v>-</v>
      </c>
      <c r="L915" s="40" t="str">
        <f t="shared" si="59"/>
        <v>-</v>
      </c>
      <c r="M915" s="41" t="str">
        <f t="shared" si="61"/>
        <v>-</v>
      </c>
      <c r="O915" s="41" t="str">
        <f t="shared" si="60"/>
        <v>-</v>
      </c>
    </row>
    <row r="916" spans="1:15" x14ac:dyDescent="0.3">
      <c r="A916" s="4" t="s">
        <v>342</v>
      </c>
      <c r="B916" s="3">
        <v>810014679020</v>
      </c>
      <c r="C916" s="2" t="s">
        <v>1936</v>
      </c>
      <c r="D916" s="30">
        <v>0.35</v>
      </c>
      <c r="E916" s="20">
        <v>39.204374999999999</v>
      </c>
      <c r="F916" s="27"/>
      <c r="G916" s="23"/>
      <c r="J916" s="39" t="str">
        <f t="shared" si="57"/>
        <v>-</v>
      </c>
      <c r="K916" s="39" t="str">
        <f t="shared" si="58"/>
        <v>-</v>
      </c>
      <c r="L916" s="40" t="str">
        <f t="shared" si="59"/>
        <v>-</v>
      </c>
      <c r="M916" s="41" t="str">
        <f t="shared" si="61"/>
        <v>-</v>
      </c>
      <c r="O916" s="41" t="str">
        <f t="shared" si="60"/>
        <v>-</v>
      </c>
    </row>
    <row r="917" spans="1:15" x14ac:dyDescent="0.3">
      <c r="A917" s="4" t="s">
        <v>339</v>
      </c>
      <c r="B917" s="3">
        <v>810014679594</v>
      </c>
      <c r="C917" s="2" t="s">
        <v>1937</v>
      </c>
      <c r="D917" s="30">
        <v>0.35</v>
      </c>
      <c r="E917" s="20">
        <v>39.204374999999999</v>
      </c>
      <c r="F917" s="27"/>
      <c r="G917" s="23"/>
      <c r="J917" s="39" t="str">
        <f t="shared" si="57"/>
        <v>-</v>
      </c>
      <c r="K917" s="39" t="str">
        <f t="shared" si="58"/>
        <v>-</v>
      </c>
      <c r="L917" s="40" t="str">
        <f t="shared" si="59"/>
        <v>-</v>
      </c>
      <c r="M917" s="41" t="str">
        <f t="shared" si="61"/>
        <v>-</v>
      </c>
      <c r="O917" s="41" t="str">
        <f t="shared" si="60"/>
        <v>-</v>
      </c>
    </row>
    <row r="918" spans="1:15" x14ac:dyDescent="0.3">
      <c r="A918" s="4" t="s">
        <v>366</v>
      </c>
      <c r="B918" s="3">
        <v>810014670652</v>
      </c>
      <c r="C918" s="2" t="s">
        <v>1938</v>
      </c>
      <c r="D918" s="30">
        <v>0.14000000000000001</v>
      </c>
      <c r="E918" s="20">
        <v>39.585000000000001</v>
      </c>
      <c r="F918" s="27"/>
      <c r="G918" s="23"/>
      <c r="J918" s="39" t="str">
        <f t="shared" si="57"/>
        <v>-</v>
      </c>
      <c r="K918" s="39" t="str">
        <f t="shared" si="58"/>
        <v>-</v>
      </c>
      <c r="L918" s="40" t="str">
        <f t="shared" si="59"/>
        <v>-</v>
      </c>
      <c r="M918" s="41" t="str">
        <f t="shared" si="61"/>
        <v>-</v>
      </c>
      <c r="O918" s="41" t="str">
        <f t="shared" si="60"/>
        <v>-</v>
      </c>
    </row>
    <row r="919" spans="1:15" x14ac:dyDescent="0.3">
      <c r="A919" s="4" t="s">
        <v>1939</v>
      </c>
      <c r="B919" s="3">
        <v>810139576891</v>
      </c>
      <c r="C919" s="2" t="s">
        <v>1940</v>
      </c>
      <c r="D919" s="30">
        <v>0.63</v>
      </c>
      <c r="E919" s="20">
        <v>39.585000000000001</v>
      </c>
      <c r="F919" s="27"/>
      <c r="G919" s="23"/>
      <c r="J919" s="39" t="str">
        <f t="shared" si="57"/>
        <v>-</v>
      </c>
      <c r="K919" s="39" t="str">
        <f t="shared" si="58"/>
        <v>-</v>
      </c>
      <c r="L919" s="40" t="str">
        <f t="shared" si="59"/>
        <v>-</v>
      </c>
      <c r="M919" s="41" t="str">
        <f t="shared" si="61"/>
        <v>-</v>
      </c>
      <c r="O919" s="41" t="str">
        <f t="shared" si="60"/>
        <v>-</v>
      </c>
    </row>
    <row r="920" spans="1:15" x14ac:dyDescent="0.3">
      <c r="A920" s="4" t="s">
        <v>1941</v>
      </c>
      <c r="B920" s="3">
        <v>810139576884</v>
      </c>
      <c r="C920" s="2" t="s">
        <v>1942</v>
      </c>
      <c r="D920" s="30">
        <v>0.62</v>
      </c>
      <c r="E920" s="20">
        <v>39.585000000000001</v>
      </c>
      <c r="F920" s="27"/>
      <c r="G920" s="23"/>
      <c r="J920" s="39" t="str">
        <f t="shared" si="57"/>
        <v>-</v>
      </c>
      <c r="K920" s="39" t="str">
        <f t="shared" si="58"/>
        <v>-</v>
      </c>
      <c r="L920" s="40" t="str">
        <f t="shared" si="59"/>
        <v>-</v>
      </c>
      <c r="M920" s="41" t="str">
        <f t="shared" si="61"/>
        <v>-</v>
      </c>
      <c r="O920" s="41" t="str">
        <f t="shared" si="60"/>
        <v>-</v>
      </c>
    </row>
    <row r="921" spans="1:15" x14ac:dyDescent="0.3">
      <c r="A921" s="4" t="s">
        <v>1943</v>
      </c>
      <c r="B921" s="3">
        <v>810139576907</v>
      </c>
      <c r="C921" s="2" t="s">
        <v>1944</v>
      </c>
      <c r="D921" s="30">
        <v>0.63</v>
      </c>
      <c r="E921" s="20">
        <v>39.585000000000001</v>
      </c>
      <c r="F921" s="27"/>
      <c r="G921" s="23"/>
      <c r="J921" s="39" t="str">
        <f t="shared" si="57"/>
        <v>-</v>
      </c>
      <c r="K921" s="39" t="str">
        <f t="shared" si="58"/>
        <v>-</v>
      </c>
      <c r="L921" s="40" t="str">
        <f t="shared" si="59"/>
        <v>-</v>
      </c>
      <c r="M921" s="41" t="str">
        <f t="shared" si="61"/>
        <v>-</v>
      </c>
      <c r="O921" s="41" t="str">
        <f t="shared" si="60"/>
        <v>-</v>
      </c>
    </row>
    <row r="922" spans="1:15" x14ac:dyDescent="0.3">
      <c r="A922" s="4" t="s">
        <v>539</v>
      </c>
      <c r="B922" s="3">
        <v>810014679075</v>
      </c>
      <c r="C922" s="2" t="s">
        <v>1945</v>
      </c>
      <c r="D922" s="30">
        <v>1.39</v>
      </c>
      <c r="E922" s="20">
        <v>39.585000000000001</v>
      </c>
      <c r="F922" s="27"/>
      <c r="G922" s="23"/>
      <c r="J922" s="39" t="str">
        <f t="shared" si="57"/>
        <v>-</v>
      </c>
      <c r="K922" s="39" t="str">
        <f t="shared" si="58"/>
        <v>-</v>
      </c>
      <c r="L922" s="40" t="str">
        <f t="shared" si="59"/>
        <v>-</v>
      </c>
      <c r="M922" s="41" t="str">
        <f t="shared" si="61"/>
        <v>-</v>
      </c>
      <c r="O922" s="41" t="str">
        <f t="shared" si="60"/>
        <v>-</v>
      </c>
    </row>
    <row r="923" spans="1:15" x14ac:dyDescent="0.3">
      <c r="A923" s="4" t="s">
        <v>1946</v>
      </c>
      <c r="B923" s="3">
        <v>810139576839</v>
      </c>
      <c r="C923" s="2" t="s">
        <v>1947</v>
      </c>
      <c r="D923" s="30">
        <v>1.17</v>
      </c>
      <c r="E923" s="20">
        <v>41.107500000000002</v>
      </c>
      <c r="F923" s="27"/>
      <c r="G923" s="23"/>
      <c r="J923" s="39" t="str">
        <f t="shared" si="57"/>
        <v>-</v>
      </c>
      <c r="K923" s="39" t="str">
        <f t="shared" si="58"/>
        <v>-</v>
      </c>
      <c r="L923" s="40" t="str">
        <f t="shared" si="59"/>
        <v>-</v>
      </c>
      <c r="M923" s="41" t="str">
        <f t="shared" si="61"/>
        <v>-</v>
      </c>
      <c r="O923" s="41" t="str">
        <f t="shared" si="60"/>
        <v>-</v>
      </c>
    </row>
    <row r="924" spans="1:15" x14ac:dyDescent="0.3">
      <c r="A924" s="4" t="s">
        <v>706</v>
      </c>
      <c r="B924" s="3">
        <v>810014674148</v>
      </c>
      <c r="C924" s="2" t="s">
        <v>1948</v>
      </c>
      <c r="D924" s="30">
        <v>1.17</v>
      </c>
      <c r="E924" s="20">
        <v>41.107500000000002</v>
      </c>
      <c r="F924" s="27"/>
      <c r="G924" s="23"/>
      <c r="J924" s="39" t="str">
        <f t="shared" si="57"/>
        <v>-</v>
      </c>
      <c r="K924" s="39" t="str">
        <f t="shared" si="58"/>
        <v>-</v>
      </c>
      <c r="L924" s="40" t="str">
        <f t="shared" si="59"/>
        <v>-</v>
      </c>
      <c r="M924" s="41" t="str">
        <f t="shared" si="61"/>
        <v>-</v>
      </c>
      <c r="O924" s="41" t="str">
        <f t="shared" si="60"/>
        <v>-</v>
      </c>
    </row>
    <row r="925" spans="1:15" x14ac:dyDescent="0.3">
      <c r="A925" s="4" t="s">
        <v>1949</v>
      </c>
      <c r="B925" s="3">
        <v>810139577782</v>
      </c>
      <c r="C925" s="2" t="s">
        <v>1950</v>
      </c>
      <c r="D925" s="30">
        <v>1.2</v>
      </c>
      <c r="E925" s="20">
        <v>41.107500000000002</v>
      </c>
      <c r="F925" s="27"/>
      <c r="G925" s="23"/>
      <c r="J925" s="39" t="str">
        <f t="shared" si="57"/>
        <v>-</v>
      </c>
      <c r="K925" s="39" t="str">
        <f t="shared" si="58"/>
        <v>-</v>
      </c>
      <c r="L925" s="40" t="str">
        <f t="shared" si="59"/>
        <v>-</v>
      </c>
      <c r="M925" s="41" t="str">
        <f t="shared" si="61"/>
        <v>-</v>
      </c>
      <c r="O925" s="41" t="str">
        <f t="shared" si="60"/>
        <v>-</v>
      </c>
    </row>
    <row r="926" spans="1:15" x14ac:dyDescent="0.3">
      <c r="A926" s="4" t="s">
        <v>1951</v>
      </c>
      <c r="B926" s="3">
        <v>810139577485</v>
      </c>
      <c r="C926" s="2" t="s">
        <v>1952</v>
      </c>
      <c r="D926" s="30">
        <v>1.1599999999999999</v>
      </c>
      <c r="E926" s="20">
        <v>41.107500000000002</v>
      </c>
      <c r="F926" s="27"/>
      <c r="G926" s="23"/>
      <c r="J926" s="39" t="str">
        <f t="shared" si="57"/>
        <v>-</v>
      </c>
      <c r="K926" s="39" t="str">
        <f t="shared" si="58"/>
        <v>-</v>
      </c>
      <c r="L926" s="40" t="str">
        <f t="shared" si="59"/>
        <v>-</v>
      </c>
      <c r="M926" s="41" t="str">
        <f t="shared" si="61"/>
        <v>-</v>
      </c>
      <c r="O926" s="41" t="str">
        <f t="shared" si="60"/>
        <v>-</v>
      </c>
    </row>
    <row r="927" spans="1:15" x14ac:dyDescent="0.3">
      <c r="A927" s="4" t="s">
        <v>1953</v>
      </c>
      <c r="B927" s="3">
        <v>810139575115</v>
      </c>
      <c r="C927" s="2" t="s">
        <v>1954</v>
      </c>
      <c r="D927" s="30">
        <v>1.17</v>
      </c>
      <c r="E927" s="20">
        <v>41.107500000000002</v>
      </c>
      <c r="F927" s="27"/>
      <c r="G927" s="23"/>
      <c r="J927" s="39" t="str">
        <f t="shared" si="57"/>
        <v>-</v>
      </c>
      <c r="K927" s="39" t="str">
        <f t="shared" si="58"/>
        <v>-</v>
      </c>
      <c r="L927" s="40" t="str">
        <f t="shared" si="59"/>
        <v>-</v>
      </c>
      <c r="M927" s="41" t="str">
        <f t="shared" si="61"/>
        <v>-</v>
      </c>
      <c r="O927" s="41" t="str">
        <f t="shared" si="60"/>
        <v>-</v>
      </c>
    </row>
    <row r="928" spans="1:15" x14ac:dyDescent="0.3">
      <c r="A928" s="4" t="s">
        <v>702</v>
      </c>
      <c r="B928" s="3">
        <v>810014676098</v>
      </c>
      <c r="C928" s="2" t="s">
        <v>1955</v>
      </c>
      <c r="D928" s="30">
        <v>1.17</v>
      </c>
      <c r="E928" s="20">
        <v>41.107500000000002</v>
      </c>
      <c r="F928" s="27"/>
      <c r="G928" s="23"/>
      <c r="J928" s="39" t="str">
        <f t="shared" si="57"/>
        <v>-</v>
      </c>
      <c r="K928" s="39" t="str">
        <f t="shared" si="58"/>
        <v>-</v>
      </c>
      <c r="L928" s="40" t="str">
        <f t="shared" si="59"/>
        <v>-</v>
      </c>
      <c r="M928" s="41" t="str">
        <f t="shared" si="61"/>
        <v>-</v>
      </c>
      <c r="O928" s="41" t="str">
        <f t="shared" si="60"/>
        <v>-</v>
      </c>
    </row>
    <row r="929" spans="1:15" x14ac:dyDescent="0.3">
      <c r="A929" s="4" t="s">
        <v>1956</v>
      </c>
      <c r="B929" s="3">
        <v>810139576594</v>
      </c>
      <c r="C929" s="2" t="s">
        <v>1957</v>
      </c>
      <c r="D929" s="30">
        <v>1.23</v>
      </c>
      <c r="E929" s="20">
        <v>41.107500000000002</v>
      </c>
      <c r="F929" s="27"/>
      <c r="G929" s="23"/>
      <c r="J929" s="39" t="str">
        <f t="shared" si="57"/>
        <v>-</v>
      </c>
      <c r="K929" s="39" t="str">
        <f t="shared" si="58"/>
        <v>-</v>
      </c>
      <c r="L929" s="40" t="str">
        <f t="shared" si="59"/>
        <v>-</v>
      </c>
      <c r="M929" s="41" t="str">
        <f t="shared" si="61"/>
        <v>-</v>
      </c>
      <c r="O929" s="41" t="str">
        <f t="shared" si="60"/>
        <v>-</v>
      </c>
    </row>
    <row r="930" spans="1:15" x14ac:dyDescent="0.3">
      <c r="A930" s="4" t="s">
        <v>704</v>
      </c>
      <c r="B930" s="3">
        <v>810014671338</v>
      </c>
      <c r="C930" s="2" t="s">
        <v>1958</v>
      </c>
      <c r="D930" s="30">
        <v>1.17</v>
      </c>
      <c r="E930" s="20">
        <v>41.107500000000002</v>
      </c>
      <c r="F930" s="27"/>
      <c r="G930" s="23"/>
      <c r="J930" s="39" t="str">
        <f t="shared" si="57"/>
        <v>-</v>
      </c>
      <c r="K930" s="39" t="str">
        <f t="shared" si="58"/>
        <v>-</v>
      </c>
      <c r="L930" s="40" t="str">
        <f t="shared" si="59"/>
        <v>-</v>
      </c>
      <c r="M930" s="41" t="str">
        <f t="shared" si="61"/>
        <v>-</v>
      </c>
      <c r="O930" s="41" t="str">
        <f t="shared" si="60"/>
        <v>-</v>
      </c>
    </row>
    <row r="931" spans="1:15" x14ac:dyDescent="0.3">
      <c r="A931" s="4" t="s">
        <v>708</v>
      </c>
      <c r="B931" s="3">
        <v>810014679884</v>
      </c>
      <c r="C931" s="2" t="s">
        <v>1959</v>
      </c>
      <c r="D931" s="30">
        <v>1.26</v>
      </c>
      <c r="E931" s="20">
        <v>41.107500000000002</v>
      </c>
      <c r="F931" s="27"/>
      <c r="G931" s="23"/>
      <c r="J931" s="39" t="str">
        <f t="shared" si="57"/>
        <v>-</v>
      </c>
      <c r="K931" s="39" t="str">
        <f t="shared" si="58"/>
        <v>-</v>
      </c>
      <c r="L931" s="40" t="str">
        <f t="shared" si="59"/>
        <v>-</v>
      </c>
      <c r="M931" s="41" t="str">
        <f t="shared" si="61"/>
        <v>-</v>
      </c>
      <c r="O931" s="41" t="str">
        <f t="shared" si="60"/>
        <v>-</v>
      </c>
    </row>
    <row r="932" spans="1:15" x14ac:dyDescent="0.3">
      <c r="A932" s="4" t="s">
        <v>700</v>
      </c>
      <c r="B932" s="3">
        <v>810139573272</v>
      </c>
      <c r="C932" s="2" t="s">
        <v>1960</v>
      </c>
      <c r="D932" s="30">
        <v>1.17</v>
      </c>
      <c r="E932" s="20">
        <v>41.107500000000002</v>
      </c>
      <c r="F932" s="27"/>
      <c r="G932" s="23"/>
      <c r="J932" s="39" t="str">
        <f t="shared" si="57"/>
        <v>-</v>
      </c>
      <c r="K932" s="39" t="str">
        <f t="shared" si="58"/>
        <v>-</v>
      </c>
      <c r="L932" s="40" t="str">
        <f t="shared" si="59"/>
        <v>-</v>
      </c>
      <c r="M932" s="41" t="str">
        <f t="shared" si="61"/>
        <v>-</v>
      </c>
      <c r="O932" s="41" t="str">
        <f t="shared" si="60"/>
        <v>-</v>
      </c>
    </row>
    <row r="933" spans="1:15" x14ac:dyDescent="0.3">
      <c r="A933" s="4" t="s">
        <v>1961</v>
      </c>
      <c r="B933" s="3">
        <v>810139572206</v>
      </c>
      <c r="C933" s="2" t="s">
        <v>1962</v>
      </c>
      <c r="D933" s="30">
        <v>0.8</v>
      </c>
      <c r="E933" s="20">
        <v>41.868749999999999</v>
      </c>
      <c r="F933" s="27"/>
      <c r="G933" s="23"/>
      <c r="J933" s="39" t="str">
        <f t="shared" si="57"/>
        <v>-</v>
      </c>
      <c r="K933" s="39" t="str">
        <f t="shared" si="58"/>
        <v>-</v>
      </c>
      <c r="L933" s="40" t="str">
        <f t="shared" si="59"/>
        <v>-</v>
      </c>
      <c r="M933" s="41" t="str">
        <f t="shared" si="61"/>
        <v>-</v>
      </c>
      <c r="O933" s="41" t="str">
        <f t="shared" si="60"/>
        <v>-</v>
      </c>
    </row>
    <row r="934" spans="1:15" x14ac:dyDescent="0.3">
      <c r="A934" s="4" t="s">
        <v>430</v>
      </c>
      <c r="B934" s="3">
        <v>810014673783</v>
      </c>
      <c r="C934" s="2" t="s">
        <v>1963</v>
      </c>
      <c r="D934" s="30">
        <v>0.12</v>
      </c>
      <c r="E934" s="20">
        <v>41.868749999999999</v>
      </c>
      <c r="F934" s="27"/>
      <c r="G934" s="23"/>
      <c r="J934" s="39" t="str">
        <f t="shared" si="57"/>
        <v>-</v>
      </c>
      <c r="K934" s="39" t="str">
        <f t="shared" si="58"/>
        <v>-</v>
      </c>
      <c r="L934" s="40" t="str">
        <f t="shared" si="59"/>
        <v>-</v>
      </c>
      <c r="M934" s="41" t="str">
        <f t="shared" si="61"/>
        <v>-</v>
      </c>
      <c r="O934" s="41" t="str">
        <f t="shared" si="60"/>
        <v>-</v>
      </c>
    </row>
    <row r="935" spans="1:15" x14ac:dyDescent="0.3">
      <c r="A935" s="4" t="s">
        <v>1964</v>
      </c>
      <c r="B935" s="3">
        <v>810139574316</v>
      </c>
      <c r="C935" s="2" t="s">
        <v>1965</v>
      </c>
      <c r="D935" s="30">
        <v>0.13</v>
      </c>
      <c r="E935" s="20">
        <v>41.868749999999999</v>
      </c>
      <c r="F935" s="27"/>
      <c r="G935" s="23"/>
      <c r="J935" s="39" t="str">
        <f t="shared" si="57"/>
        <v>-</v>
      </c>
      <c r="K935" s="39" t="str">
        <f t="shared" si="58"/>
        <v>-</v>
      </c>
      <c r="L935" s="40" t="str">
        <f t="shared" si="59"/>
        <v>-</v>
      </c>
      <c r="M935" s="41" t="str">
        <f t="shared" si="61"/>
        <v>-</v>
      </c>
      <c r="O935" s="41" t="str">
        <f t="shared" si="60"/>
        <v>-</v>
      </c>
    </row>
    <row r="936" spans="1:15" x14ac:dyDescent="0.3">
      <c r="A936" s="4" t="s">
        <v>1966</v>
      </c>
      <c r="B936" s="3">
        <v>810139575917</v>
      </c>
      <c r="C936" s="2" t="s">
        <v>1967</v>
      </c>
      <c r="D936" s="30">
        <v>1.19</v>
      </c>
      <c r="E936" s="20">
        <v>42.249375000000001</v>
      </c>
      <c r="F936" s="27"/>
      <c r="G936" s="23"/>
      <c r="J936" s="39" t="str">
        <f t="shared" ref="J936:J999" si="62">IFERROR(IF($J$2*D936=0, "-", $J$2*D936), "-")</f>
        <v>-</v>
      </c>
      <c r="K936" s="39" t="str">
        <f t="shared" ref="K936:K999" si="63">IF(F936&gt;0,E936+J936,"-")</f>
        <v>-</v>
      </c>
      <c r="L936" s="40" t="str">
        <f t="shared" ref="L936:L999" si="64">IF(F936&gt;0,F936*D936, "-")</f>
        <v>-</v>
      </c>
      <c r="M936" s="41" t="str">
        <f t="shared" si="61"/>
        <v>-</v>
      </c>
      <c r="O936" s="41" t="str">
        <f t="shared" ref="O936:O999" si="65">IFERROR(IF(M936+G936=0, "-", IF(M936&gt;0, M936+G936, "-")), "-")</f>
        <v>-</v>
      </c>
    </row>
    <row r="937" spans="1:15" x14ac:dyDescent="0.3">
      <c r="A937" s="4" t="s">
        <v>15</v>
      </c>
      <c r="B937" s="3">
        <v>810014676869</v>
      </c>
      <c r="C937" s="2" t="s">
        <v>1968</v>
      </c>
      <c r="D937" s="30">
        <v>1.24</v>
      </c>
      <c r="E937" s="20">
        <v>42.63</v>
      </c>
      <c r="F937" s="27"/>
      <c r="G937" s="23"/>
      <c r="J937" s="39" t="str">
        <f t="shared" si="62"/>
        <v>-</v>
      </c>
      <c r="K937" s="39" t="str">
        <f t="shared" si="63"/>
        <v>-</v>
      </c>
      <c r="L937" s="40" t="str">
        <f t="shared" si="64"/>
        <v>-</v>
      </c>
      <c r="M937" s="41" t="str">
        <f t="shared" si="61"/>
        <v>-</v>
      </c>
      <c r="O937" s="41" t="str">
        <f t="shared" si="65"/>
        <v>-</v>
      </c>
    </row>
    <row r="938" spans="1:15" x14ac:dyDescent="0.3">
      <c r="A938" s="4" t="s">
        <v>55</v>
      </c>
      <c r="B938" s="3">
        <v>702669932332</v>
      </c>
      <c r="C938" s="2" t="s">
        <v>1969</v>
      </c>
      <c r="D938" s="30">
        <v>1.17</v>
      </c>
      <c r="E938" s="20">
        <v>42.63</v>
      </c>
      <c r="F938" s="27"/>
      <c r="G938" s="23"/>
      <c r="J938" s="39" t="str">
        <f t="shared" si="62"/>
        <v>-</v>
      </c>
      <c r="K938" s="39" t="str">
        <f t="shared" si="63"/>
        <v>-</v>
      </c>
      <c r="L938" s="40" t="str">
        <f t="shared" si="64"/>
        <v>-</v>
      </c>
      <c r="M938" s="41" t="str">
        <f t="shared" si="61"/>
        <v>-</v>
      </c>
      <c r="O938" s="41" t="str">
        <f t="shared" si="65"/>
        <v>-</v>
      </c>
    </row>
    <row r="939" spans="1:15" x14ac:dyDescent="0.3">
      <c r="A939" s="4" t="s">
        <v>202</v>
      </c>
      <c r="B939" s="3">
        <v>810014676081</v>
      </c>
      <c r="C939" s="2" t="s">
        <v>1970</v>
      </c>
      <c r="D939" s="30">
        <v>0.66</v>
      </c>
      <c r="E939" s="20">
        <v>42.63</v>
      </c>
      <c r="F939" s="27"/>
      <c r="G939" s="23"/>
      <c r="J939" s="39" t="str">
        <f t="shared" si="62"/>
        <v>-</v>
      </c>
      <c r="K939" s="39" t="str">
        <f t="shared" si="63"/>
        <v>-</v>
      </c>
      <c r="L939" s="40" t="str">
        <f t="shared" si="64"/>
        <v>-</v>
      </c>
      <c r="M939" s="41" t="str">
        <f t="shared" si="61"/>
        <v>-</v>
      </c>
      <c r="O939" s="41" t="str">
        <f t="shared" si="65"/>
        <v>-</v>
      </c>
    </row>
    <row r="940" spans="1:15" x14ac:dyDescent="0.3">
      <c r="A940" s="4" t="s">
        <v>1971</v>
      </c>
      <c r="B940" s="3">
        <v>810139576617</v>
      </c>
      <c r="C940" s="2" t="s">
        <v>1972</v>
      </c>
      <c r="D940" s="30">
        <v>0.09</v>
      </c>
      <c r="E940" s="20">
        <v>42.63</v>
      </c>
      <c r="F940" s="27"/>
      <c r="G940" s="23"/>
      <c r="J940" s="39" t="str">
        <f t="shared" si="62"/>
        <v>-</v>
      </c>
      <c r="K940" s="39" t="str">
        <f t="shared" si="63"/>
        <v>-</v>
      </c>
      <c r="L940" s="40" t="str">
        <f t="shared" si="64"/>
        <v>-</v>
      </c>
      <c r="M940" s="41" t="str">
        <f t="shared" si="61"/>
        <v>-</v>
      </c>
      <c r="O940" s="41" t="str">
        <f t="shared" si="65"/>
        <v>-</v>
      </c>
    </row>
    <row r="941" spans="1:15" x14ac:dyDescent="0.3">
      <c r="A941" s="4" t="s">
        <v>604</v>
      </c>
      <c r="B941" s="3">
        <v>810014673554</v>
      </c>
      <c r="C941" s="2" t="s">
        <v>1973</v>
      </c>
      <c r="D941" s="30">
        <v>0.13</v>
      </c>
      <c r="E941" s="20">
        <v>43.391249999999999</v>
      </c>
      <c r="F941" s="27"/>
      <c r="G941" s="23"/>
      <c r="J941" s="39" t="str">
        <f t="shared" si="62"/>
        <v>-</v>
      </c>
      <c r="K941" s="39" t="str">
        <f t="shared" si="63"/>
        <v>-</v>
      </c>
      <c r="L941" s="40" t="str">
        <f t="shared" si="64"/>
        <v>-</v>
      </c>
      <c r="M941" s="41" t="str">
        <f t="shared" si="61"/>
        <v>-</v>
      </c>
      <c r="O941" s="41" t="str">
        <f t="shared" si="65"/>
        <v>-</v>
      </c>
    </row>
    <row r="942" spans="1:15" x14ac:dyDescent="0.3">
      <c r="A942" s="4" t="s">
        <v>71</v>
      </c>
      <c r="B942" s="3">
        <v>857077008015</v>
      </c>
      <c r="C942" s="2" t="s">
        <v>1974</v>
      </c>
      <c r="D942" s="30">
        <v>1.2</v>
      </c>
      <c r="E942" s="20">
        <v>43.391249999999999</v>
      </c>
      <c r="F942" s="27"/>
      <c r="G942" s="23"/>
      <c r="J942" s="39" t="str">
        <f t="shared" si="62"/>
        <v>-</v>
      </c>
      <c r="K942" s="39" t="str">
        <f t="shared" si="63"/>
        <v>-</v>
      </c>
      <c r="L942" s="40" t="str">
        <f t="shared" si="64"/>
        <v>-</v>
      </c>
      <c r="M942" s="41" t="str">
        <f t="shared" si="61"/>
        <v>-</v>
      </c>
      <c r="O942" s="41" t="str">
        <f t="shared" si="65"/>
        <v>-</v>
      </c>
    </row>
    <row r="943" spans="1:15" x14ac:dyDescent="0.3">
      <c r="A943" s="4" t="s">
        <v>78</v>
      </c>
      <c r="B943" s="3">
        <v>857077008022</v>
      </c>
      <c r="C943" s="2" t="s">
        <v>1975</v>
      </c>
      <c r="D943" s="30">
        <v>1.1000000000000001</v>
      </c>
      <c r="E943" s="20">
        <v>43.391249999999999</v>
      </c>
      <c r="F943" s="27"/>
      <c r="G943" s="23"/>
      <c r="J943" s="39" t="str">
        <f t="shared" si="62"/>
        <v>-</v>
      </c>
      <c r="K943" s="39" t="str">
        <f t="shared" si="63"/>
        <v>-</v>
      </c>
      <c r="L943" s="40" t="str">
        <f t="shared" si="64"/>
        <v>-</v>
      </c>
      <c r="M943" s="41" t="str">
        <f t="shared" si="61"/>
        <v>-</v>
      </c>
      <c r="O943" s="41" t="str">
        <f t="shared" si="65"/>
        <v>-</v>
      </c>
    </row>
    <row r="944" spans="1:15" x14ac:dyDescent="0.3">
      <c r="A944" s="4" t="s">
        <v>68</v>
      </c>
      <c r="B944" s="3">
        <v>857077008572</v>
      </c>
      <c r="C944" s="2" t="s">
        <v>1976</v>
      </c>
      <c r="D944" s="30">
        <v>0.99</v>
      </c>
      <c r="E944" s="20">
        <v>43.391249999999999</v>
      </c>
      <c r="F944" s="27"/>
      <c r="G944" s="23"/>
      <c r="J944" s="39" t="str">
        <f t="shared" si="62"/>
        <v>-</v>
      </c>
      <c r="K944" s="39" t="str">
        <f t="shared" si="63"/>
        <v>-</v>
      </c>
      <c r="L944" s="40" t="str">
        <f t="shared" si="64"/>
        <v>-</v>
      </c>
      <c r="M944" s="41" t="str">
        <f t="shared" si="61"/>
        <v>-</v>
      </c>
      <c r="O944" s="41" t="str">
        <f t="shared" si="65"/>
        <v>-</v>
      </c>
    </row>
    <row r="945" spans="1:15" x14ac:dyDescent="0.3">
      <c r="A945" s="4" t="s">
        <v>74</v>
      </c>
      <c r="B945" s="3">
        <v>857077008602</v>
      </c>
      <c r="C945" s="2" t="s">
        <v>1977</v>
      </c>
      <c r="D945" s="30">
        <v>1.03</v>
      </c>
      <c r="E945" s="20">
        <v>43.391249999999999</v>
      </c>
      <c r="F945" s="27"/>
      <c r="G945" s="23"/>
      <c r="J945" s="39" t="str">
        <f t="shared" si="62"/>
        <v>-</v>
      </c>
      <c r="K945" s="39" t="str">
        <f t="shared" si="63"/>
        <v>-</v>
      </c>
      <c r="L945" s="40" t="str">
        <f t="shared" si="64"/>
        <v>-</v>
      </c>
      <c r="M945" s="41" t="str">
        <f t="shared" si="61"/>
        <v>-</v>
      </c>
      <c r="O945" s="41" t="str">
        <f t="shared" si="65"/>
        <v>-</v>
      </c>
    </row>
    <row r="946" spans="1:15" x14ac:dyDescent="0.3">
      <c r="A946" s="4" t="s">
        <v>62</v>
      </c>
      <c r="B946" s="3">
        <v>857077008541</v>
      </c>
      <c r="C946" s="2" t="s">
        <v>1978</v>
      </c>
      <c r="D946" s="30">
        <v>1.0900000000000001</v>
      </c>
      <c r="E946" s="20">
        <v>43.391249999999999</v>
      </c>
      <c r="F946" s="27"/>
      <c r="G946" s="23"/>
      <c r="J946" s="39" t="str">
        <f t="shared" si="62"/>
        <v>-</v>
      </c>
      <c r="K946" s="39" t="str">
        <f t="shared" si="63"/>
        <v>-</v>
      </c>
      <c r="L946" s="40" t="str">
        <f t="shared" si="64"/>
        <v>-</v>
      </c>
      <c r="M946" s="41" t="str">
        <f t="shared" si="61"/>
        <v>-</v>
      </c>
      <c r="O946" s="41" t="str">
        <f t="shared" si="65"/>
        <v>-</v>
      </c>
    </row>
    <row r="947" spans="1:15" x14ac:dyDescent="0.3">
      <c r="A947" s="4" t="s">
        <v>466</v>
      </c>
      <c r="B947" s="3">
        <v>810014675510</v>
      </c>
      <c r="C947" s="2" t="s">
        <v>1979</v>
      </c>
      <c r="D947" s="30">
        <v>1.17</v>
      </c>
      <c r="E947" s="20">
        <v>43.771875000000001</v>
      </c>
      <c r="F947" s="27"/>
      <c r="G947" s="23"/>
      <c r="J947" s="39" t="str">
        <f t="shared" si="62"/>
        <v>-</v>
      </c>
      <c r="K947" s="39" t="str">
        <f t="shared" si="63"/>
        <v>-</v>
      </c>
      <c r="L947" s="40" t="str">
        <f t="shared" si="64"/>
        <v>-</v>
      </c>
      <c r="M947" s="41" t="str">
        <f t="shared" si="61"/>
        <v>-</v>
      </c>
      <c r="O947" s="41" t="str">
        <f t="shared" si="65"/>
        <v>-</v>
      </c>
    </row>
    <row r="948" spans="1:15" x14ac:dyDescent="0.3">
      <c r="A948" s="4" t="s">
        <v>569</v>
      </c>
      <c r="B948" s="3">
        <v>810014670973</v>
      </c>
      <c r="C948" s="2" t="s">
        <v>1980</v>
      </c>
      <c r="D948" s="30">
        <v>1.23</v>
      </c>
      <c r="E948" s="20">
        <v>44.152500000000003</v>
      </c>
      <c r="F948" s="27"/>
      <c r="G948" s="23"/>
      <c r="J948" s="39" t="str">
        <f t="shared" si="62"/>
        <v>-</v>
      </c>
      <c r="K948" s="39" t="str">
        <f t="shared" si="63"/>
        <v>-</v>
      </c>
      <c r="L948" s="40" t="str">
        <f t="shared" si="64"/>
        <v>-</v>
      </c>
      <c r="M948" s="41" t="str">
        <f t="shared" si="61"/>
        <v>-</v>
      </c>
      <c r="O948" s="41" t="str">
        <f t="shared" si="65"/>
        <v>-</v>
      </c>
    </row>
    <row r="949" spans="1:15" x14ac:dyDescent="0.3">
      <c r="A949" s="4" t="s">
        <v>571</v>
      </c>
      <c r="B949" s="3">
        <v>810014671130</v>
      </c>
      <c r="C949" s="2" t="s">
        <v>1981</v>
      </c>
      <c r="D949" s="30">
        <v>1.17</v>
      </c>
      <c r="E949" s="20">
        <v>44.152500000000003</v>
      </c>
      <c r="F949" s="27"/>
      <c r="G949" s="23"/>
      <c r="J949" s="39" t="str">
        <f t="shared" si="62"/>
        <v>-</v>
      </c>
      <c r="K949" s="39" t="str">
        <f t="shared" si="63"/>
        <v>-</v>
      </c>
      <c r="L949" s="40" t="str">
        <f t="shared" si="64"/>
        <v>-</v>
      </c>
      <c r="M949" s="41" t="str">
        <f t="shared" si="61"/>
        <v>-</v>
      </c>
      <c r="O949" s="41" t="str">
        <f t="shared" si="65"/>
        <v>-</v>
      </c>
    </row>
    <row r="950" spans="1:15" x14ac:dyDescent="0.3">
      <c r="A950" s="4" t="s">
        <v>565</v>
      </c>
      <c r="B950" s="3">
        <v>810014670935</v>
      </c>
      <c r="C950" s="2" t="s">
        <v>1982</v>
      </c>
      <c r="D950" s="30">
        <v>1.2</v>
      </c>
      <c r="E950" s="20">
        <v>44.152500000000003</v>
      </c>
      <c r="F950" s="27"/>
      <c r="G950" s="23"/>
      <c r="J950" s="39" t="str">
        <f t="shared" si="62"/>
        <v>-</v>
      </c>
      <c r="K950" s="39" t="str">
        <f t="shared" si="63"/>
        <v>-</v>
      </c>
      <c r="L950" s="40" t="str">
        <f t="shared" si="64"/>
        <v>-</v>
      </c>
      <c r="M950" s="41" t="str">
        <f t="shared" si="61"/>
        <v>-</v>
      </c>
      <c r="O950" s="41" t="str">
        <f t="shared" si="65"/>
        <v>-</v>
      </c>
    </row>
    <row r="951" spans="1:15" x14ac:dyDescent="0.3">
      <c r="A951" s="4" t="s">
        <v>572</v>
      </c>
      <c r="B951" s="3">
        <v>810139571346</v>
      </c>
      <c r="C951" s="2" t="s">
        <v>1983</v>
      </c>
      <c r="D951" s="30">
        <v>1.1200000000000001</v>
      </c>
      <c r="E951" s="20">
        <v>44.152500000000003</v>
      </c>
      <c r="F951" s="27"/>
      <c r="G951" s="23"/>
      <c r="J951" s="39" t="str">
        <f t="shared" si="62"/>
        <v>-</v>
      </c>
      <c r="K951" s="39" t="str">
        <f t="shared" si="63"/>
        <v>-</v>
      </c>
      <c r="L951" s="40" t="str">
        <f t="shared" si="64"/>
        <v>-</v>
      </c>
      <c r="M951" s="41" t="str">
        <f t="shared" si="61"/>
        <v>-</v>
      </c>
      <c r="O951" s="41" t="str">
        <f t="shared" si="65"/>
        <v>-</v>
      </c>
    </row>
    <row r="952" spans="1:15" x14ac:dyDescent="0.3">
      <c r="A952" s="4" t="s">
        <v>567</v>
      </c>
      <c r="B952" s="3">
        <v>810014670911</v>
      </c>
      <c r="C952" s="2" t="s">
        <v>1984</v>
      </c>
      <c r="D952" s="30">
        <v>1.17</v>
      </c>
      <c r="E952" s="20">
        <v>44.152500000000003</v>
      </c>
      <c r="F952" s="27"/>
      <c r="G952" s="23"/>
      <c r="J952" s="39" t="str">
        <f t="shared" si="62"/>
        <v>-</v>
      </c>
      <c r="K952" s="39" t="str">
        <f t="shared" si="63"/>
        <v>-</v>
      </c>
      <c r="L952" s="40" t="str">
        <f t="shared" si="64"/>
        <v>-</v>
      </c>
      <c r="M952" s="41" t="str">
        <f t="shared" si="61"/>
        <v>-</v>
      </c>
      <c r="O952" s="41" t="str">
        <f t="shared" si="65"/>
        <v>-</v>
      </c>
    </row>
    <row r="953" spans="1:15" x14ac:dyDescent="0.3">
      <c r="A953" s="4" t="s">
        <v>1985</v>
      </c>
      <c r="B953" s="3">
        <v>810139577751</v>
      </c>
      <c r="C953" s="2" t="s">
        <v>1986</v>
      </c>
      <c r="D953" s="30">
        <v>1.17</v>
      </c>
      <c r="E953" s="20">
        <v>44.152500000000003</v>
      </c>
      <c r="F953" s="27"/>
      <c r="G953" s="23"/>
      <c r="J953" s="39" t="str">
        <f t="shared" si="62"/>
        <v>-</v>
      </c>
      <c r="K953" s="39" t="str">
        <f t="shared" si="63"/>
        <v>-</v>
      </c>
      <c r="L953" s="40" t="str">
        <f t="shared" si="64"/>
        <v>-</v>
      </c>
      <c r="M953" s="41" t="str">
        <f t="shared" si="61"/>
        <v>-</v>
      </c>
      <c r="O953" s="41" t="str">
        <f t="shared" si="65"/>
        <v>-</v>
      </c>
    </row>
    <row r="954" spans="1:15" x14ac:dyDescent="0.3">
      <c r="A954" s="4" t="s">
        <v>357</v>
      </c>
      <c r="B954" s="3">
        <v>810139573654</v>
      </c>
      <c r="C954" s="2" t="s">
        <v>1987</v>
      </c>
      <c r="D954" s="30">
        <v>1.31</v>
      </c>
      <c r="E954" s="20">
        <v>45.294375000000002</v>
      </c>
      <c r="F954" s="27"/>
      <c r="G954" s="23"/>
      <c r="J954" s="39" t="str">
        <f t="shared" si="62"/>
        <v>-</v>
      </c>
      <c r="K954" s="39" t="str">
        <f t="shared" si="63"/>
        <v>-</v>
      </c>
      <c r="L954" s="40" t="str">
        <f t="shared" si="64"/>
        <v>-</v>
      </c>
      <c r="M954" s="41" t="str">
        <f t="shared" si="61"/>
        <v>-</v>
      </c>
      <c r="O954" s="41" t="str">
        <f t="shared" si="65"/>
        <v>-</v>
      </c>
    </row>
    <row r="955" spans="1:15" x14ac:dyDescent="0.3">
      <c r="A955" s="4" t="s">
        <v>12</v>
      </c>
      <c r="B955" s="3">
        <v>810139575337</v>
      </c>
      <c r="C955" s="2" t="s">
        <v>1988</v>
      </c>
      <c r="D955" s="30">
        <v>0.69</v>
      </c>
      <c r="E955" s="20">
        <v>45.674999999999997</v>
      </c>
      <c r="F955" s="27"/>
      <c r="G955" s="23"/>
      <c r="J955" s="39" t="str">
        <f t="shared" si="62"/>
        <v>-</v>
      </c>
      <c r="K955" s="39" t="str">
        <f t="shared" si="63"/>
        <v>-</v>
      </c>
      <c r="L955" s="40" t="str">
        <f t="shared" si="64"/>
        <v>-</v>
      </c>
      <c r="M955" s="41" t="str">
        <f t="shared" si="61"/>
        <v>-</v>
      </c>
      <c r="O955" s="41" t="str">
        <f t="shared" si="65"/>
        <v>-</v>
      </c>
    </row>
    <row r="956" spans="1:15" x14ac:dyDescent="0.3">
      <c r="A956" s="4" t="s">
        <v>421</v>
      </c>
      <c r="B956" s="3">
        <v>810014670508</v>
      </c>
      <c r="C956" s="2" t="s">
        <v>1989</v>
      </c>
      <c r="D956" s="30">
        <v>0.62</v>
      </c>
      <c r="E956" s="20">
        <v>46.055625000000006</v>
      </c>
      <c r="F956" s="27"/>
      <c r="G956" s="23"/>
      <c r="J956" s="39" t="str">
        <f t="shared" si="62"/>
        <v>-</v>
      </c>
      <c r="K956" s="39" t="str">
        <f t="shared" si="63"/>
        <v>-</v>
      </c>
      <c r="L956" s="40" t="str">
        <f t="shared" si="64"/>
        <v>-</v>
      </c>
      <c r="M956" s="41" t="str">
        <f t="shared" si="61"/>
        <v>-</v>
      </c>
      <c r="O956" s="41" t="str">
        <f t="shared" si="65"/>
        <v>-</v>
      </c>
    </row>
    <row r="957" spans="1:15" x14ac:dyDescent="0.3">
      <c r="A957" s="4" t="s">
        <v>650</v>
      </c>
      <c r="B957" s="3">
        <v>810014674414</v>
      </c>
      <c r="C957" s="2" t="s">
        <v>1990</v>
      </c>
      <c r="D957" s="30">
        <v>0.14000000000000001</v>
      </c>
      <c r="E957" s="20">
        <v>46.055625000000006</v>
      </c>
      <c r="F957" s="27"/>
      <c r="G957" s="23"/>
      <c r="J957" s="39" t="str">
        <f t="shared" si="62"/>
        <v>-</v>
      </c>
      <c r="K957" s="39" t="str">
        <f t="shared" si="63"/>
        <v>-</v>
      </c>
      <c r="L957" s="40" t="str">
        <f t="shared" si="64"/>
        <v>-</v>
      </c>
      <c r="M957" s="41" t="str">
        <f t="shared" si="61"/>
        <v>-</v>
      </c>
      <c r="O957" s="41" t="str">
        <f t="shared" si="65"/>
        <v>-</v>
      </c>
    </row>
    <row r="958" spans="1:15" x14ac:dyDescent="0.3">
      <c r="A958" s="4" t="s">
        <v>502</v>
      </c>
      <c r="B958" s="3">
        <v>810139572466</v>
      </c>
      <c r="C958" s="2" t="s">
        <v>1991</v>
      </c>
      <c r="D958" s="30">
        <v>0.69</v>
      </c>
      <c r="E958" s="20">
        <v>46.436249999999994</v>
      </c>
      <c r="F958" s="27"/>
      <c r="G958" s="23"/>
      <c r="J958" s="39" t="str">
        <f t="shared" si="62"/>
        <v>-</v>
      </c>
      <c r="K958" s="39" t="str">
        <f t="shared" si="63"/>
        <v>-</v>
      </c>
      <c r="L958" s="40" t="str">
        <f t="shared" si="64"/>
        <v>-</v>
      </c>
      <c r="M958" s="41" t="str">
        <f t="shared" si="61"/>
        <v>-</v>
      </c>
      <c r="O958" s="41" t="str">
        <f t="shared" si="65"/>
        <v>-</v>
      </c>
    </row>
    <row r="959" spans="1:15" x14ac:dyDescent="0.3">
      <c r="A959" s="4" t="s">
        <v>595</v>
      </c>
      <c r="B959" s="3">
        <v>810014674018</v>
      </c>
      <c r="C959" s="2" t="s">
        <v>1992</v>
      </c>
      <c r="D959" s="30">
        <v>0.21</v>
      </c>
      <c r="E959" s="20">
        <v>47.197500000000005</v>
      </c>
      <c r="F959" s="27"/>
      <c r="G959" s="23"/>
      <c r="J959" s="39" t="str">
        <f t="shared" si="62"/>
        <v>-</v>
      </c>
      <c r="K959" s="39" t="str">
        <f t="shared" si="63"/>
        <v>-</v>
      </c>
      <c r="L959" s="40" t="str">
        <f t="shared" si="64"/>
        <v>-</v>
      </c>
      <c r="M959" s="41" t="str">
        <f t="shared" si="61"/>
        <v>-</v>
      </c>
      <c r="O959" s="41" t="str">
        <f t="shared" si="65"/>
        <v>-</v>
      </c>
    </row>
    <row r="960" spans="1:15" x14ac:dyDescent="0.3">
      <c r="A960" s="4" t="s">
        <v>1993</v>
      </c>
      <c r="B960" s="3">
        <v>810014679952</v>
      </c>
      <c r="C960" s="2" t="s">
        <v>1994</v>
      </c>
      <c r="D960" s="30">
        <v>0.34</v>
      </c>
      <c r="E960" s="20">
        <v>47.197500000000005</v>
      </c>
      <c r="F960" s="27"/>
      <c r="G960" s="23"/>
      <c r="J960" s="39" t="str">
        <f t="shared" si="62"/>
        <v>-</v>
      </c>
      <c r="K960" s="39" t="str">
        <f t="shared" si="63"/>
        <v>-</v>
      </c>
      <c r="L960" s="40" t="str">
        <f t="shared" si="64"/>
        <v>-</v>
      </c>
      <c r="M960" s="41" t="str">
        <f t="shared" si="61"/>
        <v>-</v>
      </c>
      <c r="O960" s="41" t="str">
        <f t="shared" si="65"/>
        <v>-</v>
      </c>
    </row>
    <row r="961" spans="1:15" x14ac:dyDescent="0.3">
      <c r="A961" s="4" t="s">
        <v>463</v>
      </c>
      <c r="B961" s="3">
        <v>810139570974</v>
      </c>
      <c r="C961" s="2" t="s">
        <v>1995</v>
      </c>
      <c r="D961" s="30">
        <v>3.71</v>
      </c>
      <c r="E961" s="20">
        <v>48.72</v>
      </c>
      <c r="F961" s="27"/>
      <c r="G961" s="23"/>
      <c r="J961" s="39" t="str">
        <f t="shared" si="62"/>
        <v>-</v>
      </c>
      <c r="K961" s="39" t="str">
        <f t="shared" si="63"/>
        <v>-</v>
      </c>
      <c r="L961" s="40" t="str">
        <f t="shared" si="64"/>
        <v>-</v>
      </c>
      <c r="M961" s="41" t="str">
        <f t="shared" si="61"/>
        <v>-</v>
      </c>
      <c r="O961" s="41" t="str">
        <f t="shared" si="65"/>
        <v>-</v>
      </c>
    </row>
    <row r="962" spans="1:15" x14ac:dyDescent="0.3">
      <c r="A962" s="4" t="s">
        <v>462</v>
      </c>
      <c r="B962" s="3">
        <v>810139570950</v>
      </c>
      <c r="C962" s="2" t="s">
        <v>1996</v>
      </c>
      <c r="D962" s="30">
        <v>3.8</v>
      </c>
      <c r="E962" s="20">
        <v>48.72</v>
      </c>
      <c r="F962" s="27"/>
      <c r="G962" s="23"/>
      <c r="J962" s="39" t="str">
        <f t="shared" si="62"/>
        <v>-</v>
      </c>
      <c r="K962" s="39" t="str">
        <f t="shared" si="63"/>
        <v>-</v>
      </c>
      <c r="L962" s="40" t="str">
        <f t="shared" si="64"/>
        <v>-</v>
      </c>
      <c r="M962" s="41" t="str">
        <f t="shared" si="61"/>
        <v>-</v>
      </c>
      <c r="O962" s="41" t="str">
        <f t="shared" si="65"/>
        <v>-</v>
      </c>
    </row>
    <row r="963" spans="1:15" x14ac:dyDescent="0.3">
      <c r="A963" s="4" t="s">
        <v>461</v>
      </c>
      <c r="B963" s="3">
        <v>810139570967</v>
      </c>
      <c r="C963" s="2" t="s">
        <v>1997</v>
      </c>
      <c r="D963" s="30">
        <v>3.7</v>
      </c>
      <c r="E963" s="20">
        <v>48.72</v>
      </c>
      <c r="F963" s="27"/>
      <c r="G963" s="23"/>
      <c r="J963" s="39" t="str">
        <f t="shared" si="62"/>
        <v>-</v>
      </c>
      <c r="K963" s="39" t="str">
        <f t="shared" si="63"/>
        <v>-</v>
      </c>
      <c r="L963" s="40" t="str">
        <f t="shared" si="64"/>
        <v>-</v>
      </c>
      <c r="M963" s="41" t="str">
        <f t="shared" si="61"/>
        <v>-</v>
      </c>
      <c r="O963" s="41" t="str">
        <f t="shared" si="65"/>
        <v>-</v>
      </c>
    </row>
    <row r="964" spans="1:15" x14ac:dyDescent="0.3">
      <c r="A964" s="4" t="s">
        <v>649</v>
      </c>
      <c r="B964" s="3">
        <v>810014670669</v>
      </c>
      <c r="C964" s="2" t="s">
        <v>1998</v>
      </c>
      <c r="D964" s="30">
        <v>0.03</v>
      </c>
      <c r="E964" s="20">
        <v>48.72</v>
      </c>
      <c r="F964" s="27"/>
      <c r="G964" s="23"/>
      <c r="J964" s="39" t="str">
        <f t="shared" si="62"/>
        <v>-</v>
      </c>
      <c r="K964" s="39" t="str">
        <f t="shared" si="63"/>
        <v>-</v>
      </c>
      <c r="L964" s="40" t="str">
        <f t="shared" si="64"/>
        <v>-</v>
      </c>
      <c r="M964" s="41" t="str">
        <f t="shared" ref="M964:M1027" si="66">IFERROR(IF($J$2&gt;0, $J$2*L964, "-"), "-")</f>
        <v>-</v>
      </c>
      <c r="O964" s="41" t="str">
        <f t="shared" si="65"/>
        <v>-</v>
      </c>
    </row>
    <row r="965" spans="1:15" x14ac:dyDescent="0.3">
      <c r="A965" s="4" t="s">
        <v>189</v>
      </c>
      <c r="B965" s="3">
        <v>810014674391</v>
      </c>
      <c r="C965" s="2" t="s">
        <v>1999</v>
      </c>
      <c r="D965" s="30">
        <v>0.32</v>
      </c>
      <c r="E965" s="20">
        <v>48.72</v>
      </c>
      <c r="F965" s="27"/>
      <c r="G965" s="23"/>
      <c r="J965" s="39" t="str">
        <f t="shared" si="62"/>
        <v>-</v>
      </c>
      <c r="K965" s="39" t="str">
        <f t="shared" si="63"/>
        <v>-</v>
      </c>
      <c r="L965" s="40" t="str">
        <f t="shared" si="64"/>
        <v>-</v>
      </c>
      <c r="M965" s="41" t="str">
        <f t="shared" si="66"/>
        <v>-</v>
      </c>
      <c r="O965" s="41" t="str">
        <f t="shared" si="65"/>
        <v>-</v>
      </c>
    </row>
    <row r="966" spans="1:15" x14ac:dyDescent="0.3">
      <c r="A966" s="4" t="s">
        <v>297</v>
      </c>
      <c r="B966" s="3">
        <v>810014675589</v>
      </c>
      <c r="C966" s="2" t="s">
        <v>2000</v>
      </c>
      <c r="D966" s="30">
        <v>1.23</v>
      </c>
      <c r="E966" s="20">
        <v>49.481249999999996</v>
      </c>
      <c r="F966" s="27"/>
      <c r="G966" s="23"/>
      <c r="J966" s="39" t="str">
        <f t="shared" si="62"/>
        <v>-</v>
      </c>
      <c r="K966" s="39" t="str">
        <f t="shared" si="63"/>
        <v>-</v>
      </c>
      <c r="L966" s="40" t="str">
        <f t="shared" si="64"/>
        <v>-</v>
      </c>
      <c r="M966" s="41" t="str">
        <f t="shared" si="66"/>
        <v>-</v>
      </c>
      <c r="O966" s="41" t="str">
        <f t="shared" si="65"/>
        <v>-</v>
      </c>
    </row>
    <row r="967" spans="1:15" x14ac:dyDescent="0.3">
      <c r="A967" s="4" t="s">
        <v>294</v>
      </c>
      <c r="B967" s="3">
        <v>810014675572</v>
      </c>
      <c r="C967" s="2" t="s">
        <v>2001</v>
      </c>
      <c r="D967" s="30">
        <v>1.23</v>
      </c>
      <c r="E967" s="20">
        <v>49.481249999999996</v>
      </c>
      <c r="F967" s="27"/>
      <c r="G967" s="23"/>
      <c r="J967" s="39" t="str">
        <f t="shared" si="62"/>
        <v>-</v>
      </c>
      <c r="K967" s="39" t="str">
        <f t="shared" si="63"/>
        <v>-</v>
      </c>
      <c r="L967" s="40" t="str">
        <f t="shared" si="64"/>
        <v>-</v>
      </c>
      <c r="M967" s="41" t="str">
        <f t="shared" si="66"/>
        <v>-</v>
      </c>
      <c r="O967" s="41" t="str">
        <f t="shared" si="65"/>
        <v>-</v>
      </c>
    </row>
    <row r="968" spans="1:15" x14ac:dyDescent="0.3">
      <c r="A968" s="4" t="s">
        <v>292</v>
      </c>
      <c r="B968" s="3">
        <v>810139573425</v>
      </c>
      <c r="C968" s="2" t="s">
        <v>2002</v>
      </c>
      <c r="D968" s="30">
        <v>1.26</v>
      </c>
      <c r="E968" s="20">
        <v>49.481249999999996</v>
      </c>
      <c r="F968" s="27"/>
      <c r="G968" s="23"/>
      <c r="J968" s="39" t="str">
        <f t="shared" si="62"/>
        <v>-</v>
      </c>
      <c r="K968" s="39" t="str">
        <f t="shared" si="63"/>
        <v>-</v>
      </c>
      <c r="L968" s="40" t="str">
        <f t="shared" si="64"/>
        <v>-</v>
      </c>
      <c r="M968" s="41" t="str">
        <f t="shared" si="66"/>
        <v>-</v>
      </c>
      <c r="O968" s="41" t="str">
        <f t="shared" si="65"/>
        <v>-</v>
      </c>
    </row>
    <row r="969" spans="1:15" x14ac:dyDescent="0.3">
      <c r="A969" s="4" t="s">
        <v>206</v>
      </c>
      <c r="B969" s="3">
        <v>810014675312</v>
      </c>
      <c r="C969" s="2" t="s">
        <v>2003</v>
      </c>
      <c r="D969" s="30">
        <v>1.26</v>
      </c>
      <c r="E969" s="20">
        <v>49.481249999999996</v>
      </c>
      <c r="F969" s="27"/>
      <c r="G969" s="23"/>
      <c r="J969" s="39" t="str">
        <f t="shared" si="62"/>
        <v>-</v>
      </c>
      <c r="K969" s="39" t="str">
        <f t="shared" si="63"/>
        <v>-</v>
      </c>
      <c r="L969" s="40" t="str">
        <f t="shared" si="64"/>
        <v>-</v>
      </c>
      <c r="M969" s="41" t="str">
        <f t="shared" si="66"/>
        <v>-</v>
      </c>
      <c r="O969" s="41" t="str">
        <f t="shared" si="65"/>
        <v>-</v>
      </c>
    </row>
    <row r="970" spans="1:15" x14ac:dyDescent="0.3">
      <c r="A970" s="4" t="s">
        <v>367</v>
      </c>
      <c r="B970" s="3">
        <v>810014671277</v>
      </c>
      <c r="C970" s="2" t="s">
        <v>2004</v>
      </c>
      <c r="D970" s="30">
        <v>0.19</v>
      </c>
      <c r="E970" s="20">
        <v>51.765000000000001</v>
      </c>
      <c r="F970" s="27"/>
      <c r="G970" s="23"/>
      <c r="J970" s="39" t="str">
        <f t="shared" si="62"/>
        <v>-</v>
      </c>
      <c r="K970" s="39" t="str">
        <f t="shared" si="63"/>
        <v>-</v>
      </c>
      <c r="L970" s="40" t="str">
        <f t="shared" si="64"/>
        <v>-</v>
      </c>
      <c r="M970" s="41" t="str">
        <f t="shared" si="66"/>
        <v>-</v>
      </c>
      <c r="O970" s="41" t="str">
        <f t="shared" si="65"/>
        <v>-</v>
      </c>
    </row>
    <row r="971" spans="1:15" x14ac:dyDescent="0.3">
      <c r="A971" s="4" t="s">
        <v>304</v>
      </c>
      <c r="B971" s="3">
        <v>810014675626</v>
      </c>
      <c r="C971" s="2" t="s">
        <v>2005</v>
      </c>
      <c r="D971" s="30">
        <v>1.25</v>
      </c>
      <c r="E971" s="20">
        <v>51.765000000000001</v>
      </c>
      <c r="F971" s="27"/>
      <c r="G971" s="23"/>
      <c r="J971" s="39" t="str">
        <f t="shared" si="62"/>
        <v>-</v>
      </c>
      <c r="K971" s="39" t="str">
        <f t="shared" si="63"/>
        <v>-</v>
      </c>
      <c r="L971" s="40" t="str">
        <f t="shared" si="64"/>
        <v>-</v>
      </c>
      <c r="M971" s="41" t="str">
        <f t="shared" si="66"/>
        <v>-</v>
      </c>
      <c r="O971" s="41" t="str">
        <f t="shared" si="65"/>
        <v>-</v>
      </c>
    </row>
    <row r="972" spans="1:15" x14ac:dyDescent="0.3">
      <c r="A972" s="4" t="s">
        <v>299</v>
      </c>
      <c r="B972" s="3">
        <v>810139573432</v>
      </c>
      <c r="C972" s="2" t="s">
        <v>2006</v>
      </c>
      <c r="D972" s="30">
        <v>1.23</v>
      </c>
      <c r="E972" s="20">
        <v>51.765000000000001</v>
      </c>
      <c r="F972" s="27"/>
      <c r="G972" s="23"/>
      <c r="J972" s="39" t="str">
        <f t="shared" si="62"/>
        <v>-</v>
      </c>
      <c r="K972" s="39" t="str">
        <f t="shared" si="63"/>
        <v>-</v>
      </c>
      <c r="L972" s="40" t="str">
        <f t="shared" si="64"/>
        <v>-</v>
      </c>
      <c r="M972" s="41" t="str">
        <f t="shared" si="66"/>
        <v>-</v>
      </c>
      <c r="O972" s="41" t="str">
        <f t="shared" si="65"/>
        <v>-</v>
      </c>
    </row>
    <row r="973" spans="1:15" x14ac:dyDescent="0.3">
      <c r="A973" s="4" t="s">
        <v>301</v>
      </c>
      <c r="B973" s="3">
        <v>810014675619</v>
      </c>
      <c r="C973" s="2" t="s">
        <v>2007</v>
      </c>
      <c r="D973" s="30">
        <v>1.23</v>
      </c>
      <c r="E973" s="20">
        <v>51.765000000000001</v>
      </c>
      <c r="F973" s="27"/>
      <c r="G973" s="23"/>
      <c r="J973" s="39" t="str">
        <f t="shared" si="62"/>
        <v>-</v>
      </c>
      <c r="K973" s="39" t="str">
        <f t="shared" si="63"/>
        <v>-</v>
      </c>
      <c r="L973" s="40" t="str">
        <f t="shared" si="64"/>
        <v>-</v>
      </c>
      <c r="M973" s="41" t="str">
        <f t="shared" si="66"/>
        <v>-</v>
      </c>
      <c r="O973" s="41" t="str">
        <f t="shared" si="65"/>
        <v>-</v>
      </c>
    </row>
    <row r="974" spans="1:15" x14ac:dyDescent="0.3">
      <c r="A974" s="4" t="s">
        <v>2008</v>
      </c>
      <c r="B974" s="3">
        <v>810139570264</v>
      </c>
      <c r="C974" s="2" t="s">
        <v>2009</v>
      </c>
      <c r="D974" s="30">
        <v>1.03</v>
      </c>
      <c r="E974" s="20">
        <v>51.765000000000001</v>
      </c>
      <c r="F974" s="27"/>
      <c r="G974" s="23"/>
      <c r="J974" s="39" t="str">
        <f t="shared" si="62"/>
        <v>-</v>
      </c>
      <c r="K974" s="39" t="str">
        <f t="shared" si="63"/>
        <v>-</v>
      </c>
      <c r="L974" s="40" t="str">
        <f t="shared" si="64"/>
        <v>-</v>
      </c>
      <c r="M974" s="41" t="str">
        <f t="shared" si="66"/>
        <v>-</v>
      </c>
      <c r="O974" s="41" t="str">
        <f t="shared" si="65"/>
        <v>-</v>
      </c>
    </row>
    <row r="975" spans="1:15" x14ac:dyDescent="0.3">
      <c r="A975" s="4" t="s">
        <v>2010</v>
      </c>
      <c r="B975" s="3">
        <v>810139571186</v>
      </c>
      <c r="C975" s="2" t="s">
        <v>2011</v>
      </c>
      <c r="D975" s="30">
        <v>1.1200000000000001</v>
      </c>
      <c r="E975" s="20">
        <v>51.765000000000001</v>
      </c>
      <c r="F975" s="27"/>
      <c r="G975" s="23"/>
      <c r="J975" s="39" t="str">
        <f t="shared" si="62"/>
        <v>-</v>
      </c>
      <c r="K975" s="39" t="str">
        <f t="shared" si="63"/>
        <v>-</v>
      </c>
      <c r="L975" s="40" t="str">
        <f t="shared" si="64"/>
        <v>-</v>
      </c>
      <c r="M975" s="41" t="str">
        <f t="shared" si="66"/>
        <v>-</v>
      </c>
      <c r="O975" s="41" t="str">
        <f t="shared" si="65"/>
        <v>-</v>
      </c>
    </row>
    <row r="976" spans="1:15" x14ac:dyDescent="0.3">
      <c r="A976" s="4" t="s">
        <v>2012</v>
      </c>
      <c r="B976" s="3">
        <v>810139575559</v>
      </c>
      <c r="C976" s="2" t="s">
        <v>2013</v>
      </c>
      <c r="D976" s="30">
        <v>0.13</v>
      </c>
      <c r="E976" s="20">
        <v>51.765000000000001</v>
      </c>
      <c r="F976" s="27"/>
      <c r="G976" s="23"/>
      <c r="J976" s="39" t="str">
        <f t="shared" si="62"/>
        <v>-</v>
      </c>
      <c r="K976" s="39" t="str">
        <f t="shared" si="63"/>
        <v>-</v>
      </c>
      <c r="L976" s="40" t="str">
        <f t="shared" si="64"/>
        <v>-</v>
      </c>
      <c r="M976" s="41" t="str">
        <f t="shared" si="66"/>
        <v>-</v>
      </c>
      <c r="O976" s="41" t="str">
        <f t="shared" si="65"/>
        <v>-</v>
      </c>
    </row>
    <row r="977" spans="1:15" x14ac:dyDescent="0.3">
      <c r="A977" s="4" t="s">
        <v>2014</v>
      </c>
      <c r="B977" s="3">
        <v>810139576600</v>
      </c>
      <c r="C977" s="2" t="s">
        <v>2015</v>
      </c>
      <c r="D977" s="30">
        <v>1.1599999999999999</v>
      </c>
      <c r="E977" s="20">
        <v>52.526249999999997</v>
      </c>
      <c r="F977" s="27"/>
      <c r="G977" s="23"/>
      <c r="J977" s="39" t="str">
        <f t="shared" si="62"/>
        <v>-</v>
      </c>
      <c r="K977" s="39" t="str">
        <f t="shared" si="63"/>
        <v>-</v>
      </c>
      <c r="L977" s="40" t="str">
        <f t="shared" si="64"/>
        <v>-</v>
      </c>
      <c r="M977" s="41" t="str">
        <f t="shared" si="66"/>
        <v>-</v>
      </c>
      <c r="O977" s="41" t="str">
        <f t="shared" si="65"/>
        <v>-</v>
      </c>
    </row>
    <row r="978" spans="1:15" x14ac:dyDescent="0.3">
      <c r="A978" s="4" t="s">
        <v>75</v>
      </c>
      <c r="B978" s="3">
        <v>810014671116</v>
      </c>
      <c r="C978" s="2" t="s">
        <v>2016</v>
      </c>
      <c r="D978" s="30">
        <v>1.39</v>
      </c>
      <c r="E978" s="20">
        <v>53.287500000000001</v>
      </c>
      <c r="F978" s="27"/>
      <c r="G978" s="23"/>
      <c r="J978" s="39" t="str">
        <f t="shared" si="62"/>
        <v>-</v>
      </c>
      <c r="K978" s="39" t="str">
        <f t="shared" si="63"/>
        <v>-</v>
      </c>
      <c r="L978" s="40" t="str">
        <f t="shared" si="64"/>
        <v>-</v>
      </c>
      <c r="M978" s="41" t="str">
        <f t="shared" si="66"/>
        <v>-</v>
      </c>
      <c r="O978" s="41" t="str">
        <f t="shared" si="65"/>
        <v>-</v>
      </c>
    </row>
    <row r="979" spans="1:15" x14ac:dyDescent="0.3">
      <c r="A979" s="4" t="s">
        <v>224</v>
      </c>
      <c r="B979" s="3">
        <v>810139574224</v>
      </c>
      <c r="C979" s="2" t="s">
        <v>2017</v>
      </c>
      <c r="D979" s="30">
        <v>5.43</v>
      </c>
      <c r="E979" s="20">
        <v>54.048749999999998</v>
      </c>
      <c r="F979" s="27"/>
      <c r="G979" s="23"/>
      <c r="J979" s="39" t="str">
        <f t="shared" si="62"/>
        <v>-</v>
      </c>
      <c r="K979" s="39" t="str">
        <f t="shared" si="63"/>
        <v>-</v>
      </c>
      <c r="L979" s="40" t="str">
        <f t="shared" si="64"/>
        <v>-</v>
      </c>
      <c r="M979" s="41" t="str">
        <f t="shared" si="66"/>
        <v>-</v>
      </c>
      <c r="O979" s="41" t="str">
        <f t="shared" si="65"/>
        <v>-</v>
      </c>
    </row>
    <row r="980" spans="1:15" x14ac:dyDescent="0.3">
      <c r="A980" s="4" t="s">
        <v>712</v>
      </c>
      <c r="B980" s="3">
        <v>810014674995</v>
      </c>
      <c r="C980" s="2" t="s">
        <v>2018</v>
      </c>
      <c r="D980" s="30">
        <v>1.17</v>
      </c>
      <c r="E980" s="20">
        <v>54.048749999999998</v>
      </c>
      <c r="F980" s="27"/>
      <c r="G980" s="23"/>
      <c r="J980" s="39" t="str">
        <f t="shared" si="62"/>
        <v>-</v>
      </c>
      <c r="K980" s="39" t="str">
        <f t="shared" si="63"/>
        <v>-</v>
      </c>
      <c r="L980" s="40" t="str">
        <f t="shared" si="64"/>
        <v>-</v>
      </c>
      <c r="M980" s="41" t="str">
        <f t="shared" si="66"/>
        <v>-</v>
      </c>
      <c r="O980" s="41" t="str">
        <f t="shared" si="65"/>
        <v>-</v>
      </c>
    </row>
    <row r="981" spans="1:15" x14ac:dyDescent="0.3">
      <c r="A981" s="4" t="s">
        <v>2019</v>
      </c>
      <c r="B981" s="3">
        <v>810139577157</v>
      </c>
      <c r="C981" s="2" t="s">
        <v>2020</v>
      </c>
      <c r="D981" s="30">
        <v>1.1599999999999999</v>
      </c>
      <c r="E981" s="20">
        <v>54.048749999999998</v>
      </c>
      <c r="F981" s="27"/>
      <c r="G981" s="23"/>
      <c r="J981" s="39" t="str">
        <f t="shared" si="62"/>
        <v>-</v>
      </c>
      <c r="K981" s="39" t="str">
        <f t="shared" si="63"/>
        <v>-</v>
      </c>
      <c r="L981" s="40" t="str">
        <f t="shared" si="64"/>
        <v>-</v>
      </c>
      <c r="M981" s="41" t="str">
        <f t="shared" si="66"/>
        <v>-</v>
      </c>
      <c r="O981" s="41" t="str">
        <f t="shared" si="65"/>
        <v>-</v>
      </c>
    </row>
    <row r="982" spans="1:15" x14ac:dyDescent="0.3">
      <c r="A982" s="4" t="s">
        <v>724</v>
      </c>
      <c r="B982" s="3">
        <v>810139571599</v>
      </c>
      <c r="C982" s="2" t="s">
        <v>2021</v>
      </c>
      <c r="D982" s="30">
        <v>1.17</v>
      </c>
      <c r="E982" s="20">
        <v>54.048749999999998</v>
      </c>
      <c r="F982" s="27"/>
      <c r="G982" s="23"/>
      <c r="J982" s="39" t="str">
        <f t="shared" si="62"/>
        <v>-</v>
      </c>
      <c r="K982" s="39" t="str">
        <f t="shared" si="63"/>
        <v>-</v>
      </c>
      <c r="L982" s="40" t="str">
        <f t="shared" si="64"/>
        <v>-</v>
      </c>
      <c r="M982" s="41" t="str">
        <f t="shared" si="66"/>
        <v>-</v>
      </c>
      <c r="O982" s="41" t="str">
        <f t="shared" si="65"/>
        <v>-</v>
      </c>
    </row>
    <row r="983" spans="1:15" x14ac:dyDescent="0.3">
      <c r="A983" s="4" t="s">
        <v>723</v>
      </c>
      <c r="B983" s="3">
        <v>810014674872</v>
      </c>
      <c r="C983" s="2" t="s">
        <v>2022</v>
      </c>
      <c r="D983" s="30">
        <v>1.17</v>
      </c>
      <c r="E983" s="20">
        <v>54.048749999999998</v>
      </c>
      <c r="F983" s="27"/>
      <c r="G983" s="23"/>
      <c r="J983" s="39" t="str">
        <f t="shared" si="62"/>
        <v>-</v>
      </c>
      <c r="K983" s="39" t="str">
        <f t="shared" si="63"/>
        <v>-</v>
      </c>
      <c r="L983" s="40" t="str">
        <f t="shared" si="64"/>
        <v>-</v>
      </c>
      <c r="M983" s="41" t="str">
        <f t="shared" si="66"/>
        <v>-</v>
      </c>
      <c r="O983" s="41" t="str">
        <f t="shared" si="65"/>
        <v>-</v>
      </c>
    </row>
    <row r="984" spans="1:15" x14ac:dyDescent="0.3">
      <c r="A984" s="4" t="s">
        <v>721</v>
      </c>
      <c r="B984" s="3">
        <v>810139573340</v>
      </c>
      <c r="C984" s="2" t="s">
        <v>2023</v>
      </c>
      <c r="D984" s="30">
        <v>1.23</v>
      </c>
      <c r="E984" s="20">
        <v>54.048749999999998</v>
      </c>
      <c r="F984" s="27"/>
      <c r="G984" s="23"/>
      <c r="J984" s="39" t="str">
        <f t="shared" si="62"/>
        <v>-</v>
      </c>
      <c r="K984" s="39" t="str">
        <f t="shared" si="63"/>
        <v>-</v>
      </c>
      <c r="L984" s="40" t="str">
        <f t="shared" si="64"/>
        <v>-</v>
      </c>
      <c r="M984" s="41" t="str">
        <f t="shared" si="66"/>
        <v>-</v>
      </c>
      <c r="O984" s="41" t="str">
        <f t="shared" si="65"/>
        <v>-</v>
      </c>
    </row>
    <row r="985" spans="1:15" x14ac:dyDescent="0.3">
      <c r="A985" s="4" t="s">
        <v>719</v>
      </c>
      <c r="B985" s="3">
        <v>810139572893</v>
      </c>
      <c r="C985" s="2" t="s">
        <v>2024</v>
      </c>
      <c r="D985" s="30">
        <v>1.25</v>
      </c>
      <c r="E985" s="20">
        <v>54.048749999999998</v>
      </c>
      <c r="F985" s="27"/>
      <c r="G985" s="23"/>
      <c r="J985" s="39" t="str">
        <f t="shared" si="62"/>
        <v>-</v>
      </c>
      <c r="K985" s="39" t="str">
        <f t="shared" si="63"/>
        <v>-</v>
      </c>
      <c r="L985" s="40" t="str">
        <f t="shared" si="64"/>
        <v>-</v>
      </c>
      <c r="M985" s="41" t="str">
        <f t="shared" si="66"/>
        <v>-</v>
      </c>
      <c r="O985" s="41" t="str">
        <f t="shared" si="65"/>
        <v>-</v>
      </c>
    </row>
    <row r="986" spans="1:15" x14ac:dyDescent="0.3">
      <c r="A986" s="4" t="s">
        <v>726</v>
      </c>
      <c r="B986" s="3">
        <v>810014675404</v>
      </c>
      <c r="C986" s="2" t="s">
        <v>2025</v>
      </c>
      <c r="D986" s="30">
        <v>1.26</v>
      </c>
      <c r="E986" s="20">
        <v>54.048749999999998</v>
      </c>
      <c r="F986" s="27"/>
      <c r="G986" s="23"/>
      <c r="J986" s="39" t="str">
        <f t="shared" si="62"/>
        <v>-</v>
      </c>
      <c r="K986" s="39" t="str">
        <f t="shared" si="63"/>
        <v>-</v>
      </c>
      <c r="L986" s="40" t="str">
        <f t="shared" si="64"/>
        <v>-</v>
      </c>
      <c r="M986" s="41" t="str">
        <f t="shared" si="66"/>
        <v>-</v>
      </c>
      <c r="O986" s="41" t="str">
        <f t="shared" si="65"/>
        <v>-</v>
      </c>
    </row>
    <row r="987" spans="1:15" x14ac:dyDescent="0.3">
      <c r="A987" s="4" t="s">
        <v>2026</v>
      </c>
      <c r="B987" s="3">
        <v>810139576587</v>
      </c>
      <c r="C987" s="2" t="s">
        <v>2027</v>
      </c>
      <c r="D987" s="30">
        <v>1.1599999999999999</v>
      </c>
      <c r="E987" s="20">
        <v>54.048749999999998</v>
      </c>
      <c r="F987" s="27"/>
      <c r="G987" s="23"/>
      <c r="J987" s="39" t="str">
        <f t="shared" si="62"/>
        <v>-</v>
      </c>
      <c r="K987" s="39" t="str">
        <f t="shared" si="63"/>
        <v>-</v>
      </c>
      <c r="L987" s="40" t="str">
        <f t="shared" si="64"/>
        <v>-</v>
      </c>
      <c r="M987" s="41" t="str">
        <f t="shared" si="66"/>
        <v>-</v>
      </c>
      <c r="O987" s="41" t="str">
        <f t="shared" si="65"/>
        <v>-</v>
      </c>
    </row>
    <row r="988" spans="1:15" x14ac:dyDescent="0.3">
      <c r="A988" s="4" t="s">
        <v>710</v>
      </c>
      <c r="B988" s="3">
        <v>810139571742</v>
      </c>
      <c r="C988" s="2" t="s">
        <v>2028</v>
      </c>
      <c r="D988" s="30">
        <v>1.25</v>
      </c>
      <c r="E988" s="20">
        <v>54.048749999999998</v>
      </c>
      <c r="F988" s="27"/>
      <c r="G988" s="23"/>
      <c r="J988" s="39" t="str">
        <f t="shared" si="62"/>
        <v>-</v>
      </c>
      <c r="K988" s="39" t="str">
        <f t="shared" si="63"/>
        <v>-</v>
      </c>
      <c r="L988" s="40" t="str">
        <f t="shared" si="64"/>
        <v>-</v>
      </c>
      <c r="M988" s="41" t="str">
        <f t="shared" si="66"/>
        <v>-</v>
      </c>
      <c r="O988" s="41" t="str">
        <f t="shared" si="65"/>
        <v>-</v>
      </c>
    </row>
    <row r="989" spans="1:15" x14ac:dyDescent="0.3">
      <c r="A989" s="4" t="s">
        <v>713</v>
      </c>
      <c r="B989" s="3">
        <v>810014675398</v>
      </c>
      <c r="C989" s="2" t="s">
        <v>2029</v>
      </c>
      <c r="D989" s="30">
        <v>1.23</v>
      </c>
      <c r="E989" s="20">
        <v>54.048749999999998</v>
      </c>
      <c r="F989" s="27"/>
      <c r="G989" s="23"/>
      <c r="J989" s="39" t="str">
        <f t="shared" si="62"/>
        <v>-</v>
      </c>
      <c r="K989" s="39" t="str">
        <f t="shared" si="63"/>
        <v>-</v>
      </c>
      <c r="L989" s="40" t="str">
        <f t="shared" si="64"/>
        <v>-</v>
      </c>
      <c r="M989" s="41" t="str">
        <f t="shared" si="66"/>
        <v>-</v>
      </c>
      <c r="O989" s="41" t="str">
        <f t="shared" si="65"/>
        <v>-</v>
      </c>
    </row>
    <row r="990" spans="1:15" x14ac:dyDescent="0.3">
      <c r="A990" s="4" t="s">
        <v>717</v>
      </c>
      <c r="B990" s="3">
        <v>810014674964</v>
      </c>
      <c r="C990" s="2" t="s">
        <v>2030</v>
      </c>
      <c r="D990" s="30">
        <v>1.21</v>
      </c>
      <c r="E990" s="20">
        <v>54.048749999999998</v>
      </c>
      <c r="F990" s="27"/>
      <c r="G990" s="23"/>
      <c r="J990" s="39" t="str">
        <f t="shared" si="62"/>
        <v>-</v>
      </c>
      <c r="K990" s="39" t="str">
        <f t="shared" si="63"/>
        <v>-</v>
      </c>
      <c r="L990" s="40" t="str">
        <f t="shared" si="64"/>
        <v>-</v>
      </c>
      <c r="M990" s="41" t="str">
        <f t="shared" si="66"/>
        <v>-</v>
      </c>
      <c r="O990" s="41" t="str">
        <f t="shared" si="65"/>
        <v>-</v>
      </c>
    </row>
    <row r="991" spans="1:15" x14ac:dyDescent="0.3">
      <c r="A991" s="4" t="s">
        <v>715</v>
      </c>
      <c r="B991" s="3">
        <v>810014671352</v>
      </c>
      <c r="C991" s="2" t="s">
        <v>2031</v>
      </c>
      <c r="D991" s="30">
        <v>1.1599999999999999</v>
      </c>
      <c r="E991" s="20">
        <v>54.048749999999998</v>
      </c>
      <c r="F991" s="27"/>
      <c r="G991" s="23"/>
      <c r="J991" s="39" t="str">
        <f t="shared" si="62"/>
        <v>-</v>
      </c>
      <c r="K991" s="39" t="str">
        <f t="shared" si="63"/>
        <v>-</v>
      </c>
      <c r="L991" s="40" t="str">
        <f t="shared" si="64"/>
        <v>-</v>
      </c>
      <c r="M991" s="41" t="str">
        <f t="shared" si="66"/>
        <v>-</v>
      </c>
      <c r="O991" s="41" t="str">
        <f t="shared" si="65"/>
        <v>-</v>
      </c>
    </row>
    <row r="992" spans="1:15" x14ac:dyDescent="0.3">
      <c r="A992" s="4" t="s">
        <v>124</v>
      </c>
      <c r="B992" s="3">
        <v>810014675541</v>
      </c>
      <c r="C992" s="2" t="s">
        <v>2032</v>
      </c>
      <c r="D992" s="30">
        <v>1.17</v>
      </c>
      <c r="E992" s="20">
        <v>54.81</v>
      </c>
      <c r="F992" s="27"/>
      <c r="G992" s="23"/>
      <c r="J992" s="39" t="str">
        <f t="shared" si="62"/>
        <v>-</v>
      </c>
      <c r="K992" s="39" t="str">
        <f t="shared" si="63"/>
        <v>-</v>
      </c>
      <c r="L992" s="40" t="str">
        <f t="shared" si="64"/>
        <v>-</v>
      </c>
      <c r="M992" s="41" t="str">
        <f t="shared" si="66"/>
        <v>-</v>
      </c>
      <c r="O992" s="41" t="str">
        <f t="shared" si="65"/>
        <v>-</v>
      </c>
    </row>
    <row r="993" spans="1:15" x14ac:dyDescent="0.3">
      <c r="A993" s="4" t="s">
        <v>610</v>
      </c>
      <c r="B993" s="3">
        <v>810014672953</v>
      </c>
      <c r="C993" s="2" t="s">
        <v>2033</v>
      </c>
      <c r="D993" s="30">
        <v>0.57999999999999996</v>
      </c>
      <c r="E993" s="20">
        <v>54.81</v>
      </c>
      <c r="F993" s="27"/>
      <c r="G993" s="23"/>
      <c r="J993" s="39" t="str">
        <f t="shared" si="62"/>
        <v>-</v>
      </c>
      <c r="K993" s="39" t="str">
        <f t="shared" si="63"/>
        <v>-</v>
      </c>
      <c r="L993" s="40" t="str">
        <f t="shared" si="64"/>
        <v>-</v>
      </c>
      <c r="M993" s="41" t="str">
        <f t="shared" si="66"/>
        <v>-</v>
      </c>
      <c r="O993" s="41" t="str">
        <f t="shared" si="65"/>
        <v>-</v>
      </c>
    </row>
    <row r="994" spans="1:15" x14ac:dyDescent="0.3">
      <c r="A994" s="4" t="s">
        <v>247</v>
      </c>
      <c r="B994" s="3">
        <v>810014676883</v>
      </c>
      <c r="C994" s="2" t="s">
        <v>2034</v>
      </c>
      <c r="D994" s="30">
        <v>0.63</v>
      </c>
      <c r="E994" s="20">
        <v>54.81</v>
      </c>
      <c r="F994" s="27"/>
      <c r="G994" s="23"/>
      <c r="J994" s="39" t="str">
        <f t="shared" si="62"/>
        <v>-</v>
      </c>
      <c r="K994" s="39" t="str">
        <f t="shared" si="63"/>
        <v>-</v>
      </c>
      <c r="L994" s="40" t="str">
        <f t="shared" si="64"/>
        <v>-</v>
      </c>
      <c r="M994" s="41" t="str">
        <f t="shared" si="66"/>
        <v>-</v>
      </c>
      <c r="O994" s="41" t="str">
        <f t="shared" si="65"/>
        <v>-</v>
      </c>
    </row>
    <row r="995" spans="1:15" x14ac:dyDescent="0.3">
      <c r="A995" s="4" t="s">
        <v>655</v>
      </c>
      <c r="B995" s="3">
        <v>810014678931</v>
      </c>
      <c r="C995" s="2" t="s">
        <v>2035</v>
      </c>
      <c r="D995" s="30">
        <v>0.2</v>
      </c>
      <c r="E995" s="20">
        <v>54.81</v>
      </c>
      <c r="F995" s="27"/>
      <c r="G995" s="23"/>
      <c r="J995" s="39" t="str">
        <f t="shared" si="62"/>
        <v>-</v>
      </c>
      <c r="K995" s="39" t="str">
        <f t="shared" si="63"/>
        <v>-</v>
      </c>
      <c r="L995" s="40" t="str">
        <f t="shared" si="64"/>
        <v>-</v>
      </c>
      <c r="M995" s="41" t="str">
        <f t="shared" si="66"/>
        <v>-</v>
      </c>
      <c r="O995" s="41" t="str">
        <f t="shared" si="65"/>
        <v>-</v>
      </c>
    </row>
    <row r="996" spans="1:15" x14ac:dyDescent="0.3">
      <c r="A996" s="4" t="s">
        <v>373</v>
      </c>
      <c r="B996" s="3">
        <v>810014675114</v>
      </c>
      <c r="C996" s="2" t="s">
        <v>2036</v>
      </c>
      <c r="D996" s="30">
        <v>1.55</v>
      </c>
      <c r="E996" s="20">
        <v>55.571249999999999</v>
      </c>
      <c r="F996" s="27"/>
      <c r="G996" s="23"/>
      <c r="J996" s="39" t="str">
        <f t="shared" si="62"/>
        <v>-</v>
      </c>
      <c r="K996" s="39" t="str">
        <f t="shared" si="63"/>
        <v>-</v>
      </c>
      <c r="L996" s="40" t="str">
        <f t="shared" si="64"/>
        <v>-</v>
      </c>
      <c r="M996" s="41" t="str">
        <f t="shared" si="66"/>
        <v>-</v>
      </c>
      <c r="O996" s="41" t="str">
        <f t="shared" si="65"/>
        <v>-</v>
      </c>
    </row>
    <row r="997" spans="1:15" x14ac:dyDescent="0.3">
      <c r="A997" s="4" t="s">
        <v>443</v>
      </c>
      <c r="B997" s="3">
        <v>810014673936</v>
      </c>
      <c r="C997" s="2" t="s">
        <v>2037</v>
      </c>
      <c r="D997" s="30">
        <v>0.16</v>
      </c>
      <c r="E997" s="20">
        <v>55.571249999999999</v>
      </c>
      <c r="F997" s="27"/>
      <c r="G997" s="23"/>
      <c r="J997" s="39" t="str">
        <f t="shared" si="62"/>
        <v>-</v>
      </c>
      <c r="K997" s="39" t="str">
        <f t="shared" si="63"/>
        <v>-</v>
      </c>
      <c r="L997" s="40" t="str">
        <f t="shared" si="64"/>
        <v>-</v>
      </c>
      <c r="M997" s="41" t="str">
        <f t="shared" si="66"/>
        <v>-</v>
      </c>
      <c r="O997" s="41" t="str">
        <f t="shared" si="65"/>
        <v>-</v>
      </c>
    </row>
    <row r="998" spans="1:15" x14ac:dyDescent="0.3">
      <c r="A998" s="4" t="s">
        <v>622</v>
      </c>
      <c r="B998" s="3">
        <v>810014671499</v>
      </c>
      <c r="C998" s="2" t="s">
        <v>2038</v>
      </c>
      <c r="D998" s="30">
        <v>0.12</v>
      </c>
      <c r="E998" s="20">
        <v>55.571249999999999</v>
      </c>
      <c r="F998" s="27"/>
      <c r="G998" s="23"/>
      <c r="J998" s="39" t="str">
        <f t="shared" si="62"/>
        <v>-</v>
      </c>
      <c r="K998" s="39" t="str">
        <f t="shared" si="63"/>
        <v>-</v>
      </c>
      <c r="L998" s="40" t="str">
        <f t="shared" si="64"/>
        <v>-</v>
      </c>
      <c r="M998" s="41" t="str">
        <f t="shared" si="66"/>
        <v>-</v>
      </c>
      <c r="O998" s="41" t="str">
        <f t="shared" si="65"/>
        <v>-</v>
      </c>
    </row>
    <row r="999" spans="1:15" x14ac:dyDescent="0.3">
      <c r="A999" s="4" t="s">
        <v>59</v>
      </c>
      <c r="B999" s="3">
        <v>810014671109</v>
      </c>
      <c r="C999" s="2" t="s">
        <v>2039</v>
      </c>
      <c r="D999" s="30">
        <v>1.38</v>
      </c>
      <c r="E999" s="20">
        <v>56.332500000000003</v>
      </c>
      <c r="F999" s="27"/>
      <c r="G999" s="23"/>
      <c r="J999" s="39" t="str">
        <f t="shared" si="62"/>
        <v>-</v>
      </c>
      <c r="K999" s="39" t="str">
        <f t="shared" si="63"/>
        <v>-</v>
      </c>
      <c r="L999" s="40" t="str">
        <f t="shared" si="64"/>
        <v>-</v>
      </c>
      <c r="M999" s="41" t="str">
        <f t="shared" si="66"/>
        <v>-</v>
      </c>
      <c r="O999" s="41" t="str">
        <f t="shared" si="65"/>
        <v>-</v>
      </c>
    </row>
    <row r="1000" spans="1:15" x14ac:dyDescent="0.3">
      <c r="A1000" s="4" t="s">
        <v>63</v>
      </c>
      <c r="B1000" s="3">
        <v>702669932349</v>
      </c>
      <c r="C1000" s="2" t="s">
        <v>2040</v>
      </c>
      <c r="D1000" s="30">
        <v>1.44</v>
      </c>
      <c r="E1000" s="20">
        <v>56.332500000000003</v>
      </c>
      <c r="F1000" s="27"/>
      <c r="G1000" s="23"/>
      <c r="J1000" s="39" t="str">
        <f t="shared" ref="J1000:J1063" si="67">IFERROR(IF($J$2*D1000=0, "-", $J$2*D1000), "-")</f>
        <v>-</v>
      </c>
      <c r="K1000" s="39" t="str">
        <f t="shared" ref="K1000:K1063" si="68">IF(F1000&gt;0,E1000+J1000,"-")</f>
        <v>-</v>
      </c>
      <c r="L1000" s="40" t="str">
        <f t="shared" ref="L1000:L1063" si="69">IF(F1000&gt;0,F1000*D1000, "-")</f>
        <v>-</v>
      </c>
      <c r="M1000" s="41" t="str">
        <f t="shared" si="66"/>
        <v>-</v>
      </c>
      <c r="O1000" s="41" t="str">
        <f t="shared" ref="O1000:O1063" si="70">IFERROR(IF(M1000+G1000=0, "-", IF(M1000&gt;0, M1000+G1000, "-")), "-")</f>
        <v>-</v>
      </c>
    </row>
    <row r="1001" spans="1:15" x14ac:dyDescent="0.3">
      <c r="A1001" s="4" t="s">
        <v>218</v>
      </c>
      <c r="B1001" s="3">
        <v>810014679198</v>
      </c>
      <c r="C1001" s="2" t="s">
        <v>2041</v>
      </c>
      <c r="D1001" s="30">
        <v>0.73</v>
      </c>
      <c r="E1001" s="20">
        <v>56.332500000000003</v>
      </c>
      <c r="F1001" s="27"/>
      <c r="G1001" s="23"/>
      <c r="J1001" s="39" t="str">
        <f t="shared" si="67"/>
        <v>-</v>
      </c>
      <c r="K1001" s="39" t="str">
        <f t="shared" si="68"/>
        <v>-</v>
      </c>
      <c r="L1001" s="40" t="str">
        <f t="shared" si="69"/>
        <v>-</v>
      </c>
      <c r="M1001" s="41" t="str">
        <f t="shared" si="66"/>
        <v>-</v>
      </c>
      <c r="O1001" s="41" t="str">
        <f t="shared" si="70"/>
        <v>-</v>
      </c>
    </row>
    <row r="1002" spans="1:15" x14ac:dyDescent="0.3">
      <c r="A1002" s="4" t="s">
        <v>334</v>
      </c>
      <c r="B1002" s="3">
        <v>810139571490</v>
      </c>
      <c r="C1002" s="2" t="s">
        <v>2042</v>
      </c>
      <c r="D1002" s="30">
        <v>0.66</v>
      </c>
      <c r="E1002" s="20">
        <v>57.09375</v>
      </c>
      <c r="F1002" s="27"/>
      <c r="G1002" s="23"/>
      <c r="J1002" s="39" t="str">
        <f t="shared" si="67"/>
        <v>-</v>
      </c>
      <c r="K1002" s="39" t="str">
        <f t="shared" si="68"/>
        <v>-</v>
      </c>
      <c r="L1002" s="40" t="str">
        <f t="shared" si="69"/>
        <v>-</v>
      </c>
      <c r="M1002" s="41" t="str">
        <f t="shared" si="66"/>
        <v>-</v>
      </c>
      <c r="O1002" s="41" t="str">
        <f t="shared" si="70"/>
        <v>-</v>
      </c>
    </row>
    <row r="1003" spans="1:15" x14ac:dyDescent="0.3">
      <c r="A1003" s="4" t="s">
        <v>2043</v>
      </c>
      <c r="B1003" s="3">
        <v>810139573302</v>
      </c>
      <c r="C1003" s="2" t="s">
        <v>2044</v>
      </c>
      <c r="D1003" s="30">
        <v>2.87</v>
      </c>
      <c r="E1003" s="20">
        <v>59.377500000000005</v>
      </c>
      <c r="F1003" s="27"/>
      <c r="G1003" s="23"/>
      <c r="J1003" s="39" t="str">
        <f t="shared" si="67"/>
        <v>-</v>
      </c>
      <c r="K1003" s="39" t="str">
        <f t="shared" si="68"/>
        <v>-</v>
      </c>
      <c r="L1003" s="40" t="str">
        <f t="shared" si="69"/>
        <v>-</v>
      </c>
      <c r="M1003" s="41" t="str">
        <f t="shared" si="66"/>
        <v>-</v>
      </c>
      <c r="O1003" s="41" t="str">
        <f t="shared" si="70"/>
        <v>-</v>
      </c>
    </row>
    <row r="1004" spans="1:15" x14ac:dyDescent="0.3">
      <c r="A1004" s="4" t="s">
        <v>2045</v>
      </c>
      <c r="B1004" s="3">
        <v>810139575245</v>
      </c>
      <c r="C1004" s="2" t="s">
        <v>2046</v>
      </c>
      <c r="D1004" s="30">
        <v>0.32</v>
      </c>
      <c r="E1004" s="20">
        <v>59.377500000000005</v>
      </c>
      <c r="F1004" s="27"/>
      <c r="G1004" s="23"/>
      <c r="J1004" s="39" t="str">
        <f t="shared" si="67"/>
        <v>-</v>
      </c>
      <c r="K1004" s="39" t="str">
        <f t="shared" si="68"/>
        <v>-</v>
      </c>
      <c r="L1004" s="40" t="str">
        <f t="shared" si="69"/>
        <v>-</v>
      </c>
      <c r="M1004" s="41" t="str">
        <f t="shared" si="66"/>
        <v>-</v>
      </c>
      <c r="O1004" s="41" t="str">
        <f t="shared" si="70"/>
        <v>-</v>
      </c>
    </row>
    <row r="1005" spans="1:15" x14ac:dyDescent="0.3">
      <c r="A1005" s="4" t="s">
        <v>2047</v>
      </c>
      <c r="B1005" s="3">
        <v>810139574637</v>
      </c>
      <c r="C1005" s="2" t="s">
        <v>2048</v>
      </c>
      <c r="D1005" s="30">
        <v>1.7</v>
      </c>
      <c r="E1005" s="20">
        <v>61.661249999999995</v>
      </c>
      <c r="F1005" s="27"/>
      <c r="G1005" s="23"/>
      <c r="J1005" s="39" t="str">
        <f t="shared" si="67"/>
        <v>-</v>
      </c>
      <c r="K1005" s="39" t="str">
        <f t="shared" si="68"/>
        <v>-</v>
      </c>
      <c r="L1005" s="40" t="str">
        <f t="shared" si="69"/>
        <v>-</v>
      </c>
      <c r="M1005" s="41" t="str">
        <f t="shared" si="66"/>
        <v>-</v>
      </c>
      <c r="O1005" s="41" t="str">
        <f t="shared" si="70"/>
        <v>-</v>
      </c>
    </row>
    <row r="1006" spans="1:15" x14ac:dyDescent="0.3">
      <c r="A1006" s="4" t="s">
        <v>2049</v>
      </c>
      <c r="B1006" s="3">
        <v>810139574613</v>
      </c>
      <c r="C1006" s="2" t="s">
        <v>2050</v>
      </c>
      <c r="D1006" s="30">
        <v>1.71</v>
      </c>
      <c r="E1006" s="20">
        <v>61.661249999999995</v>
      </c>
      <c r="F1006" s="27"/>
      <c r="G1006" s="23"/>
      <c r="J1006" s="39" t="str">
        <f t="shared" si="67"/>
        <v>-</v>
      </c>
      <c r="K1006" s="39" t="str">
        <f t="shared" si="68"/>
        <v>-</v>
      </c>
      <c r="L1006" s="40" t="str">
        <f t="shared" si="69"/>
        <v>-</v>
      </c>
      <c r="M1006" s="41" t="str">
        <f t="shared" si="66"/>
        <v>-</v>
      </c>
      <c r="O1006" s="41" t="str">
        <f t="shared" si="70"/>
        <v>-</v>
      </c>
    </row>
    <row r="1007" spans="1:15" x14ac:dyDescent="0.3">
      <c r="A1007" s="4" t="s">
        <v>2051</v>
      </c>
      <c r="B1007" s="3">
        <v>810139572961</v>
      </c>
      <c r="C1007" s="2" t="s">
        <v>2052</v>
      </c>
      <c r="D1007" s="30">
        <v>1.1599999999999999</v>
      </c>
      <c r="E1007" s="20">
        <v>67.751249999999999</v>
      </c>
      <c r="F1007" s="27"/>
      <c r="G1007" s="23"/>
      <c r="J1007" s="39" t="str">
        <f t="shared" si="67"/>
        <v>-</v>
      </c>
      <c r="K1007" s="39" t="str">
        <f t="shared" si="68"/>
        <v>-</v>
      </c>
      <c r="L1007" s="40" t="str">
        <f t="shared" si="69"/>
        <v>-</v>
      </c>
      <c r="M1007" s="41" t="str">
        <f t="shared" si="66"/>
        <v>-</v>
      </c>
      <c r="O1007" s="41" t="str">
        <f t="shared" si="70"/>
        <v>-</v>
      </c>
    </row>
    <row r="1008" spans="1:15" x14ac:dyDescent="0.3">
      <c r="A1008" s="4" t="s">
        <v>2053</v>
      </c>
      <c r="B1008" s="3">
        <v>810139571131</v>
      </c>
      <c r="C1008" s="2" t="s">
        <v>2054</v>
      </c>
      <c r="D1008" s="30">
        <v>1.02</v>
      </c>
      <c r="E1008" s="20">
        <v>67.751249999999999</v>
      </c>
      <c r="F1008" s="27"/>
      <c r="G1008" s="23"/>
      <c r="J1008" s="39" t="str">
        <f t="shared" si="67"/>
        <v>-</v>
      </c>
      <c r="K1008" s="39" t="str">
        <f t="shared" si="68"/>
        <v>-</v>
      </c>
      <c r="L1008" s="40" t="str">
        <f t="shared" si="69"/>
        <v>-</v>
      </c>
      <c r="M1008" s="41" t="str">
        <f t="shared" si="66"/>
        <v>-</v>
      </c>
      <c r="O1008" s="41" t="str">
        <f t="shared" si="70"/>
        <v>-</v>
      </c>
    </row>
    <row r="1009" spans="1:15" x14ac:dyDescent="0.3">
      <c r="A1009" s="4" t="s">
        <v>2055</v>
      </c>
      <c r="B1009" s="3">
        <v>810139572978</v>
      </c>
      <c r="C1009" s="2" t="s">
        <v>2056</v>
      </c>
      <c r="D1009" s="30">
        <v>1.02</v>
      </c>
      <c r="E1009" s="20">
        <v>67.751249999999999</v>
      </c>
      <c r="F1009" s="27"/>
      <c r="G1009" s="23"/>
      <c r="J1009" s="39" t="str">
        <f t="shared" si="67"/>
        <v>-</v>
      </c>
      <c r="K1009" s="39" t="str">
        <f t="shared" si="68"/>
        <v>-</v>
      </c>
      <c r="L1009" s="40" t="str">
        <f t="shared" si="69"/>
        <v>-</v>
      </c>
      <c r="M1009" s="41" t="str">
        <f t="shared" si="66"/>
        <v>-</v>
      </c>
      <c r="O1009" s="41" t="str">
        <f t="shared" si="70"/>
        <v>-</v>
      </c>
    </row>
    <row r="1010" spans="1:15" x14ac:dyDescent="0.3">
      <c r="A1010" s="4" t="s">
        <v>534</v>
      </c>
      <c r="B1010" s="3">
        <v>810014679914</v>
      </c>
      <c r="C1010" s="2" t="s">
        <v>2057</v>
      </c>
      <c r="D1010" s="30">
        <v>0.59</v>
      </c>
      <c r="E1010" s="20">
        <v>68.512500000000003</v>
      </c>
      <c r="F1010" s="27"/>
      <c r="G1010" s="23"/>
      <c r="J1010" s="39" t="str">
        <f t="shared" si="67"/>
        <v>-</v>
      </c>
      <c r="K1010" s="39" t="str">
        <f t="shared" si="68"/>
        <v>-</v>
      </c>
      <c r="L1010" s="40" t="str">
        <f t="shared" si="69"/>
        <v>-</v>
      </c>
      <c r="M1010" s="41" t="str">
        <f t="shared" si="66"/>
        <v>-</v>
      </c>
      <c r="O1010" s="41" t="str">
        <f t="shared" si="70"/>
        <v>-</v>
      </c>
    </row>
    <row r="1011" spans="1:15" x14ac:dyDescent="0.3">
      <c r="A1011" s="4" t="s">
        <v>541</v>
      </c>
      <c r="B1011" s="3">
        <v>810014679600</v>
      </c>
      <c r="C1011" s="2" t="s">
        <v>2058</v>
      </c>
      <c r="D1011" s="30">
        <v>1.39</v>
      </c>
      <c r="E1011" s="20">
        <v>68.512500000000003</v>
      </c>
      <c r="F1011" s="27"/>
      <c r="G1011" s="23"/>
      <c r="J1011" s="39" t="str">
        <f t="shared" si="67"/>
        <v>-</v>
      </c>
      <c r="K1011" s="39" t="str">
        <f t="shared" si="68"/>
        <v>-</v>
      </c>
      <c r="L1011" s="40" t="str">
        <f t="shared" si="69"/>
        <v>-</v>
      </c>
      <c r="M1011" s="41" t="str">
        <f t="shared" si="66"/>
        <v>-</v>
      </c>
      <c r="O1011" s="41" t="str">
        <f t="shared" si="70"/>
        <v>-</v>
      </c>
    </row>
    <row r="1012" spans="1:15" x14ac:dyDescent="0.3">
      <c r="A1012" s="4" t="s">
        <v>201</v>
      </c>
      <c r="B1012" s="3">
        <v>810014676029</v>
      </c>
      <c r="C1012" s="2" t="s">
        <v>2059</v>
      </c>
      <c r="D1012" s="30">
        <v>1.29</v>
      </c>
      <c r="E1012" s="20">
        <v>70.035000000000011</v>
      </c>
      <c r="F1012" s="27"/>
      <c r="G1012" s="23"/>
      <c r="J1012" s="39" t="str">
        <f t="shared" si="67"/>
        <v>-</v>
      </c>
      <c r="K1012" s="39" t="str">
        <f t="shared" si="68"/>
        <v>-</v>
      </c>
      <c r="L1012" s="40" t="str">
        <f t="shared" si="69"/>
        <v>-</v>
      </c>
      <c r="M1012" s="41" t="str">
        <f t="shared" si="66"/>
        <v>-</v>
      </c>
      <c r="O1012" s="41" t="str">
        <f t="shared" si="70"/>
        <v>-</v>
      </c>
    </row>
    <row r="1013" spans="1:15" x14ac:dyDescent="0.3">
      <c r="A1013" s="4" t="s">
        <v>2060</v>
      </c>
      <c r="B1013" s="3">
        <v>810139574491</v>
      </c>
      <c r="C1013" s="2" t="s">
        <v>2061</v>
      </c>
      <c r="D1013" s="30">
        <v>0.62</v>
      </c>
      <c r="E1013" s="20">
        <v>76.125</v>
      </c>
      <c r="F1013" s="27"/>
      <c r="G1013" s="23"/>
      <c r="J1013" s="39" t="str">
        <f t="shared" si="67"/>
        <v>-</v>
      </c>
      <c r="K1013" s="39" t="str">
        <f t="shared" si="68"/>
        <v>-</v>
      </c>
      <c r="L1013" s="40" t="str">
        <f t="shared" si="69"/>
        <v>-</v>
      </c>
      <c r="M1013" s="41" t="str">
        <f t="shared" si="66"/>
        <v>-</v>
      </c>
      <c r="O1013" s="41" t="str">
        <f t="shared" si="70"/>
        <v>-</v>
      </c>
    </row>
    <row r="1014" spans="1:15" x14ac:dyDescent="0.3">
      <c r="A1014" s="4" t="s">
        <v>707</v>
      </c>
      <c r="B1014" s="3">
        <v>810014674155</v>
      </c>
      <c r="C1014" s="2" t="s">
        <v>2062</v>
      </c>
      <c r="D1014" s="30">
        <v>2.87</v>
      </c>
      <c r="E1014" s="20">
        <v>79.17</v>
      </c>
      <c r="F1014" s="27"/>
      <c r="G1014" s="23"/>
      <c r="J1014" s="39" t="str">
        <f t="shared" si="67"/>
        <v>-</v>
      </c>
      <c r="K1014" s="39" t="str">
        <f t="shared" si="68"/>
        <v>-</v>
      </c>
      <c r="L1014" s="40" t="str">
        <f t="shared" si="69"/>
        <v>-</v>
      </c>
      <c r="M1014" s="41" t="str">
        <f t="shared" si="66"/>
        <v>-</v>
      </c>
      <c r="O1014" s="41" t="str">
        <f t="shared" si="70"/>
        <v>-</v>
      </c>
    </row>
    <row r="1015" spans="1:15" x14ac:dyDescent="0.3">
      <c r="A1015" s="4" t="s">
        <v>2063</v>
      </c>
      <c r="B1015" s="3">
        <v>810139575122</v>
      </c>
      <c r="C1015" s="2" t="s">
        <v>2064</v>
      </c>
      <c r="D1015" s="30">
        <v>2.87</v>
      </c>
      <c r="E1015" s="20">
        <v>79.17</v>
      </c>
      <c r="F1015" s="27"/>
      <c r="G1015" s="23"/>
      <c r="J1015" s="39" t="str">
        <f t="shared" si="67"/>
        <v>-</v>
      </c>
      <c r="K1015" s="39" t="str">
        <f t="shared" si="68"/>
        <v>-</v>
      </c>
      <c r="L1015" s="40" t="str">
        <f t="shared" si="69"/>
        <v>-</v>
      </c>
      <c r="M1015" s="41" t="str">
        <f t="shared" si="66"/>
        <v>-</v>
      </c>
      <c r="O1015" s="41" t="str">
        <f t="shared" si="70"/>
        <v>-</v>
      </c>
    </row>
    <row r="1016" spans="1:15" x14ac:dyDescent="0.3">
      <c r="A1016" s="4" t="s">
        <v>709</v>
      </c>
      <c r="B1016" s="3">
        <v>810139573289</v>
      </c>
      <c r="C1016" s="2" t="s">
        <v>2065</v>
      </c>
      <c r="D1016" s="30">
        <v>2.9</v>
      </c>
      <c r="E1016" s="20">
        <v>79.17</v>
      </c>
      <c r="F1016" s="27"/>
      <c r="G1016" s="23"/>
      <c r="J1016" s="39" t="str">
        <f t="shared" si="67"/>
        <v>-</v>
      </c>
      <c r="K1016" s="39" t="str">
        <f t="shared" si="68"/>
        <v>-</v>
      </c>
      <c r="L1016" s="40" t="str">
        <f t="shared" si="69"/>
        <v>-</v>
      </c>
      <c r="M1016" s="41" t="str">
        <f t="shared" si="66"/>
        <v>-</v>
      </c>
      <c r="O1016" s="41" t="str">
        <f t="shared" si="70"/>
        <v>-</v>
      </c>
    </row>
    <row r="1017" spans="1:15" x14ac:dyDescent="0.3">
      <c r="A1017" s="4" t="s">
        <v>703</v>
      </c>
      <c r="B1017" s="3">
        <v>810139572558</v>
      </c>
      <c r="C1017" s="2" t="s">
        <v>2066</v>
      </c>
      <c r="D1017" s="30">
        <v>2.9</v>
      </c>
      <c r="E1017" s="20">
        <v>79.17</v>
      </c>
      <c r="F1017" s="27"/>
      <c r="G1017" s="23"/>
      <c r="J1017" s="39" t="str">
        <f t="shared" si="67"/>
        <v>-</v>
      </c>
      <c r="K1017" s="39" t="str">
        <f t="shared" si="68"/>
        <v>-</v>
      </c>
      <c r="L1017" s="40" t="str">
        <f t="shared" si="69"/>
        <v>-</v>
      </c>
      <c r="M1017" s="41" t="str">
        <f t="shared" si="66"/>
        <v>-</v>
      </c>
      <c r="O1017" s="41" t="str">
        <f t="shared" si="70"/>
        <v>-</v>
      </c>
    </row>
    <row r="1018" spans="1:15" x14ac:dyDescent="0.3">
      <c r="A1018" s="4" t="s">
        <v>701</v>
      </c>
      <c r="B1018" s="3">
        <v>810139572541</v>
      </c>
      <c r="C1018" s="2" t="s">
        <v>2067</v>
      </c>
      <c r="D1018" s="30">
        <v>2.9</v>
      </c>
      <c r="E1018" s="20">
        <v>79.17</v>
      </c>
      <c r="F1018" s="27"/>
      <c r="G1018" s="23"/>
      <c r="J1018" s="39" t="str">
        <f t="shared" si="67"/>
        <v>-</v>
      </c>
      <c r="K1018" s="39" t="str">
        <f t="shared" si="68"/>
        <v>-</v>
      </c>
      <c r="L1018" s="40" t="str">
        <f t="shared" si="69"/>
        <v>-</v>
      </c>
      <c r="M1018" s="41" t="str">
        <f t="shared" si="66"/>
        <v>-</v>
      </c>
      <c r="O1018" s="41" t="str">
        <f t="shared" si="70"/>
        <v>-</v>
      </c>
    </row>
    <row r="1019" spans="1:15" x14ac:dyDescent="0.3">
      <c r="A1019" s="4" t="s">
        <v>705</v>
      </c>
      <c r="B1019" s="3">
        <v>810014671345</v>
      </c>
      <c r="C1019" s="2" t="s">
        <v>2068</v>
      </c>
      <c r="D1019" s="30">
        <v>2.88</v>
      </c>
      <c r="E1019" s="20">
        <v>79.17</v>
      </c>
      <c r="F1019" s="27"/>
      <c r="G1019" s="23"/>
      <c r="J1019" s="39" t="str">
        <f t="shared" si="67"/>
        <v>-</v>
      </c>
      <c r="K1019" s="39" t="str">
        <f t="shared" si="68"/>
        <v>-</v>
      </c>
      <c r="L1019" s="40" t="str">
        <f t="shared" si="69"/>
        <v>-</v>
      </c>
      <c r="M1019" s="41" t="str">
        <f t="shared" si="66"/>
        <v>-</v>
      </c>
      <c r="O1019" s="41" t="str">
        <f t="shared" si="70"/>
        <v>-</v>
      </c>
    </row>
    <row r="1020" spans="1:15" x14ac:dyDescent="0.3">
      <c r="A1020" s="4" t="s">
        <v>2069</v>
      </c>
      <c r="B1020" s="3">
        <v>810139570929</v>
      </c>
      <c r="C1020" s="2" t="s">
        <v>2070</v>
      </c>
      <c r="D1020" s="30">
        <v>2.16</v>
      </c>
      <c r="E1020" s="20">
        <v>79.17</v>
      </c>
      <c r="F1020" s="27"/>
      <c r="G1020" s="23"/>
      <c r="J1020" s="39" t="str">
        <f t="shared" si="67"/>
        <v>-</v>
      </c>
      <c r="K1020" s="39" t="str">
        <f t="shared" si="68"/>
        <v>-</v>
      </c>
      <c r="L1020" s="40" t="str">
        <f t="shared" si="69"/>
        <v>-</v>
      </c>
      <c r="M1020" s="41" t="str">
        <f t="shared" si="66"/>
        <v>-</v>
      </c>
      <c r="O1020" s="41" t="str">
        <f t="shared" si="70"/>
        <v>-</v>
      </c>
    </row>
    <row r="1021" spans="1:15" x14ac:dyDescent="0.3">
      <c r="A1021" s="4" t="s">
        <v>545</v>
      </c>
      <c r="B1021" s="3">
        <v>810014670522</v>
      </c>
      <c r="C1021" s="2" t="s">
        <v>2071</v>
      </c>
      <c r="D1021" s="30">
        <v>2.9</v>
      </c>
      <c r="E1021" s="20">
        <v>81.453749999999999</v>
      </c>
      <c r="F1021" s="27"/>
      <c r="G1021" s="23"/>
      <c r="J1021" s="39" t="str">
        <f t="shared" si="67"/>
        <v>-</v>
      </c>
      <c r="K1021" s="39" t="str">
        <f t="shared" si="68"/>
        <v>-</v>
      </c>
      <c r="L1021" s="40" t="str">
        <f t="shared" si="69"/>
        <v>-</v>
      </c>
      <c r="M1021" s="41" t="str">
        <f t="shared" si="66"/>
        <v>-</v>
      </c>
      <c r="O1021" s="41" t="str">
        <f t="shared" si="70"/>
        <v>-</v>
      </c>
    </row>
    <row r="1022" spans="1:15" x14ac:dyDescent="0.3">
      <c r="A1022" s="4" t="s">
        <v>146</v>
      </c>
      <c r="B1022" s="3">
        <v>810014670102</v>
      </c>
      <c r="C1022" s="2" t="s">
        <v>2072</v>
      </c>
      <c r="D1022" s="30">
        <v>2.89</v>
      </c>
      <c r="E1022" s="20">
        <v>82.215000000000003</v>
      </c>
      <c r="F1022" s="27"/>
      <c r="G1022" s="23"/>
      <c r="J1022" s="39" t="str">
        <f t="shared" si="67"/>
        <v>-</v>
      </c>
      <c r="K1022" s="39" t="str">
        <f t="shared" si="68"/>
        <v>-</v>
      </c>
      <c r="L1022" s="40" t="str">
        <f t="shared" si="69"/>
        <v>-</v>
      </c>
      <c r="M1022" s="41" t="str">
        <f t="shared" si="66"/>
        <v>-</v>
      </c>
      <c r="O1022" s="41" t="str">
        <f t="shared" si="70"/>
        <v>-</v>
      </c>
    </row>
    <row r="1023" spans="1:15" x14ac:dyDescent="0.3">
      <c r="A1023" s="4" t="s">
        <v>144</v>
      </c>
      <c r="B1023" s="3">
        <v>810014670089</v>
      </c>
      <c r="C1023" s="2" t="s">
        <v>2073</v>
      </c>
      <c r="D1023" s="30">
        <v>2.89</v>
      </c>
      <c r="E1023" s="20">
        <v>82.215000000000003</v>
      </c>
      <c r="F1023" s="27"/>
      <c r="G1023" s="23"/>
      <c r="J1023" s="39" t="str">
        <f t="shared" si="67"/>
        <v>-</v>
      </c>
      <c r="K1023" s="39" t="str">
        <f t="shared" si="68"/>
        <v>-</v>
      </c>
      <c r="L1023" s="40" t="str">
        <f t="shared" si="69"/>
        <v>-</v>
      </c>
      <c r="M1023" s="41" t="str">
        <f t="shared" si="66"/>
        <v>-</v>
      </c>
      <c r="O1023" s="41" t="str">
        <f t="shared" si="70"/>
        <v>-</v>
      </c>
    </row>
    <row r="1024" spans="1:15" x14ac:dyDescent="0.3">
      <c r="A1024" s="4" t="s">
        <v>142</v>
      </c>
      <c r="B1024" s="3">
        <v>810014672113</v>
      </c>
      <c r="C1024" s="2" t="s">
        <v>2074</v>
      </c>
      <c r="D1024" s="30">
        <v>2.9</v>
      </c>
      <c r="E1024" s="20">
        <v>82.215000000000003</v>
      </c>
      <c r="F1024" s="27"/>
      <c r="G1024" s="23"/>
      <c r="J1024" s="39" t="str">
        <f t="shared" si="67"/>
        <v>-</v>
      </c>
      <c r="K1024" s="39" t="str">
        <f t="shared" si="68"/>
        <v>-</v>
      </c>
      <c r="L1024" s="40" t="str">
        <f t="shared" si="69"/>
        <v>-</v>
      </c>
      <c r="M1024" s="41" t="str">
        <f t="shared" si="66"/>
        <v>-</v>
      </c>
      <c r="O1024" s="41" t="str">
        <f t="shared" si="70"/>
        <v>-</v>
      </c>
    </row>
    <row r="1025" spans="1:15" x14ac:dyDescent="0.3">
      <c r="A1025" s="4" t="s">
        <v>2075</v>
      </c>
      <c r="B1025" s="3">
        <v>810139574521</v>
      </c>
      <c r="C1025" s="2" t="s">
        <v>2076</v>
      </c>
      <c r="D1025" s="30">
        <v>0.6</v>
      </c>
      <c r="E1025" s="20">
        <v>83.737499999999997</v>
      </c>
      <c r="F1025" s="27"/>
      <c r="G1025" s="23"/>
      <c r="J1025" s="39" t="str">
        <f t="shared" si="67"/>
        <v>-</v>
      </c>
      <c r="K1025" s="39" t="str">
        <f t="shared" si="68"/>
        <v>-</v>
      </c>
      <c r="L1025" s="40" t="str">
        <f t="shared" si="69"/>
        <v>-</v>
      </c>
      <c r="M1025" s="41" t="str">
        <f t="shared" si="66"/>
        <v>-</v>
      </c>
      <c r="O1025" s="41" t="str">
        <f t="shared" si="70"/>
        <v>-</v>
      </c>
    </row>
    <row r="1026" spans="1:15" x14ac:dyDescent="0.3">
      <c r="A1026" s="4" t="s">
        <v>298</v>
      </c>
      <c r="B1026" s="3">
        <v>810014675602</v>
      </c>
      <c r="C1026" s="2" t="s">
        <v>2077</v>
      </c>
      <c r="D1026" s="30">
        <v>2.87</v>
      </c>
      <c r="E1026" s="20">
        <v>97.44</v>
      </c>
      <c r="F1026" s="27"/>
      <c r="G1026" s="23"/>
      <c r="J1026" s="39" t="str">
        <f t="shared" si="67"/>
        <v>-</v>
      </c>
      <c r="K1026" s="39" t="str">
        <f t="shared" si="68"/>
        <v>-</v>
      </c>
      <c r="L1026" s="40" t="str">
        <f t="shared" si="69"/>
        <v>-</v>
      </c>
      <c r="M1026" s="41" t="str">
        <f t="shared" si="66"/>
        <v>-</v>
      </c>
      <c r="O1026" s="41" t="str">
        <f t="shared" si="70"/>
        <v>-</v>
      </c>
    </row>
    <row r="1027" spans="1:15" x14ac:dyDescent="0.3">
      <c r="A1027" s="4" t="s">
        <v>296</v>
      </c>
      <c r="B1027" s="3">
        <v>810139570295</v>
      </c>
      <c r="C1027" s="2" t="s">
        <v>2078</v>
      </c>
      <c r="D1027" s="30">
        <v>2.92</v>
      </c>
      <c r="E1027" s="20">
        <v>97.44</v>
      </c>
      <c r="F1027" s="27"/>
      <c r="G1027" s="23"/>
      <c r="J1027" s="39" t="str">
        <f t="shared" si="67"/>
        <v>-</v>
      </c>
      <c r="K1027" s="39" t="str">
        <f t="shared" si="68"/>
        <v>-</v>
      </c>
      <c r="L1027" s="40" t="str">
        <f t="shared" si="69"/>
        <v>-</v>
      </c>
      <c r="M1027" s="41" t="str">
        <f t="shared" si="66"/>
        <v>-</v>
      </c>
      <c r="O1027" s="41" t="str">
        <f t="shared" si="70"/>
        <v>-</v>
      </c>
    </row>
    <row r="1028" spans="1:15" x14ac:dyDescent="0.3">
      <c r="A1028" s="4" t="s">
        <v>295</v>
      </c>
      <c r="B1028" s="3">
        <v>810014675596</v>
      </c>
      <c r="C1028" s="2" t="s">
        <v>2079</v>
      </c>
      <c r="D1028" s="30">
        <v>0.66</v>
      </c>
      <c r="E1028" s="20">
        <v>97.44</v>
      </c>
      <c r="F1028" s="27"/>
      <c r="G1028" s="23"/>
      <c r="J1028" s="39" t="str">
        <f t="shared" si="67"/>
        <v>-</v>
      </c>
      <c r="K1028" s="39" t="str">
        <f t="shared" si="68"/>
        <v>-</v>
      </c>
      <c r="L1028" s="40" t="str">
        <f t="shared" si="69"/>
        <v>-</v>
      </c>
      <c r="M1028" s="41" t="str">
        <f t="shared" ref="M1028:M1091" si="71">IFERROR(IF($J$2&gt;0, $J$2*L1028, "-"), "-")</f>
        <v>-</v>
      </c>
      <c r="O1028" s="41" t="str">
        <f t="shared" si="70"/>
        <v>-</v>
      </c>
    </row>
    <row r="1029" spans="1:15" x14ac:dyDescent="0.3">
      <c r="A1029" s="4" t="s">
        <v>293</v>
      </c>
      <c r="B1029" s="3">
        <v>810139572251</v>
      </c>
      <c r="C1029" s="2" t="s">
        <v>2080</v>
      </c>
      <c r="D1029" s="30">
        <v>2.87</v>
      </c>
      <c r="E1029" s="20">
        <v>97.44</v>
      </c>
      <c r="F1029" s="27"/>
      <c r="G1029" s="23"/>
      <c r="J1029" s="39" t="str">
        <f t="shared" si="67"/>
        <v>-</v>
      </c>
      <c r="K1029" s="39" t="str">
        <f t="shared" si="68"/>
        <v>-</v>
      </c>
      <c r="L1029" s="40" t="str">
        <f t="shared" si="69"/>
        <v>-</v>
      </c>
      <c r="M1029" s="41" t="str">
        <f t="shared" si="71"/>
        <v>-</v>
      </c>
      <c r="O1029" s="41" t="str">
        <f t="shared" si="70"/>
        <v>-</v>
      </c>
    </row>
    <row r="1030" spans="1:15" x14ac:dyDescent="0.3">
      <c r="A1030" s="4" t="s">
        <v>725</v>
      </c>
      <c r="B1030" s="3">
        <v>810139571759</v>
      </c>
      <c r="C1030" s="2" t="s">
        <v>2081</v>
      </c>
      <c r="D1030" s="30">
        <v>2.9</v>
      </c>
      <c r="E1030" s="20">
        <v>101.24625</v>
      </c>
      <c r="F1030" s="27"/>
      <c r="G1030" s="23"/>
      <c r="J1030" s="39" t="str">
        <f t="shared" si="67"/>
        <v>-</v>
      </c>
      <c r="K1030" s="39" t="str">
        <f t="shared" si="68"/>
        <v>-</v>
      </c>
      <c r="L1030" s="40" t="str">
        <f t="shared" si="69"/>
        <v>-</v>
      </c>
      <c r="M1030" s="41" t="str">
        <f t="shared" si="71"/>
        <v>-</v>
      </c>
      <c r="O1030" s="41" t="str">
        <f t="shared" si="70"/>
        <v>-</v>
      </c>
    </row>
    <row r="1031" spans="1:15" x14ac:dyDescent="0.3">
      <c r="A1031" s="4" t="s">
        <v>727</v>
      </c>
      <c r="B1031" s="3">
        <v>810139571612</v>
      </c>
      <c r="C1031" s="2" t="s">
        <v>2082</v>
      </c>
      <c r="D1031" s="30">
        <v>2.9</v>
      </c>
      <c r="E1031" s="20">
        <v>101.24625</v>
      </c>
      <c r="F1031" s="27"/>
      <c r="G1031" s="23"/>
      <c r="J1031" s="39" t="str">
        <f t="shared" si="67"/>
        <v>-</v>
      </c>
      <c r="K1031" s="39" t="str">
        <f t="shared" si="68"/>
        <v>-</v>
      </c>
      <c r="L1031" s="40" t="str">
        <f t="shared" si="69"/>
        <v>-</v>
      </c>
      <c r="M1031" s="41" t="str">
        <f t="shared" si="71"/>
        <v>-</v>
      </c>
      <c r="O1031" s="41" t="str">
        <f t="shared" si="70"/>
        <v>-</v>
      </c>
    </row>
    <row r="1032" spans="1:15" x14ac:dyDescent="0.3">
      <c r="A1032" s="4" t="s">
        <v>711</v>
      </c>
      <c r="B1032" s="3">
        <v>810139573609</v>
      </c>
      <c r="C1032" s="2" t="s">
        <v>2083</v>
      </c>
      <c r="D1032" s="30">
        <v>2.9</v>
      </c>
      <c r="E1032" s="20">
        <v>101.24625</v>
      </c>
      <c r="F1032" s="27"/>
      <c r="G1032" s="23"/>
      <c r="J1032" s="39" t="str">
        <f t="shared" si="67"/>
        <v>-</v>
      </c>
      <c r="K1032" s="39" t="str">
        <f t="shared" si="68"/>
        <v>-</v>
      </c>
      <c r="L1032" s="40" t="str">
        <f t="shared" si="69"/>
        <v>-</v>
      </c>
      <c r="M1032" s="41" t="str">
        <f t="shared" si="71"/>
        <v>-</v>
      </c>
      <c r="O1032" s="41" t="str">
        <f t="shared" si="70"/>
        <v>-</v>
      </c>
    </row>
    <row r="1033" spans="1:15" x14ac:dyDescent="0.3">
      <c r="A1033" s="4" t="s">
        <v>722</v>
      </c>
      <c r="B1033" s="3">
        <v>810014670881</v>
      </c>
      <c r="C1033" s="2" t="s">
        <v>2084</v>
      </c>
      <c r="D1033" s="30">
        <v>2.93</v>
      </c>
      <c r="E1033" s="20">
        <v>101.24625</v>
      </c>
      <c r="F1033" s="27"/>
      <c r="G1033" s="23"/>
      <c r="J1033" s="39" t="str">
        <f t="shared" si="67"/>
        <v>-</v>
      </c>
      <c r="K1033" s="39" t="str">
        <f t="shared" si="68"/>
        <v>-</v>
      </c>
      <c r="L1033" s="40" t="str">
        <f t="shared" si="69"/>
        <v>-</v>
      </c>
      <c r="M1033" s="41" t="str">
        <f t="shared" si="71"/>
        <v>-</v>
      </c>
      <c r="O1033" s="41" t="str">
        <f t="shared" si="70"/>
        <v>-</v>
      </c>
    </row>
    <row r="1034" spans="1:15" x14ac:dyDescent="0.3">
      <c r="A1034" s="4" t="s">
        <v>720</v>
      </c>
      <c r="B1034" s="3">
        <v>810014679945</v>
      </c>
      <c r="C1034" s="2" t="s">
        <v>2085</v>
      </c>
      <c r="D1034" s="30">
        <v>2.9</v>
      </c>
      <c r="E1034" s="20">
        <v>101.24625</v>
      </c>
      <c r="F1034" s="27"/>
      <c r="G1034" s="23"/>
      <c r="J1034" s="39" t="str">
        <f t="shared" si="67"/>
        <v>-</v>
      </c>
      <c r="K1034" s="39" t="str">
        <f t="shared" si="68"/>
        <v>-</v>
      </c>
      <c r="L1034" s="40" t="str">
        <f t="shared" si="69"/>
        <v>-</v>
      </c>
      <c r="M1034" s="41" t="str">
        <f t="shared" si="71"/>
        <v>-</v>
      </c>
      <c r="O1034" s="41" t="str">
        <f t="shared" si="70"/>
        <v>-</v>
      </c>
    </row>
    <row r="1035" spans="1:15" x14ac:dyDescent="0.3">
      <c r="A1035" s="4" t="s">
        <v>714</v>
      </c>
      <c r="B1035" s="3">
        <v>810139571513</v>
      </c>
      <c r="C1035" s="2" t="s">
        <v>2086</v>
      </c>
      <c r="D1035" s="30">
        <v>2.92</v>
      </c>
      <c r="E1035" s="20">
        <v>101.24625</v>
      </c>
      <c r="F1035" s="27"/>
      <c r="G1035" s="23"/>
      <c r="J1035" s="39" t="str">
        <f t="shared" si="67"/>
        <v>-</v>
      </c>
      <c r="K1035" s="39" t="str">
        <f t="shared" si="68"/>
        <v>-</v>
      </c>
      <c r="L1035" s="40" t="str">
        <f t="shared" si="69"/>
        <v>-</v>
      </c>
      <c r="M1035" s="41" t="str">
        <f t="shared" si="71"/>
        <v>-</v>
      </c>
      <c r="O1035" s="41" t="str">
        <f t="shared" si="70"/>
        <v>-</v>
      </c>
    </row>
    <row r="1036" spans="1:15" x14ac:dyDescent="0.3">
      <c r="A1036" s="4" t="s">
        <v>718</v>
      </c>
      <c r="B1036" s="3">
        <v>810014678658</v>
      </c>
      <c r="C1036" s="2" t="s">
        <v>2087</v>
      </c>
      <c r="D1036" s="30">
        <v>2.9</v>
      </c>
      <c r="E1036" s="20">
        <v>101.24625</v>
      </c>
      <c r="F1036" s="27"/>
      <c r="G1036" s="23"/>
      <c r="J1036" s="39" t="str">
        <f t="shared" si="67"/>
        <v>-</v>
      </c>
      <c r="K1036" s="39" t="str">
        <f t="shared" si="68"/>
        <v>-</v>
      </c>
      <c r="L1036" s="40" t="str">
        <f t="shared" si="69"/>
        <v>-</v>
      </c>
      <c r="M1036" s="41" t="str">
        <f t="shared" si="71"/>
        <v>-</v>
      </c>
      <c r="O1036" s="41" t="str">
        <f t="shared" si="70"/>
        <v>-</v>
      </c>
    </row>
    <row r="1037" spans="1:15" x14ac:dyDescent="0.3">
      <c r="A1037" s="4" t="s">
        <v>716</v>
      </c>
      <c r="B1037" s="3">
        <v>810014671369</v>
      </c>
      <c r="C1037" s="2" t="s">
        <v>2088</v>
      </c>
      <c r="D1037" s="30">
        <v>2.88</v>
      </c>
      <c r="E1037" s="20">
        <v>101.24625</v>
      </c>
      <c r="F1037" s="27"/>
      <c r="G1037" s="23"/>
      <c r="J1037" s="39" t="str">
        <f t="shared" si="67"/>
        <v>-</v>
      </c>
      <c r="K1037" s="39" t="str">
        <f t="shared" si="68"/>
        <v>-</v>
      </c>
      <c r="L1037" s="40" t="str">
        <f t="shared" si="69"/>
        <v>-</v>
      </c>
      <c r="M1037" s="41" t="str">
        <f t="shared" si="71"/>
        <v>-</v>
      </c>
      <c r="O1037" s="41" t="str">
        <f t="shared" si="70"/>
        <v>-</v>
      </c>
    </row>
    <row r="1038" spans="1:15" x14ac:dyDescent="0.3">
      <c r="A1038" s="4" t="s">
        <v>656</v>
      </c>
      <c r="B1038" s="3">
        <v>810014679044</v>
      </c>
      <c r="C1038" s="2" t="s">
        <v>2089</v>
      </c>
      <c r="D1038" s="30">
        <v>0.36</v>
      </c>
      <c r="E1038" s="20">
        <v>105.81375000000001</v>
      </c>
      <c r="F1038" s="27"/>
      <c r="G1038" s="23"/>
      <c r="J1038" s="39" t="str">
        <f t="shared" si="67"/>
        <v>-</v>
      </c>
      <c r="K1038" s="39" t="str">
        <f t="shared" si="68"/>
        <v>-</v>
      </c>
      <c r="L1038" s="40" t="str">
        <f t="shared" si="69"/>
        <v>-</v>
      </c>
      <c r="M1038" s="41" t="str">
        <f t="shared" si="71"/>
        <v>-</v>
      </c>
      <c r="O1038" s="41" t="str">
        <f t="shared" si="70"/>
        <v>-</v>
      </c>
    </row>
    <row r="1039" spans="1:15" x14ac:dyDescent="0.3">
      <c r="A1039" s="4" t="s">
        <v>305</v>
      </c>
      <c r="B1039" s="3">
        <v>810014675640</v>
      </c>
      <c r="C1039" s="2" t="s">
        <v>2090</v>
      </c>
      <c r="D1039" s="30">
        <v>2.9</v>
      </c>
      <c r="E1039" s="20">
        <v>115.71</v>
      </c>
      <c r="F1039" s="27"/>
      <c r="G1039" s="23"/>
      <c r="J1039" s="39" t="str">
        <f t="shared" si="67"/>
        <v>-</v>
      </c>
      <c r="K1039" s="39" t="str">
        <f t="shared" si="68"/>
        <v>-</v>
      </c>
      <c r="L1039" s="40" t="str">
        <f t="shared" si="69"/>
        <v>-</v>
      </c>
      <c r="M1039" s="41" t="str">
        <f t="shared" si="71"/>
        <v>-</v>
      </c>
      <c r="O1039" s="41" t="str">
        <f t="shared" si="70"/>
        <v>-</v>
      </c>
    </row>
    <row r="1040" spans="1:15" x14ac:dyDescent="0.3">
      <c r="A1040" s="4" t="s">
        <v>300</v>
      </c>
      <c r="B1040" s="3">
        <v>810139573265</v>
      </c>
      <c r="C1040" s="2" t="s">
        <v>2091</v>
      </c>
      <c r="D1040" s="30">
        <v>2.87</v>
      </c>
      <c r="E1040" s="20">
        <v>115.71</v>
      </c>
      <c r="F1040" s="27"/>
      <c r="G1040" s="23"/>
      <c r="J1040" s="39" t="str">
        <f t="shared" si="67"/>
        <v>-</v>
      </c>
      <c r="K1040" s="39" t="str">
        <f t="shared" si="68"/>
        <v>-</v>
      </c>
      <c r="L1040" s="40" t="str">
        <f t="shared" si="69"/>
        <v>-</v>
      </c>
      <c r="M1040" s="41" t="str">
        <f t="shared" si="71"/>
        <v>-</v>
      </c>
      <c r="O1040" s="41" t="str">
        <f t="shared" si="70"/>
        <v>-</v>
      </c>
    </row>
    <row r="1041" spans="1:15" x14ac:dyDescent="0.3">
      <c r="A1041" s="4" t="s">
        <v>302</v>
      </c>
      <c r="B1041" s="3">
        <v>810014675633</v>
      </c>
      <c r="C1041" s="2" t="s">
        <v>2092</v>
      </c>
      <c r="D1041" s="30">
        <v>2.87</v>
      </c>
      <c r="E1041" s="20">
        <v>115.71</v>
      </c>
      <c r="F1041" s="27"/>
      <c r="G1041" s="23"/>
      <c r="J1041" s="39" t="str">
        <f t="shared" si="67"/>
        <v>-</v>
      </c>
      <c r="K1041" s="39" t="str">
        <f t="shared" si="68"/>
        <v>-</v>
      </c>
      <c r="L1041" s="40" t="str">
        <f t="shared" si="69"/>
        <v>-</v>
      </c>
      <c r="M1041" s="41" t="str">
        <f t="shared" si="71"/>
        <v>-</v>
      </c>
      <c r="O1041" s="41" t="str">
        <f t="shared" si="70"/>
        <v>-</v>
      </c>
    </row>
    <row r="1042" spans="1:15" x14ac:dyDescent="0.3">
      <c r="A1042" s="4" t="s">
        <v>303</v>
      </c>
      <c r="B1042" s="3">
        <v>810139570271</v>
      </c>
      <c r="C1042" s="2" t="s">
        <v>2093</v>
      </c>
      <c r="D1042" s="30">
        <v>2.84</v>
      </c>
      <c r="E1042" s="20">
        <v>115.71</v>
      </c>
      <c r="F1042" s="27"/>
      <c r="G1042" s="23"/>
      <c r="J1042" s="39" t="str">
        <f t="shared" si="67"/>
        <v>-</v>
      </c>
      <c r="K1042" s="39" t="str">
        <f t="shared" si="68"/>
        <v>-</v>
      </c>
      <c r="L1042" s="40" t="str">
        <f t="shared" si="69"/>
        <v>-</v>
      </c>
      <c r="M1042" s="41" t="str">
        <f t="shared" si="71"/>
        <v>-</v>
      </c>
      <c r="O1042" s="41" t="str">
        <f t="shared" si="70"/>
        <v>-</v>
      </c>
    </row>
    <row r="1043" spans="1:15" x14ac:dyDescent="0.3">
      <c r="A1043" s="4" t="s">
        <v>2094</v>
      </c>
      <c r="B1043" s="3">
        <v>810014677217</v>
      </c>
      <c r="C1043" s="2" t="s">
        <v>2095</v>
      </c>
      <c r="D1043" s="30">
        <v>0.04</v>
      </c>
      <c r="E1043" s="20">
        <v>4.1868750000000006</v>
      </c>
      <c r="F1043" s="27"/>
      <c r="G1043" s="23"/>
      <c r="J1043" s="39" t="str">
        <f t="shared" si="67"/>
        <v>-</v>
      </c>
      <c r="K1043" s="39" t="str">
        <f t="shared" si="68"/>
        <v>-</v>
      </c>
      <c r="L1043" s="40" t="str">
        <f t="shared" si="69"/>
        <v>-</v>
      </c>
      <c r="M1043" s="41" t="str">
        <f t="shared" si="71"/>
        <v>-</v>
      </c>
      <c r="O1043" s="41" t="str">
        <f t="shared" si="70"/>
        <v>-</v>
      </c>
    </row>
    <row r="1044" spans="1:15" x14ac:dyDescent="0.3">
      <c r="A1044" s="4" t="s">
        <v>2096</v>
      </c>
      <c r="B1044" s="3">
        <v>810014677149</v>
      </c>
      <c r="C1044" s="2" t="s">
        <v>2097</v>
      </c>
      <c r="D1044" s="30">
        <v>0.04</v>
      </c>
      <c r="E1044" s="20">
        <v>7.2318749999999996</v>
      </c>
      <c r="F1044" s="27"/>
      <c r="G1044" s="23"/>
      <c r="J1044" s="39" t="str">
        <f t="shared" si="67"/>
        <v>-</v>
      </c>
      <c r="K1044" s="39" t="str">
        <f t="shared" si="68"/>
        <v>-</v>
      </c>
      <c r="L1044" s="40" t="str">
        <f t="shared" si="69"/>
        <v>-</v>
      </c>
      <c r="M1044" s="41" t="str">
        <f t="shared" si="71"/>
        <v>-</v>
      </c>
      <c r="O1044" s="41" t="str">
        <f t="shared" si="70"/>
        <v>-</v>
      </c>
    </row>
    <row r="1045" spans="1:15" x14ac:dyDescent="0.3">
      <c r="A1045" s="4" t="s">
        <v>2098</v>
      </c>
      <c r="B1045" s="3">
        <v>810014677200</v>
      </c>
      <c r="C1045" s="2" t="s">
        <v>2099</v>
      </c>
      <c r="D1045" s="30">
        <v>0.04</v>
      </c>
      <c r="E1045" s="20">
        <v>5.7093749999999996</v>
      </c>
      <c r="F1045" s="27"/>
      <c r="G1045" s="23"/>
      <c r="J1045" s="39" t="str">
        <f t="shared" si="67"/>
        <v>-</v>
      </c>
      <c r="K1045" s="39" t="str">
        <f t="shared" si="68"/>
        <v>-</v>
      </c>
      <c r="L1045" s="40" t="str">
        <f t="shared" si="69"/>
        <v>-</v>
      </c>
      <c r="M1045" s="41" t="str">
        <f t="shared" si="71"/>
        <v>-</v>
      </c>
      <c r="O1045" s="41" t="str">
        <f t="shared" si="70"/>
        <v>-</v>
      </c>
    </row>
    <row r="1046" spans="1:15" x14ac:dyDescent="0.3">
      <c r="A1046" s="4" t="s">
        <v>2100</v>
      </c>
      <c r="B1046" s="3">
        <v>810014677088</v>
      </c>
      <c r="C1046" s="2" t="s">
        <v>2101</v>
      </c>
      <c r="D1046" s="30">
        <v>0.05</v>
      </c>
      <c r="E1046" s="20">
        <v>6.8512500000000003</v>
      </c>
      <c r="F1046" s="27"/>
      <c r="G1046" s="23"/>
      <c r="J1046" s="39" t="str">
        <f t="shared" si="67"/>
        <v>-</v>
      </c>
      <c r="K1046" s="39" t="str">
        <f t="shared" si="68"/>
        <v>-</v>
      </c>
      <c r="L1046" s="40" t="str">
        <f t="shared" si="69"/>
        <v>-</v>
      </c>
      <c r="M1046" s="41" t="str">
        <f t="shared" si="71"/>
        <v>-</v>
      </c>
      <c r="O1046" s="41" t="str">
        <f t="shared" si="70"/>
        <v>-</v>
      </c>
    </row>
    <row r="1047" spans="1:15" x14ac:dyDescent="0.3">
      <c r="A1047" s="4" t="s">
        <v>2102</v>
      </c>
      <c r="B1047" s="3">
        <v>810014677224</v>
      </c>
      <c r="C1047" s="2" t="s">
        <v>2103</v>
      </c>
      <c r="D1047" s="30">
        <v>0.05</v>
      </c>
      <c r="E1047" s="20">
        <v>7.2318749999999996</v>
      </c>
      <c r="F1047" s="27"/>
      <c r="G1047" s="23"/>
      <c r="J1047" s="39" t="str">
        <f t="shared" si="67"/>
        <v>-</v>
      </c>
      <c r="K1047" s="39" t="str">
        <f t="shared" si="68"/>
        <v>-</v>
      </c>
      <c r="L1047" s="40" t="str">
        <f t="shared" si="69"/>
        <v>-</v>
      </c>
      <c r="M1047" s="41" t="str">
        <f t="shared" si="71"/>
        <v>-</v>
      </c>
      <c r="O1047" s="41" t="str">
        <f t="shared" si="70"/>
        <v>-</v>
      </c>
    </row>
    <row r="1048" spans="1:15" x14ac:dyDescent="0.3">
      <c r="A1048" s="4" t="s">
        <v>2104</v>
      </c>
      <c r="B1048" s="3">
        <v>810014677163</v>
      </c>
      <c r="C1048" s="2" t="s">
        <v>2105</v>
      </c>
      <c r="D1048" s="30">
        <v>0.09</v>
      </c>
      <c r="E1048" s="20">
        <v>7.6124999999999998</v>
      </c>
      <c r="F1048" s="27"/>
      <c r="G1048" s="23"/>
      <c r="J1048" s="39" t="str">
        <f t="shared" si="67"/>
        <v>-</v>
      </c>
      <c r="K1048" s="39" t="str">
        <f t="shared" si="68"/>
        <v>-</v>
      </c>
      <c r="L1048" s="40" t="str">
        <f t="shared" si="69"/>
        <v>-</v>
      </c>
      <c r="M1048" s="41" t="str">
        <f t="shared" si="71"/>
        <v>-</v>
      </c>
      <c r="O1048" s="41" t="str">
        <f t="shared" si="70"/>
        <v>-</v>
      </c>
    </row>
    <row r="1049" spans="1:15" x14ac:dyDescent="0.3">
      <c r="A1049" s="4" t="s">
        <v>2106</v>
      </c>
      <c r="B1049" s="3">
        <v>810014677095</v>
      </c>
      <c r="C1049" s="2" t="s">
        <v>2107</v>
      </c>
      <c r="D1049" s="30">
        <v>0.04</v>
      </c>
      <c r="E1049" s="20">
        <v>6.8512500000000003</v>
      </c>
      <c r="F1049" s="27"/>
      <c r="G1049" s="23"/>
      <c r="J1049" s="39" t="str">
        <f t="shared" si="67"/>
        <v>-</v>
      </c>
      <c r="K1049" s="39" t="str">
        <f t="shared" si="68"/>
        <v>-</v>
      </c>
      <c r="L1049" s="40" t="str">
        <f t="shared" si="69"/>
        <v>-</v>
      </c>
      <c r="M1049" s="41" t="str">
        <f t="shared" si="71"/>
        <v>-</v>
      </c>
      <c r="O1049" s="41" t="str">
        <f t="shared" si="70"/>
        <v>-</v>
      </c>
    </row>
    <row r="1050" spans="1:15" x14ac:dyDescent="0.3">
      <c r="A1050" s="4" t="s">
        <v>2108</v>
      </c>
      <c r="B1050" s="3">
        <v>810014677057</v>
      </c>
      <c r="C1050" s="2" t="s">
        <v>2109</v>
      </c>
      <c r="D1050" s="30">
        <v>0.06</v>
      </c>
      <c r="E1050" s="20">
        <v>9.515625</v>
      </c>
      <c r="F1050" s="27"/>
      <c r="G1050" s="23"/>
      <c r="J1050" s="39" t="str">
        <f t="shared" si="67"/>
        <v>-</v>
      </c>
      <c r="K1050" s="39" t="str">
        <f t="shared" si="68"/>
        <v>-</v>
      </c>
      <c r="L1050" s="40" t="str">
        <f t="shared" si="69"/>
        <v>-</v>
      </c>
      <c r="M1050" s="41" t="str">
        <f t="shared" si="71"/>
        <v>-</v>
      </c>
      <c r="O1050" s="41" t="str">
        <f t="shared" si="70"/>
        <v>-</v>
      </c>
    </row>
    <row r="1051" spans="1:15" x14ac:dyDescent="0.3">
      <c r="A1051" s="4" t="s">
        <v>2110</v>
      </c>
      <c r="B1051" s="3">
        <v>810014677125</v>
      </c>
      <c r="C1051" s="2" t="s">
        <v>2111</v>
      </c>
      <c r="D1051" s="30">
        <v>0.09</v>
      </c>
      <c r="E1051" s="20">
        <v>7.6124999999999998</v>
      </c>
      <c r="F1051" s="27"/>
      <c r="G1051" s="23"/>
      <c r="J1051" s="39" t="str">
        <f t="shared" si="67"/>
        <v>-</v>
      </c>
      <c r="K1051" s="39" t="str">
        <f t="shared" si="68"/>
        <v>-</v>
      </c>
      <c r="L1051" s="40" t="str">
        <f t="shared" si="69"/>
        <v>-</v>
      </c>
      <c r="M1051" s="41" t="str">
        <f t="shared" si="71"/>
        <v>-</v>
      </c>
      <c r="O1051" s="41" t="str">
        <f t="shared" si="70"/>
        <v>-</v>
      </c>
    </row>
    <row r="1052" spans="1:15" x14ac:dyDescent="0.3">
      <c r="A1052" s="4" t="s">
        <v>2112</v>
      </c>
      <c r="B1052" s="3">
        <v>810014677071</v>
      </c>
      <c r="C1052" s="2" t="s">
        <v>2113</v>
      </c>
      <c r="D1052" s="30">
        <v>0.04</v>
      </c>
      <c r="E1052" s="20">
        <v>6.8512500000000003</v>
      </c>
      <c r="F1052" s="27"/>
      <c r="G1052" s="23"/>
      <c r="J1052" s="39" t="str">
        <f t="shared" si="67"/>
        <v>-</v>
      </c>
      <c r="K1052" s="39" t="str">
        <f t="shared" si="68"/>
        <v>-</v>
      </c>
      <c r="L1052" s="40" t="str">
        <f t="shared" si="69"/>
        <v>-</v>
      </c>
      <c r="M1052" s="41" t="str">
        <f t="shared" si="71"/>
        <v>-</v>
      </c>
      <c r="O1052" s="41" t="str">
        <f t="shared" si="70"/>
        <v>-</v>
      </c>
    </row>
    <row r="1053" spans="1:15" x14ac:dyDescent="0.3">
      <c r="A1053" s="4" t="s">
        <v>2114</v>
      </c>
      <c r="B1053" s="3">
        <v>810014677194</v>
      </c>
      <c r="C1053" s="2" t="s">
        <v>2115</v>
      </c>
      <c r="D1053" s="30">
        <v>0.08</v>
      </c>
      <c r="E1053" s="20">
        <v>9.8962500000000002</v>
      </c>
      <c r="F1053" s="27"/>
      <c r="G1053" s="23"/>
      <c r="J1053" s="39" t="str">
        <f t="shared" si="67"/>
        <v>-</v>
      </c>
      <c r="K1053" s="39" t="str">
        <f t="shared" si="68"/>
        <v>-</v>
      </c>
      <c r="L1053" s="40" t="str">
        <f t="shared" si="69"/>
        <v>-</v>
      </c>
      <c r="M1053" s="41" t="str">
        <f t="shared" si="71"/>
        <v>-</v>
      </c>
      <c r="O1053" s="41" t="str">
        <f t="shared" si="70"/>
        <v>-</v>
      </c>
    </row>
    <row r="1054" spans="1:15" x14ac:dyDescent="0.3">
      <c r="A1054" s="4" t="s">
        <v>2116</v>
      </c>
      <c r="B1054" s="3">
        <v>810014677118</v>
      </c>
      <c r="C1054" s="2" t="s">
        <v>2117</v>
      </c>
      <c r="D1054" s="30">
        <v>0.04</v>
      </c>
      <c r="E1054" s="20">
        <v>4.9481250000000001</v>
      </c>
      <c r="F1054" s="27"/>
      <c r="G1054" s="23"/>
      <c r="J1054" s="39" t="str">
        <f t="shared" si="67"/>
        <v>-</v>
      </c>
      <c r="K1054" s="39" t="str">
        <f t="shared" si="68"/>
        <v>-</v>
      </c>
      <c r="L1054" s="40" t="str">
        <f t="shared" si="69"/>
        <v>-</v>
      </c>
      <c r="M1054" s="41" t="str">
        <f t="shared" si="71"/>
        <v>-</v>
      </c>
      <c r="O1054" s="41" t="str">
        <f t="shared" si="70"/>
        <v>-</v>
      </c>
    </row>
    <row r="1055" spans="1:15" x14ac:dyDescent="0.3">
      <c r="A1055" s="4" t="s">
        <v>2118</v>
      </c>
      <c r="B1055" s="3">
        <v>810014677187</v>
      </c>
      <c r="C1055" s="2" t="s">
        <v>2119</v>
      </c>
      <c r="D1055" s="30">
        <v>0.06</v>
      </c>
      <c r="E1055" s="20">
        <v>4.9481250000000001</v>
      </c>
      <c r="F1055" s="27"/>
      <c r="G1055" s="23"/>
      <c r="J1055" s="39" t="str">
        <f t="shared" si="67"/>
        <v>-</v>
      </c>
      <c r="K1055" s="39" t="str">
        <f t="shared" si="68"/>
        <v>-</v>
      </c>
      <c r="L1055" s="40" t="str">
        <f t="shared" si="69"/>
        <v>-</v>
      </c>
      <c r="M1055" s="41" t="str">
        <f t="shared" si="71"/>
        <v>-</v>
      </c>
      <c r="O1055" s="41" t="str">
        <f t="shared" si="70"/>
        <v>-</v>
      </c>
    </row>
    <row r="1056" spans="1:15" x14ac:dyDescent="0.3">
      <c r="A1056" s="4" t="s">
        <v>2120</v>
      </c>
      <c r="B1056" s="3">
        <v>810014675732</v>
      </c>
      <c r="C1056" s="2" t="s">
        <v>2121</v>
      </c>
      <c r="D1056" s="30">
        <v>0.68</v>
      </c>
      <c r="E1056" s="20">
        <v>26.643750000000001</v>
      </c>
      <c r="F1056" s="27"/>
      <c r="G1056" s="23"/>
      <c r="J1056" s="39" t="str">
        <f t="shared" si="67"/>
        <v>-</v>
      </c>
      <c r="K1056" s="39" t="str">
        <f t="shared" si="68"/>
        <v>-</v>
      </c>
      <c r="L1056" s="40" t="str">
        <f t="shared" si="69"/>
        <v>-</v>
      </c>
      <c r="M1056" s="41" t="str">
        <f t="shared" si="71"/>
        <v>-</v>
      </c>
      <c r="O1056" s="41" t="str">
        <f t="shared" si="70"/>
        <v>-</v>
      </c>
    </row>
    <row r="1057" spans="1:15" x14ac:dyDescent="0.3">
      <c r="A1057" s="4" t="s">
        <v>2122</v>
      </c>
      <c r="B1057" s="3">
        <v>810139571872</v>
      </c>
      <c r="C1057" s="2" t="s">
        <v>2123</v>
      </c>
      <c r="D1057" s="30">
        <v>0.43</v>
      </c>
      <c r="E1057" s="20">
        <v>13.702500000000001</v>
      </c>
      <c r="F1057" s="27"/>
      <c r="G1057" s="23"/>
      <c r="J1057" s="39" t="str">
        <f t="shared" si="67"/>
        <v>-</v>
      </c>
      <c r="K1057" s="39" t="str">
        <f t="shared" si="68"/>
        <v>-</v>
      </c>
      <c r="L1057" s="40" t="str">
        <f t="shared" si="69"/>
        <v>-</v>
      </c>
      <c r="M1057" s="41" t="str">
        <f t="shared" si="71"/>
        <v>-</v>
      </c>
      <c r="O1057" s="41" t="str">
        <f t="shared" si="70"/>
        <v>-</v>
      </c>
    </row>
    <row r="1058" spans="1:15" x14ac:dyDescent="0.3">
      <c r="A1058" s="4" t="s">
        <v>2124</v>
      </c>
      <c r="B1058" s="3">
        <v>810139571889</v>
      </c>
      <c r="C1058" s="2" t="s">
        <v>2125</v>
      </c>
      <c r="D1058" s="30">
        <v>0.42</v>
      </c>
      <c r="E1058" s="20">
        <v>13.702500000000001</v>
      </c>
      <c r="F1058" s="27"/>
      <c r="G1058" s="23"/>
      <c r="J1058" s="39" t="str">
        <f t="shared" si="67"/>
        <v>-</v>
      </c>
      <c r="K1058" s="39" t="str">
        <f t="shared" si="68"/>
        <v>-</v>
      </c>
      <c r="L1058" s="40" t="str">
        <f t="shared" si="69"/>
        <v>-</v>
      </c>
      <c r="M1058" s="41" t="str">
        <f t="shared" si="71"/>
        <v>-</v>
      </c>
      <c r="O1058" s="41" t="str">
        <f t="shared" si="70"/>
        <v>-</v>
      </c>
    </row>
    <row r="1059" spans="1:15" x14ac:dyDescent="0.3">
      <c r="A1059" s="4" t="s">
        <v>2126</v>
      </c>
      <c r="B1059" s="3">
        <v>810139573982</v>
      </c>
      <c r="C1059" s="2" t="s">
        <v>2127</v>
      </c>
      <c r="D1059" s="30">
        <v>0.42</v>
      </c>
      <c r="E1059" s="20">
        <v>13.702500000000001</v>
      </c>
      <c r="F1059" s="27"/>
      <c r="G1059" s="23"/>
      <c r="J1059" s="39" t="str">
        <f t="shared" si="67"/>
        <v>-</v>
      </c>
      <c r="K1059" s="39" t="str">
        <f t="shared" si="68"/>
        <v>-</v>
      </c>
      <c r="L1059" s="40" t="str">
        <f t="shared" si="69"/>
        <v>-</v>
      </c>
      <c r="M1059" s="41" t="str">
        <f t="shared" si="71"/>
        <v>-</v>
      </c>
      <c r="O1059" s="41" t="str">
        <f t="shared" si="70"/>
        <v>-</v>
      </c>
    </row>
    <row r="1060" spans="1:15" x14ac:dyDescent="0.3">
      <c r="A1060" s="4" t="s">
        <v>2128</v>
      </c>
      <c r="B1060" s="3">
        <v>810139573999</v>
      </c>
      <c r="C1060" s="2" t="s">
        <v>2129</v>
      </c>
      <c r="D1060" s="30">
        <v>0.42</v>
      </c>
      <c r="E1060" s="20">
        <v>13.702500000000001</v>
      </c>
      <c r="F1060" s="27"/>
      <c r="G1060" s="23"/>
      <c r="J1060" s="39" t="str">
        <f t="shared" si="67"/>
        <v>-</v>
      </c>
      <c r="K1060" s="39" t="str">
        <f t="shared" si="68"/>
        <v>-</v>
      </c>
      <c r="L1060" s="40" t="str">
        <f t="shared" si="69"/>
        <v>-</v>
      </c>
      <c r="M1060" s="41" t="str">
        <f t="shared" si="71"/>
        <v>-</v>
      </c>
      <c r="O1060" s="41" t="str">
        <f t="shared" si="70"/>
        <v>-</v>
      </c>
    </row>
    <row r="1061" spans="1:15" x14ac:dyDescent="0.3">
      <c r="A1061" s="4" t="s">
        <v>2130</v>
      </c>
      <c r="B1061" s="3">
        <v>810139571896</v>
      </c>
      <c r="C1061" s="2" t="s">
        <v>2131</v>
      </c>
      <c r="D1061" s="30">
        <v>0.43</v>
      </c>
      <c r="E1061" s="20">
        <v>13.702500000000001</v>
      </c>
      <c r="F1061" s="27"/>
      <c r="G1061" s="23"/>
      <c r="J1061" s="39" t="str">
        <f t="shared" si="67"/>
        <v>-</v>
      </c>
      <c r="K1061" s="39" t="str">
        <f t="shared" si="68"/>
        <v>-</v>
      </c>
      <c r="L1061" s="40" t="str">
        <f t="shared" si="69"/>
        <v>-</v>
      </c>
      <c r="M1061" s="41" t="str">
        <f t="shared" si="71"/>
        <v>-</v>
      </c>
      <c r="O1061" s="41" t="str">
        <f t="shared" si="70"/>
        <v>-</v>
      </c>
    </row>
    <row r="1062" spans="1:15" x14ac:dyDescent="0.3">
      <c r="A1062" s="4" t="s">
        <v>2132</v>
      </c>
      <c r="B1062" s="3">
        <v>810139571902</v>
      </c>
      <c r="C1062" s="2" t="s">
        <v>2133</v>
      </c>
      <c r="D1062" s="30">
        <v>0.43</v>
      </c>
      <c r="E1062" s="20">
        <v>13.702500000000001</v>
      </c>
      <c r="F1062" s="27"/>
      <c r="G1062" s="23"/>
      <c r="J1062" s="39" t="str">
        <f t="shared" si="67"/>
        <v>-</v>
      </c>
      <c r="K1062" s="39" t="str">
        <f t="shared" si="68"/>
        <v>-</v>
      </c>
      <c r="L1062" s="40" t="str">
        <f t="shared" si="69"/>
        <v>-</v>
      </c>
      <c r="M1062" s="41" t="str">
        <f t="shared" si="71"/>
        <v>-</v>
      </c>
      <c r="O1062" s="41" t="str">
        <f t="shared" si="70"/>
        <v>-</v>
      </c>
    </row>
    <row r="1063" spans="1:15" x14ac:dyDescent="0.3">
      <c r="A1063" s="4" t="s">
        <v>2134</v>
      </c>
      <c r="B1063" s="3">
        <v>810139577553</v>
      </c>
      <c r="C1063" s="2" t="s">
        <v>2135</v>
      </c>
      <c r="D1063" s="30">
        <v>0.43</v>
      </c>
      <c r="E1063" s="20">
        <v>16.747500000000002</v>
      </c>
      <c r="F1063" s="27"/>
      <c r="G1063" s="23"/>
      <c r="J1063" s="39" t="str">
        <f t="shared" si="67"/>
        <v>-</v>
      </c>
      <c r="K1063" s="39" t="str">
        <f t="shared" si="68"/>
        <v>-</v>
      </c>
      <c r="L1063" s="40" t="str">
        <f t="shared" si="69"/>
        <v>-</v>
      </c>
      <c r="M1063" s="41" t="str">
        <f t="shared" si="71"/>
        <v>-</v>
      </c>
      <c r="O1063" s="41" t="str">
        <f t="shared" si="70"/>
        <v>-</v>
      </c>
    </row>
    <row r="1064" spans="1:15" x14ac:dyDescent="0.3">
      <c r="A1064" s="4" t="s">
        <v>2136</v>
      </c>
      <c r="B1064" s="3">
        <v>810139571865</v>
      </c>
      <c r="C1064" s="2" t="s">
        <v>2137</v>
      </c>
      <c r="D1064" s="30">
        <v>0.41</v>
      </c>
      <c r="E1064" s="20">
        <v>13.702500000000001</v>
      </c>
      <c r="F1064" s="27"/>
      <c r="G1064" s="23"/>
      <c r="J1064" s="39" t="str">
        <f t="shared" ref="J1064:J1121" si="72">IFERROR(IF($J$2*D1064=0, "-", $J$2*D1064), "-")</f>
        <v>-</v>
      </c>
      <c r="K1064" s="39" t="str">
        <f t="shared" ref="K1064:K1121" si="73">IF(F1064&gt;0,E1064+J1064,"-")</f>
        <v>-</v>
      </c>
      <c r="L1064" s="40" t="str">
        <f t="shared" ref="L1064:L1121" si="74">IF(F1064&gt;0,F1064*D1064, "-")</f>
        <v>-</v>
      </c>
      <c r="M1064" s="41" t="str">
        <f t="shared" si="71"/>
        <v>-</v>
      </c>
      <c r="O1064" s="41" t="str">
        <f t="shared" ref="O1064:O1121" si="75">IFERROR(IF(M1064+G1064=0, "-", IF(M1064&gt;0, M1064+G1064, "-")), "-")</f>
        <v>-</v>
      </c>
    </row>
    <row r="1065" spans="1:15" x14ac:dyDescent="0.3">
      <c r="A1065" s="4" t="s">
        <v>2138</v>
      </c>
      <c r="B1065" s="3">
        <v>810139573869</v>
      </c>
      <c r="C1065" s="2" t="s">
        <v>2139</v>
      </c>
      <c r="D1065" s="30">
        <v>0.59</v>
      </c>
      <c r="E1065" s="20">
        <v>21.315000000000001</v>
      </c>
      <c r="F1065" s="27"/>
      <c r="G1065" s="23"/>
      <c r="J1065" s="39" t="str">
        <f t="shared" si="72"/>
        <v>-</v>
      </c>
      <c r="K1065" s="39" t="str">
        <f t="shared" si="73"/>
        <v>-</v>
      </c>
      <c r="L1065" s="40" t="str">
        <f t="shared" si="74"/>
        <v>-</v>
      </c>
      <c r="M1065" s="41" t="str">
        <f t="shared" si="71"/>
        <v>-</v>
      </c>
      <c r="O1065" s="41" t="str">
        <f t="shared" si="75"/>
        <v>-</v>
      </c>
    </row>
    <row r="1066" spans="1:15" x14ac:dyDescent="0.3">
      <c r="A1066" s="4" t="s">
        <v>2140</v>
      </c>
      <c r="B1066" s="3">
        <v>810139572053</v>
      </c>
      <c r="C1066" s="2" t="s">
        <v>2141</v>
      </c>
      <c r="D1066" s="30">
        <v>0.12</v>
      </c>
      <c r="E1066" s="20">
        <v>8.3737500000000011</v>
      </c>
      <c r="F1066" s="27"/>
      <c r="G1066" s="23"/>
      <c r="J1066" s="39" t="str">
        <f t="shared" si="72"/>
        <v>-</v>
      </c>
      <c r="K1066" s="39" t="str">
        <f t="shared" si="73"/>
        <v>-</v>
      </c>
      <c r="L1066" s="40" t="str">
        <f t="shared" si="74"/>
        <v>-</v>
      </c>
      <c r="M1066" s="41" t="str">
        <f t="shared" si="71"/>
        <v>-</v>
      </c>
      <c r="O1066" s="41" t="str">
        <f t="shared" si="75"/>
        <v>-</v>
      </c>
    </row>
    <row r="1067" spans="1:15" x14ac:dyDescent="0.3">
      <c r="A1067" s="4" t="s">
        <v>2142</v>
      </c>
      <c r="B1067" s="3">
        <v>810139572060</v>
      </c>
      <c r="C1067" s="2" t="s">
        <v>2143</v>
      </c>
      <c r="D1067" s="30">
        <v>0.14000000000000001</v>
      </c>
      <c r="E1067" s="20">
        <v>18.270000000000003</v>
      </c>
      <c r="F1067" s="27"/>
      <c r="G1067" s="23"/>
      <c r="J1067" s="39" t="str">
        <f t="shared" si="72"/>
        <v>-</v>
      </c>
      <c r="K1067" s="39" t="str">
        <f t="shared" si="73"/>
        <v>-</v>
      </c>
      <c r="L1067" s="40" t="str">
        <f t="shared" si="74"/>
        <v>-</v>
      </c>
      <c r="M1067" s="41" t="str">
        <f t="shared" si="71"/>
        <v>-</v>
      </c>
      <c r="O1067" s="41" t="str">
        <f t="shared" si="75"/>
        <v>-</v>
      </c>
    </row>
    <row r="1068" spans="1:15" x14ac:dyDescent="0.3">
      <c r="A1068" s="4" t="s">
        <v>2144</v>
      </c>
      <c r="B1068" s="3">
        <v>810139572046</v>
      </c>
      <c r="C1068" s="2" t="s">
        <v>2145</v>
      </c>
      <c r="D1068" s="30">
        <v>0.42</v>
      </c>
      <c r="E1068" s="20">
        <v>11.418749999999999</v>
      </c>
      <c r="F1068" s="27"/>
      <c r="G1068" s="23"/>
      <c r="J1068" s="39" t="str">
        <f t="shared" si="72"/>
        <v>-</v>
      </c>
      <c r="K1068" s="39" t="str">
        <f t="shared" si="73"/>
        <v>-</v>
      </c>
      <c r="L1068" s="40" t="str">
        <f t="shared" si="74"/>
        <v>-</v>
      </c>
      <c r="M1068" s="41" t="str">
        <f t="shared" si="71"/>
        <v>-</v>
      </c>
      <c r="O1068" s="41" t="str">
        <f t="shared" si="75"/>
        <v>-</v>
      </c>
    </row>
    <row r="1069" spans="1:15" x14ac:dyDescent="0.3">
      <c r="A1069" s="4" t="s">
        <v>2146</v>
      </c>
      <c r="B1069" s="3">
        <v>810139572077</v>
      </c>
      <c r="C1069" s="2" t="s">
        <v>2147</v>
      </c>
      <c r="D1069" s="30">
        <v>0.27</v>
      </c>
      <c r="E1069" s="20">
        <v>6.09</v>
      </c>
      <c r="F1069" s="27"/>
      <c r="G1069" s="23"/>
      <c r="J1069" s="39" t="str">
        <f t="shared" si="72"/>
        <v>-</v>
      </c>
      <c r="K1069" s="39" t="str">
        <f t="shared" si="73"/>
        <v>-</v>
      </c>
      <c r="L1069" s="40" t="str">
        <f t="shared" si="74"/>
        <v>-</v>
      </c>
      <c r="M1069" s="41" t="str">
        <f t="shared" si="71"/>
        <v>-</v>
      </c>
      <c r="O1069" s="41" t="str">
        <f t="shared" si="75"/>
        <v>-</v>
      </c>
    </row>
    <row r="1070" spans="1:15" x14ac:dyDescent="0.3">
      <c r="A1070" s="4" t="s">
        <v>2148</v>
      </c>
      <c r="B1070" s="3">
        <v>810139572084</v>
      </c>
      <c r="C1070" s="2" t="s">
        <v>2149</v>
      </c>
      <c r="D1070" s="30">
        <v>0.05</v>
      </c>
      <c r="E1070" s="20">
        <v>11.799375000000001</v>
      </c>
      <c r="F1070" s="27"/>
      <c r="G1070" s="23"/>
      <c r="J1070" s="39" t="str">
        <f t="shared" si="72"/>
        <v>-</v>
      </c>
      <c r="K1070" s="39" t="str">
        <f t="shared" si="73"/>
        <v>-</v>
      </c>
      <c r="L1070" s="40" t="str">
        <f t="shared" si="74"/>
        <v>-</v>
      </c>
      <c r="M1070" s="41" t="str">
        <f t="shared" si="71"/>
        <v>-</v>
      </c>
      <c r="O1070" s="41" t="str">
        <f t="shared" si="75"/>
        <v>-</v>
      </c>
    </row>
    <row r="1071" spans="1:15" x14ac:dyDescent="0.3">
      <c r="A1071" s="4" t="s">
        <v>2150</v>
      </c>
      <c r="B1071" s="3">
        <v>810139572091</v>
      </c>
      <c r="C1071" s="2" t="s">
        <v>2151</v>
      </c>
      <c r="D1071" s="30">
        <v>0.09</v>
      </c>
      <c r="E1071" s="20">
        <v>6.09</v>
      </c>
      <c r="F1071" s="27"/>
      <c r="G1071" s="23"/>
      <c r="J1071" s="39" t="str">
        <f t="shared" si="72"/>
        <v>-</v>
      </c>
      <c r="K1071" s="39" t="str">
        <f t="shared" si="73"/>
        <v>-</v>
      </c>
      <c r="L1071" s="40" t="str">
        <f t="shared" si="74"/>
        <v>-</v>
      </c>
      <c r="M1071" s="41" t="str">
        <f t="shared" si="71"/>
        <v>-</v>
      </c>
      <c r="O1071" s="41" t="str">
        <f t="shared" si="75"/>
        <v>-</v>
      </c>
    </row>
    <row r="1072" spans="1:15" x14ac:dyDescent="0.3">
      <c r="A1072" s="4" t="s">
        <v>2152</v>
      </c>
      <c r="B1072" s="3">
        <v>810139572107</v>
      </c>
      <c r="C1072" s="2" t="s">
        <v>2153</v>
      </c>
      <c r="D1072" s="30">
        <v>0.05</v>
      </c>
      <c r="E1072" s="20">
        <v>4.9481250000000001</v>
      </c>
      <c r="F1072" s="27"/>
      <c r="G1072" s="23"/>
      <c r="J1072" s="39" t="str">
        <f t="shared" si="72"/>
        <v>-</v>
      </c>
      <c r="K1072" s="39" t="str">
        <f t="shared" si="73"/>
        <v>-</v>
      </c>
      <c r="L1072" s="40" t="str">
        <f t="shared" si="74"/>
        <v>-</v>
      </c>
      <c r="M1072" s="41" t="str">
        <f t="shared" si="71"/>
        <v>-</v>
      </c>
      <c r="O1072" s="41" t="str">
        <f t="shared" si="75"/>
        <v>-</v>
      </c>
    </row>
    <row r="1073" spans="1:15" x14ac:dyDescent="0.3">
      <c r="A1073" s="4" t="s">
        <v>2154</v>
      </c>
      <c r="B1073" s="3">
        <v>810139572039</v>
      </c>
      <c r="C1073" s="2" t="s">
        <v>2155</v>
      </c>
      <c r="D1073" s="30">
        <v>0.06</v>
      </c>
      <c r="E1073" s="20">
        <v>6.09</v>
      </c>
      <c r="F1073" s="27"/>
      <c r="G1073" s="23"/>
      <c r="J1073" s="39" t="str">
        <f t="shared" si="72"/>
        <v>-</v>
      </c>
      <c r="K1073" s="39" t="str">
        <f t="shared" si="73"/>
        <v>-</v>
      </c>
      <c r="L1073" s="40" t="str">
        <f t="shared" si="74"/>
        <v>-</v>
      </c>
      <c r="M1073" s="41" t="str">
        <f t="shared" si="71"/>
        <v>-</v>
      </c>
      <c r="O1073" s="41" t="str">
        <f t="shared" si="75"/>
        <v>-</v>
      </c>
    </row>
    <row r="1074" spans="1:15" x14ac:dyDescent="0.3">
      <c r="A1074" s="4" t="s">
        <v>2156</v>
      </c>
      <c r="B1074" s="3">
        <v>810139572237</v>
      </c>
      <c r="C1074" s="2" t="s">
        <v>2157</v>
      </c>
      <c r="D1074" s="30">
        <v>0.94</v>
      </c>
      <c r="E1074" s="20">
        <v>28.927499999999998</v>
      </c>
      <c r="F1074" s="27"/>
      <c r="G1074" s="23"/>
      <c r="J1074" s="39" t="str">
        <f t="shared" si="72"/>
        <v>-</v>
      </c>
      <c r="K1074" s="39" t="str">
        <f t="shared" si="73"/>
        <v>-</v>
      </c>
      <c r="L1074" s="40" t="str">
        <f t="shared" si="74"/>
        <v>-</v>
      </c>
      <c r="M1074" s="41" t="str">
        <f t="shared" si="71"/>
        <v>-</v>
      </c>
      <c r="O1074" s="41" t="str">
        <f t="shared" si="75"/>
        <v>-</v>
      </c>
    </row>
    <row r="1075" spans="1:15" x14ac:dyDescent="0.3">
      <c r="A1075" s="4" t="s">
        <v>2158</v>
      </c>
      <c r="B1075" s="3">
        <v>810139572794</v>
      </c>
      <c r="C1075" s="2" t="s">
        <v>2159</v>
      </c>
      <c r="D1075" s="30">
        <v>0.92</v>
      </c>
      <c r="E1075" s="20">
        <v>28.927499999999998</v>
      </c>
      <c r="F1075" s="27"/>
      <c r="G1075" s="23"/>
      <c r="J1075" s="39" t="str">
        <f t="shared" si="72"/>
        <v>-</v>
      </c>
      <c r="K1075" s="39" t="str">
        <f t="shared" si="73"/>
        <v>-</v>
      </c>
      <c r="L1075" s="40" t="str">
        <f t="shared" si="74"/>
        <v>-</v>
      </c>
      <c r="M1075" s="41" t="str">
        <f t="shared" si="71"/>
        <v>-</v>
      </c>
      <c r="O1075" s="41" t="str">
        <f t="shared" si="75"/>
        <v>-</v>
      </c>
    </row>
    <row r="1076" spans="1:15" x14ac:dyDescent="0.3">
      <c r="A1076" s="4" t="s">
        <v>2160</v>
      </c>
      <c r="B1076" s="3">
        <v>810139577768</v>
      </c>
      <c r="C1076" s="2" t="s">
        <v>2161</v>
      </c>
      <c r="D1076" s="30">
        <v>0.95</v>
      </c>
      <c r="E1076" s="20">
        <v>28.927499999999998</v>
      </c>
      <c r="F1076" s="27"/>
      <c r="G1076" s="23"/>
      <c r="J1076" s="39" t="str">
        <f t="shared" si="72"/>
        <v>-</v>
      </c>
      <c r="K1076" s="39" t="str">
        <f t="shared" si="73"/>
        <v>-</v>
      </c>
      <c r="L1076" s="40" t="str">
        <f t="shared" si="74"/>
        <v>-</v>
      </c>
      <c r="M1076" s="41" t="str">
        <f t="shared" si="71"/>
        <v>-</v>
      </c>
      <c r="O1076" s="41" t="str">
        <f t="shared" si="75"/>
        <v>-</v>
      </c>
    </row>
    <row r="1077" spans="1:15" x14ac:dyDescent="0.3">
      <c r="A1077" s="4" t="s">
        <v>2162</v>
      </c>
      <c r="B1077" s="3">
        <v>810139572220</v>
      </c>
      <c r="C1077" s="2" t="s">
        <v>2163</v>
      </c>
      <c r="D1077" s="30">
        <v>0.57999999999999996</v>
      </c>
      <c r="E1077" s="20">
        <v>28.927499999999998</v>
      </c>
      <c r="F1077" s="27"/>
      <c r="G1077" s="23"/>
      <c r="J1077" s="39" t="str">
        <f t="shared" si="72"/>
        <v>-</v>
      </c>
      <c r="K1077" s="39" t="str">
        <f t="shared" si="73"/>
        <v>-</v>
      </c>
      <c r="L1077" s="40" t="str">
        <f t="shared" si="74"/>
        <v>-</v>
      </c>
      <c r="M1077" s="41" t="str">
        <f t="shared" si="71"/>
        <v>-</v>
      </c>
      <c r="O1077" s="41" t="str">
        <f t="shared" si="75"/>
        <v>-</v>
      </c>
    </row>
    <row r="1078" spans="1:15" x14ac:dyDescent="0.3">
      <c r="A1078" s="4" t="s">
        <v>2164</v>
      </c>
      <c r="B1078" s="3">
        <v>810139574002</v>
      </c>
      <c r="C1078" s="2" t="s">
        <v>2165</v>
      </c>
      <c r="D1078" s="30">
        <v>0.13</v>
      </c>
      <c r="E1078" s="20">
        <v>7.6124999999999998</v>
      </c>
      <c r="F1078" s="27"/>
      <c r="G1078" s="23"/>
      <c r="J1078" s="39" t="str">
        <f t="shared" si="72"/>
        <v>-</v>
      </c>
      <c r="K1078" s="39" t="str">
        <f t="shared" si="73"/>
        <v>-</v>
      </c>
      <c r="L1078" s="40" t="str">
        <f t="shared" si="74"/>
        <v>-</v>
      </c>
      <c r="M1078" s="41" t="str">
        <f t="shared" si="71"/>
        <v>-</v>
      </c>
      <c r="O1078" s="41" t="str">
        <f t="shared" si="75"/>
        <v>-</v>
      </c>
    </row>
    <row r="1079" spans="1:15" x14ac:dyDescent="0.3">
      <c r="A1079" s="4" t="s">
        <v>2166</v>
      </c>
      <c r="B1079" s="3">
        <v>810139574019</v>
      </c>
      <c r="C1079" s="2" t="s">
        <v>2167</v>
      </c>
      <c r="D1079" s="30">
        <v>0.05</v>
      </c>
      <c r="E1079" s="20">
        <v>8.3737500000000011</v>
      </c>
      <c r="F1079" s="27"/>
      <c r="G1079" s="23"/>
      <c r="J1079" s="39" t="str">
        <f t="shared" si="72"/>
        <v>-</v>
      </c>
      <c r="K1079" s="39" t="str">
        <f t="shared" si="73"/>
        <v>-</v>
      </c>
      <c r="L1079" s="40" t="str">
        <f t="shared" si="74"/>
        <v>-</v>
      </c>
      <c r="M1079" s="41" t="str">
        <f t="shared" si="71"/>
        <v>-</v>
      </c>
      <c r="O1079" s="41" t="str">
        <f t="shared" si="75"/>
        <v>-</v>
      </c>
    </row>
    <row r="1080" spans="1:15" x14ac:dyDescent="0.3">
      <c r="A1080" s="4" t="s">
        <v>2168</v>
      </c>
      <c r="B1080" s="3">
        <v>810139574071</v>
      </c>
      <c r="C1080" s="2" t="s">
        <v>2169</v>
      </c>
      <c r="D1080" s="30">
        <v>0.06</v>
      </c>
      <c r="E1080" s="20">
        <v>6.8512500000000003</v>
      </c>
      <c r="F1080" s="27"/>
      <c r="G1080" s="23"/>
      <c r="J1080" s="39" t="str">
        <f t="shared" si="72"/>
        <v>-</v>
      </c>
      <c r="K1080" s="39" t="str">
        <f t="shared" si="73"/>
        <v>-</v>
      </c>
      <c r="L1080" s="40" t="str">
        <f t="shared" si="74"/>
        <v>-</v>
      </c>
      <c r="M1080" s="41" t="str">
        <f t="shared" si="71"/>
        <v>-</v>
      </c>
      <c r="O1080" s="41" t="str">
        <f t="shared" si="75"/>
        <v>-</v>
      </c>
    </row>
    <row r="1081" spans="1:15" x14ac:dyDescent="0.3">
      <c r="A1081" s="4" t="s">
        <v>2170</v>
      </c>
      <c r="B1081" s="3">
        <v>810139574118</v>
      </c>
      <c r="C1081" s="2" t="s">
        <v>2171</v>
      </c>
      <c r="D1081" s="30">
        <v>0.03</v>
      </c>
      <c r="E1081" s="20">
        <v>11.799375000000001</v>
      </c>
      <c r="F1081" s="27"/>
      <c r="G1081" s="23"/>
      <c r="J1081" s="39" t="str">
        <f t="shared" si="72"/>
        <v>-</v>
      </c>
      <c r="K1081" s="39" t="str">
        <f t="shared" si="73"/>
        <v>-</v>
      </c>
      <c r="L1081" s="40" t="str">
        <f t="shared" si="74"/>
        <v>-</v>
      </c>
      <c r="M1081" s="41" t="str">
        <f t="shared" si="71"/>
        <v>-</v>
      </c>
      <c r="O1081" s="41" t="str">
        <f t="shared" si="75"/>
        <v>-</v>
      </c>
    </row>
    <row r="1082" spans="1:15" x14ac:dyDescent="0.3">
      <c r="A1082" s="4" t="s">
        <v>2172</v>
      </c>
      <c r="B1082" s="3">
        <v>810014677248</v>
      </c>
      <c r="C1082" s="2" t="s">
        <v>2173</v>
      </c>
      <c r="D1082" s="30">
        <v>0.04</v>
      </c>
      <c r="E1082" s="20">
        <v>4.5675000000000008</v>
      </c>
      <c r="F1082" s="27"/>
      <c r="G1082" s="23"/>
      <c r="J1082" s="39" t="str">
        <f t="shared" si="72"/>
        <v>-</v>
      </c>
      <c r="K1082" s="39" t="str">
        <f t="shared" si="73"/>
        <v>-</v>
      </c>
      <c r="L1082" s="40" t="str">
        <f t="shared" si="74"/>
        <v>-</v>
      </c>
      <c r="M1082" s="41" t="str">
        <f t="shared" si="71"/>
        <v>-</v>
      </c>
      <c r="O1082" s="41" t="str">
        <f t="shared" si="75"/>
        <v>-</v>
      </c>
    </row>
    <row r="1083" spans="1:15" x14ac:dyDescent="0.3">
      <c r="A1083" s="4" t="s">
        <v>2174</v>
      </c>
      <c r="B1083" s="3">
        <v>810139574064</v>
      </c>
      <c r="C1083" s="2" t="s">
        <v>2175</v>
      </c>
      <c r="D1083" s="30">
        <v>0.05</v>
      </c>
      <c r="E1083" s="20">
        <v>10.657500000000001</v>
      </c>
      <c r="F1083" s="27"/>
      <c r="G1083" s="23"/>
      <c r="J1083" s="39" t="str">
        <f t="shared" si="72"/>
        <v>-</v>
      </c>
      <c r="K1083" s="39" t="str">
        <f t="shared" si="73"/>
        <v>-</v>
      </c>
      <c r="L1083" s="40" t="str">
        <f t="shared" si="74"/>
        <v>-</v>
      </c>
      <c r="M1083" s="41" t="str">
        <f t="shared" si="71"/>
        <v>-</v>
      </c>
      <c r="O1083" s="41" t="str">
        <f t="shared" si="75"/>
        <v>-</v>
      </c>
    </row>
    <row r="1084" spans="1:15" x14ac:dyDescent="0.3">
      <c r="A1084" s="4" t="s">
        <v>2176</v>
      </c>
      <c r="B1084" s="3">
        <v>810014677231</v>
      </c>
      <c r="C1084" s="2" t="s">
        <v>2177</v>
      </c>
      <c r="D1084" s="30">
        <v>0.04</v>
      </c>
      <c r="E1084" s="20">
        <v>4.9481250000000001</v>
      </c>
      <c r="F1084" s="27"/>
      <c r="G1084" s="23"/>
      <c r="J1084" s="39" t="str">
        <f t="shared" si="72"/>
        <v>-</v>
      </c>
      <c r="K1084" s="39" t="str">
        <f t="shared" si="73"/>
        <v>-</v>
      </c>
      <c r="L1084" s="40" t="str">
        <f t="shared" si="74"/>
        <v>-</v>
      </c>
      <c r="M1084" s="41" t="str">
        <f t="shared" si="71"/>
        <v>-</v>
      </c>
      <c r="O1084" s="41" t="str">
        <f t="shared" si="75"/>
        <v>-</v>
      </c>
    </row>
    <row r="1085" spans="1:15" x14ac:dyDescent="0.3">
      <c r="A1085" s="4" t="s">
        <v>2178</v>
      </c>
      <c r="B1085" s="3">
        <v>810139573845</v>
      </c>
      <c r="C1085" s="2" t="s">
        <v>2179</v>
      </c>
      <c r="D1085" s="30">
        <v>0.06</v>
      </c>
      <c r="E1085" s="20">
        <v>7.993125</v>
      </c>
      <c r="F1085" s="27"/>
      <c r="G1085" s="23"/>
      <c r="J1085" s="39" t="str">
        <f t="shared" si="72"/>
        <v>-</v>
      </c>
      <c r="K1085" s="39" t="str">
        <f t="shared" si="73"/>
        <v>-</v>
      </c>
      <c r="L1085" s="40" t="str">
        <f t="shared" si="74"/>
        <v>-</v>
      </c>
      <c r="M1085" s="41" t="str">
        <f t="shared" si="71"/>
        <v>-</v>
      </c>
      <c r="O1085" s="41" t="str">
        <f t="shared" si="75"/>
        <v>-</v>
      </c>
    </row>
    <row r="1086" spans="1:15" x14ac:dyDescent="0.3">
      <c r="A1086" s="4" t="s">
        <v>2180</v>
      </c>
      <c r="B1086" s="3">
        <v>810139574095</v>
      </c>
      <c r="C1086" s="2" t="s">
        <v>2181</v>
      </c>
      <c r="D1086" s="30">
        <v>0.05</v>
      </c>
      <c r="E1086" s="20">
        <v>6.4706250000000001</v>
      </c>
      <c r="F1086" s="27"/>
      <c r="G1086" s="23"/>
      <c r="J1086" s="39" t="str">
        <f t="shared" si="72"/>
        <v>-</v>
      </c>
      <c r="K1086" s="39" t="str">
        <f t="shared" si="73"/>
        <v>-</v>
      </c>
      <c r="L1086" s="40" t="str">
        <f t="shared" si="74"/>
        <v>-</v>
      </c>
      <c r="M1086" s="41" t="str">
        <f t="shared" si="71"/>
        <v>-</v>
      </c>
      <c r="O1086" s="41" t="str">
        <f t="shared" si="75"/>
        <v>-</v>
      </c>
    </row>
    <row r="1087" spans="1:15" x14ac:dyDescent="0.3">
      <c r="A1087" s="4" t="s">
        <v>2182</v>
      </c>
      <c r="B1087" s="3">
        <v>810139574101</v>
      </c>
      <c r="C1087" s="2" t="s">
        <v>2183</v>
      </c>
      <c r="D1087" s="30">
        <v>0.03</v>
      </c>
      <c r="E1087" s="20">
        <v>5.3287500000000003</v>
      </c>
      <c r="F1087" s="27"/>
      <c r="G1087" s="23"/>
      <c r="J1087" s="39" t="str">
        <f t="shared" si="72"/>
        <v>-</v>
      </c>
      <c r="K1087" s="39" t="str">
        <f t="shared" si="73"/>
        <v>-</v>
      </c>
      <c r="L1087" s="40" t="str">
        <f t="shared" si="74"/>
        <v>-</v>
      </c>
      <c r="M1087" s="41" t="str">
        <f t="shared" si="71"/>
        <v>-</v>
      </c>
      <c r="O1087" s="41" t="str">
        <f t="shared" si="75"/>
        <v>-</v>
      </c>
    </row>
    <row r="1088" spans="1:15" x14ac:dyDescent="0.3">
      <c r="A1088" s="4" t="s">
        <v>2184</v>
      </c>
      <c r="B1088" s="3">
        <v>810139574057</v>
      </c>
      <c r="C1088" s="2" t="s">
        <v>2185</v>
      </c>
      <c r="D1088" s="30">
        <v>0.09</v>
      </c>
      <c r="E1088" s="20">
        <v>6.8512500000000003</v>
      </c>
      <c r="F1088" s="27"/>
      <c r="G1088" s="23"/>
      <c r="J1088" s="39" t="str">
        <f t="shared" si="72"/>
        <v>-</v>
      </c>
      <c r="K1088" s="39" t="str">
        <f t="shared" si="73"/>
        <v>-</v>
      </c>
      <c r="L1088" s="40" t="str">
        <f t="shared" si="74"/>
        <v>-</v>
      </c>
      <c r="M1088" s="41" t="str">
        <f t="shared" si="71"/>
        <v>-</v>
      </c>
      <c r="O1088" s="41" t="str">
        <f t="shared" si="75"/>
        <v>-</v>
      </c>
    </row>
    <row r="1089" spans="1:15" x14ac:dyDescent="0.3">
      <c r="A1089" s="4" t="s">
        <v>2186</v>
      </c>
      <c r="B1089" s="3">
        <v>810139574149</v>
      </c>
      <c r="C1089" s="2" t="s">
        <v>2187</v>
      </c>
      <c r="D1089" s="30">
        <v>0.06</v>
      </c>
      <c r="E1089" s="20">
        <v>6.8512500000000003</v>
      </c>
      <c r="F1089" s="27"/>
      <c r="G1089" s="23"/>
      <c r="J1089" s="39" t="str">
        <f t="shared" si="72"/>
        <v>-</v>
      </c>
      <c r="K1089" s="39" t="str">
        <f t="shared" si="73"/>
        <v>-</v>
      </c>
      <c r="L1089" s="40" t="str">
        <f t="shared" si="74"/>
        <v>-</v>
      </c>
      <c r="M1089" s="41" t="str">
        <f t="shared" si="71"/>
        <v>-</v>
      </c>
      <c r="O1089" s="41" t="str">
        <f t="shared" si="75"/>
        <v>-</v>
      </c>
    </row>
    <row r="1090" spans="1:15" x14ac:dyDescent="0.3">
      <c r="A1090" s="4" t="s">
        <v>2188</v>
      </c>
      <c r="B1090" s="3">
        <v>810014677293</v>
      </c>
      <c r="C1090" s="2" t="s">
        <v>2189</v>
      </c>
      <c r="D1090" s="30">
        <v>0.04</v>
      </c>
      <c r="E1090" s="20">
        <v>4.9481250000000001</v>
      </c>
      <c r="F1090" s="27"/>
      <c r="G1090" s="23"/>
      <c r="J1090" s="39" t="str">
        <f t="shared" si="72"/>
        <v>-</v>
      </c>
      <c r="K1090" s="39" t="str">
        <f t="shared" si="73"/>
        <v>-</v>
      </c>
      <c r="L1090" s="40" t="str">
        <f t="shared" si="74"/>
        <v>-</v>
      </c>
      <c r="M1090" s="41" t="str">
        <f t="shared" si="71"/>
        <v>-</v>
      </c>
      <c r="O1090" s="41" t="str">
        <f t="shared" si="75"/>
        <v>-</v>
      </c>
    </row>
    <row r="1091" spans="1:15" x14ac:dyDescent="0.3">
      <c r="A1091" s="4" t="s">
        <v>2190</v>
      </c>
      <c r="B1091" s="3">
        <v>810014677132</v>
      </c>
      <c r="C1091" s="2" t="s">
        <v>2191</v>
      </c>
      <c r="D1091" s="30">
        <v>0.06</v>
      </c>
      <c r="E1091" s="20">
        <v>5.7093749999999996</v>
      </c>
      <c r="F1091" s="27"/>
      <c r="G1091" s="23"/>
      <c r="J1091" s="39" t="str">
        <f t="shared" si="72"/>
        <v>-</v>
      </c>
      <c r="K1091" s="39" t="str">
        <f t="shared" si="73"/>
        <v>-</v>
      </c>
      <c r="L1091" s="40" t="str">
        <f t="shared" si="74"/>
        <v>-</v>
      </c>
      <c r="M1091" s="41" t="str">
        <f t="shared" si="71"/>
        <v>-</v>
      </c>
      <c r="O1091" s="41" t="str">
        <f t="shared" si="75"/>
        <v>-</v>
      </c>
    </row>
    <row r="1092" spans="1:15" x14ac:dyDescent="0.3">
      <c r="A1092" s="4" t="s">
        <v>2192</v>
      </c>
      <c r="B1092" s="3">
        <v>810139574088</v>
      </c>
      <c r="C1092" s="2" t="s">
        <v>2193</v>
      </c>
      <c r="D1092" s="30">
        <v>7.0000000000000007E-2</v>
      </c>
      <c r="E1092" s="20">
        <v>5.3287500000000003</v>
      </c>
      <c r="F1092" s="27"/>
      <c r="G1092" s="23"/>
      <c r="J1092" s="39" t="str">
        <f t="shared" si="72"/>
        <v>-</v>
      </c>
      <c r="K1092" s="39" t="str">
        <f t="shared" si="73"/>
        <v>-</v>
      </c>
      <c r="L1092" s="40" t="str">
        <f t="shared" si="74"/>
        <v>-</v>
      </c>
      <c r="M1092" s="41" t="str">
        <f t="shared" ref="M1092:M1121" si="76">IFERROR(IF($J$2&gt;0, $J$2*L1092, "-"), "-")</f>
        <v>-</v>
      </c>
      <c r="O1092" s="41" t="str">
        <f t="shared" si="75"/>
        <v>-</v>
      </c>
    </row>
    <row r="1093" spans="1:15" x14ac:dyDescent="0.3">
      <c r="A1093" s="4" t="s">
        <v>2194</v>
      </c>
      <c r="B1093" s="3">
        <v>810139574163</v>
      </c>
      <c r="C1093" s="2" t="s">
        <v>2195</v>
      </c>
      <c r="D1093" s="30">
        <v>0.04</v>
      </c>
      <c r="E1093" s="20">
        <v>4.2477749999999999</v>
      </c>
      <c r="F1093" s="27"/>
      <c r="G1093" s="23"/>
      <c r="J1093" s="39" t="str">
        <f t="shared" si="72"/>
        <v>-</v>
      </c>
      <c r="K1093" s="39" t="str">
        <f t="shared" si="73"/>
        <v>-</v>
      </c>
      <c r="L1093" s="40" t="str">
        <f t="shared" si="74"/>
        <v>-</v>
      </c>
      <c r="M1093" s="41" t="str">
        <f t="shared" si="76"/>
        <v>-</v>
      </c>
      <c r="O1093" s="41" t="str">
        <f t="shared" si="75"/>
        <v>-</v>
      </c>
    </row>
    <row r="1094" spans="1:15" x14ac:dyDescent="0.3">
      <c r="A1094" s="4" t="s">
        <v>2196</v>
      </c>
      <c r="B1094" s="3">
        <v>810139574187</v>
      </c>
      <c r="C1094" s="2" t="s">
        <v>2197</v>
      </c>
      <c r="D1094" s="30">
        <v>0.15</v>
      </c>
      <c r="E1094" s="20">
        <v>6.8512500000000003</v>
      </c>
      <c r="F1094" s="27"/>
      <c r="G1094" s="23"/>
      <c r="J1094" s="39" t="str">
        <f t="shared" si="72"/>
        <v>-</v>
      </c>
      <c r="K1094" s="39" t="str">
        <f t="shared" si="73"/>
        <v>-</v>
      </c>
      <c r="L1094" s="40" t="str">
        <f t="shared" si="74"/>
        <v>-</v>
      </c>
      <c r="M1094" s="41" t="str">
        <f t="shared" si="76"/>
        <v>-</v>
      </c>
      <c r="O1094" s="41" t="str">
        <f t="shared" si="75"/>
        <v>-</v>
      </c>
    </row>
    <row r="1095" spans="1:15" x14ac:dyDescent="0.3">
      <c r="A1095" s="4" t="s">
        <v>2198</v>
      </c>
      <c r="B1095" s="3">
        <v>810139574361</v>
      </c>
      <c r="C1095" s="2" t="s">
        <v>2199</v>
      </c>
      <c r="D1095" s="30">
        <v>0.04</v>
      </c>
      <c r="E1095" s="20">
        <v>6.8512500000000003</v>
      </c>
      <c r="F1095" s="27"/>
      <c r="G1095" s="23"/>
      <c r="J1095" s="39" t="str">
        <f t="shared" si="72"/>
        <v>-</v>
      </c>
      <c r="K1095" s="39" t="str">
        <f t="shared" si="73"/>
        <v>-</v>
      </c>
      <c r="L1095" s="40" t="str">
        <f t="shared" si="74"/>
        <v>-</v>
      </c>
      <c r="M1095" s="41" t="str">
        <f t="shared" si="76"/>
        <v>-</v>
      </c>
      <c r="O1095" s="41" t="str">
        <f t="shared" si="75"/>
        <v>-</v>
      </c>
    </row>
    <row r="1096" spans="1:15" x14ac:dyDescent="0.3">
      <c r="A1096" s="4" t="s">
        <v>2200</v>
      </c>
      <c r="B1096" s="3">
        <v>810014677101</v>
      </c>
      <c r="C1096" s="2" t="s">
        <v>2201</v>
      </c>
      <c r="D1096" s="30">
        <v>0.06</v>
      </c>
      <c r="E1096" s="20">
        <v>4.1868750000000006</v>
      </c>
      <c r="F1096" s="27"/>
      <c r="G1096" s="23"/>
      <c r="J1096" s="39" t="str">
        <f t="shared" si="72"/>
        <v>-</v>
      </c>
      <c r="K1096" s="39" t="str">
        <f t="shared" si="73"/>
        <v>-</v>
      </c>
      <c r="L1096" s="40" t="str">
        <f t="shared" si="74"/>
        <v>-</v>
      </c>
      <c r="M1096" s="41" t="str">
        <f t="shared" si="76"/>
        <v>-</v>
      </c>
      <c r="O1096" s="41" t="str">
        <f t="shared" si="75"/>
        <v>-</v>
      </c>
    </row>
    <row r="1097" spans="1:15" x14ac:dyDescent="0.3">
      <c r="A1097" s="4" t="s">
        <v>2202</v>
      </c>
      <c r="B1097" s="3">
        <v>810139574200</v>
      </c>
      <c r="C1097" s="2" t="s">
        <v>2203</v>
      </c>
      <c r="D1097" s="30">
        <v>0.05</v>
      </c>
      <c r="E1097" s="20">
        <v>4.9481250000000001</v>
      </c>
      <c r="F1097" s="27"/>
      <c r="G1097" s="23"/>
      <c r="J1097" s="39" t="str">
        <f t="shared" si="72"/>
        <v>-</v>
      </c>
      <c r="K1097" s="39" t="str">
        <f t="shared" si="73"/>
        <v>-</v>
      </c>
      <c r="L1097" s="40" t="str">
        <f t="shared" si="74"/>
        <v>-</v>
      </c>
      <c r="M1097" s="41" t="str">
        <f t="shared" si="76"/>
        <v>-</v>
      </c>
      <c r="O1097" s="41" t="str">
        <f t="shared" si="75"/>
        <v>-</v>
      </c>
    </row>
    <row r="1098" spans="1:15" x14ac:dyDescent="0.3">
      <c r="A1098" s="4" t="s">
        <v>2204</v>
      </c>
      <c r="B1098" s="3">
        <v>810139574378</v>
      </c>
      <c r="C1098" s="2" t="s">
        <v>2205</v>
      </c>
      <c r="D1098" s="30">
        <v>0.05</v>
      </c>
      <c r="E1098" s="20">
        <v>5.3287500000000003</v>
      </c>
      <c r="F1098" s="27"/>
      <c r="G1098" s="23"/>
      <c r="J1098" s="39" t="str">
        <f t="shared" si="72"/>
        <v>-</v>
      </c>
      <c r="K1098" s="39" t="str">
        <f t="shared" si="73"/>
        <v>-</v>
      </c>
      <c r="L1098" s="40" t="str">
        <f t="shared" si="74"/>
        <v>-</v>
      </c>
      <c r="M1098" s="41" t="str">
        <f t="shared" si="76"/>
        <v>-</v>
      </c>
      <c r="O1098" s="41" t="str">
        <f t="shared" si="75"/>
        <v>-</v>
      </c>
    </row>
    <row r="1099" spans="1:15" x14ac:dyDescent="0.3">
      <c r="A1099" s="4" t="s">
        <v>2206</v>
      </c>
      <c r="B1099" s="3">
        <v>810139574132</v>
      </c>
      <c r="C1099" s="2" t="s">
        <v>2207</v>
      </c>
      <c r="D1099" s="30">
        <v>0.08</v>
      </c>
      <c r="E1099" s="20">
        <v>7.993125</v>
      </c>
      <c r="F1099" s="27"/>
      <c r="G1099" s="23"/>
      <c r="J1099" s="39" t="str">
        <f t="shared" si="72"/>
        <v>-</v>
      </c>
      <c r="K1099" s="39" t="str">
        <f t="shared" si="73"/>
        <v>-</v>
      </c>
      <c r="L1099" s="40" t="str">
        <f t="shared" si="74"/>
        <v>-</v>
      </c>
      <c r="M1099" s="41" t="str">
        <f t="shared" si="76"/>
        <v>-</v>
      </c>
      <c r="O1099" s="41" t="str">
        <f t="shared" si="75"/>
        <v>-</v>
      </c>
    </row>
    <row r="1100" spans="1:15" x14ac:dyDescent="0.3">
      <c r="A1100" s="4" t="s">
        <v>2208</v>
      </c>
      <c r="B1100" s="3">
        <v>810139574194</v>
      </c>
      <c r="C1100" s="2" t="s">
        <v>2209</v>
      </c>
      <c r="D1100" s="30">
        <v>0.05</v>
      </c>
      <c r="E1100" s="20">
        <v>4.9481250000000001</v>
      </c>
      <c r="F1100" s="27"/>
      <c r="G1100" s="23"/>
      <c r="J1100" s="39" t="str">
        <f t="shared" si="72"/>
        <v>-</v>
      </c>
      <c r="K1100" s="39" t="str">
        <f t="shared" si="73"/>
        <v>-</v>
      </c>
      <c r="L1100" s="40" t="str">
        <f t="shared" si="74"/>
        <v>-</v>
      </c>
      <c r="M1100" s="41" t="str">
        <f t="shared" si="76"/>
        <v>-</v>
      </c>
      <c r="O1100" s="41" t="str">
        <f t="shared" si="75"/>
        <v>-</v>
      </c>
    </row>
    <row r="1101" spans="1:15" x14ac:dyDescent="0.3">
      <c r="A1101" s="4" t="s">
        <v>2210</v>
      </c>
      <c r="B1101" s="3">
        <v>810014677262</v>
      </c>
      <c r="C1101" s="2" t="s">
        <v>2211</v>
      </c>
      <c r="D1101" s="30">
        <v>0.17</v>
      </c>
      <c r="E1101" s="20">
        <v>11.038125000000001</v>
      </c>
      <c r="F1101" s="27"/>
      <c r="G1101" s="23"/>
      <c r="J1101" s="39" t="str">
        <f t="shared" si="72"/>
        <v>-</v>
      </c>
      <c r="K1101" s="39" t="str">
        <f t="shared" si="73"/>
        <v>-</v>
      </c>
      <c r="L1101" s="40" t="str">
        <f t="shared" si="74"/>
        <v>-</v>
      </c>
      <c r="M1101" s="41" t="str">
        <f t="shared" si="76"/>
        <v>-</v>
      </c>
      <c r="O1101" s="41" t="str">
        <f t="shared" si="75"/>
        <v>-</v>
      </c>
    </row>
    <row r="1102" spans="1:15" x14ac:dyDescent="0.3">
      <c r="A1102" s="4" t="s">
        <v>2212</v>
      </c>
      <c r="B1102" s="3">
        <v>810139574286</v>
      </c>
      <c r="C1102" s="2" t="s">
        <v>2213</v>
      </c>
      <c r="D1102" s="30">
        <v>0.04</v>
      </c>
      <c r="E1102" s="20">
        <v>7.6124999999999998</v>
      </c>
      <c r="F1102" s="27"/>
      <c r="G1102" s="23"/>
      <c r="J1102" s="39" t="str">
        <f t="shared" si="72"/>
        <v>-</v>
      </c>
      <c r="K1102" s="39" t="str">
        <f t="shared" si="73"/>
        <v>-</v>
      </c>
      <c r="L1102" s="40" t="str">
        <f t="shared" si="74"/>
        <v>-</v>
      </c>
      <c r="M1102" s="41" t="str">
        <f t="shared" si="76"/>
        <v>-</v>
      </c>
      <c r="O1102" s="41" t="str">
        <f t="shared" si="75"/>
        <v>-</v>
      </c>
    </row>
    <row r="1103" spans="1:15" x14ac:dyDescent="0.3">
      <c r="A1103" s="4" t="s">
        <v>2214</v>
      </c>
      <c r="B1103" s="3">
        <v>810014677156</v>
      </c>
      <c r="C1103" s="2" t="s">
        <v>2215</v>
      </c>
      <c r="D1103" s="30">
        <v>0.04</v>
      </c>
      <c r="E1103" s="20">
        <v>5.7093749999999996</v>
      </c>
      <c r="F1103" s="27"/>
      <c r="G1103" s="23"/>
      <c r="J1103" s="39" t="str">
        <f t="shared" si="72"/>
        <v>-</v>
      </c>
      <c r="K1103" s="39" t="str">
        <f t="shared" si="73"/>
        <v>-</v>
      </c>
      <c r="L1103" s="40" t="str">
        <f t="shared" si="74"/>
        <v>-</v>
      </c>
      <c r="M1103" s="41" t="str">
        <f t="shared" si="76"/>
        <v>-</v>
      </c>
      <c r="O1103" s="41" t="str">
        <f t="shared" si="75"/>
        <v>-</v>
      </c>
    </row>
    <row r="1104" spans="1:15" x14ac:dyDescent="0.3">
      <c r="A1104" s="4" t="s">
        <v>2216</v>
      </c>
      <c r="B1104" s="3">
        <v>810014677170</v>
      </c>
      <c r="C1104" s="2" t="s">
        <v>2217</v>
      </c>
      <c r="D1104" s="30">
        <v>0.04</v>
      </c>
      <c r="E1104" s="20">
        <v>4.9481250000000001</v>
      </c>
      <c r="F1104" s="27"/>
      <c r="G1104" s="23"/>
      <c r="J1104" s="39" t="str">
        <f t="shared" si="72"/>
        <v>-</v>
      </c>
      <c r="K1104" s="39" t="str">
        <f t="shared" si="73"/>
        <v>-</v>
      </c>
      <c r="L1104" s="40" t="str">
        <f t="shared" si="74"/>
        <v>-</v>
      </c>
      <c r="M1104" s="41" t="str">
        <f t="shared" si="76"/>
        <v>-</v>
      </c>
      <c r="O1104" s="41" t="str">
        <f t="shared" si="75"/>
        <v>-</v>
      </c>
    </row>
    <row r="1105" spans="1:15" x14ac:dyDescent="0.3">
      <c r="A1105" s="4" t="s">
        <v>2218</v>
      </c>
      <c r="B1105" s="3">
        <v>810139574293</v>
      </c>
      <c r="C1105" s="2" t="s">
        <v>2219</v>
      </c>
      <c r="D1105" s="30">
        <v>0.04</v>
      </c>
      <c r="E1105" s="20">
        <v>5.7093749999999996</v>
      </c>
      <c r="F1105" s="27"/>
      <c r="G1105" s="23"/>
      <c r="J1105" s="39" t="str">
        <f t="shared" si="72"/>
        <v>-</v>
      </c>
      <c r="K1105" s="39" t="str">
        <f t="shared" si="73"/>
        <v>-</v>
      </c>
      <c r="L1105" s="40" t="str">
        <f t="shared" si="74"/>
        <v>-</v>
      </c>
      <c r="M1105" s="41" t="str">
        <f t="shared" si="76"/>
        <v>-</v>
      </c>
      <c r="O1105" s="41" t="str">
        <f t="shared" si="75"/>
        <v>-</v>
      </c>
    </row>
    <row r="1106" spans="1:15" x14ac:dyDescent="0.3">
      <c r="A1106" s="4" t="s">
        <v>2220</v>
      </c>
      <c r="B1106" s="3">
        <v>810139574026</v>
      </c>
      <c r="C1106" s="2" t="s">
        <v>2221</v>
      </c>
      <c r="D1106" s="30">
        <v>0.13</v>
      </c>
      <c r="E1106" s="20">
        <v>9.8962500000000002</v>
      </c>
      <c r="F1106" s="27"/>
      <c r="G1106" s="23"/>
      <c r="J1106" s="39" t="str">
        <f t="shared" si="72"/>
        <v>-</v>
      </c>
      <c r="K1106" s="39" t="str">
        <f t="shared" si="73"/>
        <v>-</v>
      </c>
      <c r="L1106" s="40" t="str">
        <f t="shared" si="74"/>
        <v>-</v>
      </c>
      <c r="M1106" s="41" t="str">
        <f t="shared" si="76"/>
        <v>-</v>
      </c>
      <c r="O1106" s="41" t="str">
        <f t="shared" si="75"/>
        <v>-</v>
      </c>
    </row>
    <row r="1107" spans="1:15" x14ac:dyDescent="0.3">
      <c r="A1107" s="4" t="s">
        <v>2222</v>
      </c>
      <c r="B1107" s="3">
        <v>810139574170</v>
      </c>
      <c r="C1107" s="2" t="s">
        <v>2223</v>
      </c>
      <c r="D1107" s="30">
        <v>0.09</v>
      </c>
      <c r="E1107" s="20">
        <v>6.8512500000000003</v>
      </c>
      <c r="F1107" s="27"/>
      <c r="G1107" s="23"/>
      <c r="J1107" s="39" t="str">
        <f t="shared" si="72"/>
        <v>-</v>
      </c>
      <c r="K1107" s="39" t="str">
        <f t="shared" si="73"/>
        <v>-</v>
      </c>
      <c r="L1107" s="40" t="str">
        <f t="shared" si="74"/>
        <v>-</v>
      </c>
      <c r="M1107" s="41" t="str">
        <f t="shared" si="76"/>
        <v>-</v>
      </c>
      <c r="O1107" s="41" t="str">
        <f t="shared" si="75"/>
        <v>-</v>
      </c>
    </row>
    <row r="1108" spans="1:15" x14ac:dyDescent="0.3">
      <c r="A1108" s="4" t="s">
        <v>2224</v>
      </c>
      <c r="B1108" s="3">
        <v>810139574125</v>
      </c>
      <c r="C1108" s="2" t="s">
        <v>2225</v>
      </c>
      <c r="D1108" s="30">
        <v>0.09</v>
      </c>
      <c r="E1108" s="20">
        <v>14.463749999999999</v>
      </c>
      <c r="F1108" s="27"/>
      <c r="G1108" s="23"/>
      <c r="J1108" s="39" t="str">
        <f t="shared" si="72"/>
        <v>-</v>
      </c>
      <c r="K1108" s="39" t="str">
        <f t="shared" si="73"/>
        <v>-</v>
      </c>
      <c r="L1108" s="40" t="str">
        <f t="shared" si="74"/>
        <v>-</v>
      </c>
      <c r="M1108" s="41" t="str">
        <f t="shared" si="76"/>
        <v>-</v>
      </c>
      <c r="O1108" s="41" t="str">
        <f t="shared" si="75"/>
        <v>-</v>
      </c>
    </row>
    <row r="1109" spans="1:15" x14ac:dyDescent="0.3">
      <c r="A1109" s="4" t="s">
        <v>2226</v>
      </c>
      <c r="B1109" s="3">
        <v>810139574217</v>
      </c>
      <c r="C1109" s="2" t="s">
        <v>2227</v>
      </c>
      <c r="D1109" s="30">
        <v>0.21</v>
      </c>
      <c r="E1109" s="20">
        <v>26.643750000000001</v>
      </c>
      <c r="F1109" s="27"/>
      <c r="G1109" s="23"/>
      <c r="J1109" s="39" t="str">
        <f t="shared" si="72"/>
        <v>-</v>
      </c>
      <c r="K1109" s="39" t="str">
        <f t="shared" si="73"/>
        <v>-</v>
      </c>
      <c r="L1109" s="40" t="str">
        <f t="shared" si="74"/>
        <v>-</v>
      </c>
      <c r="M1109" s="41" t="str">
        <f t="shared" si="76"/>
        <v>-</v>
      </c>
      <c r="O1109" s="41" t="str">
        <f t="shared" si="75"/>
        <v>-</v>
      </c>
    </row>
    <row r="1110" spans="1:15" x14ac:dyDescent="0.3">
      <c r="A1110" s="4" t="s">
        <v>2228</v>
      </c>
      <c r="B1110" s="3">
        <v>810014677255</v>
      </c>
      <c r="C1110" s="2" t="s">
        <v>2229</v>
      </c>
      <c r="D1110" s="30">
        <v>0.04</v>
      </c>
      <c r="E1110" s="20">
        <v>6.4706250000000001</v>
      </c>
      <c r="F1110" s="27"/>
      <c r="G1110" s="23"/>
      <c r="J1110" s="39" t="str">
        <f t="shared" si="72"/>
        <v>-</v>
      </c>
      <c r="K1110" s="39" t="str">
        <f t="shared" si="73"/>
        <v>-</v>
      </c>
      <c r="L1110" s="40" t="str">
        <f t="shared" si="74"/>
        <v>-</v>
      </c>
      <c r="M1110" s="41" t="str">
        <f t="shared" si="76"/>
        <v>-</v>
      </c>
      <c r="O1110" s="41" t="str">
        <f t="shared" si="75"/>
        <v>-</v>
      </c>
    </row>
    <row r="1111" spans="1:15" x14ac:dyDescent="0.3">
      <c r="A1111" s="4" t="s">
        <v>2230</v>
      </c>
      <c r="B1111" s="3">
        <v>810139574156</v>
      </c>
      <c r="C1111" s="2" t="s">
        <v>2231</v>
      </c>
      <c r="D1111" s="30">
        <v>0.03</v>
      </c>
      <c r="E1111" s="20">
        <v>7.6124999999999998</v>
      </c>
      <c r="F1111" s="27"/>
      <c r="G1111" s="23"/>
      <c r="J1111" s="39" t="str">
        <f t="shared" si="72"/>
        <v>-</v>
      </c>
      <c r="K1111" s="39" t="str">
        <f t="shared" si="73"/>
        <v>-</v>
      </c>
      <c r="L1111" s="40" t="str">
        <f t="shared" si="74"/>
        <v>-</v>
      </c>
      <c r="M1111" s="41" t="str">
        <f t="shared" si="76"/>
        <v>-</v>
      </c>
      <c r="O1111" s="41" t="str">
        <f t="shared" si="75"/>
        <v>-</v>
      </c>
    </row>
    <row r="1112" spans="1:15" x14ac:dyDescent="0.3">
      <c r="A1112" s="4" t="s">
        <v>2232</v>
      </c>
      <c r="B1112" s="3">
        <v>810014677286</v>
      </c>
      <c r="C1112" s="2" t="s">
        <v>2233</v>
      </c>
      <c r="D1112" s="30">
        <v>0.03</v>
      </c>
      <c r="E1112" s="20">
        <v>4.9481250000000001</v>
      </c>
      <c r="F1112" s="27"/>
      <c r="G1112" s="23"/>
      <c r="J1112" s="39" t="str">
        <f t="shared" si="72"/>
        <v>-</v>
      </c>
      <c r="K1112" s="39" t="str">
        <f t="shared" si="73"/>
        <v>-</v>
      </c>
      <c r="L1112" s="40" t="str">
        <f t="shared" si="74"/>
        <v>-</v>
      </c>
      <c r="M1112" s="41" t="str">
        <f t="shared" si="76"/>
        <v>-</v>
      </c>
      <c r="O1112" s="41" t="str">
        <f t="shared" si="75"/>
        <v>-</v>
      </c>
    </row>
    <row r="1113" spans="1:15" x14ac:dyDescent="0.3">
      <c r="A1113" s="4" t="s">
        <v>2234</v>
      </c>
      <c r="B1113" s="3">
        <v>810014677279</v>
      </c>
      <c r="C1113" s="2" t="s">
        <v>2235</v>
      </c>
      <c r="D1113" s="30">
        <v>0.05</v>
      </c>
      <c r="E1113" s="20">
        <v>6.8512500000000003</v>
      </c>
      <c r="F1113" s="27"/>
      <c r="G1113" s="23"/>
      <c r="J1113" s="39" t="str">
        <f t="shared" si="72"/>
        <v>-</v>
      </c>
      <c r="K1113" s="39" t="str">
        <f t="shared" si="73"/>
        <v>-</v>
      </c>
      <c r="L1113" s="40" t="str">
        <f t="shared" si="74"/>
        <v>-</v>
      </c>
      <c r="M1113" s="41" t="str">
        <f t="shared" si="76"/>
        <v>-</v>
      </c>
      <c r="O1113" s="41" t="str">
        <f t="shared" si="75"/>
        <v>-</v>
      </c>
    </row>
    <row r="1114" spans="1:15" x14ac:dyDescent="0.3">
      <c r="A1114" s="4" t="s">
        <v>2236</v>
      </c>
      <c r="B1114" s="3">
        <v>810139574347</v>
      </c>
      <c r="C1114" s="2" t="s">
        <v>2237</v>
      </c>
      <c r="D1114" s="30">
        <v>0.08</v>
      </c>
      <c r="E1114" s="20">
        <v>12.94125</v>
      </c>
      <c r="F1114" s="27"/>
      <c r="G1114" s="23"/>
      <c r="J1114" s="39" t="str">
        <f t="shared" si="72"/>
        <v>-</v>
      </c>
      <c r="K1114" s="39" t="str">
        <f t="shared" si="73"/>
        <v>-</v>
      </c>
      <c r="L1114" s="40" t="str">
        <f t="shared" si="74"/>
        <v>-</v>
      </c>
      <c r="M1114" s="41" t="str">
        <f t="shared" si="76"/>
        <v>-</v>
      </c>
      <c r="O1114" s="41" t="str">
        <f t="shared" si="75"/>
        <v>-</v>
      </c>
    </row>
    <row r="1115" spans="1:15" x14ac:dyDescent="0.3">
      <c r="A1115" s="4" t="s">
        <v>2238</v>
      </c>
      <c r="B1115" s="3">
        <v>810139574231</v>
      </c>
      <c r="C1115" s="2" t="s">
        <v>2239</v>
      </c>
      <c r="D1115" s="30">
        <v>0.09</v>
      </c>
      <c r="E1115" s="20">
        <v>8.7543750000000014</v>
      </c>
      <c r="F1115" s="27"/>
      <c r="G1115" s="23"/>
      <c r="J1115" s="39" t="str">
        <f t="shared" si="72"/>
        <v>-</v>
      </c>
      <c r="K1115" s="39" t="str">
        <f t="shared" si="73"/>
        <v>-</v>
      </c>
      <c r="L1115" s="40" t="str">
        <f t="shared" si="74"/>
        <v>-</v>
      </c>
      <c r="M1115" s="41" t="str">
        <f t="shared" si="76"/>
        <v>-</v>
      </c>
      <c r="O1115" s="41" t="str">
        <f t="shared" si="75"/>
        <v>-</v>
      </c>
    </row>
    <row r="1116" spans="1:15" x14ac:dyDescent="0.3">
      <c r="A1116" s="4" t="s">
        <v>2240</v>
      </c>
      <c r="B1116" s="3">
        <v>810139575412</v>
      </c>
      <c r="C1116" s="2" t="s">
        <v>2241</v>
      </c>
      <c r="D1116" s="30">
        <v>0.04</v>
      </c>
      <c r="E1116" s="20">
        <v>6.09</v>
      </c>
      <c r="F1116" s="27"/>
      <c r="G1116" s="23"/>
      <c r="J1116" s="39" t="str">
        <f t="shared" si="72"/>
        <v>-</v>
      </c>
      <c r="K1116" s="39" t="str">
        <f t="shared" si="73"/>
        <v>-</v>
      </c>
      <c r="L1116" s="40" t="str">
        <f t="shared" si="74"/>
        <v>-</v>
      </c>
      <c r="M1116" s="41" t="str">
        <f t="shared" si="76"/>
        <v>-</v>
      </c>
      <c r="O1116" s="41" t="str">
        <f t="shared" si="75"/>
        <v>-</v>
      </c>
    </row>
    <row r="1117" spans="1:15" x14ac:dyDescent="0.3">
      <c r="A1117" s="4" t="s">
        <v>2242</v>
      </c>
      <c r="B1117" s="3">
        <v>810139575405</v>
      </c>
      <c r="C1117" s="2" t="s">
        <v>2243</v>
      </c>
      <c r="D1117" s="30">
        <v>0.04</v>
      </c>
      <c r="E1117" s="20">
        <v>6.8512500000000003</v>
      </c>
      <c r="F1117" s="27"/>
      <c r="G1117" s="23"/>
      <c r="J1117" s="39" t="str">
        <f t="shared" si="72"/>
        <v>-</v>
      </c>
      <c r="K1117" s="39" t="str">
        <f t="shared" si="73"/>
        <v>-</v>
      </c>
      <c r="L1117" s="40" t="str">
        <f t="shared" si="74"/>
        <v>-</v>
      </c>
      <c r="M1117" s="41" t="str">
        <f t="shared" si="76"/>
        <v>-</v>
      </c>
      <c r="O1117" s="41" t="str">
        <f t="shared" si="75"/>
        <v>-</v>
      </c>
    </row>
    <row r="1118" spans="1:15" x14ac:dyDescent="0.3">
      <c r="A1118" s="4" t="s">
        <v>2244</v>
      </c>
      <c r="B1118" s="3">
        <v>810139576037</v>
      </c>
      <c r="C1118" s="2" t="s">
        <v>2245</v>
      </c>
      <c r="D1118" s="30">
        <v>7.0000000000000007E-2</v>
      </c>
      <c r="E1118" s="20">
        <v>7.6124999999999998</v>
      </c>
      <c r="F1118" s="27"/>
      <c r="G1118" s="23"/>
      <c r="J1118" s="39" t="str">
        <f t="shared" si="72"/>
        <v>-</v>
      </c>
      <c r="K1118" s="39" t="str">
        <f t="shared" si="73"/>
        <v>-</v>
      </c>
      <c r="L1118" s="40" t="str">
        <f t="shared" si="74"/>
        <v>-</v>
      </c>
      <c r="M1118" s="41" t="str">
        <f t="shared" si="76"/>
        <v>-</v>
      </c>
      <c r="O1118" s="41" t="str">
        <f t="shared" si="75"/>
        <v>-</v>
      </c>
    </row>
    <row r="1119" spans="1:15" x14ac:dyDescent="0.3">
      <c r="A1119" s="4" t="s">
        <v>2246</v>
      </c>
      <c r="B1119" s="3">
        <v>810014675657</v>
      </c>
      <c r="C1119" s="2" t="s">
        <v>2247</v>
      </c>
      <c r="D1119" s="30">
        <v>0.23</v>
      </c>
      <c r="E1119" s="20">
        <v>17.508750000000003</v>
      </c>
      <c r="F1119" s="27"/>
      <c r="G1119" s="23"/>
      <c r="J1119" s="39" t="str">
        <f t="shared" si="72"/>
        <v>-</v>
      </c>
      <c r="K1119" s="39" t="str">
        <f t="shared" si="73"/>
        <v>-</v>
      </c>
      <c r="L1119" s="40" t="str">
        <f t="shared" si="74"/>
        <v>-</v>
      </c>
      <c r="M1119" s="41" t="str">
        <f t="shared" si="76"/>
        <v>-</v>
      </c>
      <c r="O1119" s="41" t="str">
        <f t="shared" si="75"/>
        <v>-</v>
      </c>
    </row>
    <row r="1120" spans="1:15" x14ac:dyDescent="0.3">
      <c r="A1120" s="4" t="s">
        <v>2248</v>
      </c>
      <c r="B1120" s="3">
        <v>810139578291</v>
      </c>
      <c r="C1120" s="2" t="s">
        <v>2249</v>
      </c>
      <c r="D1120" s="30">
        <v>2.65</v>
      </c>
      <c r="E1120" s="20">
        <v>60.9</v>
      </c>
      <c r="F1120" s="27"/>
      <c r="G1120" s="23"/>
      <c r="J1120" s="39" t="str">
        <f t="shared" si="72"/>
        <v>-</v>
      </c>
      <c r="K1120" s="39" t="str">
        <f t="shared" si="73"/>
        <v>-</v>
      </c>
      <c r="L1120" s="40" t="str">
        <f t="shared" si="74"/>
        <v>-</v>
      </c>
      <c r="M1120" s="41" t="str">
        <f t="shared" si="76"/>
        <v>-</v>
      </c>
      <c r="O1120" s="41" t="str">
        <f t="shared" si="75"/>
        <v>-</v>
      </c>
    </row>
    <row r="1121" spans="1:15" ht="15" thickBot="1" x14ac:dyDescent="0.35">
      <c r="A1121" s="5" t="s">
        <v>1697</v>
      </c>
      <c r="B1121" s="6">
        <v>810139578284</v>
      </c>
      <c r="C1121" s="7" t="s">
        <v>1698</v>
      </c>
      <c r="D1121" s="46">
        <v>2.92</v>
      </c>
      <c r="E1121" s="21">
        <v>60.9</v>
      </c>
      <c r="F1121" s="28"/>
      <c r="G1121" s="24"/>
      <c r="J1121" s="39" t="str">
        <f t="shared" si="72"/>
        <v>-</v>
      </c>
      <c r="K1121" s="39" t="str">
        <f t="shared" si="73"/>
        <v>-</v>
      </c>
      <c r="L1121" s="40" t="str">
        <f t="shared" si="74"/>
        <v>-</v>
      </c>
      <c r="M1121" s="41" t="str">
        <f t="shared" si="76"/>
        <v>-</v>
      </c>
      <c r="O1121" s="41" t="str">
        <f t="shared" si="75"/>
        <v>-</v>
      </c>
    </row>
  </sheetData>
  <sheetProtection algorithmName="SHA-512" hashValue="bTo8loy8ATK3u6Cug/uoI8Wyp3yneppNG3sBGFK7VBC/xXNbOgdu+r+2kM/yo56882p3Nm6jBuDliMfl3wcTBA==" saltValue="tEmm/1ZQ2kH3bE33wQUFCQ==" spinCount="100000" sheet="1" formatCells="0" formatColumns="0" formatRows="0" insertColumns="0" insertRows="0" insertHyperlinks="0" deleteColumns="0" deleteRows="0" sort="0" autoFilter="0" pivotTables="0"/>
  <autoFilter ref="A2:G807" xr:uid="{74C84606-5CD1-4537-947F-CAE145D9DA70}"/>
  <mergeCells count="2">
    <mergeCell ref="A1:G1"/>
    <mergeCell ref="K1:K2"/>
  </mergeCells>
  <conditionalFormatting sqref="O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(Nutricost)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 EMP</dc:creator>
  <cp:lastModifiedBy>Денис Хомик</cp:lastModifiedBy>
  <dcterms:created xsi:type="dcterms:W3CDTF">2024-04-03T23:15:10Z</dcterms:created>
  <dcterms:modified xsi:type="dcterms:W3CDTF">2026-01-02T09:22:21Z</dcterms:modified>
</cp:coreProperties>
</file>