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er\Desktop\Prices\California Gold\Продаж\"/>
    </mc:Choice>
  </mc:AlternateContent>
  <xr:revisionPtr revIDLastSave="0" documentId="13_ncr:1_{43A28EB9-C041-43FA-9F14-B76193817157}" xr6:coauthVersionLast="47" xr6:coauthVersionMax="47" xr10:uidLastSave="{00000000-0000-0000-0000-000000000000}"/>
  <bookViews>
    <workbookView xWindow="-168" yWindow="108" windowWidth="20352" windowHeight="12240" xr2:uid="{00000000-000D-0000-FFFF-FFFF00000000}"/>
  </bookViews>
  <sheets>
    <sheet name="DSN GROUP (California Gold)" sheetId="8" r:id="rId1"/>
  </sheets>
  <definedNames>
    <definedName name="_xlnm._FilterDatabase" localSheetId="0" hidden="1">'DSN GROUP (California Gold)'!#REF!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L2" i="8" l="1"/>
</calcChain>
</file>

<file path=xl/sharedStrings.xml><?xml version="1.0" encoding="utf-8"?>
<sst xmlns="http://schemas.openxmlformats.org/spreadsheetml/2006/main" count="347" uniqueCount="180">
  <si>
    <t>UPC</t>
  </si>
  <si>
    <t>DESCRIPTION</t>
  </si>
  <si>
    <t>CGN00956</t>
  </si>
  <si>
    <t>Silymarin Complex, Milk Thistle Extract Plus Dandelion, Artichoke, Curcumin C3 Complex®, Ginger, and BioPerine®, 120 Veggie Capsules</t>
  </si>
  <si>
    <t>CGN01920</t>
  </si>
  <si>
    <t>NMN, 175 mg, 60 Veggie Capsules</t>
  </si>
  <si>
    <t>Bone, Joint &amp; Cartilage</t>
  </si>
  <si>
    <t>CGN01033</t>
  </si>
  <si>
    <t>CollagenUP, Hydrolyzed Marine Collagen Peptides with Hyaluronic Acid and Vitamin C, Unflavored, 7.26 oz (206 g)</t>
  </si>
  <si>
    <t>CGN01032</t>
  </si>
  <si>
    <t>CGN01251</t>
  </si>
  <si>
    <t>CGN01266</t>
  </si>
  <si>
    <t>CGN01807</t>
  </si>
  <si>
    <t>CGN00963</t>
  </si>
  <si>
    <t>LactoBif 5 Probiotics, 5 Billion CFU, 60 Veggie Capsules</t>
  </si>
  <si>
    <t>CGN00965</t>
  </si>
  <si>
    <t>CGN01053</t>
  </si>
  <si>
    <t>CGN01064</t>
  </si>
  <si>
    <t>CGN01167</t>
  </si>
  <si>
    <t>CGN00931</t>
  </si>
  <si>
    <t>Gold C, USP Grade Vitamin C, 1,000 mg, 60 Veggie Capsules</t>
  </si>
  <si>
    <t>CGN00932</t>
  </si>
  <si>
    <t>Gold C, USP Grade Vitamin C, 1,000 mg, 240 Veggie Capsules</t>
  </si>
  <si>
    <t>CGN01196</t>
  </si>
  <si>
    <t>Vitamin D3 Gummies, No Gelatin, No Gluten, Mixed Berry &amp; Fruit Flavors, 25 mcg (1,000 IU), 90 Gummies</t>
  </si>
  <si>
    <t>CGN01180</t>
  </si>
  <si>
    <t>Vitamin D3, 50 mcg (2,000 IU), 360 Fish Gelatin Softgels</t>
  </si>
  <si>
    <t>CGN01065</t>
  </si>
  <si>
    <t>Vitamin D3, 125 mcg (5,000 IU), 90 Fish Gelatin Softgels</t>
  </si>
  <si>
    <t>CGN01066</t>
  </si>
  <si>
    <t>Vitamin D3, 125 mcg (5,000 IU), 360 Fish Gelatin Softgels</t>
  </si>
  <si>
    <t>CGN01179</t>
  </si>
  <si>
    <t>CGN01330</t>
  </si>
  <si>
    <t>CGN01236</t>
  </si>
  <si>
    <t>CGN01175</t>
  </si>
  <si>
    <t>CGN01178</t>
  </si>
  <si>
    <t>CGN01237</t>
  </si>
  <si>
    <t>CGN01104</t>
  </si>
  <si>
    <t>CGN01990</t>
  </si>
  <si>
    <t>PART #</t>
  </si>
  <si>
    <t>CATEGORY</t>
  </si>
  <si>
    <t>Hydrolyzed Collagen Peptides + Vitamin C, Type I &amp; III, 250 Tablets</t>
  </si>
  <si>
    <t>CGN01203</t>
  </si>
  <si>
    <t>Buffered Gold C, GOLD Standard Sodium Ascorbate (Vitamin C), 750 mg, 240 Veggie Capsules</t>
  </si>
  <si>
    <t>CGN01378</t>
  </si>
  <si>
    <t>Silymarin Complex, Milk Thistle Extract Plus Dandelion, Artichoke, Curcumin C3 Complex, Ginger, and BioPerine, 360 Veggie Capsules</t>
  </si>
  <si>
    <t>Herbs</t>
  </si>
  <si>
    <t>Digestive Support</t>
  </si>
  <si>
    <t>Antioxidants</t>
  </si>
  <si>
    <t>Bee Products</t>
  </si>
  <si>
    <t>Amino Acids</t>
  </si>
  <si>
    <t>Protein</t>
  </si>
  <si>
    <t>Greens &amp; Superfoods</t>
  </si>
  <si>
    <t>Organic Spirulina, 500 mg, 60 Tablets</t>
  </si>
  <si>
    <t>Vitamin D3, 50 mcg (2,000 IU), 90 Fish Gelatin Softgels</t>
  </si>
  <si>
    <t>Buffered Gold C, GOLD Standard Sodium Ascorbate (Vitamin C), 750 mg, 60 Veggie Capsules</t>
  </si>
  <si>
    <t>CGN01904</t>
  </si>
  <si>
    <t>Multivitamin and Mineral, Two-A-Day, 60 Veggie Capsules</t>
  </si>
  <si>
    <t>CGN02101</t>
  </si>
  <si>
    <t>TBD</t>
  </si>
  <si>
    <t>CGN01109</t>
  </si>
  <si>
    <t>CGN02332</t>
  </si>
  <si>
    <t>CGN02333</t>
  </si>
  <si>
    <t>Vitamin D3 + K2, 60 Veggie Capsules</t>
  </si>
  <si>
    <t>Vitamin D3 + K2, 180 Veggie Capsules</t>
  </si>
  <si>
    <t>Order</t>
  </si>
  <si>
    <t>Total</t>
  </si>
  <si>
    <t>Price</t>
  </si>
  <si>
    <r>
      <rPr>
        <b/>
        <sz val="11"/>
        <color rgb="FFFF0000"/>
        <rFont val="Arial"/>
        <family val="2"/>
        <charset val="204"/>
      </rPr>
      <t>Importantly!</t>
    </r>
    <r>
      <rPr>
        <sz val="11"/>
        <color theme="1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</si>
  <si>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</si>
  <si>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</si>
  <si>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</si>
  <si>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</si>
  <si>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</si>
  <si>
    <t>Weight, kg</t>
  </si>
  <si>
    <t>17.03.2025</t>
  </si>
  <si>
    <t>Will be available for export in Q2, 2025</t>
  </si>
  <si>
    <t>Fish Oil &amp; Omegas (EPA DHA)</t>
  </si>
  <si>
    <t>Multivitamin</t>
  </si>
  <si>
    <t>Vitamins</t>
  </si>
  <si>
    <t>Minerals</t>
  </si>
  <si>
    <t>Muscle Builders</t>
  </si>
  <si>
    <t>Weight Management</t>
  </si>
  <si>
    <t>Mushrooms</t>
  </si>
  <si>
    <t>Tea</t>
  </si>
  <si>
    <t>MLI00952</t>
  </si>
  <si>
    <t>CGN01344</t>
  </si>
  <si>
    <t>CGN02335</t>
  </si>
  <si>
    <t>CGN02484</t>
  </si>
  <si>
    <t>CGN01059</t>
  </si>
  <si>
    <t>CGN02283</t>
  </si>
  <si>
    <t>CGN01204</t>
  </si>
  <si>
    <t>CGN01205</t>
  </si>
  <si>
    <t>CGN01202</t>
  </si>
  <si>
    <t>CGN02417</t>
  </si>
  <si>
    <t>CGN01898</t>
  </si>
  <si>
    <t>CGN01144</t>
  </si>
  <si>
    <t>CGN01590</t>
  </si>
  <si>
    <t>CGN01130</t>
  </si>
  <si>
    <t>CGN01132</t>
  </si>
  <si>
    <t>CGN01126</t>
  </si>
  <si>
    <t>CGN01241</t>
  </si>
  <si>
    <t>CGN02437</t>
  </si>
  <si>
    <t>CGN01278</t>
  </si>
  <si>
    <t>CGN02436</t>
  </si>
  <si>
    <t>CGN01362</t>
  </si>
  <si>
    <t>CGN01176</t>
  </si>
  <si>
    <t>CGN01213</t>
  </si>
  <si>
    <t>CGN00953</t>
  </si>
  <si>
    <t>CGN00954</t>
  </si>
  <si>
    <t>CGN01173</t>
  </si>
  <si>
    <t>CGN01566</t>
  </si>
  <si>
    <t>CGN01567</t>
  </si>
  <si>
    <t>CGN01796</t>
  </si>
  <si>
    <t>CGN02386</t>
  </si>
  <si>
    <t>CGN02387</t>
  </si>
  <si>
    <t>CGN02382</t>
  </si>
  <si>
    <t>CGN02383</t>
  </si>
  <si>
    <t>CGN02384</t>
  </si>
  <si>
    <t>CGN01310</t>
  </si>
  <si>
    <t>N/A</t>
  </si>
  <si>
    <t>Omega-3 Premium Fish Oil, 100 Fish Gelatin Softgels</t>
  </si>
  <si>
    <t>Omega-3, Premium Fish Oil, 240 Fish Gelatin Softgels</t>
  </si>
  <si>
    <t>Omega 800 Ultra-Concentrated Omega-3 Fish Oil, kd-pur Triglyceride Form, 1,000 mg, 30 Fish Gelatin Softgels</t>
  </si>
  <si>
    <t>Omega 800 Ultra-Concentrated Omega-3 Fish Oil, kd-pur Triglyceride Form, 1,000 mg, 90 Fish Gelatin Softgels</t>
  </si>
  <si>
    <t>LactoBif 30 Probiotics, 30 Billion CFU, 60 Veggie Capsules</t>
  </si>
  <si>
    <t>LactoBif® 65 Probiotics, 65 Billion CFU, 30 Veggie Capsules</t>
  </si>
  <si>
    <t>CollagenUP®, Hydrolyzed Marine Collagen Peptides with Hyaluronic Acid and Vitamin C, Unflavored, 1.02 lb (464 g)</t>
  </si>
  <si>
    <t>CollagenUP®, Hydrolyzed Marine Collagen Peptides with Hyaluronic Acid and Vitamin C, Unflavored, 2.2 lb (1 kg)</t>
  </si>
  <si>
    <t>CollagenUP, Hydrolyzed Marine Collagen Peptides with Hyaluronic Acid and Vitamin C, Unflavored, 10 Packets, 0.18 oz (5 g) Each</t>
  </si>
  <si>
    <t>NMN, 175 mg , 180 Veggie Capsules</t>
  </si>
  <si>
    <t>Triple Magnesium Complex, 120 Veggie Capsules</t>
  </si>
  <si>
    <t>Sport, Creatine Monohydrate, Unflavored, 1 lb (454 g)</t>
  </si>
  <si>
    <t>Sport, Creatine, 240 Veggie Capsules</t>
  </si>
  <si>
    <t>Sport, Whey Protein Isolate, Unflavored, 1 lb (454 g)</t>
  </si>
  <si>
    <t>Sport, Whey Protein Isolate, Very Vanilla , 2 lb (907 g)</t>
  </si>
  <si>
    <t>Sport, Whey Protein Isolate, Very Vanilla, 5 lb (2.27 kg)</t>
  </si>
  <si>
    <t>Sport, Whey Protein Isolate, Unflavored, 5 lb (2.27 kg)</t>
  </si>
  <si>
    <t>Sport, Dark Chocolate Whey Protein Isolate, 5 lb (2.27 kg)</t>
  </si>
  <si>
    <t>Sport, Dark Chocolate Whey Protein Isolate, 2 lb (907 g)</t>
  </si>
  <si>
    <t>Vitamin K, 120 mcg, 60 Veggie Capsules</t>
  </si>
  <si>
    <t>L-Glutathione (Reduced), 500 mg, 120 Veggie Capsules</t>
  </si>
  <si>
    <t>CurcuminUP, 30 Fish Gelatin Softgels</t>
  </si>
  <si>
    <t>CurcuminUP™, 90 Fish Gelatin Softgels</t>
  </si>
  <si>
    <t>L-Cysteine, AjiPure®, 500 mg, 60 Veggie Capsules</t>
  </si>
  <si>
    <t>L-Lysine, 500 mg, 60 Veggie Capsules</t>
  </si>
  <si>
    <t>L-Arginine, 500 mg , 60 Veggie Capsules</t>
  </si>
  <si>
    <t>TheanineUP™, L-Theanine &amp; Caffeine plus Cocoa &amp; Matcha , 60 Veggie Capsules</t>
  </si>
  <si>
    <t>Rexdrive Amino, Men's Formula, 60 Veggie Capsules</t>
  </si>
  <si>
    <t>EuroHerbs™, Ginkgo Biloba Extract, Euromed Quality, 120 mg, 60 Veggie Capsules</t>
  </si>
  <si>
    <t>EuroHerbs™, Ginkgo Biloba Extract, Euromed Quality, 120 mg, 180 Veggie Capsules</t>
  </si>
  <si>
    <t>Rexdrive™ Herbal, Men's Formula, 30 Veggie Capsules</t>
  </si>
  <si>
    <t>Organic Spirulina, 500 mg, 240 Tablets</t>
  </si>
  <si>
    <t>Organic Spirulina, 500 mg, 720 Tablets</t>
  </si>
  <si>
    <t>Superfoods, Organic Beet Juice Powder, 8.5 oz (240 g)</t>
  </si>
  <si>
    <t>Royal Jelly, 500 mg, 30 Veggie Caps</t>
  </si>
  <si>
    <t>Royal Jelly, 500 mg, 120 Veggie Capsules</t>
  </si>
  <si>
    <t>5-HTP, Mood Support, Griffonia Simplicifolia Extract from Switzerland, 100 mg, 90 Veggie Capsules</t>
  </si>
  <si>
    <t>Epicor®, Dried Yeast Fermentate, 500 mg, 120 Veggie Capsules</t>
  </si>
  <si>
    <t>EpiCor®, Dried Yeast Fermentate, 500 mg, 30 Veggie Capsules</t>
  </si>
  <si>
    <t>Beta Glucan 1,3D with BetaImmuneShield™, 125 mg, 120 Veggie Capsules</t>
  </si>
  <si>
    <t>Fungiology®, Certified Organic Chaga Powder, 4.2 oz (120 g)</t>
  </si>
  <si>
    <t>Fungiology®, Certified Organic Turkey Tail Powder, 4.2 oz (120 g)</t>
  </si>
  <si>
    <t>Fungiology®, Certified Organic Maitake Powder, 4.2 oz (120 g)</t>
  </si>
  <si>
    <t>Fungiology®, Certified Organic Agaricus Powder, 4.2 oz (120 g)</t>
  </si>
  <si>
    <t>Fungiology®, Certified Organic Shiitake Powder, 4.2 oz (120 g)</t>
  </si>
  <si>
    <t>Superfoods, Organic Matcha Green Tea Powder, 4 oz (114 g)</t>
  </si>
  <si>
    <t>LactoBif® 100 Probiotics, 100 Billion CFU, 30 Veggie Capsules</t>
  </si>
  <si>
    <t>Astaxanthin, Astaliff® Pure Icelandic, 12 mg, 120 Veggie Softgels</t>
  </si>
  <si>
    <t>Premium Krill Oil with SUPERBABoost, 1,000 mg, 60 Fish Gelatin Softgels</t>
  </si>
  <si>
    <t>Units Per Case</t>
  </si>
  <si>
    <t>Shelf Life</t>
  </si>
  <si>
    <t>3 Years</t>
  </si>
  <si>
    <t>2 Years</t>
  </si>
  <si>
    <t>18 Months</t>
  </si>
  <si>
    <t>Will be available for export in Q2, 2026</t>
  </si>
  <si>
    <t>Will be available for export in Q2, 2027</t>
  </si>
  <si>
    <t>Will be available for export in Q2, 2028</t>
  </si>
  <si>
    <t>Regestration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</si>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</sst>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ajor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8980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6" fillId="0" borderId="1"/>
    <xf numFmtId="0" fontId="9" fillId="2" borderId="0" applyNumberFormat="0" applyBorder="0" applyAlignment="0" applyProtection="0"/>
    <xf numFmtId="0" fontId="5" fillId="3" borderId="0" applyNumberFormat="0" applyBorder="0" applyAlignment="0" applyProtection="0"/>
    <xf numFmtId="164" fontId="10" fillId="0" borderId="0" applyFont="0" applyFill="0" applyBorder="0" applyAlignment="0" applyProtection="0"/>
    <xf numFmtId="0" fontId="4" fillId="4" borderId="0" applyNumberFormat="0" applyBorder="0" applyAlignment="0" applyProtection="0"/>
    <xf numFmtId="0" fontId="17" fillId="0" borderId="1"/>
    <xf numFmtId="0" fontId="19" fillId="0" borderId="1"/>
    <xf numFmtId="0" fontId="4" fillId="0" borderId="1"/>
  </cellStyleXfs>
  <cellXfs count="74">
    <xf numFmtId="0" fontId="0" fillId="0" borderId="0" xfId="0"/>
    <xf numFmtId="0" fontId="0" fillId="0" borderId="1" xfId="0" applyBorder="1"/>
    <xf numFmtId="0" fontId="12" fillId="5" borderId="5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1" fontId="12" fillId="5" borderId="6" xfId="1" applyNumberFormat="1" applyFont="1" applyFill="1" applyBorder="1" applyAlignment="1">
      <alignment horizontal="center" vertical="center" wrapText="1"/>
    </xf>
    <xf numFmtId="165" fontId="12" fillId="5" borderId="6" xfId="1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164" fontId="12" fillId="5" borderId="7" xfId="4" applyFont="1" applyFill="1" applyBorder="1" applyAlignment="1" applyProtection="1">
      <alignment horizontal="center" vertical="center" wrapText="1"/>
    </xf>
    <xf numFmtId="164" fontId="12" fillId="5" borderId="12" xfId="4" applyFont="1" applyFill="1" applyBorder="1" applyAlignment="1" applyProtection="1">
      <alignment horizontal="center" vertical="center" wrapText="1"/>
    </xf>
    <xf numFmtId="0" fontId="3" fillId="0" borderId="8" xfId="2" applyFont="1" applyFill="1" applyBorder="1" applyAlignment="1" applyProtection="1">
      <alignment vertical="center"/>
    </xf>
    <xf numFmtId="0" fontId="3" fillId="0" borderId="4" xfId="2" applyFont="1" applyFill="1" applyBorder="1" applyAlignment="1" applyProtection="1">
      <alignment vertical="center"/>
    </xf>
    <xf numFmtId="0" fontId="3" fillId="0" borderId="4" xfId="2" applyFont="1" applyFill="1" applyBorder="1" applyAlignment="1" applyProtection="1">
      <alignment vertical="center" wrapText="1"/>
    </xf>
    <xf numFmtId="0" fontId="3" fillId="0" borderId="4" xfId="2" applyFont="1" applyFill="1" applyBorder="1" applyAlignment="1" applyProtection="1">
      <alignment horizontal="center" vertical="center"/>
    </xf>
    <xf numFmtId="164" fontId="3" fillId="0" borderId="9" xfId="2" applyNumberFormat="1" applyFont="1" applyFill="1" applyBorder="1" applyAlignment="1" applyProtection="1">
      <alignment horizontal="center" vertical="center"/>
    </xf>
    <xf numFmtId="164" fontId="3" fillId="0" borderId="13" xfId="2" applyNumberFormat="1" applyFont="1" applyFill="1" applyBorder="1" applyAlignment="1" applyProtection="1">
      <alignment horizontal="center" vertical="center"/>
    </xf>
    <xf numFmtId="0" fontId="3" fillId="0" borderId="1" xfId="0" applyFont="1" applyBorder="1"/>
    <xf numFmtId="0" fontId="3" fillId="0" borderId="10" xfId="2" applyFont="1" applyFill="1" applyBorder="1" applyAlignment="1" applyProtection="1">
      <alignment vertical="center"/>
    </xf>
    <xf numFmtId="0" fontId="3" fillId="0" borderId="2" xfId="2" applyFont="1" applyFill="1" applyBorder="1" applyAlignment="1" applyProtection="1">
      <alignment vertical="center"/>
    </xf>
    <xf numFmtId="1" fontId="3" fillId="0" borderId="2" xfId="2" applyNumberFormat="1" applyFont="1" applyFill="1" applyBorder="1" applyAlignment="1" applyProtection="1">
      <alignment horizontal="left" vertical="center"/>
    </xf>
    <xf numFmtId="0" fontId="3" fillId="0" borderId="2" xfId="2" applyFont="1" applyFill="1" applyBorder="1" applyAlignment="1" applyProtection="1">
      <alignment vertical="center" wrapText="1"/>
    </xf>
    <xf numFmtId="0" fontId="3" fillId="0" borderId="2" xfId="2" applyFont="1" applyFill="1" applyBorder="1" applyAlignment="1" applyProtection="1">
      <alignment horizontal="center" vertical="center"/>
    </xf>
    <xf numFmtId="164" fontId="3" fillId="0" borderId="14" xfId="2" applyNumberFormat="1" applyFont="1" applyFill="1" applyBorder="1" applyAlignment="1" applyProtection="1">
      <alignment horizontal="center" vertical="center"/>
    </xf>
    <xf numFmtId="0" fontId="3" fillId="0" borderId="2" xfId="5" applyFont="1" applyFill="1" applyBorder="1" applyAlignment="1" applyProtection="1">
      <alignment vertical="center"/>
    </xf>
    <xf numFmtId="0" fontId="3" fillId="0" borderId="10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1" fontId="3" fillId="0" borderId="2" xfId="1" applyNumberFormat="1" applyFont="1" applyBorder="1" applyAlignment="1">
      <alignment horizontal="left" vertical="center"/>
    </xf>
    <xf numFmtId="0" fontId="3" fillId="0" borderId="2" xfId="1" applyFont="1" applyBorder="1" applyAlignment="1">
      <alignment vertical="center" wrapText="1"/>
    </xf>
    <xf numFmtId="0" fontId="3" fillId="0" borderId="2" xfId="3" applyFont="1" applyFill="1" applyBorder="1" applyAlignment="1" applyProtection="1">
      <alignment horizontal="center" vertical="center"/>
    </xf>
    <xf numFmtId="164" fontId="3" fillId="0" borderId="14" xfId="3" applyNumberFormat="1" applyFont="1" applyFill="1" applyBorder="1" applyAlignment="1" applyProtection="1">
      <alignment horizontal="center" vertical="center"/>
    </xf>
    <xf numFmtId="0" fontId="3" fillId="0" borderId="2" xfId="2" applyFont="1" applyFill="1" applyBorder="1" applyAlignment="1" applyProtection="1">
      <alignment vertical="top" wrapText="1"/>
    </xf>
    <xf numFmtId="0" fontId="3" fillId="0" borderId="2" xfId="1" applyFont="1" applyBorder="1" applyAlignment="1">
      <alignment vertical="top" wrapText="1"/>
    </xf>
    <xf numFmtId="0" fontId="8" fillId="0" borderId="1" xfId="1" applyFont="1" applyAlignment="1">
      <alignment vertical="center"/>
    </xf>
    <xf numFmtId="1" fontId="8" fillId="0" borderId="1" xfId="1" applyNumberFormat="1" applyFont="1" applyAlignment="1">
      <alignment horizontal="left" vertical="center"/>
    </xf>
    <xf numFmtId="0" fontId="8" fillId="0" borderId="1" xfId="1" applyFont="1" applyAlignment="1">
      <alignment vertical="center" wrapText="1"/>
    </xf>
    <xf numFmtId="0" fontId="7" fillId="0" borderId="1" xfId="1" applyFont="1" applyAlignment="1">
      <alignment horizontal="center" vertical="center"/>
    </xf>
    <xf numFmtId="164" fontId="7" fillId="0" borderId="1" xfId="4" applyFont="1" applyBorder="1" applyAlignment="1" applyProtection="1">
      <alignment horizontal="center" vertical="center"/>
    </xf>
    <xf numFmtId="0" fontId="16" fillId="0" borderId="3" xfId="0" applyFont="1" applyBorder="1" applyAlignment="1">
      <alignment horizontal="center"/>
    </xf>
    <xf numFmtId="0" fontId="18" fillId="0" borderId="15" xfId="6" applyFont="1" applyBorder="1" applyAlignment="1">
      <alignment horizontal="center"/>
    </xf>
    <xf numFmtId="0" fontId="18" fillId="0" borderId="16" xfId="6" applyFont="1" applyBorder="1" applyAlignment="1">
      <alignment horizontal="center"/>
    </xf>
    <xf numFmtId="0" fontId="18" fillId="0" borderId="18" xfId="6" applyFont="1" applyBorder="1" applyAlignment="1">
      <alignment horizontal="center"/>
    </xf>
    <xf numFmtId="0" fontId="18" fillId="0" borderId="19" xfId="6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7" fillId="0" borderId="1" xfId="1" applyFont="1" applyAlignment="1">
      <alignment vertical="center"/>
    </xf>
    <xf numFmtId="1" fontId="7" fillId="0" borderId="1" xfId="1" applyNumberFormat="1" applyFont="1" applyAlignment="1">
      <alignment horizontal="left" vertical="center"/>
    </xf>
    <xf numFmtId="0" fontId="7" fillId="0" borderId="1" xfId="1" applyFont="1" applyAlignment="1">
      <alignment vertical="center" wrapText="1"/>
    </xf>
    <xf numFmtId="0" fontId="3" fillId="0" borderId="16" xfId="2" applyFont="1" applyFill="1" applyBorder="1" applyAlignment="1" applyProtection="1">
      <alignment horizontal="center" vertical="center"/>
      <protection locked="0"/>
    </xf>
    <xf numFmtId="14" fontId="13" fillId="0" borderId="1" xfId="0" quotePrefix="1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" fontId="2" fillId="0" borderId="4" xfId="2" applyNumberFormat="1" applyFont="1" applyFill="1" applyBorder="1" applyAlignment="1" applyProtection="1">
      <alignment horizontal="left" vertical="center"/>
    </xf>
    <xf numFmtId="0" fontId="3" fillId="0" borderId="4" xfId="2" applyNumberFormat="1" applyFont="1" applyFill="1" applyBorder="1" applyAlignment="1" applyProtection="1">
      <alignment horizontal="center" vertical="center" wrapText="1"/>
    </xf>
    <xf numFmtId="0" fontId="3" fillId="0" borderId="2" xfId="2" applyNumberFormat="1" applyFont="1" applyFill="1" applyBorder="1" applyAlignment="1" applyProtection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2" applyNumberFormat="1" applyFont="1" applyFill="1" applyBorder="1" applyAlignment="1" applyProtection="1">
      <alignment horizontal="center" vertical="center"/>
    </xf>
    <xf numFmtId="0" fontId="3" fillId="0" borderId="2" xfId="2" applyNumberFormat="1" applyFont="1" applyFill="1" applyBorder="1" applyAlignment="1" applyProtection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8" fillId="0" borderId="1" xfId="1" applyFont="1" applyAlignment="1">
      <alignment horizontal="center" vertical="center" wrapText="1"/>
    </xf>
    <xf numFmtId="0" fontId="7" fillId="0" borderId="1" xfId="1" applyFont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8" fillId="0" borderId="1" xfId="6" applyFont="1" applyAlignment="1">
      <alignment horizontal="center"/>
    </xf>
    <xf numFmtId="0" fontId="12" fillId="5" borderId="7" xfId="0" applyFont="1" applyFill="1" applyBorder="1" applyAlignment="1">
      <alignment horizontal="center" vertical="center" wrapText="1"/>
    </xf>
    <xf numFmtId="0" fontId="3" fillId="0" borderId="9" xfId="2" applyFont="1" applyFill="1" applyBorder="1" applyAlignment="1" applyProtection="1">
      <alignment horizontal="center" vertical="center"/>
    </xf>
    <xf numFmtId="0" fontId="3" fillId="0" borderId="11" xfId="2" applyFont="1" applyFill="1" applyBorder="1" applyAlignment="1" applyProtection="1">
      <alignment horizontal="center" vertical="center"/>
    </xf>
    <xf numFmtId="0" fontId="3" fillId="0" borderId="11" xfId="3" applyFont="1" applyFill="1" applyBorder="1" applyAlignment="1" applyProtection="1">
      <alignment horizontal="center" vertical="center"/>
    </xf>
    <xf numFmtId="0" fontId="12" fillId="5" borderId="20" xfId="0" applyFont="1" applyFill="1" applyBorder="1" applyAlignment="1">
      <alignment horizontal="center" vertical="center" wrapText="1"/>
    </xf>
    <xf numFmtId="0" fontId="3" fillId="0" borderId="19" xfId="2" applyFont="1" applyFill="1" applyBorder="1" applyAlignment="1" applyProtection="1">
      <alignment horizontal="center" vertical="center"/>
      <protection locked="0"/>
    </xf>
    <xf numFmtId="0" fontId="3" fillId="0" borderId="17" xfId="2" applyFont="1" applyFill="1" applyBorder="1" applyAlignment="1" applyProtection="1">
      <alignment horizontal="center" vertical="center"/>
      <protection locked="0"/>
    </xf>
    <xf numFmtId="0" fontId="7" fillId="0" borderId="1" xfId="1" applyFont="1" applyAlignment="1" applyProtection="1">
      <alignment horizontal="center" vertical="center"/>
      <protection locked="0"/>
    </xf>
    <xf numFmtId="0" fontId="8" fillId="0" borderId="1" xfId="1" applyFont="1" applyAlignment="1">
      <alignment horizontal="left" vertical="center"/>
    </xf>
    <xf numFmtId="0" fontId="1" fillId="0" borderId="9" xfId="2" applyFont="1" applyFill="1" applyBorder="1" applyAlignment="1" applyProtection="1">
      <alignment horizontal="center" vertical="center"/>
    </xf>
    <xf numFmtId="0" fontId="1" fillId="0" borderId="11" xfId="2" applyFont="1" applyFill="1" applyBorder="1" applyAlignment="1" applyProtection="1">
      <alignment horizontal="center" vertical="center"/>
    </xf>
    <xf numFmtId="0" fontId="1" fillId="0" borderId="11" xfId="3" applyFont="1" applyFill="1" applyBorder="1" applyAlignment="1" applyProtection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5" fillId="0" borderId="1" xfId="1" applyFont="1" applyAlignment="1">
      <alignment horizontal="left" vertical="center" wrapText="1"/>
    </xf>
    <xf numFmtId="0" fontId="8" fillId="0" borderId="1" xfId="1" applyFont="1" applyAlignment="1">
      <alignment horizontal="left" vertical="center"/>
    </xf>
  </cellXfs>
  <cellStyles count="9">
    <cellStyle name="20% – колірна тема 1" xfId="5" builtinId="30"/>
    <cellStyle name="20% – колірна тема 5" xfId="3" builtinId="46"/>
    <cellStyle name="Excel Built-in Normal" xfId="6" xr:uid="{00000000-0005-0000-0000-000003000000}"/>
    <cellStyle name="Normal 2" xfId="1" xr:uid="{00000000-0005-0000-0000-000004000000}"/>
    <cellStyle name="Normal 3" xfId="7" xr:uid="{AC822A9C-695B-4037-980D-7BF2E8D38C07}"/>
    <cellStyle name="Normal 3 2 2 2" xfId="8" xr:uid="{88442583-633C-404F-B706-F8744F16AFB9}"/>
    <cellStyle name="Гарний" xfId="2" builtinId="26"/>
    <cellStyle name="Грошовий" xfId="4" builtinId="4"/>
    <cellStyle name="Звичайний" xfId="0" builtinId="0"/>
  </cellStyles>
  <dxfs count="24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  <protection locked="1" hidden="0"/>
    </dxf>
    <dxf>
      <font>
        <b/>
        <i val="0"/>
      </font>
      <fill>
        <gradientFill degree="45">
          <stop position="0">
            <color rgb="FFC89800"/>
          </stop>
          <stop position="0.5">
            <color theme="7" tint="0.80001220740379042"/>
          </stop>
          <stop position="1">
            <color rgb="FFC898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 style="thin">
          <color indexed="64"/>
        </vertic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vertical style="thin">
          <color indexed="64"/>
        </vertical>
      </border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1" hidden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ajor"/>
      </font>
      <fill>
        <patternFill patternType="solid">
          <fgColor indexed="64"/>
          <bgColor rgb="FFC898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1" hidden="0"/>
    </dxf>
  </dxfs>
  <tableStyles count="0" defaultTableStyle="TableStyleMedium2" defaultPivotStyle="PivotStyleLight16"/>
  <colors>
    <mruColors>
      <color rgb="FFC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130627</xdr:rowOff>
    </xdr:from>
    <xdr:to>
      <xdr:col>9</xdr:col>
      <xdr:colOff>1016783</xdr:colOff>
      <xdr:row>0</xdr:row>
      <xdr:rowOff>911133</xdr:rowOff>
    </xdr:to>
    <xdr:pic>
      <xdr:nvPicPr>
        <xdr:cNvPr id="2" name="Рисунок 1" descr="California Gold Nutrition, Gold C, Vitamin C, 1,000 mg, 60 Veggie Capsules">
          <a:extLst>
            <a:ext uri="{FF2B5EF4-FFF2-40B4-BE49-F238E27FC236}">
              <a16:creationId xmlns:a16="http://schemas.microsoft.com/office/drawing/2014/main" id="{6FCDE855-A819-C385-00E5-3AA9E8AF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0456" y="130627"/>
          <a:ext cx="4739697" cy="780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1885950</xdr:colOff>
      <xdr:row>72</xdr:row>
      <xdr:rowOff>57416</xdr:rowOff>
    </xdr:from>
    <xdr:to>
      <xdr:col>3</xdr:col>
      <xdr:colOff>3486150</xdr:colOff>
      <xdr:row>72</xdr:row>
      <xdr:rowOff>370289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7858F13B-B751-454B-BE5F-5A7D8A761F4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3807" y="29623016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K70" totalsRowShown="0" headerRowDxfId="23" dataDxfId="21" headerRowBorderDxfId="22" tableBorderDxfId="20">
  <autoFilter ref="A2:K70" xr:uid="{00000000-0009-0000-0100-000001000000}"/>
  <tableColumns count="11">
    <tableColumn id="1" xr3:uid="{00000000-0010-0000-0000-000001000000}" name="CATEGORY" dataDxfId="19" dataCellStyle="Normal 2"/>
    <tableColumn id="2" xr3:uid="{00000000-0010-0000-0000-000002000000}" name="PART #" dataDxfId="18" dataCellStyle="Normal 2"/>
    <tableColumn id="3" xr3:uid="{00000000-0010-0000-0000-000003000000}" name="UPC" dataDxfId="17" dataCellStyle="Normal 2"/>
    <tableColumn id="4" xr3:uid="{00000000-0010-0000-0000-000004000000}" name="DESCRIPTION" dataDxfId="16" dataCellStyle="Normal 2"/>
    <tableColumn id="10" xr3:uid="{00000000-0010-0000-0000-00000A000000}" name="Weight, kg" dataDxfId="15" dataCellStyle="Normal 2"/>
    <tableColumn id="6" xr3:uid="{00000000-0010-0000-0000-000006000000}" name="Units Per Case" dataDxfId="14" dataCellStyle="Normal 2"/>
    <tableColumn id="5" xr3:uid="{30EB9EEA-35C1-4043-B7A7-1D0F40B05FE7}" name="Shelf Life" dataDxfId="13" dataCellStyle="Гарний"/>
    <tableColumn id="7" xr3:uid="{00000000-0010-0000-0000-000007000000}" name="Price" dataDxfId="0"/>
    <tableColumn id="8" xr3:uid="{00000000-0010-0000-0000-000008000000}" name="Order" dataDxfId="12" dataCellStyle="Normal 2"/>
    <tableColumn id="9" xr3:uid="{00000000-0010-0000-0000-000009000000}" name="Total" dataDxfId="11">
      <calculatedColumnFormula>Table1[[#This Row],[Order]]*Table1[[#This Row],[Price]]</calculatedColumnFormula>
    </tableColumn>
    <tableColumn id="11" xr3:uid="{CE9BD338-F3D0-45EA-85F2-824BE36D2F6F}" name="Regestration" dataDxfId="10" dataCellStyle="Гарний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8"/>
  <sheetViews>
    <sheetView tabSelected="1" zoomScale="70" zoomScaleNormal="70" workbookViewId="0">
      <pane ySplit="2" topLeftCell="A3" activePane="bottomLeft" state="frozen"/>
      <selection pane="bottomLeft" activeCell="H65" sqref="H65"/>
    </sheetView>
  </sheetViews>
  <sheetFormatPr defaultColWidth="12.5546875" defaultRowHeight="15.75" customHeight="1" x14ac:dyDescent="0.3"/>
  <cols>
    <col min="1" max="1" width="15.5546875" style="42" customWidth="1"/>
    <col min="2" max="2" width="18.44140625" style="42" customWidth="1"/>
    <col min="3" max="3" width="17.5546875" style="43" customWidth="1"/>
    <col min="4" max="4" width="78.88671875" style="44" customWidth="1"/>
    <col min="5" max="5" width="11.21875" style="56" bestFit="1" customWidth="1"/>
    <col min="6" max="6" width="12.109375" style="34" customWidth="1"/>
    <col min="7" max="7" width="13.109375" style="34" customWidth="1"/>
    <col min="8" max="8" width="13.5546875" style="35" customWidth="1"/>
    <col min="9" max="9" width="15.5546875" style="66" customWidth="1"/>
    <col min="10" max="10" width="17.6640625" style="35" customWidth="1"/>
    <col min="11" max="11" width="17.6640625" style="56" customWidth="1"/>
    <col min="12" max="12" width="19.109375" style="1" bestFit="1" customWidth="1"/>
    <col min="13" max="16384" width="12.5546875" style="1"/>
  </cols>
  <sheetData>
    <row r="1" spans="1:14" ht="93.6" customHeight="1" thickBot="1" x14ac:dyDescent="0.35">
      <c r="A1" s="72" t="s">
        <v>68</v>
      </c>
      <c r="B1" s="73"/>
      <c r="C1" s="73"/>
      <c r="D1" s="73"/>
      <c r="E1" s="73"/>
      <c r="F1" s="73"/>
      <c r="G1" s="73"/>
      <c r="H1" s="73"/>
      <c r="I1" s="73"/>
      <c r="J1" s="73"/>
      <c r="K1" s="67"/>
      <c r="L1" s="46" t="s">
        <v>75</v>
      </c>
    </row>
    <row r="2" spans="1:14" ht="54.6" customHeight="1" thickBot="1" x14ac:dyDescent="0.35">
      <c r="A2" s="2" t="s">
        <v>40</v>
      </c>
      <c r="B2" s="3" t="s">
        <v>39</v>
      </c>
      <c r="C2" s="4" t="s">
        <v>0</v>
      </c>
      <c r="D2" s="5" t="s">
        <v>1</v>
      </c>
      <c r="E2" s="3" t="s">
        <v>74</v>
      </c>
      <c r="F2" s="6" t="s">
        <v>170</v>
      </c>
      <c r="G2" s="59" t="s">
        <v>171</v>
      </c>
      <c r="H2" s="7" t="s">
        <v>67</v>
      </c>
      <c r="I2" s="63" t="s">
        <v>65</v>
      </c>
      <c r="J2" s="8" t="s">
        <v>66</v>
      </c>
      <c r="K2" s="71" t="s">
        <v>178</v>
      </c>
      <c r="L2" s="47">
        <f>SUM(J3:J70)</f>
        <v>0</v>
      </c>
    </row>
    <row r="3" spans="1:14" s="15" customFormat="1" ht="14.4" x14ac:dyDescent="0.3">
      <c r="A3" s="9" t="s">
        <v>77</v>
      </c>
      <c r="B3" s="10" t="s">
        <v>85</v>
      </c>
      <c r="C3" s="48" t="s">
        <v>120</v>
      </c>
      <c r="D3" s="11" t="s">
        <v>121</v>
      </c>
      <c r="E3" s="49">
        <v>0.18</v>
      </c>
      <c r="F3" s="12">
        <v>24</v>
      </c>
      <c r="G3" s="60" t="s">
        <v>172</v>
      </c>
      <c r="H3" s="13">
        <v>9.0822599999999998</v>
      </c>
      <c r="I3" s="64"/>
      <c r="J3" s="14">
        <f>Table1[[#This Row],[Order]]*Table1[[#This Row],[Price]]</f>
        <v>0</v>
      </c>
      <c r="K3" s="68"/>
    </row>
    <row r="4" spans="1:14" s="15" customFormat="1" ht="14.4" x14ac:dyDescent="0.3">
      <c r="A4" s="16" t="s">
        <v>77</v>
      </c>
      <c r="B4" s="17" t="s">
        <v>32</v>
      </c>
      <c r="C4" s="18">
        <v>898220013302</v>
      </c>
      <c r="D4" s="19" t="s">
        <v>122</v>
      </c>
      <c r="E4" s="50">
        <v>0.41</v>
      </c>
      <c r="F4" s="20">
        <v>12</v>
      </c>
      <c r="G4" s="61" t="s">
        <v>172</v>
      </c>
      <c r="H4" s="13">
        <v>19.753289999999996</v>
      </c>
      <c r="I4" s="45"/>
      <c r="J4" s="21">
        <f>Table1[[#This Row],[Order]]*Table1[[#This Row],[Price]]</f>
        <v>0</v>
      </c>
      <c r="K4" s="69"/>
    </row>
    <row r="5" spans="1:14" s="15" customFormat="1" ht="28.8" x14ac:dyDescent="0.3">
      <c r="A5" s="16" t="s">
        <v>77</v>
      </c>
      <c r="B5" s="17" t="s">
        <v>10</v>
      </c>
      <c r="C5" s="18">
        <v>898220012510</v>
      </c>
      <c r="D5" s="19" t="s">
        <v>123</v>
      </c>
      <c r="E5" s="50">
        <v>0.06</v>
      </c>
      <c r="F5" s="20">
        <v>150</v>
      </c>
      <c r="G5" s="61" t="s">
        <v>172</v>
      </c>
      <c r="H5" s="13">
        <v>7.7186699999999995</v>
      </c>
      <c r="I5" s="45"/>
      <c r="J5" s="21">
        <f>Table1[[#This Row],[Order]]*Table1[[#This Row],[Price]]</f>
        <v>0</v>
      </c>
      <c r="K5" s="69"/>
    </row>
    <row r="6" spans="1:14" s="15" customFormat="1" ht="28.8" x14ac:dyDescent="0.3">
      <c r="A6" s="16" t="s">
        <v>77</v>
      </c>
      <c r="B6" s="22" t="s">
        <v>11</v>
      </c>
      <c r="C6" s="18">
        <v>898220012664</v>
      </c>
      <c r="D6" s="19" t="s">
        <v>124</v>
      </c>
      <c r="E6" s="50">
        <v>0.16</v>
      </c>
      <c r="F6" s="20">
        <v>99</v>
      </c>
      <c r="G6" s="61" t="s">
        <v>172</v>
      </c>
      <c r="H6" s="13">
        <v>20.003489999999999</v>
      </c>
      <c r="I6" s="45"/>
      <c r="J6" s="21">
        <f>Table1[[#This Row],[Order]]*Table1[[#This Row],[Price]]</f>
        <v>0</v>
      </c>
      <c r="K6" s="69"/>
    </row>
    <row r="7" spans="1:14" s="15" customFormat="1" ht="14.4" x14ac:dyDescent="0.3">
      <c r="A7" s="16" t="s">
        <v>47</v>
      </c>
      <c r="B7" s="22" t="s">
        <v>15</v>
      </c>
      <c r="C7" s="18">
        <v>898220009657</v>
      </c>
      <c r="D7" s="19" t="s">
        <v>125</v>
      </c>
      <c r="E7" s="50">
        <v>0.13</v>
      </c>
      <c r="F7" s="20">
        <v>30</v>
      </c>
      <c r="G7" s="61" t="s">
        <v>59</v>
      </c>
      <c r="H7" s="13">
        <v>16.638300000000001</v>
      </c>
      <c r="I7" s="45"/>
      <c r="J7" s="21">
        <f>Table1[[#This Row],[Order]]*Table1[[#This Row],[Price]]</f>
        <v>0</v>
      </c>
      <c r="K7" s="69"/>
    </row>
    <row r="8" spans="1:14" s="15" customFormat="1" ht="14.4" x14ac:dyDescent="0.3">
      <c r="A8" s="16" t="s">
        <v>47</v>
      </c>
      <c r="B8" s="17" t="s">
        <v>13</v>
      </c>
      <c r="C8" s="18">
        <v>898220009633</v>
      </c>
      <c r="D8" s="19" t="s">
        <v>14</v>
      </c>
      <c r="E8" s="50">
        <v>0.13</v>
      </c>
      <c r="F8" s="20">
        <v>30</v>
      </c>
      <c r="G8" s="61" t="s">
        <v>173</v>
      </c>
      <c r="H8" s="13">
        <v>7.2557999999999989</v>
      </c>
      <c r="I8" s="45"/>
      <c r="J8" s="21">
        <f>Table1[[#This Row],[Order]]*Table1[[#This Row],[Price]]</f>
        <v>0</v>
      </c>
      <c r="K8" s="69"/>
    </row>
    <row r="9" spans="1:14" s="15" customFormat="1" ht="14.4" x14ac:dyDescent="0.3">
      <c r="A9" s="16" t="s">
        <v>47</v>
      </c>
      <c r="B9" s="22" t="s">
        <v>56</v>
      </c>
      <c r="C9" s="18">
        <v>898220019045</v>
      </c>
      <c r="D9" s="19" t="s">
        <v>126</v>
      </c>
      <c r="E9" s="50">
        <v>0.13</v>
      </c>
      <c r="F9" s="20">
        <v>54</v>
      </c>
      <c r="G9" s="61" t="s">
        <v>59</v>
      </c>
      <c r="H9" s="13">
        <v>18.589859999999998</v>
      </c>
      <c r="I9" s="45"/>
      <c r="J9" s="21">
        <f>Table1[[#This Row],[Order]]*Table1[[#This Row],[Price]]</f>
        <v>0</v>
      </c>
      <c r="K9" s="69"/>
    </row>
    <row r="10" spans="1:14" s="15" customFormat="1" ht="28.8" x14ac:dyDescent="0.3">
      <c r="A10" s="16" t="s">
        <v>6</v>
      </c>
      <c r="B10" s="22" t="s">
        <v>7</v>
      </c>
      <c r="C10" s="18">
        <v>898220010332</v>
      </c>
      <c r="D10" s="19" t="s">
        <v>8</v>
      </c>
      <c r="E10" s="50">
        <v>0.25</v>
      </c>
      <c r="F10" s="20">
        <v>20</v>
      </c>
      <c r="G10" s="61" t="s">
        <v>172</v>
      </c>
      <c r="H10" s="13">
        <v>12.99789</v>
      </c>
      <c r="I10" s="45"/>
      <c r="J10" s="21">
        <f>Table1[[#This Row],[Order]]*Table1[[#This Row],[Price]]</f>
        <v>0</v>
      </c>
      <c r="K10" s="69"/>
    </row>
    <row r="11" spans="1:14" s="15" customFormat="1" ht="28.8" x14ac:dyDescent="0.3">
      <c r="A11" s="16" t="s">
        <v>6</v>
      </c>
      <c r="B11" s="22" t="s">
        <v>9</v>
      </c>
      <c r="C11" s="18">
        <v>898220010325</v>
      </c>
      <c r="D11" s="19" t="s">
        <v>127</v>
      </c>
      <c r="E11" s="50">
        <v>0.49</v>
      </c>
      <c r="F11" s="20">
        <v>8</v>
      </c>
      <c r="G11" s="61" t="s">
        <v>172</v>
      </c>
      <c r="H11" s="13">
        <v>27.634589999999996</v>
      </c>
      <c r="I11" s="45"/>
      <c r="J11" s="21">
        <f>Table1[[#This Row],[Order]]*Table1[[#This Row],[Price]]</f>
        <v>0</v>
      </c>
      <c r="K11" s="69"/>
    </row>
    <row r="12" spans="1:14" s="15" customFormat="1" ht="28.8" x14ac:dyDescent="0.3">
      <c r="A12" s="16" t="s">
        <v>6</v>
      </c>
      <c r="B12" s="17" t="s">
        <v>58</v>
      </c>
      <c r="C12" s="18">
        <v>898220021017</v>
      </c>
      <c r="D12" s="19" t="s">
        <v>128</v>
      </c>
      <c r="E12" s="50">
        <v>1.03</v>
      </c>
      <c r="F12" s="20">
        <v>5</v>
      </c>
      <c r="G12" s="61" t="s">
        <v>172</v>
      </c>
      <c r="H12" s="13">
        <v>57.495959999999997</v>
      </c>
      <c r="I12" s="45"/>
      <c r="J12" s="21">
        <f>Table1[[#This Row],[Order]]*Table1[[#This Row],[Price]]</f>
        <v>0</v>
      </c>
      <c r="K12" s="69" t="s">
        <v>179</v>
      </c>
      <c r="N12"/>
    </row>
    <row r="13" spans="1:14" s="15" customFormat="1" ht="28.8" x14ac:dyDescent="0.3">
      <c r="A13" s="23" t="s">
        <v>6</v>
      </c>
      <c r="B13" s="24" t="s">
        <v>86</v>
      </c>
      <c r="C13" s="48" t="s">
        <v>120</v>
      </c>
      <c r="D13" s="26" t="s">
        <v>129</v>
      </c>
      <c r="E13" s="51">
        <v>0.08</v>
      </c>
      <c r="F13" s="27">
        <v>45</v>
      </c>
      <c r="G13" s="62" t="s">
        <v>172</v>
      </c>
      <c r="H13" s="13">
        <v>10.020509999999998</v>
      </c>
      <c r="I13" s="45"/>
      <c r="J13" s="28">
        <f>Table1[[#This Row],[Order]]*Table1[[#This Row],[Price]]</f>
        <v>0</v>
      </c>
      <c r="K13" s="69" t="s">
        <v>179</v>
      </c>
    </row>
    <row r="14" spans="1:14" s="15" customFormat="1" ht="14.4" x14ac:dyDescent="0.3">
      <c r="A14" s="23" t="s">
        <v>78</v>
      </c>
      <c r="B14" s="24" t="s">
        <v>38</v>
      </c>
      <c r="C14" s="48" t="s">
        <v>120</v>
      </c>
      <c r="D14" s="26" t="s">
        <v>57</v>
      </c>
      <c r="E14" s="51">
        <v>0.09</v>
      </c>
      <c r="F14" s="27"/>
      <c r="G14" s="62">
        <v>24</v>
      </c>
      <c r="H14" s="13">
        <v>13.173029999999999</v>
      </c>
      <c r="I14" s="45"/>
      <c r="J14" s="28">
        <f>Table1[[#This Row],[Order]]*Table1[[#This Row],[Price]]</f>
        <v>0</v>
      </c>
      <c r="K14" s="70"/>
    </row>
    <row r="15" spans="1:14" s="15" customFormat="1" ht="14.4" x14ac:dyDescent="0.3">
      <c r="A15" s="23" t="s">
        <v>79</v>
      </c>
      <c r="B15" s="22" t="s">
        <v>19</v>
      </c>
      <c r="C15" s="48" t="s">
        <v>120</v>
      </c>
      <c r="D15" s="26" t="s">
        <v>20</v>
      </c>
      <c r="E15" s="51">
        <v>0.09</v>
      </c>
      <c r="F15" s="27">
        <v>48</v>
      </c>
      <c r="G15" s="62" t="s">
        <v>59</v>
      </c>
      <c r="H15" s="13">
        <v>3.7905299999999995</v>
      </c>
      <c r="I15" s="45"/>
      <c r="J15" s="28">
        <f>Table1[[#This Row],[Order]]*Table1[[#This Row],[Price]]</f>
        <v>0</v>
      </c>
      <c r="K15" s="70"/>
    </row>
    <row r="16" spans="1:14" s="15" customFormat="1" ht="14.4" x14ac:dyDescent="0.3">
      <c r="A16" s="23" t="s">
        <v>79</v>
      </c>
      <c r="B16" s="24" t="s">
        <v>21</v>
      </c>
      <c r="C16" s="48" t="s">
        <v>120</v>
      </c>
      <c r="D16" s="26" t="s">
        <v>22</v>
      </c>
      <c r="E16" s="51">
        <v>0.32</v>
      </c>
      <c r="F16" s="27">
        <v>24</v>
      </c>
      <c r="G16" s="62" t="s">
        <v>59</v>
      </c>
      <c r="H16" s="13">
        <v>11.046329999999999</v>
      </c>
      <c r="I16" s="45"/>
      <c r="J16" s="28">
        <f>Table1[[#This Row],[Order]]*Table1[[#This Row],[Price]]</f>
        <v>0</v>
      </c>
      <c r="K16" s="70"/>
    </row>
    <row r="17" spans="1:11" s="15" customFormat="1" ht="14.4" x14ac:dyDescent="0.3">
      <c r="A17" s="23" t="s">
        <v>79</v>
      </c>
      <c r="B17" s="24" t="s">
        <v>33</v>
      </c>
      <c r="C17" s="48" t="s">
        <v>120</v>
      </c>
      <c r="D17" s="26" t="s">
        <v>55</v>
      </c>
      <c r="E17" s="51">
        <v>0.08</v>
      </c>
      <c r="F17" s="27">
        <v>48</v>
      </c>
      <c r="G17" s="62" t="s">
        <v>173</v>
      </c>
      <c r="H17" s="13">
        <v>4.2909299999999995</v>
      </c>
      <c r="I17" s="45"/>
      <c r="J17" s="28">
        <f>Table1[[#This Row],[Order]]*Table1[[#This Row],[Price]]</f>
        <v>0</v>
      </c>
      <c r="K17" s="70"/>
    </row>
    <row r="18" spans="1:11" s="15" customFormat="1" ht="14.4" x14ac:dyDescent="0.3">
      <c r="A18" s="23" t="s">
        <v>79</v>
      </c>
      <c r="B18" s="24" t="s">
        <v>36</v>
      </c>
      <c r="C18" s="48" t="s">
        <v>120</v>
      </c>
      <c r="D18" s="26" t="s">
        <v>43</v>
      </c>
      <c r="E18" s="51">
        <v>0.28999999999999998</v>
      </c>
      <c r="F18" s="27">
        <v>24</v>
      </c>
      <c r="G18" s="62" t="s">
        <v>173</v>
      </c>
      <c r="H18" s="13">
        <v>13.285619999999998</v>
      </c>
      <c r="I18" s="45"/>
      <c r="J18" s="28">
        <f>Table1[[#This Row],[Order]]*Table1[[#This Row],[Price]]</f>
        <v>0</v>
      </c>
      <c r="K18" s="70"/>
    </row>
    <row r="19" spans="1:11" s="15" customFormat="1" ht="14.4" x14ac:dyDescent="0.3">
      <c r="A19" s="23" t="s">
        <v>79</v>
      </c>
      <c r="B19" s="22" t="s">
        <v>31</v>
      </c>
      <c r="C19" s="48" t="s">
        <v>120</v>
      </c>
      <c r="D19" s="26" t="s">
        <v>54</v>
      </c>
      <c r="E19" s="51">
        <v>0.11</v>
      </c>
      <c r="F19" s="27">
        <v>12</v>
      </c>
      <c r="G19" s="62" t="s">
        <v>173</v>
      </c>
      <c r="H19" s="13">
        <v>3.5903699999999996</v>
      </c>
      <c r="I19" s="45"/>
      <c r="J19" s="28">
        <f>Table1[[#This Row],[Order]]*Table1[[#This Row],[Price]]</f>
        <v>0</v>
      </c>
      <c r="K19" s="70"/>
    </row>
    <row r="20" spans="1:11" s="15" customFormat="1" ht="14.4" x14ac:dyDescent="0.3">
      <c r="A20" s="23" t="s">
        <v>79</v>
      </c>
      <c r="B20" s="24" t="s">
        <v>25</v>
      </c>
      <c r="C20" s="48" t="s">
        <v>120</v>
      </c>
      <c r="D20" s="26" t="s">
        <v>26</v>
      </c>
      <c r="E20" s="51">
        <v>0.15</v>
      </c>
      <c r="F20" s="27"/>
      <c r="G20" s="62">
        <v>105</v>
      </c>
      <c r="H20" s="13">
        <v>9.8828999999999994</v>
      </c>
      <c r="I20" s="45"/>
      <c r="J20" s="28">
        <f>Table1[[#This Row],[Order]]*Table1[[#This Row],[Price]]</f>
        <v>0</v>
      </c>
      <c r="K20" s="70"/>
    </row>
    <row r="21" spans="1:11" s="15" customFormat="1" ht="28.8" x14ac:dyDescent="0.3">
      <c r="A21" s="23" t="s">
        <v>79</v>
      </c>
      <c r="B21" s="24" t="s">
        <v>23</v>
      </c>
      <c r="C21" s="48" t="s">
        <v>120</v>
      </c>
      <c r="D21" s="26" t="s">
        <v>24</v>
      </c>
      <c r="E21" s="51">
        <v>0.24</v>
      </c>
      <c r="F21" s="27"/>
      <c r="G21" s="62">
        <v>12</v>
      </c>
      <c r="H21" s="13">
        <v>6.2424900000000001</v>
      </c>
      <c r="I21" s="45"/>
      <c r="J21" s="28">
        <f>Table1[[#This Row],[Order]]*Table1[[#This Row],[Price]]</f>
        <v>0</v>
      </c>
      <c r="K21" s="70"/>
    </row>
    <row r="22" spans="1:11" s="15" customFormat="1" ht="14.4" x14ac:dyDescent="0.3">
      <c r="A22" s="16" t="s">
        <v>79</v>
      </c>
      <c r="B22" s="17" t="s">
        <v>27</v>
      </c>
      <c r="C22" s="48" t="s">
        <v>120</v>
      </c>
      <c r="D22" s="19" t="s">
        <v>28</v>
      </c>
      <c r="E22" s="50">
        <v>0.06</v>
      </c>
      <c r="F22" s="20">
        <v>144</v>
      </c>
      <c r="G22" s="61" t="s">
        <v>172</v>
      </c>
      <c r="H22" s="13">
        <v>3.8780999999999999</v>
      </c>
      <c r="I22" s="45"/>
      <c r="J22" s="21">
        <f>Table1[[#This Row],[Order]]*Table1[[#This Row],[Price]]</f>
        <v>0</v>
      </c>
      <c r="K22" s="69"/>
    </row>
    <row r="23" spans="1:11" s="15" customFormat="1" ht="14.4" x14ac:dyDescent="0.3">
      <c r="A23" s="16" t="s">
        <v>79</v>
      </c>
      <c r="B23" s="17" t="s">
        <v>29</v>
      </c>
      <c r="C23" s="48" t="s">
        <v>120</v>
      </c>
      <c r="D23" s="19" t="s">
        <v>30</v>
      </c>
      <c r="E23" s="50">
        <v>0.15</v>
      </c>
      <c r="F23" s="20">
        <v>99</v>
      </c>
      <c r="G23" s="61" t="s">
        <v>172</v>
      </c>
      <c r="H23" s="13">
        <v>11.34657</v>
      </c>
      <c r="I23" s="45"/>
      <c r="J23" s="21">
        <f>Table1[[#This Row],[Order]]*Table1[[#This Row],[Price]]</f>
        <v>0</v>
      </c>
      <c r="K23" s="69"/>
    </row>
    <row r="24" spans="1:11" s="15" customFormat="1" ht="14.4" x14ac:dyDescent="0.3">
      <c r="A24" s="16" t="s">
        <v>79</v>
      </c>
      <c r="B24" s="22" t="s">
        <v>61</v>
      </c>
      <c r="C24" s="48" t="s">
        <v>120</v>
      </c>
      <c r="D24" s="19" t="s">
        <v>63</v>
      </c>
      <c r="E24" s="50">
        <v>0.05</v>
      </c>
      <c r="F24" s="20">
        <v>224</v>
      </c>
      <c r="G24" s="61" t="s">
        <v>59</v>
      </c>
      <c r="H24" s="13">
        <v>6.8679899999999998</v>
      </c>
      <c r="I24" s="45"/>
      <c r="J24" s="21">
        <f>Table1[[#This Row],[Order]]*Table1[[#This Row],[Price]]</f>
        <v>0</v>
      </c>
      <c r="K24" s="69"/>
    </row>
    <row r="25" spans="1:11" s="15" customFormat="1" ht="14.4" x14ac:dyDescent="0.3">
      <c r="A25" s="16" t="s">
        <v>79</v>
      </c>
      <c r="B25" s="22" t="s">
        <v>62</v>
      </c>
      <c r="C25" s="48" t="s">
        <v>120</v>
      </c>
      <c r="D25" s="17" t="s">
        <v>64</v>
      </c>
      <c r="E25" s="52">
        <v>0.08</v>
      </c>
      <c r="F25" s="20">
        <v>24</v>
      </c>
      <c r="G25" s="61" t="s">
        <v>59</v>
      </c>
      <c r="H25" s="13">
        <v>14.173829999999999</v>
      </c>
      <c r="I25" s="45"/>
      <c r="J25" s="21">
        <f>Table1[[#This Row],[Order]]*Table1[[#This Row],[Price]]</f>
        <v>0</v>
      </c>
      <c r="K25" s="69"/>
    </row>
    <row r="26" spans="1:11" s="15" customFormat="1" ht="14.4" x14ac:dyDescent="0.3">
      <c r="A26" s="16" t="s">
        <v>79</v>
      </c>
      <c r="B26" s="17" t="s">
        <v>4</v>
      </c>
      <c r="C26" s="18">
        <v>898220019205</v>
      </c>
      <c r="D26" s="19" t="s">
        <v>5</v>
      </c>
      <c r="E26" s="50">
        <v>0.05</v>
      </c>
      <c r="F26" s="20">
        <v>24</v>
      </c>
      <c r="G26" s="61" t="s">
        <v>59</v>
      </c>
      <c r="H26" s="13">
        <v>9.8453699999999991</v>
      </c>
      <c r="I26" s="45"/>
      <c r="J26" s="21">
        <f>Table1[[#This Row],[Order]]*Table1[[#This Row],[Price]]</f>
        <v>0</v>
      </c>
      <c r="K26" s="69"/>
    </row>
    <row r="27" spans="1:11" s="15" customFormat="1" ht="14.4" x14ac:dyDescent="0.3">
      <c r="A27" s="16" t="s">
        <v>79</v>
      </c>
      <c r="B27" s="17" t="s">
        <v>87</v>
      </c>
      <c r="C27" s="48" t="s">
        <v>120</v>
      </c>
      <c r="D27" s="19" t="s">
        <v>130</v>
      </c>
      <c r="E27" s="50">
        <v>0.15</v>
      </c>
      <c r="F27" s="20">
        <v>12</v>
      </c>
      <c r="G27" s="61" t="s">
        <v>59</v>
      </c>
      <c r="H27" s="13">
        <v>29.661209999999997</v>
      </c>
      <c r="I27" s="45"/>
      <c r="J27" s="21">
        <f>Table1[[#This Row],[Order]]*Table1[[#This Row],[Price]]</f>
        <v>0</v>
      </c>
      <c r="K27" s="69"/>
    </row>
    <row r="28" spans="1:11" s="15" customFormat="1" ht="14.4" x14ac:dyDescent="0.3">
      <c r="A28" s="23" t="s">
        <v>80</v>
      </c>
      <c r="B28" s="24" t="s">
        <v>88</v>
      </c>
      <c r="C28" s="48" t="s">
        <v>120</v>
      </c>
      <c r="D28" s="26" t="s">
        <v>131</v>
      </c>
      <c r="E28" s="51">
        <v>0.14000000000000001</v>
      </c>
      <c r="F28" s="27">
        <v>12</v>
      </c>
      <c r="G28" s="62" t="s">
        <v>59</v>
      </c>
      <c r="H28" s="13">
        <v>11.54673</v>
      </c>
      <c r="I28" s="45"/>
      <c r="J28" s="28">
        <f>Table1[[#This Row],[Order]]*Table1[[#This Row],[Price]]</f>
        <v>0</v>
      </c>
      <c r="K28" s="70"/>
    </row>
    <row r="29" spans="1:11" s="15" customFormat="1" ht="14.4" x14ac:dyDescent="0.3">
      <c r="A29" s="23" t="s">
        <v>81</v>
      </c>
      <c r="B29" s="24" t="s">
        <v>89</v>
      </c>
      <c r="C29" s="48" t="s">
        <v>120</v>
      </c>
      <c r="D29" s="26" t="s">
        <v>132</v>
      </c>
      <c r="E29" s="51">
        <v>0.57999999999999996</v>
      </c>
      <c r="F29" s="27">
        <v>12</v>
      </c>
      <c r="G29" s="62" t="s">
        <v>173</v>
      </c>
      <c r="H29" s="13">
        <v>13.335659999999999</v>
      </c>
      <c r="I29" s="45"/>
      <c r="J29" s="28">
        <f>Table1[[#This Row],[Order]]*Table1[[#This Row],[Price]]</f>
        <v>0</v>
      </c>
      <c r="K29" s="70"/>
    </row>
    <row r="30" spans="1:11" s="15" customFormat="1" ht="14.4" x14ac:dyDescent="0.3">
      <c r="A30" s="23" t="s">
        <v>81</v>
      </c>
      <c r="B30" s="24" t="s">
        <v>90</v>
      </c>
      <c r="C30" s="48" t="s">
        <v>120</v>
      </c>
      <c r="D30" s="26" t="s">
        <v>133</v>
      </c>
      <c r="E30" s="51">
        <v>0.28000000000000003</v>
      </c>
      <c r="F30" s="27">
        <v>12</v>
      </c>
      <c r="G30" s="62" t="s">
        <v>59</v>
      </c>
      <c r="H30" s="13">
        <v>14.223869999999998</v>
      </c>
      <c r="I30" s="45"/>
      <c r="J30" s="28">
        <f>Table1[[#This Row],[Order]]*Table1[[#This Row],[Price]]</f>
        <v>0</v>
      </c>
      <c r="K30" s="70"/>
    </row>
    <row r="31" spans="1:11" s="15" customFormat="1" ht="14.4" x14ac:dyDescent="0.3">
      <c r="A31" s="16" t="s">
        <v>51</v>
      </c>
      <c r="B31" s="17" t="s">
        <v>17</v>
      </c>
      <c r="C31" s="48" t="s">
        <v>120</v>
      </c>
      <c r="D31" s="19" t="s">
        <v>134</v>
      </c>
      <c r="E31" s="50">
        <v>0.6</v>
      </c>
      <c r="F31" s="20">
        <v>12</v>
      </c>
      <c r="G31" s="61" t="s">
        <v>173</v>
      </c>
      <c r="H31" s="13">
        <v>21.879989999999996</v>
      </c>
      <c r="I31" s="45"/>
      <c r="J31" s="21">
        <f>Table1[[#This Row],[Order]]*Table1[[#This Row],[Price]]</f>
        <v>0</v>
      </c>
      <c r="K31" s="69"/>
    </row>
    <row r="32" spans="1:11" s="15" customFormat="1" ht="14.4" x14ac:dyDescent="0.3">
      <c r="A32" s="23" t="s">
        <v>51</v>
      </c>
      <c r="B32" s="24" t="s">
        <v>91</v>
      </c>
      <c r="C32" s="48" t="s">
        <v>120</v>
      </c>
      <c r="D32" s="26" t="s">
        <v>135</v>
      </c>
      <c r="E32" s="51">
        <v>1.03</v>
      </c>
      <c r="F32" s="27">
        <v>6</v>
      </c>
      <c r="G32" s="62" t="s">
        <v>173</v>
      </c>
      <c r="H32" s="13">
        <v>32.538510000000002</v>
      </c>
      <c r="I32" s="45"/>
      <c r="J32" s="28">
        <f>Table1[[#This Row],[Order]]*Table1[[#This Row],[Price]]</f>
        <v>0</v>
      </c>
      <c r="K32" s="70"/>
    </row>
    <row r="33" spans="1:11" s="15" customFormat="1" ht="14.4" x14ac:dyDescent="0.3">
      <c r="A33" s="23" t="s">
        <v>51</v>
      </c>
      <c r="B33" s="22" t="s">
        <v>92</v>
      </c>
      <c r="C33" s="48" t="s">
        <v>120</v>
      </c>
      <c r="D33" s="26" t="s">
        <v>136</v>
      </c>
      <c r="E33" s="51">
        <v>2.34</v>
      </c>
      <c r="F33" s="27">
        <v>4</v>
      </c>
      <c r="G33" s="62" t="s">
        <v>173</v>
      </c>
      <c r="H33" s="13">
        <v>74.734740000000002</v>
      </c>
      <c r="I33" s="45"/>
      <c r="J33" s="28">
        <f>Table1[[#This Row],[Order]]*Table1[[#This Row],[Price]]</f>
        <v>0</v>
      </c>
      <c r="K33" s="70"/>
    </row>
    <row r="34" spans="1:11" s="15" customFormat="1" ht="14.4" x14ac:dyDescent="0.3">
      <c r="A34" s="23" t="s">
        <v>51</v>
      </c>
      <c r="B34" s="22" t="s">
        <v>18</v>
      </c>
      <c r="C34" s="48" t="s">
        <v>120</v>
      </c>
      <c r="D34" s="26" t="s">
        <v>137</v>
      </c>
      <c r="E34" s="51">
        <v>2.34</v>
      </c>
      <c r="F34" s="27">
        <v>4</v>
      </c>
      <c r="G34" s="62" t="s">
        <v>173</v>
      </c>
      <c r="H34" s="13">
        <v>78.575310000000002</v>
      </c>
      <c r="I34" s="45"/>
      <c r="J34" s="28">
        <f>Table1[[#This Row],[Order]]*Table1[[#This Row],[Price]]</f>
        <v>0</v>
      </c>
      <c r="K34" s="70"/>
    </row>
    <row r="35" spans="1:11" s="15" customFormat="1" ht="14.4" x14ac:dyDescent="0.3">
      <c r="A35" s="23" t="s">
        <v>51</v>
      </c>
      <c r="B35" s="24" t="s">
        <v>42</v>
      </c>
      <c r="C35" s="48" t="s">
        <v>120</v>
      </c>
      <c r="D35" s="26" t="s">
        <v>138</v>
      </c>
      <c r="E35" s="51">
        <v>2.34</v>
      </c>
      <c r="F35" s="27">
        <v>4</v>
      </c>
      <c r="G35" s="62" t="s">
        <v>173</v>
      </c>
      <c r="H35" s="13">
        <v>71.382059999999996</v>
      </c>
      <c r="I35" s="45"/>
      <c r="J35" s="28">
        <f>Table1[[#This Row],[Order]]*Table1[[#This Row],[Price]]</f>
        <v>0</v>
      </c>
      <c r="K35" s="70"/>
    </row>
    <row r="36" spans="1:11" s="15" customFormat="1" ht="14.4" x14ac:dyDescent="0.3">
      <c r="A36" s="16" t="s">
        <v>51</v>
      </c>
      <c r="B36" s="22" t="s">
        <v>93</v>
      </c>
      <c r="C36" s="48" t="s">
        <v>120</v>
      </c>
      <c r="D36" s="19" t="s">
        <v>139</v>
      </c>
      <c r="E36" s="50">
        <v>1.03</v>
      </c>
      <c r="F36" s="20"/>
      <c r="G36" s="61" t="s">
        <v>173</v>
      </c>
      <c r="H36" s="13">
        <v>30.987269999999995</v>
      </c>
      <c r="I36" s="45"/>
      <c r="J36" s="21">
        <f>Table1[[#This Row],[Order]]*Table1[[#This Row],[Price]]</f>
        <v>0</v>
      </c>
      <c r="K36" s="69"/>
    </row>
    <row r="37" spans="1:11" s="15" customFormat="1" ht="14.4" x14ac:dyDescent="0.3">
      <c r="A37" s="16" t="s">
        <v>79</v>
      </c>
      <c r="B37" s="22" t="s">
        <v>94</v>
      </c>
      <c r="C37" s="48" t="s">
        <v>120</v>
      </c>
      <c r="D37" s="19" t="s">
        <v>140</v>
      </c>
      <c r="E37" s="50">
        <v>0.04</v>
      </c>
      <c r="F37" s="20"/>
      <c r="G37" s="61" t="s">
        <v>59</v>
      </c>
      <c r="H37" s="13">
        <v>6.4176299999999991</v>
      </c>
      <c r="I37" s="45"/>
      <c r="J37" s="21">
        <f>Table1[[#This Row],[Order]]*Table1[[#This Row],[Price]]</f>
        <v>0</v>
      </c>
      <c r="K37" s="69"/>
    </row>
    <row r="38" spans="1:11" s="15" customFormat="1" ht="14.4" x14ac:dyDescent="0.3">
      <c r="A38" s="16" t="s">
        <v>48</v>
      </c>
      <c r="B38" s="22" t="s">
        <v>95</v>
      </c>
      <c r="C38" s="48" t="s">
        <v>120</v>
      </c>
      <c r="D38" s="19" t="s">
        <v>141</v>
      </c>
      <c r="E38" s="50">
        <v>0.14000000000000001</v>
      </c>
      <c r="F38" s="20">
        <v>24</v>
      </c>
      <c r="G38" s="61" t="s">
        <v>59</v>
      </c>
      <c r="H38" s="13">
        <v>31.525199999999998</v>
      </c>
      <c r="I38" s="45"/>
      <c r="J38" s="21">
        <f>Table1[[#This Row],[Order]]*Table1[[#This Row],[Price]]</f>
        <v>0</v>
      </c>
      <c r="K38" s="69"/>
    </row>
    <row r="39" spans="1:11" s="15" customFormat="1" ht="14.4" x14ac:dyDescent="0.3">
      <c r="A39" s="23" t="s">
        <v>48</v>
      </c>
      <c r="B39" s="24" t="s">
        <v>96</v>
      </c>
      <c r="C39" s="48" t="s">
        <v>120</v>
      </c>
      <c r="D39" s="26" t="s">
        <v>142</v>
      </c>
      <c r="E39" s="51">
        <v>7.0000000000000007E-2</v>
      </c>
      <c r="F39" s="27">
        <v>24</v>
      </c>
      <c r="G39" s="62" t="s">
        <v>173</v>
      </c>
      <c r="H39" s="13">
        <v>10.095569999999999</v>
      </c>
      <c r="I39" s="45"/>
      <c r="J39" s="28">
        <f>Table1[[#This Row],[Order]]*Table1[[#This Row],[Price]]</f>
        <v>0</v>
      </c>
      <c r="K39" s="69" t="s">
        <v>179</v>
      </c>
    </row>
    <row r="40" spans="1:11" s="15" customFormat="1" ht="14.4" x14ac:dyDescent="0.3">
      <c r="A40" s="23" t="s">
        <v>48</v>
      </c>
      <c r="B40" s="24" t="s">
        <v>97</v>
      </c>
      <c r="C40" s="48" t="s">
        <v>120</v>
      </c>
      <c r="D40" s="26" t="s">
        <v>143</v>
      </c>
      <c r="E40" s="51">
        <v>0.19</v>
      </c>
      <c r="F40" s="27">
        <v>24</v>
      </c>
      <c r="G40" s="62" t="s">
        <v>173</v>
      </c>
      <c r="H40" s="13">
        <v>28.522799999999997</v>
      </c>
      <c r="I40" s="45"/>
      <c r="J40" s="28">
        <f>Table1[[#This Row],[Order]]*Table1[[#This Row],[Price]]</f>
        <v>0</v>
      </c>
      <c r="K40" s="69" t="s">
        <v>179</v>
      </c>
    </row>
    <row r="41" spans="1:11" s="15" customFormat="1" ht="14.4" x14ac:dyDescent="0.3">
      <c r="A41" s="23" t="s">
        <v>50</v>
      </c>
      <c r="B41" s="22" t="s">
        <v>98</v>
      </c>
      <c r="C41" s="48" t="s">
        <v>120</v>
      </c>
      <c r="D41" s="26" t="s">
        <v>144</v>
      </c>
      <c r="E41" s="51">
        <v>0.06</v>
      </c>
      <c r="F41" s="27">
        <v>48</v>
      </c>
      <c r="G41" s="62" t="s">
        <v>173</v>
      </c>
      <c r="H41" s="13">
        <v>13.560839999999999</v>
      </c>
      <c r="I41" s="45"/>
      <c r="J41" s="28">
        <f>Table1[[#This Row],[Order]]*Table1[[#This Row],[Price]]</f>
        <v>0</v>
      </c>
      <c r="K41" s="70"/>
    </row>
    <row r="42" spans="1:11" s="15" customFormat="1" ht="14.4" x14ac:dyDescent="0.3">
      <c r="A42" s="23" t="s">
        <v>50</v>
      </c>
      <c r="B42" s="24" t="s">
        <v>99</v>
      </c>
      <c r="C42" s="48" t="s">
        <v>120</v>
      </c>
      <c r="D42" s="26" t="s">
        <v>145</v>
      </c>
      <c r="E42" s="51">
        <v>7.0000000000000007E-2</v>
      </c>
      <c r="F42" s="27">
        <v>48</v>
      </c>
      <c r="G42" s="62" t="s">
        <v>173</v>
      </c>
      <c r="H42" s="13">
        <v>5.9672699999999992</v>
      </c>
      <c r="I42" s="45"/>
      <c r="J42" s="28">
        <f>Table1[[#This Row],[Order]]*Table1[[#This Row],[Price]]</f>
        <v>0</v>
      </c>
      <c r="K42" s="70"/>
    </row>
    <row r="43" spans="1:11" s="15" customFormat="1" ht="14.4" x14ac:dyDescent="0.3">
      <c r="A43" s="16" t="s">
        <v>50</v>
      </c>
      <c r="B43" s="22" t="s">
        <v>100</v>
      </c>
      <c r="C43" s="48" t="s">
        <v>120</v>
      </c>
      <c r="D43" s="29" t="s">
        <v>146</v>
      </c>
      <c r="E43" s="53">
        <v>0.06</v>
      </c>
      <c r="F43" s="20">
        <v>48</v>
      </c>
      <c r="G43" s="61" t="s">
        <v>173</v>
      </c>
      <c r="H43" s="13">
        <v>4.0782599999999993</v>
      </c>
      <c r="I43" s="45"/>
      <c r="J43" s="21">
        <f>Table1[[#This Row],[Order]]*Table1[[#This Row],[Price]]</f>
        <v>0</v>
      </c>
      <c r="K43" s="69"/>
    </row>
    <row r="44" spans="1:11" s="15" customFormat="1" ht="14.4" x14ac:dyDescent="0.3">
      <c r="A44" s="16" t="s">
        <v>50</v>
      </c>
      <c r="B44" s="22" t="s">
        <v>101</v>
      </c>
      <c r="C44" s="48" t="s">
        <v>120</v>
      </c>
      <c r="D44" s="29" t="s">
        <v>147</v>
      </c>
      <c r="E44" s="53">
        <v>7.0000000000000007E-2</v>
      </c>
      <c r="F44" s="20">
        <v>24</v>
      </c>
      <c r="G44" s="61" t="s">
        <v>173</v>
      </c>
      <c r="H44" s="13">
        <v>11.008800000000001</v>
      </c>
      <c r="I44" s="45"/>
      <c r="J44" s="21">
        <f>Table1[[#This Row],[Order]]*Table1[[#This Row],[Price]]</f>
        <v>0</v>
      </c>
      <c r="K44" s="69"/>
    </row>
    <row r="45" spans="1:11" s="15" customFormat="1" ht="14.4" x14ac:dyDescent="0.3">
      <c r="A45" s="23" t="s">
        <v>50</v>
      </c>
      <c r="B45" s="24" t="s">
        <v>102</v>
      </c>
      <c r="C45" s="48" t="s">
        <v>120</v>
      </c>
      <c r="D45" s="30" t="s">
        <v>148</v>
      </c>
      <c r="E45" s="54">
        <v>0.13</v>
      </c>
      <c r="F45" s="27">
        <v>30</v>
      </c>
      <c r="G45" s="62" t="s">
        <v>59</v>
      </c>
      <c r="H45" s="13">
        <v>13.635899999999999</v>
      </c>
      <c r="I45" s="45"/>
      <c r="J45" s="28">
        <f>Table1[[#This Row],[Order]]*Table1[[#This Row],[Price]]</f>
        <v>0</v>
      </c>
      <c r="K45" s="70"/>
    </row>
    <row r="46" spans="1:11" s="15" customFormat="1" ht="28.8" x14ac:dyDescent="0.3">
      <c r="A46" s="16" t="s">
        <v>46</v>
      </c>
      <c r="B46" s="22" t="s">
        <v>2</v>
      </c>
      <c r="C46" s="18">
        <v>898220009565</v>
      </c>
      <c r="D46" s="29" t="s">
        <v>3</v>
      </c>
      <c r="E46" s="53">
        <v>0.1</v>
      </c>
      <c r="F46" s="20">
        <v>46</v>
      </c>
      <c r="G46" s="61" t="s">
        <v>59</v>
      </c>
      <c r="H46" s="13">
        <v>10.771109999999998</v>
      </c>
      <c r="I46" s="45"/>
      <c r="J46" s="21">
        <f>Table1[[#This Row],[Order]]*Table1[[#This Row],[Price]]</f>
        <v>0</v>
      </c>
      <c r="K46" s="69"/>
    </row>
    <row r="47" spans="1:11" s="15" customFormat="1" ht="28.8" x14ac:dyDescent="0.3">
      <c r="A47" s="23" t="s">
        <v>46</v>
      </c>
      <c r="B47" s="24" t="s">
        <v>44</v>
      </c>
      <c r="C47" s="48" t="s">
        <v>120</v>
      </c>
      <c r="D47" s="26" t="s">
        <v>45</v>
      </c>
      <c r="E47" s="51">
        <v>0.27</v>
      </c>
      <c r="F47" s="27">
        <v>18</v>
      </c>
      <c r="G47" s="62" t="s">
        <v>59</v>
      </c>
      <c r="H47" s="13">
        <v>23.105969999999996</v>
      </c>
      <c r="I47" s="45"/>
      <c r="J47" s="28">
        <f>Table1[[#This Row],[Order]]*Table1[[#This Row],[Price]]</f>
        <v>0</v>
      </c>
      <c r="K47" s="70"/>
    </row>
    <row r="48" spans="1:11" s="15" customFormat="1" ht="14.4" x14ac:dyDescent="0.3">
      <c r="A48" s="23" t="s">
        <v>46</v>
      </c>
      <c r="B48" s="24" t="s">
        <v>60</v>
      </c>
      <c r="C48" s="25">
        <v>898220011094</v>
      </c>
      <c r="D48" s="26" t="s">
        <v>149</v>
      </c>
      <c r="E48" s="51">
        <v>0.05</v>
      </c>
      <c r="F48" s="27">
        <v>12</v>
      </c>
      <c r="G48" s="62" t="s">
        <v>173</v>
      </c>
      <c r="H48" s="13">
        <v>8.18154</v>
      </c>
      <c r="I48" s="45"/>
      <c r="J48" s="28">
        <f>Table1[[#This Row],[Order]]*Table1[[#This Row],[Price]]</f>
        <v>0</v>
      </c>
      <c r="K48" s="70"/>
    </row>
    <row r="49" spans="1:11" s="15" customFormat="1" ht="14.4" x14ac:dyDescent="0.3">
      <c r="A49" s="16" t="s">
        <v>46</v>
      </c>
      <c r="B49" s="17" t="s">
        <v>103</v>
      </c>
      <c r="C49" s="48" t="s">
        <v>120</v>
      </c>
      <c r="D49" s="19" t="s">
        <v>150</v>
      </c>
      <c r="E49" s="50">
        <v>0.13</v>
      </c>
      <c r="F49" s="20">
        <v>12</v>
      </c>
      <c r="G49" s="61" t="s">
        <v>59</v>
      </c>
      <c r="H49" s="13">
        <v>20.141100000000002</v>
      </c>
      <c r="I49" s="45"/>
      <c r="J49" s="21">
        <f>Table1[[#This Row],[Order]]*Table1[[#This Row],[Price]]</f>
        <v>0</v>
      </c>
      <c r="K49" s="69"/>
    </row>
    <row r="50" spans="1:11" s="15" customFormat="1" ht="14.4" x14ac:dyDescent="0.3">
      <c r="A50" s="16" t="s">
        <v>46</v>
      </c>
      <c r="B50" s="17" t="s">
        <v>104</v>
      </c>
      <c r="C50" s="48" t="s">
        <v>120</v>
      </c>
      <c r="D50" s="19" t="s">
        <v>151</v>
      </c>
      <c r="E50" s="50">
        <v>0.08</v>
      </c>
      <c r="F50" s="20">
        <v>54</v>
      </c>
      <c r="G50" s="61" t="s">
        <v>59</v>
      </c>
      <c r="H50" s="13">
        <v>16.338059999999999</v>
      </c>
      <c r="I50" s="45"/>
      <c r="J50" s="21">
        <f>Table1[[#This Row],[Order]]*Table1[[#This Row],[Price]]</f>
        <v>0</v>
      </c>
      <c r="K50" s="69"/>
    </row>
    <row r="51" spans="1:11" s="15" customFormat="1" ht="14.4" x14ac:dyDescent="0.3">
      <c r="A51" s="23" t="s">
        <v>52</v>
      </c>
      <c r="B51" s="24" t="s">
        <v>34</v>
      </c>
      <c r="C51" s="25">
        <v>898220011759</v>
      </c>
      <c r="D51" s="26" t="s">
        <v>53</v>
      </c>
      <c r="E51" s="51">
        <v>0.05</v>
      </c>
      <c r="F51" s="27">
        <v>52</v>
      </c>
      <c r="G51" s="62" t="s">
        <v>172</v>
      </c>
      <c r="H51" s="13">
        <v>5.0540399999999996</v>
      </c>
      <c r="I51" s="45"/>
      <c r="J51" s="28">
        <f>Table1[[#This Row],[Order]]*Table1[[#This Row],[Price]]</f>
        <v>0</v>
      </c>
      <c r="K51" s="70"/>
    </row>
    <row r="52" spans="1:11" s="15" customFormat="1" ht="14.4" x14ac:dyDescent="0.3">
      <c r="A52" s="23" t="s">
        <v>52</v>
      </c>
      <c r="B52" s="24" t="s">
        <v>105</v>
      </c>
      <c r="C52" s="48" t="s">
        <v>120</v>
      </c>
      <c r="D52" s="26" t="s">
        <v>152</v>
      </c>
      <c r="E52" s="51">
        <v>0.16</v>
      </c>
      <c r="F52" s="27">
        <v>38</v>
      </c>
      <c r="G52" s="62" t="s">
        <v>172</v>
      </c>
      <c r="H52" s="13">
        <v>9.3824999999999985</v>
      </c>
      <c r="I52" s="45"/>
      <c r="J52" s="28">
        <f>Table1[[#This Row],[Order]]*Table1[[#This Row],[Price]]</f>
        <v>0</v>
      </c>
      <c r="K52" s="70"/>
    </row>
    <row r="53" spans="1:11" s="15" customFormat="1" ht="14.4" x14ac:dyDescent="0.3">
      <c r="A53" s="16" t="s">
        <v>52</v>
      </c>
      <c r="B53" s="17" t="s">
        <v>106</v>
      </c>
      <c r="C53" s="48" t="s">
        <v>120</v>
      </c>
      <c r="D53" s="19" t="s">
        <v>153</v>
      </c>
      <c r="E53" s="50">
        <v>0.43</v>
      </c>
      <c r="F53" s="20">
        <v>9</v>
      </c>
      <c r="G53" s="61" t="s">
        <v>172</v>
      </c>
      <c r="H53" s="13">
        <v>22.880789999999998</v>
      </c>
      <c r="I53" s="45"/>
      <c r="J53" s="21">
        <f>Table1[[#This Row],[Order]]*Table1[[#This Row],[Price]]</f>
        <v>0</v>
      </c>
      <c r="K53" s="69"/>
    </row>
    <row r="54" spans="1:11" s="15" customFormat="1" ht="14.4" x14ac:dyDescent="0.3">
      <c r="A54" s="16" t="s">
        <v>52</v>
      </c>
      <c r="B54" s="22" t="s">
        <v>107</v>
      </c>
      <c r="C54" s="48" t="s">
        <v>120</v>
      </c>
      <c r="D54" s="19" t="s">
        <v>154</v>
      </c>
      <c r="E54" s="50">
        <v>0.25</v>
      </c>
      <c r="F54" s="20">
        <v>20</v>
      </c>
      <c r="G54" s="61" t="s">
        <v>173</v>
      </c>
      <c r="H54" s="13">
        <v>15.71256</v>
      </c>
      <c r="I54" s="45"/>
      <c r="J54" s="21">
        <f>Table1[[#This Row],[Order]]*Table1[[#This Row],[Price]]</f>
        <v>0</v>
      </c>
      <c r="K54" s="69"/>
    </row>
    <row r="55" spans="1:11" s="15" customFormat="1" ht="14.4" x14ac:dyDescent="0.3">
      <c r="A55" s="16" t="s">
        <v>49</v>
      </c>
      <c r="B55" s="22" t="s">
        <v>108</v>
      </c>
      <c r="C55" s="48" t="s">
        <v>120</v>
      </c>
      <c r="D55" s="19" t="s">
        <v>155</v>
      </c>
      <c r="E55" s="50">
        <v>0.03</v>
      </c>
      <c r="F55" s="20">
        <v>105</v>
      </c>
      <c r="G55" s="61" t="s">
        <v>172</v>
      </c>
      <c r="H55" s="13">
        <v>5.2917300000000003</v>
      </c>
      <c r="I55" s="45"/>
      <c r="J55" s="21">
        <f>Table1[[#This Row],[Order]]*Table1[[#This Row],[Price]]</f>
        <v>0</v>
      </c>
      <c r="K55" s="69"/>
    </row>
    <row r="56" spans="1:11" s="15" customFormat="1" ht="14.4" x14ac:dyDescent="0.3">
      <c r="A56" s="16" t="s">
        <v>49</v>
      </c>
      <c r="B56" s="22" t="s">
        <v>109</v>
      </c>
      <c r="C56" s="48" t="s">
        <v>120</v>
      </c>
      <c r="D56" s="19" t="s">
        <v>156</v>
      </c>
      <c r="E56" s="50">
        <v>0.1</v>
      </c>
      <c r="F56" s="20">
        <v>46</v>
      </c>
      <c r="G56" s="61" t="s">
        <v>172</v>
      </c>
      <c r="H56" s="13">
        <v>18.314640000000001</v>
      </c>
      <c r="I56" s="45"/>
      <c r="J56" s="21">
        <f>Table1[[#This Row],[Order]]*Table1[[#This Row],[Price]]</f>
        <v>0</v>
      </c>
      <c r="K56" s="69"/>
    </row>
    <row r="57" spans="1:11" s="15" customFormat="1" ht="28.8" x14ac:dyDescent="0.3">
      <c r="A57" s="23" t="s">
        <v>82</v>
      </c>
      <c r="B57" s="24" t="s">
        <v>110</v>
      </c>
      <c r="C57" s="48" t="s">
        <v>120</v>
      </c>
      <c r="D57" s="26" t="s">
        <v>157</v>
      </c>
      <c r="E57" s="51">
        <v>0.12</v>
      </c>
      <c r="F57" s="27">
        <v>24</v>
      </c>
      <c r="G57" s="62" t="s">
        <v>173</v>
      </c>
      <c r="H57" s="13">
        <v>17.50149</v>
      </c>
      <c r="I57" s="45"/>
      <c r="J57" s="28">
        <f>Table1[[#This Row],[Order]]*Table1[[#This Row],[Price]]</f>
        <v>0</v>
      </c>
      <c r="K57" s="70"/>
    </row>
    <row r="58" spans="1:11" s="15" customFormat="1" ht="14.4" x14ac:dyDescent="0.3">
      <c r="A58" s="23" t="s">
        <v>47</v>
      </c>
      <c r="B58" s="24" t="s">
        <v>111</v>
      </c>
      <c r="C58" s="48" t="s">
        <v>120</v>
      </c>
      <c r="D58" s="26" t="s">
        <v>158</v>
      </c>
      <c r="E58" s="51">
        <v>0.12</v>
      </c>
      <c r="F58" s="27"/>
      <c r="G58" s="62" t="s">
        <v>172</v>
      </c>
      <c r="H58" s="13">
        <v>27.434429999999999</v>
      </c>
      <c r="I58" s="45"/>
      <c r="J58" s="28">
        <f>Table1[[#This Row],[Order]]*Table1[[#This Row],[Price]]</f>
        <v>0</v>
      </c>
      <c r="K58" s="70"/>
    </row>
    <row r="59" spans="1:11" s="15" customFormat="1" ht="14.4" x14ac:dyDescent="0.3">
      <c r="A59" s="16" t="s">
        <v>47</v>
      </c>
      <c r="B59" s="17" t="s">
        <v>112</v>
      </c>
      <c r="C59" s="48" t="s">
        <v>120</v>
      </c>
      <c r="D59" s="19" t="s">
        <v>159</v>
      </c>
      <c r="E59" s="50">
        <v>0.05</v>
      </c>
      <c r="F59" s="20">
        <v>12</v>
      </c>
      <c r="G59" s="61" t="s">
        <v>173</v>
      </c>
      <c r="H59" s="13">
        <v>8.3816999999999986</v>
      </c>
      <c r="I59" s="45"/>
      <c r="J59" s="21">
        <f>Table1[[#This Row],[Order]]*Table1[[#This Row],[Price]]</f>
        <v>0</v>
      </c>
      <c r="K59" s="69"/>
    </row>
    <row r="60" spans="1:11" s="15" customFormat="1" ht="14.4" x14ac:dyDescent="0.3">
      <c r="A60" s="16" t="s">
        <v>47</v>
      </c>
      <c r="B60" s="22" t="s">
        <v>113</v>
      </c>
      <c r="C60" s="48" t="s">
        <v>120</v>
      </c>
      <c r="D60" s="19" t="s">
        <v>160</v>
      </c>
      <c r="E60" s="50">
        <v>0.09</v>
      </c>
      <c r="F60" s="20">
        <v>36</v>
      </c>
      <c r="G60" s="61" t="s">
        <v>173</v>
      </c>
      <c r="H60" s="13">
        <v>15.337259999999999</v>
      </c>
      <c r="I60" s="45"/>
      <c r="J60" s="21">
        <f>Table1[[#This Row],[Order]]*Table1[[#This Row],[Price]]</f>
        <v>0</v>
      </c>
      <c r="K60" s="69"/>
    </row>
    <row r="61" spans="1:11" s="15" customFormat="1" ht="14.4" x14ac:dyDescent="0.3">
      <c r="A61" s="16" t="s">
        <v>83</v>
      </c>
      <c r="B61" s="22" t="s">
        <v>114</v>
      </c>
      <c r="C61" s="48" t="s">
        <v>120</v>
      </c>
      <c r="D61" s="19" t="s">
        <v>161</v>
      </c>
      <c r="E61" s="50">
        <v>0.19</v>
      </c>
      <c r="F61" s="20">
        <v>36</v>
      </c>
      <c r="G61" s="61" t="s">
        <v>172</v>
      </c>
      <c r="H61" s="13">
        <v>11.6343</v>
      </c>
      <c r="I61" s="45"/>
      <c r="J61" s="21">
        <f>Table1[[#This Row],[Order]]*Table1[[#This Row],[Price]]</f>
        <v>0</v>
      </c>
      <c r="K61" s="69"/>
    </row>
    <row r="62" spans="1:11" s="15" customFormat="1" ht="14.4" x14ac:dyDescent="0.3">
      <c r="A62" s="16" t="s">
        <v>83</v>
      </c>
      <c r="B62" s="22" t="s">
        <v>115</v>
      </c>
      <c r="C62" s="48" t="s">
        <v>120</v>
      </c>
      <c r="D62" s="19" t="s">
        <v>162</v>
      </c>
      <c r="E62" s="50">
        <v>0.18</v>
      </c>
      <c r="F62" s="20">
        <v>36</v>
      </c>
      <c r="G62" s="61" t="s">
        <v>172</v>
      </c>
      <c r="H62" s="13">
        <v>11.6343</v>
      </c>
      <c r="I62" s="45"/>
      <c r="J62" s="21">
        <f>Table1[[#This Row],[Order]]*Table1[[#This Row],[Price]]</f>
        <v>0</v>
      </c>
      <c r="K62" s="69"/>
    </row>
    <row r="63" spans="1:11" s="15" customFormat="1" ht="14.4" x14ac:dyDescent="0.3">
      <c r="A63" s="16" t="s">
        <v>83</v>
      </c>
      <c r="B63" s="22" t="s">
        <v>116</v>
      </c>
      <c r="C63" s="48" t="s">
        <v>120</v>
      </c>
      <c r="D63" s="19" t="s">
        <v>163</v>
      </c>
      <c r="E63" s="50">
        <v>0.15</v>
      </c>
      <c r="F63" s="20">
        <v>36</v>
      </c>
      <c r="G63" s="61" t="s">
        <v>172</v>
      </c>
      <c r="H63" s="13">
        <v>12.99789</v>
      </c>
      <c r="I63" s="45"/>
      <c r="J63" s="21">
        <f>Table1[[#This Row],[Order]]*Table1[[#This Row],[Price]]</f>
        <v>0</v>
      </c>
      <c r="K63" s="69"/>
    </row>
    <row r="64" spans="1:11" s="15" customFormat="1" ht="14.4" x14ac:dyDescent="0.3">
      <c r="A64" s="16" t="s">
        <v>83</v>
      </c>
      <c r="B64" s="17" t="s">
        <v>117</v>
      </c>
      <c r="C64" s="48" t="s">
        <v>120</v>
      </c>
      <c r="D64" s="19" t="s">
        <v>164</v>
      </c>
      <c r="E64" s="50">
        <v>0.18</v>
      </c>
      <c r="F64" s="20">
        <v>36</v>
      </c>
      <c r="G64" s="61" t="s">
        <v>172</v>
      </c>
      <c r="H64" s="13">
        <v>12.99789</v>
      </c>
      <c r="I64" s="45"/>
      <c r="J64" s="21">
        <f>Table1[[#This Row],[Order]]*Table1[[#This Row],[Price]]</f>
        <v>0</v>
      </c>
      <c r="K64" s="69"/>
    </row>
    <row r="65" spans="1:12" s="15" customFormat="1" ht="14.4" x14ac:dyDescent="0.3">
      <c r="A65" s="16" t="s">
        <v>83</v>
      </c>
      <c r="B65" s="17" t="s">
        <v>118</v>
      </c>
      <c r="C65" s="48" t="s">
        <v>120</v>
      </c>
      <c r="D65" s="19" t="s">
        <v>165</v>
      </c>
      <c r="E65" s="50">
        <v>0.13</v>
      </c>
      <c r="F65" s="20">
        <v>36</v>
      </c>
      <c r="G65" s="61" t="s">
        <v>172</v>
      </c>
      <c r="H65" s="13">
        <v>12.99789</v>
      </c>
      <c r="I65" s="45"/>
      <c r="J65" s="21">
        <f>Table1[[#This Row],[Order]]*Table1[[#This Row],[Price]]</f>
        <v>0</v>
      </c>
      <c r="K65" s="69"/>
    </row>
    <row r="66" spans="1:12" s="15" customFormat="1" ht="14.4" x14ac:dyDescent="0.3">
      <c r="A66" s="16" t="s">
        <v>84</v>
      </c>
      <c r="B66" s="22" t="s">
        <v>119</v>
      </c>
      <c r="C66" s="48" t="s">
        <v>120</v>
      </c>
      <c r="D66" s="19" t="s">
        <v>166</v>
      </c>
      <c r="E66" s="50">
        <v>0.15</v>
      </c>
      <c r="F66" s="20">
        <v>36</v>
      </c>
      <c r="G66" s="61" t="s">
        <v>174</v>
      </c>
      <c r="H66" s="13">
        <v>18.051929999999999</v>
      </c>
      <c r="I66" s="45"/>
      <c r="J66" s="21">
        <f>Table1[[#This Row],[Order]]*Table1[[#This Row],[Price]]</f>
        <v>0</v>
      </c>
      <c r="K66" s="69"/>
    </row>
    <row r="67" spans="1:12" s="15" customFormat="1" ht="14.4" x14ac:dyDescent="0.3">
      <c r="A67" s="16" t="s">
        <v>47</v>
      </c>
      <c r="B67" s="17" t="s">
        <v>16</v>
      </c>
      <c r="C67" s="18">
        <v>898220010530</v>
      </c>
      <c r="D67" s="19" t="s">
        <v>167</v>
      </c>
      <c r="E67" s="50">
        <v>0.13</v>
      </c>
      <c r="F67" s="20">
        <v>54</v>
      </c>
      <c r="G67" s="61" t="s">
        <v>173</v>
      </c>
      <c r="H67" s="13">
        <v>24.094259999999998</v>
      </c>
      <c r="I67" s="45"/>
      <c r="J67" s="21">
        <f>Table1[[#This Row],[Order]]*Table1[[#This Row],[Price]]</f>
        <v>0</v>
      </c>
      <c r="K67" s="69"/>
      <c r="L67" s="15" t="s">
        <v>76</v>
      </c>
    </row>
    <row r="68" spans="1:12" s="15" customFormat="1" ht="14.4" x14ac:dyDescent="0.3">
      <c r="A68" s="23" t="s">
        <v>48</v>
      </c>
      <c r="B68" s="24" t="s">
        <v>37</v>
      </c>
      <c r="C68" s="25">
        <v>898220011049</v>
      </c>
      <c r="D68" s="26" t="s">
        <v>168</v>
      </c>
      <c r="E68" s="51">
        <v>7.0000000000000007E-2</v>
      </c>
      <c r="F68" s="27">
        <v>120</v>
      </c>
      <c r="G68" s="62" t="s">
        <v>173</v>
      </c>
      <c r="H68" s="13">
        <v>31.600259999999999</v>
      </c>
      <c r="I68" s="45"/>
      <c r="J68" s="28">
        <f>Table1[[#This Row],[Order]]*Table1[[#This Row],[Price]]</f>
        <v>0</v>
      </c>
      <c r="K68" s="69" t="s">
        <v>179</v>
      </c>
      <c r="L68" s="15" t="s">
        <v>175</v>
      </c>
    </row>
    <row r="69" spans="1:12" s="15" customFormat="1" ht="14.4" x14ac:dyDescent="0.3">
      <c r="A69" s="16" t="s">
        <v>6</v>
      </c>
      <c r="B69" s="22" t="s">
        <v>35</v>
      </c>
      <c r="C69" s="18">
        <v>898220011780</v>
      </c>
      <c r="D69" s="19" t="s">
        <v>41</v>
      </c>
      <c r="E69" s="50">
        <v>0.34</v>
      </c>
      <c r="F69" s="20">
        <v>24</v>
      </c>
      <c r="G69" s="61" t="s">
        <v>173</v>
      </c>
      <c r="H69" s="13">
        <v>14.936939999999998</v>
      </c>
      <c r="I69" s="45"/>
      <c r="J69" s="21">
        <f>Table1[[#This Row],[Order]]*Table1[[#This Row],[Price]]</f>
        <v>0</v>
      </c>
      <c r="K69" s="69"/>
      <c r="L69" s="15" t="s">
        <v>176</v>
      </c>
    </row>
    <row r="70" spans="1:12" s="15" customFormat="1" ht="15" thickBot="1" x14ac:dyDescent="0.35">
      <c r="A70" s="16" t="s">
        <v>77</v>
      </c>
      <c r="B70" s="22" t="s">
        <v>12</v>
      </c>
      <c r="C70" s="18">
        <v>898220018079</v>
      </c>
      <c r="D70" s="29" t="s">
        <v>169</v>
      </c>
      <c r="E70" s="53">
        <v>0.12</v>
      </c>
      <c r="F70" s="20">
        <v>105</v>
      </c>
      <c r="G70" s="61" t="s">
        <v>173</v>
      </c>
      <c r="H70" s="13">
        <v>24.281909999999996</v>
      </c>
      <c r="I70" s="65"/>
      <c r="J70" s="21">
        <f>Table1[[#This Row],[Order]]*Table1[[#This Row],[Price]]</f>
        <v>0</v>
      </c>
      <c r="K70" s="69"/>
      <c r="L70" s="15" t="s">
        <v>177</v>
      </c>
    </row>
    <row r="71" spans="1:12" ht="15.75" customHeight="1" x14ac:dyDescent="0.3">
      <c r="A71" s="31"/>
      <c r="B71" s="31"/>
      <c r="C71" s="32"/>
      <c r="D71" s="33"/>
      <c r="E71" s="55"/>
    </row>
    <row r="72" spans="1:12" ht="15.75" customHeight="1" thickBot="1" x14ac:dyDescent="0.35">
      <c r="K72" s="57"/>
    </row>
    <row r="73" spans="1:12" ht="33" customHeight="1" thickBot="1" x14ac:dyDescent="0.35">
      <c r="A73" s="31"/>
      <c r="B73" s="31"/>
      <c r="C73" s="32"/>
      <c r="D73" s="36"/>
      <c r="E73" s="57"/>
      <c r="K73" s="58"/>
    </row>
    <row r="74" spans="1:12" ht="15.75" customHeight="1" x14ac:dyDescent="0.3">
      <c r="A74" s="31"/>
      <c r="B74" s="31"/>
      <c r="C74" s="32"/>
      <c r="D74" s="37" t="s">
        <v>72</v>
      </c>
      <c r="E74" s="58"/>
      <c r="K74" s="58"/>
    </row>
    <row r="75" spans="1:12" ht="15.75" customHeight="1" x14ac:dyDescent="0.3">
      <c r="A75" s="31"/>
      <c r="B75" s="31"/>
      <c r="C75" s="32"/>
      <c r="D75" s="38" t="s">
        <v>73</v>
      </c>
      <c r="E75" s="58"/>
      <c r="K75" s="58"/>
    </row>
    <row r="76" spans="1:12" ht="15.75" customHeight="1" thickBot="1" x14ac:dyDescent="0.35">
      <c r="A76" s="31"/>
      <c r="B76" s="31"/>
      <c r="C76" s="32"/>
      <c r="D76" s="39" t="s">
        <v>69</v>
      </c>
      <c r="E76" s="58"/>
      <c r="K76" s="58"/>
    </row>
    <row r="77" spans="1:12" ht="15.75" customHeight="1" x14ac:dyDescent="0.3">
      <c r="A77" s="31"/>
      <c r="B77" s="31"/>
      <c r="C77" s="32"/>
      <c r="D77" s="40" t="s">
        <v>70</v>
      </c>
      <c r="E77" s="58"/>
      <c r="K77" s="58"/>
    </row>
    <row r="78" spans="1:12" ht="15.75" customHeight="1" thickBot="1" x14ac:dyDescent="0.35">
      <c r="A78" s="31"/>
      <c r="B78" s="31"/>
      <c r="C78" s="32"/>
      <c r="D78" s="41" t="s">
        <v>71</v>
      </c>
      <c r="E78" s="58"/>
    </row>
  </sheetData>
  <sheetProtection algorithmName="SHA-512" hashValue="K5R6ZTnp0gPm2JfEW6+H9RA059J3X6LMGB+iWEASSVtYOoPcXVcaIzVBdfVImsavbspFSDppo8umskV1P+kklg==" saltValue="MgvyVevhq1jjprXAKzDfyg==" spinCount="100000" sheet="1" formatCells="0" formatColumns="0" formatRows="0" insertColumns="0" insertRows="0" insertHyperlinks="0" deleteColumns="0" deleteRows="0" sort="0" autoFilter="0" pivotTables="0"/>
  <mergeCells count="1">
    <mergeCell ref="A1:J1"/>
  </mergeCells>
  <phoneticPr fontId="11" type="noConversion"/>
  <conditionalFormatting sqref="B2">
    <cfRule type="duplicateValues" dxfId="9" priority="5"/>
    <cfRule type="duplicateValues" dxfId="8" priority="6"/>
  </conditionalFormatting>
  <conditionalFormatting sqref="B3:B13 B32:B35 B37:B52 B57 B59:B70 B15:B30">
    <cfRule type="duplicateValues" dxfId="7" priority="519"/>
  </conditionalFormatting>
  <conditionalFormatting sqref="B32:B34 B3:B7 B10:B11 B13 B15:B18">
    <cfRule type="duplicateValues" dxfId="6" priority="378"/>
  </conditionalFormatting>
  <conditionalFormatting sqref="B73:B1048576 B2:B71">
    <cfRule type="duplicateValues" dxfId="5" priority="520"/>
  </conditionalFormatting>
  <conditionalFormatting sqref="B73:B1048576 B3:B71">
    <cfRule type="duplicateValues" dxfId="4" priority="523"/>
  </conditionalFormatting>
  <conditionalFormatting sqref="B73:B1048576 B8:B14 B21 B24:B71">
    <cfRule type="duplicateValues" dxfId="3" priority="526"/>
  </conditionalFormatting>
  <conditionalFormatting sqref="C73:C1048576 C2 C71">
    <cfRule type="duplicateValues" dxfId="2" priority="534"/>
  </conditionalFormatting>
  <conditionalFormatting sqref="L2">
    <cfRule type="expression" dxfId="1" priority="1">
      <formula>$L$2&gt;0</formula>
    </cfRule>
  </conditionalFormatting>
  <dataValidations count="1">
    <dataValidation type="custom" allowBlank="1" showInputMessage="1" showErrorMessage="1" error="Order quantity must be a multiple of Sales per Unit Case (See Column F)." prompt="Order quantity must be a multiple of Sales per Unit Case (See Column F)." sqref="I3:I70" xr:uid="{985C4830-2BA1-4B3A-9E0D-022DD7D13612}">
      <formula1>MOD(I3,F3)=0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(California Gold)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Tkachuk Valia</cp:lastModifiedBy>
  <dcterms:created xsi:type="dcterms:W3CDTF">2023-05-16T23:38:59Z</dcterms:created>
  <dcterms:modified xsi:type="dcterms:W3CDTF">2025-03-19T12:21:43Z</dcterms:modified>
</cp:coreProperties>
</file>