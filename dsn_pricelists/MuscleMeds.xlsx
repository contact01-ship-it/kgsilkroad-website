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rices\MuscleMeds\Продаж\"/>
    </mc:Choice>
  </mc:AlternateContent>
  <xr:revisionPtr revIDLastSave="0" documentId="13_ncr:1_{DFF1552A-1A16-4E0E-8096-18F7574E68EE}" xr6:coauthVersionLast="47" xr6:coauthVersionMax="47" xr10:uidLastSave="{00000000-0000-0000-0000-000000000000}"/>
  <bookViews>
    <workbookView xWindow="-108" yWindow="-108" windowWidth="23256" windowHeight="12456" xr2:uid="{66ABEBE8-983E-4CD0-9F61-F1738B388246}"/>
  </bookViews>
  <sheets>
    <sheet name="DSN GROUP (MuscleMeds)" sheetId="1" r:id="rId1"/>
  </sheets>
  <definedNames>
    <definedName name="_xlnm._FilterDatabase" localSheetId="0" hidden="1">'DSN GROUP (MuscleMeds)'!$A$2:$I$2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I21" i="1"/>
  <c r="I24" i="1"/>
  <c r="I28" i="1"/>
  <c r="I29" i="1"/>
  <c r="I40" i="1"/>
  <c r="I44" i="1"/>
  <c r="I45" i="1"/>
  <c r="I48" i="1"/>
  <c r="I52" i="1"/>
  <c r="I54" i="1"/>
  <c r="I53" i="1"/>
  <c r="I51" i="1"/>
  <c r="I50" i="1"/>
  <c r="I49" i="1"/>
  <c r="I47" i="1"/>
  <c r="I46" i="1"/>
  <c r="I43" i="1"/>
  <c r="I42" i="1"/>
  <c r="I41" i="1"/>
  <c r="I39" i="1"/>
  <c r="I38" i="1"/>
  <c r="I37" i="1"/>
  <c r="I36" i="1"/>
  <c r="I35" i="1"/>
  <c r="I34" i="1"/>
  <c r="I33" i="1"/>
  <c r="I32" i="1"/>
  <c r="I31" i="1"/>
  <c r="I30" i="1"/>
  <c r="I27" i="1"/>
  <c r="I26" i="1"/>
  <c r="I25" i="1"/>
  <c r="I23" i="1"/>
  <c r="I22" i="1"/>
  <c r="I20" i="1"/>
  <c r="I19" i="1"/>
  <c r="I18" i="1"/>
  <c r="I17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J2" i="1" l="1"/>
</calcChain>
</file>

<file path=xl/sharedStrings.xml><?xml version="1.0" encoding="utf-8"?>
<sst xmlns="http://schemas.openxmlformats.org/spreadsheetml/2006/main" count="174" uniqueCount="83">
  <si>
    <t>UPC</t>
  </si>
  <si>
    <t xml:space="preserve">Carnivor </t>
  </si>
  <si>
    <t xml:space="preserve">Units/Case </t>
  </si>
  <si>
    <t>Carnivor Beef Aminos</t>
  </si>
  <si>
    <t>891597002757</t>
  </si>
  <si>
    <t>891597002627</t>
  </si>
  <si>
    <t>891597002788</t>
  </si>
  <si>
    <t>Flavor</t>
  </si>
  <si>
    <t>Size</t>
  </si>
  <si>
    <t xml:space="preserve">Amino Decanate </t>
  </si>
  <si>
    <t>Citrus Lime</t>
  </si>
  <si>
    <t>Watermelon</t>
  </si>
  <si>
    <t>Chocolate</t>
  </si>
  <si>
    <t>Vanilla Caramel</t>
  </si>
  <si>
    <t>2lb</t>
  </si>
  <si>
    <t>Chocolate Peanut Butter</t>
  </si>
  <si>
    <t>Strawberry</t>
  </si>
  <si>
    <t>Fruit Punch</t>
  </si>
  <si>
    <t>4lb</t>
  </si>
  <si>
    <t>8lb</t>
  </si>
  <si>
    <t>Chocolate Fudge</t>
  </si>
  <si>
    <t xml:space="preserve">Chocolate </t>
  </si>
  <si>
    <t>Product</t>
  </si>
  <si>
    <t xml:space="preserve">Carnivor Mass </t>
  </si>
  <si>
    <t>6lb</t>
  </si>
  <si>
    <t>10lb</t>
  </si>
  <si>
    <t xml:space="preserve">Carnivor Shred </t>
  </si>
  <si>
    <t>300ct</t>
  </si>
  <si>
    <t>16.9oz</t>
  </si>
  <si>
    <t xml:space="preserve">Creatine Decanate </t>
  </si>
  <si>
    <t xml:space="preserve">Glutamine Decanate </t>
  </si>
  <si>
    <t>Unflavored</t>
  </si>
  <si>
    <t>n/a</t>
  </si>
  <si>
    <t>384g</t>
  </si>
  <si>
    <t>360g</t>
  </si>
  <si>
    <t>Servings</t>
  </si>
  <si>
    <t>300g</t>
  </si>
  <si>
    <t>15lb</t>
  </si>
  <si>
    <t>Blue Rasperry</t>
  </si>
  <si>
    <t xml:space="preserve">Carnivor RTD </t>
  </si>
  <si>
    <t xml:space="preserve">Order </t>
  </si>
  <si>
    <r>
      <t>Amino Decanate</t>
    </r>
    <r>
      <rPr>
        <sz val="11"/>
        <color rgb="FFFF0000"/>
        <rFont val="Calibri"/>
        <family val="2"/>
        <scheme val="minor"/>
      </rPr>
      <t xml:space="preserve"> </t>
    </r>
  </si>
  <si>
    <r>
      <t>Carnivor Mass Big Steer</t>
    </r>
    <r>
      <rPr>
        <sz val="11"/>
        <color rgb="FFFF0000"/>
        <rFont val="Calibri"/>
        <family val="2"/>
        <scheme val="minor"/>
      </rPr>
      <t xml:space="preserve"> </t>
    </r>
  </si>
  <si>
    <r>
      <t>Vitamin T</t>
    </r>
    <r>
      <rPr>
        <sz val="11"/>
        <color rgb="FFFF0000"/>
        <rFont val="Calibri"/>
        <family val="2"/>
        <scheme val="minor"/>
      </rPr>
      <t xml:space="preserve"> </t>
    </r>
  </si>
  <si>
    <t xml:space="preserve">Cookies &amp; Cream </t>
  </si>
  <si>
    <t xml:space="preserve">2lb </t>
  </si>
  <si>
    <t xml:space="preserve">4lb </t>
  </si>
  <si>
    <t xml:space="preserve">NitrorTest </t>
  </si>
  <si>
    <t>468g</t>
  </si>
  <si>
    <t>Stemtropin</t>
  </si>
  <si>
    <t xml:space="preserve">Feast Mode </t>
  </si>
  <si>
    <t xml:space="preserve">Carnivor Lean Meal </t>
  </si>
  <si>
    <t xml:space="preserve">Chocolate Fudge </t>
  </si>
  <si>
    <t xml:space="preserve">Vanilla  </t>
  </si>
  <si>
    <t>Amino Decanate Energy</t>
  </si>
  <si>
    <t>Strawberry Kiwi</t>
  </si>
  <si>
    <t>891597005895</t>
  </si>
  <si>
    <t>891597005826</t>
  </si>
  <si>
    <t>891597005833</t>
  </si>
  <si>
    <t>891597005994</t>
  </si>
  <si>
    <t xml:space="preserve">Aromatest </t>
  </si>
  <si>
    <t xml:space="preserve">Rocket Pop </t>
  </si>
  <si>
    <t xml:space="preserve">Fruity Cereal </t>
  </si>
  <si>
    <t xml:space="preserve">16oz </t>
  </si>
  <si>
    <t xml:space="preserve">Vanilla Cupcake </t>
  </si>
  <si>
    <t xml:space="preserve">Cinnamon Toast Cereal </t>
  </si>
  <si>
    <t xml:space="preserve">Vanilla Caramel </t>
  </si>
  <si>
    <t xml:space="preserve">8lb </t>
  </si>
  <si>
    <t xml:space="preserve">NitroLift </t>
  </si>
  <si>
    <t xml:space="preserve">Blue Slush </t>
  </si>
  <si>
    <t xml:space="preserve">Cherry Lime </t>
  </si>
  <si>
    <t xml:space="preserve">Liver Detox &amp; Defend </t>
  </si>
  <si>
    <t xml:space="preserve">Carnivor Protein Hydration </t>
  </si>
  <si>
    <t xml:space="preserve">Berry Blast </t>
  </si>
  <si>
    <t>Total</t>
  </si>
  <si>
    <t>Price</t>
  </si>
  <si>
    <t>USA → +13-322-093-910</t>
  </si>
  <si>
    <t>Poland → +48-459-568-603</t>
  </si>
  <si>
    <t>WhatsApp → +380-9871-54085</t>
  </si>
  <si>
    <t>E-mail → info@dsn.group</t>
  </si>
  <si>
    <t>Instagram → https://www.instagram.com/dsngroup.official/</t>
  </si>
  <si>
    <t>11.03.2025</t>
  </si>
  <si>
    <r>
      <rPr>
        <b/>
        <sz val="10"/>
        <color rgb="FFFF0000"/>
        <rFont val="Calibri"/>
        <family val="2"/>
        <charset val="204"/>
        <scheme val="minor"/>
      </rPr>
      <t>Importantly!</t>
    </r>
    <r>
      <rPr>
        <sz val="10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
- </t>
    </r>
    <r>
      <rPr>
        <sz val="10"/>
        <color theme="1"/>
        <rFont val="Calibri"/>
        <family val="2"/>
        <charset val="204"/>
        <scheme val="minor"/>
      </rPr>
      <t>The factory can slightly reduce the price by a few percent for orders ranging from 30,000 to 50,000, but no additional discounts or special conditions are available.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</si>
</sst>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00000"/>
    <numFmt numFmtId="166" formatCode="_-* #,##0.00\ _₴_-;\-* #,##0.00\ _₴_-;_-* &quot;-&quot;??\ _₴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</font>
    <font>
      <sz val="10"/>
      <name val="Arial"/>
      <family val="2"/>
      <charset val="1"/>
    </font>
    <font>
      <sz val="10"/>
      <name val="Tahoma"/>
      <family val="2"/>
      <charset val="1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1" fillId="0" borderId="0"/>
    <xf numFmtId="0" fontId="7" fillId="0" borderId="0"/>
  </cellStyleXfs>
  <cellXfs count="41">
    <xf numFmtId="0" fontId="0" fillId="0" borderId="0" xfId="0"/>
    <xf numFmtId="164" fontId="0" fillId="0" borderId="0" xfId="1" applyFont="1"/>
    <xf numFmtId="164" fontId="0" fillId="0" borderId="1" xfId="1" applyFont="1" applyBorder="1"/>
    <xf numFmtId="0" fontId="0" fillId="0" borderId="0" xfId="0" applyAlignment="1">
      <alignment horizontal="left"/>
    </xf>
    <xf numFmtId="1" fontId="0" fillId="0" borderId="0" xfId="0" applyNumberFormat="1" applyAlignment="1">
      <alignment horizontal="center" vertical="center"/>
    </xf>
    <xf numFmtId="0" fontId="1" fillId="0" borderId="1" xfId="0" applyFont="1" applyBorder="1" applyAlignment="1" applyProtection="1">
      <alignment horizontal="center"/>
      <protection locked="0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164" fontId="2" fillId="2" borderId="2" xfId="1" applyFont="1" applyFill="1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 applyAlignment="1">
      <alignment horizontal="left"/>
    </xf>
    <xf numFmtId="0" fontId="0" fillId="0" borderId="1" xfId="0" quotePrefix="1" applyBorder="1" applyAlignment="1">
      <alignment horizontal="left" vertical="center" wrapText="1"/>
    </xf>
    <xf numFmtId="165" fontId="0" fillId="0" borderId="1" xfId="0" quotePrefix="1" applyNumberFormat="1" applyBorder="1" applyAlignment="1">
      <alignment horizontal="left" vertical="center" wrapText="1"/>
    </xf>
    <xf numFmtId="1" fontId="0" fillId="0" borderId="1" xfId="0" applyNumberFormat="1" applyBorder="1" applyAlignment="1">
      <alignment horizontal="left"/>
    </xf>
    <xf numFmtId="1" fontId="1" fillId="0" borderId="1" xfId="2" quotePrefix="1" applyNumberFormat="1" applyFont="1" applyBorder="1" applyAlignment="1">
      <alignment horizontal="left" vertical="center" wrapText="1"/>
    </xf>
    <xf numFmtId="1" fontId="0" fillId="0" borderId="1" xfId="0" quotePrefix="1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166" fontId="0" fillId="0" borderId="0" xfId="0" applyNumberFormat="1"/>
    <xf numFmtId="0" fontId="0" fillId="0" borderId="0" xfId="0" applyProtection="1">
      <protection hidden="1"/>
    </xf>
    <xf numFmtId="0" fontId="6" fillId="0" borderId="3" xfId="0" applyFont="1" applyBorder="1" applyAlignment="1" applyProtection="1">
      <alignment horizontal="center"/>
      <protection hidden="1"/>
    </xf>
    <xf numFmtId="0" fontId="8" fillId="0" borderId="4" xfId="4" applyFont="1" applyBorder="1" applyAlignment="1" applyProtection="1">
      <alignment horizontal="center"/>
      <protection hidden="1"/>
    </xf>
    <xf numFmtId="0" fontId="8" fillId="0" borderId="5" xfId="4" applyFont="1" applyBorder="1" applyAlignment="1" applyProtection="1">
      <alignment horizontal="center"/>
      <protection hidden="1"/>
    </xf>
    <xf numFmtId="0" fontId="8" fillId="0" borderId="6" xfId="4" applyFont="1" applyBorder="1" applyAlignment="1" applyProtection="1">
      <alignment horizontal="center"/>
      <protection hidden="1"/>
    </xf>
    <xf numFmtId="0" fontId="8" fillId="0" borderId="7" xfId="4" applyFont="1" applyBorder="1" applyAlignment="1" applyProtection="1">
      <alignment horizontal="center"/>
      <protection hidden="1"/>
    </xf>
    <xf numFmtId="0" fontId="8" fillId="0" borderId="8" xfId="4" applyFont="1" applyBorder="1" applyAlignment="1" applyProtection="1">
      <alignment horizontal="center"/>
      <protection hidden="1"/>
    </xf>
    <xf numFmtId="164" fontId="2" fillId="2" borderId="3" xfId="1" applyFont="1" applyFill="1" applyBorder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164" fontId="2" fillId="2" borderId="10" xfId="1" applyFont="1" applyFill="1" applyBorder="1" applyAlignment="1">
      <alignment horizontal="center" vertical="center"/>
    </xf>
    <xf numFmtId="0" fontId="1" fillId="0" borderId="1" xfId="0" applyFont="1" applyBorder="1" applyAlignment="1" applyProtection="1">
      <alignment horizontal="left"/>
      <protection locked="0"/>
    </xf>
    <xf numFmtId="1" fontId="1" fillId="0" borderId="1" xfId="0" applyNumberFormat="1" applyFont="1" applyBorder="1" applyAlignment="1" applyProtection="1">
      <alignment horizontal="left"/>
      <protection locked="0"/>
    </xf>
    <xf numFmtId="164" fontId="0" fillId="0" borderId="1" xfId="1" applyFont="1" applyBorder="1" applyAlignment="1">
      <alignment horizontal="left"/>
    </xf>
    <xf numFmtId="164" fontId="2" fillId="2" borderId="10" xfId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1" fillId="0" borderId="9" xfId="0" applyFont="1" applyBorder="1" applyAlignment="1">
      <alignment horizontal="left" wrapText="1"/>
    </xf>
    <xf numFmtId="0" fontId="9" fillId="0" borderId="9" xfId="0" applyFont="1" applyBorder="1" applyAlignment="1">
      <alignment horizontal="left"/>
    </xf>
  </cellXfs>
  <cellStyles count="5">
    <cellStyle name="Excel Built-in Normal" xfId="4" xr:uid="{FF68A241-7792-46D3-8DB9-50709ECE2F09}"/>
    <cellStyle name="Normal 2" xfId="3" xr:uid="{00000000-0005-0000-0000-00002F000000}"/>
    <cellStyle name="Normal 3" xfId="2" xr:uid="{00000000-0005-0000-0000-000030000000}"/>
    <cellStyle name="Грошовий" xfId="1" builtinId="4"/>
    <cellStyle name="Звичайний" xfId="0" builtinId="0"/>
  </cellStyles>
  <dxfs count="0"/>
  <tableStyles count="0" defaultTableStyle="TableStyleMedium2" defaultPivotStyle="PivotStyleLight16"/>
  <colors>
    <mruColors>
      <color rgb="FFFAC0F2"/>
      <color rgb="FF6CE9FE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182880</xdr:colOff>
      <xdr:row>0</xdr:row>
      <xdr:rowOff>209550</xdr:rowOff>
    </xdr:from>
    <xdr:to>
      <xdr:col>7</xdr:col>
      <xdr:colOff>590119</xdr:colOff>
      <xdr:row>0</xdr:row>
      <xdr:rowOff>822960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0BDFD9-DB79-4480-A0FE-B2ABEEFD56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333" b="36444"/>
        <a:stretch/>
      </xdr:blipFill>
      <xdr:spPr>
        <a:xfrm>
          <a:off x="6964680" y="209550"/>
          <a:ext cx="2304619" cy="613410"/>
        </a:xfrm>
        <a:prstGeom prst="rect">
          <a:avLst/>
        </a:prstGeom>
      </xdr:spPr>
    </xdr:pic>
    <xdr:clientData/>
  </xdr:twoCellAnchor>
  <xdr:twoCellAnchor>
    <xdr:from>
      <xdr:col>1</xdr:col>
      <xdr:colOff>1093471</xdr:colOff>
      <xdr:row>56</xdr:row>
      <xdr:rowOff>29114</xdr:rowOff>
    </xdr:from>
    <xdr:to>
      <xdr:col>1</xdr:col>
      <xdr:colOff>2548891</xdr:colOff>
      <xdr:row>56</xdr:row>
      <xdr:rowOff>341987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FADEE89E-AF8C-44DB-A28B-2E8778E8694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2191" y="11146694"/>
          <a:ext cx="1455420" cy="312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8EAE-AEF1-4B65-86FD-FB1FC4D990DF}">
  <sheetPr>
    <pageSetUpPr fitToPage="1"/>
  </sheetPr>
  <dimension ref="A1:J63"/>
  <sheetViews>
    <sheetView tabSelected="1" workbookViewId="0">
      <selection sqref="A1:I1"/>
    </sheetView>
  </sheetViews>
  <sheetFormatPr defaultRowHeight="14.4" x14ac:dyDescent="0.3"/>
  <cols>
    <col min="1" max="1" width="17.33203125" style="3" bestFit="1" customWidth="1"/>
    <col min="2" max="2" width="52.109375" bestFit="1" customWidth="1"/>
    <col min="3" max="3" width="21.88671875" style="38" bestFit="1" customWidth="1"/>
    <col min="4" max="4" width="7.5546875" style="4" customWidth="1"/>
    <col min="5" max="5" width="8.88671875" style="4" customWidth="1"/>
    <col min="6" max="6" width="10.109375" style="4" customWidth="1"/>
    <col min="7" max="7" width="8.6640625" style="1"/>
    <col min="8" max="8" width="8.88671875" style="36"/>
    <col min="9" max="9" width="11" style="1" bestFit="1" customWidth="1"/>
    <col min="10" max="10" width="13.5546875" customWidth="1"/>
  </cols>
  <sheetData>
    <row r="1" spans="1:10" ht="99.6" customHeight="1" thickBot="1" x14ac:dyDescent="0.35">
      <c r="A1" s="39" t="s">
        <v>82</v>
      </c>
      <c r="B1" s="40"/>
      <c r="C1" s="40"/>
      <c r="D1" s="40"/>
      <c r="E1" s="40"/>
      <c r="F1" s="40"/>
      <c r="G1" s="40"/>
      <c r="H1" s="40"/>
      <c r="I1" s="40"/>
      <c r="J1" s="29" t="s">
        <v>81</v>
      </c>
    </row>
    <row r="2" spans="1:10" s="9" customFormat="1" ht="29.4" customHeight="1" thickBot="1" x14ac:dyDescent="0.35">
      <c r="A2" s="30" t="s">
        <v>0</v>
      </c>
      <c r="B2" s="30" t="s">
        <v>22</v>
      </c>
      <c r="C2" s="30" t="s">
        <v>7</v>
      </c>
      <c r="D2" s="30" t="s">
        <v>8</v>
      </c>
      <c r="E2" s="30" t="s">
        <v>35</v>
      </c>
      <c r="F2" s="30" t="s">
        <v>2</v>
      </c>
      <c r="G2" s="10" t="s">
        <v>75</v>
      </c>
      <c r="H2" s="34" t="s">
        <v>40</v>
      </c>
      <c r="I2" s="10" t="s">
        <v>74</v>
      </c>
      <c r="J2" s="28">
        <f>SUM(I3:I54)</f>
        <v>0</v>
      </c>
    </row>
    <row r="3" spans="1:10" x14ac:dyDescent="0.3">
      <c r="A3" s="31" t="s">
        <v>5</v>
      </c>
      <c r="B3" s="18" t="s">
        <v>9</v>
      </c>
      <c r="C3" s="18" t="s">
        <v>10</v>
      </c>
      <c r="D3" s="8" t="s">
        <v>33</v>
      </c>
      <c r="E3" s="8">
        <v>30</v>
      </c>
      <c r="F3" s="6">
        <v>6</v>
      </c>
      <c r="G3" s="2">
        <v>19.977100000000004</v>
      </c>
      <c r="H3" s="35"/>
      <c r="I3" s="2">
        <f>H3*G3</f>
        <v>0</v>
      </c>
      <c r="J3" s="20"/>
    </row>
    <row r="4" spans="1:10" x14ac:dyDescent="0.3">
      <c r="A4" s="31" t="s">
        <v>6</v>
      </c>
      <c r="B4" s="18" t="s">
        <v>9</v>
      </c>
      <c r="C4" s="18" t="s">
        <v>11</v>
      </c>
      <c r="D4" s="8" t="s">
        <v>34</v>
      </c>
      <c r="E4" s="8">
        <v>30</v>
      </c>
      <c r="F4" s="6">
        <v>6</v>
      </c>
      <c r="G4" s="2">
        <v>19.977100000000004</v>
      </c>
      <c r="H4" s="35"/>
      <c r="I4" s="2">
        <f t="shared" ref="I4:I54" si="0">H4*G4</f>
        <v>0</v>
      </c>
      <c r="J4" s="20"/>
    </row>
    <row r="5" spans="1:10" x14ac:dyDescent="0.3">
      <c r="A5" s="32">
        <v>891597005482</v>
      </c>
      <c r="B5" s="18" t="s">
        <v>41</v>
      </c>
      <c r="C5" s="18" t="s">
        <v>17</v>
      </c>
      <c r="D5" s="8" t="s">
        <v>34</v>
      </c>
      <c r="E5" s="8">
        <v>30</v>
      </c>
      <c r="F5" s="6">
        <v>6</v>
      </c>
      <c r="G5" s="2">
        <v>19.977100000000004</v>
      </c>
      <c r="H5" s="35"/>
      <c r="I5" s="2">
        <f t="shared" si="0"/>
        <v>0</v>
      </c>
      <c r="J5" s="20"/>
    </row>
    <row r="6" spans="1:10" x14ac:dyDescent="0.3">
      <c r="A6" s="32">
        <v>891597005901</v>
      </c>
      <c r="B6" s="18" t="s">
        <v>54</v>
      </c>
      <c r="C6" s="18" t="s">
        <v>55</v>
      </c>
      <c r="D6" s="8" t="s">
        <v>34</v>
      </c>
      <c r="E6" s="8">
        <v>30</v>
      </c>
      <c r="F6" s="6">
        <v>6</v>
      </c>
      <c r="G6" s="2">
        <v>19.977100000000004</v>
      </c>
      <c r="H6" s="35"/>
      <c r="I6" s="2">
        <f t="shared" si="0"/>
        <v>0</v>
      </c>
      <c r="J6" s="20"/>
    </row>
    <row r="7" spans="1:10" x14ac:dyDescent="0.3">
      <c r="A7" s="19">
        <v>891597002535</v>
      </c>
      <c r="B7" s="18" t="s">
        <v>1</v>
      </c>
      <c r="C7" s="18" t="s">
        <v>12</v>
      </c>
      <c r="D7" s="6" t="s">
        <v>14</v>
      </c>
      <c r="E7" s="6">
        <v>28</v>
      </c>
      <c r="F7" s="6">
        <v>4</v>
      </c>
      <c r="G7" s="2">
        <v>27.091350000000002</v>
      </c>
      <c r="H7" s="35"/>
      <c r="I7" s="2">
        <f t="shared" si="0"/>
        <v>0</v>
      </c>
      <c r="J7" s="20"/>
    </row>
    <row r="8" spans="1:10" x14ac:dyDescent="0.3">
      <c r="A8" s="19">
        <v>891597002689</v>
      </c>
      <c r="B8" s="18" t="s">
        <v>1</v>
      </c>
      <c r="C8" s="18" t="s">
        <v>13</v>
      </c>
      <c r="D8" s="6" t="s">
        <v>14</v>
      </c>
      <c r="E8" s="6">
        <v>28</v>
      </c>
      <c r="F8" s="6">
        <v>4</v>
      </c>
      <c r="G8" s="2">
        <v>27.091350000000002</v>
      </c>
      <c r="H8" s="35"/>
      <c r="I8" s="2">
        <f t="shared" si="0"/>
        <v>0</v>
      </c>
      <c r="J8" s="20"/>
    </row>
    <row r="9" spans="1:10" x14ac:dyDescent="0.3">
      <c r="A9" s="19">
        <v>891597003471</v>
      </c>
      <c r="B9" s="18" t="s">
        <v>1</v>
      </c>
      <c r="C9" s="18" t="s">
        <v>15</v>
      </c>
      <c r="D9" s="6" t="s">
        <v>14</v>
      </c>
      <c r="E9" s="6">
        <v>28</v>
      </c>
      <c r="F9" s="6">
        <v>4</v>
      </c>
      <c r="G9" s="2">
        <v>27.091350000000002</v>
      </c>
      <c r="H9" s="35"/>
      <c r="I9" s="2">
        <f t="shared" si="0"/>
        <v>0</v>
      </c>
      <c r="J9" s="20"/>
    </row>
    <row r="10" spans="1:10" x14ac:dyDescent="0.3">
      <c r="A10" s="19">
        <v>891597005765</v>
      </c>
      <c r="B10" s="18" t="s">
        <v>1</v>
      </c>
      <c r="C10" s="18" t="s">
        <v>44</v>
      </c>
      <c r="D10" s="6" t="s">
        <v>45</v>
      </c>
      <c r="E10" s="6">
        <v>28</v>
      </c>
      <c r="F10" s="6">
        <v>4</v>
      </c>
      <c r="G10" s="2">
        <v>27.091350000000002</v>
      </c>
      <c r="H10" s="35"/>
      <c r="I10" s="2">
        <f t="shared" si="0"/>
        <v>0</v>
      </c>
      <c r="J10" s="20"/>
    </row>
    <row r="11" spans="1:10" x14ac:dyDescent="0.3">
      <c r="A11" s="19">
        <v>891597006151</v>
      </c>
      <c r="B11" s="18" t="s">
        <v>1</v>
      </c>
      <c r="C11" s="18" t="s">
        <v>62</v>
      </c>
      <c r="D11" s="6" t="s">
        <v>45</v>
      </c>
      <c r="E11" s="6">
        <v>28</v>
      </c>
      <c r="F11" s="6">
        <v>4</v>
      </c>
      <c r="G11" s="2">
        <v>27.091350000000002</v>
      </c>
      <c r="H11" s="35"/>
      <c r="I11" s="2">
        <f t="shared" si="0"/>
        <v>0</v>
      </c>
      <c r="J11" s="20"/>
    </row>
    <row r="12" spans="1:10" x14ac:dyDescent="0.3">
      <c r="A12" s="19">
        <v>891597002542</v>
      </c>
      <c r="B12" s="18" t="s">
        <v>1</v>
      </c>
      <c r="C12" s="18" t="s">
        <v>12</v>
      </c>
      <c r="D12" s="6" t="s">
        <v>18</v>
      </c>
      <c r="E12" s="6">
        <v>56</v>
      </c>
      <c r="F12" s="6">
        <v>4</v>
      </c>
      <c r="G12" s="2">
        <v>45.810050000000004</v>
      </c>
      <c r="H12" s="35"/>
      <c r="I12" s="2">
        <f t="shared" si="0"/>
        <v>0</v>
      </c>
      <c r="J12" s="20"/>
    </row>
    <row r="13" spans="1:10" x14ac:dyDescent="0.3">
      <c r="A13" s="19">
        <v>891597002672</v>
      </c>
      <c r="B13" s="18" t="s">
        <v>1</v>
      </c>
      <c r="C13" s="18" t="s">
        <v>13</v>
      </c>
      <c r="D13" s="6" t="s">
        <v>18</v>
      </c>
      <c r="E13" s="6">
        <v>56</v>
      </c>
      <c r="F13" s="6">
        <v>4</v>
      </c>
      <c r="G13" s="2">
        <v>45.810050000000004</v>
      </c>
      <c r="H13" s="35"/>
      <c r="I13" s="2">
        <f t="shared" si="0"/>
        <v>0</v>
      </c>
      <c r="J13" s="20"/>
    </row>
    <row r="14" spans="1:10" x14ac:dyDescent="0.3">
      <c r="A14" s="19">
        <v>891597003655</v>
      </c>
      <c r="B14" s="18" t="s">
        <v>1</v>
      </c>
      <c r="C14" s="18" t="s">
        <v>15</v>
      </c>
      <c r="D14" s="6" t="s">
        <v>18</v>
      </c>
      <c r="E14" s="6">
        <v>56</v>
      </c>
      <c r="F14" s="6">
        <v>4</v>
      </c>
      <c r="G14" s="2">
        <v>45.810050000000004</v>
      </c>
      <c r="H14" s="35"/>
      <c r="I14" s="2">
        <f t="shared" si="0"/>
        <v>0</v>
      </c>
      <c r="J14" s="20"/>
    </row>
    <row r="15" spans="1:10" x14ac:dyDescent="0.3">
      <c r="A15" s="19">
        <v>891597003778</v>
      </c>
      <c r="B15" s="11" t="s">
        <v>1</v>
      </c>
      <c r="C15" s="18" t="s">
        <v>16</v>
      </c>
      <c r="D15" s="6" t="s">
        <v>18</v>
      </c>
      <c r="E15" s="6">
        <v>56</v>
      </c>
      <c r="F15" s="6">
        <v>4</v>
      </c>
      <c r="G15" s="2">
        <v>45.810050000000004</v>
      </c>
      <c r="H15" s="35"/>
      <c r="I15" s="2">
        <f t="shared" si="0"/>
        <v>0</v>
      </c>
      <c r="J15" s="20"/>
    </row>
    <row r="16" spans="1:10" x14ac:dyDescent="0.3">
      <c r="A16" s="19">
        <v>891597002160</v>
      </c>
      <c r="B16" s="11" t="s">
        <v>1</v>
      </c>
      <c r="C16" s="18" t="s">
        <v>17</v>
      </c>
      <c r="D16" s="6" t="s">
        <v>18</v>
      </c>
      <c r="E16" s="6">
        <v>56</v>
      </c>
      <c r="F16" s="6">
        <v>4</v>
      </c>
      <c r="G16" s="2">
        <v>45.810050000000004</v>
      </c>
      <c r="H16" s="35"/>
      <c r="I16" s="2">
        <f t="shared" si="0"/>
        <v>0</v>
      </c>
      <c r="J16" s="20"/>
    </row>
    <row r="17" spans="1:10" x14ac:dyDescent="0.3">
      <c r="A17" s="19">
        <v>891597006007</v>
      </c>
      <c r="B17" s="11" t="s">
        <v>1</v>
      </c>
      <c r="C17" s="18" t="s">
        <v>61</v>
      </c>
      <c r="D17" s="6" t="s">
        <v>46</v>
      </c>
      <c r="E17" s="6">
        <v>56</v>
      </c>
      <c r="F17" s="6">
        <v>4</v>
      </c>
      <c r="G17" s="2">
        <v>45.810050000000004</v>
      </c>
      <c r="H17" s="35"/>
      <c r="I17" s="2">
        <f t="shared" si="0"/>
        <v>0</v>
      </c>
      <c r="J17" s="20"/>
    </row>
    <row r="18" spans="1:10" x14ac:dyDescent="0.3">
      <c r="A18" s="19">
        <v>891597005772</v>
      </c>
      <c r="B18" s="11" t="s">
        <v>1</v>
      </c>
      <c r="C18" s="18" t="s">
        <v>44</v>
      </c>
      <c r="D18" s="6" t="s">
        <v>46</v>
      </c>
      <c r="E18" s="6">
        <v>56</v>
      </c>
      <c r="F18" s="6">
        <v>4</v>
      </c>
      <c r="G18" s="2">
        <v>45.810050000000004</v>
      </c>
      <c r="H18" s="35"/>
      <c r="I18" s="2">
        <f t="shared" si="0"/>
        <v>0</v>
      </c>
      <c r="J18" s="20"/>
    </row>
    <row r="19" spans="1:10" x14ac:dyDescent="0.3">
      <c r="A19" s="19">
        <v>891597006168</v>
      </c>
      <c r="B19" s="11" t="s">
        <v>1</v>
      </c>
      <c r="C19" s="18" t="s">
        <v>62</v>
      </c>
      <c r="D19" s="6" t="s">
        <v>46</v>
      </c>
      <c r="E19" s="6">
        <v>56</v>
      </c>
      <c r="F19" s="6">
        <v>4</v>
      </c>
      <c r="G19" s="2">
        <v>45.810050000000004</v>
      </c>
      <c r="H19" s="35"/>
      <c r="I19" s="2">
        <f t="shared" si="0"/>
        <v>0</v>
      </c>
      <c r="J19" s="20"/>
    </row>
    <row r="20" spans="1:10" x14ac:dyDescent="0.3">
      <c r="A20" s="19">
        <v>891597006168</v>
      </c>
      <c r="B20" s="11" t="s">
        <v>1</v>
      </c>
      <c r="C20" s="18" t="s">
        <v>65</v>
      </c>
      <c r="D20" s="6" t="s">
        <v>46</v>
      </c>
      <c r="E20" s="6">
        <v>56</v>
      </c>
      <c r="F20" s="6">
        <v>4</v>
      </c>
      <c r="G20" s="2">
        <v>45.810050000000004</v>
      </c>
      <c r="H20" s="35"/>
      <c r="I20" s="2">
        <f t="shared" si="0"/>
        <v>0</v>
      </c>
      <c r="J20" s="20"/>
    </row>
    <row r="21" spans="1:10" x14ac:dyDescent="0.3">
      <c r="A21" s="19">
        <v>891597003662</v>
      </c>
      <c r="B21" s="11" t="s">
        <v>1</v>
      </c>
      <c r="C21" s="18" t="s">
        <v>12</v>
      </c>
      <c r="D21" s="6" t="s">
        <v>19</v>
      </c>
      <c r="E21" s="6">
        <v>100</v>
      </c>
      <c r="F21" s="6">
        <v>2</v>
      </c>
      <c r="G21" s="2">
        <v>76.354850000000013</v>
      </c>
      <c r="H21" s="35"/>
      <c r="I21" s="2">
        <f t="shared" si="0"/>
        <v>0</v>
      </c>
      <c r="J21" s="20"/>
    </row>
    <row r="22" spans="1:10" x14ac:dyDescent="0.3">
      <c r="A22" s="19">
        <v>891597003754</v>
      </c>
      <c r="B22" s="11" t="s">
        <v>1</v>
      </c>
      <c r="C22" s="18" t="s">
        <v>66</v>
      </c>
      <c r="D22" s="6" t="s">
        <v>67</v>
      </c>
      <c r="E22" s="6">
        <v>100</v>
      </c>
      <c r="F22" s="6">
        <v>2</v>
      </c>
      <c r="G22" s="2">
        <v>76.354850000000013</v>
      </c>
      <c r="H22" s="35"/>
      <c r="I22" s="2">
        <f t="shared" si="0"/>
        <v>0</v>
      </c>
      <c r="J22" s="20"/>
    </row>
    <row r="23" spans="1:10" x14ac:dyDescent="0.3">
      <c r="A23" s="19">
        <v>891597002641</v>
      </c>
      <c r="B23" s="18" t="s">
        <v>23</v>
      </c>
      <c r="C23" s="18" t="s">
        <v>20</v>
      </c>
      <c r="D23" s="6" t="s">
        <v>24</v>
      </c>
      <c r="E23" s="6">
        <v>14</v>
      </c>
      <c r="F23" s="6">
        <v>4</v>
      </c>
      <c r="G23" s="2">
        <v>38.424100000000003</v>
      </c>
      <c r="H23" s="35"/>
      <c r="I23" s="2">
        <f t="shared" si="0"/>
        <v>0</v>
      </c>
      <c r="J23" s="20"/>
    </row>
    <row r="24" spans="1:10" x14ac:dyDescent="0.3">
      <c r="A24" s="19">
        <v>891597002658</v>
      </c>
      <c r="B24" s="18" t="s">
        <v>23</v>
      </c>
      <c r="C24" s="18" t="s">
        <v>13</v>
      </c>
      <c r="D24" s="6" t="s">
        <v>24</v>
      </c>
      <c r="E24" s="6">
        <v>14</v>
      </c>
      <c r="F24" s="6">
        <v>4</v>
      </c>
      <c r="G24" s="2">
        <v>38.424100000000003</v>
      </c>
      <c r="H24" s="35"/>
      <c r="I24" s="2">
        <f t="shared" si="0"/>
        <v>0</v>
      </c>
      <c r="J24" s="20"/>
    </row>
    <row r="25" spans="1:10" x14ac:dyDescent="0.3">
      <c r="A25" s="19">
        <v>891597004065</v>
      </c>
      <c r="B25" s="18" t="s">
        <v>23</v>
      </c>
      <c r="C25" s="18" t="s">
        <v>15</v>
      </c>
      <c r="D25" s="6" t="s">
        <v>24</v>
      </c>
      <c r="E25" s="6">
        <v>14</v>
      </c>
      <c r="F25" s="6">
        <v>4</v>
      </c>
      <c r="G25" s="2">
        <v>38.424100000000003</v>
      </c>
      <c r="H25" s="35"/>
      <c r="I25" s="2">
        <f t="shared" si="0"/>
        <v>0</v>
      </c>
      <c r="J25" s="20"/>
    </row>
    <row r="26" spans="1:10" x14ac:dyDescent="0.3">
      <c r="A26" s="19">
        <v>891597004058</v>
      </c>
      <c r="B26" s="18" t="s">
        <v>23</v>
      </c>
      <c r="C26" s="18" t="s">
        <v>16</v>
      </c>
      <c r="D26" s="6" t="s">
        <v>24</v>
      </c>
      <c r="E26" s="6">
        <v>14</v>
      </c>
      <c r="F26" s="6">
        <v>4</v>
      </c>
      <c r="G26" s="2">
        <v>38.424100000000003</v>
      </c>
      <c r="H26" s="35"/>
      <c r="I26" s="2">
        <f t="shared" si="0"/>
        <v>0</v>
      </c>
      <c r="J26" s="20"/>
    </row>
    <row r="27" spans="1:10" x14ac:dyDescent="0.3">
      <c r="A27" s="19">
        <v>891597003679</v>
      </c>
      <c r="B27" s="18" t="s">
        <v>23</v>
      </c>
      <c r="C27" s="18" t="s">
        <v>20</v>
      </c>
      <c r="D27" s="6" t="s">
        <v>25</v>
      </c>
      <c r="E27" s="6">
        <v>25</v>
      </c>
      <c r="F27" s="6">
        <v>2</v>
      </c>
      <c r="G27" s="2">
        <v>63.542050000000017</v>
      </c>
      <c r="H27" s="35"/>
      <c r="I27" s="2">
        <f t="shared" si="0"/>
        <v>0</v>
      </c>
      <c r="J27" s="20"/>
    </row>
    <row r="28" spans="1:10" x14ac:dyDescent="0.3">
      <c r="A28" s="19">
        <v>891597003747</v>
      </c>
      <c r="B28" s="18" t="s">
        <v>23</v>
      </c>
      <c r="C28" s="18" t="s">
        <v>13</v>
      </c>
      <c r="D28" s="6" t="s">
        <v>25</v>
      </c>
      <c r="E28" s="6">
        <v>25</v>
      </c>
      <c r="F28" s="6">
        <v>2</v>
      </c>
      <c r="G28" s="2">
        <v>63.542050000000017</v>
      </c>
      <c r="H28" s="35"/>
      <c r="I28" s="2">
        <f t="shared" si="0"/>
        <v>0</v>
      </c>
      <c r="J28" s="20"/>
    </row>
    <row r="29" spans="1:10" x14ac:dyDescent="0.3">
      <c r="A29" s="19">
        <v>891597005246</v>
      </c>
      <c r="B29" s="18" t="s">
        <v>42</v>
      </c>
      <c r="C29" s="18" t="s">
        <v>12</v>
      </c>
      <c r="D29" s="6" t="s">
        <v>37</v>
      </c>
      <c r="E29" s="6">
        <v>35</v>
      </c>
      <c r="F29" s="6">
        <v>1</v>
      </c>
      <c r="G29" s="2">
        <v>83.247450000000015</v>
      </c>
      <c r="H29" s="35"/>
      <c r="I29" s="2">
        <f t="shared" si="0"/>
        <v>0</v>
      </c>
      <c r="J29" s="20"/>
    </row>
    <row r="30" spans="1:10" x14ac:dyDescent="0.3">
      <c r="A30" s="19">
        <v>891597005246</v>
      </c>
      <c r="B30" s="18" t="s">
        <v>42</v>
      </c>
      <c r="C30" s="18" t="s">
        <v>66</v>
      </c>
      <c r="D30" s="6" t="s">
        <v>37</v>
      </c>
      <c r="E30" s="6">
        <v>35</v>
      </c>
      <c r="F30" s="6">
        <v>1</v>
      </c>
      <c r="G30" s="2">
        <v>83.247450000000015</v>
      </c>
      <c r="H30" s="35"/>
      <c r="I30" s="2">
        <f t="shared" si="0"/>
        <v>0</v>
      </c>
      <c r="J30" s="20"/>
    </row>
    <row r="31" spans="1:10" s="3" customFormat="1" x14ac:dyDescent="0.3">
      <c r="A31" s="31" t="s">
        <v>4</v>
      </c>
      <c r="B31" s="18" t="s">
        <v>3</v>
      </c>
      <c r="C31" s="18" t="s">
        <v>32</v>
      </c>
      <c r="D31" s="8" t="s">
        <v>27</v>
      </c>
      <c r="E31" s="8">
        <v>100</v>
      </c>
      <c r="F31" s="6">
        <v>12</v>
      </c>
      <c r="G31" s="2">
        <v>17.188600000000001</v>
      </c>
      <c r="H31" s="35"/>
      <c r="I31" s="2">
        <f t="shared" si="0"/>
        <v>0</v>
      </c>
      <c r="J31" s="20"/>
    </row>
    <row r="32" spans="1:10" x14ac:dyDescent="0.3">
      <c r="A32" s="19">
        <v>891597004102</v>
      </c>
      <c r="B32" s="18" t="s">
        <v>39</v>
      </c>
      <c r="C32" s="18" t="s">
        <v>21</v>
      </c>
      <c r="D32" s="6" t="s">
        <v>28</v>
      </c>
      <c r="E32" s="6">
        <v>1</v>
      </c>
      <c r="F32" s="6">
        <v>12</v>
      </c>
      <c r="G32" s="2">
        <v>28.76445</v>
      </c>
      <c r="H32" s="35"/>
      <c r="I32" s="2">
        <f t="shared" si="0"/>
        <v>0</v>
      </c>
      <c r="J32" s="20"/>
    </row>
    <row r="33" spans="1:10" x14ac:dyDescent="0.3">
      <c r="A33" s="19">
        <v>891597006144</v>
      </c>
      <c r="B33" s="18" t="s">
        <v>39</v>
      </c>
      <c r="C33" s="18" t="s">
        <v>62</v>
      </c>
      <c r="D33" s="6" t="s">
        <v>63</v>
      </c>
      <c r="E33" s="6">
        <v>1</v>
      </c>
      <c r="F33" s="6">
        <v>12</v>
      </c>
      <c r="G33" s="2">
        <v>28.76445</v>
      </c>
      <c r="H33" s="35"/>
      <c r="I33" s="2">
        <f t="shared" si="0"/>
        <v>0</v>
      </c>
      <c r="J33" s="20"/>
    </row>
    <row r="34" spans="1:10" x14ac:dyDescent="0.3">
      <c r="A34" s="19">
        <v>891597006120</v>
      </c>
      <c r="B34" s="18" t="s">
        <v>39</v>
      </c>
      <c r="C34" s="18" t="s">
        <v>64</v>
      </c>
      <c r="D34" s="6" t="s">
        <v>63</v>
      </c>
      <c r="E34" s="6">
        <v>1</v>
      </c>
      <c r="F34" s="6">
        <v>12</v>
      </c>
      <c r="G34" s="2">
        <v>28.76445</v>
      </c>
      <c r="H34" s="35"/>
      <c r="I34" s="2">
        <f t="shared" si="0"/>
        <v>0</v>
      </c>
      <c r="J34" s="20"/>
    </row>
    <row r="35" spans="1:10" x14ac:dyDescent="0.3">
      <c r="A35" s="19">
        <v>891597006328</v>
      </c>
      <c r="B35" s="18" t="s">
        <v>72</v>
      </c>
      <c r="C35" s="18" t="s">
        <v>73</v>
      </c>
      <c r="D35" s="6" t="s">
        <v>63</v>
      </c>
      <c r="E35" s="6">
        <v>1</v>
      </c>
      <c r="F35" s="6">
        <v>12</v>
      </c>
      <c r="G35" s="2">
        <v>28.76445</v>
      </c>
      <c r="H35" s="35"/>
      <c r="I35" s="2">
        <f t="shared" si="0"/>
        <v>0</v>
      </c>
      <c r="J35" s="20"/>
    </row>
    <row r="36" spans="1:10" x14ac:dyDescent="0.3">
      <c r="A36" s="19">
        <v>891597006342</v>
      </c>
      <c r="B36" s="18" t="s">
        <v>72</v>
      </c>
      <c r="C36" s="18" t="s">
        <v>61</v>
      </c>
      <c r="D36" s="6" t="s">
        <v>63</v>
      </c>
      <c r="E36" s="6">
        <v>1</v>
      </c>
      <c r="F36" s="6">
        <v>12</v>
      </c>
      <c r="G36" s="2">
        <v>28.76445</v>
      </c>
      <c r="H36" s="35"/>
      <c r="I36" s="2">
        <f t="shared" si="0"/>
        <v>0</v>
      </c>
      <c r="J36" s="20"/>
    </row>
    <row r="37" spans="1:10" x14ac:dyDescent="0.3">
      <c r="A37" s="19">
        <v>891597004560</v>
      </c>
      <c r="B37" s="18" t="s">
        <v>26</v>
      </c>
      <c r="C37" s="18" t="s">
        <v>12</v>
      </c>
      <c r="D37" s="6" t="s">
        <v>14</v>
      </c>
      <c r="E37" s="6">
        <v>28</v>
      </c>
      <c r="F37" s="6">
        <v>4</v>
      </c>
      <c r="G37" s="2">
        <v>28.078050000000008</v>
      </c>
      <c r="H37" s="35"/>
      <c r="I37" s="2">
        <f t="shared" si="0"/>
        <v>0</v>
      </c>
      <c r="J37" s="20"/>
    </row>
    <row r="38" spans="1:10" x14ac:dyDescent="0.3">
      <c r="A38" s="19">
        <v>891597004577</v>
      </c>
      <c r="B38" s="18" t="s">
        <v>26</v>
      </c>
      <c r="C38" s="18" t="s">
        <v>12</v>
      </c>
      <c r="D38" s="6" t="s">
        <v>18</v>
      </c>
      <c r="E38" s="6">
        <v>56</v>
      </c>
      <c r="F38" s="6">
        <v>4</v>
      </c>
      <c r="G38" s="2">
        <v>48.276800000000009</v>
      </c>
      <c r="H38" s="35"/>
      <c r="I38" s="2">
        <f t="shared" si="0"/>
        <v>0</v>
      </c>
      <c r="J38" s="20"/>
    </row>
    <row r="39" spans="1:10" x14ac:dyDescent="0.3">
      <c r="A39" s="19">
        <v>891597006199</v>
      </c>
      <c r="B39" s="18" t="s">
        <v>26</v>
      </c>
      <c r="C39" s="18" t="s">
        <v>13</v>
      </c>
      <c r="D39" s="7" t="s">
        <v>14</v>
      </c>
      <c r="E39" s="7">
        <v>28</v>
      </c>
      <c r="F39" s="7">
        <v>4</v>
      </c>
      <c r="G39" s="2">
        <v>28.078050000000008</v>
      </c>
      <c r="H39" s="35"/>
      <c r="I39" s="2">
        <f t="shared" si="0"/>
        <v>0</v>
      </c>
      <c r="J39" s="20"/>
    </row>
    <row r="40" spans="1:10" x14ac:dyDescent="0.3">
      <c r="A40" s="19">
        <v>891597006205</v>
      </c>
      <c r="B40" s="18" t="s">
        <v>26</v>
      </c>
      <c r="C40" s="18" t="s">
        <v>13</v>
      </c>
      <c r="D40" s="7" t="s">
        <v>18</v>
      </c>
      <c r="E40" s="7">
        <v>56</v>
      </c>
      <c r="F40" s="7">
        <v>4</v>
      </c>
      <c r="G40" s="2">
        <v>48.276800000000009</v>
      </c>
      <c r="H40" s="35"/>
      <c r="I40" s="2">
        <f t="shared" si="0"/>
        <v>0</v>
      </c>
      <c r="J40" s="20"/>
    </row>
    <row r="41" spans="1:10" x14ac:dyDescent="0.3">
      <c r="A41" s="32">
        <v>891597002603</v>
      </c>
      <c r="B41" s="18" t="s">
        <v>29</v>
      </c>
      <c r="C41" s="18" t="s">
        <v>31</v>
      </c>
      <c r="D41" s="8" t="s">
        <v>36</v>
      </c>
      <c r="E41" s="5">
        <v>60</v>
      </c>
      <c r="F41" s="6">
        <v>6</v>
      </c>
      <c r="G41" s="2">
        <v>18.118100000000002</v>
      </c>
      <c r="H41" s="35"/>
      <c r="I41" s="2">
        <f t="shared" si="0"/>
        <v>0</v>
      </c>
      <c r="J41" s="20"/>
    </row>
    <row r="42" spans="1:10" x14ac:dyDescent="0.3">
      <c r="A42" s="32">
        <v>891597002610</v>
      </c>
      <c r="B42" s="18" t="s">
        <v>30</v>
      </c>
      <c r="C42" s="18" t="s">
        <v>31</v>
      </c>
      <c r="D42" s="8" t="s">
        <v>36</v>
      </c>
      <c r="E42" s="5">
        <v>60</v>
      </c>
      <c r="F42" s="6">
        <v>6</v>
      </c>
      <c r="G42" s="2">
        <v>13.93535</v>
      </c>
      <c r="H42" s="35"/>
      <c r="I42" s="2">
        <f t="shared" si="0"/>
        <v>0</v>
      </c>
      <c r="J42" s="20"/>
    </row>
    <row r="43" spans="1:10" x14ac:dyDescent="0.3">
      <c r="A43" s="19">
        <v>891597005499</v>
      </c>
      <c r="B43" s="18" t="s">
        <v>43</v>
      </c>
      <c r="C43" s="18" t="s">
        <v>32</v>
      </c>
      <c r="D43" s="6">
        <v>90</v>
      </c>
      <c r="E43" s="6">
        <v>30</v>
      </c>
      <c r="F43" s="6">
        <v>12</v>
      </c>
      <c r="G43" s="2">
        <v>13.93535</v>
      </c>
      <c r="H43" s="35"/>
      <c r="I43" s="2">
        <f t="shared" si="0"/>
        <v>0</v>
      </c>
      <c r="J43" s="20"/>
    </row>
    <row r="44" spans="1:10" s="3" customFormat="1" x14ac:dyDescent="0.3">
      <c r="A44" s="19">
        <v>891597006274</v>
      </c>
      <c r="B44" s="18" t="s">
        <v>71</v>
      </c>
      <c r="C44" s="18" t="s">
        <v>32</v>
      </c>
      <c r="D44" s="7">
        <v>120</v>
      </c>
      <c r="E44" s="7">
        <v>60</v>
      </c>
      <c r="F44" s="7">
        <v>12</v>
      </c>
      <c r="G44" s="33">
        <v>30.201600000000006</v>
      </c>
      <c r="H44" s="35"/>
      <c r="I44" s="33">
        <f t="shared" si="0"/>
        <v>0</v>
      </c>
      <c r="J44" s="20"/>
    </row>
    <row r="45" spans="1:10" x14ac:dyDescent="0.3">
      <c r="A45" s="13" t="s">
        <v>57</v>
      </c>
      <c r="B45" s="11" t="s">
        <v>47</v>
      </c>
      <c r="C45" s="18" t="s">
        <v>11</v>
      </c>
      <c r="D45" s="6" t="s">
        <v>48</v>
      </c>
      <c r="E45" s="6">
        <v>30</v>
      </c>
      <c r="F45" s="6">
        <v>12</v>
      </c>
      <c r="G45" s="2">
        <v>23.230350000000005</v>
      </c>
      <c r="H45" s="35"/>
      <c r="I45" s="2">
        <f t="shared" si="0"/>
        <v>0</v>
      </c>
      <c r="J45" s="20"/>
    </row>
    <row r="46" spans="1:10" x14ac:dyDescent="0.3">
      <c r="A46" s="13" t="s">
        <v>58</v>
      </c>
      <c r="B46" s="11" t="s">
        <v>47</v>
      </c>
      <c r="C46" s="18" t="s">
        <v>38</v>
      </c>
      <c r="D46" s="6" t="s">
        <v>48</v>
      </c>
      <c r="E46" s="6">
        <v>30</v>
      </c>
      <c r="F46" s="6">
        <v>12</v>
      </c>
      <c r="G46" s="2">
        <v>23.230350000000005</v>
      </c>
      <c r="H46" s="35"/>
      <c r="I46" s="2">
        <f t="shared" si="0"/>
        <v>0</v>
      </c>
      <c r="J46" s="20"/>
    </row>
    <row r="47" spans="1:10" x14ac:dyDescent="0.3">
      <c r="A47" s="14">
        <v>891597005987</v>
      </c>
      <c r="B47" s="11" t="s">
        <v>47</v>
      </c>
      <c r="C47" s="18" t="s">
        <v>61</v>
      </c>
      <c r="D47" s="6" t="s">
        <v>48</v>
      </c>
      <c r="E47" s="6">
        <v>30</v>
      </c>
      <c r="F47" s="6">
        <v>12</v>
      </c>
      <c r="G47" s="2">
        <v>23.230350000000005</v>
      </c>
      <c r="H47" s="35"/>
      <c r="I47" s="2">
        <f t="shared" si="0"/>
        <v>0</v>
      </c>
      <c r="J47" s="20"/>
    </row>
    <row r="48" spans="1:10" x14ac:dyDescent="0.3">
      <c r="A48" s="19">
        <v>89159006281</v>
      </c>
      <c r="B48" s="18" t="s">
        <v>68</v>
      </c>
      <c r="C48" s="18" t="s">
        <v>69</v>
      </c>
      <c r="D48" s="7" t="s">
        <v>48</v>
      </c>
      <c r="E48" s="7">
        <v>30</v>
      </c>
      <c r="F48" s="6">
        <v>12</v>
      </c>
      <c r="G48" s="2">
        <v>23.230350000000005</v>
      </c>
      <c r="H48" s="35"/>
      <c r="I48" s="2">
        <f t="shared" si="0"/>
        <v>0</v>
      </c>
      <c r="J48" s="20"/>
    </row>
    <row r="49" spans="1:10" x14ac:dyDescent="0.3">
      <c r="A49" s="19">
        <v>89159006298</v>
      </c>
      <c r="B49" s="18" t="s">
        <v>68</v>
      </c>
      <c r="C49" s="18" t="s">
        <v>70</v>
      </c>
      <c r="D49" s="7" t="s">
        <v>48</v>
      </c>
      <c r="E49" s="7">
        <v>30</v>
      </c>
      <c r="F49" s="6">
        <v>12</v>
      </c>
      <c r="G49" s="2">
        <v>23.230350000000005</v>
      </c>
      <c r="H49" s="35"/>
      <c r="I49" s="2">
        <f t="shared" si="0"/>
        <v>0</v>
      </c>
      <c r="J49" s="20"/>
    </row>
    <row r="50" spans="1:10" x14ac:dyDescent="0.3">
      <c r="A50" s="15">
        <v>891597005888</v>
      </c>
      <c r="B50" s="11" t="s">
        <v>49</v>
      </c>
      <c r="C50" s="18" t="s">
        <v>32</v>
      </c>
      <c r="D50" s="6"/>
      <c r="E50" s="6">
        <v>30</v>
      </c>
      <c r="F50" s="6">
        <v>12</v>
      </c>
      <c r="G50" s="2">
        <v>30.201600000000006</v>
      </c>
      <c r="H50" s="35"/>
      <c r="I50" s="2">
        <f t="shared" si="0"/>
        <v>0</v>
      </c>
      <c r="J50" s="20"/>
    </row>
    <row r="51" spans="1:10" x14ac:dyDescent="0.3">
      <c r="A51" s="16" t="s">
        <v>56</v>
      </c>
      <c r="B51" s="11" t="s">
        <v>50</v>
      </c>
      <c r="C51" s="18" t="s">
        <v>32</v>
      </c>
      <c r="D51" s="6"/>
      <c r="E51" s="6">
        <v>30</v>
      </c>
      <c r="F51" s="6">
        <v>12</v>
      </c>
      <c r="G51" s="2">
        <v>16.2591</v>
      </c>
      <c r="H51" s="35"/>
      <c r="I51" s="2">
        <f t="shared" si="0"/>
        <v>0</v>
      </c>
      <c r="J51" s="20"/>
    </row>
    <row r="52" spans="1:10" x14ac:dyDescent="0.3">
      <c r="A52" s="17">
        <v>891597005284</v>
      </c>
      <c r="B52" s="11" t="s">
        <v>51</v>
      </c>
      <c r="C52" s="18" t="s">
        <v>52</v>
      </c>
      <c r="D52" s="6" t="s">
        <v>18</v>
      </c>
      <c r="E52" s="6">
        <v>20</v>
      </c>
      <c r="F52" s="6">
        <v>4</v>
      </c>
      <c r="G52" s="2">
        <v>40.390350000000005</v>
      </c>
      <c r="H52" s="35"/>
      <c r="I52" s="2">
        <f t="shared" si="0"/>
        <v>0</v>
      </c>
      <c r="J52" s="20"/>
    </row>
    <row r="53" spans="1:10" x14ac:dyDescent="0.3">
      <c r="A53" s="17">
        <v>891597005291</v>
      </c>
      <c r="B53" s="11" t="s">
        <v>51</v>
      </c>
      <c r="C53" s="18" t="s">
        <v>53</v>
      </c>
      <c r="D53" s="6" t="s">
        <v>46</v>
      </c>
      <c r="E53" s="6">
        <v>20</v>
      </c>
      <c r="F53" s="6">
        <v>4</v>
      </c>
      <c r="G53" s="2">
        <v>40.390350000000005</v>
      </c>
      <c r="H53" s="35"/>
      <c r="I53" s="2">
        <f t="shared" si="0"/>
        <v>0</v>
      </c>
      <c r="J53" s="20"/>
    </row>
    <row r="54" spans="1:10" x14ac:dyDescent="0.3">
      <c r="A54" s="12" t="s">
        <v>59</v>
      </c>
      <c r="B54" s="11" t="s">
        <v>60</v>
      </c>
      <c r="C54" s="37" t="s">
        <v>32</v>
      </c>
      <c r="D54" s="6"/>
      <c r="E54" s="6">
        <v>30</v>
      </c>
      <c r="F54" s="6">
        <v>12</v>
      </c>
      <c r="G54" s="2">
        <v>28.592850000000002</v>
      </c>
      <c r="H54" s="35"/>
      <c r="I54" s="2">
        <f t="shared" si="0"/>
        <v>0</v>
      </c>
      <c r="J54" s="20"/>
    </row>
    <row r="56" spans="1:10" ht="15" thickBot="1" x14ac:dyDescent="0.35"/>
    <row r="57" spans="1:10" ht="32.4" customHeight="1" thickBot="1" x14ac:dyDescent="0.35">
      <c r="B57" s="22"/>
    </row>
    <row r="58" spans="1:10" x14ac:dyDescent="0.3">
      <c r="B58" s="23" t="s">
        <v>76</v>
      </c>
    </row>
    <row r="59" spans="1:10" x14ac:dyDescent="0.3">
      <c r="B59" s="24" t="s">
        <v>77</v>
      </c>
    </row>
    <row r="60" spans="1:10" ht="15" thickBot="1" x14ac:dyDescent="0.35">
      <c r="B60" s="25" t="s">
        <v>78</v>
      </c>
    </row>
    <row r="61" spans="1:10" x14ac:dyDescent="0.3">
      <c r="B61" s="26" t="s">
        <v>79</v>
      </c>
    </row>
    <row r="62" spans="1:10" ht="15" thickBot="1" x14ac:dyDescent="0.35">
      <c r="B62" s="27" t="s">
        <v>80</v>
      </c>
    </row>
    <row r="63" spans="1:10" x14ac:dyDescent="0.3">
      <c r="B63" s="21"/>
    </row>
  </sheetData>
  <sheetProtection formatCells="0" formatColumns="0" formatRows="0" insertColumns="0" insertRows="0" insertHyperlinks="0" deleteColumns="0" deleteRows="0" sort="0" autoFilter="0" pivotTables="0"/>
  <autoFilter ref="A2:I2" xr:uid="{B0F78EAE-AEF1-4B65-86FD-FB1FC4D990DF}"/>
  <mergeCells count="1">
    <mergeCell ref="A1:I1"/>
  </mergeCells>
  <dataValidations xWindow="1212" yWindow="726" count="1">
    <dataValidation type="custom" allowBlank="1" showInputMessage="1" showErrorMessage="1" errorTitle="ERROR" error="Order quantity must be a multiple of Sales per Unit Case (See Column F)" prompt="Order quantity must be a multiple of Sales per Unit Case (See Column F)" sqref="H3:H54" xr:uid="{D52554D0-BCD5-4E99-BF16-5D34C62AD9F1}">
      <formula1>MOD(H3,F3)=0</formula1>
    </dataValidation>
  </dataValidations>
  <pageMargins left="0.7" right="0.7" top="0.75" bottom="0.75" header="0.3" footer="0.3"/>
  <pageSetup scale="8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(MuscleMeds)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Tkachuk Valia</cp:lastModifiedBy>
  <cp:lastPrinted>2019-09-11T16:32:50Z</cp:lastPrinted>
  <dcterms:created xsi:type="dcterms:W3CDTF">2018-04-16T16:39:33Z</dcterms:created>
  <dcterms:modified xsi:type="dcterms:W3CDTF">2025-03-11T11:28:04Z</dcterms:modified>
</cp:coreProperties>
</file>