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Bluebonnet Nutrition\Продаж\"/>
    </mc:Choice>
  </mc:AlternateContent>
  <xr:revisionPtr revIDLastSave="0" documentId="13_ncr:1_{0B5DA116-2469-4E2F-B60A-D45A70A62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Bluebonnet)" sheetId="1" r:id="rId1"/>
  </sheets>
  <definedNames>
    <definedName name="_xlnm._FilterDatabase" localSheetId="0" hidden="1">'DSN GROUP (Bluebonnet)'!$A$2:$G$647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3" i="1"/>
  <c r="J4" i="1"/>
  <c r="K4" i="1"/>
  <c r="M4" i="1"/>
  <c r="J5" i="1"/>
  <c r="K5" i="1"/>
  <c r="M5" i="1"/>
  <c r="J6" i="1"/>
  <c r="K6" i="1"/>
  <c r="M6" i="1"/>
  <c r="O6" i="1" s="1"/>
  <c r="J7" i="1"/>
  <c r="K7" i="1"/>
  <c r="M7" i="1"/>
  <c r="J8" i="1"/>
  <c r="K8" i="1"/>
  <c r="M8" i="1"/>
  <c r="J9" i="1"/>
  <c r="K9" i="1"/>
  <c r="M9" i="1"/>
  <c r="J10" i="1"/>
  <c r="K10" i="1"/>
  <c r="M10" i="1"/>
  <c r="J11" i="1"/>
  <c r="K11" i="1"/>
  <c r="M11" i="1"/>
  <c r="J12" i="1"/>
  <c r="K12" i="1"/>
  <c r="M12" i="1"/>
  <c r="J13" i="1"/>
  <c r="K13" i="1"/>
  <c r="M13" i="1"/>
  <c r="J14" i="1"/>
  <c r="K14" i="1"/>
  <c r="M14" i="1"/>
  <c r="J15" i="1"/>
  <c r="K15" i="1"/>
  <c r="M15" i="1"/>
  <c r="J16" i="1"/>
  <c r="K16" i="1"/>
  <c r="M16" i="1"/>
  <c r="J17" i="1"/>
  <c r="K17" i="1"/>
  <c r="M17" i="1"/>
  <c r="J18" i="1"/>
  <c r="K18" i="1"/>
  <c r="M18" i="1"/>
  <c r="J19" i="1"/>
  <c r="K19" i="1"/>
  <c r="M19" i="1"/>
  <c r="O19" i="1" s="1"/>
  <c r="J20" i="1"/>
  <c r="K20" i="1"/>
  <c r="M20" i="1"/>
  <c r="J21" i="1"/>
  <c r="K21" i="1"/>
  <c r="M21" i="1"/>
  <c r="J22" i="1"/>
  <c r="K22" i="1"/>
  <c r="M22" i="1"/>
  <c r="J23" i="1"/>
  <c r="K23" i="1"/>
  <c r="M23" i="1"/>
  <c r="J24" i="1"/>
  <c r="K24" i="1"/>
  <c r="M24" i="1"/>
  <c r="O24" i="1" s="1"/>
  <c r="J25" i="1"/>
  <c r="K25" i="1"/>
  <c r="M25" i="1"/>
  <c r="J26" i="1"/>
  <c r="K26" i="1"/>
  <c r="M26" i="1"/>
  <c r="J27" i="1"/>
  <c r="K27" i="1"/>
  <c r="M27" i="1"/>
  <c r="J28" i="1"/>
  <c r="K28" i="1"/>
  <c r="M28" i="1"/>
  <c r="J29" i="1"/>
  <c r="K29" i="1"/>
  <c r="M29" i="1"/>
  <c r="J30" i="1"/>
  <c r="K30" i="1"/>
  <c r="M30" i="1"/>
  <c r="J31" i="1"/>
  <c r="K31" i="1"/>
  <c r="M31" i="1"/>
  <c r="J32" i="1"/>
  <c r="K32" i="1"/>
  <c r="M32" i="1"/>
  <c r="J33" i="1"/>
  <c r="K33" i="1"/>
  <c r="M33" i="1"/>
  <c r="J34" i="1"/>
  <c r="K34" i="1"/>
  <c r="M34" i="1"/>
  <c r="J35" i="1"/>
  <c r="K35" i="1"/>
  <c r="M35" i="1"/>
  <c r="J36" i="1"/>
  <c r="K36" i="1"/>
  <c r="M36" i="1"/>
  <c r="J37" i="1"/>
  <c r="K37" i="1"/>
  <c r="M37" i="1"/>
  <c r="J38" i="1"/>
  <c r="K38" i="1"/>
  <c r="M38" i="1"/>
  <c r="J39" i="1"/>
  <c r="K39" i="1"/>
  <c r="M39" i="1"/>
  <c r="J40" i="1"/>
  <c r="K40" i="1"/>
  <c r="M40" i="1"/>
  <c r="J41" i="1"/>
  <c r="K41" i="1"/>
  <c r="M41" i="1"/>
  <c r="O41" i="1" s="1"/>
  <c r="J42" i="1"/>
  <c r="K42" i="1"/>
  <c r="M42" i="1"/>
  <c r="J43" i="1"/>
  <c r="K43" i="1"/>
  <c r="M43" i="1"/>
  <c r="J44" i="1"/>
  <c r="K44" i="1"/>
  <c r="M44" i="1"/>
  <c r="J45" i="1"/>
  <c r="K45" i="1"/>
  <c r="M45" i="1"/>
  <c r="J46" i="1"/>
  <c r="K46" i="1"/>
  <c r="M46" i="1"/>
  <c r="J47" i="1"/>
  <c r="K47" i="1"/>
  <c r="M47" i="1"/>
  <c r="J48" i="1"/>
  <c r="K48" i="1"/>
  <c r="M48" i="1"/>
  <c r="J49" i="1"/>
  <c r="K49" i="1"/>
  <c r="M49" i="1"/>
  <c r="J50" i="1"/>
  <c r="K50" i="1"/>
  <c r="M50" i="1"/>
  <c r="J51" i="1"/>
  <c r="K51" i="1"/>
  <c r="M51" i="1"/>
  <c r="J52" i="1"/>
  <c r="K52" i="1"/>
  <c r="M52" i="1"/>
  <c r="J53" i="1"/>
  <c r="K53" i="1"/>
  <c r="M53" i="1"/>
  <c r="J54" i="1"/>
  <c r="K54" i="1"/>
  <c r="M54" i="1"/>
  <c r="J55" i="1"/>
  <c r="K55" i="1"/>
  <c r="M55" i="1"/>
  <c r="J56" i="1"/>
  <c r="K56" i="1"/>
  <c r="M56" i="1"/>
  <c r="J57" i="1"/>
  <c r="K57" i="1"/>
  <c r="M57" i="1"/>
  <c r="J58" i="1"/>
  <c r="K58" i="1"/>
  <c r="M58" i="1"/>
  <c r="J59" i="1"/>
  <c r="K59" i="1"/>
  <c r="M59" i="1"/>
  <c r="J60" i="1"/>
  <c r="K60" i="1"/>
  <c r="M60" i="1"/>
  <c r="J61" i="1"/>
  <c r="K61" i="1"/>
  <c r="M61" i="1"/>
  <c r="J62" i="1"/>
  <c r="K62" i="1"/>
  <c r="M62" i="1"/>
  <c r="J63" i="1"/>
  <c r="K63" i="1"/>
  <c r="M63" i="1"/>
  <c r="J64" i="1"/>
  <c r="K64" i="1"/>
  <c r="M64" i="1"/>
  <c r="J65" i="1"/>
  <c r="K65" i="1"/>
  <c r="M65" i="1"/>
  <c r="J66" i="1"/>
  <c r="K66" i="1"/>
  <c r="M66" i="1"/>
  <c r="J67" i="1"/>
  <c r="K67" i="1"/>
  <c r="M67" i="1"/>
  <c r="J68" i="1"/>
  <c r="K68" i="1"/>
  <c r="M68" i="1"/>
  <c r="J69" i="1"/>
  <c r="K69" i="1"/>
  <c r="M69" i="1"/>
  <c r="J70" i="1"/>
  <c r="K70" i="1"/>
  <c r="M70" i="1"/>
  <c r="J71" i="1"/>
  <c r="K71" i="1"/>
  <c r="M71" i="1"/>
  <c r="J72" i="1"/>
  <c r="K72" i="1"/>
  <c r="M72" i="1"/>
  <c r="J73" i="1"/>
  <c r="K73" i="1"/>
  <c r="M73" i="1"/>
  <c r="J74" i="1"/>
  <c r="K74" i="1"/>
  <c r="M74" i="1"/>
  <c r="J75" i="1"/>
  <c r="K75" i="1"/>
  <c r="M75" i="1"/>
  <c r="O75" i="1" s="1"/>
  <c r="J76" i="1"/>
  <c r="K76" i="1"/>
  <c r="M76" i="1"/>
  <c r="J77" i="1"/>
  <c r="K77" i="1"/>
  <c r="M77" i="1"/>
  <c r="J78" i="1"/>
  <c r="K78" i="1"/>
  <c r="M78" i="1"/>
  <c r="J79" i="1"/>
  <c r="K79" i="1"/>
  <c r="M79" i="1"/>
  <c r="J80" i="1"/>
  <c r="K80" i="1"/>
  <c r="M80" i="1"/>
  <c r="J81" i="1"/>
  <c r="K81" i="1"/>
  <c r="M81" i="1"/>
  <c r="J82" i="1"/>
  <c r="K82" i="1"/>
  <c r="M82" i="1"/>
  <c r="J83" i="1"/>
  <c r="K83" i="1"/>
  <c r="M83" i="1"/>
  <c r="J84" i="1"/>
  <c r="K84" i="1"/>
  <c r="M84" i="1"/>
  <c r="J85" i="1"/>
  <c r="K85" i="1"/>
  <c r="M85" i="1"/>
  <c r="J86" i="1"/>
  <c r="K86" i="1"/>
  <c r="M86" i="1"/>
  <c r="J87" i="1"/>
  <c r="K87" i="1"/>
  <c r="M87" i="1"/>
  <c r="J88" i="1"/>
  <c r="K88" i="1"/>
  <c r="M88" i="1"/>
  <c r="J89" i="1"/>
  <c r="K89" i="1"/>
  <c r="M89" i="1"/>
  <c r="J90" i="1"/>
  <c r="K90" i="1"/>
  <c r="M90" i="1"/>
  <c r="J91" i="1"/>
  <c r="K91" i="1"/>
  <c r="M91" i="1"/>
  <c r="O91" i="1" s="1"/>
  <c r="J92" i="1"/>
  <c r="K92" i="1"/>
  <c r="M92" i="1"/>
  <c r="J93" i="1"/>
  <c r="K93" i="1"/>
  <c r="M93" i="1"/>
  <c r="J94" i="1"/>
  <c r="K94" i="1"/>
  <c r="M94" i="1"/>
  <c r="J95" i="1"/>
  <c r="K95" i="1"/>
  <c r="M95" i="1"/>
  <c r="J96" i="1"/>
  <c r="K96" i="1"/>
  <c r="M96" i="1"/>
  <c r="O96" i="1" s="1"/>
  <c r="J97" i="1"/>
  <c r="K97" i="1"/>
  <c r="M97" i="1"/>
  <c r="J98" i="1"/>
  <c r="K98" i="1"/>
  <c r="M98" i="1"/>
  <c r="J99" i="1"/>
  <c r="K99" i="1"/>
  <c r="M99" i="1"/>
  <c r="J100" i="1"/>
  <c r="K100" i="1"/>
  <c r="M100" i="1"/>
  <c r="J101" i="1"/>
  <c r="K101" i="1"/>
  <c r="M101" i="1"/>
  <c r="J102" i="1"/>
  <c r="K102" i="1"/>
  <c r="M102" i="1"/>
  <c r="J103" i="1"/>
  <c r="K103" i="1"/>
  <c r="M103" i="1"/>
  <c r="J104" i="1"/>
  <c r="K104" i="1"/>
  <c r="M104" i="1"/>
  <c r="J105" i="1"/>
  <c r="K105" i="1"/>
  <c r="M105" i="1"/>
  <c r="J106" i="1"/>
  <c r="K106" i="1"/>
  <c r="M106" i="1"/>
  <c r="J107" i="1"/>
  <c r="K107" i="1"/>
  <c r="M107" i="1"/>
  <c r="J108" i="1"/>
  <c r="K108" i="1"/>
  <c r="M108" i="1"/>
  <c r="J109" i="1"/>
  <c r="K109" i="1"/>
  <c r="M109" i="1"/>
  <c r="J110" i="1"/>
  <c r="K110" i="1"/>
  <c r="M110" i="1"/>
  <c r="J111" i="1"/>
  <c r="K111" i="1"/>
  <c r="M111" i="1"/>
  <c r="J112" i="1"/>
  <c r="K112" i="1"/>
  <c r="M112" i="1"/>
  <c r="J113" i="1"/>
  <c r="K113" i="1"/>
  <c r="M113" i="1"/>
  <c r="J114" i="1"/>
  <c r="K114" i="1"/>
  <c r="M114" i="1"/>
  <c r="J115" i="1"/>
  <c r="K115" i="1"/>
  <c r="M115" i="1"/>
  <c r="J116" i="1"/>
  <c r="K116" i="1"/>
  <c r="M116" i="1"/>
  <c r="J117" i="1"/>
  <c r="K117" i="1"/>
  <c r="M117" i="1"/>
  <c r="J118" i="1"/>
  <c r="K118" i="1"/>
  <c r="M118" i="1"/>
  <c r="J119" i="1"/>
  <c r="K119" i="1"/>
  <c r="M119" i="1"/>
  <c r="J120" i="1"/>
  <c r="K120" i="1"/>
  <c r="M120" i="1"/>
  <c r="J121" i="1"/>
  <c r="K121" i="1"/>
  <c r="M121" i="1"/>
  <c r="O121" i="1" s="1"/>
  <c r="J122" i="1"/>
  <c r="K122" i="1"/>
  <c r="M122" i="1"/>
  <c r="J123" i="1"/>
  <c r="K123" i="1"/>
  <c r="M123" i="1"/>
  <c r="J124" i="1"/>
  <c r="K124" i="1"/>
  <c r="M124" i="1"/>
  <c r="J125" i="1"/>
  <c r="K125" i="1"/>
  <c r="M125" i="1"/>
  <c r="J126" i="1"/>
  <c r="K126" i="1"/>
  <c r="M126" i="1"/>
  <c r="J127" i="1"/>
  <c r="K127" i="1"/>
  <c r="M127" i="1"/>
  <c r="J128" i="1"/>
  <c r="K128" i="1"/>
  <c r="M128" i="1"/>
  <c r="J129" i="1"/>
  <c r="K129" i="1"/>
  <c r="M129" i="1"/>
  <c r="J130" i="1"/>
  <c r="K130" i="1"/>
  <c r="M130" i="1"/>
  <c r="J131" i="1"/>
  <c r="K131" i="1"/>
  <c r="M131" i="1"/>
  <c r="J132" i="1"/>
  <c r="K132" i="1"/>
  <c r="M132" i="1"/>
  <c r="O132" i="1" s="1"/>
  <c r="J133" i="1"/>
  <c r="K133" i="1"/>
  <c r="M133" i="1"/>
  <c r="J134" i="1"/>
  <c r="K134" i="1"/>
  <c r="M134" i="1"/>
  <c r="J135" i="1"/>
  <c r="K135" i="1"/>
  <c r="M135" i="1"/>
  <c r="J136" i="1"/>
  <c r="K136" i="1"/>
  <c r="M136" i="1"/>
  <c r="J137" i="1"/>
  <c r="K137" i="1"/>
  <c r="M137" i="1"/>
  <c r="J138" i="1"/>
  <c r="K138" i="1"/>
  <c r="M138" i="1"/>
  <c r="J139" i="1"/>
  <c r="K139" i="1"/>
  <c r="M139" i="1"/>
  <c r="J140" i="1"/>
  <c r="K140" i="1"/>
  <c r="M140" i="1"/>
  <c r="J141" i="1"/>
  <c r="K141" i="1"/>
  <c r="M141" i="1"/>
  <c r="J142" i="1"/>
  <c r="K142" i="1"/>
  <c r="M142" i="1"/>
  <c r="J143" i="1"/>
  <c r="K143" i="1"/>
  <c r="M143" i="1"/>
  <c r="J144" i="1"/>
  <c r="K144" i="1"/>
  <c r="M144" i="1"/>
  <c r="J145" i="1"/>
  <c r="K145" i="1"/>
  <c r="M145" i="1"/>
  <c r="J146" i="1"/>
  <c r="K146" i="1"/>
  <c r="M146" i="1"/>
  <c r="J147" i="1"/>
  <c r="K147" i="1"/>
  <c r="M147" i="1"/>
  <c r="J148" i="1"/>
  <c r="K148" i="1"/>
  <c r="M148" i="1"/>
  <c r="J149" i="1"/>
  <c r="K149" i="1"/>
  <c r="M149" i="1"/>
  <c r="J150" i="1"/>
  <c r="K150" i="1"/>
  <c r="M150" i="1"/>
  <c r="J151" i="1"/>
  <c r="K151" i="1"/>
  <c r="M151" i="1"/>
  <c r="J152" i="1"/>
  <c r="K152" i="1"/>
  <c r="M152" i="1"/>
  <c r="J153" i="1"/>
  <c r="K153" i="1"/>
  <c r="M153" i="1"/>
  <c r="O153" i="1" s="1"/>
  <c r="J154" i="1"/>
  <c r="K154" i="1"/>
  <c r="M154" i="1"/>
  <c r="J155" i="1"/>
  <c r="K155" i="1"/>
  <c r="M155" i="1"/>
  <c r="J156" i="1"/>
  <c r="K156" i="1"/>
  <c r="M156" i="1"/>
  <c r="J157" i="1"/>
  <c r="K157" i="1"/>
  <c r="M157" i="1"/>
  <c r="J158" i="1"/>
  <c r="K158" i="1"/>
  <c r="M158" i="1"/>
  <c r="J159" i="1"/>
  <c r="K159" i="1"/>
  <c r="M159" i="1"/>
  <c r="J160" i="1"/>
  <c r="K160" i="1"/>
  <c r="M160" i="1"/>
  <c r="J161" i="1"/>
  <c r="K161" i="1"/>
  <c r="M161" i="1"/>
  <c r="J162" i="1"/>
  <c r="K162" i="1"/>
  <c r="M162" i="1"/>
  <c r="J163" i="1"/>
  <c r="K163" i="1"/>
  <c r="M163" i="1"/>
  <c r="J164" i="1"/>
  <c r="K164" i="1"/>
  <c r="M164" i="1"/>
  <c r="J165" i="1"/>
  <c r="K165" i="1"/>
  <c r="M165" i="1"/>
  <c r="J166" i="1"/>
  <c r="K166" i="1"/>
  <c r="M166" i="1"/>
  <c r="J167" i="1"/>
  <c r="K167" i="1"/>
  <c r="M167" i="1"/>
  <c r="J168" i="1"/>
  <c r="K168" i="1"/>
  <c r="M168" i="1"/>
  <c r="J169" i="1"/>
  <c r="K169" i="1"/>
  <c r="M169" i="1"/>
  <c r="J170" i="1"/>
  <c r="K170" i="1"/>
  <c r="M170" i="1"/>
  <c r="J171" i="1"/>
  <c r="K171" i="1"/>
  <c r="M171" i="1"/>
  <c r="J172" i="1"/>
  <c r="K172" i="1"/>
  <c r="M172" i="1"/>
  <c r="J173" i="1"/>
  <c r="K173" i="1"/>
  <c r="M173" i="1"/>
  <c r="O173" i="1" s="1"/>
  <c r="J174" i="1"/>
  <c r="K174" i="1"/>
  <c r="M174" i="1"/>
  <c r="J175" i="1"/>
  <c r="K175" i="1"/>
  <c r="M175" i="1"/>
  <c r="J176" i="1"/>
  <c r="K176" i="1"/>
  <c r="M176" i="1"/>
  <c r="J177" i="1"/>
  <c r="K177" i="1"/>
  <c r="M177" i="1"/>
  <c r="J178" i="1"/>
  <c r="K178" i="1"/>
  <c r="M178" i="1"/>
  <c r="O178" i="1" s="1"/>
  <c r="J179" i="1"/>
  <c r="K179" i="1"/>
  <c r="M179" i="1"/>
  <c r="J180" i="1"/>
  <c r="K180" i="1"/>
  <c r="M180" i="1"/>
  <c r="J181" i="1"/>
  <c r="K181" i="1"/>
  <c r="M181" i="1"/>
  <c r="J182" i="1"/>
  <c r="K182" i="1"/>
  <c r="M182" i="1"/>
  <c r="J183" i="1"/>
  <c r="K183" i="1"/>
  <c r="M183" i="1"/>
  <c r="O183" i="1" s="1"/>
  <c r="J184" i="1"/>
  <c r="K184" i="1"/>
  <c r="M184" i="1"/>
  <c r="O184" i="1" s="1"/>
  <c r="J185" i="1"/>
  <c r="K185" i="1"/>
  <c r="M185" i="1"/>
  <c r="J186" i="1"/>
  <c r="K186" i="1"/>
  <c r="M186" i="1"/>
  <c r="J187" i="1"/>
  <c r="K187" i="1"/>
  <c r="M187" i="1"/>
  <c r="J188" i="1"/>
  <c r="K188" i="1"/>
  <c r="M188" i="1"/>
  <c r="J189" i="1"/>
  <c r="K189" i="1"/>
  <c r="M189" i="1"/>
  <c r="J190" i="1"/>
  <c r="K190" i="1"/>
  <c r="M190" i="1"/>
  <c r="J191" i="1"/>
  <c r="K191" i="1"/>
  <c r="M191" i="1"/>
  <c r="J192" i="1"/>
  <c r="K192" i="1"/>
  <c r="M192" i="1"/>
  <c r="J193" i="1"/>
  <c r="K193" i="1"/>
  <c r="M193" i="1"/>
  <c r="J194" i="1"/>
  <c r="K194" i="1"/>
  <c r="M194" i="1"/>
  <c r="J195" i="1"/>
  <c r="K195" i="1"/>
  <c r="M195" i="1"/>
  <c r="J196" i="1"/>
  <c r="K196" i="1"/>
  <c r="M196" i="1"/>
  <c r="J197" i="1"/>
  <c r="K197" i="1"/>
  <c r="M197" i="1"/>
  <c r="O197" i="1" s="1"/>
  <c r="J198" i="1"/>
  <c r="K198" i="1"/>
  <c r="M198" i="1"/>
  <c r="O198" i="1" s="1"/>
  <c r="J199" i="1"/>
  <c r="K199" i="1"/>
  <c r="M199" i="1"/>
  <c r="O199" i="1" s="1"/>
  <c r="J200" i="1"/>
  <c r="K200" i="1"/>
  <c r="M200" i="1"/>
  <c r="J201" i="1"/>
  <c r="K201" i="1"/>
  <c r="M201" i="1"/>
  <c r="J202" i="1"/>
  <c r="K202" i="1"/>
  <c r="M202" i="1"/>
  <c r="J203" i="1"/>
  <c r="K203" i="1"/>
  <c r="M203" i="1"/>
  <c r="J204" i="1"/>
  <c r="K204" i="1"/>
  <c r="M204" i="1"/>
  <c r="J205" i="1"/>
  <c r="K205" i="1"/>
  <c r="M205" i="1"/>
  <c r="J206" i="1"/>
  <c r="K206" i="1"/>
  <c r="M206" i="1"/>
  <c r="J207" i="1"/>
  <c r="K207" i="1"/>
  <c r="M207" i="1"/>
  <c r="J208" i="1"/>
  <c r="K208" i="1"/>
  <c r="M208" i="1"/>
  <c r="J209" i="1"/>
  <c r="K209" i="1"/>
  <c r="M209" i="1"/>
  <c r="J210" i="1"/>
  <c r="K210" i="1"/>
  <c r="M210" i="1"/>
  <c r="J211" i="1"/>
  <c r="K211" i="1"/>
  <c r="M211" i="1"/>
  <c r="J212" i="1"/>
  <c r="K212" i="1"/>
  <c r="M212" i="1"/>
  <c r="J213" i="1"/>
  <c r="K213" i="1"/>
  <c r="M213" i="1"/>
  <c r="J214" i="1"/>
  <c r="K214" i="1"/>
  <c r="M214" i="1"/>
  <c r="J215" i="1"/>
  <c r="K215" i="1"/>
  <c r="M215" i="1"/>
  <c r="J216" i="1"/>
  <c r="K216" i="1"/>
  <c r="M216" i="1"/>
  <c r="J217" i="1"/>
  <c r="K217" i="1"/>
  <c r="M217" i="1"/>
  <c r="J218" i="1"/>
  <c r="K218" i="1"/>
  <c r="M218" i="1"/>
  <c r="J219" i="1"/>
  <c r="K219" i="1"/>
  <c r="M219" i="1"/>
  <c r="J220" i="1"/>
  <c r="K220" i="1"/>
  <c r="M220" i="1"/>
  <c r="O220" i="1" s="1"/>
  <c r="J221" i="1"/>
  <c r="K221" i="1"/>
  <c r="M221" i="1"/>
  <c r="J222" i="1"/>
  <c r="K222" i="1"/>
  <c r="M222" i="1"/>
  <c r="J223" i="1"/>
  <c r="K223" i="1"/>
  <c r="M223" i="1"/>
  <c r="J224" i="1"/>
  <c r="K224" i="1"/>
  <c r="M224" i="1"/>
  <c r="J225" i="1"/>
  <c r="K225" i="1"/>
  <c r="M225" i="1"/>
  <c r="O225" i="1" s="1"/>
  <c r="J226" i="1"/>
  <c r="K226" i="1"/>
  <c r="M226" i="1"/>
  <c r="J227" i="1"/>
  <c r="K227" i="1"/>
  <c r="M227" i="1"/>
  <c r="J228" i="1"/>
  <c r="K228" i="1"/>
  <c r="M228" i="1"/>
  <c r="J229" i="1"/>
  <c r="K229" i="1"/>
  <c r="M229" i="1"/>
  <c r="J230" i="1"/>
  <c r="K230" i="1"/>
  <c r="M230" i="1"/>
  <c r="O230" i="1" s="1"/>
  <c r="J231" i="1"/>
  <c r="K231" i="1"/>
  <c r="M231" i="1"/>
  <c r="O231" i="1" s="1"/>
  <c r="J232" i="1"/>
  <c r="K232" i="1"/>
  <c r="M232" i="1"/>
  <c r="J233" i="1"/>
  <c r="K233" i="1"/>
  <c r="M233" i="1"/>
  <c r="J234" i="1"/>
  <c r="K234" i="1"/>
  <c r="M234" i="1"/>
  <c r="J235" i="1"/>
  <c r="K235" i="1"/>
  <c r="M235" i="1"/>
  <c r="J236" i="1"/>
  <c r="K236" i="1"/>
  <c r="M236" i="1"/>
  <c r="J237" i="1"/>
  <c r="K237" i="1"/>
  <c r="M237" i="1"/>
  <c r="J238" i="1"/>
  <c r="K238" i="1"/>
  <c r="M238" i="1"/>
  <c r="J239" i="1"/>
  <c r="K239" i="1"/>
  <c r="M239" i="1"/>
  <c r="J240" i="1"/>
  <c r="K240" i="1"/>
  <c r="M240" i="1"/>
  <c r="J241" i="1"/>
  <c r="K241" i="1"/>
  <c r="M241" i="1"/>
  <c r="J242" i="1"/>
  <c r="K242" i="1"/>
  <c r="M242" i="1"/>
  <c r="J243" i="1"/>
  <c r="K243" i="1"/>
  <c r="M243" i="1"/>
  <c r="J244" i="1"/>
  <c r="K244" i="1"/>
  <c r="M244" i="1"/>
  <c r="J245" i="1"/>
  <c r="K245" i="1"/>
  <c r="M245" i="1"/>
  <c r="J246" i="1"/>
  <c r="K246" i="1"/>
  <c r="M246" i="1"/>
  <c r="J247" i="1"/>
  <c r="K247" i="1"/>
  <c r="M247" i="1"/>
  <c r="J248" i="1"/>
  <c r="K248" i="1"/>
  <c r="M248" i="1"/>
  <c r="J249" i="1"/>
  <c r="K249" i="1"/>
  <c r="M249" i="1"/>
  <c r="J250" i="1"/>
  <c r="K250" i="1"/>
  <c r="M250" i="1"/>
  <c r="J251" i="1"/>
  <c r="K251" i="1"/>
  <c r="M251" i="1"/>
  <c r="J252" i="1"/>
  <c r="K252" i="1"/>
  <c r="M252" i="1"/>
  <c r="J253" i="1"/>
  <c r="K253" i="1"/>
  <c r="M253" i="1"/>
  <c r="J254" i="1"/>
  <c r="K254" i="1"/>
  <c r="M254" i="1"/>
  <c r="J255" i="1"/>
  <c r="K255" i="1"/>
  <c r="M255" i="1"/>
  <c r="J256" i="1"/>
  <c r="K256" i="1"/>
  <c r="M256" i="1"/>
  <c r="J257" i="1"/>
  <c r="K257" i="1"/>
  <c r="M257" i="1"/>
  <c r="J258" i="1"/>
  <c r="K258" i="1"/>
  <c r="M258" i="1"/>
  <c r="J259" i="1"/>
  <c r="K259" i="1"/>
  <c r="M259" i="1"/>
  <c r="J260" i="1"/>
  <c r="K260" i="1"/>
  <c r="M260" i="1"/>
  <c r="J261" i="1"/>
  <c r="K261" i="1"/>
  <c r="M261" i="1"/>
  <c r="J262" i="1"/>
  <c r="K262" i="1"/>
  <c r="M262" i="1"/>
  <c r="O262" i="1" s="1"/>
  <c r="J263" i="1"/>
  <c r="K263" i="1"/>
  <c r="M263" i="1"/>
  <c r="J264" i="1"/>
  <c r="K264" i="1"/>
  <c r="M264" i="1"/>
  <c r="J265" i="1"/>
  <c r="K265" i="1"/>
  <c r="M265" i="1"/>
  <c r="J266" i="1"/>
  <c r="K266" i="1"/>
  <c r="M266" i="1"/>
  <c r="J267" i="1"/>
  <c r="K267" i="1"/>
  <c r="M267" i="1"/>
  <c r="J268" i="1"/>
  <c r="K268" i="1"/>
  <c r="M268" i="1"/>
  <c r="J269" i="1"/>
  <c r="K269" i="1"/>
  <c r="M269" i="1"/>
  <c r="J270" i="1"/>
  <c r="K270" i="1"/>
  <c r="M270" i="1"/>
  <c r="J271" i="1"/>
  <c r="K271" i="1"/>
  <c r="M271" i="1"/>
  <c r="J272" i="1"/>
  <c r="K272" i="1"/>
  <c r="M272" i="1"/>
  <c r="J273" i="1"/>
  <c r="K273" i="1"/>
  <c r="M273" i="1"/>
  <c r="J274" i="1"/>
  <c r="K274" i="1"/>
  <c r="M274" i="1"/>
  <c r="O274" i="1" s="1"/>
  <c r="J275" i="1"/>
  <c r="K275" i="1"/>
  <c r="M275" i="1"/>
  <c r="J276" i="1"/>
  <c r="K276" i="1"/>
  <c r="M276" i="1"/>
  <c r="J277" i="1"/>
  <c r="K277" i="1"/>
  <c r="M277" i="1"/>
  <c r="J278" i="1"/>
  <c r="K278" i="1"/>
  <c r="M278" i="1"/>
  <c r="O278" i="1" s="1"/>
  <c r="J279" i="1"/>
  <c r="K279" i="1"/>
  <c r="M279" i="1"/>
  <c r="O279" i="1" s="1"/>
  <c r="J280" i="1"/>
  <c r="K280" i="1"/>
  <c r="M280" i="1"/>
  <c r="J281" i="1"/>
  <c r="K281" i="1"/>
  <c r="M281" i="1"/>
  <c r="J282" i="1"/>
  <c r="K282" i="1"/>
  <c r="M282" i="1"/>
  <c r="J283" i="1"/>
  <c r="K283" i="1"/>
  <c r="M283" i="1"/>
  <c r="J284" i="1"/>
  <c r="K284" i="1"/>
  <c r="M284" i="1"/>
  <c r="J285" i="1"/>
  <c r="K285" i="1"/>
  <c r="M285" i="1"/>
  <c r="J286" i="1"/>
  <c r="K286" i="1"/>
  <c r="M286" i="1"/>
  <c r="J287" i="1"/>
  <c r="K287" i="1"/>
  <c r="M287" i="1"/>
  <c r="J288" i="1"/>
  <c r="K288" i="1"/>
  <c r="M288" i="1"/>
  <c r="J289" i="1"/>
  <c r="K289" i="1"/>
  <c r="M289" i="1"/>
  <c r="J290" i="1"/>
  <c r="K290" i="1"/>
  <c r="M290" i="1"/>
  <c r="J291" i="1"/>
  <c r="K291" i="1"/>
  <c r="M291" i="1"/>
  <c r="J292" i="1"/>
  <c r="K292" i="1"/>
  <c r="M292" i="1"/>
  <c r="J293" i="1"/>
  <c r="K293" i="1"/>
  <c r="M293" i="1"/>
  <c r="J294" i="1"/>
  <c r="K294" i="1"/>
  <c r="M294" i="1"/>
  <c r="J295" i="1"/>
  <c r="K295" i="1"/>
  <c r="M295" i="1"/>
  <c r="J296" i="1"/>
  <c r="K296" i="1"/>
  <c r="M296" i="1"/>
  <c r="J297" i="1"/>
  <c r="K297" i="1"/>
  <c r="M297" i="1"/>
  <c r="J298" i="1"/>
  <c r="K298" i="1"/>
  <c r="M298" i="1"/>
  <c r="J299" i="1"/>
  <c r="K299" i="1"/>
  <c r="M299" i="1"/>
  <c r="J300" i="1"/>
  <c r="K300" i="1"/>
  <c r="M300" i="1"/>
  <c r="J301" i="1"/>
  <c r="K301" i="1"/>
  <c r="M301" i="1"/>
  <c r="J302" i="1"/>
  <c r="K302" i="1"/>
  <c r="M302" i="1"/>
  <c r="J303" i="1"/>
  <c r="K303" i="1"/>
  <c r="M303" i="1"/>
  <c r="J304" i="1"/>
  <c r="K304" i="1"/>
  <c r="M304" i="1"/>
  <c r="J305" i="1"/>
  <c r="K305" i="1"/>
  <c r="M305" i="1"/>
  <c r="J306" i="1"/>
  <c r="K306" i="1"/>
  <c r="M306" i="1"/>
  <c r="J307" i="1"/>
  <c r="K307" i="1"/>
  <c r="M307" i="1"/>
  <c r="J308" i="1"/>
  <c r="K308" i="1"/>
  <c r="M308" i="1"/>
  <c r="J309" i="1"/>
  <c r="K309" i="1"/>
  <c r="M309" i="1"/>
  <c r="O309" i="1" s="1"/>
  <c r="J310" i="1"/>
  <c r="K310" i="1"/>
  <c r="M310" i="1"/>
  <c r="J311" i="1"/>
  <c r="K311" i="1"/>
  <c r="M311" i="1"/>
  <c r="J312" i="1"/>
  <c r="K312" i="1"/>
  <c r="M312" i="1"/>
  <c r="J313" i="1"/>
  <c r="K313" i="1"/>
  <c r="M313" i="1"/>
  <c r="J314" i="1"/>
  <c r="K314" i="1"/>
  <c r="M314" i="1"/>
  <c r="J315" i="1"/>
  <c r="K315" i="1"/>
  <c r="M315" i="1"/>
  <c r="J316" i="1"/>
  <c r="K316" i="1"/>
  <c r="M316" i="1"/>
  <c r="J317" i="1"/>
  <c r="K317" i="1"/>
  <c r="M317" i="1"/>
  <c r="J318" i="1"/>
  <c r="K318" i="1"/>
  <c r="M318" i="1"/>
  <c r="J319" i="1"/>
  <c r="K319" i="1"/>
  <c r="M319" i="1"/>
  <c r="J320" i="1"/>
  <c r="K320" i="1"/>
  <c r="M320" i="1"/>
  <c r="J321" i="1"/>
  <c r="K321" i="1"/>
  <c r="M321" i="1"/>
  <c r="J322" i="1"/>
  <c r="K322" i="1"/>
  <c r="M322" i="1"/>
  <c r="J323" i="1"/>
  <c r="K323" i="1"/>
  <c r="M323" i="1"/>
  <c r="J324" i="1"/>
  <c r="K324" i="1"/>
  <c r="M324" i="1"/>
  <c r="O324" i="1" s="1"/>
  <c r="J325" i="1"/>
  <c r="K325" i="1"/>
  <c r="M325" i="1"/>
  <c r="J326" i="1"/>
  <c r="K326" i="1"/>
  <c r="M326" i="1"/>
  <c r="J327" i="1"/>
  <c r="K327" i="1"/>
  <c r="M327" i="1"/>
  <c r="J328" i="1"/>
  <c r="K328" i="1"/>
  <c r="M328" i="1"/>
  <c r="J329" i="1"/>
  <c r="K329" i="1"/>
  <c r="M329" i="1"/>
  <c r="J330" i="1"/>
  <c r="K330" i="1"/>
  <c r="M330" i="1"/>
  <c r="J331" i="1"/>
  <c r="K331" i="1"/>
  <c r="M331" i="1"/>
  <c r="J332" i="1"/>
  <c r="K332" i="1"/>
  <c r="M332" i="1"/>
  <c r="J333" i="1"/>
  <c r="K333" i="1"/>
  <c r="M333" i="1"/>
  <c r="J334" i="1"/>
  <c r="K334" i="1"/>
  <c r="M334" i="1"/>
  <c r="J335" i="1"/>
  <c r="K335" i="1"/>
  <c r="M335" i="1"/>
  <c r="J336" i="1"/>
  <c r="K336" i="1"/>
  <c r="M336" i="1"/>
  <c r="J337" i="1"/>
  <c r="K337" i="1"/>
  <c r="M337" i="1"/>
  <c r="J338" i="1"/>
  <c r="K338" i="1"/>
  <c r="M338" i="1"/>
  <c r="J339" i="1"/>
  <c r="K339" i="1"/>
  <c r="M339" i="1"/>
  <c r="J340" i="1"/>
  <c r="K340" i="1"/>
  <c r="M340" i="1"/>
  <c r="J341" i="1"/>
  <c r="K341" i="1"/>
  <c r="M341" i="1"/>
  <c r="J342" i="1"/>
  <c r="K342" i="1"/>
  <c r="M342" i="1"/>
  <c r="J343" i="1"/>
  <c r="K343" i="1"/>
  <c r="M343" i="1"/>
  <c r="J344" i="1"/>
  <c r="K344" i="1"/>
  <c r="M344" i="1"/>
  <c r="J345" i="1"/>
  <c r="K345" i="1"/>
  <c r="M345" i="1"/>
  <c r="J346" i="1"/>
  <c r="K346" i="1"/>
  <c r="M346" i="1"/>
  <c r="J347" i="1"/>
  <c r="K347" i="1"/>
  <c r="M347" i="1"/>
  <c r="J348" i="1"/>
  <c r="K348" i="1"/>
  <c r="M348" i="1"/>
  <c r="J349" i="1"/>
  <c r="K349" i="1"/>
  <c r="M349" i="1"/>
  <c r="J350" i="1"/>
  <c r="K350" i="1"/>
  <c r="M350" i="1"/>
  <c r="J351" i="1"/>
  <c r="K351" i="1"/>
  <c r="M351" i="1"/>
  <c r="J352" i="1"/>
  <c r="K352" i="1"/>
  <c r="M352" i="1"/>
  <c r="J353" i="1"/>
  <c r="K353" i="1"/>
  <c r="M353" i="1"/>
  <c r="J354" i="1"/>
  <c r="K354" i="1"/>
  <c r="M354" i="1"/>
  <c r="J355" i="1"/>
  <c r="K355" i="1"/>
  <c r="M355" i="1"/>
  <c r="J356" i="1"/>
  <c r="K356" i="1"/>
  <c r="M356" i="1"/>
  <c r="O356" i="1" s="1"/>
  <c r="J357" i="1"/>
  <c r="K357" i="1"/>
  <c r="M357" i="1"/>
  <c r="J358" i="1"/>
  <c r="K358" i="1"/>
  <c r="M358" i="1"/>
  <c r="O358" i="1" s="1"/>
  <c r="J359" i="1"/>
  <c r="K359" i="1"/>
  <c r="M359" i="1"/>
  <c r="O359" i="1" s="1"/>
  <c r="J360" i="1"/>
  <c r="K360" i="1"/>
  <c r="M360" i="1"/>
  <c r="J361" i="1"/>
  <c r="K361" i="1"/>
  <c r="M361" i="1"/>
  <c r="J362" i="1"/>
  <c r="K362" i="1"/>
  <c r="M362" i="1"/>
  <c r="J363" i="1"/>
  <c r="K363" i="1"/>
  <c r="M363" i="1"/>
  <c r="J364" i="1"/>
  <c r="K364" i="1"/>
  <c r="M364" i="1"/>
  <c r="J365" i="1"/>
  <c r="K365" i="1"/>
  <c r="M365" i="1"/>
  <c r="J366" i="1"/>
  <c r="K366" i="1"/>
  <c r="M366" i="1"/>
  <c r="J367" i="1"/>
  <c r="K367" i="1"/>
  <c r="M367" i="1"/>
  <c r="J368" i="1"/>
  <c r="K368" i="1"/>
  <c r="M368" i="1"/>
  <c r="J369" i="1"/>
  <c r="K369" i="1"/>
  <c r="M369" i="1"/>
  <c r="J370" i="1"/>
  <c r="K370" i="1"/>
  <c r="M370" i="1"/>
  <c r="J371" i="1"/>
  <c r="K371" i="1"/>
  <c r="M371" i="1"/>
  <c r="J372" i="1"/>
  <c r="K372" i="1"/>
  <c r="M372" i="1"/>
  <c r="O372" i="1" s="1"/>
  <c r="J373" i="1"/>
  <c r="K373" i="1"/>
  <c r="M373" i="1"/>
  <c r="O373" i="1" s="1"/>
  <c r="J374" i="1"/>
  <c r="K374" i="1"/>
  <c r="M374" i="1"/>
  <c r="J375" i="1"/>
  <c r="K375" i="1"/>
  <c r="M375" i="1"/>
  <c r="J376" i="1"/>
  <c r="K376" i="1"/>
  <c r="M376" i="1"/>
  <c r="J377" i="1"/>
  <c r="K377" i="1"/>
  <c r="M377" i="1"/>
  <c r="J378" i="1"/>
  <c r="K378" i="1"/>
  <c r="M378" i="1"/>
  <c r="O378" i="1" s="1"/>
  <c r="J379" i="1"/>
  <c r="K379" i="1"/>
  <c r="M379" i="1"/>
  <c r="J380" i="1"/>
  <c r="K380" i="1"/>
  <c r="M380" i="1"/>
  <c r="O380" i="1" s="1"/>
  <c r="J381" i="1"/>
  <c r="K381" i="1"/>
  <c r="M381" i="1"/>
  <c r="O381" i="1" s="1"/>
  <c r="J382" i="1"/>
  <c r="K382" i="1"/>
  <c r="M382" i="1"/>
  <c r="J383" i="1"/>
  <c r="K383" i="1"/>
  <c r="M383" i="1"/>
  <c r="J384" i="1"/>
  <c r="K384" i="1"/>
  <c r="M384" i="1"/>
  <c r="J385" i="1"/>
  <c r="K385" i="1"/>
  <c r="M385" i="1"/>
  <c r="J386" i="1"/>
  <c r="K386" i="1"/>
  <c r="M386" i="1"/>
  <c r="J387" i="1"/>
  <c r="K387" i="1"/>
  <c r="M387" i="1"/>
  <c r="J388" i="1"/>
  <c r="K388" i="1"/>
  <c r="M388" i="1"/>
  <c r="J389" i="1"/>
  <c r="K389" i="1"/>
  <c r="M389" i="1"/>
  <c r="J390" i="1"/>
  <c r="K390" i="1"/>
  <c r="M390" i="1"/>
  <c r="J391" i="1"/>
  <c r="K391" i="1"/>
  <c r="M391" i="1"/>
  <c r="J392" i="1"/>
  <c r="K392" i="1"/>
  <c r="M392" i="1"/>
  <c r="J393" i="1"/>
  <c r="K393" i="1"/>
  <c r="M393" i="1"/>
  <c r="J394" i="1"/>
  <c r="K394" i="1"/>
  <c r="M394" i="1"/>
  <c r="J395" i="1"/>
  <c r="K395" i="1"/>
  <c r="M395" i="1"/>
  <c r="J396" i="1"/>
  <c r="K396" i="1"/>
  <c r="M396" i="1"/>
  <c r="J397" i="1"/>
  <c r="K397" i="1"/>
  <c r="M397" i="1"/>
  <c r="J398" i="1"/>
  <c r="K398" i="1"/>
  <c r="M398" i="1"/>
  <c r="J399" i="1"/>
  <c r="K399" i="1"/>
  <c r="M399" i="1"/>
  <c r="J400" i="1"/>
  <c r="K400" i="1"/>
  <c r="M400" i="1"/>
  <c r="J401" i="1"/>
  <c r="K401" i="1"/>
  <c r="M401" i="1"/>
  <c r="J402" i="1"/>
  <c r="K402" i="1"/>
  <c r="M402" i="1"/>
  <c r="J403" i="1"/>
  <c r="K403" i="1"/>
  <c r="M403" i="1"/>
  <c r="J404" i="1"/>
  <c r="K404" i="1"/>
  <c r="M404" i="1"/>
  <c r="J405" i="1"/>
  <c r="K405" i="1"/>
  <c r="M405" i="1"/>
  <c r="J406" i="1"/>
  <c r="K406" i="1"/>
  <c r="M406" i="1"/>
  <c r="J407" i="1"/>
  <c r="K407" i="1"/>
  <c r="M407" i="1"/>
  <c r="J408" i="1"/>
  <c r="K408" i="1"/>
  <c r="M408" i="1"/>
  <c r="J409" i="1"/>
  <c r="K409" i="1"/>
  <c r="M409" i="1"/>
  <c r="J410" i="1"/>
  <c r="K410" i="1"/>
  <c r="M410" i="1"/>
  <c r="J411" i="1"/>
  <c r="K411" i="1"/>
  <c r="M411" i="1"/>
  <c r="J412" i="1"/>
  <c r="K412" i="1"/>
  <c r="M412" i="1"/>
  <c r="J413" i="1"/>
  <c r="K413" i="1"/>
  <c r="M413" i="1"/>
  <c r="J414" i="1"/>
  <c r="K414" i="1"/>
  <c r="M414" i="1"/>
  <c r="J415" i="1"/>
  <c r="K415" i="1"/>
  <c r="M415" i="1"/>
  <c r="J416" i="1"/>
  <c r="K416" i="1"/>
  <c r="M416" i="1"/>
  <c r="J417" i="1"/>
  <c r="K417" i="1"/>
  <c r="M417" i="1"/>
  <c r="O417" i="1" s="1"/>
  <c r="J418" i="1"/>
  <c r="K418" i="1"/>
  <c r="M418" i="1"/>
  <c r="J419" i="1"/>
  <c r="K419" i="1"/>
  <c r="M419" i="1"/>
  <c r="J420" i="1"/>
  <c r="K420" i="1"/>
  <c r="M420" i="1"/>
  <c r="J421" i="1"/>
  <c r="K421" i="1"/>
  <c r="M421" i="1"/>
  <c r="O421" i="1" s="1"/>
  <c r="J422" i="1"/>
  <c r="K422" i="1"/>
  <c r="M422" i="1"/>
  <c r="O422" i="1" s="1"/>
  <c r="J423" i="1"/>
  <c r="K423" i="1"/>
  <c r="M423" i="1"/>
  <c r="J424" i="1"/>
  <c r="K424" i="1"/>
  <c r="M424" i="1"/>
  <c r="J425" i="1"/>
  <c r="K425" i="1"/>
  <c r="M425" i="1"/>
  <c r="J426" i="1"/>
  <c r="K426" i="1"/>
  <c r="M426" i="1"/>
  <c r="J427" i="1"/>
  <c r="K427" i="1"/>
  <c r="M427" i="1"/>
  <c r="J428" i="1"/>
  <c r="K428" i="1"/>
  <c r="M428" i="1"/>
  <c r="J429" i="1"/>
  <c r="K429" i="1"/>
  <c r="M429" i="1"/>
  <c r="J430" i="1"/>
  <c r="K430" i="1"/>
  <c r="M430" i="1"/>
  <c r="J431" i="1"/>
  <c r="K431" i="1"/>
  <c r="M431" i="1"/>
  <c r="O431" i="1" s="1"/>
  <c r="J432" i="1"/>
  <c r="K432" i="1"/>
  <c r="M432" i="1"/>
  <c r="J433" i="1"/>
  <c r="K433" i="1"/>
  <c r="M433" i="1"/>
  <c r="J434" i="1"/>
  <c r="K434" i="1"/>
  <c r="M434" i="1"/>
  <c r="J435" i="1"/>
  <c r="K435" i="1"/>
  <c r="M435" i="1"/>
  <c r="J436" i="1"/>
  <c r="K436" i="1"/>
  <c r="M436" i="1"/>
  <c r="J437" i="1"/>
  <c r="K437" i="1"/>
  <c r="M437" i="1"/>
  <c r="J438" i="1"/>
  <c r="K438" i="1"/>
  <c r="M438" i="1"/>
  <c r="J439" i="1"/>
  <c r="K439" i="1"/>
  <c r="M439" i="1"/>
  <c r="J440" i="1"/>
  <c r="K440" i="1"/>
  <c r="M440" i="1"/>
  <c r="J441" i="1"/>
  <c r="K441" i="1"/>
  <c r="M441" i="1"/>
  <c r="O441" i="1" s="1"/>
  <c r="J442" i="1"/>
  <c r="K442" i="1"/>
  <c r="M442" i="1"/>
  <c r="O442" i="1" s="1"/>
  <c r="J443" i="1"/>
  <c r="K443" i="1"/>
  <c r="M443" i="1"/>
  <c r="J444" i="1"/>
  <c r="K444" i="1"/>
  <c r="M444" i="1"/>
  <c r="J445" i="1"/>
  <c r="K445" i="1"/>
  <c r="M445" i="1"/>
  <c r="J446" i="1"/>
  <c r="K446" i="1"/>
  <c r="M446" i="1"/>
  <c r="J447" i="1"/>
  <c r="K447" i="1"/>
  <c r="M447" i="1"/>
  <c r="J448" i="1"/>
  <c r="K448" i="1"/>
  <c r="M448" i="1"/>
  <c r="J449" i="1"/>
  <c r="K449" i="1"/>
  <c r="M449" i="1"/>
  <c r="O449" i="1" s="1"/>
  <c r="J450" i="1"/>
  <c r="K450" i="1"/>
  <c r="M450" i="1"/>
  <c r="J451" i="1"/>
  <c r="K451" i="1"/>
  <c r="M451" i="1"/>
  <c r="J452" i="1"/>
  <c r="K452" i="1"/>
  <c r="M452" i="1"/>
  <c r="J453" i="1"/>
  <c r="K453" i="1"/>
  <c r="M453" i="1"/>
  <c r="J454" i="1"/>
  <c r="K454" i="1"/>
  <c r="M454" i="1"/>
  <c r="J455" i="1"/>
  <c r="K455" i="1"/>
  <c r="M455" i="1"/>
  <c r="J456" i="1"/>
  <c r="K456" i="1"/>
  <c r="M456" i="1"/>
  <c r="J457" i="1"/>
  <c r="K457" i="1"/>
  <c r="M457" i="1"/>
  <c r="J458" i="1"/>
  <c r="K458" i="1"/>
  <c r="M458" i="1"/>
  <c r="J459" i="1"/>
  <c r="K459" i="1"/>
  <c r="M459" i="1"/>
  <c r="J460" i="1"/>
  <c r="K460" i="1"/>
  <c r="M460" i="1"/>
  <c r="J461" i="1"/>
  <c r="K461" i="1"/>
  <c r="M461" i="1"/>
  <c r="J462" i="1"/>
  <c r="K462" i="1"/>
  <c r="M462" i="1"/>
  <c r="J463" i="1"/>
  <c r="K463" i="1"/>
  <c r="M463" i="1"/>
  <c r="J464" i="1"/>
  <c r="K464" i="1"/>
  <c r="M464" i="1"/>
  <c r="J465" i="1"/>
  <c r="K465" i="1"/>
  <c r="M465" i="1"/>
  <c r="J466" i="1"/>
  <c r="K466" i="1"/>
  <c r="M466" i="1"/>
  <c r="J467" i="1"/>
  <c r="K467" i="1"/>
  <c r="M467" i="1"/>
  <c r="J468" i="1"/>
  <c r="K468" i="1"/>
  <c r="M468" i="1"/>
  <c r="O468" i="1" s="1"/>
  <c r="J469" i="1"/>
  <c r="K469" i="1"/>
  <c r="M469" i="1"/>
  <c r="J470" i="1"/>
  <c r="K470" i="1"/>
  <c r="M470" i="1"/>
  <c r="J471" i="1"/>
  <c r="K471" i="1"/>
  <c r="M471" i="1"/>
  <c r="J472" i="1"/>
  <c r="K472" i="1"/>
  <c r="M472" i="1"/>
  <c r="J473" i="1"/>
  <c r="K473" i="1"/>
  <c r="M473" i="1"/>
  <c r="J474" i="1"/>
  <c r="K474" i="1"/>
  <c r="M474" i="1"/>
  <c r="J475" i="1"/>
  <c r="K475" i="1"/>
  <c r="M475" i="1"/>
  <c r="J476" i="1"/>
  <c r="K476" i="1"/>
  <c r="M476" i="1"/>
  <c r="J477" i="1"/>
  <c r="K477" i="1"/>
  <c r="M477" i="1"/>
  <c r="J478" i="1"/>
  <c r="K478" i="1"/>
  <c r="M478" i="1"/>
  <c r="J479" i="1"/>
  <c r="K479" i="1"/>
  <c r="M479" i="1"/>
  <c r="J480" i="1"/>
  <c r="K480" i="1"/>
  <c r="M480" i="1"/>
  <c r="J481" i="1"/>
  <c r="K481" i="1"/>
  <c r="M481" i="1"/>
  <c r="J482" i="1"/>
  <c r="K482" i="1"/>
  <c r="M482" i="1"/>
  <c r="J483" i="1"/>
  <c r="K483" i="1"/>
  <c r="M483" i="1"/>
  <c r="J484" i="1"/>
  <c r="K484" i="1"/>
  <c r="M484" i="1"/>
  <c r="J485" i="1"/>
  <c r="K485" i="1"/>
  <c r="M485" i="1"/>
  <c r="O485" i="1" s="1"/>
  <c r="J486" i="1"/>
  <c r="K486" i="1"/>
  <c r="M486" i="1"/>
  <c r="O486" i="1" s="1"/>
  <c r="J487" i="1"/>
  <c r="K487" i="1"/>
  <c r="M487" i="1"/>
  <c r="J488" i="1"/>
  <c r="K488" i="1"/>
  <c r="M488" i="1"/>
  <c r="O488" i="1"/>
  <c r="J489" i="1"/>
  <c r="K489" i="1"/>
  <c r="M489" i="1"/>
  <c r="J490" i="1"/>
  <c r="K490" i="1"/>
  <c r="M490" i="1"/>
  <c r="J491" i="1"/>
  <c r="K491" i="1"/>
  <c r="M491" i="1"/>
  <c r="J492" i="1"/>
  <c r="K492" i="1"/>
  <c r="M492" i="1"/>
  <c r="J493" i="1"/>
  <c r="K493" i="1"/>
  <c r="M493" i="1"/>
  <c r="J494" i="1"/>
  <c r="K494" i="1"/>
  <c r="M494" i="1"/>
  <c r="J495" i="1"/>
  <c r="K495" i="1"/>
  <c r="M495" i="1"/>
  <c r="J496" i="1"/>
  <c r="K496" i="1"/>
  <c r="M496" i="1"/>
  <c r="J497" i="1"/>
  <c r="K497" i="1"/>
  <c r="M497" i="1"/>
  <c r="J498" i="1"/>
  <c r="K498" i="1"/>
  <c r="M498" i="1"/>
  <c r="J499" i="1"/>
  <c r="K499" i="1"/>
  <c r="M499" i="1"/>
  <c r="O499" i="1" s="1"/>
  <c r="J500" i="1"/>
  <c r="K500" i="1"/>
  <c r="M500" i="1"/>
  <c r="J501" i="1"/>
  <c r="K501" i="1"/>
  <c r="M501" i="1"/>
  <c r="J502" i="1"/>
  <c r="K502" i="1"/>
  <c r="M502" i="1"/>
  <c r="J503" i="1"/>
  <c r="K503" i="1"/>
  <c r="M503" i="1"/>
  <c r="J504" i="1"/>
  <c r="K504" i="1"/>
  <c r="M504" i="1"/>
  <c r="J505" i="1"/>
  <c r="K505" i="1"/>
  <c r="M505" i="1"/>
  <c r="J506" i="1"/>
  <c r="K506" i="1"/>
  <c r="M506" i="1"/>
  <c r="J507" i="1"/>
  <c r="K507" i="1"/>
  <c r="M507" i="1"/>
  <c r="J508" i="1"/>
  <c r="K508" i="1"/>
  <c r="M508" i="1"/>
  <c r="J509" i="1"/>
  <c r="K509" i="1"/>
  <c r="M509" i="1"/>
  <c r="J510" i="1"/>
  <c r="K510" i="1"/>
  <c r="M510" i="1"/>
  <c r="O510" i="1" s="1"/>
  <c r="J511" i="1"/>
  <c r="K511" i="1"/>
  <c r="M511" i="1"/>
  <c r="O511" i="1" s="1"/>
  <c r="J512" i="1"/>
  <c r="K512" i="1"/>
  <c r="M512" i="1"/>
  <c r="J513" i="1"/>
  <c r="K513" i="1"/>
  <c r="M513" i="1"/>
  <c r="J514" i="1"/>
  <c r="K514" i="1"/>
  <c r="M514" i="1"/>
  <c r="J515" i="1"/>
  <c r="K515" i="1"/>
  <c r="M515" i="1"/>
  <c r="J516" i="1"/>
  <c r="K516" i="1"/>
  <c r="M516" i="1"/>
  <c r="J517" i="1"/>
  <c r="K517" i="1"/>
  <c r="M517" i="1"/>
  <c r="J518" i="1"/>
  <c r="K518" i="1"/>
  <c r="M518" i="1"/>
  <c r="J519" i="1"/>
  <c r="K519" i="1"/>
  <c r="M519" i="1"/>
  <c r="J520" i="1"/>
  <c r="K520" i="1"/>
  <c r="M520" i="1"/>
  <c r="J521" i="1"/>
  <c r="K521" i="1"/>
  <c r="M521" i="1"/>
  <c r="J522" i="1"/>
  <c r="K522" i="1"/>
  <c r="M522" i="1"/>
  <c r="J523" i="1"/>
  <c r="K523" i="1"/>
  <c r="M523" i="1"/>
  <c r="J524" i="1"/>
  <c r="K524" i="1"/>
  <c r="M524" i="1"/>
  <c r="J525" i="1"/>
  <c r="K525" i="1"/>
  <c r="M525" i="1"/>
  <c r="J526" i="1"/>
  <c r="K526" i="1"/>
  <c r="M526" i="1"/>
  <c r="O526" i="1" s="1"/>
  <c r="J527" i="1"/>
  <c r="K527" i="1"/>
  <c r="M527" i="1"/>
  <c r="J528" i="1"/>
  <c r="K528" i="1"/>
  <c r="M528" i="1"/>
  <c r="J529" i="1"/>
  <c r="K529" i="1"/>
  <c r="M529" i="1"/>
  <c r="J530" i="1"/>
  <c r="K530" i="1"/>
  <c r="M530" i="1"/>
  <c r="J531" i="1"/>
  <c r="K531" i="1"/>
  <c r="M531" i="1"/>
  <c r="J532" i="1"/>
  <c r="K532" i="1"/>
  <c r="M532" i="1"/>
  <c r="J533" i="1"/>
  <c r="K533" i="1"/>
  <c r="M533" i="1"/>
  <c r="J534" i="1"/>
  <c r="K534" i="1"/>
  <c r="M534" i="1"/>
  <c r="J535" i="1"/>
  <c r="K535" i="1"/>
  <c r="M535" i="1"/>
  <c r="J536" i="1"/>
  <c r="K536" i="1"/>
  <c r="M536" i="1"/>
  <c r="J537" i="1"/>
  <c r="K537" i="1"/>
  <c r="M537" i="1"/>
  <c r="J538" i="1"/>
  <c r="K538" i="1"/>
  <c r="M538" i="1"/>
  <c r="J539" i="1"/>
  <c r="K539" i="1"/>
  <c r="M539" i="1"/>
  <c r="J540" i="1"/>
  <c r="K540" i="1"/>
  <c r="M540" i="1"/>
  <c r="O540" i="1" s="1"/>
  <c r="J541" i="1"/>
  <c r="K541" i="1"/>
  <c r="M541" i="1"/>
  <c r="J542" i="1"/>
  <c r="K542" i="1"/>
  <c r="M542" i="1"/>
  <c r="J543" i="1"/>
  <c r="K543" i="1"/>
  <c r="M543" i="1"/>
  <c r="J544" i="1"/>
  <c r="K544" i="1"/>
  <c r="M544" i="1"/>
  <c r="J545" i="1"/>
  <c r="K545" i="1"/>
  <c r="M545" i="1"/>
  <c r="J546" i="1"/>
  <c r="K546" i="1"/>
  <c r="M546" i="1"/>
  <c r="O546" i="1" s="1"/>
  <c r="J547" i="1"/>
  <c r="K547" i="1"/>
  <c r="M547" i="1"/>
  <c r="O547" i="1" s="1"/>
  <c r="J548" i="1"/>
  <c r="K548" i="1"/>
  <c r="M548" i="1"/>
  <c r="J549" i="1"/>
  <c r="K549" i="1"/>
  <c r="M549" i="1"/>
  <c r="J550" i="1"/>
  <c r="K550" i="1"/>
  <c r="M550" i="1"/>
  <c r="J551" i="1"/>
  <c r="K551" i="1"/>
  <c r="M551" i="1"/>
  <c r="J552" i="1"/>
  <c r="K552" i="1"/>
  <c r="M552" i="1"/>
  <c r="J553" i="1"/>
  <c r="K553" i="1"/>
  <c r="M553" i="1"/>
  <c r="J554" i="1"/>
  <c r="K554" i="1"/>
  <c r="M554" i="1"/>
  <c r="J555" i="1"/>
  <c r="K555" i="1"/>
  <c r="M555" i="1"/>
  <c r="J556" i="1"/>
  <c r="K556" i="1"/>
  <c r="M556" i="1"/>
  <c r="J557" i="1"/>
  <c r="K557" i="1"/>
  <c r="M557" i="1"/>
  <c r="J558" i="1"/>
  <c r="K558" i="1"/>
  <c r="M558" i="1"/>
  <c r="J559" i="1"/>
  <c r="K559" i="1"/>
  <c r="M559" i="1"/>
  <c r="J560" i="1"/>
  <c r="K560" i="1"/>
  <c r="M560" i="1"/>
  <c r="J561" i="1"/>
  <c r="K561" i="1"/>
  <c r="M561" i="1"/>
  <c r="J562" i="1"/>
  <c r="K562" i="1"/>
  <c r="M562" i="1"/>
  <c r="J563" i="1"/>
  <c r="K563" i="1"/>
  <c r="M563" i="1"/>
  <c r="J564" i="1"/>
  <c r="K564" i="1"/>
  <c r="M564" i="1"/>
  <c r="J565" i="1"/>
  <c r="K565" i="1"/>
  <c r="M565" i="1"/>
  <c r="J566" i="1"/>
  <c r="K566" i="1"/>
  <c r="M566" i="1"/>
  <c r="J567" i="1"/>
  <c r="K567" i="1"/>
  <c r="M567" i="1"/>
  <c r="J568" i="1"/>
  <c r="K568" i="1"/>
  <c r="M568" i="1"/>
  <c r="J569" i="1"/>
  <c r="K569" i="1"/>
  <c r="M569" i="1"/>
  <c r="J570" i="1"/>
  <c r="K570" i="1"/>
  <c r="M570" i="1"/>
  <c r="J571" i="1"/>
  <c r="K571" i="1"/>
  <c r="M571" i="1"/>
  <c r="J572" i="1"/>
  <c r="K572" i="1"/>
  <c r="M572" i="1"/>
  <c r="J573" i="1"/>
  <c r="K573" i="1"/>
  <c r="M573" i="1"/>
  <c r="J574" i="1"/>
  <c r="K574" i="1"/>
  <c r="M574" i="1"/>
  <c r="O574" i="1" s="1"/>
  <c r="J575" i="1"/>
  <c r="K575" i="1"/>
  <c r="M575" i="1"/>
  <c r="J576" i="1"/>
  <c r="K576" i="1"/>
  <c r="M576" i="1"/>
  <c r="J577" i="1"/>
  <c r="K577" i="1"/>
  <c r="M577" i="1"/>
  <c r="J578" i="1"/>
  <c r="K578" i="1"/>
  <c r="M578" i="1"/>
  <c r="J579" i="1"/>
  <c r="K579" i="1"/>
  <c r="M579" i="1"/>
  <c r="J580" i="1"/>
  <c r="K580" i="1"/>
  <c r="M580" i="1"/>
  <c r="J581" i="1"/>
  <c r="K581" i="1"/>
  <c r="M581" i="1"/>
  <c r="J582" i="1"/>
  <c r="K582" i="1"/>
  <c r="M582" i="1"/>
  <c r="J583" i="1"/>
  <c r="K583" i="1"/>
  <c r="M583" i="1"/>
  <c r="J584" i="1"/>
  <c r="K584" i="1"/>
  <c r="M584" i="1"/>
  <c r="J585" i="1"/>
  <c r="K585" i="1"/>
  <c r="M585" i="1"/>
  <c r="J586" i="1"/>
  <c r="K586" i="1"/>
  <c r="M586" i="1"/>
  <c r="O586" i="1" s="1"/>
  <c r="J587" i="1"/>
  <c r="K587" i="1"/>
  <c r="M587" i="1"/>
  <c r="J588" i="1"/>
  <c r="K588" i="1"/>
  <c r="M588" i="1"/>
  <c r="J589" i="1"/>
  <c r="K589" i="1"/>
  <c r="M589" i="1"/>
  <c r="J590" i="1"/>
  <c r="K590" i="1"/>
  <c r="M590" i="1"/>
  <c r="J591" i="1"/>
  <c r="K591" i="1"/>
  <c r="M591" i="1"/>
  <c r="J592" i="1"/>
  <c r="K592" i="1"/>
  <c r="M592" i="1"/>
  <c r="J593" i="1"/>
  <c r="K593" i="1"/>
  <c r="M593" i="1"/>
  <c r="J594" i="1"/>
  <c r="K594" i="1"/>
  <c r="M594" i="1"/>
  <c r="J595" i="1"/>
  <c r="K595" i="1"/>
  <c r="M595" i="1"/>
  <c r="J596" i="1"/>
  <c r="K596" i="1"/>
  <c r="M596" i="1"/>
  <c r="J597" i="1"/>
  <c r="K597" i="1"/>
  <c r="M597" i="1"/>
  <c r="J598" i="1"/>
  <c r="K598" i="1"/>
  <c r="M598" i="1"/>
  <c r="J599" i="1"/>
  <c r="K599" i="1"/>
  <c r="M599" i="1"/>
  <c r="J600" i="1"/>
  <c r="K600" i="1"/>
  <c r="M600" i="1"/>
  <c r="J601" i="1"/>
  <c r="K601" i="1"/>
  <c r="M601" i="1"/>
  <c r="J602" i="1"/>
  <c r="K602" i="1"/>
  <c r="M602" i="1"/>
  <c r="J603" i="1"/>
  <c r="K603" i="1"/>
  <c r="M603" i="1"/>
  <c r="J604" i="1"/>
  <c r="K604" i="1"/>
  <c r="M604" i="1"/>
  <c r="J605" i="1"/>
  <c r="K605" i="1"/>
  <c r="M605" i="1"/>
  <c r="J606" i="1"/>
  <c r="K606" i="1"/>
  <c r="M606" i="1"/>
  <c r="O606" i="1" s="1"/>
  <c r="J607" i="1"/>
  <c r="K607" i="1"/>
  <c r="M607" i="1"/>
  <c r="J608" i="1"/>
  <c r="K608" i="1"/>
  <c r="M608" i="1"/>
  <c r="J609" i="1"/>
  <c r="K609" i="1"/>
  <c r="M609" i="1"/>
  <c r="J610" i="1"/>
  <c r="K610" i="1"/>
  <c r="M610" i="1"/>
  <c r="J611" i="1"/>
  <c r="K611" i="1"/>
  <c r="M611" i="1"/>
  <c r="J612" i="1"/>
  <c r="K612" i="1"/>
  <c r="M612" i="1"/>
  <c r="J613" i="1"/>
  <c r="K613" i="1"/>
  <c r="M613" i="1"/>
  <c r="J614" i="1"/>
  <c r="K614" i="1"/>
  <c r="M614" i="1"/>
  <c r="J615" i="1"/>
  <c r="K615" i="1"/>
  <c r="M615" i="1"/>
  <c r="J616" i="1"/>
  <c r="K616" i="1"/>
  <c r="M616" i="1"/>
  <c r="J617" i="1"/>
  <c r="K617" i="1"/>
  <c r="M617" i="1"/>
  <c r="J618" i="1"/>
  <c r="K618" i="1"/>
  <c r="M618" i="1"/>
  <c r="J619" i="1"/>
  <c r="K619" i="1"/>
  <c r="M619" i="1"/>
  <c r="J620" i="1"/>
  <c r="K620" i="1"/>
  <c r="M620" i="1"/>
  <c r="J621" i="1"/>
  <c r="K621" i="1"/>
  <c r="M621" i="1"/>
  <c r="J622" i="1"/>
  <c r="K622" i="1"/>
  <c r="M622" i="1"/>
  <c r="J623" i="1"/>
  <c r="K623" i="1"/>
  <c r="M623" i="1"/>
  <c r="J624" i="1"/>
  <c r="K624" i="1"/>
  <c r="M624" i="1"/>
  <c r="J625" i="1"/>
  <c r="K625" i="1"/>
  <c r="M625" i="1"/>
  <c r="J626" i="1"/>
  <c r="K626" i="1"/>
  <c r="M626" i="1"/>
  <c r="J627" i="1"/>
  <c r="K627" i="1"/>
  <c r="M627" i="1"/>
  <c r="J628" i="1"/>
  <c r="K628" i="1"/>
  <c r="M628" i="1"/>
  <c r="J629" i="1"/>
  <c r="K629" i="1"/>
  <c r="M629" i="1"/>
  <c r="J630" i="1"/>
  <c r="K630" i="1"/>
  <c r="M630" i="1"/>
  <c r="J631" i="1"/>
  <c r="K631" i="1"/>
  <c r="M631" i="1"/>
  <c r="J632" i="1"/>
  <c r="K632" i="1"/>
  <c r="M632" i="1"/>
  <c r="J633" i="1"/>
  <c r="K633" i="1"/>
  <c r="M633" i="1"/>
  <c r="J634" i="1"/>
  <c r="K634" i="1"/>
  <c r="M634" i="1"/>
  <c r="J635" i="1"/>
  <c r="K635" i="1"/>
  <c r="M635" i="1"/>
  <c r="J636" i="1"/>
  <c r="K636" i="1"/>
  <c r="M636" i="1"/>
  <c r="J637" i="1"/>
  <c r="K637" i="1"/>
  <c r="M637" i="1"/>
  <c r="J638" i="1"/>
  <c r="K638" i="1"/>
  <c r="M638" i="1"/>
  <c r="J639" i="1"/>
  <c r="K639" i="1"/>
  <c r="M639" i="1"/>
  <c r="J640" i="1"/>
  <c r="K640" i="1"/>
  <c r="M640" i="1"/>
  <c r="J641" i="1"/>
  <c r="K641" i="1"/>
  <c r="M641" i="1"/>
  <c r="J642" i="1"/>
  <c r="K642" i="1"/>
  <c r="M642" i="1"/>
  <c r="J643" i="1"/>
  <c r="K643" i="1"/>
  <c r="M643" i="1"/>
  <c r="J644" i="1"/>
  <c r="K644" i="1"/>
  <c r="M644" i="1"/>
  <c r="J645" i="1"/>
  <c r="K645" i="1"/>
  <c r="M645" i="1"/>
  <c r="J646" i="1"/>
  <c r="K646" i="1"/>
  <c r="M646" i="1"/>
  <c r="J647" i="1"/>
  <c r="K647" i="1"/>
  <c r="M647" i="1"/>
  <c r="L2" i="1" l="1"/>
  <c r="M3" i="1"/>
  <c r="M2" i="1" s="1"/>
  <c r="K3" i="1"/>
  <c r="J3" i="1"/>
  <c r="G647" i="1"/>
  <c r="O647" i="1" s="1"/>
  <c r="G646" i="1"/>
  <c r="O646" i="1" s="1"/>
  <c r="G645" i="1"/>
  <c r="O645" i="1" s="1"/>
  <c r="G644" i="1"/>
  <c r="O644" i="1" s="1"/>
  <c r="G643" i="1"/>
  <c r="O643" i="1" s="1"/>
  <c r="G642" i="1"/>
  <c r="O642" i="1" s="1"/>
  <c r="G641" i="1"/>
  <c r="O641" i="1" s="1"/>
  <c r="G640" i="1"/>
  <c r="O640" i="1" s="1"/>
  <c r="G639" i="1"/>
  <c r="O639" i="1" s="1"/>
  <c r="G638" i="1"/>
  <c r="O638" i="1" s="1"/>
  <c r="G637" i="1"/>
  <c r="O637" i="1" s="1"/>
  <c r="G636" i="1"/>
  <c r="O636" i="1" s="1"/>
  <c r="G635" i="1"/>
  <c r="O635" i="1" s="1"/>
  <c r="G634" i="1"/>
  <c r="O634" i="1" s="1"/>
  <c r="G633" i="1"/>
  <c r="O633" i="1" s="1"/>
  <c r="G632" i="1"/>
  <c r="O632" i="1" s="1"/>
  <c r="G631" i="1"/>
  <c r="O631" i="1" s="1"/>
  <c r="G630" i="1"/>
  <c r="O630" i="1" s="1"/>
  <c r="G629" i="1"/>
  <c r="O629" i="1" s="1"/>
  <c r="G628" i="1"/>
  <c r="O628" i="1" s="1"/>
  <c r="G627" i="1"/>
  <c r="O627" i="1" s="1"/>
  <c r="G626" i="1"/>
  <c r="O626" i="1" s="1"/>
  <c r="G625" i="1"/>
  <c r="O625" i="1" s="1"/>
  <c r="G624" i="1"/>
  <c r="O624" i="1" s="1"/>
  <c r="G623" i="1"/>
  <c r="O623" i="1" s="1"/>
  <c r="G622" i="1"/>
  <c r="O622" i="1" s="1"/>
  <c r="G621" i="1"/>
  <c r="O621" i="1" s="1"/>
  <c r="G620" i="1"/>
  <c r="O620" i="1" s="1"/>
  <c r="G619" i="1"/>
  <c r="O619" i="1" s="1"/>
  <c r="G618" i="1"/>
  <c r="O618" i="1" s="1"/>
  <c r="G617" i="1"/>
  <c r="O617" i="1" s="1"/>
  <c r="G616" i="1"/>
  <c r="O616" i="1" s="1"/>
  <c r="G615" i="1"/>
  <c r="O615" i="1" s="1"/>
  <c r="G614" i="1"/>
  <c r="O614" i="1" s="1"/>
  <c r="G613" i="1"/>
  <c r="O613" i="1" s="1"/>
  <c r="G612" i="1"/>
  <c r="O612" i="1" s="1"/>
  <c r="G611" i="1"/>
  <c r="O611" i="1" s="1"/>
  <c r="G610" i="1"/>
  <c r="O610" i="1" s="1"/>
  <c r="G609" i="1"/>
  <c r="O609" i="1" s="1"/>
  <c r="G608" i="1"/>
  <c r="O608" i="1" s="1"/>
  <c r="G607" i="1"/>
  <c r="O607" i="1" s="1"/>
  <c r="G605" i="1"/>
  <c r="O605" i="1" s="1"/>
  <c r="G604" i="1"/>
  <c r="O604" i="1" s="1"/>
  <c r="G603" i="1"/>
  <c r="O603" i="1" s="1"/>
  <c r="G602" i="1"/>
  <c r="O602" i="1" s="1"/>
  <c r="G601" i="1"/>
  <c r="O601" i="1" s="1"/>
  <c r="G600" i="1"/>
  <c r="O600" i="1" s="1"/>
  <c r="G599" i="1"/>
  <c r="O599" i="1" s="1"/>
  <c r="G598" i="1"/>
  <c r="O598" i="1" s="1"/>
  <c r="G597" i="1"/>
  <c r="O597" i="1" s="1"/>
  <c r="G596" i="1"/>
  <c r="O596" i="1" s="1"/>
  <c r="G595" i="1"/>
  <c r="O595" i="1" s="1"/>
  <c r="G594" i="1"/>
  <c r="O594" i="1" s="1"/>
  <c r="G593" i="1"/>
  <c r="O593" i="1" s="1"/>
  <c r="G592" i="1"/>
  <c r="O592" i="1" s="1"/>
  <c r="G591" i="1"/>
  <c r="O591" i="1" s="1"/>
  <c r="G590" i="1"/>
  <c r="O590" i="1" s="1"/>
  <c r="G589" i="1"/>
  <c r="O589" i="1" s="1"/>
  <c r="G588" i="1"/>
  <c r="O588" i="1" s="1"/>
  <c r="G587" i="1"/>
  <c r="O587" i="1" s="1"/>
  <c r="G585" i="1"/>
  <c r="O585" i="1" s="1"/>
  <c r="G584" i="1"/>
  <c r="O584" i="1" s="1"/>
  <c r="G583" i="1"/>
  <c r="O583" i="1" s="1"/>
  <c r="G582" i="1"/>
  <c r="O582" i="1" s="1"/>
  <c r="G581" i="1"/>
  <c r="O581" i="1" s="1"/>
  <c r="G580" i="1"/>
  <c r="O580" i="1" s="1"/>
  <c r="G579" i="1"/>
  <c r="O579" i="1" s="1"/>
  <c r="G578" i="1"/>
  <c r="O578" i="1" s="1"/>
  <c r="G577" i="1"/>
  <c r="O577" i="1" s="1"/>
  <c r="G576" i="1"/>
  <c r="O576" i="1" s="1"/>
  <c r="G575" i="1"/>
  <c r="O575" i="1" s="1"/>
  <c r="G573" i="1"/>
  <c r="O573" i="1" s="1"/>
  <c r="G572" i="1"/>
  <c r="O572" i="1" s="1"/>
  <c r="G571" i="1"/>
  <c r="O571" i="1" s="1"/>
  <c r="G570" i="1"/>
  <c r="O570" i="1" s="1"/>
  <c r="G569" i="1"/>
  <c r="O569" i="1" s="1"/>
  <c r="G568" i="1"/>
  <c r="O568" i="1" s="1"/>
  <c r="G567" i="1"/>
  <c r="O567" i="1" s="1"/>
  <c r="G566" i="1"/>
  <c r="O566" i="1" s="1"/>
  <c r="G565" i="1"/>
  <c r="O565" i="1" s="1"/>
  <c r="G564" i="1"/>
  <c r="O564" i="1" s="1"/>
  <c r="G563" i="1"/>
  <c r="O563" i="1" s="1"/>
  <c r="G562" i="1"/>
  <c r="O562" i="1" s="1"/>
  <c r="G561" i="1"/>
  <c r="O561" i="1" s="1"/>
  <c r="G560" i="1"/>
  <c r="O560" i="1" s="1"/>
  <c r="G559" i="1"/>
  <c r="O559" i="1" s="1"/>
  <c r="G558" i="1"/>
  <c r="O558" i="1" s="1"/>
  <c r="G557" i="1"/>
  <c r="O557" i="1" s="1"/>
  <c r="G556" i="1"/>
  <c r="O556" i="1" s="1"/>
  <c r="G555" i="1"/>
  <c r="O555" i="1" s="1"/>
  <c r="G554" i="1"/>
  <c r="O554" i="1" s="1"/>
  <c r="G553" i="1"/>
  <c r="O553" i="1" s="1"/>
  <c r="G552" i="1"/>
  <c r="O552" i="1" s="1"/>
  <c r="G551" i="1"/>
  <c r="O551" i="1" s="1"/>
  <c r="G550" i="1"/>
  <c r="O550" i="1" s="1"/>
  <c r="G549" i="1"/>
  <c r="O549" i="1" s="1"/>
  <c r="G548" i="1"/>
  <c r="O548" i="1" s="1"/>
  <c r="G545" i="1"/>
  <c r="O545" i="1" s="1"/>
  <c r="G544" i="1"/>
  <c r="O544" i="1" s="1"/>
  <c r="G543" i="1"/>
  <c r="O543" i="1" s="1"/>
  <c r="G542" i="1"/>
  <c r="O542" i="1" s="1"/>
  <c r="G541" i="1"/>
  <c r="O541" i="1" s="1"/>
  <c r="G539" i="1"/>
  <c r="O539" i="1" s="1"/>
  <c r="G538" i="1"/>
  <c r="O538" i="1" s="1"/>
  <c r="G537" i="1"/>
  <c r="O537" i="1" s="1"/>
  <c r="G536" i="1"/>
  <c r="O536" i="1" s="1"/>
  <c r="G535" i="1"/>
  <c r="O535" i="1" s="1"/>
  <c r="G534" i="1"/>
  <c r="O534" i="1" s="1"/>
  <c r="G533" i="1"/>
  <c r="O533" i="1" s="1"/>
  <c r="G532" i="1"/>
  <c r="O532" i="1" s="1"/>
  <c r="G531" i="1"/>
  <c r="O531" i="1" s="1"/>
  <c r="G530" i="1"/>
  <c r="O530" i="1" s="1"/>
  <c r="G529" i="1"/>
  <c r="O529" i="1" s="1"/>
  <c r="G528" i="1"/>
  <c r="O528" i="1" s="1"/>
  <c r="G527" i="1"/>
  <c r="O527" i="1" s="1"/>
  <c r="G525" i="1"/>
  <c r="O525" i="1" s="1"/>
  <c r="G524" i="1"/>
  <c r="O524" i="1" s="1"/>
  <c r="G523" i="1"/>
  <c r="O523" i="1" s="1"/>
  <c r="G522" i="1"/>
  <c r="O522" i="1" s="1"/>
  <c r="G521" i="1"/>
  <c r="O521" i="1" s="1"/>
  <c r="G520" i="1"/>
  <c r="O520" i="1" s="1"/>
  <c r="G519" i="1"/>
  <c r="O519" i="1" s="1"/>
  <c r="G518" i="1"/>
  <c r="O518" i="1" s="1"/>
  <c r="G517" i="1"/>
  <c r="O517" i="1" s="1"/>
  <c r="G516" i="1"/>
  <c r="O516" i="1" s="1"/>
  <c r="G515" i="1"/>
  <c r="O515" i="1" s="1"/>
  <c r="G514" i="1"/>
  <c r="O514" i="1" s="1"/>
  <c r="G513" i="1"/>
  <c r="O513" i="1" s="1"/>
  <c r="G512" i="1"/>
  <c r="O512" i="1" s="1"/>
  <c r="G509" i="1"/>
  <c r="O509" i="1" s="1"/>
  <c r="G508" i="1"/>
  <c r="O508" i="1" s="1"/>
  <c r="G507" i="1"/>
  <c r="O507" i="1" s="1"/>
  <c r="G506" i="1"/>
  <c r="O506" i="1" s="1"/>
  <c r="G505" i="1"/>
  <c r="O505" i="1" s="1"/>
  <c r="G504" i="1"/>
  <c r="O504" i="1" s="1"/>
  <c r="G503" i="1"/>
  <c r="O503" i="1" s="1"/>
  <c r="G502" i="1"/>
  <c r="O502" i="1" s="1"/>
  <c r="G501" i="1"/>
  <c r="O501" i="1" s="1"/>
  <c r="G500" i="1"/>
  <c r="O500" i="1" s="1"/>
  <c r="G498" i="1"/>
  <c r="O498" i="1" s="1"/>
  <c r="G497" i="1"/>
  <c r="O497" i="1" s="1"/>
  <c r="G496" i="1"/>
  <c r="O496" i="1" s="1"/>
  <c r="G495" i="1"/>
  <c r="O495" i="1" s="1"/>
  <c r="G494" i="1"/>
  <c r="O494" i="1" s="1"/>
  <c r="G493" i="1"/>
  <c r="O493" i="1" s="1"/>
  <c r="G492" i="1"/>
  <c r="O492" i="1" s="1"/>
  <c r="G491" i="1"/>
  <c r="O491" i="1" s="1"/>
  <c r="G490" i="1"/>
  <c r="O490" i="1" s="1"/>
  <c r="G489" i="1"/>
  <c r="O489" i="1" s="1"/>
  <c r="G487" i="1"/>
  <c r="O487" i="1" s="1"/>
  <c r="G484" i="1"/>
  <c r="O484" i="1" s="1"/>
  <c r="G483" i="1"/>
  <c r="O483" i="1" s="1"/>
  <c r="G482" i="1"/>
  <c r="O482" i="1" s="1"/>
  <c r="G481" i="1"/>
  <c r="O481" i="1" s="1"/>
  <c r="G480" i="1"/>
  <c r="O480" i="1" s="1"/>
  <c r="G479" i="1"/>
  <c r="O479" i="1" s="1"/>
  <c r="G478" i="1"/>
  <c r="O478" i="1" s="1"/>
  <c r="G477" i="1"/>
  <c r="O477" i="1" s="1"/>
  <c r="G476" i="1"/>
  <c r="O476" i="1" s="1"/>
  <c r="G475" i="1"/>
  <c r="O475" i="1" s="1"/>
  <c r="G474" i="1"/>
  <c r="O474" i="1" s="1"/>
  <c r="G473" i="1"/>
  <c r="O473" i="1" s="1"/>
  <c r="G472" i="1"/>
  <c r="O472" i="1" s="1"/>
  <c r="G471" i="1"/>
  <c r="O471" i="1" s="1"/>
  <c r="G470" i="1"/>
  <c r="O470" i="1" s="1"/>
  <c r="G469" i="1"/>
  <c r="O469" i="1" s="1"/>
  <c r="G467" i="1"/>
  <c r="O467" i="1" s="1"/>
  <c r="G466" i="1"/>
  <c r="O466" i="1" s="1"/>
  <c r="G465" i="1"/>
  <c r="O465" i="1" s="1"/>
  <c r="G464" i="1"/>
  <c r="O464" i="1" s="1"/>
  <c r="G463" i="1"/>
  <c r="O463" i="1" s="1"/>
  <c r="G462" i="1"/>
  <c r="O462" i="1" s="1"/>
  <c r="G461" i="1"/>
  <c r="O461" i="1" s="1"/>
  <c r="G460" i="1"/>
  <c r="O460" i="1" s="1"/>
  <c r="G459" i="1"/>
  <c r="O459" i="1" s="1"/>
  <c r="G458" i="1"/>
  <c r="O458" i="1" s="1"/>
  <c r="G457" i="1"/>
  <c r="O457" i="1" s="1"/>
  <c r="G456" i="1"/>
  <c r="O456" i="1" s="1"/>
  <c r="G455" i="1"/>
  <c r="O455" i="1" s="1"/>
  <c r="G454" i="1"/>
  <c r="O454" i="1" s="1"/>
  <c r="G453" i="1"/>
  <c r="O453" i="1" s="1"/>
  <c r="G452" i="1"/>
  <c r="O452" i="1" s="1"/>
  <c r="G451" i="1"/>
  <c r="O451" i="1" s="1"/>
  <c r="G450" i="1"/>
  <c r="O450" i="1" s="1"/>
  <c r="G448" i="1"/>
  <c r="O448" i="1" s="1"/>
  <c r="G447" i="1"/>
  <c r="O447" i="1" s="1"/>
  <c r="G446" i="1"/>
  <c r="O446" i="1" s="1"/>
  <c r="G445" i="1"/>
  <c r="O445" i="1" s="1"/>
  <c r="G444" i="1"/>
  <c r="O444" i="1" s="1"/>
  <c r="G443" i="1"/>
  <c r="O443" i="1" s="1"/>
  <c r="G440" i="1"/>
  <c r="O440" i="1" s="1"/>
  <c r="G439" i="1"/>
  <c r="O439" i="1" s="1"/>
  <c r="G438" i="1"/>
  <c r="O438" i="1" s="1"/>
  <c r="G437" i="1"/>
  <c r="O437" i="1" s="1"/>
  <c r="G436" i="1"/>
  <c r="O436" i="1" s="1"/>
  <c r="G435" i="1"/>
  <c r="O435" i="1" s="1"/>
  <c r="G434" i="1"/>
  <c r="O434" i="1" s="1"/>
  <c r="G433" i="1"/>
  <c r="O433" i="1" s="1"/>
  <c r="G432" i="1"/>
  <c r="O432" i="1" s="1"/>
  <c r="G430" i="1"/>
  <c r="O430" i="1" s="1"/>
  <c r="G429" i="1"/>
  <c r="O429" i="1" s="1"/>
  <c r="G428" i="1"/>
  <c r="O428" i="1" s="1"/>
  <c r="G427" i="1"/>
  <c r="O427" i="1" s="1"/>
  <c r="G426" i="1"/>
  <c r="O426" i="1" s="1"/>
  <c r="G425" i="1"/>
  <c r="O425" i="1" s="1"/>
  <c r="G424" i="1"/>
  <c r="O424" i="1" s="1"/>
  <c r="G423" i="1"/>
  <c r="O423" i="1" s="1"/>
  <c r="G420" i="1"/>
  <c r="O420" i="1" s="1"/>
  <c r="G419" i="1"/>
  <c r="O419" i="1" s="1"/>
  <c r="G418" i="1"/>
  <c r="O418" i="1" s="1"/>
  <c r="G416" i="1"/>
  <c r="O416" i="1" s="1"/>
  <c r="G415" i="1"/>
  <c r="O415" i="1" s="1"/>
  <c r="G414" i="1"/>
  <c r="O414" i="1" s="1"/>
  <c r="G413" i="1"/>
  <c r="O413" i="1" s="1"/>
  <c r="G412" i="1"/>
  <c r="O412" i="1" s="1"/>
  <c r="G411" i="1"/>
  <c r="O411" i="1" s="1"/>
  <c r="G410" i="1"/>
  <c r="O410" i="1" s="1"/>
  <c r="G409" i="1"/>
  <c r="O409" i="1" s="1"/>
  <c r="G408" i="1"/>
  <c r="O408" i="1" s="1"/>
  <c r="G407" i="1"/>
  <c r="O407" i="1" s="1"/>
  <c r="G406" i="1"/>
  <c r="O406" i="1" s="1"/>
  <c r="G405" i="1"/>
  <c r="O405" i="1" s="1"/>
  <c r="G404" i="1"/>
  <c r="O404" i="1" s="1"/>
  <c r="G403" i="1"/>
  <c r="O403" i="1" s="1"/>
  <c r="G402" i="1"/>
  <c r="O402" i="1" s="1"/>
  <c r="G401" i="1"/>
  <c r="O401" i="1" s="1"/>
  <c r="G400" i="1"/>
  <c r="O400" i="1" s="1"/>
  <c r="G399" i="1"/>
  <c r="O399" i="1" s="1"/>
  <c r="G398" i="1"/>
  <c r="O398" i="1" s="1"/>
  <c r="G397" i="1"/>
  <c r="O397" i="1" s="1"/>
  <c r="G396" i="1"/>
  <c r="O396" i="1" s="1"/>
  <c r="G395" i="1"/>
  <c r="O395" i="1" s="1"/>
  <c r="G394" i="1"/>
  <c r="O394" i="1" s="1"/>
  <c r="G393" i="1"/>
  <c r="O393" i="1" s="1"/>
  <c r="G392" i="1"/>
  <c r="O392" i="1" s="1"/>
  <c r="G391" i="1"/>
  <c r="O391" i="1" s="1"/>
  <c r="G390" i="1"/>
  <c r="O390" i="1" s="1"/>
  <c r="G389" i="1"/>
  <c r="O389" i="1" s="1"/>
  <c r="G388" i="1"/>
  <c r="O388" i="1" s="1"/>
  <c r="G387" i="1"/>
  <c r="O387" i="1" s="1"/>
  <c r="G386" i="1"/>
  <c r="O386" i="1" s="1"/>
  <c r="G385" i="1"/>
  <c r="O385" i="1" s="1"/>
  <c r="G384" i="1"/>
  <c r="O384" i="1" s="1"/>
  <c r="G383" i="1"/>
  <c r="O383" i="1" s="1"/>
  <c r="G382" i="1"/>
  <c r="O382" i="1" s="1"/>
  <c r="G379" i="1"/>
  <c r="O379" i="1" s="1"/>
  <c r="G377" i="1"/>
  <c r="O377" i="1" s="1"/>
  <c r="G376" i="1"/>
  <c r="O376" i="1" s="1"/>
  <c r="G375" i="1"/>
  <c r="O375" i="1" s="1"/>
  <c r="G374" i="1"/>
  <c r="O374" i="1" s="1"/>
  <c r="G371" i="1"/>
  <c r="O371" i="1" s="1"/>
  <c r="G370" i="1"/>
  <c r="O370" i="1" s="1"/>
  <c r="G369" i="1"/>
  <c r="O369" i="1" s="1"/>
  <c r="G368" i="1"/>
  <c r="O368" i="1" s="1"/>
  <c r="G367" i="1"/>
  <c r="O367" i="1" s="1"/>
  <c r="G366" i="1"/>
  <c r="O366" i="1" s="1"/>
  <c r="G365" i="1"/>
  <c r="O365" i="1" s="1"/>
  <c r="G364" i="1"/>
  <c r="O364" i="1" s="1"/>
  <c r="G363" i="1"/>
  <c r="O363" i="1" s="1"/>
  <c r="G362" i="1"/>
  <c r="O362" i="1" s="1"/>
  <c r="G361" i="1"/>
  <c r="O361" i="1" s="1"/>
  <c r="G360" i="1"/>
  <c r="O360" i="1" s="1"/>
  <c r="G357" i="1"/>
  <c r="O357" i="1" s="1"/>
  <c r="G355" i="1"/>
  <c r="O355" i="1" s="1"/>
  <c r="G354" i="1"/>
  <c r="O354" i="1" s="1"/>
  <c r="G353" i="1"/>
  <c r="O353" i="1" s="1"/>
  <c r="G352" i="1"/>
  <c r="O352" i="1" s="1"/>
  <c r="G351" i="1"/>
  <c r="O351" i="1" s="1"/>
  <c r="G350" i="1"/>
  <c r="O350" i="1" s="1"/>
  <c r="G349" i="1"/>
  <c r="O349" i="1" s="1"/>
  <c r="G348" i="1"/>
  <c r="O348" i="1" s="1"/>
  <c r="G347" i="1"/>
  <c r="O347" i="1" s="1"/>
  <c r="G346" i="1"/>
  <c r="O346" i="1" s="1"/>
  <c r="G345" i="1"/>
  <c r="O345" i="1" s="1"/>
  <c r="G344" i="1"/>
  <c r="O344" i="1" s="1"/>
  <c r="G343" i="1"/>
  <c r="O343" i="1" s="1"/>
  <c r="G342" i="1"/>
  <c r="O342" i="1" s="1"/>
  <c r="G341" i="1"/>
  <c r="O341" i="1" s="1"/>
  <c r="G340" i="1"/>
  <c r="O340" i="1" s="1"/>
  <c r="G339" i="1"/>
  <c r="O339" i="1" s="1"/>
  <c r="G338" i="1"/>
  <c r="O338" i="1" s="1"/>
  <c r="G337" i="1"/>
  <c r="O337" i="1" s="1"/>
  <c r="G336" i="1"/>
  <c r="O336" i="1" s="1"/>
  <c r="G335" i="1"/>
  <c r="O335" i="1" s="1"/>
  <c r="G334" i="1"/>
  <c r="O334" i="1" s="1"/>
  <c r="G333" i="1"/>
  <c r="O333" i="1" s="1"/>
  <c r="G332" i="1"/>
  <c r="O332" i="1" s="1"/>
  <c r="G331" i="1"/>
  <c r="O331" i="1" s="1"/>
  <c r="G330" i="1"/>
  <c r="O330" i="1" s="1"/>
  <c r="G329" i="1"/>
  <c r="O329" i="1" s="1"/>
  <c r="G328" i="1"/>
  <c r="O328" i="1" s="1"/>
  <c r="G327" i="1"/>
  <c r="O327" i="1" s="1"/>
  <c r="G326" i="1"/>
  <c r="O326" i="1" s="1"/>
  <c r="G325" i="1"/>
  <c r="O325" i="1" s="1"/>
  <c r="G323" i="1"/>
  <c r="O323" i="1" s="1"/>
  <c r="G322" i="1"/>
  <c r="O322" i="1" s="1"/>
  <c r="G321" i="1"/>
  <c r="O321" i="1" s="1"/>
  <c r="G320" i="1"/>
  <c r="O320" i="1" s="1"/>
  <c r="G319" i="1"/>
  <c r="O319" i="1" s="1"/>
  <c r="G318" i="1"/>
  <c r="O318" i="1" s="1"/>
  <c r="G317" i="1"/>
  <c r="O317" i="1" s="1"/>
  <c r="G316" i="1"/>
  <c r="O316" i="1" s="1"/>
  <c r="G315" i="1"/>
  <c r="O315" i="1" s="1"/>
  <c r="G314" i="1"/>
  <c r="O314" i="1" s="1"/>
  <c r="G313" i="1"/>
  <c r="O313" i="1" s="1"/>
  <c r="G312" i="1"/>
  <c r="O312" i="1" s="1"/>
  <c r="G311" i="1"/>
  <c r="O311" i="1" s="1"/>
  <c r="G310" i="1"/>
  <c r="O310" i="1" s="1"/>
  <c r="G308" i="1"/>
  <c r="O308" i="1" s="1"/>
  <c r="G307" i="1"/>
  <c r="O307" i="1" s="1"/>
  <c r="G306" i="1"/>
  <c r="O306" i="1" s="1"/>
  <c r="G305" i="1"/>
  <c r="O305" i="1" s="1"/>
  <c r="G304" i="1"/>
  <c r="O304" i="1" s="1"/>
  <c r="G303" i="1"/>
  <c r="O303" i="1" s="1"/>
  <c r="G302" i="1"/>
  <c r="O302" i="1" s="1"/>
  <c r="G301" i="1"/>
  <c r="O301" i="1" s="1"/>
  <c r="G300" i="1"/>
  <c r="O300" i="1" s="1"/>
  <c r="G299" i="1"/>
  <c r="O299" i="1" s="1"/>
  <c r="G298" i="1"/>
  <c r="O298" i="1" s="1"/>
  <c r="G297" i="1"/>
  <c r="O297" i="1" s="1"/>
  <c r="G296" i="1"/>
  <c r="O296" i="1" s="1"/>
  <c r="G295" i="1"/>
  <c r="O295" i="1" s="1"/>
  <c r="G294" i="1"/>
  <c r="O294" i="1" s="1"/>
  <c r="G293" i="1"/>
  <c r="O293" i="1" s="1"/>
  <c r="G292" i="1"/>
  <c r="O292" i="1" s="1"/>
  <c r="G291" i="1"/>
  <c r="O291" i="1" s="1"/>
  <c r="G290" i="1"/>
  <c r="O290" i="1" s="1"/>
  <c r="G289" i="1"/>
  <c r="O289" i="1" s="1"/>
  <c r="G288" i="1"/>
  <c r="O288" i="1" s="1"/>
  <c r="G287" i="1"/>
  <c r="O287" i="1" s="1"/>
  <c r="G286" i="1"/>
  <c r="O286" i="1" s="1"/>
  <c r="G285" i="1"/>
  <c r="O285" i="1" s="1"/>
  <c r="G284" i="1"/>
  <c r="O284" i="1" s="1"/>
  <c r="G283" i="1"/>
  <c r="O283" i="1" s="1"/>
  <c r="G282" i="1"/>
  <c r="O282" i="1" s="1"/>
  <c r="G281" i="1"/>
  <c r="O281" i="1" s="1"/>
  <c r="G280" i="1"/>
  <c r="O280" i="1" s="1"/>
  <c r="G277" i="1"/>
  <c r="O277" i="1" s="1"/>
  <c r="G276" i="1"/>
  <c r="O276" i="1" s="1"/>
  <c r="G275" i="1"/>
  <c r="O275" i="1" s="1"/>
  <c r="G273" i="1"/>
  <c r="O273" i="1" s="1"/>
  <c r="G272" i="1"/>
  <c r="O272" i="1" s="1"/>
  <c r="G271" i="1"/>
  <c r="O271" i="1" s="1"/>
  <c r="G270" i="1"/>
  <c r="O270" i="1" s="1"/>
  <c r="G269" i="1"/>
  <c r="O269" i="1" s="1"/>
  <c r="G268" i="1"/>
  <c r="O268" i="1" s="1"/>
  <c r="G267" i="1"/>
  <c r="O267" i="1" s="1"/>
  <c r="G266" i="1"/>
  <c r="O266" i="1" s="1"/>
  <c r="G265" i="1"/>
  <c r="O265" i="1" s="1"/>
  <c r="G264" i="1"/>
  <c r="O264" i="1" s="1"/>
  <c r="G263" i="1"/>
  <c r="O263" i="1" s="1"/>
  <c r="G261" i="1"/>
  <c r="O261" i="1" s="1"/>
  <c r="G260" i="1"/>
  <c r="O260" i="1" s="1"/>
  <c r="G259" i="1"/>
  <c r="O259" i="1" s="1"/>
  <c r="G258" i="1"/>
  <c r="O258" i="1" s="1"/>
  <c r="G257" i="1"/>
  <c r="O257" i="1" s="1"/>
  <c r="G256" i="1"/>
  <c r="O256" i="1" s="1"/>
  <c r="G255" i="1"/>
  <c r="O255" i="1" s="1"/>
  <c r="G254" i="1"/>
  <c r="O254" i="1" s="1"/>
  <c r="G253" i="1"/>
  <c r="O253" i="1" s="1"/>
  <c r="G252" i="1"/>
  <c r="O252" i="1" s="1"/>
  <c r="G251" i="1"/>
  <c r="O251" i="1" s="1"/>
  <c r="G250" i="1"/>
  <c r="O250" i="1" s="1"/>
  <c r="G249" i="1"/>
  <c r="O249" i="1" s="1"/>
  <c r="G248" i="1"/>
  <c r="O248" i="1" s="1"/>
  <c r="G247" i="1"/>
  <c r="O247" i="1" s="1"/>
  <c r="G246" i="1"/>
  <c r="O246" i="1" s="1"/>
  <c r="G245" i="1"/>
  <c r="O245" i="1" s="1"/>
  <c r="G244" i="1"/>
  <c r="O244" i="1" s="1"/>
  <c r="G243" i="1"/>
  <c r="O243" i="1" s="1"/>
  <c r="G242" i="1"/>
  <c r="O242" i="1" s="1"/>
  <c r="G241" i="1"/>
  <c r="O241" i="1" s="1"/>
  <c r="G240" i="1"/>
  <c r="O240" i="1" s="1"/>
  <c r="G239" i="1"/>
  <c r="O239" i="1" s="1"/>
  <c r="G238" i="1"/>
  <c r="O238" i="1" s="1"/>
  <c r="G237" i="1"/>
  <c r="O237" i="1" s="1"/>
  <c r="G236" i="1"/>
  <c r="O236" i="1" s="1"/>
  <c r="G235" i="1"/>
  <c r="O235" i="1" s="1"/>
  <c r="G234" i="1"/>
  <c r="O234" i="1" s="1"/>
  <c r="G233" i="1"/>
  <c r="O233" i="1" s="1"/>
  <c r="G232" i="1"/>
  <c r="O232" i="1" s="1"/>
  <c r="G229" i="1"/>
  <c r="O229" i="1" s="1"/>
  <c r="G228" i="1"/>
  <c r="O228" i="1" s="1"/>
  <c r="G227" i="1"/>
  <c r="O227" i="1" s="1"/>
  <c r="G226" i="1"/>
  <c r="O226" i="1" s="1"/>
  <c r="G224" i="1"/>
  <c r="O224" i="1" s="1"/>
  <c r="G223" i="1"/>
  <c r="O223" i="1" s="1"/>
  <c r="G222" i="1"/>
  <c r="O222" i="1" s="1"/>
  <c r="G221" i="1"/>
  <c r="O221" i="1" s="1"/>
  <c r="G219" i="1"/>
  <c r="O219" i="1" s="1"/>
  <c r="G218" i="1"/>
  <c r="O218" i="1" s="1"/>
  <c r="G217" i="1"/>
  <c r="O217" i="1" s="1"/>
  <c r="G216" i="1"/>
  <c r="O216" i="1" s="1"/>
  <c r="G215" i="1"/>
  <c r="O215" i="1" s="1"/>
  <c r="G214" i="1"/>
  <c r="O214" i="1" s="1"/>
  <c r="G213" i="1"/>
  <c r="O213" i="1" s="1"/>
  <c r="G212" i="1"/>
  <c r="O212" i="1" s="1"/>
  <c r="G211" i="1"/>
  <c r="O211" i="1" s="1"/>
  <c r="G210" i="1"/>
  <c r="O210" i="1" s="1"/>
  <c r="G209" i="1"/>
  <c r="O209" i="1" s="1"/>
  <c r="G208" i="1"/>
  <c r="O208" i="1" s="1"/>
  <c r="G207" i="1"/>
  <c r="O207" i="1" s="1"/>
  <c r="G206" i="1"/>
  <c r="O206" i="1" s="1"/>
  <c r="G205" i="1"/>
  <c r="O205" i="1" s="1"/>
  <c r="G204" i="1"/>
  <c r="O204" i="1" s="1"/>
  <c r="G203" i="1"/>
  <c r="O203" i="1" s="1"/>
  <c r="G202" i="1"/>
  <c r="O202" i="1" s="1"/>
  <c r="G201" i="1"/>
  <c r="O201" i="1" s="1"/>
  <c r="G200" i="1"/>
  <c r="O200" i="1" s="1"/>
  <c r="G196" i="1"/>
  <c r="O196" i="1" s="1"/>
  <c r="G195" i="1"/>
  <c r="O195" i="1" s="1"/>
  <c r="G194" i="1"/>
  <c r="O194" i="1" s="1"/>
  <c r="G193" i="1"/>
  <c r="O193" i="1" s="1"/>
  <c r="G192" i="1"/>
  <c r="O192" i="1" s="1"/>
  <c r="G191" i="1"/>
  <c r="O191" i="1" s="1"/>
  <c r="G190" i="1"/>
  <c r="O190" i="1" s="1"/>
  <c r="G189" i="1"/>
  <c r="O189" i="1" s="1"/>
  <c r="G188" i="1"/>
  <c r="O188" i="1" s="1"/>
  <c r="G187" i="1"/>
  <c r="O187" i="1" s="1"/>
  <c r="G186" i="1"/>
  <c r="O186" i="1" s="1"/>
  <c r="G185" i="1"/>
  <c r="O185" i="1" s="1"/>
  <c r="G182" i="1"/>
  <c r="O182" i="1" s="1"/>
  <c r="G181" i="1"/>
  <c r="O181" i="1" s="1"/>
  <c r="G180" i="1"/>
  <c r="O180" i="1" s="1"/>
  <c r="G179" i="1"/>
  <c r="O179" i="1" s="1"/>
  <c r="G177" i="1"/>
  <c r="O177" i="1" s="1"/>
  <c r="G176" i="1"/>
  <c r="O176" i="1" s="1"/>
  <c r="G175" i="1"/>
  <c r="O175" i="1" s="1"/>
  <c r="G174" i="1"/>
  <c r="O174" i="1" s="1"/>
  <c r="G172" i="1"/>
  <c r="O172" i="1" s="1"/>
  <c r="G171" i="1"/>
  <c r="O171" i="1" s="1"/>
  <c r="G170" i="1"/>
  <c r="O170" i="1" s="1"/>
  <c r="G169" i="1"/>
  <c r="O169" i="1" s="1"/>
  <c r="G168" i="1"/>
  <c r="O168" i="1" s="1"/>
  <c r="G167" i="1"/>
  <c r="O167" i="1" s="1"/>
  <c r="G166" i="1"/>
  <c r="O166" i="1" s="1"/>
  <c r="G165" i="1"/>
  <c r="O165" i="1" s="1"/>
  <c r="G164" i="1"/>
  <c r="O164" i="1" s="1"/>
  <c r="G163" i="1"/>
  <c r="O163" i="1" s="1"/>
  <c r="G162" i="1"/>
  <c r="O162" i="1" s="1"/>
  <c r="G161" i="1"/>
  <c r="O161" i="1" s="1"/>
  <c r="G160" i="1"/>
  <c r="O160" i="1" s="1"/>
  <c r="G159" i="1"/>
  <c r="O159" i="1" s="1"/>
  <c r="G158" i="1"/>
  <c r="O158" i="1" s="1"/>
  <c r="G157" i="1"/>
  <c r="O157" i="1" s="1"/>
  <c r="G156" i="1"/>
  <c r="O156" i="1" s="1"/>
  <c r="G155" i="1"/>
  <c r="O155" i="1" s="1"/>
  <c r="G154" i="1"/>
  <c r="O154" i="1" s="1"/>
  <c r="G152" i="1"/>
  <c r="O152" i="1" s="1"/>
  <c r="G151" i="1"/>
  <c r="O151" i="1" s="1"/>
  <c r="G150" i="1"/>
  <c r="O150" i="1" s="1"/>
  <c r="G149" i="1"/>
  <c r="O149" i="1" s="1"/>
  <c r="G148" i="1"/>
  <c r="O148" i="1" s="1"/>
  <c r="G147" i="1"/>
  <c r="O147" i="1" s="1"/>
  <c r="G146" i="1"/>
  <c r="O146" i="1" s="1"/>
  <c r="G145" i="1"/>
  <c r="O145" i="1" s="1"/>
  <c r="G144" i="1"/>
  <c r="O144" i="1" s="1"/>
  <c r="G143" i="1"/>
  <c r="O143" i="1" s="1"/>
  <c r="G142" i="1"/>
  <c r="O142" i="1" s="1"/>
  <c r="G141" i="1"/>
  <c r="O141" i="1" s="1"/>
  <c r="G140" i="1"/>
  <c r="O140" i="1" s="1"/>
  <c r="G139" i="1"/>
  <c r="O139" i="1" s="1"/>
  <c r="G138" i="1"/>
  <c r="O138" i="1" s="1"/>
  <c r="G137" i="1"/>
  <c r="O137" i="1" s="1"/>
  <c r="G136" i="1"/>
  <c r="O136" i="1" s="1"/>
  <c r="G135" i="1"/>
  <c r="O135" i="1" s="1"/>
  <c r="G134" i="1"/>
  <c r="O134" i="1" s="1"/>
  <c r="G133" i="1"/>
  <c r="O133" i="1" s="1"/>
  <c r="G131" i="1"/>
  <c r="O131" i="1" s="1"/>
  <c r="G130" i="1"/>
  <c r="O130" i="1" s="1"/>
  <c r="G129" i="1"/>
  <c r="O129" i="1" s="1"/>
  <c r="G128" i="1"/>
  <c r="O128" i="1" s="1"/>
  <c r="G127" i="1"/>
  <c r="O127" i="1" s="1"/>
  <c r="G126" i="1"/>
  <c r="O126" i="1" s="1"/>
  <c r="G125" i="1"/>
  <c r="O125" i="1" s="1"/>
  <c r="G124" i="1"/>
  <c r="O124" i="1" s="1"/>
  <c r="G123" i="1"/>
  <c r="O123" i="1" s="1"/>
  <c r="G122" i="1"/>
  <c r="O122" i="1" s="1"/>
  <c r="G120" i="1"/>
  <c r="O120" i="1" s="1"/>
  <c r="G119" i="1"/>
  <c r="O119" i="1" s="1"/>
  <c r="G118" i="1"/>
  <c r="O118" i="1" s="1"/>
  <c r="G117" i="1"/>
  <c r="O117" i="1" s="1"/>
  <c r="G116" i="1"/>
  <c r="O116" i="1" s="1"/>
  <c r="G115" i="1"/>
  <c r="O115" i="1" s="1"/>
  <c r="G114" i="1"/>
  <c r="O114" i="1" s="1"/>
  <c r="G113" i="1"/>
  <c r="O113" i="1" s="1"/>
  <c r="G112" i="1"/>
  <c r="O112" i="1" s="1"/>
  <c r="G111" i="1"/>
  <c r="O111" i="1" s="1"/>
  <c r="G110" i="1"/>
  <c r="O110" i="1" s="1"/>
  <c r="G109" i="1"/>
  <c r="O109" i="1" s="1"/>
  <c r="G108" i="1"/>
  <c r="O108" i="1" s="1"/>
  <c r="G107" i="1"/>
  <c r="O107" i="1" s="1"/>
  <c r="G106" i="1"/>
  <c r="O106" i="1" s="1"/>
  <c r="G105" i="1"/>
  <c r="O105" i="1" s="1"/>
  <c r="G104" i="1"/>
  <c r="O104" i="1" s="1"/>
  <c r="G103" i="1"/>
  <c r="O103" i="1" s="1"/>
  <c r="G102" i="1"/>
  <c r="O102" i="1" s="1"/>
  <c r="G101" i="1"/>
  <c r="O101" i="1" s="1"/>
  <c r="G100" i="1"/>
  <c r="O100" i="1" s="1"/>
  <c r="G99" i="1"/>
  <c r="O99" i="1" s="1"/>
  <c r="G98" i="1"/>
  <c r="O98" i="1" s="1"/>
  <c r="G97" i="1"/>
  <c r="O97" i="1" s="1"/>
  <c r="G95" i="1"/>
  <c r="O95" i="1" s="1"/>
  <c r="G94" i="1"/>
  <c r="O94" i="1" s="1"/>
  <c r="G93" i="1"/>
  <c r="O93" i="1" s="1"/>
  <c r="G92" i="1"/>
  <c r="O92" i="1" s="1"/>
  <c r="G90" i="1"/>
  <c r="O90" i="1" s="1"/>
  <c r="G89" i="1"/>
  <c r="O89" i="1" s="1"/>
  <c r="G88" i="1"/>
  <c r="O88" i="1" s="1"/>
  <c r="G87" i="1"/>
  <c r="O87" i="1" s="1"/>
  <c r="G86" i="1"/>
  <c r="O86" i="1" s="1"/>
  <c r="G85" i="1"/>
  <c r="O85" i="1" s="1"/>
  <c r="G84" i="1"/>
  <c r="O84" i="1" s="1"/>
  <c r="G83" i="1"/>
  <c r="O83" i="1" s="1"/>
  <c r="G82" i="1"/>
  <c r="O82" i="1" s="1"/>
  <c r="G81" i="1"/>
  <c r="O81" i="1" s="1"/>
  <c r="G80" i="1"/>
  <c r="O80" i="1" s="1"/>
  <c r="G79" i="1"/>
  <c r="O79" i="1" s="1"/>
  <c r="G78" i="1"/>
  <c r="O78" i="1" s="1"/>
  <c r="G77" i="1"/>
  <c r="O77" i="1" s="1"/>
  <c r="G76" i="1"/>
  <c r="O76" i="1" s="1"/>
  <c r="G74" i="1"/>
  <c r="O74" i="1" s="1"/>
  <c r="G73" i="1"/>
  <c r="O73" i="1" s="1"/>
  <c r="G72" i="1"/>
  <c r="O72" i="1" s="1"/>
  <c r="G71" i="1"/>
  <c r="O71" i="1" s="1"/>
  <c r="G70" i="1"/>
  <c r="O70" i="1" s="1"/>
  <c r="G69" i="1"/>
  <c r="O69" i="1" s="1"/>
  <c r="G68" i="1"/>
  <c r="O68" i="1" s="1"/>
  <c r="G67" i="1"/>
  <c r="O67" i="1" s="1"/>
  <c r="G66" i="1"/>
  <c r="O66" i="1" s="1"/>
  <c r="G65" i="1"/>
  <c r="O65" i="1" s="1"/>
  <c r="G64" i="1"/>
  <c r="O64" i="1" s="1"/>
  <c r="G63" i="1"/>
  <c r="O63" i="1" s="1"/>
  <c r="G62" i="1"/>
  <c r="O62" i="1" s="1"/>
  <c r="G61" i="1"/>
  <c r="O61" i="1" s="1"/>
  <c r="G60" i="1"/>
  <c r="O60" i="1" s="1"/>
  <c r="G59" i="1"/>
  <c r="O59" i="1" s="1"/>
  <c r="G58" i="1"/>
  <c r="O58" i="1" s="1"/>
  <c r="G57" i="1"/>
  <c r="O57" i="1" s="1"/>
  <c r="G56" i="1"/>
  <c r="O56" i="1" s="1"/>
  <c r="G55" i="1"/>
  <c r="O55" i="1" s="1"/>
  <c r="G54" i="1"/>
  <c r="O54" i="1" s="1"/>
  <c r="G53" i="1"/>
  <c r="O53" i="1" s="1"/>
  <c r="G52" i="1"/>
  <c r="O52" i="1" s="1"/>
  <c r="G51" i="1"/>
  <c r="O51" i="1" s="1"/>
  <c r="G50" i="1"/>
  <c r="O50" i="1" s="1"/>
  <c r="G49" i="1"/>
  <c r="O49" i="1" s="1"/>
  <c r="G48" i="1"/>
  <c r="O48" i="1" s="1"/>
  <c r="G47" i="1"/>
  <c r="O47" i="1" s="1"/>
  <c r="G46" i="1"/>
  <c r="O46" i="1" s="1"/>
  <c r="G45" i="1"/>
  <c r="O45" i="1" s="1"/>
  <c r="G44" i="1"/>
  <c r="O44" i="1" s="1"/>
  <c r="G43" i="1"/>
  <c r="O43" i="1" s="1"/>
  <c r="G42" i="1"/>
  <c r="O42" i="1" s="1"/>
  <c r="G40" i="1"/>
  <c r="O40" i="1" s="1"/>
  <c r="G39" i="1"/>
  <c r="O39" i="1" s="1"/>
  <c r="G38" i="1"/>
  <c r="O38" i="1" s="1"/>
  <c r="G37" i="1"/>
  <c r="O37" i="1" s="1"/>
  <c r="G36" i="1"/>
  <c r="O36" i="1" s="1"/>
  <c r="G35" i="1"/>
  <c r="O35" i="1" s="1"/>
  <c r="G34" i="1"/>
  <c r="O34" i="1" s="1"/>
  <c r="G33" i="1"/>
  <c r="O33" i="1" s="1"/>
  <c r="G32" i="1"/>
  <c r="O32" i="1" s="1"/>
  <c r="G31" i="1"/>
  <c r="O31" i="1" s="1"/>
  <c r="G30" i="1"/>
  <c r="O30" i="1" s="1"/>
  <c r="G29" i="1"/>
  <c r="O29" i="1" s="1"/>
  <c r="G28" i="1"/>
  <c r="O28" i="1" s="1"/>
  <c r="G27" i="1"/>
  <c r="O27" i="1" s="1"/>
  <c r="G26" i="1"/>
  <c r="O26" i="1" s="1"/>
  <c r="G25" i="1"/>
  <c r="O25" i="1" s="1"/>
  <c r="G23" i="1"/>
  <c r="O23" i="1" s="1"/>
  <c r="G22" i="1"/>
  <c r="O22" i="1" s="1"/>
  <c r="G21" i="1"/>
  <c r="O21" i="1" s="1"/>
  <c r="G20" i="1"/>
  <c r="O20" i="1" s="1"/>
  <c r="G18" i="1"/>
  <c r="O18" i="1" s="1"/>
  <c r="G17" i="1"/>
  <c r="O17" i="1" s="1"/>
  <c r="G16" i="1"/>
  <c r="O16" i="1" s="1"/>
  <c r="G15" i="1"/>
  <c r="O15" i="1" s="1"/>
  <c r="G14" i="1"/>
  <c r="O14" i="1" s="1"/>
  <c r="G13" i="1"/>
  <c r="O13" i="1" s="1"/>
  <c r="G12" i="1"/>
  <c r="O12" i="1" s="1"/>
  <c r="G11" i="1"/>
  <c r="O11" i="1" s="1"/>
  <c r="G10" i="1"/>
  <c r="O10" i="1" s="1"/>
  <c r="G9" i="1"/>
  <c r="O9" i="1" s="1"/>
  <c r="G8" i="1"/>
  <c r="O8" i="1" s="1"/>
  <c r="G7" i="1"/>
  <c r="O7" i="1" s="1"/>
  <c r="G5" i="1"/>
  <c r="O5" i="1" s="1"/>
  <c r="G4" i="1"/>
  <c r="O4" i="1" s="1"/>
  <c r="H2" i="1" l="1"/>
  <c r="O3" i="1" l="1"/>
  <c r="O1" i="1" s="1"/>
</calcChain>
</file>

<file path=xl/sharedStrings.xml><?xml version="1.0" encoding="utf-8"?>
<sst xmlns="http://schemas.openxmlformats.org/spreadsheetml/2006/main" count="516" uniqueCount="453">
  <si>
    <t>PRODUCT</t>
  </si>
  <si>
    <t>COLLAGEN &amp; ORGANIC MCT</t>
  </si>
  <si>
    <t>MCT POWDER Organic medium chain triglycerides. Uflflavored, uflsweetefled.</t>
  </si>
  <si>
    <r>
      <rPr>
        <sz val="8"/>
        <rFont val="Arial MT"/>
        <family val="2"/>
      </rPr>
      <t>10.58 oz</t>
    </r>
  </si>
  <si>
    <t>COLLAGEN POWDER Hydrolyzed collagen peptides. Uflflavored, uflsweetefled</t>
  </si>
  <si>
    <r>
      <rPr>
        <b/>
        <sz val="9"/>
        <rFont val="Calibri Light"/>
        <family val="2"/>
        <charset val="204"/>
        <scheme val="major"/>
      </rPr>
      <t>BEAUTIFUL ALLY</t>
    </r>
    <r>
      <rPr>
        <b/>
        <vertAlign val="superscript"/>
        <sz val="9"/>
        <rFont val="Calibri Light"/>
        <family val="2"/>
        <charset val="204"/>
        <scheme val="major"/>
      </rPr>
      <t>®</t>
    </r>
  </si>
  <si>
    <t>HAIR, SKIN &amp; NAILS VEGETABLE CAPSULES Daily beauty regimen. ◆</t>
  </si>
  <si>
    <t xml:space="preserve">BIOTIN 10,000 mcg VEGETABLE CAPSULES Strengthen hair &amp; nails.◆ </t>
  </si>
  <si>
    <t xml:space="preserve">COLLAGEN TYPE I+III POWDER Revive skin, hair &amp; nails.◆ </t>
  </si>
  <si>
    <r>
      <rPr>
        <sz val="8"/>
        <rFont val="Arial MT"/>
        <family val="2"/>
      </rPr>
      <t>6.9 oz</t>
    </r>
  </si>
  <si>
    <t>HYALURONIC ACID 100 mg SOFTGELS Nurture radiant skin.◆</t>
  </si>
  <si>
    <t xml:space="preserve">COLLAGEN 1,000 mg TYPE I+III CAPLETS Revive skin, hair &amp; nails.◆ </t>
  </si>
  <si>
    <t>KERATIN CARE ®VEGETABLE CAPSULES Strengthen &amp; revitalize hair.◆</t>
  </si>
  <si>
    <t>LIQUID HYALURONIC ACID Nurture radiant skin.◆Mixed Berry Flavor</t>
  </si>
  <si>
    <r>
      <rPr>
        <sz val="8"/>
        <rFont val="Arial MT"/>
        <family val="2"/>
      </rPr>
      <t>16 fl oz</t>
    </r>
  </si>
  <si>
    <t>ASTAXANTHIN VEGETARIAN SOFTGELS Repair &amp; protect skin.◆</t>
  </si>
  <si>
    <t>RESVERATROL 250 mg VEGETABLE CAPSULES Protect skin integrity.◆</t>
  </si>
  <si>
    <t>RESVERATROL 500 mg VEGETABLE CAPSULES Protect skin integrity.◆</t>
  </si>
  <si>
    <t>OTHER BEAUTY FORMULAS</t>
  </si>
  <si>
    <t>AGE-LESS SKIN FORMULA® VEGETABLE CAPSULES 
Vitamin C-ester, alpha lipoic acid &amp; DMAE.</t>
  </si>
  <si>
    <r>
      <rPr>
        <b/>
        <sz val="9"/>
        <rFont val="Calibri Light"/>
        <family val="2"/>
        <charset val="204"/>
        <scheme val="major"/>
      </rPr>
      <t>ULTIMATE HAIR &amp; NAIL FORMULA</t>
    </r>
    <r>
      <rPr>
        <b/>
        <vertAlign val="superscript"/>
        <sz val="9"/>
        <rFont val="Calibri Light"/>
        <family val="2"/>
        <charset val="204"/>
        <scheme val="major"/>
      </rPr>
      <t xml:space="preserve">®
</t>
    </r>
    <r>
      <rPr>
        <b/>
        <sz val="9"/>
        <rFont val="Calibri Light"/>
        <family val="2"/>
        <charset val="204"/>
        <scheme val="major"/>
      </rPr>
      <t xml:space="preserve">VEGETABLE CAPSULES </t>
    </r>
    <r>
      <rPr>
        <sz val="9"/>
        <rFont val="Calibri Light"/>
        <family val="2"/>
        <charset val="204"/>
        <scheme val="major"/>
      </rPr>
      <t>Formulated for hair, skin &amp; nails.</t>
    </r>
  </si>
  <si>
    <r>
      <rPr>
        <b/>
        <sz val="9"/>
        <rFont val="Calibri Light"/>
        <family val="2"/>
        <charset val="204"/>
        <scheme val="major"/>
      </rPr>
      <t>INTIMATE ESSENTIALS</t>
    </r>
    <r>
      <rPr>
        <b/>
        <vertAlign val="superscript"/>
        <sz val="9"/>
        <rFont val="Calibri Light"/>
        <family val="2"/>
        <charset val="204"/>
        <scheme val="major"/>
      </rPr>
      <t>®</t>
    </r>
  </si>
  <si>
    <t>FOR HIM TESTOSTERONE &amp; LIBIDO
BOOST VEGETABLE CAPSULES ◆ Helps to stimulate a man's sexual chemistry.◆</t>
  </si>
  <si>
    <t>FOR HER SEXUAL RESPONSE &amp; LIBIDO BOOST VEGETABLE CAPSULES ◆Helps to stimulate a woman's sexual chemistry.◆</t>
  </si>
  <si>
    <t>FOR HER HORMONAL BALANCE VEGETABLE CAPSULES ◆Hormonal balance during PMS &amp; menopause. ◆</t>
  </si>
  <si>
    <t>LJ100® SEXUAL &amp; REPRODUCTIVE SUPPORT VEGETABLE CAPSULES ◆ Enhance sexual health &amp; fertility. ◆</t>
  </si>
  <si>
    <t>MACA SEXUAL &amp; REPRODUCTIVE SUPPORT VEGETABLE CAPSULES ◆ Enhance mood, stamina, libido &amp; fertility. ◆</t>
  </si>
  <si>
    <t>DHEA 25 mg OPTIMAL HORMONALLEVELS VEGETABLE CAPSULES ◆ Support healthy sexual and fertility function. ◆</t>
  </si>
  <si>
    <t xml:space="preserve">DHEA 50 mg OPTIMAL HORMONAL LEVELS VEGETABLE CAPSULES ◆ Support healthy sexual and fertility function. ◆ </t>
  </si>
  <si>
    <t xml:space="preserve">DHEA 100 mg OPTIMAL HORMONAL LEVELS VEGETABLE CAPSULES ◆ Support healthy sexual and fertility function. ◆ </t>
  </si>
  <si>
    <t xml:space="preserve">NITRO SEXUAL AROUSAL SUPPORT VEGETABLE CAPSULES ◆ Support sexual arousal &amp; intensify orgasm.◆ </t>
  </si>
  <si>
    <t>FOR HIM FERTILITY SUPPORT MULTIVITAMIN VEGETABLE CAPSULES ◆ Optimal reproductive health &amp; wellness.◆</t>
  </si>
  <si>
    <t xml:space="preserve"> FOR HER FERTILITY SUPPORT MULTIVITAMIN VEGETABLE CAPSULES ◆Optimal reproductive health &amp; wellness. ◆</t>
  </si>
  <si>
    <t>FOR HIM CONCEPTION SUPPORT VEGETABLE CAPSULES ◆ Support male fertility. ◆</t>
  </si>
  <si>
    <t>FOR HER CONCEPTION SUPPORT VEGETABLE CAPSULES ◆ Support female fertility. ◆</t>
  </si>
  <si>
    <r>
      <rPr>
        <b/>
        <sz val="9"/>
        <rFont val="Calibri Light"/>
        <family val="2"/>
        <charset val="204"/>
        <scheme val="major"/>
      </rPr>
      <t xml:space="preserve">FREE-FORM AMINO ACIDS </t>
    </r>
    <r>
      <rPr>
        <sz val="9"/>
        <rFont val="Calibri Light"/>
        <family val="2"/>
        <charset val="204"/>
        <scheme val="major"/>
      </rPr>
      <t>Premium-grade, free-form amino acids from leading suppliers that help the body function at an optimal level. ◆</t>
    </r>
  </si>
  <si>
    <t>AMINO ACID 750 mg VEGETABLE CAPSULES Amino acid complexfrom enzymatically digested egg albumin and whey lactalbumin protein.</t>
  </si>
  <si>
    <t>ACETYL L-CARNITINE 500 mg VEGETABLE CAPSULES</t>
  </si>
  <si>
    <t>L-ARGININE/L-ORNITHINE 500 mg/ 250 mg VEGETABLE CAPSULES</t>
  </si>
  <si>
    <t>L-ARGININE 500 mg VEGETABLE CAPSULES</t>
  </si>
  <si>
    <t xml:space="preserve">L-ARGININE 1000 mg CAPLETS
</t>
  </si>
  <si>
    <t>L-CARNITINE 500 mg VEGETABLE CAPSULES</t>
  </si>
  <si>
    <t>L-CYSTEINE 500 mg VEGETABLE CAPSULES</t>
  </si>
  <si>
    <t>DLPA 500 mg VEGETABLE CAPSULES Free-form DL-phenylalanine.</t>
  </si>
  <si>
    <t>L-GLUTAMINE 500 mg VEGETABLE CAPSULES</t>
  </si>
  <si>
    <t xml:space="preserve">L-GLUTAMINE POWDER Easy-to-mix. 
</t>
  </si>
  <si>
    <r>
      <rPr>
        <sz val="8"/>
        <rFont val="Arial MT"/>
        <family val="2"/>
      </rPr>
      <t>4 oz</t>
    </r>
  </si>
  <si>
    <r>
      <rPr>
        <sz val="8"/>
        <rFont val="Arial MT"/>
        <family val="2"/>
      </rPr>
      <t>8 oz</t>
    </r>
  </si>
  <si>
    <t>L-GLUTATHIONE 100 mg VEGETABLE CAPSULES Formulated with Opitac®.</t>
  </si>
  <si>
    <t>5-HTP 100 mg VEGETABLE CAPSULES L-5-Hydroxytryptophan from Griffoflia simplicifolia seed extract.</t>
  </si>
  <si>
    <r>
      <rPr>
        <b/>
        <sz val="9"/>
        <rFont val="Calibri Light"/>
        <family val="2"/>
        <charset val="204"/>
        <scheme val="major"/>
      </rPr>
      <t xml:space="preserve">PRE WORKOUT POWDER </t>
    </r>
    <r>
      <rPr>
        <sz val="9"/>
        <rFont val="Calibri Light"/>
        <family val="2"/>
        <charset val="204"/>
        <scheme val="major"/>
      </rPr>
      <t xml:space="preserve">Muscle Recharger.◆ </t>
    </r>
    <r>
      <rPr>
        <i/>
        <sz val="9"/>
        <rFont val="Calibri Light"/>
        <family val="2"/>
        <charset val="204"/>
        <scheme val="major"/>
      </rPr>
      <t>Grape Flavor</t>
    </r>
  </si>
  <si>
    <r>
      <rPr>
        <sz val="8"/>
        <rFont val="Arial MT"/>
        <family val="2"/>
      </rPr>
      <t>0.66 lb</t>
    </r>
  </si>
  <si>
    <r>
      <rPr>
        <sz val="8"/>
        <rFont val="Arial MT"/>
        <family val="2"/>
      </rPr>
      <t>1.32 lb</t>
    </r>
  </si>
  <si>
    <r>
      <rPr>
        <sz val="8"/>
        <rFont val="Arial MT"/>
        <family val="2"/>
      </rPr>
      <t>20 pk</t>
    </r>
  </si>
  <si>
    <r>
      <rPr>
        <b/>
        <sz val="9"/>
        <rFont val="Calibri Light"/>
        <family val="2"/>
        <charset val="204"/>
        <scheme val="major"/>
      </rPr>
      <t xml:space="preserve">PRE WORKOUT POWDER </t>
    </r>
    <r>
      <rPr>
        <sz val="9"/>
        <rFont val="Calibri Light"/>
        <family val="2"/>
        <charset val="204"/>
        <scheme val="major"/>
      </rPr>
      <t xml:space="preserve">Muscle Recharger.◆ </t>
    </r>
    <r>
      <rPr>
        <i/>
        <sz val="9"/>
        <rFont val="Calibri Light"/>
        <family val="2"/>
        <charset val="204"/>
        <scheme val="major"/>
      </rPr>
      <t>Lemofl Flavor</t>
    </r>
  </si>
  <si>
    <r>
      <rPr>
        <b/>
        <sz val="9"/>
        <rFont val="Calibri Light"/>
        <family val="2"/>
        <charset val="204"/>
        <scheme val="major"/>
      </rPr>
      <t xml:space="preserve">NITRO POWDER </t>
    </r>
    <r>
      <rPr>
        <i/>
        <sz val="9"/>
        <rFont val="Calibri Light"/>
        <family val="2"/>
        <charset val="204"/>
        <scheme val="major"/>
      </rPr>
      <t>Raspberry Flavor (sweetefled with stevia)</t>
    </r>
  </si>
  <si>
    <r>
      <rPr>
        <sz val="8"/>
        <rFont val="Arial MT"/>
        <family val="2"/>
      </rPr>
      <t>3.7 oz</t>
    </r>
  </si>
  <si>
    <r>
      <rPr>
        <b/>
        <sz val="9"/>
        <rFont val="Calibri Light"/>
        <family val="2"/>
        <charset val="204"/>
        <scheme val="major"/>
      </rPr>
      <t xml:space="preserve">BCAA &amp; GLUTAMINE POWDER </t>
    </r>
    <r>
      <rPr>
        <i/>
        <sz val="9"/>
        <rFont val="Calibri Light"/>
        <family val="2"/>
        <charset val="204"/>
        <scheme val="major"/>
      </rPr>
      <t>Strawberry Kiwi Flavor (sweetefled with stevia)</t>
    </r>
  </si>
  <si>
    <r>
      <rPr>
        <sz val="8"/>
        <rFont val="Arial MT"/>
        <family val="2"/>
      </rPr>
      <t>13.23 oz</t>
    </r>
  </si>
  <si>
    <r>
      <rPr>
        <b/>
        <sz val="9"/>
        <rFont val="Calibri Light"/>
        <family val="2"/>
        <charset val="204"/>
        <scheme val="major"/>
      </rPr>
      <t xml:space="preserve">CREATINE MICRONIZED POWDER </t>
    </r>
    <r>
      <rPr>
        <i/>
        <sz val="9"/>
        <rFont val="Calibri Light"/>
        <family val="2"/>
        <charset val="204"/>
        <scheme val="major"/>
      </rPr>
      <t>Uflflavored</t>
    </r>
  </si>
  <si>
    <t>PROTEIN POWDERS</t>
  </si>
  <si>
    <t xml:space="preserve">WHEY PROTEIN ISOLATE POWDER 26 g/serving of fast-acting microfiltered whey protein isolate rich in BCAAs &amp; immunoglobulins and free of antibiotics/rBGH. Supports muscle fuel, strength, gain &amp; recovery. ◆ Origiflal Flavor (uflsweetefled) </t>
  </si>
  <si>
    <r>
      <rPr>
        <sz val="8"/>
        <rFont val="Arial MT"/>
        <family val="2"/>
      </rPr>
      <t>1.1 lb</t>
    </r>
  </si>
  <si>
    <r>
      <rPr>
        <sz val="8"/>
        <rFont val="Arial MT"/>
        <family val="2"/>
      </rPr>
      <t>2.2 lb</t>
    </r>
  </si>
  <si>
    <r>
      <rPr>
        <sz val="8"/>
        <rFont val="Arial MT"/>
        <family val="2"/>
      </rPr>
      <t>8 pk</t>
    </r>
  </si>
  <si>
    <t xml:space="preserve">WHEY PROTEIN ISOLATE POWDER Freflch Vaflilla Flavor (sweetefled with stevia) </t>
  </si>
  <si>
    <r>
      <rPr>
        <sz val="8"/>
        <rFont val="Arial MT"/>
        <family val="2"/>
      </rPr>
      <t>1 lb</t>
    </r>
  </si>
  <si>
    <r>
      <rPr>
        <sz val="8"/>
        <rFont val="Arial MT"/>
        <family val="2"/>
      </rPr>
      <t>2 lb</t>
    </r>
  </si>
  <si>
    <t xml:space="preserve">WHEY PROTEIN ISOLATE POWDER Chocolate Flavor (sweetefled with stevia) </t>
  </si>
  <si>
    <r>
      <rPr>
        <b/>
        <sz val="9"/>
        <rFont val="Calibri Light"/>
        <family val="2"/>
        <charset val="204"/>
        <scheme val="major"/>
      </rPr>
      <t xml:space="preserve">WHEY &amp; CASEIN POWDER </t>
    </r>
    <r>
      <rPr>
        <sz val="9"/>
        <rFont val="Calibri Light"/>
        <family val="2"/>
        <charset val="204"/>
        <scheme val="major"/>
      </rPr>
      <t xml:space="preserve">26 g/serving microfiltered whey protein isolate &amp; casein. Supports muscle fuel, strength, gain &amp; recovery. ◆ </t>
    </r>
    <r>
      <rPr>
        <i/>
        <sz val="9"/>
        <rFont val="Calibri Light"/>
        <family val="2"/>
        <charset val="204"/>
        <scheme val="major"/>
      </rPr>
      <t>Freflch Vaflilla Flavor (sweetefled with stevia)</t>
    </r>
  </si>
  <si>
    <r>
      <rPr>
        <sz val="8"/>
        <rFont val="Arial MT"/>
        <family val="2"/>
      </rPr>
      <t>1.05 lb</t>
    </r>
  </si>
  <si>
    <r>
      <rPr>
        <sz val="8"/>
        <rFont val="Arial MT"/>
        <family val="2"/>
      </rPr>
      <t>2.1 lb</t>
    </r>
  </si>
  <si>
    <r>
      <rPr>
        <b/>
        <sz val="9"/>
        <rFont val="Calibri Light"/>
        <family val="2"/>
        <charset val="204"/>
        <scheme val="major"/>
      </rPr>
      <t xml:space="preserve">WHEY &amp; CASEIN POWDER </t>
    </r>
    <r>
      <rPr>
        <i/>
        <sz val="9"/>
        <rFont val="Calibri Light"/>
        <family val="2"/>
        <charset val="204"/>
        <scheme val="major"/>
      </rPr>
      <t>Chocolate Flavor (sweetefled with stevia)</t>
    </r>
  </si>
  <si>
    <r>
      <rPr>
        <b/>
        <sz val="8.5"/>
        <rFont val="Arial"/>
        <family val="2"/>
      </rPr>
      <t>ORGANIC PLANT PROTEINS</t>
    </r>
  </si>
  <si>
    <t xml:space="preserve">PLANT PROTEIN POWDER Organic. Vaflilla Flavor (sweetefled with stevia) </t>
  </si>
  <si>
    <t xml:space="preserve">PLANT PROTEIN POWDER Organic. Chocolate Flavor (sweetefled with stevia) </t>
  </si>
  <si>
    <t>ONE®WHOLE FOOD-BASED MULTIPLES</t>
  </si>
  <si>
    <t>LADIES' ONE® WHOLE FOOD-BASED MULTIPLE VEGETABLE CAPSULES Multivitamin &amp; mineral formula for daily nutritional support for women in just one capsule. ◆</t>
  </si>
  <si>
    <t>ONE FOR MEN WHOLE FOOD-BASED MULTIPLE VEGETABLE CAPSULESMultivitamin &amp; mineral formula for daily nutritional support for men in just one capsule. ◆</t>
  </si>
  <si>
    <t>L-LYSINE 500 mg VEGETABLE CAPSULES</t>
  </si>
  <si>
    <t xml:space="preserve">L-LYSINE 1000 mg CAPLETS
</t>
  </si>
  <si>
    <t xml:space="preserve">NAC 500 mg VEGETABLE CAPSULES Free-form N-acetyl-L-cysteine. </t>
  </si>
  <si>
    <t>L-ORNITHINE 500 mg VEGETABLE CAPSULES</t>
  </si>
  <si>
    <t xml:space="preserve">TAURINE 500 mg VEGETABLE CAPSULES
</t>
  </si>
  <si>
    <t xml:space="preserve">TAURINE 1000 mg VEGETABLE CAPSULES
</t>
  </si>
  <si>
    <t>L-THEANINE 200 mg VEGETABLE CAPSULES Free-form L-theanine.</t>
  </si>
  <si>
    <t>L-TYROSINE 500 mg VEGETABLE CAPSULES</t>
  </si>
  <si>
    <t>L-TRYPTOPHAN 500 mg VEGETABLE CAPSULES Free-form Tryptopure® L-tryptophan from Ajinomoto.</t>
  </si>
  <si>
    <t>GABA 500 mg VEGETABLE CAPSULES Gamma-aminobutyric acid (GABA) and the cellular active, coenzyme form of vitamin B6, P5P.</t>
  </si>
  <si>
    <r>
      <rPr>
        <b/>
        <sz val="8.5"/>
        <rFont val="Arial"/>
        <family val="2"/>
      </rPr>
      <t>ENERGY &amp; RELAXATION POWDERS</t>
    </r>
  </si>
  <si>
    <t xml:space="preserve">SIMPLY ENERGY®POWDER Grape Flavor (sweetefled with stevia) </t>
  </si>
  <si>
    <r>
      <rPr>
        <sz val="8"/>
        <rFont val="Arial MT"/>
        <family val="2"/>
      </rPr>
      <t>14 pk</t>
    </r>
  </si>
  <si>
    <t xml:space="preserve">SIMPLY ENERGY®POWDER Lemofl Flavor (sweetefled with stevia) </t>
  </si>
  <si>
    <t xml:space="preserve">SIMPLY ENERGY®POWDER Strawberry Kiwi Flavor (sweetefled with stevia) </t>
  </si>
  <si>
    <t>SIMPLY CALM®MAGNESIUM POWDER Uflflavored (uflsweetefled)</t>
  </si>
  <si>
    <t xml:space="preserve">SIMPLY CALM®MAGNESIUM POWDER Cherry Flavor (sweetefled with stevia) </t>
  </si>
  <si>
    <t xml:space="preserve">SIMPLY CALM®MAGNESIUM POWDER Oraflge Citrus Flavor (sweetefled with stevia) </t>
  </si>
  <si>
    <t xml:space="preserve">SIMPLY CALM®MAGNESIUM POWDER Raspberry Lemofl Flavor (sweetefled with stevia) </t>
  </si>
  <si>
    <r>
      <rPr>
        <b/>
        <sz val="8.5"/>
        <rFont val="Arial"/>
        <family val="2"/>
      </rPr>
      <t>SPORTS NUTRITION</t>
    </r>
  </si>
  <si>
    <t>AMINO ACIDS 1000 mg CAPLETS Free-form &amp; dipeptide-bonded amino acids from whey lactalbumin and egg white albumin proteins with BCAAs for muscle growth, strength &amp; repair.◆</t>
  </si>
  <si>
    <t>L-ARGININE 1000 mg CAPLETS Free-form nitric oxide amino acid from Ajinomoto for muscle intensity, strength &amp; recovery.◆</t>
  </si>
  <si>
    <t>BCAAs VEGETABLE CAPSULES Free-form amino acids (L-leucine, L-isoleucine &amp; L-valine) from Ajinomoto for muscle performance, health &amp; repair. ◆</t>
  </si>
  <si>
    <t>LIQUID L-CARNITINE 1100 mg Free-form amino acid from Lonza (CarniPure®) for energy, stamina &amp; endurance.◆ Raspberry Flavor</t>
  </si>
  <si>
    <r>
      <rPr>
        <sz val="8"/>
        <rFont val="Arial MT"/>
        <family val="2"/>
      </rPr>
      <t>8 fl oz</t>
    </r>
  </si>
  <si>
    <t>L-GLUTAMINE POWDER Free-form amino acid from Ajinomoto for muscle strength, recovery &amp; immune support.◆</t>
  </si>
  <si>
    <r>
      <rPr>
        <b/>
        <sz val="9"/>
        <rFont val="Calibri Light"/>
        <family val="2"/>
        <charset val="204"/>
        <scheme val="major"/>
      </rPr>
      <t xml:space="preserve">PRE WORKOUT POWDER </t>
    </r>
    <r>
      <rPr>
        <sz val="9"/>
        <rFont val="Calibri Light"/>
        <family val="2"/>
        <charset val="204"/>
        <scheme val="major"/>
      </rPr>
      <t xml:space="preserve">Muscle Recharger. ◆ </t>
    </r>
    <r>
      <rPr>
        <i/>
        <sz val="9"/>
        <rFont val="Calibri Light"/>
        <family val="2"/>
        <charset val="204"/>
        <scheme val="major"/>
      </rPr>
      <t>Strawberry Kiwi Flavor</t>
    </r>
  </si>
  <si>
    <t>LADIES' ONE®40+ WHOLE FOOD-BASED MULTIPLE VEGETABLE CAPSULES Multivitamin &amp; mineral formula for daily nutritional &amp; vitality support for women 40+ in just one capsule. ◆</t>
  </si>
  <si>
    <t>ONE FOR MEN 40+ WHOLE FOOD-BASED MULTIPLE VEGETABLE CAPSULES Multivitamin &amp; mineral formula for daily nutritional &amp; vitality support for men 40+ in just one capsule. ◆</t>
  </si>
  <si>
    <t>LADIES' ONE®PRENATAL WHOLE FOOD-BASED MULTIPLE VEGETABLE CAPSULES Multivitamin &amp; mineral formula for daily nutritional support for pregnant and nursing womenin just one capsule. ◆</t>
  </si>
  <si>
    <t>MAXI ONE®VEGETABLE CAPSULES (Iron-Free) Multivitamin &amp; mineral formula for daily nutritional support in just one capsule. ◆</t>
  </si>
  <si>
    <t>MAXI ONE®VEGETABLE CAPSULES (With Iron) Multivitamin &amp; mineral formula for daily nutritional support in just one capsule. ◆</t>
  </si>
  <si>
    <t>MULTIPLES</t>
  </si>
  <si>
    <t>MULTI ONE® VEGETABLE CAPSULES (Iron-Free) Single daily multiple with  B-Complex 25 &amp; Albion chelated minerals in an easy-to-swallow capsule.</t>
  </si>
  <si>
    <t>MULTI ONE®VEGETABLE CAPSULES (With Iron) Single daily multiple with B-Complex 25 &amp; Albion chelated minerals in an easy-to-swallow capsule.</t>
  </si>
  <si>
    <t>DAILY MULTI WHOLE FOOD-BASED MULTIVITAMIN CAPLETS (Iron-Free)  Whole food-based, multivitamin &amp; mineral supplement.</t>
  </si>
  <si>
    <t>DAILY MULTI WHOLE FOOD-BASED MULTIVITAMIN CAPLETS (With Iron) Whole food-based, multivitamin &amp; mineral supplement.</t>
  </si>
  <si>
    <r>
      <rPr>
        <b/>
        <sz val="9"/>
        <rFont val="Calibri Light"/>
        <family val="2"/>
        <charset val="204"/>
        <scheme val="major"/>
      </rPr>
      <t xml:space="preserve">LIQUID MULTI FORMULA </t>
    </r>
    <r>
      <rPr>
        <sz val="9"/>
        <rFont val="Calibri Light"/>
        <family val="2"/>
        <charset val="204"/>
        <scheme val="major"/>
      </rPr>
      <t xml:space="preserve">Whole food-based, multivitamin &amp; multimineral supplement. </t>
    </r>
    <r>
      <rPr>
        <i/>
        <sz val="9"/>
        <rFont val="Calibri Light"/>
        <family val="2"/>
        <charset val="204"/>
        <scheme val="major"/>
      </rPr>
      <t>Tropical Fruit Flavor</t>
    </r>
  </si>
  <si>
    <r>
      <rPr>
        <sz val="8"/>
        <rFont val="Arial MT"/>
        <family val="2"/>
      </rPr>
      <t>32 fl oz</t>
    </r>
  </si>
  <si>
    <t>SINGLE DAILY® WHOLE FOOD-BASED MULTIVITAMIN CAPLETS (Iron-Free)  Whole food-based multiple in one caplet.</t>
  </si>
  <si>
    <t>SINGLE DAILY® WHOLE FOOD-BASED MULTIVITAMIN CAPLETS (With Iron) Whole food-based multiple in one caplet.</t>
  </si>
  <si>
    <r>
      <t>CHOICE</t>
    </r>
    <r>
      <rPr>
        <b/>
        <vertAlign val="superscript"/>
        <sz val="9"/>
        <rFont val="Calibri Light"/>
        <family val="2"/>
        <charset val="204"/>
        <scheme val="major"/>
      </rPr>
      <t>®</t>
    </r>
    <r>
      <rPr>
        <b/>
        <sz val="9"/>
        <rFont val="Calibri Light"/>
        <family val="2"/>
        <charset val="204"/>
        <scheme val="major"/>
      </rPr>
      <t xml:space="preserve"> WHOLE FOOD-BASED MULTIPLES</t>
    </r>
  </si>
  <si>
    <t>LADIES’ CHOICE®WHOLE FOOD-BASED MULTIPLE CAPLETS Multivitamin &amp; mineral formula for the nutritional needs of women 18 to 49. ◆</t>
  </si>
  <si>
    <t>MEN’S CHOICE®WHOLE FOOD-BASED MULTIPLE CAPLETS Multivitamin &amp; mineral formula for the nutritional needs of men 18 to 49. ◆</t>
  </si>
  <si>
    <r>
      <rPr>
        <b/>
        <sz val="9"/>
        <rFont val="Calibri Light"/>
        <family val="2"/>
        <charset val="204"/>
        <scheme val="major"/>
      </rPr>
      <t>AGE-LESS CHOICE</t>
    </r>
    <r>
      <rPr>
        <b/>
        <vertAlign val="superscript"/>
        <sz val="9"/>
        <rFont val="Calibri Light"/>
        <family val="2"/>
        <charset val="204"/>
        <scheme val="major"/>
      </rPr>
      <t xml:space="preserve">® </t>
    </r>
    <r>
      <rPr>
        <b/>
        <sz val="9"/>
        <rFont val="Calibri Light"/>
        <family val="2"/>
        <charset val="204"/>
        <scheme val="major"/>
      </rPr>
      <t>WHOLE FOOD-BASED MULTIPLE FOR WOMEN 50</t>
    </r>
    <r>
      <rPr>
        <b/>
        <vertAlign val="superscript"/>
        <sz val="9"/>
        <rFont val="Calibri Light"/>
        <family val="2"/>
        <charset val="204"/>
        <scheme val="major"/>
      </rPr>
      <t xml:space="preserve">+ </t>
    </r>
    <r>
      <rPr>
        <b/>
        <sz val="9"/>
        <rFont val="Calibri Light"/>
        <family val="2"/>
        <charset val="204"/>
        <scheme val="major"/>
      </rPr>
      <t xml:space="preserve">CAPLETS </t>
    </r>
    <r>
      <rPr>
        <sz val="9"/>
        <rFont val="Calibri Light"/>
        <family val="2"/>
        <charset val="204"/>
        <scheme val="major"/>
      </rPr>
      <t>Multivitamin &amp; mineral formula for the nutritional needs of women in their prime.◆</t>
    </r>
  </si>
  <si>
    <t>AGE-LESS CHOICE®WHOLE FOOD-BASED MULTIPLE FOR MEN 50+ CAPLETS Multivitamin &amp; mineral formula for the nutritional needs of men in their prime.◆</t>
  </si>
  <si>
    <r>
      <t>EARLY PROMISE PRENATAL</t>
    </r>
    <r>
      <rPr>
        <b/>
        <vertAlign val="superscript"/>
        <sz val="9"/>
        <rFont val="Calibri Light"/>
        <family val="2"/>
        <charset val="204"/>
        <scheme val="major"/>
      </rPr>
      <t>®</t>
    </r>
  </si>
  <si>
    <r>
      <rPr>
        <b/>
        <sz val="9"/>
        <rFont val="Calibri Light"/>
        <family val="2"/>
        <charset val="204"/>
        <scheme val="major"/>
      </rPr>
      <t xml:space="preserve">GENTLE MULTIPLE CAPLETS </t>
    </r>
    <r>
      <rPr>
        <sz val="9"/>
        <rFont val="Calibri Light"/>
        <family val="2"/>
        <charset val="204"/>
        <scheme val="major"/>
      </rPr>
      <t>Twice daily multiple with essential vitamins and minerals for pregnant and nursing women.◆</t>
    </r>
  </si>
  <si>
    <t>GENTLE DHA 200 MG VEGETARIAN SOFTGELS Plant-based DHA in a triglyceride form from marine algae.</t>
  </si>
  <si>
    <r>
      <rPr>
        <b/>
        <sz val="9"/>
        <rFont val="Calibri Light"/>
        <family val="2"/>
        <charset val="204"/>
        <scheme val="major"/>
      </rPr>
      <t xml:space="preserve">CHILDREN’S WHOLE FOOD-BASED NUTRITION </t>
    </r>
    <r>
      <rPr>
        <sz val="9"/>
        <rFont val="Calibri Light"/>
        <family val="2"/>
        <charset val="204"/>
        <scheme val="major"/>
      </rPr>
      <t>Whole food-based chewable tablets formulated with the essential nutrients children require daily, and sweetened with EarthSweet</t>
    </r>
    <r>
      <rPr>
        <vertAlign val="superscript"/>
        <sz val="9"/>
        <rFont val="Calibri Light"/>
        <family val="2"/>
        <charset val="204"/>
        <scheme val="major"/>
      </rPr>
      <t>®</t>
    </r>
    <r>
      <rPr>
        <sz val="9"/>
        <rFont val="Calibri Light"/>
        <family val="2"/>
        <charset val="204"/>
        <scheme val="major"/>
      </rPr>
      <t>. ◆</t>
    </r>
  </si>
  <si>
    <r>
      <rPr>
        <b/>
        <sz val="9"/>
        <rFont val="Calibri Light"/>
        <family val="2"/>
        <charset val="204"/>
        <scheme val="major"/>
      </rPr>
      <t>RAINFOREST ANIMALZ</t>
    </r>
    <r>
      <rPr>
        <b/>
        <vertAlign val="superscript"/>
        <sz val="9"/>
        <rFont val="Calibri Light"/>
        <family val="2"/>
        <charset val="204"/>
        <scheme val="major"/>
      </rPr>
      <t>®</t>
    </r>
  </si>
  <si>
    <t>PROBIOTIC CHEWABLE WAFERS 1.5 billion micro-organisms per wafer. Raspberry Flavor. Refrigeration required.</t>
  </si>
  <si>
    <t>MULTIPLE WHOLE FOOD-BASED ANIMAL-SHAPED CHEWABLES  Children’s multivitamin &amp; mineral formula in several flavors.
Cherry Flavor (a) Grape Flavor (b) Oraflge Flavor © Assorted Fruit Flavors (d)</t>
  </si>
  <si>
    <r>
      <rPr>
        <sz val="8"/>
        <rFont val="Arial MT"/>
        <family val="2"/>
      </rPr>
      <t>184 (a)</t>
    </r>
  </si>
  <si>
    <r>
      <rPr>
        <sz val="8"/>
        <rFont val="Arial MT"/>
        <family val="2"/>
      </rPr>
      <t>185 (a)</t>
    </r>
  </si>
  <si>
    <r>
      <rPr>
        <sz val="8"/>
        <rFont val="Arial MT"/>
        <family val="2"/>
      </rPr>
      <t>186 (b)</t>
    </r>
  </si>
  <si>
    <r>
      <rPr>
        <sz val="8"/>
        <rFont val="Arial MT"/>
        <family val="2"/>
      </rPr>
      <t>187 (b)</t>
    </r>
  </si>
  <si>
    <r>
      <rPr>
        <sz val="8"/>
        <rFont val="Arial MT"/>
        <family val="2"/>
      </rPr>
      <t>188 (c)</t>
    </r>
  </si>
  <si>
    <r>
      <rPr>
        <sz val="8"/>
        <rFont val="Arial MT"/>
        <family val="2"/>
      </rPr>
      <t>189 (c)</t>
    </r>
  </si>
  <si>
    <r>
      <rPr>
        <sz val="8"/>
        <rFont val="Arial MT"/>
        <family val="2"/>
      </rPr>
      <t>190 (d)</t>
    </r>
  </si>
  <si>
    <r>
      <rPr>
        <sz val="8"/>
        <rFont val="Arial MT"/>
        <family val="2"/>
      </rPr>
      <t>191 (d)</t>
    </r>
  </si>
  <si>
    <t>VITAMIN C ANIMAL-SHAPED CHEWABLES L-ascorbic acid and calcium ascorbate. Oraflge Flavor</t>
  </si>
  <si>
    <t>VITAMIN D3 10 mcg (400 IU) CHEWABLES Vitamin D3 (cholecalciferol) from lanolin. Mixed Berry Flavor</t>
  </si>
  <si>
    <t>CALCIUM MAGNESIUM &amp; VITAMIN D3 ANIMAL- SHAPED CHEWABLES Calcium 250 mg, magnesium 50 mg and vitamin D3 5 mcg (200 IU). Vaflilla Frostiflg Flavor</t>
  </si>
  <si>
    <r>
      <rPr>
        <b/>
        <sz val="9"/>
        <rFont val="Calibri Light"/>
        <family val="2"/>
        <charset val="204"/>
        <scheme val="major"/>
      </rPr>
      <t xml:space="preserve">VITAMINS </t>
    </r>
    <r>
      <rPr>
        <sz val="9"/>
        <rFont val="Calibri Light"/>
        <family val="2"/>
        <charset val="204"/>
        <scheme val="major"/>
      </rPr>
      <t>Wide selection of individual vitamins A, B, C, D, E, K and the coenzyme forms of B Vitamins.</t>
    </r>
  </si>
  <si>
    <r>
      <rPr>
        <b/>
        <vertAlign val="superscript"/>
        <sz val="9"/>
        <rFont val="Calibri Light"/>
        <family val="2"/>
        <charset val="204"/>
        <scheme val="major"/>
      </rPr>
      <t>VITAMIN A &amp; D</t>
    </r>
    <r>
      <rPr>
        <b/>
        <sz val="9"/>
        <rFont val="Calibri Light"/>
        <family val="2"/>
        <charset val="204"/>
        <scheme val="major"/>
      </rPr>
      <t>3</t>
    </r>
  </si>
  <si>
    <t>CAPSULES &amp; SOFTGELS</t>
  </si>
  <si>
    <r>
      <rPr>
        <b/>
        <sz val="9"/>
        <rFont val="Calibri Light"/>
        <family val="2"/>
        <charset val="204"/>
        <scheme val="major"/>
      </rPr>
      <t xml:space="preserve">VITAMIN A 3,000 mcg (10,000 IU) SOFTGELS </t>
    </r>
    <r>
      <rPr>
        <sz val="9"/>
        <rFont val="Calibri Light"/>
        <family val="2"/>
        <charset val="204"/>
        <scheme val="major"/>
      </rPr>
      <t>Vitamin A from fish liver oil.</t>
    </r>
  </si>
  <si>
    <r>
      <rPr>
        <b/>
        <vertAlign val="superscript"/>
        <sz val="9"/>
        <rFont val="Calibri Light"/>
        <family val="2"/>
        <charset val="204"/>
        <scheme val="major"/>
      </rPr>
      <t>VITAMIN A &amp; D</t>
    </r>
    <r>
      <rPr>
        <b/>
        <sz val="9"/>
        <rFont val="Calibri Light"/>
        <family val="2"/>
        <charset val="204"/>
        <scheme val="major"/>
      </rPr>
      <t xml:space="preserve">3 </t>
    </r>
    <r>
      <rPr>
        <b/>
        <vertAlign val="superscript"/>
        <sz val="9"/>
        <rFont val="Calibri Light"/>
        <family val="2"/>
        <charset val="204"/>
        <scheme val="major"/>
      </rPr>
      <t xml:space="preserve">3,000 mcg (10,000 IU) / 10 mcg (400 IU) SOFTGELS </t>
    </r>
    <r>
      <rPr>
        <vertAlign val="superscript"/>
        <sz val="9"/>
        <rFont val="Calibri Light"/>
        <family val="2"/>
        <charset val="204"/>
        <scheme val="major"/>
      </rPr>
      <t>Vitamin A &amp; D</t>
    </r>
    <r>
      <rPr>
        <sz val="9"/>
        <rFont val="Calibri Light"/>
        <family val="2"/>
        <charset val="204"/>
        <scheme val="major"/>
      </rPr>
      <t xml:space="preserve">3 </t>
    </r>
    <r>
      <rPr>
        <vertAlign val="superscript"/>
        <sz val="9"/>
        <rFont val="Calibri Light"/>
        <family val="2"/>
        <charset val="204"/>
        <scheme val="major"/>
      </rPr>
      <t>from fish liver oil.</t>
    </r>
  </si>
  <si>
    <r>
      <rPr>
        <b/>
        <vertAlign val="superscript"/>
        <sz val="9"/>
        <rFont val="Calibri Light"/>
        <family val="2"/>
        <charset val="204"/>
        <scheme val="major"/>
      </rPr>
      <t>VITAMIN A &amp; D</t>
    </r>
    <r>
      <rPr>
        <b/>
        <sz val="9"/>
        <rFont val="Calibri Light"/>
        <family val="2"/>
        <charset val="204"/>
        <scheme val="major"/>
      </rPr>
      <t xml:space="preserve">3 </t>
    </r>
    <r>
      <rPr>
        <b/>
        <vertAlign val="superscript"/>
        <sz val="9"/>
        <rFont val="Calibri Light"/>
        <family val="2"/>
        <charset val="204"/>
        <scheme val="major"/>
      </rPr>
      <t xml:space="preserve">7,500 mcg (25,000 IU) / 25 mcg (1000 IU) SOFTGELS </t>
    </r>
    <r>
      <rPr>
        <vertAlign val="superscript"/>
        <sz val="9"/>
        <rFont val="Calibri Light"/>
        <family val="2"/>
        <charset val="204"/>
        <scheme val="major"/>
      </rPr>
      <t>Vitamin A &amp; D</t>
    </r>
    <r>
      <rPr>
        <sz val="9"/>
        <rFont val="Calibri Light"/>
        <family val="2"/>
        <charset val="204"/>
        <scheme val="major"/>
      </rPr>
      <t xml:space="preserve">3 </t>
    </r>
    <r>
      <rPr>
        <vertAlign val="superscript"/>
        <sz val="9"/>
        <rFont val="Calibri Light"/>
        <family val="2"/>
        <charset val="204"/>
        <scheme val="major"/>
      </rPr>
      <t>from fish liver oil.</t>
    </r>
  </si>
  <si>
    <t xml:space="preserve">VITAMIN D3 10 mcg (400 IU) VEGETABLE CAPSULES Vitamin D3 (cholecalciferol) from lanolin. </t>
  </si>
  <si>
    <t>VITAMIN D3 10 mcg (400 IU) SOFTGELS  Vitamin D3 (cholecalciferol) from fish liver oil  in a base of - safflower oil.</t>
  </si>
  <si>
    <t>VITAMIN D3 25 mcg (1000 IU) SOFTGELS Vitamin D3 (cholecalciferol) from fish liver oil in a base of - safflower oil.</t>
  </si>
  <si>
    <t>VITAMIN D3 25 mcg (1000 IU) VEGETABLE CAPSULES Vitamin D3 (cholecalciferol) from lanolin.</t>
  </si>
  <si>
    <t>VITAMIN D3 50 mcg (2000 IU) VEGETABLE CAPSULES Vitamin D3 (cholecalciferol) from lanolin.</t>
  </si>
  <si>
    <t>VITAMIN D3 50 mcg (2000 IU) SOFTGELS Vitamin D3 (cholecalciferol) from fish liver oil in a base of - safflower oil.</t>
  </si>
  <si>
    <t>VITAMIN D3 125 mcg (5000 IU) VEGETABLE CAPSULES Vitamin D3 (cholecalciferol) from lanolin.</t>
  </si>
  <si>
    <t>VITAMIN D3 125 mcg (5000 IU) SOFTGELS Vitamin D3 (cholecalciferol) from fish liver oil in a base of - safflower oil.</t>
  </si>
  <si>
    <r>
      <rPr>
        <b/>
        <sz val="9"/>
        <rFont val="Calibri Light"/>
        <family val="2"/>
        <charset val="204"/>
        <scheme val="major"/>
      </rPr>
      <t xml:space="preserve">BETA-CAROTENE 7,500 mcg (25,000 IU) SOFTGELS </t>
    </r>
    <r>
      <rPr>
        <sz val="9"/>
        <rFont val="Calibri Light"/>
        <family val="2"/>
        <charset val="204"/>
        <scheme val="major"/>
      </rPr>
      <t>D. salina beta-carotene.</t>
    </r>
  </si>
  <si>
    <r>
      <t>EARTHSWEET</t>
    </r>
    <r>
      <rPr>
        <b/>
        <vertAlign val="superscript"/>
        <sz val="9"/>
        <rFont val="Calibri Light"/>
        <family val="2"/>
        <charset val="204"/>
        <scheme val="major"/>
      </rPr>
      <t>®</t>
    </r>
    <r>
      <rPr>
        <b/>
        <sz val="9"/>
        <rFont val="Calibri Light"/>
        <family val="2"/>
        <charset val="204"/>
        <scheme val="major"/>
      </rPr>
      <t>CHEWABLE TABLETS</t>
    </r>
  </si>
  <si>
    <t>VITAMIN D3 10 mcg (400 IU) TABLETS Vitamin D3 (cholecalciferol) from lanolin. Raspberry Flavor</t>
  </si>
  <si>
    <t>VITAMIN D3 25 mcg (1000 IU) TABLETS Vitamin D3 (cholecalciferol) from lanolin. Raspberry Flavor</t>
  </si>
  <si>
    <t>VITAMIN D3 50 mcg (2000 IU)TABLETS Vitamin D3 (cholecalciferol) from lanolin. Raspberry Flavor</t>
  </si>
  <si>
    <t>VITAMIN D3 125 mcg (5000 IU) TABLETS Vitamin D3 (cholecalciferol) from lanolin. Raspberry Flavor</t>
  </si>
  <si>
    <t>LIQUIDS</t>
  </si>
  <si>
    <t xml:space="preserve">LIQUID VITAMIN D3 DROPS 10 mcg (400 IU) Vitamin D3 (cholecalciferol) from lanolin. Citrus Flavor </t>
  </si>
  <si>
    <r>
      <rPr>
        <sz val="8"/>
        <rFont val="Arial MT"/>
        <family val="2"/>
      </rPr>
      <t>1 fl oz</t>
    </r>
  </si>
  <si>
    <t xml:space="preserve">LIQUID VITAMIN D3 DROPS 25 mcg (1000 IU) Vitamin D3 (cholecalciferol) from lanolin. Citrus Flavor 
</t>
  </si>
  <si>
    <t xml:space="preserve">LIQUID VITAMIN D3 DROPS 50 mcg (2000 IU) Vitamin D3 (cholecalciferol) from lanolin. Citrus Flavor 
</t>
  </si>
  <si>
    <t xml:space="preserve">LIQUID VITAMIN D3 DROPS 125 mcg (5000 IU) Vitamin D3 (cholecalciferol) from lanolin. Citrus Flavor 
</t>
  </si>
  <si>
    <t>B VITAMINS</t>
  </si>
  <si>
    <r>
      <rPr>
        <b/>
        <sz val="9"/>
        <rFont val="Calibri Light"/>
        <family val="2"/>
        <charset val="204"/>
        <scheme val="major"/>
      </rPr>
      <t xml:space="preserve">B-COMPLEX 50 VEGETABLE CAPSULES </t>
    </r>
    <r>
      <rPr>
        <sz val="9"/>
        <rFont val="Calibri Light"/>
        <family val="2"/>
        <charset val="204"/>
        <scheme val="major"/>
      </rPr>
      <t>Full spectrum B vitamins.</t>
    </r>
  </si>
  <si>
    <r>
      <rPr>
        <b/>
        <sz val="9"/>
        <rFont val="Calibri Light"/>
        <family val="2"/>
        <charset val="204"/>
        <scheme val="major"/>
      </rPr>
      <t xml:space="preserve">COENZYME B-COMPLEX VEGETABLE CAPSULES </t>
    </r>
    <r>
      <rPr>
        <sz val="9"/>
        <rFont val="Calibri Light"/>
        <family val="2"/>
        <charset val="204"/>
        <scheme val="major"/>
      </rPr>
      <t>Full spectrum B vitamins with their fast-acting coenzyme forms.</t>
    </r>
  </si>
  <si>
    <r>
      <rPr>
        <b/>
        <sz val="9"/>
        <rFont val="Calibri Light"/>
        <family val="2"/>
        <charset val="204"/>
        <scheme val="major"/>
      </rPr>
      <t xml:space="preserve">B-COMPLEX 100 VEGETABLE CAPSULES </t>
    </r>
    <r>
      <rPr>
        <sz val="9"/>
        <rFont val="Calibri Light"/>
        <family val="2"/>
        <charset val="204"/>
        <scheme val="major"/>
      </rPr>
      <t>Full spectrum B vitamins.</t>
    </r>
  </si>
  <si>
    <r>
      <rPr>
        <b/>
        <sz val="9"/>
        <rFont val="Calibri Light"/>
        <family val="2"/>
        <charset val="204"/>
        <scheme val="major"/>
      </rPr>
      <t xml:space="preserve">STRESS B-COMPLEX VEGETABLE CAPSULES </t>
    </r>
    <r>
      <rPr>
        <sz val="9"/>
        <rFont val="Calibri Light"/>
        <family val="2"/>
        <charset val="204"/>
        <scheme val="major"/>
      </rPr>
      <t>Full spectrum B vitamins &amp; vitamin C.</t>
    </r>
  </si>
  <si>
    <t xml:space="preserve">VITAMIN B1 100 mg VEGETABLE CAPSULES Thiamin HCl. </t>
  </si>
  <si>
    <t>VITAMIN B2 100 mg VEGETABLE CAPSULES Riboflavin.</t>
  </si>
  <si>
    <t>VITAMIN B6 50 mg VEGETABLE CAPSULES Pyridoxine HCl.</t>
  </si>
  <si>
    <t xml:space="preserve">P-5-P 50 mg VEGETABLE CAPSULES Pyridoxal 5' phosphate coenzyme B6. </t>
  </si>
  <si>
    <t>VITAMIN B6 100 mg VEGETABLE CAPSULES Pyridoxine HCl.</t>
  </si>
  <si>
    <t>VITAMIN B6 200 mg VEGETABLE  CAPSULES Pyridoxine HCl.</t>
  </si>
  <si>
    <t xml:space="preserve">BIOTIN 1000 mcg VEGETABLE CAPSULES </t>
  </si>
  <si>
    <t>BIOTIN 5000 mcg VEGETABLE CAPSULES</t>
  </si>
  <si>
    <t xml:space="preserve">FOLIC ACID 400 mcg VEGETABLE CAPSULES Folate (folic acid). </t>
  </si>
  <si>
    <t xml:space="preserve">FOLIC ACID 800 mcg VEGETABLE CAPSULES Folate (folic acid). </t>
  </si>
  <si>
    <t>METHYLFOLATE 400 mcg VEGETABLE CAPSULES Quatrefolic,® the biological active folate.</t>
  </si>
  <si>
    <t>METHYLFOLATE 800 mcg VEGETABLE CAPSULES Quatrefolic,® the biological active folate.</t>
  </si>
  <si>
    <t>METHYLFOLATE 1000 mcg VEGETABLE CAPSULES Quatrefolic,® the biological active folate.</t>
  </si>
  <si>
    <t xml:space="preserve">NIACIN 100 mg VEGETABLE CAPSULES Nicotinic acid. 
</t>
  </si>
  <si>
    <t>FLUSH-FREE NIACIN 500 mg VEGETABLE CAPSULES Inositol hexanicotinate.</t>
  </si>
  <si>
    <t>NIACINAMIDE 500 mg VEGETABLE CAPSULES Niacinamide. Flush-Free.</t>
  </si>
  <si>
    <t>PANTOTHENIC ACID 250 mg VEGETABLE CAPSULES Calcium D-pantothenate.</t>
  </si>
  <si>
    <t>PANTOTHENIC ACID 500 mg VEGETABLE CAPSULES Calcium D-pantothenate.</t>
  </si>
  <si>
    <r>
      <rPr>
        <b/>
        <vertAlign val="superscript"/>
        <sz val="9"/>
        <rFont val="Calibri Light"/>
        <family val="2"/>
        <charset val="204"/>
        <scheme val="major"/>
      </rPr>
      <t>VITAMIN B</t>
    </r>
    <r>
      <rPr>
        <b/>
        <sz val="9"/>
        <rFont val="Calibri Light"/>
        <family val="2"/>
        <charset val="204"/>
        <scheme val="major"/>
      </rPr>
      <t xml:space="preserve">12 </t>
    </r>
    <r>
      <rPr>
        <b/>
        <vertAlign val="superscript"/>
        <sz val="9"/>
        <rFont val="Calibri Light"/>
        <family val="2"/>
        <charset val="204"/>
        <scheme val="major"/>
      </rPr>
      <t xml:space="preserve">&amp; FOLIC ACID TABLETS </t>
    </r>
    <r>
      <rPr>
        <i/>
        <sz val="9"/>
        <rFont val="Calibri Light"/>
        <family val="2"/>
        <charset val="204"/>
        <scheme val="major"/>
      </rPr>
      <t>Raspberry Flavor</t>
    </r>
  </si>
  <si>
    <r>
      <rPr>
        <b/>
        <vertAlign val="superscript"/>
        <sz val="9"/>
        <rFont val="Calibri Light"/>
        <family val="2"/>
        <charset val="204"/>
        <scheme val="major"/>
      </rPr>
      <t>VITAMIN B</t>
    </r>
    <r>
      <rPr>
        <b/>
        <sz val="9"/>
        <rFont val="Calibri Light"/>
        <family val="2"/>
        <charset val="204"/>
        <scheme val="major"/>
      </rPr>
      <t xml:space="preserve">12 </t>
    </r>
    <r>
      <rPr>
        <b/>
        <vertAlign val="superscript"/>
        <sz val="9"/>
        <rFont val="Calibri Light"/>
        <family val="2"/>
        <charset val="204"/>
        <scheme val="major"/>
      </rPr>
      <t xml:space="preserve">2000 mcg TABLETS </t>
    </r>
    <r>
      <rPr>
        <i/>
        <sz val="9"/>
        <rFont val="Calibri Light"/>
        <family val="2"/>
        <charset val="204"/>
        <scheme val="major"/>
      </rPr>
      <t>Raspberry Flavor</t>
    </r>
  </si>
  <si>
    <r>
      <rPr>
        <b/>
        <vertAlign val="superscript"/>
        <sz val="9"/>
        <rFont val="Calibri Light"/>
        <family val="2"/>
        <charset val="204"/>
        <scheme val="major"/>
      </rPr>
      <t>VITAMIN B</t>
    </r>
    <r>
      <rPr>
        <b/>
        <sz val="9"/>
        <rFont val="Calibri Light"/>
        <family val="2"/>
        <charset val="204"/>
        <scheme val="major"/>
      </rPr>
      <t xml:space="preserve">12 </t>
    </r>
    <r>
      <rPr>
        <b/>
        <vertAlign val="superscript"/>
        <sz val="9"/>
        <rFont val="Calibri Light"/>
        <family val="2"/>
        <charset val="204"/>
        <scheme val="major"/>
      </rPr>
      <t xml:space="preserve">5000 mcg TABLETS </t>
    </r>
    <r>
      <rPr>
        <i/>
        <sz val="9"/>
        <rFont val="Calibri Light"/>
        <family val="2"/>
        <charset val="204"/>
        <scheme val="major"/>
      </rPr>
      <t>Raspberry Flavor</t>
    </r>
  </si>
  <si>
    <t>METHYLCOBALAMIN VITAMIN B12 1000 mcg TABLETS  Raspberry Flavor</t>
  </si>
  <si>
    <t>METHYLCOBALAMIN VITAMIN B12 5000 mcg TABLETS Raspberry Flavor</t>
  </si>
  <si>
    <r>
      <rPr>
        <b/>
        <vertAlign val="superscript"/>
        <sz val="9"/>
        <rFont val="Calibri Light"/>
        <family val="2"/>
        <charset val="204"/>
        <scheme val="major"/>
      </rPr>
      <t>VITAMIN B</t>
    </r>
    <r>
      <rPr>
        <b/>
        <sz val="9"/>
        <rFont val="Calibri Light"/>
        <family val="2"/>
        <charset val="204"/>
        <scheme val="major"/>
      </rPr>
      <t>6</t>
    </r>
    <r>
      <rPr>
        <b/>
        <vertAlign val="superscript"/>
        <sz val="9"/>
        <rFont val="Calibri Light"/>
        <family val="2"/>
        <charset val="204"/>
        <scheme val="major"/>
      </rPr>
      <t>, B</t>
    </r>
    <r>
      <rPr>
        <b/>
        <sz val="9"/>
        <rFont val="Calibri Light"/>
        <family val="2"/>
        <charset val="204"/>
        <scheme val="major"/>
      </rPr>
      <t>12</t>
    </r>
    <r>
      <rPr>
        <b/>
        <vertAlign val="superscript"/>
        <sz val="9"/>
        <rFont val="Calibri Light"/>
        <family val="2"/>
        <charset val="204"/>
        <scheme val="major"/>
      </rPr>
      <t xml:space="preserve">, FOLIC ACID </t>
    </r>
    <r>
      <rPr>
        <b/>
        <sz val="9"/>
        <rFont val="Calibri Light"/>
        <family val="2"/>
        <charset val="204"/>
        <scheme val="major"/>
      </rPr>
      <t xml:space="preserve">TABLETS </t>
    </r>
    <r>
      <rPr>
        <sz val="9"/>
        <rFont val="Calibri Light"/>
        <family val="2"/>
        <charset val="204"/>
        <scheme val="major"/>
      </rPr>
      <t xml:space="preserve">Pyridoxine HCl, cyanocobalamin and folic acid. </t>
    </r>
    <r>
      <rPr>
        <i/>
        <sz val="9"/>
        <rFont val="Calibri Light"/>
        <family val="2"/>
        <charset val="204"/>
        <scheme val="major"/>
      </rPr>
      <t>Raspberry Flavor</t>
    </r>
  </si>
  <si>
    <t>METHYLFOLATE 400 mcg TABLETS Raspberry Flavor</t>
  </si>
  <si>
    <t>METHYLFOLATE 800 mcg TABLETS Raspberry Flavor</t>
  </si>
  <si>
    <t>METHYLFOLATE 1000 mcg TABLETS Raspberry Flavor</t>
  </si>
  <si>
    <r>
      <rPr>
        <b/>
        <vertAlign val="superscript"/>
        <sz val="9"/>
        <rFont val="Calibri Light"/>
        <family val="2"/>
        <charset val="204"/>
        <scheme val="major"/>
      </rPr>
      <t>LIQUID VITAMIN B</t>
    </r>
    <r>
      <rPr>
        <b/>
        <sz val="9"/>
        <rFont val="Calibri Light"/>
        <family val="2"/>
        <charset val="204"/>
        <scheme val="major"/>
      </rPr>
      <t xml:space="preserve">12 </t>
    </r>
    <r>
      <rPr>
        <b/>
        <vertAlign val="superscript"/>
        <sz val="9"/>
        <rFont val="Calibri Light"/>
        <family val="2"/>
        <charset val="204"/>
        <scheme val="major"/>
      </rPr>
      <t xml:space="preserve">&amp; FOLIC ACID </t>
    </r>
    <r>
      <rPr>
        <sz val="9"/>
        <rFont val="Calibri Light"/>
        <family val="2"/>
        <charset val="204"/>
        <scheme val="major"/>
      </rPr>
      <t xml:space="preserve">Cyanocobalamin and folic acid. </t>
    </r>
    <r>
      <rPr>
        <i/>
        <sz val="9"/>
        <rFont val="Calibri Light"/>
        <family val="2"/>
        <charset val="204"/>
        <scheme val="major"/>
      </rPr>
      <t>Raspberry Flavor</t>
    </r>
  </si>
  <si>
    <r>
      <rPr>
        <sz val="8"/>
        <rFont val="Arial MT"/>
        <family val="2"/>
      </rPr>
      <t>2 fl oz</t>
    </r>
  </si>
  <si>
    <r>
      <rPr>
        <b/>
        <sz val="9"/>
        <rFont val="Calibri Light"/>
        <family val="2"/>
        <charset val="204"/>
        <scheme val="major"/>
      </rPr>
      <t xml:space="preserve">LIQUID METHYLCOBALAMIN </t>
    </r>
    <r>
      <rPr>
        <b/>
        <vertAlign val="superscript"/>
        <sz val="9"/>
        <rFont val="Calibri Light"/>
        <family val="2"/>
        <charset val="204"/>
        <scheme val="major"/>
      </rPr>
      <t>VITAMIN B</t>
    </r>
    <r>
      <rPr>
        <b/>
        <sz val="9"/>
        <rFont val="Calibri Light"/>
        <family val="2"/>
        <charset val="204"/>
        <scheme val="major"/>
      </rPr>
      <t xml:space="preserve">12 </t>
    </r>
    <r>
      <rPr>
        <b/>
        <vertAlign val="superscript"/>
        <sz val="9"/>
        <rFont val="Calibri Light"/>
        <family val="2"/>
        <charset val="204"/>
        <scheme val="major"/>
      </rPr>
      <t xml:space="preserve">1000 mcg </t>
    </r>
    <r>
      <rPr>
        <sz val="9"/>
        <rFont val="Calibri Light"/>
        <family val="2"/>
        <charset val="204"/>
        <scheme val="major"/>
      </rPr>
      <t xml:space="preserve">Fast-acting methylcobalamin. </t>
    </r>
    <r>
      <rPr>
        <i/>
        <sz val="9"/>
        <rFont val="Calibri Light"/>
        <family val="2"/>
        <charset val="204"/>
        <scheme val="major"/>
      </rPr>
      <t>Raspberry Flavor</t>
    </r>
  </si>
  <si>
    <r>
      <rPr>
        <b/>
        <sz val="9"/>
        <rFont val="Calibri Light"/>
        <family val="2"/>
        <charset val="204"/>
        <scheme val="major"/>
      </rPr>
      <t xml:space="preserve">LIQUID METHYLCOBALAMIN </t>
    </r>
    <r>
      <rPr>
        <b/>
        <vertAlign val="superscript"/>
        <sz val="9"/>
        <rFont val="Calibri Light"/>
        <family val="2"/>
        <charset val="204"/>
        <scheme val="major"/>
      </rPr>
      <t>VITAMIN B</t>
    </r>
    <r>
      <rPr>
        <b/>
        <sz val="9"/>
        <rFont val="Calibri Light"/>
        <family val="2"/>
        <charset val="204"/>
        <scheme val="major"/>
      </rPr>
      <t xml:space="preserve">12 </t>
    </r>
    <r>
      <rPr>
        <b/>
        <vertAlign val="superscript"/>
        <sz val="9"/>
        <rFont val="Calibri Light"/>
        <family val="2"/>
        <charset val="204"/>
        <scheme val="major"/>
      </rPr>
      <t xml:space="preserve">5000 mcg </t>
    </r>
    <r>
      <rPr>
        <sz val="9"/>
        <rFont val="Calibri Light"/>
        <family val="2"/>
        <charset val="204"/>
        <scheme val="major"/>
      </rPr>
      <t xml:space="preserve">Fast-acting methylcobalamin. </t>
    </r>
    <r>
      <rPr>
        <i/>
        <sz val="9"/>
        <rFont val="Calibri Light"/>
        <family val="2"/>
        <charset val="204"/>
        <scheme val="major"/>
      </rPr>
      <t>Raspberry Flavor</t>
    </r>
  </si>
  <si>
    <t>VITAMIN C</t>
  </si>
  <si>
    <t>VITAMIN C 500 mg VEGETABLE CAPSULES L-ascorbic acid.</t>
  </si>
  <si>
    <t>VITAMIN C 1000 mg VEGETABLE CAPSULES L-ascorbic acid.</t>
  </si>
  <si>
    <t xml:space="preserve">C-500 mg &amp; BIOFLAVONOIDS CAPLETS Vitamin C 500 mg and citrus bioflavonoids 250 mg. </t>
  </si>
  <si>
    <t>C-1000 mg &amp; BIOFLAVONOIDS CAPLETS Vitamin C 1000 mg and citrus bioflavonoids 500 mg.</t>
  </si>
  <si>
    <t>OPTIMUM-C FORMULA VEGETABLE CAPSULES Buffered vitamin C, citrus  bioflavonoids, LeucoSelect® grape seed extract and rutin.</t>
  </si>
  <si>
    <t>MEGA BIO-C FORMULA VEGETABLE CAPSULES Buffered vitamin C 750 mg and citrus bioflavonoids 750 mg.</t>
  </si>
  <si>
    <t xml:space="preserve">VITAMIN C CRYSTALS L-ascorbic acid. Easy-to-mix crystals. </t>
  </si>
  <si>
    <r>
      <rPr>
        <sz val="8"/>
        <rFont val="Arial MT"/>
        <family val="2"/>
      </rPr>
      <t>4.4 oz</t>
    </r>
  </si>
  <si>
    <r>
      <rPr>
        <sz val="8"/>
        <rFont val="Arial MT"/>
        <family val="2"/>
      </rPr>
      <t>8.8 oz</t>
    </r>
  </si>
  <si>
    <t xml:space="preserve">BUFFERED C CRYSTALS Calcium ascorbate. Easy-to-mix crystals. </t>
  </si>
  <si>
    <t>BUFFERED VITAMIN C-500 mg VEGETABLE CAPSULES Buffered  calcium ascorbate and citrus bioflavonoids.</t>
  </si>
  <si>
    <t xml:space="preserve">BUFFERED VITAMIN C-1000 mg CAPLETS Buffered calcium ascorbate and citrus bioflavonoids. </t>
  </si>
  <si>
    <t xml:space="preserve">VITAMIN C-500 mg &amp; ROSE HIPS VEGETABLE CAPSULES With L-ascorbic acid. </t>
  </si>
  <si>
    <t xml:space="preserve">VITAMIN C-1000 mg &amp; ROSE HIPS VEGETABLE CAPSULES With L-ascorbic acid. </t>
  </si>
  <si>
    <t>SUPER QUERCETIN®VEGETABLE CAPSULES Quercetin, vitamin C, rose hips, acerola, citrus bioflavonoids, hesperidin, rutin and bromelain.</t>
  </si>
  <si>
    <t>OSTEO-BONE FORMULA VEGETABLE CAPSULES Calcium, magnesium with  vitamin D3, soy isoflavones &amp; Ostivone® ipriflavone.</t>
  </si>
  <si>
    <t>ALBION®MINERALS</t>
  </si>
  <si>
    <t>CHELATED CALCIUM MAGNESIUM CAPLETS Calcium magnesium amino acid chelate.  Two caplets provide calcium 500 mg, magnesium 200 mg.</t>
  </si>
  <si>
    <t>CHELATED CHROMIUM200 mcg VEGETABLE CAPSULES Nicotinate glycinate amino acid chelate.</t>
  </si>
  <si>
    <t>CHELATED COPPER 3 mg VEGETABLE CAPSULES Bisglycinate amino acid chelate.</t>
  </si>
  <si>
    <t>CHELATED IRON 18 mg VEGETABLE CAPSULES Ferrochel® ferrous bisglycinate  amino acid chelate.</t>
  </si>
  <si>
    <t>CHELATED IRON 27 mg VEGETABLE CAPSULES Ferrochel® ferrous bisglycinate amino acid chelate.</t>
  </si>
  <si>
    <t>BUFFERED CHELATED MAGNESIUM 200 mg VEGETABLE CAPSULES Bisglycinate  amino acid chelate buffered with magnesium oxide.</t>
  </si>
  <si>
    <t>CHELATED MAGNESIUM VEGETABLE CAPSULES Bisglycinate amino acid chelate. Two capsules provide 200 mg of magnesium.</t>
  </si>
  <si>
    <t>CHELATED MANGANESE 10 mg VEGETABLE CAPSULES Bisglycinate amino acid chelate.</t>
  </si>
  <si>
    <t xml:space="preserve">POTASSIUM GLYCINATE 99 mg VEGETABLE CAPSULES Potassium glycinate amino acid complex. </t>
  </si>
  <si>
    <t>SELENIUM GLYCINATE 200 mcg VEGETABLE CAPSULES Selenium glycinate amino acid complex.</t>
  </si>
  <si>
    <t>CHELATED ZINC 30 mg VEGETABLE CAPSULES Bisglycinate amino acid chelate.</t>
  </si>
  <si>
    <t>OTHER MINERALS</t>
  </si>
  <si>
    <t xml:space="preserve">TRIPLE BORON 3 mg VEGETABLE CAPSULES Boron aspartate, glycinate and citrate. </t>
  </si>
  <si>
    <t>LIQUID CALCIUM MAGNESIUM CITRATE &amp; D3 One tablespoon provides 600 mg calcium, 300 mg  magnesium and 10 mcg (400 IU) vitamin D3. Flavors: Blueberry (a); Lemofl (b); Oraflge (c); Strawberry (d); Raspberry (e); Mixed Berry (f)</t>
  </si>
  <si>
    <r>
      <rPr>
        <sz val="8"/>
        <rFont val="Arial MT"/>
        <family val="2"/>
      </rPr>
      <t>686 (a)</t>
    </r>
  </si>
  <si>
    <r>
      <rPr>
        <sz val="8"/>
        <rFont val="Arial MT"/>
        <family val="2"/>
      </rPr>
      <t>688 (b)</t>
    </r>
  </si>
  <si>
    <r>
      <rPr>
        <sz val="8"/>
        <rFont val="Arial MT"/>
        <family val="2"/>
      </rPr>
      <t>690 (c)</t>
    </r>
  </si>
  <si>
    <r>
      <rPr>
        <sz val="8"/>
        <rFont val="Arial MT"/>
        <family val="2"/>
      </rPr>
      <t>692 (d)</t>
    </r>
  </si>
  <si>
    <r>
      <rPr>
        <sz val="8"/>
        <rFont val="Arial MT"/>
        <family val="2"/>
      </rPr>
      <t>694(e)</t>
    </r>
  </si>
  <si>
    <r>
      <rPr>
        <sz val="8"/>
        <rFont val="Arial MT"/>
        <family val="2"/>
      </rPr>
      <t>696 (f)</t>
    </r>
  </si>
  <si>
    <t>LIQUID BONE SUPPORT ◆ One tablespoon provides 600 mg calcium, 300 mg magnesium, 10 mcg (400 IU) &amp;  45 mcg vitamins D3 and K2, respectively. Blueberry Flavor</t>
  </si>
  <si>
    <t>CALCIUM MAGNESIUM ZINC CAPLETS Three caplets provide 1000 mg calcium, 400 mg magnesium and 15 mg zinc.</t>
  </si>
  <si>
    <r>
      <rPr>
        <b/>
        <vertAlign val="superscript"/>
        <sz val="9"/>
        <rFont val="Calibri Light"/>
        <family val="2"/>
        <charset val="204"/>
        <scheme val="major"/>
      </rPr>
      <t>CALCIUM MAGNESIUM ZINC &amp; VITAMIN D</t>
    </r>
    <r>
      <rPr>
        <b/>
        <sz val="9"/>
        <rFont val="Calibri Light"/>
        <family val="2"/>
        <charset val="204"/>
        <scheme val="major"/>
      </rPr>
      <t xml:space="preserve">3 SOFTGELS </t>
    </r>
    <r>
      <rPr>
        <sz val="9"/>
        <rFont val="Calibri Light"/>
        <family val="2"/>
        <charset val="204"/>
        <scheme val="major"/>
      </rPr>
      <t>Three softgels provide 1000 mg calcium, 500 mg magnesium, 15 mg zinc and 10 mcg (400 IU) vitamin D</t>
    </r>
    <r>
      <rPr>
        <vertAlign val="subscript"/>
        <sz val="9"/>
        <rFont val="Calibri Light"/>
        <family val="2"/>
        <charset val="204"/>
        <scheme val="major"/>
      </rPr>
      <t>3</t>
    </r>
    <r>
      <rPr>
        <sz val="9"/>
        <rFont val="Calibri Light"/>
        <family val="2"/>
        <charset val="204"/>
        <scheme val="major"/>
      </rPr>
      <t>.</t>
    </r>
  </si>
  <si>
    <r>
      <rPr>
        <b/>
        <vertAlign val="superscript"/>
        <sz val="9"/>
        <rFont val="Calibri Light"/>
        <family val="2"/>
        <charset val="204"/>
        <scheme val="major"/>
      </rPr>
      <t>CALCIUM 1200 mg &amp; VITAMIN D</t>
    </r>
    <r>
      <rPr>
        <b/>
        <sz val="9"/>
        <rFont val="Calibri Light"/>
        <family val="2"/>
        <charset val="204"/>
        <scheme val="major"/>
      </rPr>
      <t xml:space="preserve">3 </t>
    </r>
    <r>
      <rPr>
        <b/>
        <vertAlign val="superscript"/>
        <sz val="9"/>
        <rFont val="Calibri Light"/>
        <family val="2"/>
        <charset val="204"/>
        <scheme val="major"/>
      </rPr>
      <t xml:space="preserve">SOFTGELS </t>
    </r>
    <r>
      <rPr>
        <b/>
        <sz val="9"/>
        <rFont val="Calibri Light"/>
        <family val="2"/>
        <charset val="204"/>
        <scheme val="major"/>
      </rPr>
      <t xml:space="preserve">(Milk-Free) </t>
    </r>
    <r>
      <rPr>
        <sz val="9"/>
        <rFont val="Calibri Light"/>
        <family val="2"/>
        <charset val="204"/>
        <scheme val="major"/>
      </rPr>
      <t xml:space="preserve">Two softgels provide 1200 mg </t>
    </r>
    <r>
      <rPr>
        <vertAlign val="superscript"/>
        <sz val="9"/>
        <rFont val="Calibri Light"/>
        <family val="2"/>
        <charset val="204"/>
        <scheme val="major"/>
      </rPr>
      <t>calcium and 10 mcg (400 IU) vitamin D</t>
    </r>
    <r>
      <rPr>
        <sz val="9"/>
        <rFont val="Calibri Light"/>
        <family val="2"/>
        <charset val="204"/>
        <scheme val="major"/>
      </rPr>
      <t>3</t>
    </r>
    <r>
      <rPr>
        <vertAlign val="superscript"/>
        <sz val="9"/>
        <rFont val="Calibri Light"/>
        <family val="2"/>
        <charset val="204"/>
        <scheme val="major"/>
      </rPr>
      <t>.</t>
    </r>
  </si>
  <si>
    <t>LIQUID MAGNESIUM CITRATE One tablespoon provides 420 mg magnesium for heart,  muscle-nerve and bone support.◆ Mixed Berry Flavor</t>
  </si>
  <si>
    <t>CALCIUM MAGNESIUM &amp; BORON VEGETABLE CAPSULES Four capsules provide 1000 mg calcium, 500 mg magnesium and 2 mg boron.</t>
  </si>
  <si>
    <t>CALCIUM MAGNESIUM &amp; POTASSIUM CAPLETS Four caplets provide 1000 mg calcium,  400 mg magnesium and 99 mg potassium.</t>
  </si>
  <si>
    <t>CALCIUM CITRATE &amp; VITAMIN D3 CAPLETS Four caplets provide 1000 mg calcium and 20 mcg (800 IU) vitamin D3.</t>
  </si>
  <si>
    <t>CALCIUM &amp; MAGNESIUM VEGETABLE CAPSULES Three capsules provide 500 mg calcium and 200 mg magnesium.</t>
  </si>
  <si>
    <t>CALCIUM CITRATE &amp; MAGNESIUM CAPLETS Four caplets provide 1000 mg calcium and 400 mg magnesium.</t>
  </si>
  <si>
    <t>VITAMIN C, D3 &amp; ZINC VEGETABLE CAPSULES L-ascorbic acid 250 mg, vitamin D3 50 mcg (2000 IU) and zinc bisglycinate chelate 50 mg.</t>
  </si>
  <si>
    <t>CITRUS BIOFLAVONOID COMPLEX 750 mg VEGETABLE CAPSULES Citrus bioflavonoids  from oranges, lemons, tangerines, grapefruit and limes.</t>
  </si>
  <si>
    <r>
      <rPr>
        <b/>
        <sz val="9"/>
        <rFont val="Calibri Light"/>
        <family val="2"/>
        <charset val="204"/>
        <scheme val="major"/>
      </rPr>
      <t xml:space="preserve">RUTIN 500 mg VEGETABLE CAPSULES </t>
    </r>
    <r>
      <rPr>
        <sz val="9"/>
        <rFont val="Calibri Light"/>
        <family val="2"/>
        <charset val="204"/>
        <scheme val="major"/>
      </rPr>
      <t xml:space="preserve">Rutin bioflavonoid from </t>
    </r>
    <r>
      <rPr>
        <i/>
        <sz val="9"/>
        <rFont val="Calibri Light"/>
        <family val="2"/>
        <charset val="204"/>
        <scheme val="major"/>
      </rPr>
      <t>Sophora japoflica.</t>
    </r>
  </si>
  <si>
    <r>
      <rPr>
        <b/>
        <sz val="9"/>
        <rFont val="Calibri Light"/>
        <family val="2"/>
        <charset val="204"/>
        <scheme val="major"/>
      </rPr>
      <t xml:space="preserve">LIPOSOMAL VITAMIN C VEGETABLE CAPSULES </t>
    </r>
    <r>
      <rPr>
        <sz val="9"/>
        <rFont val="Calibri Light"/>
        <family val="2"/>
        <charset val="204"/>
        <scheme val="major"/>
      </rPr>
      <t>1000 mg vitamin C fused with lipid metabolites &amp; citrus bioflavonoids.</t>
    </r>
  </si>
  <si>
    <r>
      <rPr>
        <b/>
        <sz val="9"/>
        <rFont val="Calibri Light"/>
        <family val="2"/>
        <charset val="204"/>
        <scheme val="major"/>
      </rPr>
      <t xml:space="preserve">VITAMIN C 500 mg TABLETS </t>
    </r>
    <r>
      <rPr>
        <sz val="9"/>
        <rFont val="Calibri Light"/>
        <family val="2"/>
        <charset val="204"/>
        <scheme val="major"/>
      </rPr>
      <t xml:space="preserve">L-ascorbic acid and calcium ascorbate. </t>
    </r>
    <r>
      <rPr>
        <i/>
        <sz val="9"/>
        <rFont val="Calibri Light"/>
        <family val="2"/>
        <charset val="204"/>
        <scheme val="major"/>
      </rPr>
      <t>Oraflge Flavor</t>
    </r>
  </si>
  <si>
    <t>VITAMIN E</t>
  </si>
  <si>
    <r>
      <rPr>
        <b/>
        <sz val="9"/>
        <rFont val="Calibri Light"/>
        <family val="2"/>
        <charset val="204"/>
        <scheme val="major"/>
      </rPr>
      <t xml:space="preserve">VITAMIN E FULL SPECTRUM COMPLEX VEGETARIAN LICAPS </t>
    </r>
    <r>
      <rPr>
        <sz val="9"/>
        <rFont val="Calibri Light"/>
        <family val="2"/>
        <charset val="204"/>
        <scheme val="major"/>
      </rPr>
      <t>Vitamin E in a full spectrum of tocopherols and tocotrienols.</t>
    </r>
  </si>
  <si>
    <r>
      <rPr>
        <b/>
        <sz val="9"/>
        <rFont val="Calibri Light"/>
        <family val="2"/>
        <charset val="204"/>
        <scheme val="major"/>
      </rPr>
      <t xml:space="preserve">VITAMIN E-134 mg (200 IU) MIXED SOFTGELS </t>
    </r>
    <r>
      <rPr>
        <sz val="9"/>
        <rFont val="Calibri Light"/>
        <family val="2"/>
        <charset val="204"/>
        <scheme val="major"/>
      </rPr>
      <t>Vitamin E from mixed tocopherols.</t>
    </r>
  </si>
  <si>
    <r>
      <rPr>
        <b/>
        <sz val="9"/>
        <rFont val="Calibri Light"/>
        <family val="2"/>
        <charset val="204"/>
        <scheme val="major"/>
      </rPr>
      <t xml:space="preserve">VITAMIN E-268 mg (400 IU) MIXED SOFTGELS </t>
    </r>
    <r>
      <rPr>
        <sz val="9"/>
        <rFont val="Calibri Light"/>
        <family val="2"/>
        <charset val="204"/>
        <scheme val="major"/>
      </rPr>
      <t>Vitamin E from mixed tocopherols.</t>
    </r>
  </si>
  <si>
    <t>VITAMIN E-670 mg (1000 IU) MIXEDSOFTGELS Vitamin E from mixed tocopherols.</t>
  </si>
  <si>
    <r>
      <rPr>
        <b/>
        <sz val="9"/>
        <rFont val="Calibri Light"/>
        <family val="2"/>
        <charset val="204"/>
        <scheme val="major"/>
      </rPr>
      <t xml:space="preserve">DRY E-268 mg (400 IU) VEGETABLE CAPSULES </t>
    </r>
    <r>
      <rPr>
        <sz val="9"/>
        <rFont val="Calibri Light"/>
        <family val="2"/>
        <charset val="204"/>
        <scheme val="major"/>
      </rPr>
      <t>Vitamin E from d-alpha tocopheryl succinate.</t>
    </r>
  </si>
  <si>
    <r>
      <rPr>
        <b/>
        <sz val="9"/>
        <rFont val="Calibri Light"/>
        <family val="2"/>
        <charset val="204"/>
        <scheme val="major"/>
      </rPr>
      <t xml:space="preserve">DRY E-268 mg (400 IU) &amp; SELENIUM VEGETABLE CAPSULES </t>
    </r>
    <r>
      <rPr>
        <sz val="9"/>
        <rFont val="Calibri Light"/>
        <family val="2"/>
        <charset val="204"/>
        <scheme val="major"/>
      </rPr>
      <t>D-alpha tocopheryl succinate and selenium.</t>
    </r>
  </si>
  <si>
    <t>VITAMIN K</t>
  </si>
  <si>
    <t>CAPLETS &amp; CAPSULES</t>
  </si>
  <si>
    <t xml:space="preserve">VITAMIN K1 100 mcg CAPLETS  Plant-derived phylloquie. </t>
  </si>
  <si>
    <t>VITAMIN K2 100 mcg VEGETABLE CAPSULES Menaquie-7 (MK-7) extracted from natto.</t>
  </si>
  <si>
    <t>VITAMIN D3 &amp; K2 VEGETABLE CAPSULES 125 mcg (5000 IU) vitamin D3 &amp; 100 mcg vitamin K2.</t>
  </si>
  <si>
    <r>
      <rPr>
        <b/>
        <sz val="9"/>
        <rFont val="Calibri Light"/>
        <family val="2"/>
        <charset val="204"/>
        <scheme val="major"/>
      </rPr>
      <t>VITAMIN D</t>
    </r>
    <r>
      <rPr>
        <b/>
        <vertAlign val="subscript"/>
        <sz val="9"/>
        <rFont val="Calibri Light"/>
        <family val="2"/>
        <charset val="204"/>
        <scheme val="major"/>
      </rPr>
      <t xml:space="preserve">3 </t>
    </r>
    <r>
      <rPr>
        <b/>
        <sz val="9"/>
        <rFont val="Calibri Light"/>
        <family val="2"/>
        <charset val="204"/>
        <scheme val="major"/>
      </rPr>
      <t>&amp; K</t>
    </r>
    <r>
      <rPr>
        <b/>
        <vertAlign val="subscript"/>
        <sz val="9"/>
        <rFont val="Calibri Light"/>
        <family val="2"/>
        <charset val="204"/>
        <scheme val="major"/>
      </rPr>
      <t xml:space="preserve">2 </t>
    </r>
    <r>
      <rPr>
        <b/>
        <sz val="9"/>
        <rFont val="Calibri Light"/>
        <family val="2"/>
        <charset val="204"/>
        <scheme val="major"/>
      </rPr>
      <t xml:space="preserve">TABLETS </t>
    </r>
    <r>
      <rPr>
        <sz val="9"/>
        <rFont val="Calibri Light"/>
        <family val="2"/>
        <charset val="204"/>
        <scheme val="major"/>
      </rPr>
      <t>125 mcg (5000 IU) vitamin D</t>
    </r>
    <r>
      <rPr>
        <vertAlign val="subscript"/>
        <sz val="9"/>
        <rFont val="Calibri Light"/>
        <family val="2"/>
        <charset val="204"/>
        <scheme val="major"/>
      </rPr>
      <t>3</t>
    </r>
    <r>
      <rPr>
        <sz val="9"/>
        <rFont val="Calibri Light"/>
        <family val="2"/>
        <charset val="204"/>
        <scheme val="major"/>
      </rPr>
      <t xml:space="preserve"> &amp; 100 mcg vitamin K</t>
    </r>
    <r>
      <rPr>
        <vertAlign val="subscript"/>
        <sz val="9"/>
        <rFont val="Calibri Light"/>
        <family val="2"/>
        <charset val="204"/>
        <scheme val="major"/>
      </rPr>
      <t>2</t>
    </r>
    <r>
      <rPr>
        <sz val="9"/>
        <rFont val="Calibri Light"/>
        <family val="2"/>
        <charset val="204"/>
        <scheme val="major"/>
      </rPr>
      <t xml:space="preserve">. </t>
    </r>
    <r>
      <rPr>
        <i/>
        <sz val="9"/>
        <rFont val="Calibri Light"/>
        <family val="2"/>
        <charset val="204"/>
        <scheme val="major"/>
      </rPr>
      <t>Raspberry Flavor</t>
    </r>
  </si>
  <si>
    <t>MINERALS From boron to zinc, singles and combinat of more bioavailable Albion®patented,</t>
  </si>
  <si>
    <t>MULTIMINERALS</t>
  </si>
  <si>
    <r>
      <rPr>
        <b/>
        <sz val="9"/>
        <rFont val="Calibri Light"/>
        <family val="2"/>
        <charset val="204"/>
        <scheme val="major"/>
      </rPr>
      <t xml:space="preserve">CHELATED MULTIMINERALS CAPLETS (With Iron) </t>
    </r>
    <r>
      <rPr>
        <sz val="9"/>
        <rFont val="Calibri Light"/>
        <family val="2"/>
        <charset val="204"/>
        <scheme val="major"/>
      </rPr>
      <t>Albion</t>
    </r>
    <r>
      <rPr>
        <vertAlign val="superscript"/>
        <sz val="9"/>
        <rFont val="Calibri Light"/>
        <family val="2"/>
        <charset val="204"/>
        <scheme val="major"/>
      </rPr>
      <t xml:space="preserve">® </t>
    </r>
    <r>
      <rPr>
        <sz val="9"/>
        <rFont val="Calibri Light"/>
        <family val="2"/>
        <charset val="204"/>
        <scheme val="major"/>
      </rPr>
      <t>patented chelated minerals.</t>
    </r>
  </si>
  <si>
    <r>
      <rPr>
        <b/>
        <sz val="9"/>
        <rFont val="Calibri Light"/>
        <family val="2"/>
        <charset val="204"/>
        <scheme val="major"/>
      </rPr>
      <t xml:space="preserve">CHELATED MULTIMINERALS CAPLETS (Iron-Free) </t>
    </r>
    <r>
      <rPr>
        <sz val="9"/>
        <rFont val="Calibri Light"/>
        <family val="2"/>
        <charset val="204"/>
        <scheme val="major"/>
      </rPr>
      <t>Albion</t>
    </r>
    <r>
      <rPr>
        <vertAlign val="superscript"/>
        <sz val="9"/>
        <rFont val="Calibri Light"/>
        <family val="2"/>
        <charset val="204"/>
        <scheme val="major"/>
      </rPr>
      <t xml:space="preserve">® </t>
    </r>
    <r>
      <rPr>
        <sz val="9"/>
        <rFont val="Calibri Light"/>
        <family val="2"/>
        <charset val="204"/>
        <scheme val="major"/>
      </rPr>
      <t>patented chelated minerals.</t>
    </r>
  </si>
  <si>
    <r>
      <rPr>
        <b/>
        <sz val="9"/>
        <rFont val="Calibri Light"/>
        <family val="2"/>
        <charset val="204"/>
        <scheme val="major"/>
      </rPr>
      <t xml:space="preserve">MULTIMINERALS &amp; BORON VEGETABLE CAPSULES (With Iron) </t>
    </r>
    <r>
      <rPr>
        <sz val="9"/>
        <rFont val="Calibri Light"/>
        <family val="2"/>
        <charset val="204"/>
        <scheme val="major"/>
      </rPr>
      <t>Multimineral supplement.</t>
    </r>
  </si>
  <si>
    <t xml:space="preserve">MULTIMINERALS &amp; BORON VEGETABLE CAPSULES (Iron-Free) Multimineral supplement. </t>
  </si>
  <si>
    <r>
      <rPr>
        <b/>
        <sz val="9"/>
        <rFont val="Calibri Light"/>
        <family val="2"/>
        <charset val="204"/>
        <scheme val="major"/>
      </rPr>
      <t xml:space="preserve">SUPER BORON BONE FORMULA VEGETABLE CAPSULES </t>
    </r>
    <r>
      <rPr>
        <sz val="9"/>
        <rFont val="Calibri Light"/>
        <family val="2"/>
        <charset val="204"/>
        <scheme val="major"/>
      </rPr>
      <t>Multimineral supplement formulated with calcium &amp; the trace mineral boron.</t>
    </r>
  </si>
  <si>
    <t>CALCIUM CITRATE MAGNESIUM &amp; VITAMIN D3 CAPLETS Four caplets provide 1000 mg calcium, 400 mg magnesium and 20 mcg (800 IU) vitamin D3.</t>
  </si>
  <si>
    <t>CALCIUM MAGNESIUM 1:1 RATIO VEGETABLE CAPSULES Two capsules provide 250 mg of both calcium and magnesium.</t>
  </si>
  <si>
    <t>GTF CHROMIUM 200 mcg VEGETABLE CAPSULES GTF yeast source trivalent  chromium from Nutrition 21.</t>
  </si>
  <si>
    <t xml:space="preserve">CHROMIUM PICOLINATE 200 mcg VEGETABLE CAPSULES GTF-Chromax II. </t>
  </si>
  <si>
    <t>CHROMIUM PICOLINATE500 mcg VEGETABLE CAPSULES GTF-Chromax II.</t>
  </si>
  <si>
    <t>MAGNESIUM CALCIUM 2:1 RATIO VEGETABLE CAPSULES Three capsules provide 400 mg magnesium &amp; 200 mg calcium.</t>
  </si>
  <si>
    <t xml:space="preserve">MAGNESIUM CITRATE CAPLETS Two caplets provide 400 mg magnesium. </t>
  </si>
  <si>
    <t xml:space="preserve">MAGNESIUM ASPARTATE VEGETABLE CAPSULES Two capsules provide 400 mg magnesium. </t>
  </si>
  <si>
    <t>MAGNESIUM &amp; B6 VEGETABLE CAPSULES One capsule provides 400 mg magnesium &amp; 25 mg B6.</t>
  </si>
  <si>
    <t>MAGNESIUM POTASSIUM &amp; BROMELAIN VEGETABLE CAPSULES Two capsules provide 200 mg magnesium, 99 mg potassium &amp; 140 mg bromelain.</t>
  </si>
  <si>
    <t>POTASSIUM 99 mg VEGETABLE CAPSULES Potassium aspartate.</t>
  </si>
  <si>
    <t xml:space="preserve">SELENIUM 100 mcg VEGETABLE CAPSULES Selenomethionine. </t>
  </si>
  <si>
    <t xml:space="preserve">SELENIUM 200 mcg VEGETABLE CAPSULES Selenomethionine. </t>
  </si>
  <si>
    <t xml:space="preserve">ZINC PICOLINATE 50 mg VEGETABLE CAPSULES Zinc picolinate. </t>
  </si>
  <si>
    <t>MAGNESIUM GLYCINATE VEGETABLE CAPSULES  Four capsules provide 400 mg magnesium.</t>
  </si>
  <si>
    <t>MAGNESIUM L-THREONATE VEGETABLE CAPSULES  Patented form of magnesium L-threonate, Magtein.®</t>
  </si>
  <si>
    <t>MAGNESIUM MALATE VEGETABLE CAPSULES  Three capsules provide 425 mg of magnesium.</t>
  </si>
  <si>
    <r>
      <rPr>
        <b/>
        <vertAlign val="superscript"/>
        <sz val="9"/>
        <rFont val="Calibri Light"/>
        <family val="2"/>
        <charset val="204"/>
        <scheme val="major"/>
      </rPr>
      <t>CALCIUM MAGNESIUM &amp; VITAMIN D</t>
    </r>
    <r>
      <rPr>
        <b/>
        <sz val="9"/>
        <rFont val="Calibri Light"/>
        <family val="2"/>
        <charset val="204"/>
        <scheme val="major"/>
      </rPr>
      <t xml:space="preserve">3 TABLETS </t>
    </r>
    <r>
      <rPr>
        <sz val="9"/>
        <rFont val="Calibri Light"/>
        <family val="2"/>
        <charset val="204"/>
        <scheme val="major"/>
      </rPr>
      <t>Two chewables provide 500 mg calcium, 250 mg magnesium &amp; 10 mcg (400 IU) vitamin D</t>
    </r>
    <r>
      <rPr>
        <vertAlign val="subscript"/>
        <sz val="9"/>
        <rFont val="Calibri Light"/>
        <family val="2"/>
        <charset val="204"/>
        <scheme val="major"/>
      </rPr>
      <t>3</t>
    </r>
    <r>
      <rPr>
        <sz val="9"/>
        <rFont val="Calibri Light"/>
        <family val="2"/>
        <charset val="204"/>
        <scheme val="major"/>
      </rPr>
      <t xml:space="preserve">. </t>
    </r>
    <r>
      <rPr>
        <i/>
        <sz val="9"/>
        <rFont val="Calibri Light"/>
        <family val="2"/>
        <charset val="204"/>
        <scheme val="major"/>
      </rPr>
      <t>Vaflilla Flavor (a), Oraflge Vaflilla Flavor (b)</t>
    </r>
  </si>
  <si>
    <r>
      <rPr>
        <sz val="8"/>
        <rFont val="Arial MT"/>
        <family val="2"/>
      </rPr>
      <t>741(a)</t>
    </r>
  </si>
  <si>
    <r>
      <rPr>
        <sz val="8"/>
        <rFont val="Arial MT"/>
        <family val="2"/>
      </rPr>
      <t>743(b)</t>
    </r>
  </si>
  <si>
    <r>
      <rPr>
        <b/>
        <sz val="9"/>
        <rFont val="Calibri Light"/>
        <family val="2"/>
        <charset val="204"/>
        <scheme val="major"/>
      </rPr>
      <t xml:space="preserve">ZINC 15 mg LOZENGES </t>
    </r>
    <r>
      <rPr>
        <sz val="9"/>
        <rFont val="Calibri Light"/>
        <family val="2"/>
        <charset val="204"/>
        <scheme val="major"/>
      </rPr>
      <t xml:space="preserve">15 mg zinc gluconate &amp; 100 mg vitamin C. </t>
    </r>
    <r>
      <rPr>
        <i/>
        <sz val="9"/>
        <rFont val="Calibri Light"/>
        <family val="2"/>
        <charset val="204"/>
        <scheme val="major"/>
      </rPr>
      <t>Oraflge Flavor</t>
    </r>
  </si>
  <si>
    <r>
      <rPr>
        <b/>
        <sz val="9"/>
        <rFont val="Calibri Light"/>
        <family val="2"/>
        <charset val="204"/>
        <scheme val="major"/>
      </rPr>
      <t xml:space="preserve">OMEGA FATTY ACIDS </t>
    </r>
    <r>
      <rPr>
        <sz val="9"/>
        <rFont val="Calibri Light"/>
        <family val="2"/>
        <charset val="204"/>
        <scheme val="major"/>
      </rPr>
      <t>Omega-3-6-9 formulas from plant, fish or algae sources with guaranteed purity and sustainability.</t>
    </r>
  </si>
  <si>
    <t>MARINE-BASED OMEGA FATTY ACIDS</t>
  </si>
  <si>
    <t>OMEGA-3 HEART FORMULA SOFTGELS EPA and DHA ratio for heart health. Triglyceride form.</t>
  </si>
  <si>
    <t>OMEGA-3 BRAIN FORMULA SOFTGELS DHA and EPA ratio for cognitive health. Triglyceride form.</t>
  </si>
  <si>
    <t>OMEGA-3 SALMON OIL SOFTGELS Triglyceride form.</t>
  </si>
  <si>
    <t>OMEGA-3 KOSHER FISH OIL VEGETARIAN SOFTGELS Triglyceride form.</t>
  </si>
  <si>
    <t>PLANT-BASED OMEGA FATTY ACIDS</t>
  </si>
  <si>
    <t>OMEGA-3 VEGETARIAN DHA 200 mg VEGETARIAN SOFTGELS Plant-based DHA in triglyceride form from marine algae.</t>
  </si>
  <si>
    <t xml:space="preserve">EVENING PRIMROSE OIL 500 mg SOFTGELS Evening primrose oil (GLA 50 mg). </t>
  </si>
  <si>
    <t>EVENING PRIMROSE OIL 1300 mg SOFTGELS Evening primrose oil (GLA 135 mg).</t>
  </si>
  <si>
    <t>FLAX SEED OIL 1000 mg SOFTGELS Certified organically grown flax seed oil.</t>
  </si>
  <si>
    <t>PLANT-BASED OMEGA 3•6•9 1000 mg VEGETARIAN SOFTGELS Flax seed, evening primrose and borage oils. Omega-3, omega-6, omega-9.</t>
  </si>
  <si>
    <r>
      <rPr>
        <b/>
        <sz val="9"/>
        <rFont val="Calibri Light"/>
        <family val="2"/>
        <charset val="204"/>
        <scheme val="major"/>
      </rPr>
      <t xml:space="preserve">ANTIOXIDANTS &amp; CoQ10 </t>
    </r>
    <r>
      <rPr>
        <sz val="9"/>
        <rFont val="Calibri Light"/>
        <family val="2"/>
        <charset val="204"/>
        <scheme val="major"/>
      </rPr>
      <t>General and targeted antioxidant formulas.</t>
    </r>
  </si>
  <si>
    <t>ANTIOXIDANT FORMULAS</t>
  </si>
  <si>
    <r>
      <rPr>
        <b/>
        <sz val="9"/>
        <rFont val="Calibri Light"/>
        <family val="2"/>
        <charset val="204"/>
        <scheme val="major"/>
      </rPr>
      <t xml:space="preserve">BETA-CAROTENE, C, E &amp; SELENIUM VEGETABLE CAPSULES </t>
    </r>
    <r>
      <rPr>
        <sz val="9"/>
        <rFont val="Calibri Light"/>
        <family val="2"/>
        <charset val="204"/>
        <scheme val="major"/>
      </rPr>
      <t>Blakeslea trispora beta-carotene.</t>
    </r>
  </si>
  <si>
    <r>
      <rPr>
        <b/>
        <sz val="9"/>
        <rFont val="Calibri Light"/>
        <family val="2"/>
        <charset val="204"/>
        <scheme val="major"/>
      </rPr>
      <t xml:space="preserve">EYE ANTIOXIDANT WITH ZEAXANTHIN FORMULA VEGETABLE CAPSULES </t>
    </r>
    <r>
      <rPr>
        <sz val="9"/>
        <rFont val="Calibri Light"/>
        <family val="2"/>
        <charset val="204"/>
        <scheme val="major"/>
      </rPr>
      <t>Specially formulated with bilberry, FloraGLO</t>
    </r>
    <r>
      <rPr>
        <vertAlign val="superscript"/>
        <sz val="9"/>
        <rFont val="Calibri Light"/>
        <family val="2"/>
        <charset val="204"/>
        <scheme val="major"/>
      </rPr>
      <t xml:space="preserve">® </t>
    </r>
    <r>
      <rPr>
        <sz val="9"/>
        <rFont val="Calibri Light"/>
        <family val="2"/>
        <charset val="204"/>
        <scheme val="major"/>
      </rPr>
      <t>lutein and zeaxanthin.</t>
    </r>
  </si>
  <si>
    <t>SUPER ANTIOXIDANT®FORMULA VEGETABLE CAPSULES Full spectrum antioxidant formula.</t>
  </si>
  <si>
    <t>CoQ10 (UBIQUINOL &amp; UBIQUIE)</t>
  </si>
  <si>
    <t>UBIQUINOL 50 mg VEGETARIAN SOFTGELS Ubiquinol from Kaneka, the active form of CoQ10 in a base of - sunflower oil.</t>
  </si>
  <si>
    <t>UBIQUINOL 100 mg VEGETARIAN SOFTGELS Ubiquinol from Kaneka, the active form of CoQ10 in a base of - sunflower oil.</t>
  </si>
  <si>
    <t>UBIQUINOL 200 mg VEGETARIAN SOFTGELS Ubiquinol from Kaneka, the active form of CoQ10 in abase of - sunflower oil.</t>
  </si>
  <si>
    <t>CoQ10 60 mg VEGETARIAN SOFTGELS Ubiquie from Kaneka &amp;  vitamin E from - sunflower oil.</t>
  </si>
  <si>
    <t>CoQ10 100 mg VEGETARIAN SOFTGELS Ubiquie from Kaneka &amp;  vitamin E from - sunflower oil.</t>
  </si>
  <si>
    <t>CoQ10 200 mg VEGETARIAN SOFTGELS Ubiquie from Kaneka &amp; vitamin E from - sunflower oil.</t>
  </si>
  <si>
    <t xml:space="preserve">CoQ10 100 mg VEGETABLE CAPSULES Ubiquie from Kaneka. </t>
  </si>
  <si>
    <t>OTHER ANTIOXIDANTS</t>
  </si>
  <si>
    <t>ALPHA LIPOIC ACID 100 mg VEGETABLE CAPSULES From thioctic acid.</t>
  </si>
  <si>
    <t>ALPHA LIPOIC ACID 200 mg VEGETABLE CAPSULES From thioctic acid.</t>
  </si>
  <si>
    <t xml:space="preserve">ALPHA LIPOIC ACID 300 mg VEGETABLE CAPSULES From thioctic acid. </t>
  </si>
  <si>
    <t xml:space="preserve">ALPHA LIPOIC ACID 600 mg VEGETABLE CAPSULES From thioctic acid. </t>
  </si>
  <si>
    <r>
      <rPr>
        <b/>
        <sz val="9"/>
        <rFont val="Calibri Light"/>
        <family val="2"/>
        <charset val="204"/>
        <scheme val="major"/>
      </rPr>
      <t xml:space="preserve">LUTEIN 20 mg SOFTGELS </t>
    </r>
    <r>
      <rPr>
        <sz val="9"/>
        <rFont val="Calibri Light"/>
        <family val="2"/>
        <charset val="204"/>
        <scheme val="major"/>
      </rPr>
      <t>FloraGLO</t>
    </r>
    <r>
      <rPr>
        <b/>
        <vertAlign val="superscript"/>
        <sz val="9"/>
        <rFont val="Calibri Light"/>
        <family val="2"/>
        <charset val="204"/>
        <scheme val="major"/>
      </rPr>
      <t xml:space="preserve">® </t>
    </r>
    <r>
      <rPr>
        <sz val="9"/>
        <rFont val="Calibri Light"/>
        <family val="2"/>
        <charset val="204"/>
        <scheme val="major"/>
      </rPr>
      <t>lutein from marigolds.</t>
    </r>
  </si>
  <si>
    <t>PYCNOGENOL®50 mg VEGETABLE CAPSULES French-imported, patented pine bark extract.</t>
  </si>
  <si>
    <t>PYCNOGENOL®100 mg VEGETABLE CAPSULES French-imported, patented pine bark extract.</t>
  </si>
  <si>
    <t>ZEAXANTHIN &amp; LUTEIN VEGETARIAN SOFTGELS Zeaxanthin 4 mg from paprika extract &amp; Lutein 12 mg from marigold flower extract.</t>
  </si>
  <si>
    <r>
      <rPr>
        <b/>
        <sz val="9"/>
        <rFont val="Calibri Light"/>
        <family val="2"/>
        <charset val="204"/>
        <scheme val="major"/>
      </rPr>
      <t xml:space="preserve">FIBERS, DIGESTIVE ENZYMES &amp; PROBIOTICS </t>
    </r>
    <r>
      <rPr>
        <sz val="9"/>
        <rFont val="Calibri Light"/>
        <family val="2"/>
        <charset val="204"/>
        <scheme val="major"/>
      </rPr>
      <t>Digestive enzymes to support food breakdown &amp; absorption. Plus, an advanced probiotic line with DNA-verified strains “made to survive” the digestive tract and can reach the target site of action. ◆</t>
    </r>
  </si>
  <si>
    <t>FIBERS</t>
  </si>
  <si>
    <t>SUNFIBER POWDER Plant-based prebiotic soluble fiber.</t>
  </si>
  <si>
    <r>
      <rPr>
        <sz val="8"/>
        <rFont val="Arial MT"/>
        <family val="2"/>
      </rPr>
      <t>7.4 oz</t>
    </r>
  </si>
  <si>
    <t>DIGESTIVE ENZYMES</t>
  </si>
  <si>
    <r>
      <rPr>
        <b/>
        <sz val="9"/>
        <rFont val="Calibri Light"/>
        <family val="2"/>
        <charset val="204"/>
        <scheme val="major"/>
      </rPr>
      <t xml:space="preserve">SUPER BROMELAIN 500 mg VEGETABLE CAPSULES </t>
    </r>
    <r>
      <rPr>
        <sz val="9"/>
        <rFont val="Calibri Light"/>
        <family val="2"/>
        <charset val="204"/>
        <scheme val="major"/>
      </rPr>
      <t>Pineapple bromelain 2400 GDU/g.</t>
    </r>
  </si>
  <si>
    <r>
      <rPr>
        <b/>
        <sz val="9"/>
        <rFont val="Calibri Light"/>
        <family val="2"/>
        <charset val="204"/>
        <scheme val="major"/>
      </rPr>
      <t xml:space="preserve">BETAINE HCI &amp; PEPSIN VEGETABLE CAPSULES </t>
    </r>
    <r>
      <rPr>
        <sz val="9"/>
        <rFont val="Calibri Light"/>
        <family val="2"/>
        <charset val="204"/>
        <scheme val="major"/>
      </rPr>
      <t>Betaine hydrochloride and pepsin.</t>
    </r>
  </si>
  <si>
    <t>POWER-ZYMES®VEGETABLE CAPSULES Digestive enzymes for diets high in protein and moderate in carbohydrate/fat. </t>
  </si>
  <si>
    <t>OPTIMUM ENZYMES®VEGETABLE CAPSULES FULL SPECTRUM Plant-based digestive enzymes for diets balanced in carbohydrate, protein and fat. </t>
  </si>
  <si>
    <r>
      <rPr>
        <b/>
        <sz val="9"/>
        <rFont val="Calibri Light"/>
        <family val="2"/>
        <charset val="204"/>
        <scheme val="major"/>
      </rPr>
      <t xml:space="preserve">PROBIOTICS </t>
    </r>
    <r>
      <rPr>
        <sz val="9"/>
        <rFont val="Calibri Light"/>
        <family val="2"/>
        <charset val="204"/>
        <scheme val="major"/>
      </rPr>
      <t>(REFRIGERATION REQUIRED)</t>
    </r>
  </si>
  <si>
    <t>ADVANCED PROBIOTICS®CHEWABLE ACIDOPHILUS WAFERS* 1.5 billion micro-organisms per wafer. Raspberry Flavor.</t>
  </si>
  <si>
    <t>MILK-FREE PROBIOTIC ACIDOPHILUS PLUS FOS VEGETABLE CAPSULES* 3 billion viable micro-organisms per capsule.</t>
  </si>
  <si>
    <t>MILK-FREE PROBIOTIC ACIDOPHILUS PLUS FOS POWDER* 10 billion viable micro-organisms per gram. Easy-to-mix powder.</t>
  </si>
  <si>
    <r>
      <rPr>
        <sz val="8"/>
        <rFont val="Arial MT"/>
        <family val="2"/>
      </rPr>
      <t>3 oz</t>
    </r>
  </si>
  <si>
    <t>PROBIOTIC &amp; PREBIOTIC VEGETABLE CAPSULES* 10 billion viable micro-organisms per capsule, . with prebiotics from inulin.</t>
  </si>
  <si>
    <t>PROBIOTIC &amp; PREBIOTIC VEGETABLE CAPSULES* 30 billion viable micro-organisms per capsule, with prebiotics from inulin.</t>
  </si>
  <si>
    <t>PROBIOTIC &amp; PREBIOTIC VEGETABLE CAPSULES* 50 billion viable micro-organisms per capsule, with prebiotics from inulin.</t>
  </si>
  <si>
    <t>PROBIOTIC &amp; CRANBERRYLADIES' VEGETABLE CAPSULES* 10 billion viable micro-organisms per capsule, with cranberry fruit extract.</t>
  </si>
  <si>
    <t>PROBIOTIC &amp; CRANBERRY LADIES' VEGETABLE CAPSULES*  50 billion viable micro-organisms per capsule, with cranberry fruit extract.</t>
  </si>
  <si>
    <r>
      <rPr>
        <b/>
        <sz val="9"/>
        <rFont val="Calibri Light"/>
        <family val="2"/>
        <charset val="204"/>
        <scheme val="major"/>
      </rPr>
      <t xml:space="preserve">SUPER FOODS &amp; SOY PRODUCTS </t>
    </r>
    <r>
      <rPr>
        <sz val="9"/>
        <rFont val="Calibri Light"/>
        <family val="2"/>
        <charset val="204"/>
        <scheme val="major"/>
      </rPr>
      <t>Concentrated sources of nutritious super foods, super fruits and greens to optimally fill the nutrient gaps in the daily diet. Providing nutrient-dense sources of phytonutrients and antioxidant activity to support body systems and organs</t>
    </r>
  </si>
  <si>
    <t>SUPER FOODS</t>
  </si>
  <si>
    <t>BREWER’S YEAST POWDER (-BITTER)  Brewer’s yeast from beet molasses.</t>
  </si>
  <si>
    <t>BREWER’S YEAST FLAKES (-BITTER)  Brewer’s yeast from beet molasses.</t>
  </si>
  <si>
    <t>NUTRITIONAL YEAST FLAKES (-BITTER) Vitamin &amp; mineral enriched from - sugar beet molasses. Contains Vitamin D.</t>
  </si>
  <si>
    <t>GARLIC (ODOR-LESS) EXTRACT CAPLETS Strong allicin releasing potential not found in aged garlic. Enteric coated caplets.</t>
  </si>
  <si>
    <t>MAITAKEGOLD®MUSHROOM EXTRACT VEGETABLE CAPSULES Maitake mushroom extract.</t>
  </si>
  <si>
    <t>MYCO-7™ MUSHROOM DEFENSE VEGETABLE CAPSULES Domestically &amp;  organically grown, whole, full cycle mushroom blend.</t>
  </si>
  <si>
    <t>NUCLEOTIDE COMPLEX VEGETABLE CAPSULES Providing adenosine, cytidine, guanosine and uridine monophosphates.</t>
  </si>
  <si>
    <t>GREENS POWDER Organic-certified wheatgrass, green kamut, barley, alfalfa grass, spirulina &amp; chlorella.</t>
  </si>
  <si>
    <t>WHEATGRASS POWDER Organic-certified wheatgrass.</t>
  </si>
  <si>
    <r>
      <rPr>
        <sz val="8"/>
        <rFont val="Arial MT"/>
        <family val="2"/>
      </rPr>
      <t>5.6 oz</t>
    </r>
  </si>
  <si>
    <t>SUPER FRUITS</t>
  </si>
  <si>
    <t>GRAPE SEED EXTRACT VEGETABLE CAPSULES LeucoSelect® grape seed extract.</t>
  </si>
  <si>
    <t>VEGETARIAN SOD 250 IU CANTALOUPE FRUIT EXTRACT VEGETABLE CAPSULES Patented GliSODin.®</t>
  </si>
  <si>
    <t>CRANBERRY FRUIT EXTRACT VEGETABLE CAPSULES Cranberry and 60 mg of vitamin C.</t>
  </si>
  <si>
    <t>CHERRY FRUIT EXTRACT VEGETABLE CAPSULES Cherry fruit extract supplying flavonoids.</t>
  </si>
  <si>
    <t>APPLE CIDER VINEGAR VEGETABLE CAPSULES With the "Mother". Two capsules provide 1000 mg apple cider vinegar powder.</t>
  </si>
  <si>
    <t>POMEGRANATE WHOLE FRUIT EXTRACT VEGETABLE CAPSULES  Standardized polyphenols and punicalagins.</t>
  </si>
  <si>
    <t>GARCINIA CAMBOGIA FRUIT RIND EXTRACT VEGETABLE CAPSULES  Patented Super CitriMax® providing 900 mg HCA.</t>
  </si>
  <si>
    <t>SOY PRODUCTS</t>
  </si>
  <si>
    <r>
      <rPr>
        <b/>
        <sz val="9"/>
        <rFont val="Calibri Light"/>
        <family val="2"/>
        <charset val="204"/>
        <scheme val="major"/>
      </rPr>
      <t xml:space="preserve">LECITHIN 1365 mg SOFTGELS </t>
    </r>
    <r>
      <rPr>
        <sz val="9"/>
        <rFont val="Calibri Light"/>
        <family val="2"/>
        <charset val="204"/>
        <scheme val="major"/>
      </rPr>
      <t>Soy lecithin.</t>
    </r>
  </si>
  <si>
    <t>LECITHIN GRANULES Soy lecithin. Easy-to-mix.</t>
  </si>
  <si>
    <r>
      <rPr>
        <sz val="8"/>
        <rFont val="Arial MT"/>
        <family val="2"/>
      </rPr>
      <t>12.7oz</t>
    </r>
  </si>
  <si>
    <r>
      <rPr>
        <sz val="8"/>
        <rFont val="Arial MT"/>
        <family val="2"/>
      </rPr>
      <t>25.4 oz</t>
    </r>
  </si>
  <si>
    <t>SOY ISOFLAVONES VEGETABLE CAPSULES - Soylife® soy isoflavones 40 mg with genistein from - soybeans.</t>
  </si>
  <si>
    <r>
      <rPr>
        <b/>
        <sz val="9"/>
        <rFont val="Calibri Light"/>
        <family val="2"/>
        <charset val="204"/>
        <scheme val="major"/>
      </rPr>
      <t xml:space="preserve">SPECIALTY SUPPLEMENTS </t>
    </r>
    <r>
      <rPr>
        <sz val="9"/>
        <rFont val="Calibri Light"/>
        <family val="2"/>
        <charset val="204"/>
        <scheme val="major"/>
      </rPr>
      <t>Formulated to support specific structure-function applications in the body, such as joint and heart health, macular protection, restful sleep, stress &amp; anxiety management, etc. with scientifically supported potencies. ◆</t>
    </r>
  </si>
  <si>
    <t>TARGETED CHOICE®STRUCTURE-FUNCTION FORMULAS</t>
  </si>
  <si>
    <r>
      <rPr>
        <b/>
        <sz val="9"/>
        <rFont val="Calibri Light"/>
        <family val="2"/>
        <charset val="204"/>
        <scheme val="major"/>
      </rPr>
      <t xml:space="preserve">WELLNESS SUPPORT CAPLETS </t>
    </r>
    <r>
      <rPr>
        <sz val="9"/>
        <rFont val="Calibri Light"/>
        <family val="2"/>
        <charset val="204"/>
        <scheme val="major"/>
      </rPr>
      <t>Immune defense whole food-based formula.◆</t>
    </r>
  </si>
  <si>
    <r>
      <rPr>
        <b/>
        <sz val="9"/>
        <rFont val="Calibri Light"/>
        <family val="2"/>
        <charset val="204"/>
        <scheme val="major"/>
      </rPr>
      <t xml:space="preserve">SLEEP SUPPORT VEGETABLE CAPSULES </t>
    </r>
    <r>
      <rPr>
        <sz val="9"/>
        <rFont val="Calibri Light"/>
        <family val="2"/>
        <charset val="204"/>
        <scheme val="major"/>
      </rPr>
      <t>Whole food-based formula for occasional sleeplessness.◆</t>
    </r>
  </si>
  <si>
    <r>
      <rPr>
        <b/>
        <sz val="9"/>
        <rFont val="Calibri Light"/>
        <family val="2"/>
        <charset val="204"/>
        <scheme val="major"/>
      </rPr>
      <t xml:space="preserve">BLOOD PRESSURE SUPPORT VEGETABLE CAPSULES </t>
    </r>
    <r>
      <rPr>
        <sz val="9"/>
        <rFont val="Calibri Light"/>
        <family val="2"/>
        <charset val="204"/>
        <scheme val="major"/>
      </rPr>
      <t>Whole food-based formula for vascular defense.◆</t>
    </r>
  </si>
  <si>
    <r>
      <rPr>
        <b/>
        <sz val="9"/>
        <rFont val="Calibri Light"/>
        <family val="2"/>
        <charset val="204"/>
        <scheme val="major"/>
      </rPr>
      <t xml:space="preserve">STRESS RELIEF VEGETABLE CAPSULES </t>
    </r>
    <r>
      <rPr>
        <sz val="9"/>
        <rFont val="Calibri Light"/>
        <family val="2"/>
        <charset val="204"/>
        <scheme val="major"/>
      </rPr>
      <t>Calming whole food-based formula.◆</t>
    </r>
  </si>
  <si>
    <r>
      <rPr>
        <b/>
        <sz val="9"/>
        <rFont val="Calibri Light"/>
        <family val="2"/>
        <charset val="204"/>
        <scheme val="major"/>
      </rPr>
      <t xml:space="preserve">BLOOD SUGAR SUPPORT VEGETABLE CAPSULES </t>
    </r>
    <r>
      <rPr>
        <sz val="9"/>
        <rFont val="Calibri Light"/>
        <family val="2"/>
        <charset val="204"/>
        <scheme val="major"/>
      </rPr>
      <t>Glucose management whole food-based formula.◆</t>
    </r>
  </si>
  <si>
    <r>
      <rPr>
        <b/>
        <sz val="9"/>
        <rFont val="Calibri Light"/>
        <family val="2"/>
        <charset val="204"/>
        <scheme val="major"/>
      </rPr>
      <t xml:space="preserve">LIVER DETOX VEGETABLE CAPSULES </t>
    </r>
    <r>
      <rPr>
        <sz val="9"/>
        <rFont val="Calibri Light"/>
        <family val="2"/>
        <charset val="204"/>
        <scheme val="major"/>
      </rPr>
      <t xml:space="preserve">Hepatic support whole food-based formula.◆ </t>
    </r>
  </si>
  <si>
    <r>
      <rPr>
        <b/>
        <sz val="9"/>
        <rFont val="Calibri Light"/>
        <family val="2"/>
        <charset val="204"/>
        <scheme val="major"/>
      </rPr>
      <t xml:space="preserve">URINARY TRACT SUPPORT VEGETABLE CAPSULES </t>
    </r>
    <r>
      <rPr>
        <sz val="9"/>
        <rFont val="Calibri Light"/>
        <family val="2"/>
        <charset val="204"/>
        <scheme val="major"/>
      </rPr>
      <t>Flush &amp; soothe whole food-based formula.◆</t>
    </r>
  </si>
  <si>
    <r>
      <rPr>
        <b/>
        <sz val="9"/>
        <rFont val="Calibri Light"/>
        <family val="2"/>
        <charset val="204"/>
        <scheme val="major"/>
      </rPr>
      <t xml:space="preserve">PAIN &amp; INFLAMMATION VEGETABLE CAPSULES </t>
    </r>
    <r>
      <rPr>
        <sz val="9"/>
        <rFont val="Calibri Light"/>
        <family val="2"/>
        <charset val="204"/>
        <scheme val="major"/>
      </rPr>
      <t>Whole food-based formula for physical overexertion.◆</t>
    </r>
  </si>
  <si>
    <r>
      <rPr>
        <b/>
        <sz val="9"/>
        <rFont val="Calibri Light"/>
        <family val="2"/>
        <charset val="204"/>
        <scheme val="major"/>
      </rPr>
      <t xml:space="preserve">EYE CARE MACULAR &amp; BLUE VEGETABLE CAPSULES </t>
    </r>
    <r>
      <rPr>
        <sz val="9"/>
        <rFont val="Calibri Light"/>
        <family val="2"/>
        <charset val="204"/>
        <scheme val="major"/>
      </rPr>
      <t>Whole food-based formula for optical protection.◆</t>
    </r>
  </si>
  <si>
    <r>
      <rPr>
        <b/>
        <sz val="9"/>
        <rFont val="Calibri Light"/>
        <family val="2"/>
        <charset val="204"/>
        <scheme val="major"/>
      </rPr>
      <t xml:space="preserve">THYROID BOOST VEGETABLE CAPSULES </t>
    </r>
    <r>
      <rPr>
        <sz val="9"/>
        <rFont val="Calibri Light"/>
        <family val="2"/>
        <charset val="204"/>
        <scheme val="major"/>
      </rPr>
      <t>Whole food-based formula for glandular support.◆</t>
    </r>
  </si>
  <si>
    <r>
      <rPr>
        <b/>
        <sz val="9"/>
        <rFont val="Calibri Light"/>
        <family val="2"/>
        <charset val="204"/>
        <scheme val="major"/>
      </rPr>
      <t xml:space="preserve">ADRENAL SUPPORT VEGETABLE CAPSULES </t>
    </r>
    <r>
      <rPr>
        <sz val="9"/>
        <rFont val="Calibri Light"/>
        <family val="2"/>
        <charset val="204"/>
        <scheme val="major"/>
      </rPr>
      <t>Whole food-based formula for stress &amp; energy management.◆</t>
    </r>
  </si>
  <si>
    <r>
      <rPr>
        <b/>
        <sz val="9"/>
        <rFont val="Calibri Light"/>
        <family val="2"/>
        <charset val="204"/>
        <scheme val="major"/>
      </rPr>
      <t xml:space="preserve">JUSTBREATHE VEGETABLE CAPSULES </t>
    </r>
    <r>
      <rPr>
        <sz val="9"/>
        <rFont val="Calibri Light"/>
        <family val="2"/>
        <charset val="204"/>
        <scheme val="major"/>
      </rPr>
      <t>Whole food-based formula for seasonal support.◆</t>
    </r>
  </si>
  <si>
    <r>
      <rPr>
        <b/>
        <sz val="9"/>
        <rFont val="Calibri Light"/>
        <family val="2"/>
        <charset val="204"/>
        <scheme val="major"/>
      </rPr>
      <t xml:space="preserve">BRAIN POWER VEGETABLE CAPSULES </t>
    </r>
    <r>
      <rPr>
        <sz val="9"/>
        <rFont val="Calibri Light"/>
        <family val="2"/>
        <charset val="204"/>
        <scheme val="major"/>
      </rPr>
      <t>Whole food-based formula for memory, focus &amp; cognitive support.◆</t>
    </r>
  </si>
  <si>
    <t>OTHER STRUCTURE-FUNCTION FORMULAS</t>
  </si>
  <si>
    <t>CHOLESTERICE®VEGETABLE CAPSULES Red yeast rice, CoQ10, policosanol, pantethine and plant sterols from sunflower.</t>
  </si>
  <si>
    <r>
      <rPr>
        <b/>
        <sz val="9"/>
        <rFont val="Calibri Light"/>
        <family val="2"/>
        <charset val="204"/>
        <scheme val="major"/>
      </rPr>
      <t xml:space="preserve">HOMOCYSTEINE FORMULA VEGETABLE CAPSULES </t>
    </r>
    <r>
      <rPr>
        <vertAlign val="superscript"/>
        <sz val="9"/>
        <rFont val="Calibri Light"/>
        <family val="2"/>
        <charset val="204"/>
        <scheme val="major"/>
      </rPr>
      <t>Vitamin B</t>
    </r>
    <r>
      <rPr>
        <sz val="9"/>
        <rFont val="Calibri Light"/>
        <family val="2"/>
        <charset val="204"/>
        <scheme val="major"/>
      </rPr>
      <t>6</t>
    </r>
    <r>
      <rPr>
        <vertAlign val="superscript"/>
        <sz val="9"/>
        <rFont val="Calibri Light"/>
        <family val="2"/>
        <charset val="204"/>
        <scheme val="major"/>
      </rPr>
      <t>, B</t>
    </r>
    <r>
      <rPr>
        <sz val="9"/>
        <rFont val="Calibri Light"/>
        <family val="2"/>
        <charset val="204"/>
        <scheme val="major"/>
      </rPr>
      <t>12</t>
    </r>
    <r>
      <rPr>
        <vertAlign val="superscript"/>
        <sz val="9"/>
        <rFont val="Calibri Light"/>
        <family val="2"/>
        <charset val="204"/>
        <scheme val="major"/>
      </rPr>
      <t>, folic acid &amp; TMG.</t>
    </r>
  </si>
  <si>
    <t>MPX 1000®PROSTATE SUPPORT VEGETABLE CAPSULES Men’s prostate formula.</t>
  </si>
  <si>
    <t>POWER THOUGHT®CAPLETS Advanced brain nutrients with phosphatidylserine, DMAE, pyroglutamic acid &amp; ginkgo biloba.</t>
  </si>
  <si>
    <t>SKINNY GARCINIA®VEGETABLE CAPSULES Super CitriMax,® L-carnitine tartrate chromium picolinate magnesium, potassium and vitamin B6 weight management formula.◆</t>
  </si>
  <si>
    <t>SPECIALTY PRODUCTS</t>
  </si>
  <si>
    <t>DMAE 100 mg VEGETABLE CAPSULES DMAE bitartrate.</t>
  </si>
  <si>
    <t>GLUCOSAMINE CHONDROITIN SULFATE VEGETABLE CAPSULES  Three capsules provide glucosamine sulfate 1500 mg and chondroitin sulfate 1200 mg.</t>
  </si>
  <si>
    <t>VEGETARIAN GLUCOSAMINE &amp; MSM VEGETABLE CAPSULES Shellfish-free glucosamine derived from corn.</t>
  </si>
  <si>
    <t>GLUCOSAMINE CHONDROITIN &amp; MSM VEGETABLE CAPSULES Glucosamine, chondroitin sulfate, vitamin c &amp; OptiMSM.®</t>
  </si>
  <si>
    <t xml:space="preserve">MSM 1000 mg VEGETABLE CAPSULES Biologically active sulfur from OptiMSM.® </t>
  </si>
  <si>
    <t xml:space="preserve">MSM POWDER Biologically active sulfur from OptiMSM.® Easy-to-mix powder. </t>
  </si>
  <si>
    <t>IPRIFLAVONE 300 mg VEGETABLE CAPSULES Patented Ostivone.®</t>
  </si>
  <si>
    <t>PLANT STEROLS 500 mg VEGETABLE CAPSULES Provides beta-sitosterol from - sunflower.</t>
  </si>
  <si>
    <t>POLICOSANOL 20 mg VEGETABLE CAPSULES Derived from sugar cane wax.</t>
  </si>
  <si>
    <t xml:space="preserve">RED YEAST RICE 600 mg VEGETABLE CAPSULES Fermented red yeast rice. </t>
  </si>
  <si>
    <t>MELATONIN 1 mg TABLETS Raspberry Flavor</t>
  </si>
  <si>
    <t>MELATONIN 3 mg TABLETS Raspberry Flavor</t>
  </si>
  <si>
    <t>MELATONIN 5 mg TABLETS Raspberry Flavor</t>
  </si>
  <si>
    <t>MELATONIN 10 mg TABLETS Raspberry Flavor</t>
  </si>
  <si>
    <t>AMERICAN GINSENG ROOT EXTRACT VEGETABLE CAPSULES 5% ginsenosides [20 mg].</t>
  </si>
  <si>
    <t>ASTRAGALUS ROOT EXTRACT VEGETABLE CAPSULES 70% polysaccharides [280 mg].</t>
  </si>
  <si>
    <t>ASHWAGANDHA ROOT EXTRACT VEGETABLE CAPSULES 2.5% withanolides [10 mg].</t>
  </si>
  <si>
    <t>BILBERRY FRUIT EXTRACT VEGETABLE CAPSULES 36% anthocyanins [28.8 mg].</t>
  </si>
  <si>
    <t>BLACK COHOSH ROOT EXTRACT VEGETABLE CAPSULES Hydroethanolic extract 4:1.</t>
  </si>
  <si>
    <t>CAT’S CLAW BARK EXTRACT VEGETABLE CAPSULES Hydroethanolic extract 5:1.</t>
  </si>
  <si>
    <t>CINNULIN PF®CINNAMON BARK EXTRACT VEGETABLE CAPSULES  Aqueous extract 20:1.</t>
  </si>
  <si>
    <t>DONG QUAI ROOT EXTRACT VEGETABLE CAPSULES Hydroethanolic extract 10:1.</t>
  </si>
  <si>
    <t>ECHINACEA GOLDENSEAL ROOT EXTRACT VEGETABLE CAPSULES 4% echinacosides (Echinacea) [5 mg], 5% alkaloids (Goldenseal) [6.25 mg].</t>
  </si>
  <si>
    <t>OIL OF OREGANO LEAF EXTRACT SOFTGELS Concentrated. Highly refined full spectrum extract.</t>
  </si>
  <si>
    <t>OLIVE LEAF EXTRACT VEGETABLE CAPSULES 18% oleuropein [54 mg].</t>
  </si>
  <si>
    <t>RHODIOLA ROSEA (ARCTIC) ROOT EXTRACT VEGETABLE CAPSULES  3% rosavins [7.5 mg], 1% salidrosides [2.5 mg].</t>
  </si>
  <si>
    <t>SAW PALMETTO BERRY EXTRACT SOFTGELS 85%-95% fatty acids &amp; active sterols [272 mg-304 mg].</t>
  </si>
  <si>
    <t>SIBERIAN ELEUTHERO ROOT EXTRACT VEGETABLE CAPSULES 0.8% eleutherosides [4 mg].</t>
  </si>
  <si>
    <t>ST. JOHN’S WORT FLOWER EXTRACT VEGETABLE CAPSULES 0.3% hypericin [0.9 mg].</t>
  </si>
  <si>
    <t>TURMERIC ROOT EXTRACT VEGETABLE CAPSULES 95% total curcuminoids [380 mg].</t>
  </si>
  <si>
    <t xml:space="preserve">VALERIAN ROOT EXTRACT VEGETABLE CAPSULES 0.8% total valerenic acid [2 mg]. </t>
  </si>
  <si>
    <t>VITEX BERRY EXTRACT VEGETABLE CAPSULES 0.5% agnusides [1.13 mg].</t>
  </si>
  <si>
    <t>ELDERBERRY FRUIT EXTRACT VEGETABLE CAPSULES 30% polyphenols [45 mg].</t>
  </si>
  <si>
    <t>FENUGREEK SEED EXTRACT VEGETABLE CAPSULES 20% total saponins [120 mg].</t>
  </si>
  <si>
    <t xml:space="preserve">FEVERFEW LEAF EXTRACT VEGETABLE CAPSULES 0.5% parthenolides [1.25 mg]. </t>
  </si>
  <si>
    <t xml:space="preserve">GINGER ROOT EXTRACT VE GETABLE CAPSULES 5% gingerols [15 mg]. </t>
  </si>
  <si>
    <t>GINKGO BILOBA LEAF EXTRACT VEGETABLE CAPSULES 24% ginkgo  flavoglycosides [14.4 mg], 6% terpene lactones [3.6 mg].</t>
  </si>
  <si>
    <t xml:space="preserve">GOLDENSEAL ROOT EXTRACT VEGETABLE CAPSULES 5% alkaloids [12.5 mg]. </t>
  </si>
  <si>
    <t>EGCG GREEN TEA LEAF EXTRACT VEGETABLE CAPSULES 95% total polyphenols [332 mg], 75% catechins [262 mg], 45% EGCG [157 mg].</t>
  </si>
  <si>
    <t>HAWTHORN HERB EXTRACT VEGETABLE CAPSULES 1.8% vitexin [3.6 mg], 1.5% flavonoids [2.25 mg].</t>
  </si>
  <si>
    <t>MILK THISTLE FRUIT &amp; SEED EXTRACT VEGETABLE CAPSULES  80% total flavonoids (including silymarin) [140 mg].</t>
  </si>
  <si>
    <t>Total</t>
  </si>
  <si>
    <t>Order</t>
  </si>
  <si>
    <r>
      <rPr>
        <b/>
        <sz val="9"/>
        <rFont val="Arial"/>
        <family val="2"/>
      </rPr>
      <t>CODE</t>
    </r>
  </si>
  <si>
    <r>
      <rPr>
        <b/>
        <sz val="9"/>
        <rFont val="Arial"/>
        <family val="2"/>
      </rPr>
      <t>SIZE</t>
    </r>
  </si>
  <si>
    <r>
      <rPr>
        <b/>
        <sz val="9"/>
        <rFont val="Arial"/>
        <family val="2"/>
      </rPr>
      <t>WHSLE $</t>
    </r>
  </si>
  <si>
    <t>Importantly!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</si>
  <si>
    <t>WEIGHT, KG</t>
  </si>
  <si>
    <t>Unіt Freight Cost</t>
  </si>
  <si>
    <t>unit, key</t>
  </si>
  <si>
    <t>Weight, kg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</si>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</sst>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_-[$$-2809]* #,##0.00_-;\-[$$-2809]* #,##0.00_-;_-[$$-2809]* &quot;-&quot;??_-;_-@_-"/>
    <numFmt numFmtId="166" formatCode="_-[$$-409]* #,##0.00_ ;_-[$$-409]* \-#,##0.00\ ;_-[$$-409]* &quot;-&quot;??_ ;_-@_ "/>
    <numFmt numFmtId="167" formatCode="[$$-409]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name val="Calibri Light"/>
      <family val="2"/>
      <charset val="204"/>
      <scheme val="major"/>
    </font>
    <font>
      <b/>
      <sz val="8.5"/>
      <name val="Arial"/>
      <family val="2"/>
      <charset val="204"/>
    </font>
    <font>
      <sz val="9"/>
      <name val="Calibri Light"/>
      <family val="2"/>
      <charset val="204"/>
      <scheme val="major"/>
    </font>
    <font>
      <sz val="8"/>
      <color rgb="FF000000"/>
      <name val="Arial MT"/>
      <family val="2"/>
    </font>
    <font>
      <sz val="8"/>
      <name val="Arial MT"/>
    </font>
    <font>
      <sz val="8"/>
      <name val="Arial MT"/>
      <family val="2"/>
    </font>
    <font>
      <b/>
      <vertAlign val="superscript"/>
      <sz val="9"/>
      <name val="Calibri Light"/>
      <family val="2"/>
      <charset val="204"/>
      <scheme val="major"/>
    </font>
    <font>
      <i/>
      <sz val="9"/>
      <name val="Calibri Light"/>
      <family val="2"/>
      <charset val="204"/>
      <scheme val="major"/>
    </font>
    <font>
      <b/>
      <sz val="8.5"/>
      <name val="Arial"/>
      <family val="2"/>
    </font>
    <font>
      <vertAlign val="superscript"/>
      <sz val="9"/>
      <name val="Calibri Light"/>
      <family val="2"/>
      <charset val="204"/>
      <scheme val="major"/>
    </font>
    <font>
      <b/>
      <sz val="7"/>
      <name val="Arial"/>
      <family val="2"/>
      <charset val="204"/>
    </font>
    <font>
      <vertAlign val="subscript"/>
      <sz val="9"/>
      <name val="Calibri Light"/>
      <family val="2"/>
      <charset val="204"/>
      <scheme val="major"/>
    </font>
    <font>
      <b/>
      <vertAlign val="subscript"/>
      <sz val="9"/>
      <name val="Calibri Light"/>
      <family val="2"/>
      <charset val="204"/>
      <scheme val="major"/>
    </font>
    <font>
      <sz val="11"/>
      <name val="Calibri"/>
      <family val="2"/>
      <scheme val="minor"/>
    </font>
    <font>
      <sz val="8"/>
      <color rgb="FF000000"/>
      <name val="Arial MT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CBEC0"/>
      </patternFill>
    </fill>
    <fill>
      <patternFill patternType="solid">
        <fgColor rgb="FF8F63AA"/>
      </patternFill>
    </fill>
    <fill>
      <patternFill patternType="solid">
        <fgColor rgb="FFDCDDDE"/>
      </patternFill>
    </fill>
    <fill>
      <patternFill patternType="solid">
        <fgColor rgb="FFABE1FA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2" borderId="2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12" fillId="4" borderId="3" xfId="0" applyFont="1" applyFill="1" applyBorder="1" applyAlignment="1">
      <alignment horizontal="center" vertical="top" wrapText="1"/>
    </xf>
    <xf numFmtId="0" fontId="12" fillId="3" borderId="3" xfId="0" applyFont="1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2" borderId="3" xfId="0" applyFont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0" borderId="0" xfId="0" applyFont="1"/>
    <xf numFmtId="165" fontId="3" fillId="2" borderId="2" xfId="0" applyNumberFormat="1" applyFont="1" applyFill="1" applyBorder="1" applyAlignment="1">
      <alignment horizontal="center" vertical="top" wrapText="1"/>
    </xf>
    <xf numFmtId="165" fontId="0" fillId="3" borderId="3" xfId="0" applyNumberFormat="1" applyFill="1" applyBorder="1" applyAlignment="1">
      <alignment horizontal="center" vertical="top" wrapText="1"/>
    </xf>
    <xf numFmtId="165" fontId="3" fillId="2" borderId="3" xfId="0" applyNumberFormat="1" applyFont="1" applyFill="1" applyBorder="1" applyAlignment="1">
      <alignment horizontal="center" vertical="top" wrapText="1"/>
    </xf>
    <xf numFmtId="165" fontId="3" fillId="2" borderId="3" xfId="0" applyNumberFormat="1" applyFont="1" applyFill="1" applyBorder="1" applyAlignment="1">
      <alignment vertical="top" wrapText="1"/>
    </xf>
    <xf numFmtId="165" fontId="0" fillId="3" borderId="3" xfId="0" applyNumberFormat="1" applyFill="1" applyBorder="1" applyAlignment="1">
      <alignment vertical="top" wrapText="1"/>
    </xf>
    <xf numFmtId="165" fontId="3" fillId="3" borderId="3" xfId="0" applyNumberFormat="1" applyFont="1" applyFill="1" applyBorder="1" applyAlignment="1">
      <alignment horizontal="center" vertical="top" wrapText="1"/>
    </xf>
    <xf numFmtId="165" fontId="0" fillId="0" borderId="3" xfId="0" applyNumberFormat="1" applyBorder="1" applyAlignment="1">
      <alignment horizontal="center" vertical="top" wrapText="1"/>
    </xf>
    <xf numFmtId="165" fontId="0" fillId="0" borderId="4" xfId="0" applyNumberFormat="1" applyBorder="1" applyAlignment="1">
      <alignment horizontal="center" vertical="top" wrapText="1"/>
    </xf>
    <xf numFmtId="165" fontId="0" fillId="2" borderId="2" xfId="0" applyNumberFormat="1" applyFill="1" applyBorder="1" applyAlignment="1">
      <alignment horizontal="center" vertical="top" wrapText="1"/>
    </xf>
    <xf numFmtId="165" fontId="12" fillId="4" borderId="3" xfId="0" applyNumberFormat="1" applyFont="1" applyFill="1" applyBorder="1" applyAlignment="1">
      <alignment horizontal="center" vertical="top" wrapText="1"/>
    </xf>
    <xf numFmtId="165" fontId="12" fillId="3" borderId="3" xfId="0" applyNumberFormat="1" applyFont="1" applyFill="1" applyBorder="1" applyAlignment="1">
      <alignment horizontal="center" vertical="top" wrapText="1"/>
    </xf>
    <xf numFmtId="165" fontId="0" fillId="5" borderId="3" xfId="0" applyNumberFormat="1" applyFill="1" applyBorder="1" applyAlignment="1">
      <alignment horizontal="center" vertical="top" wrapText="1"/>
    </xf>
    <xf numFmtId="165" fontId="15" fillId="0" borderId="3" xfId="0" applyNumberFormat="1" applyFont="1" applyBorder="1" applyAlignment="1">
      <alignment horizontal="center" vertical="top" wrapText="1"/>
    </xf>
    <xf numFmtId="165" fontId="0" fillId="0" borderId="0" xfId="0" applyNumberFormat="1" applyAlignment="1">
      <alignment horizontal="center" wrapText="1"/>
    </xf>
    <xf numFmtId="0" fontId="20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left" vertical="top" wrapText="1"/>
    </xf>
    <xf numFmtId="165" fontId="3" fillId="2" borderId="7" xfId="0" applyNumberFormat="1" applyFont="1" applyFill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165" fontId="0" fillId="3" borderId="10" xfId="0" applyNumberForma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left" vertical="top" wrapText="1"/>
    </xf>
    <xf numFmtId="165" fontId="3" fillId="2" borderId="10" xfId="0" applyNumberFormat="1" applyFont="1" applyFill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0" fillId="2" borderId="9" xfId="0" applyFont="1" applyFill="1" applyBorder="1" applyAlignment="1">
      <alignment vertical="top" wrapText="1"/>
    </xf>
    <xf numFmtId="165" fontId="3" fillId="2" borderId="10" xfId="0" applyNumberFormat="1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165" fontId="0" fillId="3" borderId="10" xfId="0" applyNumberFormat="1" applyFill="1" applyBorder="1" applyAlignment="1">
      <alignment vertical="top" wrapText="1"/>
    </xf>
    <xf numFmtId="0" fontId="2" fillId="3" borderId="9" xfId="0" applyFont="1" applyFill="1" applyBorder="1" applyAlignment="1">
      <alignment horizontal="left" vertical="top" wrapText="1"/>
    </xf>
    <xf numFmtId="165" fontId="3" fillId="3" borderId="10" xfId="0" applyNumberFormat="1" applyFont="1" applyFill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165" fontId="0" fillId="0" borderId="10" xfId="0" applyNumberFormat="1" applyBorder="1" applyAlignment="1">
      <alignment horizontal="center" vertical="top" wrapText="1"/>
    </xf>
    <xf numFmtId="165" fontId="0" fillId="0" borderId="13" xfId="0" applyNumberFormat="1" applyBorder="1" applyAlignment="1">
      <alignment horizontal="center" vertical="top" wrapText="1"/>
    </xf>
    <xf numFmtId="0" fontId="4" fillId="2" borderId="6" xfId="0" applyFont="1" applyFill="1" applyBorder="1" applyAlignment="1">
      <alignment horizontal="left" vertical="top" wrapText="1"/>
    </xf>
    <xf numFmtId="165" fontId="0" fillId="2" borderId="7" xfId="0" applyNumberForma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left" vertical="top" wrapText="1"/>
    </xf>
    <xf numFmtId="165" fontId="12" fillId="4" borderId="10" xfId="0" applyNumberFormat="1" applyFont="1" applyFill="1" applyBorder="1" applyAlignment="1">
      <alignment horizontal="center" vertical="top" wrapText="1"/>
    </xf>
    <xf numFmtId="165" fontId="12" fillId="3" borderId="10" xfId="0" applyNumberFormat="1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165" fontId="0" fillId="5" borderId="10" xfId="0" applyNumberFormat="1" applyFill="1" applyBorder="1" applyAlignment="1">
      <alignment horizontal="center" vertical="top" wrapText="1"/>
    </xf>
    <xf numFmtId="0" fontId="4" fillId="0" borderId="9" xfId="0" applyFont="1" applyBorder="1" applyAlignment="1">
      <alignment horizontal="left" vertical="center" wrapText="1"/>
    </xf>
    <xf numFmtId="165" fontId="15" fillId="0" borderId="10" xfId="0" applyNumberFormat="1" applyFont="1" applyBorder="1" applyAlignment="1">
      <alignment horizontal="center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2" borderId="6" xfId="0" applyFont="1" applyFill="1" applyBorder="1" applyAlignment="1">
      <alignment horizontal="center" vertical="top" wrapText="1"/>
    </xf>
    <xf numFmtId="1" fontId="5" fillId="0" borderId="12" xfId="0" applyNumberFormat="1" applyFont="1" applyBorder="1" applyAlignment="1">
      <alignment horizontal="center" vertical="top" wrapText="1" shrinkToFit="1"/>
    </xf>
    <xf numFmtId="0" fontId="0" fillId="3" borderId="9" xfId="0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164" fontId="5" fillId="0" borderId="12" xfId="0" applyNumberFormat="1" applyFont="1" applyBorder="1" applyAlignment="1">
      <alignment horizontal="center" vertical="top" wrapText="1" shrinkToFit="1"/>
    </xf>
    <xf numFmtId="164" fontId="16" fillId="0" borderId="12" xfId="0" applyNumberFormat="1" applyFont="1" applyBorder="1" applyAlignment="1">
      <alignment horizontal="center" vertical="top" wrapText="1" shrinkToFit="1"/>
    </xf>
    <xf numFmtId="0" fontId="0" fillId="0" borderId="12" xfId="0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12" fillId="4" borderId="9" xfId="0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center" vertical="top" wrapText="1"/>
    </xf>
    <xf numFmtId="0" fontId="0" fillId="5" borderId="9" xfId="0" applyFill="1" applyBorder="1" applyAlignment="1">
      <alignment horizontal="center" vertical="top" wrapText="1"/>
    </xf>
    <xf numFmtId="0" fontId="15" fillId="0" borderId="9" xfId="0" applyFont="1" applyBorder="1" applyAlignment="1">
      <alignment horizontal="center" vertical="top" wrapText="1"/>
    </xf>
    <xf numFmtId="1" fontId="5" fillId="0" borderId="15" xfId="0" applyNumberFormat="1" applyFont="1" applyBorder="1" applyAlignment="1">
      <alignment horizontal="center" vertical="top" wrapText="1" shrinkToFit="1"/>
    </xf>
    <xf numFmtId="14" fontId="21" fillId="0" borderId="0" xfId="0" applyNumberFormat="1" applyFont="1" applyAlignment="1">
      <alignment horizontal="center" vertical="center"/>
    </xf>
    <xf numFmtId="165" fontId="18" fillId="0" borderId="5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165" fontId="18" fillId="0" borderId="20" xfId="0" applyNumberFormat="1" applyFont="1" applyBorder="1" applyAlignment="1">
      <alignment horizontal="center" vertical="center" wrapText="1"/>
    </xf>
    <xf numFmtId="165" fontId="18" fillId="0" borderId="22" xfId="0" applyNumberFormat="1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top" wrapText="1" shrinkToFit="1"/>
    </xf>
    <xf numFmtId="165" fontId="5" fillId="0" borderId="23" xfId="0" applyNumberFormat="1" applyFont="1" applyBorder="1" applyAlignment="1">
      <alignment horizontal="center" vertical="top" wrapText="1" shrinkToFit="1"/>
    </xf>
    <xf numFmtId="0" fontId="18" fillId="0" borderId="5" xfId="0" applyFont="1" applyBorder="1" applyAlignment="1">
      <alignment horizontal="center" vertical="center" wrapText="1"/>
    </xf>
    <xf numFmtId="0" fontId="17" fillId="2" borderId="24" xfId="0" applyFont="1" applyFill="1" applyBorder="1" applyAlignment="1" applyProtection="1">
      <alignment horizontal="center" vertical="top" wrapText="1"/>
      <protection locked="0"/>
    </xf>
    <xf numFmtId="0" fontId="22" fillId="0" borderId="25" xfId="0" applyFont="1" applyBorder="1" applyAlignment="1" applyProtection="1">
      <alignment horizontal="center" vertical="center" wrapText="1"/>
      <protection locked="0"/>
    </xf>
    <xf numFmtId="0" fontId="22" fillId="3" borderId="25" xfId="0" applyFont="1" applyFill="1" applyBorder="1" applyAlignment="1" applyProtection="1">
      <alignment horizontal="center" vertical="top" wrapText="1"/>
      <protection locked="0"/>
    </xf>
    <xf numFmtId="0" fontId="17" fillId="2" borderId="25" xfId="0" applyFont="1" applyFill="1" applyBorder="1" applyAlignment="1" applyProtection="1">
      <alignment horizontal="center" vertical="top" wrapText="1"/>
      <protection locked="0"/>
    </xf>
    <xf numFmtId="0" fontId="22" fillId="0" borderId="25" xfId="0" applyFont="1" applyBorder="1" applyAlignment="1" applyProtection="1">
      <alignment horizontal="center" wrapText="1"/>
      <protection locked="0"/>
    </xf>
    <xf numFmtId="0" fontId="17" fillId="2" borderId="25" xfId="0" applyFont="1" applyFill="1" applyBorder="1" applyAlignment="1" applyProtection="1">
      <alignment vertical="top" wrapText="1"/>
      <protection locked="0"/>
    </xf>
    <xf numFmtId="0" fontId="22" fillId="3" borderId="25" xfId="0" applyFont="1" applyFill="1" applyBorder="1" applyAlignment="1" applyProtection="1">
      <alignment vertical="top" wrapText="1"/>
      <protection locked="0"/>
    </xf>
    <xf numFmtId="0" fontId="17" fillId="3" borderId="25" xfId="0" applyFont="1" applyFill="1" applyBorder="1" applyAlignment="1" applyProtection="1">
      <alignment horizontal="center" vertical="top" wrapText="1"/>
      <protection locked="0"/>
    </xf>
    <xf numFmtId="0" fontId="22" fillId="0" borderId="25" xfId="0" applyFont="1" applyBorder="1" applyAlignment="1" applyProtection="1">
      <alignment horizontal="center" vertical="top" wrapText="1"/>
      <protection locked="0"/>
    </xf>
    <xf numFmtId="0" fontId="22" fillId="0" borderId="26" xfId="0" applyFont="1" applyBorder="1" applyAlignment="1" applyProtection="1">
      <alignment horizontal="center" vertical="top" wrapText="1"/>
      <protection locked="0"/>
    </xf>
    <xf numFmtId="0" fontId="22" fillId="2" borderId="24" xfId="0" applyFont="1" applyFill="1" applyBorder="1" applyAlignment="1" applyProtection="1">
      <alignment horizontal="center" vertical="top" wrapText="1"/>
      <protection locked="0"/>
    </xf>
    <xf numFmtId="0" fontId="17" fillId="4" borderId="25" xfId="0" applyFont="1" applyFill="1" applyBorder="1" applyAlignment="1" applyProtection="1">
      <alignment horizontal="center" vertical="top" wrapText="1"/>
      <protection locked="0"/>
    </xf>
    <xf numFmtId="0" fontId="22" fillId="5" borderId="25" xfId="0" applyFont="1" applyFill="1" applyBorder="1" applyAlignment="1" applyProtection="1">
      <alignment horizontal="center" vertical="top" wrapText="1"/>
      <protection locked="0"/>
    </xf>
    <xf numFmtId="0" fontId="23" fillId="0" borderId="25" xfId="0" applyFont="1" applyBorder="1" applyAlignment="1" applyProtection="1">
      <alignment horizontal="center" vertical="top" wrapText="1"/>
      <protection locked="0"/>
    </xf>
    <xf numFmtId="0" fontId="22" fillId="0" borderId="27" xfId="0" applyFont="1" applyBorder="1" applyAlignment="1" applyProtection="1">
      <alignment horizontal="center" wrapText="1"/>
      <protection locked="0"/>
    </xf>
    <xf numFmtId="0" fontId="22" fillId="0" borderId="0" xfId="0" applyFont="1" applyAlignment="1" applyProtection="1">
      <alignment horizontal="center" wrapText="1"/>
      <protection locked="0"/>
    </xf>
    <xf numFmtId="0" fontId="18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 shrinkToFit="1"/>
    </xf>
    <xf numFmtId="1" fontId="16" fillId="0" borderId="1" xfId="0" applyNumberFormat="1" applyFont="1" applyBorder="1" applyAlignment="1">
      <alignment horizontal="center" vertical="top" wrapText="1" shrinkToFit="1"/>
    </xf>
    <xf numFmtId="0" fontId="0" fillId="0" borderId="1" xfId="0" applyBorder="1" applyAlignment="1">
      <alignment horizontal="center" vertical="top" wrapText="1"/>
    </xf>
    <xf numFmtId="1" fontId="5" fillId="0" borderId="21" xfId="0" applyNumberFormat="1" applyFont="1" applyBorder="1" applyAlignment="1">
      <alignment horizontal="center" vertical="top" wrapText="1" shrinkToFit="1"/>
    </xf>
    <xf numFmtId="165" fontId="5" fillId="0" borderId="3" xfId="0" applyNumberFormat="1" applyFont="1" applyBorder="1" applyAlignment="1">
      <alignment horizontal="center" vertical="top" wrapText="1" shrinkToFit="1"/>
    </xf>
    <xf numFmtId="165" fontId="16" fillId="0" borderId="3" xfId="0" applyNumberFormat="1" applyFont="1" applyBorder="1" applyAlignment="1">
      <alignment horizontal="center" vertical="top" wrapText="1" shrinkToFit="1"/>
    </xf>
    <xf numFmtId="165" fontId="5" fillId="0" borderId="28" xfId="0" applyNumberFormat="1" applyFont="1" applyBorder="1" applyAlignment="1">
      <alignment horizontal="center" vertical="top" wrapText="1" shrinkToFit="1"/>
    </xf>
    <xf numFmtId="0" fontId="3" fillId="2" borderId="0" xfId="0" applyFont="1" applyFill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0" fontId="0" fillId="3" borderId="25" xfId="0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vertical="top" wrapText="1"/>
    </xf>
    <xf numFmtId="0" fontId="0" fillId="3" borderId="25" xfId="0" applyFill="1" applyBorder="1" applyAlignment="1">
      <alignment vertical="top" wrapText="1"/>
    </xf>
    <xf numFmtId="0" fontId="3" fillId="3" borderId="25" xfId="0" applyFont="1" applyFill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12" fillId="4" borderId="25" xfId="0" applyFont="1" applyFill="1" applyBorder="1" applyAlignment="1">
      <alignment horizontal="center" vertical="top" wrapText="1"/>
    </xf>
    <xf numFmtId="0" fontId="12" fillId="3" borderId="25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0" fillId="5" borderId="25" xfId="0" applyFill="1" applyBorder="1" applyAlignment="1">
      <alignment horizontal="center" vertical="top" wrapText="1"/>
    </xf>
    <xf numFmtId="0" fontId="15" fillId="0" borderId="25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14" fontId="25" fillId="6" borderId="5" xfId="0" applyNumberFormat="1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166" fontId="26" fillId="6" borderId="5" xfId="0" applyNumberFormat="1" applyFont="1" applyFill="1" applyBorder="1" applyAlignment="1" applyProtection="1">
      <alignment horizontal="center" vertical="center" wrapText="1" readingOrder="1"/>
      <protection hidden="1"/>
    </xf>
    <xf numFmtId="0" fontId="27" fillId="0" borderId="0" xfId="0" applyFont="1"/>
    <xf numFmtId="167" fontId="25" fillId="6" borderId="5" xfId="0" applyNumberFormat="1" applyFont="1" applyFill="1" applyBorder="1" applyAlignment="1">
      <alignment horizontal="center" vertical="center"/>
    </xf>
    <xf numFmtId="0" fontId="28" fillId="7" borderId="5" xfId="0" applyFont="1" applyFill="1" applyBorder="1" applyAlignment="1" applyProtection="1">
      <alignment horizontal="center" vertical="center" wrapText="1" readingOrder="1"/>
      <protection locked="0"/>
    </xf>
    <xf numFmtId="4" fontId="25" fillId="7" borderId="31" xfId="0" applyNumberFormat="1" applyFont="1" applyFill="1" applyBorder="1" applyAlignment="1">
      <alignment horizontal="center" vertical="center"/>
    </xf>
    <xf numFmtId="166" fontId="26" fillId="7" borderId="5" xfId="0" applyNumberFormat="1" applyFont="1" applyFill="1" applyBorder="1" applyAlignment="1" applyProtection="1">
      <alignment horizontal="center" vertical="center" wrapText="1" readingOrder="1"/>
      <protection hidden="1"/>
    </xf>
    <xf numFmtId="166" fontId="26" fillId="0" borderId="0" xfId="0" applyNumberFormat="1" applyFont="1" applyAlignment="1" applyProtection="1">
      <alignment vertical="center" wrapText="1" readingOrder="1"/>
      <protection hidden="1"/>
    </xf>
    <xf numFmtId="0" fontId="25" fillId="8" borderId="5" xfId="0" applyFont="1" applyFill="1" applyBorder="1" applyAlignment="1">
      <alignment horizontal="center" vertical="center" wrapText="1"/>
    </xf>
    <xf numFmtId="4" fontId="25" fillId="0" borderId="0" xfId="0" applyNumberFormat="1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4" fillId="0" borderId="16" xfId="0" applyFont="1" applyBorder="1" applyAlignment="1">
      <alignment horizontal="left" wrapText="1"/>
    </xf>
    <xf numFmtId="14" fontId="25" fillId="6" borderId="30" xfId="0" applyNumberFormat="1" applyFont="1" applyFill="1" applyBorder="1" applyAlignment="1">
      <alignment horizontal="center" vertical="center" wrapText="1"/>
    </xf>
    <xf numFmtId="14" fontId="25" fillId="6" borderId="31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563881</xdr:colOff>
      <xdr:row>0</xdr:row>
      <xdr:rowOff>0</xdr:rowOff>
    </xdr:from>
    <xdr:to>
      <xdr:col>5</xdr:col>
      <xdr:colOff>137161</xdr:colOff>
      <xdr:row>0</xdr:row>
      <xdr:rowOff>937684</xdr:rowOff>
    </xdr:to>
    <xdr:pic>
      <xdr:nvPicPr>
        <xdr:cNvPr id="2" name="Рисунок 1" descr="https://cdn.shopify.com/s/files/1/0676/4065/6182/files/logo-BBN-wtag-w1520.png?v=1672414438&amp;width=1520">
          <a:extLst>
            <a:ext uri="{FF2B5EF4-FFF2-40B4-BE49-F238E27FC236}">
              <a16:creationId xmlns:a16="http://schemas.microsoft.com/office/drawing/2014/main" id="{9686C225-1B14-4830-B6C9-50EFD4454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1" y="0"/>
          <a:ext cx="2011680" cy="937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7"/>
  <sheetViews>
    <sheetView tabSelected="1" zoomScale="90" zoomScaleNormal="90" workbookViewId="0">
      <pane ySplit="2" topLeftCell="A3" activePane="bottomLeft" state="frozen"/>
      <selection pane="bottomLeft" activeCell="H634" sqref="H634"/>
    </sheetView>
  </sheetViews>
  <sheetFormatPr defaultRowHeight="14.4"/>
  <cols>
    <col min="1" max="1" width="79.33203125" style="12" customWidth="1"/>
    <col min="2" max="4" width="8.88671875" style="13"/>
    <col min="5" max="5" width="8.88671875" style="30"/>
    <col min="6" max="6" width="8.88671875" style="106"/>
    <col min="7" max="7" width="10.5546875" style="30" customWidth="1"/>
    <col min="8" max="8" width="12.77734375" customWidth="1"/>
    <col min="9" max="9" width="7.109375" customWidth="1"/>
    <col min="10" max="10" width="8.88671875" style="136" customWidth="1"/>
    <col min="11" max="11" width="9.6640625" style="136" customWidth="1"/>
    <col min="12" max="12" width="9.88671875" style="136" customWidth="1"/>
    <col min="13" max="13" width="11.33203125" style="136" customWidth="1"/>
    <col min="14" max="14" width="5.5546875" style="136" customWidth="1"/>
    <col min="15" max="15" width="11.88671875" style="136" customWidth="1"/>
  </cols>
  <sheetData>
    <row r="1" spans="1:15" ht="75.599999999999994" customHeight="1" thickBot="1">
      <c r="A1" s="146" t="s">
        <v>446</v>
      </c>
      <c r="B1" s="146"/>
      <c r="C1" s="146"/>
      <c r="D1" s="146"/>
      <c r="E1" s="146"/>
      <c r="F1" s="146"/>
      <c r="G1" s="146"/>
      <c r="H1" s="81">
        <v>45421</v>
      </c>
      <c r="J1" s="133" t="s">
        <v>448</v>
      </c>
      <c r="K1" s="147" t="s">
        <v>449</v>
      </c>
      <c r="L1" s="134" t="s">
        <v>450</v>
      </c>
      <c r="M1" s="135" t="s">
        <v>451</v>
      </c>
      <c r="O1" s="137" t="str">
        <f>IFERROR(IF(SUM(O3:O276)=0, "-", H2+M2), "-")</f>
        <v>-</v>
      </c>
    </row>
    <row r="2" spans="1:15" s="31" customFormat="1" ht="29.4" customHeight="1" thickBot="1">
      <c r="A2" s="83" t="s">
        <v>0</v>
      </c>
      <c r="B2" s="84" t="s">
        <v>443</v>
      </c>
      <c r="C2" s="85" t="s">
        <v>444</v>
      </c>
      <c r="D2" s="107" t="s">
        <v>447</v>
      </c>
      <c r="E2" s="86" t="s">
        <v>445</v>
      </c>
      <c r="F2" s="90" t="s">
        <v>442</v>
      </c>
      <c r="G2" s="87" t="s">
        <v>441</v>
      </c>
      <c r="H2" s="82">
        <f>SUM(G4:G647)</f>
        <v>0</v>
      </c>
      <c r="J2" s="138"/>
      <c r="K2" s="148"/>
      <c r="L2" s="139" t="str">
        <f>IF(SUM(L3:L276)=0, "-", SUM(L3:L276))</f>
        <v>-</v>
      </c>
      <c r="M2" s="140" t="str">
        <f>IF(SUM(M3:M276)=0, "-", SUM(M3:M276))</f>
        <v>-</v>
      </c>
      <c r="N2" s="141"/>
      <c r="O2" s="142" t="s">
        <v>452</v>
      </c>
    </row>
    <row r="3" spans="1:15" ht="15" thickBot="1">
      <c r="A3" s="32" t="s">
        <v>1</v>
      </c>
      <c r="B3" s="64"/>
      <c r="C3" s="1"/>
      <c r="D3" s="116"/>
      <c r="E3" s="17"/>
      <c r="F3" s="91"/>
      <c r="G3" s="33"/>
      <c r="J3" s="143" t="str">
        <f>IFERROR(IF($J$2*D3=0, "-", $J$2*D3), "-")</f>
        <v>-</v>
      </c>
      <c r="K3" s="143" t="str">
        <f>IF(F3&gt;0,E3+D3*F3/$L$2*$M$2/F3,"-")</f>
        <v>-</v>
      </c>
      <c r="L3" s="144" t="str">
        <f>IF(F3&gt;0,F3*D3*1.113, "-")</f>
        <v>-</v>
      </c>
      <c r="M3" s="145" t="str">
        <f>IFERROR(IF($J$2&gt;0, $J$2*L3, "-"), "-")</f>
        <v>-</v>
      </c>
      <c r="O3" s="145" t="str">
        <f>IFERROR(IF(M3+G3=0, "-", IF(M3&gt;0, M3+G3, "-")), "-")</f>
        <v>-</v>
      </c>
    </row>
    <row r="4" spans="1:15">
      <c r="A4" s="34" t="s">
        <v>2</v>
      </c>
      <c r="B4" s="65">
        <v>1730</v>
      </c>
      <c r="C4" s="108" t="s">
        <v>3</v>
      </c>
      <c r="D4" s="117">
        <v>0.39</v>
      </c>
      <c r="E4" s="113">
        <v>24.95</v>
      </c>
      <c r="F4" s="92"/>
      <c r="G4" s="88">
        <f>F4*E4</f>
        <v>0</v>
      </c>
      <c r="J4" s="143" t="str">
        <f t="shared" ref="J4:J67" si="0">IFERROR(IF($J$2*D4=0, "-", $J$2*D4), "-")</f>
        <v>-</v>
      </c>
      <c r="K4" s="143" t="str">
        <f t="shared" ref="K4:K67" si="1">IF(F4&gt;0,E4+D4*F4/$L$2*$M$2/F4,"-")</f>
        <v>-</v>
      </c>
      <c r="L4" s="144" t="str">
        <f t="shared" ref="L4:L67" si="2">IF(F4&gt;0,F4*D4*1.113, "-")</f>
        <v>-</v>
      </c>
      <c r="M4" s="145" t="str">
        <f t="shared" ref="M4:M67" si="3">IFERROR(IF($J$2&gt;0, $J$2*L4, "-"), "-")</f>
        <v>-</v>
      </c>
      <c r="O4" s="145" t="str">
        <f t="shared" ref="O4:O67" si="4">IFERROR(IF(M4+G4=0, "-", IF(M4&gt;0, M4+G4, "-")), "-")</f>
        <v>-</v>
      </c>
    </row>
    <row r="5" spans="1:15">
      <c r="A5" s="34" t="s">
        <v>4</v>
      </c>
      <c r="B5" s="65">
        <v>1746</v>
      </c>
      <c r="C5" s="108" t="s">
        <v>3</v>
      </c>
      <c r="D5" s="118">
        <v>0.39</v>
      </c>
      <c r="E5" s="113">
        <v>24.95</v>
      </c>
      <c r="F5" s="92"/>
      <c r="G5" s="88">
        <f>F5*E5</f>
        <v>0</v>
      </c>
      <c r="J5" s="143" t="str">
        <f t="shared" si="0"/>
        <v>-</v>
      </c>
      <c r="K5" s="143" t="str">
        <f t="shared" si="1"/>
        <v>-</v>
      </c>
      <c r="L5" s="144" t="str">
        <f t="shared" si="2"/>
        <v>-</v>
      </c>
      <c r="M5" s="145" t="str">
        <f t="shared" si="3"/>
        <v>-</v>
      </c>
      <c r="O5" s="145" t="str">
        <f t="shared" si="4"/>
        <v>-</v>
      </c>
    </row>
    <row r="6" spans="1:15">
      <c r="A6" s="35" t="s">
        <v>5</v>
      </c>
      <c r="B6" s="66"/>
      <c r="C6" s="2"/>
      <c r="D6" s="119"/>
      <c r="E6" s="18"/>
      <c r="F6" s="93"/>
      <c r="G6" s="36"/>
      <c r="J6" s="143" t="str">
        <f t="shared" si="0"/>
        <v>-</v>
      </c>
      <c r="K6" s="143" t="str">
        <f t="shared" si="1"/>
        <v>-</v>
      </c>
      <c r="L6" s="144" t="str">
        <f t="shared" si="2"/>
        <v>-</v>
      </c>
      <c r="M6" s="145" t="str">
        <f t="shared" si="3"/>
        <v>-</v>
      </c>
      <c r="O6" s="145" t="str">
        <f t="shared" si="4"/>
        <v>-</v>
      </c>
    </row>
    <row r="7" spans="1:15">
      <c r="A7" s="34" t="s">
        <v>6</v>
      </c>
      <c r="B7" s="65">
        <v>1500</v>
      </c>
      <c r="C7" s="108">
        <v>60</v>
      </c>
      <c r="D7" s="118">
        <v>0.2</v>
      </c>
      <c r="E7" s="113">
        <v>20.43</v>
      </c>
      <c r="F7" s="92"/>
      <c r="G7" s="88">
        <f t="shared" ref="G7:G18" si="5">F7*E7</f>
        <v>0</v>
      </c>
      <c r="J7" s="143" t="str">
        <f t="shared" si="0"/>
        <v>-</v>
      </c>
      <c r="K7" s="143" t="str">
        <f t="shared" si="1"/>
        <v>-</v>
      </c>
      <c r="L7" s="144" t="str">
        <f t="shared" si="2"/>
        <v>-</v>
      </c>
      <c r="M7" s="145" t="str">
        <f t="shared" si="3"/>
        <v>-</v>
      </c>
      <c r="O7" s="145" t="str">
        <f t="shared" si="4"/>
        <v>-</v>
      </c>
    </row>
    <row r="8" spans="1:15">
      <c r="A8" s="34"/>
      <c r="B8" s="65">
        <v>1502</v>
      </c>
      <c r="C8" s="108">
        <v>90</v>
      </c>
      <c r="D8" s="118">
        <v>0.27</v>
      </c>
      <c r="E8" s="113">
        <v>29.67</v>
      </c>
      <c r="F8" s="92"/>
      <c r="G8" s="88">
        <f t="shared" si="5"/>
        <v>0</v>
      </c>
      <c r="J8" s="143" t="str">
        <f t="shared" si="0"/>
        <v>-</v>
      </c>
      <c r="K8" s="143" t="str">
        <f t="shared" si="1"/>
        <v>-</v>
      </c>
      <c r="L8" s="144" t="str">
        <f t="shared" si="2"/>
        <v>-</v>
      </c>
      <c r="M8" s="145" t="str">
        <f t="shared" si="3"/>
        <v>-</v>
      </c>
      <c r="O8" s="145" t="str">
        <f t="shared" si="4"/>
        <v>-</v>
      </c>
    </row>
    <row r="9" spans="1:15">
      <c r="A9" s="34" t="s">
        <v>7</v>
      </c>
      <c r="B9" s="65">
        <v>1504</v>
      </c>
      <c r="C9" s="108">
        <v>90</v>
      </c>
      <c r="D9" s="118">
        <v>0.2</v>
      </c>
      <c r="E9" s="113">
        <v>14.19</v>
      </c>
      <c r="F9" s="92"/>
      <c r="G9" s="88">
        <f t="shared" si="5"/>
        <v>0</v>
      </c>
      <c r="J9" s="143" t="str">
        <f t="shared" si="0"/>
        <v>-</v>
      </c>
      <c r="K9" s="143" t="str">
        <f t="shared" si="1"/>
        <v>-</v>
      </c>
      <c r="L9" s="144" t="str">
        <f t="shared" si="2"/>
        <v>-</v>
      </c>
      <c r="M9" s="145" t="str">
        <f t="shared" si="3"/>
        <v>-</v>
      </c>
      <c r="O9" s="145" t="str">
        <f t="shared" si="4"/>
        <v>-</v>
      </c>
    </row>
    <row r="10" spans="1:15">
      <c r="A10" s="34" t="s">
        <v>8</v>
      </c>
      <c r="B10" s="65">
        <v>1508</v>
      </c>
      <c r="C10" s="108" t="s">
        <v>9</v>
      </c>
      <c r="D10" s="118">
        <v>0.27</v>
      </c>
      <c r="E10" s="113">
        <v>19.760000000000002</v>
      </c>
      <c r="F10" s="92"/>
      <c r="G10" s="88">
        <f t="shared" si="5"/>
        <v>0</v>
      </c>
      <c r="J10" s="143" t="str">
        <f t="shared" si="0"/>
        <v>-</v>
      </c>
      <c r="K10" s="143" t="str">
        <f t="shared" si="1"/>
        <v>-</v>
      </c>
      <c r="L10" s="144" t="str">
        <f t="shared" si="2"/>
        <v>-</v>
      </c>
      <c r="M10" s="145" t="str">
        <f t="shared" si="3"/>
        <v>-</v>
      </c>
      <c r="O10" s="145" t="str">
        <f t="shared" si="4"/>
        <v>-</v>
      </c>
    </row>
    <row r="11" spans="1:15">
      <c r="A11" s="34" t="s">
        <v>10</v>
      </c>
      <c r="B11" s="65">
        <v>1512</v>
      </c>
      <c r="C11" s="108">
        <v>90</v>
      </c>
      <c r="D11" s="118">
        <v>0.2</v>
      </c>
      <c r="E11" s="113">
        <v>16.829999999999998</v>
      </c>
      <c r="F11" s="92"/>
      <c r="G11" s="88">
        <f t="shared" si="5"/>
        <v>0</v>
      </c>
      <c r="J11" s="143" t="str">
        <f t="shared" si="0"/>
        <v>-</v>
      </c>
      <c r="K11" s="143" t="str">
        <f t="shared" si="1"/>
        <v>-</v>
      </c>
      <c r="L11" s="144" t="str">
        <f t="shared" si="2"/>
        <v>-</v>
      </c>
      <c r="M11" s="145" t="str">
        <f t="shared" si="3"/>
        <v>-</v>
      </c>
      <c r="O11" s="145" t="str">
        <f t="shared" si="4"/>
        <v>-</v>
      </c>
    </row>
    <row r="12" spans="1:15">
      <c r="A12" s="34" t="s">
        <v>11</v>
      </c>
      <c r="B12" s="65">
        <v>1516</v>
      </c>
      <c r="C12" s="108">
        <v>90</v>
      </c>
      <c r="D12" s="118">
        <v>0.34</v>
      </c>
      <c r="E12" s="113">
        <v>13.82</v>
      </c>
      <c r="F12" s="92"/>
      <c r="G12" s="88">
        <f t="shared" si="5"/>
        <v>0</v>
      </c>
      <c r="J12" s="143" t="str">
        <f t="shared" si="0"/>
        <v>-</v>
      </c>
      <c r="K12" s="143" t="str">
        <f t="shared" si="1"/>
        <v>-</v>
      </c>
      <c r="L12" s="144" t="str">
        <f t="shared" si="2"/>
        <v>-</v>
      </c>
      <c r="M12" s="145" t="str">
        <f t="shared" si="3"/>
        <v>-</v>
      </c>
      <c r="O12" s="145" t="str">
        <f t="shared" si="4"/>
        <v>-</v>
      </c>
    </row>
    <row r="13" spans="1:15">
      <c r="A13" s="34" t="s">
        <v>12</v>
      </c>
      <c r="B13" s="65">
        <v>1518</v>
      </c>
      <c r="C13" s="108">
        <v>30</v>
      </c>
      <c r="D13" s="118">
        <v>0.15</v>
      </c>
      <c r="E13" s="113">
        <v>30.33</v>
      </c>
      <c r="F13" s="92"/>
      <c r="G13" s="88">
        <f t="shared" si="5"/>
        <v>0</v>
      </c>
      <c r="J13" s="143" t="str">
        <f t="shared" si="0"/>
        <v>-</v>
      </c>
      <c r="K13" s="143" t="str">
        <f t="shared" si="1"/>
        <v>-</v>
      </c>
      <c r="L13" s="144" t="str">
        <f t="shared" si="2"/>
        <v>-</v>
      </c>
      <c r="M13" s="145" t="str">
        <f t="shared" si="3"/>
        <v>-</v>
      </c>
      <c r="O13" s="145" t="str">
        <f t="shared" si="4"/>
        <v>-</v>
      </c>
    </row>
    <row r="14" spans="1:15">
      <c r="A14" s="34" t="s">
        <v>13</v>
      </c>
      <c r="B14" s="65">
        <v>1520</v>
      </c>
      <c r="C14" s="108" t="s">
        <v>14</v>
      </c>
      <c r="D14" s="118">
        <v>0.56000000000000005</v>
      </c>
      <c r="E14" s="113">
        <v>17.38</v>
      </c>
      <c r="F14" s="92"/>
      <c r="G14" s="88">
        <f t="shared" si="5"/>
        <v>0</v>
      </c>
      <c r="J14" s="143" t="str">
        <f t="shared" si="0"/>
        <v>-</v>
      </c>
      <c r="K14" s="143" t="str">
        <f t="shared" si="1"/>
        <v>-</v>
      </c>
      <c r="L14" s="144" t="str">
        <f t="shared" si="2"/>
        <v>-</v>
      </c>
      <c r="M14" s="145" t="str">
        <f t="shared" si="3"/>
        <v>-</v>
      </c>
      <c r="O14" s="145" t="str">
        <f t="shared" si="4"/>
        <v>-</v>
      </c>
    </row>
    <row r="15" spans="1:15">
      <c r="A15" s="34" t="s">
        <v>15</v>
      </c>
      <c r="B15" s="65">
        <v>841</v>
      </c>
      <c r="C15" s="108">
        <v>30</v>
      </c>
      <c r="D15" s="118">
        <v>0</v>
      </c>
      <c r="E15" s="113">
        <v>13.53</v>
      </c>
      <c r="F15" s="92"/>
      <c r="G15" s="88">
        <f t="shared" si="5"/>
        <v>0</v>
      </c>
      <c r="J15" s="143" t="str">
        <f t="shared" si="0"/>
        <v>-</v>
      </c>
      <c r="K15" s="143" t="str">
        <f t="shared" si="1"/>
        <v>-</v>
      </c>
      <c r="L15" s="144" t="str">
        <f t="shared" si="2"/>
        <v>-</v>
      </c>
      <c r="M15" s="145" t="str">
        <f t="shared" si="3"/>
        <v>-</v>
      </c>
      <c r="O15" s="145" t="str">
        <f t="shared" si="4"/>
        <v>-</v>
      </c>
    </row>
    <row r="16" spans="1:15">
      <c r="A16" s="34"/>
      <c r="B16" s="65">
        <v>843</v>
      </c>
      <c r="C16" s="108">
        <v>60</v>
      </c>
      <c r="D16" s="118">
        <v>0</v>
      </c>
      <c r="E16" s="113">
        <v>24.09</v>
      </c>
      <c r="F16" s="92"/>
      <c r="G16" s="88">
        <f t="shared" si="5"/>
        <v>0</v>
      </c>
      <c r="J16" s="143" t="str">
        <f t="shared" si="0"/>
        <v>-</v>
      </c>
      <c r="K16" s="143" t="str">
        <f t="shared" si="1"/>
        <v>-</v>
      </c>
      <c r="L16" s="144" t="str">
        <f t="shared" si="2"/>
        <v>-</v>
      </c>
      <c r="M16" s="145" t="str">
        <f t="shared" si="3"/>
        <v>-</v>
      </c>
      <c r="O16" s="145" t="str">
        <f t="shared" si="4"/>
        <v>-</v>
      </c>
    </row>
    <row r="17" spans="1:15">
      <c r="A17" s="34" t="s">
        <v>16</v>
      </c>
      <c r="B17" s="65">
        <v>876</v>
      </c>
      <c r="C17" s="108">
        <v>30</v>
      </c>
      <c r="D17" s="118">
        <v>0</v>
      </c>
      <c r="E17" s="113">
        <v>17.79</v>
      </c>
      <c r="F17" s="92"/>
      <c r="G17" s="88">
        <f t="shared" si="5"/>
        <v>0</v>
      </c>
      <c r="J17" s="143" t="str">
        <f t="shared" si="0"/>
        <v>-</v>
      </c>
      <c r="K17" s="143" t="str">
        <f t="shared" si="1"/>
        <v>-</v>
      </c>
      <c r="L17" s="144" t="str">
        <f t="shared" si="2"/>
        <v>-</v>
      </c>
      <c r="M17" s="145" t="str">
        <f t="shared" si="3"/>
        <v>-</v>
      </c>
      <c r="O17" s="145" t="str">
        <f t="shared" si="4"/>
        <v>-</v>
      </c>
    </row>
    <row r="18" spans="1:15">
      <c r="A18" s="34" t="s">
        <v>17</v>
      </c>
      <c r="B18" s="65">
        <v>878</v>
      </c>
      <c r="C18" s="108">
        <v>30</v>
      </c>
      <c r="D18" s="118">
        <v>0</v>
      </c>
      <c r="E18" s="113">
        <v>32.97</v>
      </c>
      <c r="F18" s="92"/>
      <c r="G18" s="88">
        <f t="shared" si="5"/>
        <v>0</v>
      </c>
      <c r="J18" s="143" t="str">
        <f t="shared" si="0"/>
        <v>-</v>
      </c>
      <c r="K18" s="143" t="str">
        <f t="shared" si="1"/>
        <v>-</v>
      </c>
      <c r="L18" s="144" t="str">
        <f t="shared" si="2"/>
        <v>-</v>
      </c>
      <c r="M18" s="145" t="str">
        <f t="shared" si="3"/>
        <v>-</v>
      </c>
      <c r="O18" s="145" t="str">
        <f t="shared" si="4"/>
        <v>-</v>
      </c>
    </row>
    <row r="19" spans="1:15">
      <c r="A19" s="37" t="s">
        <v>18</v>
      </c>
      <c r="B19" s="67"/>
      <c r="C19" s="3"/>
      <c r="D19" s="120"/>
      <c r="E19" s="19"/>
      <c r="F19" s="94"/>
      <c r="G19" s="38"/>
      <c r="J19" s="143" t="str">
        <f t="shared" si="0"/>
        <v>-</v>
      </c>
      <c r="K19" s="143" t="str">
        <f t="shared" si="1"/>
        <v>-</v>
      </c>
      <c r="L19" s="144" t="str">
        <f t="shared" si="2"/>
        <v>-</v>
      </c>
      <c r="M19" s="145" t="str">
        <f t="shared" si="3"/>
        <v>-</v>
      </c>
      <c r="O19" s="145" t="str">
        <f t="shared" si="4"/>
        <v>-</v>
      </c>
    </row>
    <row r="20" spans="1:15" ht="24">
      <c r="A20" s="34" t="s">
        <v>19</v>
      </c>
      <c r="B20" s="65">
        <v>1140</v>
      </c>
      <c r="C20" s="109">
        <v>60</v>
      </c>
      <c r="D20" s="118">
        <v>0</v>
      </c>
      <c r="E20" s="113">
        <v>19.77</v>
      </c>
      <c r="F20" s="92"/>
      <c r="G20" s="88">
        <f>F20*E20</f>
        <v>0</v>
      </c>
      <c r="J20" s="143" t="str">
        <f t="shared" si="0"/>
        <v>-</v>
      </c>
      <c r="K20" s="143" t="str">
        <f t="shared" si="1"/>
        <v>-</v>
      </c>
      <c r="L20" s="144" t="str">
        <f t="shared" si="2"/>
        <v>-</v>
      </c>
      <c r="M20" s="145" t="str">
        <f t="shared" si="3"/>
        <v>-</v>
      </c>
      <c r="O20" s="145" t="str">
        <f t="shared" si="4"/>
        <v>-</v>
      </c>
    </row>
    <row r="21" spans="1:15">
      <c r="A21" s="39"/>
      <c r="B21" s="65">
        <v>1142</v>
      </c>
      <c r="C21" s="109">
        <v>120</v>
      </c>
      <c r="D21" s="118">
        <v>0</v>
      </c>
      <c r="E21" s="113">
        <v>37.590000000000003</v>
      </c>
      <c r="F21" s="95"/>
      <c r="G21" s="88">
        <f>F21*E21</f>
        <v>0</v>
      </c>
      <c r="J21" s="143" t="str">
        <f t="shared" si="0"/>
        <v>-</v>
      </c>
      <c r="K21" s="143" t="str">
        <f t="shared" si="1"/>
        <v>-</v>
      </c>
      <c r="L21" s="144" t="str">
        <f t="shared" si="2"/>
        <v>-</v>
      </c>
      <c r="M21" s="145" t="str">
        <f t="shared" si="3"/>
        <v>-</v>
      </c>
      <c r="O21" s="145" t="str">
        <f t="shared" si="4"/>
        <v>-</v>
      </c>
    </row>
    <row r="22" spans="1:15" ht="25.8">
      <c r="A22" s="34" t="s">
        <v>20</v>
      </c>
      <c r="B22" s="65">
        <v>1106</v>
      </c>
      <c r="C22" s="109">
        <v>60</v>
      </c>
      <c r="D22" s="118">
        <v>0</v>
      </c>
      <c r="E22" s="113">
        <v>16.829999999999998</v>
      </c>
      <c r="F22" s="92"/>
      <c r="G22" s="88">
        <f>F22*E22</f>
        <v>0</v>
      </c>
      <c r="J22" s="143" t="str">
        <f t="shared" si="0"/>
        <v>-</v>
      </c>
      <c r="K22" s="143" t="str">
        <f t="shared" si="1"/>
        <v>-</v>
      </c>
      <c r="L22" s="144" t="str">
        <f t="shared" si="2"/>
        <v>-</v>
      </c>
      <c r="M22" s="145" t="str">
        <f t="shared" si="3"/>
        <v>-</v>
      </c>
      <c r="O22" s="145" t="str">
        <f t="shared" si="4"/>
        <v>-</v>
      </c>
    </row>
    <row r="23" spans="1:15">
      <c r="A23" s="39"/>
      <c r="B23" s="65">
        <v>1108</v>
      </c>
      <c r="C23" s="109">
        <v>90</v>
      </c>
      <c r="D23" s="118">
        <v>0.25</v>
      </c>
      <c r="E23" s="113">
        <v>24.09</v>
      </c>
      <c r="F23" s="95"/>
      <c r="G23" s="88">
        <f>F23*E23</f>
        <v>0</v>
      </c>
      <c r="J23" s="143" t="str">
        <f t="shared" si="0"/>
        <v>-</v>
      </c>
      <c r="K23" s="143" t="str">
        <f t="shared" si="1"/>
        <v>-</v>
      </c>
      <c r="L23" s="144" t="str">
        <f t="shared" si="2"/>
        <v>-</v>
      </c>
      <c r="M23" s="145" t="str">
        <f t="shared" si="3"/>
        <v>-</v>
      </c>
      <c r="O23" s="145" t="str">
        <f t="shared" si="4"/>
        <v>-</v>
      </c>
    </row>
    <row r="24" spans="1:15">
      <c r="A24" s="35" t="s">
        <v>21</v>
      </c>
      <c r="B24" s="66"/>
      <c r="C24" s="2"/>
      <c r="D24" s="119"/>
      <c r="E24" s="18"/>
      <c r="F24" s="93"/>
      <c r="G24" s="36"/>
      <c r="J24" s="143" t="str">
        <f t="shared" si="0"/>
        <v>-</v>
      </c>
      <c r="K24" s="143" t="str">
        <f t="shared" si="1"/>
        <v>-</v>
      </c>
      <c r="L24" s="144" t="str">
        <f t="shared" si="2"/>
        <v>-</v>
      </c>
      <c r="M24" s="145" t="str">
        <f t="shared" si="3"/>
        <v>-</v>
      </c>
      <c r="O24" s="145" t="str">
        <f t="shared" si="4"/>
        <v>-</v>
      </c>
    </row>
    <row r="25" spans="1:15" ht="24">
      <c r="A25" s="34" t="s">
        <v>22</v>
      </c>
      <c r="B25" s="65">
        <v>4000</v>
      </c>
      <c r="C25" s="108">
        <v>30</v>
      </c>
      <c r="D25" s="118">
        <v>0.18</v>
      </c>
      <c r="E25" s="113">
        <v>18.149999999999999</v>
      </c>
      <c r="F25" s="92"/>
      <c r="G25" s="88">
        <f t="shared" ref="G25:G40" si="6">F25*E25</f>
        <v>0</v>
      </c>
      <c r="J25" s="143" t="str">
        <f t="shared" si="0"/>
        <v>-</v>
      </c>
      <c r="K25" s="143" t="str">
        <f t="shared" si="1"/>
        <v>-</v>
      </c>
      <c r="L25" s="144" t="str">
        <f t="shared" si="2"/>
        <v>-</v>
      </c>
      <c r="M25" s="145" t="str">
        <f t="shared" si="3"/>
        <v>-</v>
      </c>
      <c r="O25" s="145" t="str">
        <f t="shared" si="4"/>
        <v>-</v>
      </c>
    </row>
    <row r="26" spans="1:15">
      <c r="A26" s="34"/>
      <c r="B26" s="65">
        <v>4002</v>
      </c>
      <c r="C26" s="108">
        <v>60</v>
      </c>
      <c r="D26" s="118">
        <v>0.23</v>
      </c>
      <c r="E26" s="113">
        <v>34.65</v>
      </c>
      <c r="F26" s="92"/>
      <c r="G26" s="88">
        <f t="shared" si="6"/>
        <v>0</v>
      </c>
      <c r="J26" s="143" t="str">
        <f t="shared" si="0"/>
        <v>-</v>
      </c>
      <c r="K26" s="143" t="str">
        <f t="shared" si="1"/>
        <v>-</v>
      </c>
      <c r="L26" s="144" t="str">
        <f t="shared" si="2"/>
        <v>-</v>
      </c>
      <c r="M26" s="145" t="str">
        <f t="shared" si="3"/>
        <v>-</v>
      </c>
      <c r="O26" s="145" t="str">
        <f t="shared" si="4"/>
        <v>-</v>
      </c>
    </row>
    <row r="27" spans="1:15" ht="24">
      <c r="A27" s="34" t="s">
        <v>23</v>
      </c>
      <c r="B27" s="65">
        <v>4004</v>
      </c>
      <c r="C27" s="108">
        <v>30</v>
      </c>
      <c r="D27" s="118">
        <v>0.18</v>
      </c>
      <c r="E27" s="113">
        <v>11.19</v>
      </c>
      <c r="F27" s="92"/>
      <c r="G27" s="88">
        <f t="shared" si="6"/>
        <v>0</v>
      </c>
      <c r="J27" s="143" t="str">
        <f t="shared" si="0"/>
        <v>-</v>
      </c>
      <c r="K27" s="143" t="str">
        <f t="shared" si="1"/>
        <v>-</v>
      </c>
      <c r="L27" s="144" t="str">
        <f t="shared" si="2"/>
        <v>-</v>
      </c>
      <c r="M27" s="145" t="str">
        <f t="shared" si="3"/>
        <v>-</v>
      </c>
      <c r="O27" s="145" t="str">
        <f t="shared" si="4"/>
        <v>-</v>
      </c>
    </row>
    <row r="28" spans="1:15">
      <c r="A28" s="34"/>
      <c r="B28" s="65">
        <v>4006</v>
      </c>
      <c r="C28" s="108">
        <v>60</v>
      </c>
      <c r="D28" s="118">
        <v>0.23</v>
      </c>
      <c r="E28" s="113">
        <v>20.79</v>
      </c>
      <c r="F28" s="92"/>
      <c r="G28" s="88">
        <f t="shared" si="6"/>
        <v>0</v>
      </c>
      <c r="J28" s="143" t="str">
        <f t="shared" si="0"/>
        <v>-</v>
      </c>
      <c r="K28" s="143" t="str">
        <f t="shared" si="1"/>
        <v>-</v>
      </c>
      <c r="L28" s="144" t="str">
        <f t="shared" si="2"/>
        <v>-</v>
      </c>
      <c r="M28" s="145" t="str">
        <f t="shared" si="3"/>
        <v>-</v>
      </c>
      <c r="O28" s="145" t="str">
        <f t="shared" si="4"/>
        <v>-</v>
      </c>
    </row>
    <row r="29" spans="1:15">
      <c r="A29" s="34" t="s">
        <v>24</v>
      </c>
      <c r="B29" s="65">
        <v>4008</v>
      </c>
      <c r="C29" s="108">
        <v>60</v>
      </c>
      <c r="D29" s="118">
        <v>0</v>
      </c>
      <c r="E29" s="113">
        <v>20.13</v>
      </c>
      <c r="F29" s="92"/>
      <c r="G29" s="88">
        <f t="shared" si="6"/>
        <v>0</v>
      </c>
      <c r="J29" s="143" t="str">
        <f t="shared" si="0"/>
        <v>-</v>
      </c>
      <c r="K29" s="143" t="str">
        <f t="shared" si="1"/>
        <v>-</v>
      </c>
      <c r="L29" s="144" t="str">
        <f t="shared" si="2"/>
        <v>-</v>
      </c>
      <c r="M29" s="145" t="str">
        <f t="shared" si="3"/>
        <v>-</v>
      </c>
      <c r="O29" s="145" t="str">
        <f t="shared" si="4"/>
        <v>-</v>
      </c>
    </row>
    <row r="30" spans="1:15">
      <c r="A30" s="34"/>
      <c r="B30" s="65">
        <v>4010</v>
      </c>
      <c r="C30" s="108">
        <v>90</v>
      </c>
      <c r="D30" s="118">
        <v>0</v>
      </c>
      <c r="E30" s="113">
        <v>29.01</v>
      </c>
      <c r="F30" s="92"/>
      <c r="G30" s="88">
        <f t="shared" si="6"/>
        <v>0</v>
      </c>
      <c r="J30" s="143" t="str">
        <f t="shared" si="0"/>
        <v>-</v>
      </c>
      <c r="K30" s="143" t="str">
        <f t="shared" si="1"/>
        <v>-</v>
      </c>
      <c r="L30" s="144" t="str">
        <f t="shared" si="2"/>
        <v>-</v>
      </c>
      <c r="M30" s="145" t="str">
        <f t="shared" si="3"/>
        <v>-</v>
      </c>
      <c r="O30" s="145" t="str">
        <f t="shared" si="4"/>
        <v>-</v>
      </c>
    </row>
    <row r="31" spans="1:15">
      <c r="A31" s="34" t="s">
        <v>25</v>
      </c>
      <c r="B31" s="65">
        <v>4012</v>
      </c>
      <c r="C31" s="108">
        <v>60</v>
      </c>
      <c r="D31" s="118">
        <v>0.16</v>
      </c>
      <c r="E31" s="113">
        <v>25.71</v>
      </c>
      <c r="F31" s="92"/>
      <c r="G31" s="88">
        <f t="shared" si="6"/>
        <v>0</v>
      </c>
      <c r="J31" s="143" t="str">
        <f t="shared" si="0"/>
        <v>-</v>
      </c>
      <c r="K31" s="143" t="str">
        <f t="shared" si="1"/>
        <v>-</v>
      </c>
      <c r="L31" s="144" t="str">
        <f t="shared" si="2"/>
        <v>-</v>
      </c>
      <c r="M31" s="145" t="str">
        <f t="shared" si="3"/>
        <v>-</v>
      </c>
      <c r="O31" s="145" t="str">
        <f t="shared" si="4"/>
        <v>-</v>
      </c>
    </row>
    <row r="32" spans="1:15">
      <c r="A32" s="34" t="s">
        <v>26</v>
      </c>
      <c r="B32" s="65">
        <v>4014</v>
      </c>
      <c r="C32" s="108">
        <v>90</v>
      </c>
      <c r="D32" s="118">
        <v>0</v>
      </c>
      <c r="E32" s="113">
        <v>11.19</v>
      </c>
      <c r="F32" s="92"/>
      <c r="G32" s="88">
        <f t="shared" si="6"/>
        <v>0</v>
      </c>
      <c r="J32" s="143" t="str">
        <f t="shared" si="0"/>
        <v>-</v>
      </c>
      <c r="K32" s="143" t="str">
        <f t="shared" si="1"/>
        <v>-</v>
      </c>
      <c r="L32" s="144" t="str">
        <f t="shared" si="2"/>
        <v>-</v>
      </c>
      <c r="M32" s="145" t="str">
        <f t="shared" si="3"/>
        <v>-</v>
      </c>
      <c r="O32" s="145" t="str">
        <f t="shared" si="4"/>
        <v>-</v>
      </c>
    </row>
    <row r="33" spans="1:15">
      <c r="A33" s="34" t="s">
        <v>27</v>
      </c>
      <c r="B33" s="65">
        <v>4016</v>
      </c>
      <c r="C33" s="108">
        <v>60</v>
      </c>
      <c r="D33" s="118">
        <v>0.17</v>
      </c>
      <c r="E33" s="113">
        <v>8.5500000000000007</v>
      </c>
      <c r="F33" s="92"/>
      <c r="G33" s="88">
        <f t="shared" si="6"/>
        <v>0</v>
      </c>
      <c r="J33" s="143" t="str">
        <f t="shared" si="0"/>
        <v>-</v>
      </c>
      <c r="K33" s="143" t="str">
        <f t="shared" si="1"/>
        <v>-</v>
      </c>
      <c r="L33" s="144" t="str">
        <f t="shared" si="2"/>
        <v>-</v>
      </c>
      <c r="M33" s="145" t="str">
        <f t="shared" si="3"/>
        <v>-</v>
      </c>
      <c r="O33" s="145" t="str">
        <f t="shared" si="4"/>
        <v>-</v>
      </c>
    </row>
    <row r="34" spans="1:15">
      <c r="A34" s="34" t="s">
        <v>28</v>
      </c>
      <c r="B34" s="65">
        <v>4017</v>
      </c>
      <c r="C34" s="108">
        <v>60</v>
      </c>
      <c r="D34" s="118">
        <v>0.18</v>
      </c>
      <c r="E34" s="113">
        <v>10.53</v>
      </c>
      <c r="F34" s="92"/>
      <c r="G34" s="88">
        <f t="shared" si="6"/>
        <v>0</v>
      </c>
      <c r="J34" s="143" t="str">
        <f t="shared" si="0"/>
        <v>-</v>
      </c>
      <c r="K34" s="143" t="str">
        <f t="shared" si="1"/>
        <v>-</v>
      </c>
      <c r="L34" s="144" t="str">
        <f t="shared" si="2"/>
        <v>-</v>
      </c>
      <c r="M34" s="145" t="str">
        <f t="shared" si="3"/>
        <v>-</v>
      </c>
      <c r="O34" s="145" t="str">
        <f t="shared" si="4"/>
        <v>-</v>
      </c>
    </row>
    <row r="35" spans="1:15" ht="24">
      <c r="A35" s="34" t="s">
        <v>29</v>
      </c>
      <c r="B35" s="65">
        <v>4019</v>
      </c>
      <c r="C35" s="108">
        <v>60</v>
      </c>
      <c r="D35" s="118">
        <v>0</v>
      </c>
      <c r="E35" s="113">
        <v>11.85</v>
      </c>
      <c r="F35" s="92"/>
      <c r="G35" s="88">
        <f t="shared" si="6"/>
        <v>0</v>
      </c>
      <c r="J35" s="143" t="str">
        <f t="shared" si="0"/>
        <v>-</v>
      </c>
      <c r="K35" s="143" t="str">
        <f t="shared" si="1"/>
        <v>-</v>
      </c>
      <c r="L35" s="144" t="str">
        <f t="shared" si="2"/>
        <v>-</v>
      </c>
      <c r="M35" s="145" t="str">
        <f t="shared" si="3"/>
        <v>-</v>
      </c>
      <c r="O35" s="145" t="str">
        <f t="shared" si="4"/>
        <v>-</v>
      </c>
    </row>
    <row r="36" spans="1:15">
      <c r="A36" s="34" t="s">
        <v>30</v>
      </c>
      <c r="B36" s="65">
        <v>4018</v>
      </c>
      <c r="C36" s="108">
        <v>60</v>
      </c>
      <c r="D36" s="118">
        <v>0.2</v>
      </c>
      <c r="E36" s="113">
        <v>17.13</v>
      </c>
      <c r="F36" s="92"/>
      <c r="G36" s="88">
        <f t="shared" si="6"/>
        <v>0</v>
      </c>
      <c r="J36" s="143" t="str">
        <f t="shared" si="0"/>
        <v>-</v>
      </c>
      <c r="K36" s="143" t="str">
        <f t="shared" si="1"/>
        <v>-</v>
      </c>
      <c r="L36" s="144" t="str">
        <f t="shared" si="2"/>
        <v>-</v>
      </c>
      <c r="M36" s="145" t="str">
        <f t="shared" si="3"/>
        <v>-</v>
      </c>
      <c r="O36" s="145" t="str">
        <f t="shared" si="4"/>
        <v>-</v>
      </c>
    </row>
    <row r="37" spans="1:15">
      <c r="A37" s="34" t="s">
        <v>31</v>
      </c>
      <c r="B37" s="65">
        <v>4020</v>
      </c>
      <c r="C37" s="108">
        <v>60</v>
      </c>
      <c r="D37" s="118">
        <v>0</v>
      </c>
      <c r="E37" s="113">
        <v>23.73</v>
      </c>
      <c r="F37" s="92"/>
      <c r="G37" s="88">
        <f t="shared" si="6"/>
        <v>0</v>
      </c>
      <c r="J37" s="143" t="str">
        <f t="shared" si="0"/>
        <v>-</v>
      </c>
      <c r="K37" s="143" t="str">
        <f t="shared" si="1"/>
        <v>-</v>
      </c>
      <c r="L37" s="144" t="str">
        <f t="shared" si="2"/>
        <v>-</v>
      </c>
      <c r="M37" s="145" t="str">
        <f t="shared" si="3"/>
        <v>-</v>
      </c>
      <c r="O37" s="145" t="str">
        <f t="shared" si="4"/>
        <v>-</v>
      </c>
    </row>
    <row r="38" spans="1:15">
      <c r="A38" s="34" t="s">
        <v>32</v>
      </c>
      <c r="B38" s="65">
        <v>4022</v>
      </c>
      <c r="C38" s="108">
        <v>60</v>
      </c>
      <c r="D38" s="118">
        <v>0</v>
      </c>
      <c r="E38" s="113">
        <v>30.99</v>
      </c>
      <c r="F38" s="92"/>
      <c r="G38" s="88">
        <f t="shared" si="6"/>
        <v>0</v>
      </c>
      <c r="J38" s="143" t="str">
        <f t="shared" si="0"/>
        <v>-</v>
      </c>
      <c r="K38" s="143" t="str">
        <f t="shared" si="1"/>
        <v>-</v>
      </c>
      <c r="L38" s="144" t="str">
        <f t="shared" si="2"/>
        <v>-</v>
      </c>
      <c r="M38" s="145" t="str">
        <f t="shared" si="3"/>
        <v>-</v>
      </c>
      <c r="O38" s="145" t="str">
        <f t="shared" si="4"/>
        <v>-</v>
      </c>
    </row>
    <row r="39" spans="1:15">
      <c r="A39" s="34" t="s">
        <v>33</v>
      </c>
      <c r="B39" s="65">
        <v>4024</v>
      </c>
      <c r="C39" s="108">
        <v>60</v>
      </c>
      <c r="D39" s="118">
        <v>0.2</v>
      </c>
      <c r="E39" s="113">
        <v>31.65</v>
      </c>
      <c r="F39" s="92"/>
      <c r="G39" s="88">
        <f t="shared" si="6"/>
        <v>0</v>
      </c>
      <c r="J39" s="143" t="str">
        <f t="shared" si="0"/>
        <v>-</v>
      </c>
      <c r="K39" s="143" t="str">
        <f t="shared" si="1"/>
        <v>-</v>
      </c>
      <c r="L39" s="144" t="str">
        <f t="shared" si="2"/>
        <v>-</v>
      </c>
      <c r="M39" s="145" t="str">
        <f t="shared" si="3"/>
        <v>-</v>
      </c>
      <c r="O39" s="145" t="str">
        <f t="shared" si="4"/>
        <v>-</v>
      </c>
    </row>
    <row r="40" spans="1:15">
      <c r="A40" s="34" t="s">
        <v>34</v>
      </c>
      <c r="B40" s="65">
        <v>4026</v>
      </c>
      <c r="C40" s="108">
        <v>60</v>
      </c>
      <c r="D40" s="118">
        <v>0.2</v>
      </c>
      <c r="E40" s="113">
        <v>27.69</v>
      </c>
      <c r="F40" s="92"/>
      <c r="G40" s="88">
        <f t="shared" si="6"/>
        <v>0</v>
      </c>
      <c r="J40" s="143" t="str">
        <f t="shared" si="0"/>
        <v>-</v>
      </c>
      <c r="K40" s="143" t="str">
        <f t="shared" si="1"/>
        <v>-</v>
      </c>
      <c r="L40" s="144" t="str">
        <f t="shared" si="2"/>
        <v>-</v>
      </c>
      <c r="M40" s="145" t="str">
        <f t="shared" si="3"/>
        <v>-</v>
      </c>
      <c r="O40" s="145" t="str">
        <f t="shared" si="4"/>
        <v>-</v>
      </c>
    </row>
    <row r="41" spans="1:15" ht="24">
      <c r="A41" s="34" t="s">
        <v>35</v>
      </c>
      <c r="B41" s="65"/>
      <c r="C41" s="108"/>
      <c r="D41" s="118">
        <v>0.2</v>
      </c>
      <c r="E41" s="113"/>
      <c r="F41" s="92"/>
      <c r="G41" s="88"/>
      <c r="J41" s="143" t="str">
        <f t="shared" si="0"/>
        <v>-</v>
      </c>
      <c r="K41" s="143" t="str">
        <f t="shared" si="1"/>
        <v>-</v>
      </c>
      <c r="L41" s="144" t="str">
        <f t="shared" si="2"/>
        <v>-</v>
      </c>
      <c r="M41" s="145" t="str">
        <f t="shared" si="3"/>
        <v>-</v>
      </c>
      <c r="O41" s="145" t="str">
        <f t="shared" si="4"/>
        <v>-</v>
      </c>
    </row>
    <row r="42" spans="1:15" ht="24">
      <c r="A42" s="34" t="s">
        <v>36</v>
      </c>
      <c r="B42" s="65">
        <v>10</v>
      </c>
      <c r="C42" s="108">
        <v>60</v>
      </c>
      <c r="D42" s="118">
        <v>0</v>
      </c>
      <c r="E42" s="113">
        <v>15.81</v>
      </c>
      <c r="F42" s="92"/>
      <c r="G42" s="88">
        <f t="shared" ref="G42:G74" si="7">F42*E42</f>
        <v>0</v>
      </c>
      <c r="J42" s="143" t="str">
        <f t="shared" si="0"/>
        <v>-</v>
      </c>
      <c r="K42" s="143" t="str">
        <f t="shared" si="1"/>
        <v>-</v>
      </c>
      <c r="L42" s="144" t="str">
        <f t="shared" si="2"/>
        <v>-</v>
      </c>
      <c r="M42" s="145" t="str">
        <f t="shared" si="3"/>
        <v>-</v>
      </c>
      <c r="O42" s="145" t="str">
        <f t="shared" si="4"/>
        <v>-</v>
      </c>
    </row>
    <row r="43" spans="1:15">
      <c r="A43" s="34"/>
      <c r="B43" s="65">
        <v>12</v>
      </c>
      <c r="C43" s="108">
        <v>120</v>
      </c>
      <c r="D43" s="118">
        <v>0</v>
      </c>
      <c r="E43" s="113">
        <v>29.01</v>
      </c>
      <c r="F43" s="92"/>
      <c r="G43" s="88">
        <f t="shared" si="7"/>
        <v>0</v>
      </c>
      <c r="J43" s="143" t="str">
        <f t="shared" si="0"/>
        <v>-</v>
      </c>
      <c r="K43" s="143" t="str">
        <f t="shared" si="1"/>
        <v>-</v>
      </c>
      <c r="L43" s="144" t="str">
        <f t="shared" si="2"/>
        <v>-</v>
      </c>
      <c r="M43" s="145" t="str">
        <f t="shared" si="3"/>
        <v>-</v>
      </c>
      <c r="O43" s="145" t="str">
        <f t="shared" si="4"/>
        <v>-</v>
      </c>
    </row>
    <row r="44" spans="1:15">
      <c r="A44" s="34"/>
      <c r="B44" s="65">
        <v>14</v>
      </c>
      <c r="C44" s="108">
        <v>180</v>
      </c>
      <c r="D44" s="118">
        <v>0.45</v>
      </c>
      <c r="E44" s="113">
        <v>38.909999999999997</v>
      </c>
      <c r="F44" s="92"/>
      <c r="G44" s="88">
        <f t="shared" si="7"/>
        <v>0</v>
      </c>
      <c r="J44" s="143" t="str">
        <f t="shared" si="0"/>
        <v>-</v>
      </c>
      <c r="K44" s="143" t="str">
        <f t="shared" si="1"/>
        <v>-</v>
      </c>
      <c r="L44" s="144" t="str">
        <f t="shared" si="2"/>
        <v>-</v>
      </c>
      <c r="M44" s="145" t="str">
        <f t="shared" si="3"/>
        <v>-</v>
      </c>
      <c r="O44" s="145" t="str">
        <f t="shared" si="4"/>
        <v>-</v>
      </c>
    </row>
    <row r="45" spans="1:15">
      <c r="A45" s="34" t="s">
        <v>37</v>
      </c>
      <c r="B45" s="65">
        <v>17</v>
      </c>
      <c r="C45" s="108">
        <v>30</v>
      </c>
      <c r="D45" s="118">
        <v>0</v>
      </c>
      <c r="E45" s="113">
        <v>12.87</v>
      </c>
      <c r="F45" s="92"/>
      <c r="G45" s="88">
        <f t="shared" si="7"/>
        <v>0</v>
      </c>
      <c r="J45" s="143" t="str">
        <f t="shared" si="0"/>
        <v>-</v>
      </c>
      <c r="K45" s="143" t="str">
        <f t="shared" si="1"/>
        <v>-</v>
      </c>
      <c r="L45" s="144" t="str">
        <f t="shared" si="2"/>
        <v>-</v>
      </c>
      <c r="M45" s="145" t="str">
        <f t="shared" si="3"/>
        <v>-</v>
      </c>
      <c r="O45" s="145" t="str">
        <f t="shared" si="4"/>
        <v>-</v>
      </c>
    </row>
    <row r="46" spans="1:15">
      <c r="A46" s="34"/>
      <c r="B46" s="65">
        <v>18</v>
      </c>
      <c r="C46" s="108">
        <v>60</v>
      </c>
      <c r="D46" s="118">
        <v>0</v>
      </c>
      <c r="E46" s="113">
        <v>22.41</v>
      </c>
      <c r="F46" s="92"/>
      <c r="G46" s="88">
        <f t="shared" si="7"/>
        <v>0</v>
      </c>
      <c r="J46" s="143" t="str">
        <f t="shared" si="0"/>
        <v>-</v>
      </c>
      <c r="K46" s="143" t="str">
        <f t="shared" si="1"/>
        <v>-</v>
      </c>
      <c r="L46" s="144" t="str">
        <f t="shared" si="2"/>
        <v>-</v>
      </c>
      <c r="M46" s="145" t="str">
        <f t="shared" si="3"/>
        <v>-</v>
      </c>
      <c r="O46" s="145" t="str">
        <f t="shared" si="4"/>
        <v>-</v>
      </c>
    </row>
    <row r="47" spans="1:15">
      <c r="A47" s="34" t="s">
        <v>38</v>
      </c>
      <c r="B47" s="65">
        <v>20</v>
      </c>
      <c r="C47" s="108">
        <v>50</v>
      </c>
      <c r="D47" s="118">
        <v>0</v>
      </c>
      <c r="E47" s="113">
        <v>13.17</v>
      </c>
      <c r="F47" s="92"/>
      <c r="G47" s="88">
        <f t="shared" si="7"/>
        <v>0</v>
      </c>
      <c r="J47" s="143" t="str">
        <f t="shared" si="0"/>
        <v>-</v>
      </c>
      <c r="K47" s="143" t="str">
        <f t="shared" si="1"/>
        <v>-</v>
      </c>
      <c r="L47" s="144" t="str">
        <f t="shared" si="2"/>
        <v>-</v>
      </c>
      <c r="M47" s="145" t="str">
        <f t="shared" si="3"/>
        <v>-</v>
      </c>
      <c r="O47" s="145" t="str">
        <f t="shared" si="4"/>
        <v>-</v>
      </c>
    </row>
    <row r="48" spans="1:15">
      <c r="A48" s="34"/>
      <c r="B48" s="65">
        <v>22</v>
      </c>
      <c r="C48" s="108">
        <v>100</v>
      </c>
      <c r="D48" s="118">
        <v>0</v>
      </c>
      <c r="E48" s="113">
        <v>23.73</v>
      </c>
      <c r="F48" s="92"/>
      <c r="G48" s="88">
        <f t="shared" si="7"/>
        <v>0</v>
      </c>
      <c r="J48" s="143" t="str">
        <f t="shared" si="0"/>
        <v>-</v>
      </c>
      <c r="K48" s="143" t="str">
        <f t="shared" si="1"/>
        <v>-</v>
      </c>
      <c r="L48" s="144" t="str">
        <f t="shared" si="2"/>
        <v>-</v>
      </c>
      <c r="M48" s="145" t="str">
        <f t="shared" si="3"/>
        <v>-</v>
      </c>
      <c r="O48" s="145" t="str">
        <f t="shared" si="4"/>
        <v>-</v>
      </c>
    </row>
    <row r="49" spans="1:15">
      <c r="A49" s="34" t="s">
        <v>39</v>
      </c>
      <c r="B49" s="65">
        <v>24</v>
      </c>
      <c r="C49" s="108">
        <v>50</v>
      </c>
      <c r="D49" s="118">
        <v>0</v>
      </c>
      <c r="E49" s="113">
        <v>8.5500000000000007</v>
      </c>
      <c r="F49" s="92"/>
      <c r="G49" s="88">
        <f t="shared" si="7"/>
        <v>0</v>
      </c>
      <c r="J49" s="143" t="str">
        <f t="shared" si="0"/>
        <v>-</v>
      </c>
      <c r="K49" s="143" t="str">
        <f t="shared" si="1"/>
        <v>-</v>
      </c>
      <c r="L49" s="144" t="str">
        <f t="shared" si="2"/>
        <v>-</v>
      </c>
      <c r="M49" s="145" t="str">
        <f t="shared" si="3"/>
        <v>-</v>
      </c>
      <c r="O49" s="145" t="str">
        <f t="shared" si="4"/>
        <v>-</v>
      </c>
    </row>
    <row r="50" spans="1:15">
      <c r="A50" s="34"/>
      <c r="B50" s="65">
        <v>26</v>
      </c>
      <c r="C50" s="108">
        <v>100</v>
      </c>
      <c r="D50" s="118">
        <v>0</v>
      </c>
      <c r="E50" s="113">
        <v>15.51</v>
      </c>
      <c r="F50" s="92"/>
      <c r="G50" s="88">
        <f t="shared" si="7"/>
        <v>0</v>
      </c>
      <c r="J50" s="143" t="str">
        <f t="shared" si="0"/>
        <v>-</v>
      </c>
      <c r="K50" s="143" t="str">
        <f t="shared" si="1"/>
        <v>-</v>
      </c>
      <c r="L50" s="144" t="str">
        <f t="shared" si="2"/>
        <v>-</v>
      </c>
      <c r="M50" s="145" t="str">
        <f t="shared" si="3"/>
        <v>-</v>
      </c>
      <c r="O50" s="145" t="str">
        <f t="shared" si="4"/>
        <v>-</v>
      </c>
    </row>
    <row r="51" spans="1:15" ht="36">
      <c r="A51" s="34" t="s">
        <v>40</v>
      </c>
      <c r="B51" s="65">
        <v>25</v>
      </c>
      <c r="C51" s="108">
        <v>50</v>
      </c>
      <c r="D51" s="118">
        <v>0</v>
      </c>
      <c r="E51" s="113">
        <v>9.8699999999999992</v>
      </c>
      <c r="F51" s="92"/>
      <c r="G51" s="88">
        <f t="shared" si="7"/>
        <v>0</v>
      </c>
      <c r="J51" s="143" t="str">
        <f t="shared" si="0"/>
        <v>-</v>
      </c>
      <c r="K51" s="143" t="str">
        <f t="shared" si="1"/>
        <v>-</v>
      </c>
      <c r="L51" s="144" t="str">
        <f t="shared" si="2"/>
        <v>-</v>
      </c>
      <c r="M51" s="145" t="str">
        <f t="shared" si="3"/>
        <v>-</v>
      </c>
      <c r="O51" s="145" t="str">
        <f t="shared" si="4"/>
        <v>-</v>
      </c>
    </row>
    <row r="52" spans="1:15">
      <c r="A52" s="34"/>
      <c r="B52" s="65">
        <v>27</v>
      </c>
      <c r="C52" s="108">
        <v>100</v>
      </c>
      <c r="D52" s="118">
        <v>0</v>
      </c>
      <c r="E52" s="113">
        <v>18.149999999999999</v>
      </c>
      <c r="F52" s="92"/>
      <c r="G52" s="88">
        <f t="shared" si="7"/>
        <v>0</v>
      </c>
      <c r="J52" s="143" t="str">
        <f t="shared" si="0"/>
        <v>-</v>
      </c>
      <c r="K52" s="143" t="str">
        <f t="shared" si="1"/>
        <v>-</v>
      </c>
      <c r="L52" s="144" t="str">
        <f t="shared" si="2"/>
        <v>-</v>
      </c>
      <c r="M52" s="145" t="str">
        <f t="shared" si="3"/>
        <v>-</v>
      </c>
      <c r="O52" s="145" t="str">
        <f t="shared" si="4"/>
        <v>-</v>
      </c>
    </row>
    <row r="53" spans="1:15">
      <c r="A53" s="34" t="s">
        <v>41</v>
      </c>
      <c r="B53" s="65">
        <v>32</v>
      </c>
      <c r="C53" s="108">
        <v>30</v>
      </c>
      <c r="D53" s="118">
        <v>0</v>
      </c>
      <c r="E53" s="113">
        <v>12.05</v>
      </c>
      <c r="F53" s="92"/>
      <c r="G53" s="88">
        <f t="shared" si="7"/>
        <v>0</v>
      </c>
      <c r="J53" s="143" t="str">
        <f t="shared" si="0"/>
        <v>-</v>
      </c>
      <c r="K53" s="143" t="str">
        <f t="shared" si="1"/>
        <v>-</v>
      </c>
      <c r="L53" s="144" t="str">
        <f t="shared" si="2"/>
        <v>-</v>
      </c>
      <c r="M53" s="145" t="str">
        <f t="shared" si="3"/>
        <v>-</v>
      </c>
      <c r="O53" s="145" t="str">
        <f t="shared" si="4"/>
        <v>-</v>
      </c>
    </row>
    <row r="54" spans="1:15">
      <c r="A54" s="34"/>
      <c r="B54" s="65">
        <v>34</v>
      </c>
      <c r="C54" s="108">
        <v>60</v>
      </c>
      <c r="D54" s="118">
        <v>0</v>
      </c>
      <c r="E54" s="113">
        <v>21.75</v>
      </c>
      <c r="F54" s="92"/>
      <c r="G54" s="88">
        <f t="shared" si="7"/>
        <v>0</v>
      </c>
      <c r="J54" s="143" t="str">
        <f t="shared" si="0"/>
        <v>-</v>
      </c>
      <c r="K54" s="143" t="str">
        <f t="shared" si="1"/>
        <v>-</v>
      </c>
      <c r="L54" s="144" t="str">
        <f t="shared" si="2"/>
        <v>-</v>
      </c>
      <c r="M54" s="145" t="str">
        <f t="shared" si="3"/>
        <v>-</v>
      </c>
      <c r="O54" s="145" t="str">
        <f t="shared" si="4"/>
        <v>-</v>
      </c>
    </row>
    <row r="55" spans="1:15">
      <c r="A55" s="34" t="s">
        <v>42</v>
      </c>
      <c r="B55" s="65">
        <v>38</v>
      </c>
      <c r="C55" s="108">
        <v>60</v>
      </c>
      <c r="D55" s="118">
        <v>0.18</v>
      </c>
      <c r="E55" s="113">
        <v>16.829999999999998</v>
      </c>
      <c r="F55" s="92"/>
      <c r="G55" s="88">
        <f t="shared" si="7"/>
        <v>0</v>
      </c>
      <c r="J55" s="143" t="str">
        <f t="shared" si="0"/>
        <v>-</v>
      </c>
      <c r="K55" s="143" t="str">
        <f t="shared" si="1"/>
        <v>-</v>
      </c>
      <c r="L55" s="144" t="str">
        <f t="shared" si="2"/>
        <v>-</v>
      </c>
      <c r="M55" s="145" t="str">
        <f t="shared" si="3"/>
        <v>-</v>
      </c>
      <c r="O55" s="145" t="str">
        <f t="shared" si="4"/>
        <v>-</v>
      </c>
    </row>
    <row r="56" spans="1:15">
      <c r="A56" s="34" t="s">
        <v>43</v>
      </c>
      <c r="B56" s="65">
        <v>40</v>
      </c>
      <c r="C56" s="108">
        <v>30</v>
      </c>
      <c r="D56" s="118">
        <v>0</v>
      </c>
      <c r="E56" s="113">
        <v>8.25</v>
      </c>
      <c r="F56" s="92"/>
      <c r="G56" s="88">
        <f t="shared" si="7"/>
        <v>0</v>
      </c>
      <c r="J56" s="143" t="str">
        <f t="shared" si="0"/>
        <v>-</v>
      </c>
      <c r="K56" s="143" t="str">
        <f t="shared" si="1"/>
        <v>-</v>
      </c>
      <c r="L56" s="144" t="str">
        <f t="shared" si="2"/>
        <v>-</v>
      </c>
      <c r="M56" s="145" t="str">
        <f t="shared" si="3"/>
        <v>-</v>
      </c>
      <c r="O56" s="145" t="str">
        <f t="shared" si="4"/>
        <v>-</v>
      </c>
    </row>
    <row r="57" spans="1:15">
      <c r="A57" s="34"/>
      <c r="B57" s="65">
        <v>42</v>
      </c>
      <c r="C57" s="108">
        <v>60</v>
      </c>
      <c r="D57" s="118">
        <v>0</v>
      </c>
      <c r="E57" s="113">
        <v>14.19</v>
      </c>
      <c r="F57" s="92"/>
      <c r="G57" s="88">
        <f t="shared" si="7"/>
        <v>0</v>
      </c>
      <c r="J57" s="143" t="str">
        <f t="shared" si="0"/>
        <v>-</v>
      </c>
      <c r="K57" s="143" t="str">
        <f t="shared" si="1"/>
        <v>-</v>
      </c>
      <c r="L57" s="144" t="str">
        <f t="shared" si="2"/>
        <v>-</v>
      </c>
      <c r="M57" s="145" t="str">
        <f t="shared" si="3"/>
        <v>-</v>
      </c>
      <c r="O57" s="145" t="str">
        <f t="shared" si="4"/>
        <v>-</v>
      </c>
    </row>
    <row r="58" spans="1:15">
      <c r="A58" s="34" t="s">
        <v>44</v>
      </c>
      <c r="B58" s="65">
        <v>44</v>
      </c>
      <c r="C58" s="108">
        <v>50</v>
      </c>
      <c r="D58" s="118">
        <v>0</v>
      </c>
      <c r="E58" s="113">
        <v>8.91</v>
      </c>
      <c r="F58" s="92"/>
      <c r="G58" s="88">
        <f t="shared" si="7"/>
        <v>0</v>
      </c>
      <c r="J58" s="143" t="str">
        <f t="shared" si="0"/>
        <v>-</v>
      </c>
      <c r="K58" s="143" t="str">
        <f t="shared" si="1"/>
        <v>-</v>
      </c>
      <c r="L58" s="144" t="str">
        <f t="shared" si="2"/>
        <v>-</v>
      </c>
      <c r="M58" s="145" t="str">
        <f t="shared" si="3"/>
        <v>-</v>
      </c>
      <c r="O58" s="145" t="str">
        <f t="shared" si="4"/>
        <v>-</v>
      </c>
    </row>
    <row r="59" spans="1:15">
      <c r="A59" s="34"/>
      <c r="B59" s="65">
        <v>46</v>
      </c>
      <c r="C59" s="108">
        <v>100</v>
      </c>
      <c r="D59" s="118">
        <v>0</v>
      </c>
      <c r="E59" s="113">
        <v>14.85</v>
      </c>
      <c r="F59" s="92"/>
      <c r="G59" s="88">
        <f t="shared" si="7"/>
        <v>0</v>
      </c>
      <c r="J59" s="143" t="str">
        <f t="shared" si="0"/>
        <v>-</v>
      </c>
      <c r="K59" s="143" t="str">
        <f t="shared" si="1"/>
        <v>-</v>
      </c>
      <c r="L59" s="144" t="str">
        <f t="shared" si="2"/>
        <v>-</v>
      </c>
      <c r="M59" s="145" t="str">
        <f t="shared" si="3"/>
        <v>-</v>
      </c>
      <c r="O59" s="145" t="str">
        <f t="shared" si="4"/>
        <v>-</v>
      </c>
    </row>
    <row r="60" spans="1:15" ht="24">
      <c r="A60" s="34" t="s">
        <v>45</v>
      </c>
      <c r="B60" s="65">
        <v>47</v>
      </c>
      <c r="C60" s="108" t="s">
        <v>46</v>
      </c>
      <c r="D60" s="118">
        <v>0</v>
      </c>
      <c r="E60" s="113">
        <v>13.53</v>
      </c>
      <c r="F60" s="92"/>
      <c r="G60" s="88">
        <f t="shared" si="7"/>
        <v>0</v>
      </c>
      <c r="J60" s="143" t="str">
        <f t="shared" si="0"/>
        <v>-</v>
      </c>
      <c r="K60" s="143" t="str">
        <f t="shared" si="1"/>
        <v>-</v>
      </c>
      <c r="L60" s="144" t="str">
        <f t="shared" si="2"/>
        <v>-</v>
      </c>
      <c r="M60" s="145" t="str">
        <f t="shared" si="3"/>
        <v>-</v>
      </c>
      <c r="O60" s="145" t="str">
        <f t="shared" si="4"/>
        <v>-</v>
      </c>
    </row>
    <row r="61" spans="1:15">
      <c r="A61" s="34"/>
      <c r="B61" s="65">
        <v>49</v>
      </c>
      <c r="C61" s="108" t="s">
        <v>47</v>
      </c>
      <c r="D61" s="118">
        <v>0.45</v>
      </c>
      <c r="E61" s="113">
        <v>24.39</v>
      </c>
      <c r="F61" s="92"/>
      <c r="G61" s="88">
        <f t="shared" si="7"/>
        <v>0</v>
      </c>
      <c r="J61" s="143" t="str">
        <f t="shared" si="0"/>
        <v>-</v>
      </c>
      <c r="K61" s="143" t="str">
        <f t="shared" si="1"/>
        <v>-</v>
      </c>
      <c r="L61" s="144" t="str">
        <f t="shared" si="2"/>
        <v>-</v>
      </c>
      <c r="M61" s="145" t="str">
        <f t="shared" si="3"/>
        <v>-</v>
      </c>
      <c r="O61" s="145" t="str">
        <f t="shared" si="4"/>
        <v>-</v>
      </c>
    </row>
    <row r="62" spans="1:15">
      <c r="A62" s="34" t="s">
        <v>48</v>
      </c>
      <c r="B62" s="65">
        <v>48</v>
      </c>
      <c r="C62" s="108">
        <v>30</v>
      </c>
      <c r="D62" s="118">
        <v>0</v>
      </c>
      <c r="E62" s="113">
        <v>11.85</v>
      </c>
      <c r="F62" s="92"/>
      <c r="G62" s="88">
        <f t="shared" si="7"/>
        <v>0</v>
      </c>
      <c r="J62" s="143" t="str">
        <f t="shared" si="0"/>
        <v>-</v>
      </c>
      <c r="K62" s="143" t="str">
        <f t="shared" si="1"/>
        <v>-</v>
      </c>
      <c r="L62" s="144" t="str">
        <f t="shared" si="2"/>
        <v>-</v>
      </c>
      <c r="M62" s="145" t="str">
        <f t="shared" si="3"/>
        <v>-</v>
      </c>
      <c r="O62" s="145" t="str">
        <f t="shared" si="4"/>
        <v>-</v>
      </c>
    </row>
    <row r="63" spans="1:15">
      <c r="A63" s="34"/>
      <c r="B63" s="65">
        <v>50</v>
      </c>
      <c r="C63" s="108">
        <v>60</v>
      </c>
      <c r="D63" s="118">
        <v>0.16</v>
      </c>
      <c r="E63" s="113">
        <v>21.75</v>
      </c>
      <c r="F63" s="92"/>
      <c r="G63" s="88">
        <f t="shared" si="7"/>
        <v>0</v>
      </c>
      <c r="J63" s="143" t="str">
        <f t="shared" si="0"/>
        <v>-</v>
      </c>
      <c r="K63" s="143" t="str">
        <f t="shared" si="1"/>
        <v>-</v>
      </c>
      <c r="L63" s="144" t="str">
        <f t="shared" si="2"/>
        <v>-</v>
      </c>
      <c r="M63" s="145" t="str">
        <f t="shared" si="3"/>
        <v>-</v>
      </c>
      <c r="O63" s="145" t="str">
        <f t="shared" si="4"/>
        <v>-</v>
      </c>
    </row>
    <row r="64" spans="1:15">
      <c r="A64" s="34" t="s">
        <v>49</v>
      </c>
      <c r="B64" s="65">
        <v>51</v>
      </c>
      <c r="C64" s="108">
        <v>60</v>
      </c>
      <c r="D64" s="118">
        <v>0</v>
      </c>
      <c r="E64" s="113">
        <v>13.83</v>
      </c>
      <c r="F64" s="92"/>
      <c r="G64" s="88">
        <f t="shared" si="7"/>
        <v>0</v>
      </c>
      <c r="J64" s="143" t="str">
        <f t="shared" si="0"/>
        <v>-</v>
      </c>
      <c r="K64" s="143" t="str">
        <f t="shared" si="1"/>
        <v>-</v>
      </c>
      <c r="L64" s="144" t="str">
        <f t="shared" si="2"/>
        <v>-</v>
      </c>
      <c r="M64" s="145" t="str">
        <f t="shared" si="3"/>
        <v>-</v>
      </c>
      <c r="O64" s="145" t="str">
        <f t="shared" si="4"/>
        <v>-</v>
      </c>
    </row>
    <row r="65" spans="1:15">
      <c r="A65" s="39"/>
      <c r="B65" s="68">
        <v>53</v>
      </c>
      <c r="C65" s="109">
        <v>120</v>
      </c>
      <c r="D65" s="118">
        <v>0</v>
      </c>
      <c r="E65" s="113">
        <v>25.41</v>
      </c>
      <c r="F65" s="95"/>
      <c r="G65" s="88">
        <f t="shared" si="7"/>
        <v>0</v>
      </c>
      <c r="J65" s="143" t="str">
        <f t="shared" si="0"/>
        <v>-</v>
      </c>
      <c r="K65" s="143" t="str">
        <f t="shared" si="1"/>
        <v>-</v>
      </c>
      <c r="L65" s="144" t="str">
        <f t="shared" si="2"/>
        <v>-</v>
      </c>
      <c r="M65" s="145" t="str">
        <f t="shared" si="3"/>
        <v>-</v>
      </c>
      <c r="O65" s="145" t="str">
        <f t="shared" si="4"/>
        <v>-</v>
      </c>
    </row>
    <row r="66" spans="1:15">
      <c r="A66" s="61" t="s">
        <v>50</v>
      </c>
      <c r="B66" s="65">
        <v>1800</v>
      </c>
      <c r="C66" s="108" t="s">
        <v>51</v>
      </c>
      <c r="D66" s="118">
        <v>0.36</v>
      </c>
      <c r="E66" s="113">
        <v>24.16</v>
      </c>
      <c r="F66" s="95"/>
      <c r="G66" s="88">
        <f t="shared" si="7"/>
        <v>0</v>
      </c>
      <c r="J66" s="143" t="str">
        <f t="shared" si="0"/>
        <v>-</v>
      </c>
      <c r="K66" s="143" t="str">
        <f t="shared" si="1"/>
        <v>-</v>
      </c>
      <c r="L66" s="144" t="str">
        <f t="shared" si="2"/>
        <v>-</v>
      </c>
      <c r="M66" s="145" t="str">
        <f t="shared" si="3"/>
        <v>-</v>
      </c>
      <c r="O66" s="145" t="str">
        <f t="shared" si="4"/>
        <v>-</v>
      </c>
    </row>
    <row r="67" spans="1:15">
      <c r="A67" s="62"/>
      <c r="B67" s="65">
        <v>1790</v>
      </c>
      <c r="C67" s="108" t="s">
        <v>52</v>
      </c>
      <c r="D67" s="118">
        <v>0</v>
      </c>
      <c r="E67" s="113">
        <v>40</v>
      </c>
      <c r="F67" s="95"/>
      <c r="G67" s="88">
        <f t="shared" si="7"/>
        <v>0</v>
      </c>
      <c r="J67" s="143" t="str">
        <f t="shared" si="0"/>
        <v>-</v>
      </c>
      <c r="K67" s="143" t="str">
        <f t="shared" si="1"/>
        <v>-</v>
      </c>
      <c r="L67" s="144" t="str">
        <f t="shared" si="2"/>
        <v>-</v>
      </c>
      <c r="M67" s="145" t="str">
        <f t="shared" si="3"/>
        <v>-</v>
      </c>
      <c r="O67" s="145" t="str">
        <f t="shared" si="4"/>
        <v>-</v>
      </c>
    </row>
    <row r="68" spans="1:15">
      <c r="A68" s="63"/>
      <c r="B68" s="65">
        <v>1792</v>
      </c>
      <c r="C68" s="108" t="s">
        <v>53</v>
      </c>
      <c r="D68" s="118">
        <v>0</v>
      </c>
      <c r="E68" s="113">
        <v>20.55</v>
      </c>
      <c r="F68" s="95"/>
      <c r="G68" s="88">
        <f t="shared" si="7"/>
        <v>0</v>
      </c>
      <c r="J68" s="143" t="str">
        <f t="shared" ref="J68:J130" si="8">IFERROR(IF($J$2*D68=0, "-", $J$2*D68), "-")</f>
        <v>-</v>
      </c>
      <c r="K68" s="143" t="str">
        <f t="shared" ref="K68:K130" si="9">IF(F68&gt;0,E68+D68*F68/$L$2*$M$2/F68,"-")</f>
        <v>-</v>
      </c>
      <c r="L68" s="144" t="str">
        <f t="shared" ref="L68:L131" si="10">IF(F68&gt;0,F68*D68*1.113, "-")</f>
        <v>-</v>
      </c>
      <c r="M68" s="145" t="str">
        <f t="shared" ref="M68:M130" si="11">IFERROR(IF($J$2&gt;0, $J$2*L68, "-"), "-")</f>
        <v>-</v>
      </c>
      <c r="O68" s="145" t="str">
        <f t="shared" ref="O68:O130" si="12">IFERROR(IF(M68+G68=0, "-", IF(M68&gt;0, M68+G68, "-")), "-")</f>
        <v>-</v>
      </c>
    </row>
    <row r="69" spans="1:15">
      <c r="A69" s="61" t="s">
        <v>54</v>
      </c>
      <c r="B69" s="65">
        <v>1801</v>
      </c>
      <c r="C69" s="108" t="s">
        <v>51</v>
      </c>
      <c r="D69" s="118">
        <v>0.36</v>
      </c>
      <c r="E69" s="113">
        <v>24.16</v>
      </c>
      <c r="F69" s="95"/>
      <c r="G69" s="88">
        <f t="shared" si="7"/>
        <v>0</v>
      </c>
      <c r="J69" s="143" t="str">
        <f t="shared" si="8"/>
        <v>-</v>
      </c>
      <c r="K69" s="143" t="str">
        <f t="shared" si="9"/>
        <v>-</v>
      </c>
      <c r="L69" s="144" t="str">
        <f t="shared" si="10"/>
        <v>-</v>
      </c>
      <c r="M69" s="145" t="str">
        <f t="shared" si="11"/>
        <v>-</v>
      </c>
      <c r="O69" s="145" t="str">
        <f t="shared" si="12"/>
        <v>-</v>
      </c>
    </row>
    <row r="70" spans="1:15">
      <c r="A70" s="62"/>
      <c r="B70" s="65">
        <v>1802</v>
      </c>
      <c r="C70" s="108" t="s">
        <v>52</v>
      </c>
      <c r="D70" s="118">
        <v>0</v>
      </c>
      <c r="E70" s="113">
        <v>40</v>
      </c>
      <c r="F70" s="95"/>
      <c r="G70" s="88">
        <f t="shared" si="7"/>
        <v>0</v>
      </c>
      <c r="J70" s="143" t="str">
        <f t="shared" si="8"/>
        <v>-</v>
      </c>
      <c r="K70" s="143" t="str">
        <f t="shared" si="9"/>
        <v>-</v>
      </c>
      <c r="L70" s="144" t="str">
        <f t="shared" si="10"/>
        <v>-</v>
      </c>
      <c r="M70" s="145" t="str">
        <f t="shared" si="11"/>
        <v>-</v>
      </c>
      <c r="O70" s="145" t="str">
        <f t="shared" si="12"/>
        <v>-</v>
      </c>
    </row>
    <row r="71" spans="1:15">
      <c r="A71" s="63"/>
      <c r="B71" s="65">
        <v>1799</v>
      </c>
      <c r="C71" s="108" t="s">
        <v>53</v>
      </c>
      <c r="D71" s="118">
        <v>0</v>
      </c>
      <c r="E71" s="113">
        <v>20.55</v>
      </c>
      <c r="F71" s="95"/>
      <c r="G71" s="88">
        <f t="shared" si="7"/>
        <v>0</v>
      </c>
      <c r="J71" s="143" t="str">
        <f t="shared" si="8"/>
        <v>-</v>
      </c>
      <c r="K71" s="143" t="str">
        <f t="shared" si="9"/>
        <v>-</v>
      </c>
      <c r="L71" s="144" t="str">
        <f t="shared" si="10"/>
        <v>-</v>
      </c>
      <c r="M71" s="145" t="str">
        <f t="shared" si="11"/>
        <v>-</v>
      </c>
      <c r="O71" s="145" t="str">
        <f t="shared" si="12"/>
        <v>-</v>
      </c>
    </row>
    <row r="72" spans="1:15">
      <c r="A72" s="61" t="s">
        <v>55</v>
      </c>
      <c r="B72" s="65">
        <v>1840</v>
      </c>
      <c r="C72" s="108" t="s">
        <v>56</v>
      </c>
      <c r="D72" s="118">
        <v>0</v>
      </c>
      <c r="E72" s="113">
        <v>32.43</v>
      </c>
      <c r="F72" s="92"/>
      <c r="G72" s="88">
        <f t="shared" si="7"/>
        <v>0</v>
      </c>
      <c r="J72" s="143" t="str">
        <f t="shared" si="8"/>
        <v>-</v>
      </c>
      <c r="K72" s="143" t="str">
        <f t="shared" si="9"/>
        <v>-</v>
      </c>
      <c r="L72" s="144" t="str">
        <f t="shared" si="10"/>
        <v>-</v>
      </c>
      <c r="M72" s="145" t="str">
        <f t="shared" si="11"/>
        <v>-</v>
      </c>
      <c r="O72" s="145" t="str">
        <f t="shared" si="12"/>
        <v>-</v>
      </c>
    </row>
    <row r="73" spans="1:15">
      <c r="A73" s="61" t="s">
        <v>57</v>
      </c>
      <c r="B73" s="65">
        <v>1870</v>
      </c>
      <c r="C73" s="108" t="s">
        <v>58</v>
      </c>
      <c r="D73" s="118">
        <v>0.48</v>
      </c>
      <c r="E73" s="113">
        <v>30.06</v>
      </c>
      <c r="F73" s="92"/>
      <c r="G73" s="88">
        <f t="shared" si="7"/>
        <v>0</v>
      </c>
      <c r="J73" s="143" t="str">
        <f t="shared" si="8"/>
        <v>-</v>
      </c>
      <c r="K73" s="143" t="str">
        <f t="shared" si="9"/>
        <v>-</v>
      </c>
      <c r="L73" s="144" t="str">
        <f t="shared" si="10"/>
        <v>-</v>
      </c>
      <c r="M73" s="145" t="str">
        <f t="shared" si="11"/>
        <v>-</v>
      </c>
      <c r="O73" s="145" t="str">
        <f t="shared" si="12"/>
        <v>-</v>
      </c>
    </row>
    <row r="74" spans="1:15">
      <c r="A74" s="34" t="s">
        <v>59</v>
      </c>
      <c r="B74" s="65">
        <v>1875</v>
      </c>
      <c r="C74" s="108" t="s">
        <v>3</v>
      </c>
      <c r="D74" s="118">
        <v>0</v>
      </c>
      <c r="E74" s="113">
        <v>16.47</v>
      </c>
      <c r="F74" s="92"/>
      <c r="G74" s="88">
        <f t="shared" si="7"/>
        <v>0</v>
      </c>
      <c r="J74" s="143" t="str">
        <f t="shared" si="8"/>
        <v>-</v>
      </c>
      <c r="K74" s="143" t="str">
        <f t="shared" si="9"/>
        <v>-</v>
      </c>
      <c r="L74" s="144" t="str">
        <f t="shared" si="10"/>
        <v>-</v>
      </c>
      <c r="M74" s="145" t="str">
        <f t="shared" si="11"/>
        <v>-</v>
      </c>
      <c r="O74" s="145" t="str">
        <f t="shared" si="12"/>
        <v>-</v>
      </c>
    </row>
    <row r="75" spans="1:15">
      <c r="A75" s="40" t="s">
        <v>60</v>
      </c>
      <c r="B75" s="42"/>
      <c r="C75" s="14"/>
      <c r="D75" s="121"/>
      <c r="E75" s="20"/>
      <c r="F75" s="96"/>
      <c r="G75" s="41"/>
      <c r="J75" s="143" t="str">
        <f t="shared" si="8"/>
        <v>-</v>
      </c>
      <c r="K75" s="143" t="str">
        <f t="shared" si="9"/>
        <v>-</v>
      </c>
      <c r="L75" s="144" t="str">
        <f t="shared" si="10"/>
        <v>-</v>
      </c>
      <c r="M75" s="145" t="str">
        <f t="shared" si="11"/>
        <v>-</v>
      </c>
      <c r="O75" s="145" t="str">
        <f t="shared" si="12"/>
        <v>-</v>
      </c>
    </row>
    <row r="76" spans="1:15" ht="36">
      <c r="A76" s="34" t="s">
        <v>61</v>
      </c>
      <c r="B76" s="65">
        <v>1560</v>
      </c>
      <c r="C76" s="108" t="s">
        <v>62</v>
      </c>
      <c r="D76" s="118">
        <v>0</v>
      </c>
      <c r="E76" s="113">
        <v>29.26</v>
      </c>
      <c r="F76" s="92"/>
      <c r="G76" s="88">
        <f t="shared" ref="G76:G90" si="13">F76*E76</f>
        <v>0</v>
      </c>
      <c r="J76" s="143" t="str">
        <f t="shared" si="8"/>
        <v>-</v>
      </c>
      <c r="K76" s="143" t="str">
        <f t="shared" si="9"/>
        <v>-</v>
      </c>
      <c r="L76" s="144" t="str">
        <f t="shared" si="10"/>
        <v>-</v>
      </c>
      <c r="M76" s="145" t="str">
        <f t="shared" si="11"/>
        <v>-</v>
      </c>
      <c r="O76" s="145" t="str">
        <f t="shared" si="12"/>
        <v>-</v>
      </c>
    </row>
    <row r="77" spans="1:15">
      <c r="A77" s="34"/>
      <c r="B77" s="65">
        <v>1561</v>
      </c>
      <c r="C77" s="108" t="s">
        <v>63</v>
      </c>
      <c r="D77" s="118">
        <v>1.18</v>
      </c>
      <c r="E77" s="113">
        <v>49.86</v>
      </c>
      <c r="F77" s="92"/>
      <c r="G77" s="88">
        <f t="shared" si="13"/>
        <v>0</v>
      </c>
      <c r="J77" s="143" t="str">
        <f t="shared" si="8"/>
        <v>-</v>
      </c>
      <c r="K77" s="143" t="str">
        <f t="shared" si="9"/>
        <v>-</v>
      </c>
      <c r="L77" s="144" t="str">
        <f t="shared" si="10"/>
        <v>-</v>
      </c>
      <c r="M77" s="145" t="str">
        <f t="shared" si="11"/>
        <v>-</v>
      </c>
      <c r="O77" s="145" t="str">
        <f t="shared" si="12"/>
        <v>-</v>
      </c>
    </row>
    <row r="78" spans="1:15">
      <c r="A78" s="34"/>
      <c r="B78" s="65">
        <v>1563</v>
      </c>
      <c r="C78" s="108" t="s">
        <v>64</v>
      </c>
      <c r="D78" s="118">
        <v>0</v>
      </c>
      <c r="E78" s="113">
        <v>18.61</v>
      </c>
      <c r="F78" s="92"/>
      <c r="G78" s="88">
        <f t="shared" si="13"/>
        <v>0</v>
      </c>
      <c r="J78" s="143" t="str">
        <f t="shared" si="8"/>
        <v>-</v>
      </c>
      <c r="K78" s="143" t="str">
        <f t="shared" si="9"/>
        <v>-</v>
      </c>
      <c r="L78" s="144" t="str">
        <f t="shared" si="10"/>
        <v>-</v>
      </c>
      <c r="M78" s="145" t="str">
        <f t="shared" si="11"/>
        <v>-</v>
      </c>
      <c r="O78" s="145" t="str">
        <f t="shared" si="12"/>
        <v>-</v>
      </c>
    </row>
    <row r="79" spans="1:15">
      <c r="A79" s="34" t="s">
        <v>65</v>
      </c>
      <c r="B79" s="65">
        <v>1564</v>
      </c>
      <c r="C79" s="108" t="s">
        <v>66</v>
      </c>
      <c r="D79" s="118">
        <v>0.64</v>
      </c>
      <c r="E79" s="113">
        <v>29.26</v>
      </c>
      <c r="F79" s="92"/>
      <c r="G79" s="88">
        <f t="shared" si="13"/>
        <v>0</v>
      </c>
      <c r="J79" s="143" t="str">
        <f t="shared" si="8"/>
        <v>-</v>
      </c>
      <c r="K79" s="143" t="str">
        <f t="shared" si="9"/>
        <v>-</v>
      </c>
      <c r="L79" s="144" t="str">
        <f t="shared" si="10"/>
        <v>-</v>
      </c>
      <c r="M79" s="145" t="str">
        <f t="shared" si="11"/>
        <v>-</v>
      </c>
      <c r="O79" s="145" t="str">
        <f t="shared" si="12"/>
        <v>-</v>
      </c>
    </row>
    <row r="80" spans="1:15">
      <c r="A80" s="34"/>
      <c r="B80" s="65">
        <v>1565</v>
      </c>
      <c r="C80" s="108" t="s">
        <v>67</v>
      </c>
      <c r="D80" s="118">
        <v>1.1399999999999999</v>
      </c>
      <c r="E80" s="113">
        <v>49.86</v>
      </c>
      <c r="F80" s="92"/>
      <c r="G80" s="88">
        <f t="shared" si="13"/>
        <v>0</v>
      </c>
      <c r="J80" s="143" t="str">
        <f t="shared" si="8"/>
        <v>-</v>
      </c>
      <c r="K80" s="143" t="str">
        <f t="shared" si="9"/>
        <v>-</v>
      </c>
      <c r="L80" s="144" t="str">
        <f t="shared" si="10"/>
        <v>-</v>
      </c>
      <c r="M80" s="145" t="str">
        <f t="shared" si="11"/>
        <v>-</v>
      </c>
      <c r="O80" s="145" t="str">
        <f t="shared" si="12"/>
        <v>-</v>
      </c>
    </row>
    <row r="81" spans="1:15">
      <c r="A81" s="34"/>
      <c r="B81" s="65">
        <v>1567</v>
      </c>
      <c r="C81" s="108" t="s">
        <v>64</v>
      </c>
      <c r="D81" s="118">
        <v>0</v>
      </c>
      <c r="E81" s="113">
        <v>18.61</v>
      </c>
      <c r="F81" s="92"/>
      <c r="G81" s="88">
        <f t="shared" si="13"/>
        <v>0</v>
      </c>
      <c r="J81" s="143" t="str">
        <f t="shared" si="8"/>
        <v>-</v>
      </c>
      <c r="K81" s="143" t="str">
        <f t="shared" si="9"/>
        <v>-</v>
      </c>
      <c r="L81" s="144" t="str">
        <f t="shared" si="10"/>
        <v>-</v>
      </c>
      <c r="M81" s="145" t="str">
        <f t="shared" si="11"/>
        <v>-</v>
      </c>
      <c r="O81" s="145" t="str">
        <f t="shared" si="12"/>
        <v>-</v>
      </c>
    </row>
    <row r="82" spans="1:15">
      <c r="A82" s="34" t="s">
        <v>68</v>
      </c>
      <c r="B82" s="65">
        <v>1568</v>
      </c>
      <c r="C82" s="108" t="s">
        <v>66</v>
      </c>
      <c r="D82" s="118">
        <v>0</v>
      </c>
      <c r="E82" s="113">
        <v>29.26</v>
      </c>
      <c r="F82" s="92"/>
      <c r="G82" s="88">
        <f t="shared" si="13"/>
        <v>0</v>
      </c>
      <c r="J82" s="143" t="str">
        <f t="shared" si="8"/>
        <v>-</v>
      </c>
      <c r="K82" s="143" t="str">
        <f t="shared" si="9"/>
        <v>-</v>
      </c>
      <c r="L82" s="144" t="str">
        <f t="shared" si="10"/>
        <v>-</v>
      </c>
      <c r="M82" s="145" t="str">
        <f t="shared" si="11"/>
        <v>-</v>
      </c>
      <c r="O82" s="145" t="str">
        <f t="shared" si="12"/>
        <v>-</v>
      </c>
    </row>
    <row r="83" spans="1:15">
      <c r="A83" s="34"/>
      <c r="B83" s="65">
        <v>1569</v>
      </c>
      <c r="C83" s="108" t="s">
        <v>67</v>
      </c>
      <c r="D83" s="118">
        <v>1.1200000000000001</v>
      </c>
      <c r="E83" s="113">
        <v>49.86</v>
      </c>
      <c r="F83" s="92"/>
      <c r="G83" s="88">
        <f t="shared" si="13"/>
        <v>0</v>
      </c>
      <c r="J83" s="143" t="str">
        <f t="shared" si="8"/>
        <v>-</v>
      </c>
      <c r="K83" s="143" t="str">
        <f t="shared" si="9"/>
        <v>-</v>
      </c>
      <c r="L83" s="144" t="str">
        <f t="shared" si="10"/>
        <v>-</v>
      </c>
      <c r="M83" s="145" t="str">
        <f t="shared" si="11"/>
        <v>-</v>
      </c>
      <c r="O83" s="145" t="str">
        <f t="shared" si="12"/>
        <v>-</v>
      </c>
    </row>
    <row r="84" spans="1:15">
      <c r="A84" s="34"/>
      <c r="B84" s="65">
        <v>1571</v>
      </c>
      <c r="C84" s="108" t="s">
        <v>64</v>
      </c>
      <c r="D84" s="118">
        <v>0</v>
      </c>
      <c r="E84" s="113">
        <v>18.61</v>
      </c>
      <c r="F84" s="92"/>
      <c r="G84" s="88">
        <f t="shared" si="13"/>
        <v>0</v>
      </c>
      <c r="J84" s="143" t="str">
        <f t="shared" si="8"/>
        <v>-</v>
      </c>
      <c r="K84" s="143" t="str">
        <f t="shared" si="9"/>
        <v>-</v>
      </c>
      <c r="L84" s="144" t="str">
        <f t="shared" si="10"/>
        <v>-</v>
      </c>
      <c r="M84" s="145" t="str">
        <f t="shared" si="11"/>
        <v>-</v>
      </c>
      <c r="O84" s="145" t="str">
        <f t="shared" si="12"/>
        <v>-</v>
      </c>
    </row>
    <row r="85" spans="1:15" ht="14.4" customHeight="1">
      <c r="A85" s="61" t="s">
        <v>69</v>
      </c>
      <c r="B85" s="65">
        <v>1604</v>
      </c>
      <c r="C85" s="108" t="s">
        <v>70</v>
      </c>
      <c r="D85" s="118">
        <v>0</v>
      </c>
      <c r="E85" s="113">
        <v>28.47</v>
      </c>
      <c r="F85" s="92"/>
      <c r="G85" s="88">
        <f t="shared" si="13"/>
        <v>0</v>
      </c>
      <c r="J85" s="143" t="str">
        <f t="shared" si="8"/>
        <v>-</v>
      </c>
      <c r="K85" s="143" t="str">
        <f t="shared" si="9"/>
        <v>-</v>
      </c>
      <c r="L85" s="144" t="str">
        <f t="shared" si="10"/>
        <v>-</v>
      </c>
      <c r="M85" s="145" t="str">
        <f t="shared" si="11"/>
        <v>-</v>
      </c>
      <c r="O85" s="145" t="str">
        <f t="shared" si="12"/>
        <v>-</v>
      </c>
    </row>
    <row r="86" spans="1:15">
      <c r="A86" s="62"/>
      <c r="B86" s="65">
        <v>1605</v>
      </c>
      <c r="C86" s="108" t="s">
        <v>71</v>
      </c>
      <c r="D86" s="118">
        <v>0</v>
      </c>
      <c r="E86" s="113">
        <v>49.06</v>
      </c>
      <c r="F86" s="95"/>
      <c r="G86" s="88">
        <f t="shared" si="13"/>
        <v>0</v>
      </c>
      <c r="J86" s="143" t="str">
        <f t="shared" si="8"/>
        <v>-</v>
      </c>
      <c r="K86" s="143" t="str">
        <f t="shared" si="9"/>
        <v>-</v>
      </c>
      <c r="L86" s="144" t="str">
        <f t="shared" si="10"/>
        <v>-</v>
      </c>
      <c r="M86" s="145" t="str">
        <f t="shared" si="11"/>
        <v>-</v>
      </c>
      <c r="O86" s="145" t="str">
        <f t="shared" si="12"/>
        <v>-</v>
      </c>
    </row>
    <row r="87" spans="1:15">
      <c r="A87" s="62"/>
      <c r="B87" s="65">
        <v>1607</v>
      </c>
      <c r="C87" s="108" t="s">
        <v>64</v>
      </c>
      <c r="D87" s="118">
        <v>0</v>
      </c>
      <c r="E87" s="113">
        <v>18.61</v>
      </c>
      <c r="F87" s="95"/>
      <c r="G87" s="88">
        <f t="shared" si="13"/>
        <v>0</v>
      </c>
      <c r="J87" s="143" t="str">
        <f t="shared" si="8"/>
        <v>-</v>
      </c>
      <c r="K87" s="143" t="str">
        <f t="shared" si="9"/>
        <v>-</v>
      </c>
      <c r="L87" s="144" t="str">
        <f t="shared" si="10"/>
        <v>-</v>
      </c>
      <c r="M87" s="145" t="str">
        <f t="shared" si="11"/>
        <v>-</v>
      </c>
      <c r="O87" s="145" t="str">
        <f t="shared" si="12"/>
        <v>-</v>
      </c>
    </row>
    <row r="88" spans="1:15">
      <c r="A88" s="61" t="s">
        <v>72</v>
      </c>
      <c r="B88" s="65">
        <v>1608</v>
      </c>
      <c r="C88" s="108" t="s">
        <v>70</v>
      </c>
      <c r="D88" s="118">
        <v>0</v>
      </c>
      <c r="E88" s="113">
        <v>28.47</v>
      </c>
      <c r="F88" s="95"/>
      <c r="G88" s="88">
        <f t="shared" si="13"/>
        <v>0</v>
      </c>
      <c r="J88" s="143" t="str">
        <f t="shared" si="8"/>
        <v>-</v>
      </c>
      <c r="K88" s="143" t="str">
        <f t="shared" si="9"/>
        <v>-</v>
      </c>
      <c r="L88" s="144" t="str">
        <f t="shared" si="10"/>
        <v>-</v>
      </c>
      <c r="M88" s="145" t="str">
        <f t="shared" si="11"/>
        <v>-</v>
      </c>
      <c r="O88" s="145" t="str">
        <f t="shared" si="12"/>
        <v>-</v>
      </c>
    </row>
    <row r="89" spans="1:15">
      <c r="A89" s="62"/>
      <c r="B89" s="65">
        <v>1609</v>
      </c>
      <c r="C89" s="108" t="s">
        <v>71</v>
      </c>
      <c r="D89" s="118">
        <v>0</v>
      </c>
      <c r="E89" s="113">
        <v>49.06</v>
      </c>
      <c r="F89" s="95"/>
      <c r="G89" s="88">
        <f t="shared" si="13"/>
        <v>0</v>
      </c>
      <c r="J89" s="143" t="str">
        <f t="shared" si="8"/>
        <v>-</v>
      </c>
      <c r="K89" s="143" t="str">
        <f t="shared" si="9"/>
        <v>-</v>
      </c>
      <c r="L89" s="144" t="str">
        <f t="shared" si="10"/>
        <v>-</v>
      </c>
      <c r="M89" s="145" t="str">
        <f t="shared" si="11"/>
        <v>-</v>
      </c>
      <c r="O89" s="145" t="str">
        <f t="shared" si="12"/>
        <v>-</v>
      </c>
    </row>
    <row r="90" spans="1:15">
      <c r="A90" s="63"/>
      <c r="B90" s="65">
        <v>1611</v>
      </c>
      <c r="C90" s="108" t="s">
        <v>64</v>
      </c>
      <c r="D90" s="118">
        <v>0</v>
      </c>
      <c r="E90" s="113">
        <v>18.61</v>
      </c>
      <c r="F90" s="95"/>
      <c r="G90" s="88">
        <f t="shared" si="13"/>
        <v>0</v>
      </c>
      <c r="J90" s="143" t="str">
        <f t="shared" si="8"/>
        <v>-</v>
      </c>
      <c r="K90" s="143" t="str">
        <f t="shared" si="9"/>
        <v>-</v>
      </c>
      <c r="L90" s="144" t="str">
        <f t="shared" si="10"/>
        <v>-</v>
      </c>
      <c r="M90" s="145" t="str">
        <f t="shared" si="11"/>
        <v>-</v>
      </c>
      <c r="O90" s="145" t="str">
        <f t="shared" si="12"/>
        <v>-</v>
      </c>
    </row>
    <row r="91" spans="1:15">
      <c r="A91" s="42" t="s">
        <v>73</v>
      </c>
      <c r="B91" s="42"/>
      <c r="C91" s="14"/>
      <c r="D91" s="121"/>
      <c r="E91" s="20"/>
      <c r="F91" s="96"/>
      <c r="G91" s="41"/>
      <c r="J91" s="143" t="str">
        <f t="shared" si="8"/>
        <v>-</v>
      </c>
      <c r="K91" s="143" t="str">
        <f t="shared" si="9"/>
        <v>-</v>
      </c>
      <c r="L91" s="144" t="str">
        <f t="shared" si="10"/>
        <v>-</v>
      </c>
      <c r="M91" s="145" t="str">
        <f t="shared" si="11"/>
        <v>-</v>
      </c>
      <c r="O91" s="145" t="str">
        <f t="shared" si="12"/>
        <v>-</v>
      </c>
    </row>
    <row r="92" spans="1:15">
      <c r="A92" s="62" t="s">
        <v>74</v>
      </c>
      <c r="B92" s="65">
        <v>1900</v>
      </c>
      <c r="C92" s="108" t="s">
        <v>66</v>
      </c>
      <c r="D92" s="118">
        <v>0</v>
      </c>
      <c r="E92" s="113">
        <v>27.32</v>
      </c>
      <c r="F92" s="95"/>
      <c r="G92" s="88">
        <f>F92*E92</f>
        <v>0</v>
      </c>
      <c r="J92" s="143" t="str">
        <f t="shared" si="8"/>
        <v>-</v>
      </c>
      <c r="K92" s="143" t="str">
        <f t="shared" si="9"/>
        <v>-</v>
      </c>
      <c r="L92" s="144" t="str">
        <f t="shared" si="10"/>
        <v>-</v>
      </c>
      <c r="M92" s="145" t="str">
        <f t="shared" si="11"/>
        <v>-</v>
      </c>
      <c r="O92" s="145" t="str">
        <f t="shared" si="12"/>
        <v>-</v>
      </c>
    </row>
    <row r="93" spans="1:15">
      <c r="A93" s="62"/>
      <c r="B93" s="65">
        <v>1902</v>
      </c>
      <c r="C93" s="108" t="s">
        <v>64</v>
      </c>
      <c r="D93" s="118">
        <v>0</v>
      </c>
      <c r="E93" s="113">
        <v>16.59</v>
      </c>
      <c r="F93" s="95"/>
      <c r="G93" s="88">
        <f>F93*E93</f>
        <v>0</v>
      </c>
      <c r="J93" s="143" t="str">
        <f t="shared" si="8"/>
        <v>-</v>
      </c>
      <c r="K93" s="143" t="str">
        <f t="shared" si="9"/>
        <v>-</v>
      </c>
      <c r="L93" s="144" t="str">
        <f t="shared" si="10"/>
        <v>-</v>
      </c>
      <c r="M93" s="145" t="str">
        <f t="shared" si="11"/>
        <v>-</v>
      </c>
      <c r="O93" s="145" t="str">
        <f t="shared" si="12"/>
        <v>-</v>
      </c>
    </row>
    <row r="94" spans="1:15">
      <c r="A94" s="62" t="s">
        <v>75</v>
      </c>
      <c r="B94" s="65">
        <v>1908</v>
      </c>
      <c r="C94" s="108" t="s">
        <v>66</v>
      </c>
      <c r="D94" s="118">
        <v>0</v>
      </c>
      <c r="E94" s="113">
        <v>27.32</v>
      </c>
      <c r="F94" s="95"/>
      <c r="G94" s="88">
        <f>F94*E94</f>
        <v>0</v>
      </c>
      <c r="J94" s="143" t="str">
        <f t="shared" si="8"/>
        <v>-</v>
      </c>
      <c r="K94" s="143" t="str">
        <f t="shared" si="9"/>
        <v>-</v>
      </c>
      <c r="L94" s="144" t="str">
        <f t="shared" si="10"/>
        <v>-</v>
      </c>
      <c r="M94" s="145" t="str">
        <f t="shared" si="11"/>
        <v>-</v>
      </c>
      <c r="O94" s="145" t="str">
        <f t="shared" si="12"/>
        <v>-</v>
      </c>
    </row>
    <row r="95" spans="1:15">
      <c r="A95" s="62"/>
      <c r="B95" s="65">
        <v>1910</v>
      </c>
      <c r="C95" s="108" t="s">
        <v>64</v>
      </c>
      <c r="D95" s="118">
        <v>0</v>
      </c>
      <c r="E95" s="113">
        <v>16.59</v>
      </c>
      <c r="F95" s="95"/>
      <c r="G95" s="88">
        <f>F95*E95</f>
        <v>0</v>
      </c>
      <c r="J95" s="143" t="str">
        <f t="shared" si="8"/>
        <v>-</v>
      </c>
      <c r="K95" s="143" t="str">
        <f t="shared" si="9"/>
        <v>-</v>
      </c>
      <c r="L95" s="144" t="str">
        <f t="shared" si="10"/>
        <v>-</v>
      </c>
      <c r="M95" s="145" t="str">
        <f t="shared" si="11"/>
        <v>-</v>
      </c>
      <c r="O95" s="145" t="str">
        <f t="shared" si="12"/>
        <v>-</v>
      </c>
    </row>
    <row r="96" spans="1:15">
      <c r="A96" s="43" t="s">
        <v>76</v>
      </c>
      <c r="B96" s="43"/>
      <c r="C96" s="15"/>
      <c r="D96" s="122"/>
      <c r="E96" s="21"/>
      <c r="F96" s="97"/>
      <c r="G96" s="44"/>
      <c r="J96" s="143" t="str">
        <f t="shared" si="8"/>
        <v>-</v>
      </c>
      <c r="K96" s="143" t="str">
        <f t="shared" si="9"/>
        <v>-</v>
      </c>
      <c r="L96" s="144" t="str">
        <f t="shared" si="10"/>
        <v>-</v>
      </c>
      <c r="M96" s="145" t="str">
        <f t="shared" si="11"/>
        <v>-</v>
      </c>
      <c r="O96" s="145" t="str">
        <f t="shared" si="12"/>
        <v>-</v>
      </c>
    </row>
    <row r="97" spans="1:16" s="16" customFormat="1" ht="24">
      <c r="A97" s="61" t="s">
        <v>77</v>
      </c>
      <c r="B97" s="69">
        <v>132</v>
      </c>
      <c r="C97" s="110">
        <v>30</v>
      </c>
      <c r="D97" s="118">
        <v>0</v>
      </c>
      <c r="E97" s="114">
        <v>12.21</v>
      </c>
      <c r="F97" s="92"/>
      <c r="G97" s="88">
        <f t="shared" ref="G97:G120" si="14">F97*E97</f>
        <v>0</v>
      </c>
      <c r="J97" s="143" t="str">
        <f t="shared" si="8"/>
        <v>-</v>
      </c>
      <c r="K97" s="143" t="str">
        <f t="shared" si="9"/>
        <v>-</v>
      </c>
      <c r="L97" s="144" t="str">
        <f t="shared" si="10"/>
        <v>-</v>
      </c>
      <c r="M97" s="145" t="str">
        <f t="shared" si="11"/>
        <v>-</v>
      </c>
      <c r="N97" s="136"/>
      <c r="O97" s="145" t="str">
        <f t="shared" si="12"/>
        <v>-</v>
      </c>
      <c r="P97"/>
    </row>
    <row r="98" spans="1:16" s="16" customFormat="1">
      <c r="A98" s="61"/>
      <c r="B98" s="69">
        <v>135</v>
      </c>
      <c r="C98" s="110">
        <v>60</v>
      </c>
      <c r="D98" s="118">
        <v>0.24</v>
      </c>
      <c r="E98" s="114">
        <v>23.43</v>
      </c>
      <c r="F98" s="92"/>
      <c r="G98" s="88">
        <f t="shared" si="14"/>
        <v>0</v>
      </c>
      <c r="J98" s="143" t="str">
        <f t="shared" si="8"/>
        <v>-</v>
      </c>
      <c r="K98" s="143" t="str">
        <f t="shared" si="9"/>
        <v>-</v>
      </c>
      <c r="L98" s="144" t="str">
        <f t="shared" si="10"/>
        <v>-</v>
      </c>
      <c r="M98" s="145" t="str">
        <f t="shared" si="11"/>
        <v>-</v>
      </c>
      <c r="N98" s="136"/>
      <c r="O98" s="145" t="str">
        <f t="shared" si="12"/>
        <v>-</v>
      </c>
      <c r="P98"/>
    </row>
    <row r="99" spans="1:16" s="16" customFormat="1">
      <c r="A99" s="61"/>
      <c r="B99" s="69">
        <v>137</v>
      </c>
      <c r="C99" s="110">
        <v>90</v>
      </c>
      <c r="D99" s="118">
        <v>0</v>
      </c>
      <c r="E99" s="114">
        <v>34.950000000000003</v>
      </c>
      <c r="F99" s="92"/>
      <c r="G99" s="88">
        <f t="shared" si="14"/>
        <v>0</v>
      </c>
      <c r="J99" s="143" t="str">
        <f t="shared" si="8"/>
        <v>-</v>
      </c>
      <c r="K99" s="143" t="str">
        <f t="shared" si="9"/>
        <v>-</v>
      </c>
      <c r="L99" s="144" t="str">
        <f t="shared" si="10"/>
        <v>-</v>
      </c>
      <c r="M99" s="145" t="str">
        <f t="shared" si="11"/>
        <v>-</v>
      </c>
      <c r="N99" s="136"/>
      <c r="O99" s="145" t="str">
        <f t="shared" si="12"/>
        <v>-</v>
      </c>
      <c r="P99"/>
    </row>
    <row r="100" spans="1:16" s="16" customFormat="1" ht="24">
      <c r="A100" s="61" t="s">
        <v>78</v>
      </c>
      <c r="B100" s="69">
        <v>139</v>
      </c>
      <c r="C100" s="110">
        <v>30</v>
      </c>
      <c r="D100" s="118">
        <v>0</v>
      </c>
      <c r="E100" s="114">
        <v>12.21</v>
      </c>
      <c r="F100" s="92"/>
      <c r="G100" s="88">
        <f t="shared" si="14"/>
        <v>0</v>
      </c>
      <c r="J100" s="143" t="str">
        <f t="shared" si="8"/>
        <v>-</v>
      </c>
      <c r="K100" s="143" t="str">
        <f t="shared" si="9"/>
        <v>-</v>
      </c>
      <c r="L100" s="144" t="str">
        <f t="shared" si="10"/>
        <v>-</v>
      </c>
      <c r="M100" s="145" t="str">
        <f t="shared" si="11"/>
        <v>-</v>
      </c>
      <c r="N100" s="136"/>
      <c r="O100" s="145" t="str">
        <f t="shared" si="12"/>
        <v>-</v>
      </c>
      <c r="P100"/>
    </row>
    <row r="101" spans="1:16" s="16" customFormat="1">
      <c r="A101" s="61"/>
      <c r="B101" s="69">
        <v>141</v>
      </c>
      <c r="C101" s="110">
        <v>60</v>
      </c>
      <c r="D101" s="118">
        <v>0.24</v>
      </c>
      <c r="E101" s="114">
        <v>23.43</v>
      </c>
      <c r="F101" s="92"/>
      <c r="G101" s="88">
        <f t="shared" si="14"/>
        <v>0</v>
      </c>
      <c r="J101" s="143" t="str">
        <f t="shared" si="8"/>
        <v>-</v>
      </c>
      <c r="K101" s="143" t="str">
        <f t="shared" si="9"/>
        <v>-</v>
      </c>
      <c r="L101" s="144" t="str">
        <f t="shared" si="10"/>
        <v>-</v>
      </c>
      <c r="M101" s="145" t="str">
        <f t="shared" si="11"/>
        <v>-</v>
      </c>
      <c r="N101" s="136"/>
      <c r="O101" s="145" t="str">
        <f t="shared" si="12"/>
        <v>-</v>
      </c>
      <c r="P101"/>
    </row>
    <row r="102" spans="1:16" s="16" customFormat="1">
      <c r="A102" s="61"/>
      <c r="B102" s="69">
        <v>143</v>
      </c>
      <c r="C102" s="110">
        <v>90</v>
      </c>
      <c r="D102" s="118">
        <v>0.34</v>
      </c>
      <c r="E102" s="114">
        <v>34.950000000000003</v>
      </c>
      <c r="F102" s="92"/>
      <c r="G102" s="88">
        <f t="shared" si="14"/>
        <v>0</v>
      </c>
      <c r="J102" s="143" t="str">
        <f t="shared" si="8"/>
        <v>-</v>
      </c>
      <c r="K102" s="143" t="str">
        <f t="shared" si="9"/>
        <v>-</v>
      </c>
      <c r="L102" s="144" t="str">
        <f t="shared" si="10"/>
        <v>-</v>
      </c>
      <c r="M102" s="145" t="str">
        <f t="shared" si="11"/>
        <v>-</v>
      </c>
      <c r="N102" s="136"/>
      <c r="O102" s="145" t="str">
        <f t="shared" si="12"/>
        <v>-</v>
      </c>
      <c r="P102"/>
    </row>
    <row r="103" spans="1:16" s="16" customFormat="1">
      <c r="A103" s="61" t="s">
        <v>79</v>
      </c>
      <c r="B103" s="69">
        <v>52</v>
      </c>
      <c r="C103" s="110">
        <v>50</v>
      </c>
      <c r="D103" s="118">
        <v>0</v>
      </c>
      <c r="E103" s="114">
        <v>8.5500000000000007</v>
      </c>
      <c r="F103" s="92"/>
      <c r="G103" s="88">
        <f t="shared" si="14"/>
        <v>0</v>
      </c>
      <c r="J103" s="143" t="str">
        <f t="shared" si="8"/>
        <v>-</v>
      </c>
      <c r="K103" s="143" t="str">
        <f t="shared" si="9"/>
        <v>-</v>
      </c>
      <c r="L103" s="144" t="str">
        <f t="shared" si="10"/>
        <v>-</v>
      </c>
      <c r="M103" s="145" t="str">
        <f t="shared" si="11"/>
        <v>-</v>
      </c>
      <c r="N103" s="136"/>
      <c r="O103" s="145" t="str">
        <f t="shared" si="12"/>
        <v>-</v>
      </c>
      <c r="P103"/>
    </row>
    <row r="104" spans="1:16">
      <c r="A104" s="63"/>
      <c r="B104" s="68">
        <v>54</v>
      </c>
      <c r="C104" s="109">
        <v>100</v>
      </c>
      <c r="D104" s="118">
        <v>0</v>
      </c>
      <c r="E104" s="113">
        <v>14.85</v>
      </c>
      <c r="F104" s="95"/>
      <c r="G104" s="88">
        <f t="shared" si="14"/>
        <v>0</v>
      </c>
      <c r="J104" s="143" t="str">
        <f t="shared" si="8"/>
        <v>-</v>
      </c>
      <c r="K104" s="143" t="str">
        <f t="shared" si="9"/>
        <v>-</v>
      </c>
      <c r="L104" s="144" t="str">
        <f t="shared" si="10"/>
        <v>-</v>
      </c>
      <c r="M104" s="145" t="str">
        <f t="shared" si="11"/>
        <v>-</v>
      </c>
      <c r="O104" s="145" t="str">
        <f t="shared" si="12"/>
        <v>-</v>
      </c>
    </row>
    <row r="105" spans="1:16" ht="14.4" customHeight="1">
      <c r="A105" s="61" t="s">
        <v>80</v>
      </c>
      <c r="B105" s="68">
        <v>56</v>
      </c>
      <c r="C105" s="109">
        <v>50</v>
      </c>
      <c r="D105" s="118">
        <v>0</v>
      </c>
      <c r="E105" s="113">
        <v>9.57</v>
      </c>
      <c r="F105" s="92"/>
      <c r="G105" s="88">
        <f t="shared" si="14"/>
        <v>0</v>
      </c>
      <c r="J105" s="143" t="str">
        <f t="shared" si="8"/>
        <v>-</v>
      </c>
      <c r="K105" s="143" t="str">
        <f t="shared" si="9"/>
        <v>-</v>
      </c>
      <c r="L105" s="144" t="str">
        <f t="shared" si="10"/>
        <v>-</v>
      </c>
      <c r="M105" s="145" t="str">
        <f t="shared" si="11"/>
        <v>-</v>
      </c>
      <c r="O105" s="145" t="str">
        <f t="shared" si="12"/>
        <v>-</v>
      </c>
    </row>
    <row r="106" spans="1:16">
      <c r="A106" s="63"/>
      <c r="B106" s="68">
        <v>57</v>
      </c>
      <c r="C106" s="109">
        <v>100</v>
      </c>
      <c r="D106" s="118">
        <v>0</v>
      </c>
      <c r="E106" s="113">
        <v>16.829999999999998</v>
      </c>
      <c r="F106" s="95"/>
      <c r="G106" s="88">
        <f t="shared" si="14"/>
        <v>0</v>
      </c>
      <c r="J106" s="143" t="str">
        <f t="shared" si="8"/>
        <v>-</v>
      </c>
      <c r="K106" s="143" t="str">
        <f t="shared" si="9"/>
        <v>-</v>
      </c>
      <c r="L106" s="144" t="str">
        <f t="shared" si="10"/>
        <v>-</v>
      </c>
      <c r="M106" s="145" t="str">
        <f t="shared" si="11"/>
        <v>-</v>
      </c>
      <c r="O106" s="145" t="str">
        <f t="shared" si="12"/>
        <v>-</v>
      </c>
    </row>
    <row r="107" spans="1:16">
      <c r="A107" s="61" t="s">
        <v>81</v>
      </c>
      <c r="B107" s="68">
        <v>62</v>
      </c>
      <c r="C107" s="109">
        <v>30</v>
      </c>
      <c r="D107" s="118">
        <v>0.14000000000000001</v>
      </c>
      <c r="E107" s="113">
        <v>8.5500000000000007</v>
      </c>
      <c r="F107" s="92"/>
      <c r="G107" s="88">
        <f t="shared" si="14"/>
        <v>0</v>
      </c>
      <c r="J107" s="143" t="str">
        <f t="shared" si="8"/>
        <v>-</v>
      </c>
      <c r="K107" s="143" t="str">
        <f t="shared" si="9"/>
        <v>-</v>
      </c>
      <c r="L107" s="144" t="str">
        <f t="shared" si="10"/>
        <v>-</v>
      </c>
      <c r="M107" s="145" t="str">
        <f t="shared" si="11"/>
        <v>-</v>
      </c>
      <c r="O107" s="145" t="str">
        <f t="shared" si="12"/>
        <v>-</v>
      </c>
    </row>
    <row r="108" spans="1:16">
      <c r="A108" s="61"/>
      <c r="B108" s="68">
        <v>64</v>
      </c>
      <c r="C108" s="109">
        <v>60</v>
      </c>
      <c r="D108" s="118">
        <v>0</v>
      </c>
      <c r="E108" s="113">
        <v>14.49</v>
      </c>
      <c r="F108" s="92"/>
      <c r="G108" s="88">
        <f t="shared" si="14"/>
        <v>0</v>
      </c>
      <c r="J108" s="143" t="str">
        <f t="shared" si="8"/>
        <v>-</v>
      </c>
      <c r="K108" s="143" t="str">
        <f t="shared" si="9"/>
        <v>-</v>
      </c>
      <c r="L108" s="144" t="str">
        <f t="shared" si="10"/>
        <v>-</v>
      </c>
      <c r="M108" s="145" t="str">
        <f t="shared" si="11"/>
        <v>-</v>
      </c>
      <c r="O108" s="145" t="str">
        <f t="shared" si="12"/>
        <v>-</v>
      </c>
    </row>
    <row r="109" spans="1:16">
      <c r="A109" s="61"/>
      <c r="B109" s="68">
        <v>65</v>
      </c>
      <c r="C109" s="109">
        <v>90</v>
      </c>
      <c r="D109" s="118">
        <v>0.23</v>
      </c>
      <c r="E109" s="113">
        <v>20.13</v>
      </c>
      <c r="F109" s="92"/>
      <c r="G109" s="88">
        <f t="shared" si="14"/>
        <v>0</v>
      </c>
      <c r="J109" s="143" t="str">
        <f t="shared" si="8"/>
        <v>-</v>
      </c>
      <c r="K109" s="143" t="str">
        <f t="shared" si="9"/>
        <v>-</v>
      </c>
      <c r="L109" s="144" t="str">
        <f t="shared" si="10"/>
        <v>-</v>
      </c>
      <c r="M109" s="145" t="str">
        <f t="shared" si="11"/>
        <v>-</v>
      </c>
      <c r="O109" s="145" t="str">
        <f t="shared" si="12"/>
        <v>-</v>
      </c>
    </row>
    <row r="110" spans="1:16">
      <c r="A110" s="61" t="s">
        <v>82</v>
      </c>
      <c r="B110" s="68">
        <v>70</v>
      </c>
      <c r="C110" s="109">
        <v>100</v>
      </c>
      <c r="D110" s="118">
        <v>0</v>
      </c>
      <c r="E110" s="113">
        <v>25.41</v>
      </c>
      <c r="F110" s="92"/>
      <c r="G110" s="88">
        <f t="shared" si="14"/>
        <v>0</v>
      </c>
      <c r="J110" s="143" t="str">
        <f t="shared" si="8"/>
        <v>-</v>
      </c>
      <c r="K110" s="143" t="str">
        <f t="shared" si="9"/>
        <v>-</v>
      </c>
      <c r="L110" s="144" t="str">
        <f t="shared" si="10"/>
        <v>-</v>
      </c>
      <c r="M110" s="145" t="str">
        <f t="shared" si="11"/>
        <v>-</v>
      </c>
      <c r="O110" s="145" t="str">
        <f t="shared" si="12"/>
        <v>-</v>
      </c>
    </row>
    <row r="111" spans="1:16" ht="14.4" customHeight="1">
      <c r="A111" s="61" t="s">
        <v>83</v>
      </c>
      <c r="B111" s="68">
        <v>84</v>
      </c>
      <c r="C111" s="109">
        <v>50</v>
      </c>
      <c r="D111" s="118">
        <v>0</v>
      </c>
      <c r="E111" s="113">
        <v>8.25</v>
      </c>
      <c r="F111" s="92"/>
      <c r="G111" s="88">
        <f t="shared" si="14"/>
        <v>0</v>
      </c>
      <c r="J111" s="143" t="str">
        <f t="shared" si="8"/>
        <v>-</v>
      </c>
      <c r="K111" s="143" t="str">
        <f t="shared" si="9"/>
        <v>-</v>
      </c>
      <c r="L111" s="144" t="str">
        <f t="shared" si="10"/>
        <v>-</v>
      </c>
      <c r="M111" s="145" t="str">
        <f t="shared" si="11"/>
        <v>-</v>
      </c>
      <c r="O111" s="145" t="str">
        <f t="shared" si="12"/>
        <v>-</v>
      </c>
    </row>
    <row r="112" spans="1:16" ht="14.4" customHeight="1">
      <c r="A112" s="61" t="s">
        <v>84</v>
      </c>
      <c r="B112" s="68">
        <v>87</v>
      </c>
      <c r="C112" s="109">
        <v>50</v>
      </c>
      <c r="D112" s="118">
        <v>0.18</v>
      </c>
      <c r="E112" s="113">
        <v>11.19</v>
      </c>
      <c r="F112" s="92"/>
      <c r="G112" s="88">
        <f t="shared" si="14"/>
        <v>0</v>
      </c>
      <c r="J112" s="143" t="str">
        <f t="shared" si="8"/>
        <v>-</v>
      </c>
      <c r="K112" s="143" t="str">
        <f t="shared" si="9"/>
        <v>-</v>
      </c>
      <c r="L112" s="144" t="str">
        <f t="shared" si="10"/>
        <v>-</v>
      </c>
      <c r="M112" s="145" t="str">
        <f t="shared" si="11"/>
        <v>-</v>
      </c>
      <c r="O112" s="145" t="str">
        <f t="shared" si="12"/>
        <v>-</v>
      </c>
    </row>
    <row r="113" spans="1:15" ht="14.4" customHeight="1">
      <c r="A113" s="61" t="s">
        <v>85</v>
      </c>
      <c r="B113" s="68">
        <v>89</v>
      </c>
      <c r="C113" s="109">
        <v>30</v>
      </c>
      <c r="D113" s="118">
        <v>0</v>
      </c>
      <c r="E113" s="113">
        <v>9.57</v>
      </c>
      <c r="F113" s="92"/>
      <c r="G113" s="88">
        <f t="shared" si="14"/>
        <v>0</v>
      </c>
      <c r="J113" s="143" t="str">
        <f t="shared" si="8"/>
        <v>-</v>
      </c>
      <c r="K113" s="143" t="str">
        <f t="shared" si="9"/>
        <v>-</v>
      </c>
      <c r="L113" s="144" t="str">
        <f t="shared" si="10"/>
        <v>-</v>
      </c>
      <c r="M113" s="145" t="str">
        <f t="shared" si="11"/>
        <v>-</v>
      </c>
      <c r="O113" s="145" t="str">
        <f t="shared" si="12"/>
        <v>-</v>
      </c>
    </row>
    <row r="114" spans="1:15" ht="14.4" customHeight="1">
      <c r="A114" s="61"/>
      <c r="B114" s="68">
        <v>91</v>
      </c>
      <c r="C114" s="109">
        <v>60</v>
      </c>
      <c r="D114" s="118">
        <v>0</v>
      </c>
      <c r="E114" s="113">
        <v>15.51</v>
      </c>
      <c r="F114" s="92"/>
      <c r="G114" s="88">
        <f t="shared" si="14"/>
        <v>0</v>
      </c>
      <c r="J114" s="143" t="str">
        <f t="shared" si="8"/>
        <v>-</v>
      </c>
      <c r="K114" s="143" t="str">
        <f t="shared" si="9"/>
        <v>-</v>
      </c>
      <c r="L114" s="144" t="str">
        <f t="shared" si="10"/>
        <v>-</v>
      </c>
      <c r="M114" s="145" t="str">
        <f t="shared" si="11"/>
        <v>-</v>
      </c>
      <c r="O114" s="145" t="str">
        <f t="shared" si="12"/>
        <v>-</v>
      </c>
    </row>
    <row r="115" spans="1:15" ht="14.4" customHeight="1">
      <c r="A115" s="61" t="s">
        <v>86</v>
      </c>
      <c r="B115" s="68">
        <v>90</v>
      </c>
      <c r="C115" s="109">
        <v>50</v>
      </c>
      <c r="D115" s="118">
        <v>0</v>
      </c>
      <c r="E115" s="113">
        <v>10.53</v>
      </c>
      <c r="F115" s="92"/>
      <c r="G115" s="88">
        <f t="shared" si="14"/>
        <v>0</v>
      </c>
      <c r="J115" s="143" t="str">
        <f t="shared" si="8"/>
        <v>-</v>
      </c>
      <c r="K115" s="143" t="str">
        <f t="shared" si="9"/>
        <v>-</v>
      </c>
      <c r="L115" s="144" t="str">
        <f t="shared" si="10"/>
        <v>-</v>
      </c>
      <c r="M115" s="145" t="str">
        <f t="shared" si="11"/>
        <v>-</v>
      </c>
      <c r="O115" s="145" t="str">
        <f t="shared" si="12"/>
        <v>-</v>
      </c>
    </row>
    <row r="116" spans="1:15" ht="14.4" customHeight="1">
      <c r="A116" s="61"/>
      <c r="B116" s="68">
        <v>92</v>
      </c>
      <c r="C116" s="109">
        <v>100</v>
      </c>
      <c r="D116" s="118">
        <v>0</v>
      </c>
      <c r="E116" s="113">
        <v>18.45</v>
      </c>
      <c r="F116" s="92"/>
      <c r="G116" s="88">
        <f t="shared" si="14"/>
        <v>0</v>
      </c>
      <c r="J116" s="143" t="str">
        <f t="shared" si="8"/>
        <v>-</v>
      </c>
      <c r="K116" s="143" t="str">
        <f t="shared" si="9"/>
        <v>-</v>
      </c>
      <c r="L116" s="144" t="str">
        <f t="shared" si="10"/>
        <v>-</v>
      </c>
      <c r="M116" s="145" t="str">
        <f t="shared" si="11"/>
        <v>-</v>
      </c>
      <c r="O116" s="145" t="str">
        <f t="shared" si="12"/>
        <v>-</v>
      </c>
    </row>
    <row r="117" spans="1:15" ht="14.4" customHeight="1">
      <c r="A117" s="61" t="s">
        <v>87</v>
      </c>
      <c r="B117" s="68">
        <v>93</v>
      </c>
      <c r="C117" s="109">
        <v>30</v>
      </c>
      <c r="D117" s="118">
        <v>0</v>
      </c>
      <c r="E117" s="113">
        <v>11.19</v>
      </c>
      <c r="F117" s="92"/>
      <c r="G117" s="88">
        <f t="shared" si="14"/>
        <v>0</v>
      </c>
      <c r="J117" s="143" t="str">
        <f t="shared" si="8"/>
        <v>-</v>
      </c>
      <c r="K117" s="143" t="str">
        <f t="shared" si="9"/>
        <v>-</v>
      </c>
      <c r="L117" s="144" t="str">
        <f t="shared" si="10"/>
        <v>-</v>
      </c>
      <c r="M117" s="145" t="str">
        <f t="shared" si="11"/>
        <v>-</v>
      </c>
      <c r="O117" s="145" t="str">
        <f t="shared" si="12"/>
        <v>-</v>
      </c>
    </row>
    <row r="118" spans="1:15" ht="14.4" customHeight="1">
      <c r="A118" s="61"/>
      <c r="B118" s="68">
        <v>94</v>
      </c>
      <c r="C118" s="109">
        <v>60</v>
      </c>
      <c r="D118" s="118">
        <v>0.18</v>
      </c>
      <c r="E118" s="113">
        <v>19.11</v>
      </c>
      <c r="F118" s="92"/>
      <c r="G118" s="88">
        <f t="shared" si="14"/>
        <v>0</v>
      </c>
      <c r="J118" s="143" t="str">
        <f t="shared" si="8"/>
        <v>-</v>
      </c>
      <c r="K118" s="143" t="str">
        <f t="shared" si="9"/>
        <v>-</v>
      </c>
      <c r="L118" s="144" t="str">
        <f t="shared" si="10"/>
        <v>-</v>
      </c>
      <c r="M118" s="145" t="str">
        <f t="shared" si="11"/>
        <v>-</v>
      </c>
      <c r="O118" s="145" t="str">
        <f t="shared" si="12"/>
        <v>-</v>
      </c>
    </row>
    <row r="119" spans="1:15" ht="14.4" customHeight="1">
      <c r="A119" s="61" t="s">
        <v>88</v>
      </c>
      <c r="B119" s="68">
        <v>95</v>
      </c>
      <c r="C119" s="109">
        <v>60</v>
      </c>
      <c r="D119" s="118">
        <v>0</v>
      </c>
      <c r="E119" s="113">
        <v>9.2100000000000009</v>
      </c>
      <c r="F119" s="92"/>
      <c r="G119" s="88">
        <f t="shared" si="14"/>
        <v>0</v>
      </c>
      <c r="J119" s="143" t="str">
        <f t="shared" si="8"/>
        <v>-</v>
      </c>
      <c r="K119" s="143" t="str">
        <f t="shared" si="9"/>
        <v>-</v>
      </c>
      <c r="L119" s="144" t="str">
        <f t="shared" si="10"/>
        <v>-</v>
      </c>
      <c r="M119" s="145" t="str">
        <f t="shared" si="11"/>
        <v>-</v>
      </c>
      <c r="O119" s="145" t="str">
        <f t="shared" si="12"/>
        <v>-</v>
      </c>
    </row>
    <row r="120" spans="1:15" ht="14.4" customHeight="1">
      <c r="A120" s="61"/>
      <c r="B120" s="68">
        <v>96</v>
      </c>
      <c r="C120" s="109">
        <v>120</v>
      </c>
      <c r="D120" s="118">
        <v>0</v>
      </c>
      <c r="E120" s="113">
        <v>13.83</v>
      </c>
      <c r="F120" s="92"/>
      <c r="G120" s="88">
        <f t="shared" si="14"/>
        <v>0</v>
      </c>
      <c r="J120" s="143" t="str">
        <f t="shared" si="8"/>
        <v>-</v>
      </c>
      <c r="K120" s="143" t="str">
        <f t="shared" si="9"/>
        <v>-</v>
      </c>
      <c r="L120" s="144" t="str">
        <f t="shared" si="10"/>
        <v>-</v>
      </c>
      <c r="M120" s="145" t="str">
        <f t="shared" si="11"/>
        <v>-</v>
      </c>
      <c r="O120" s="145" t="str">
        <f t="shared" si="12"/>
        <v>-</v>
      </c>
    </row>
    <row r="121" spans="1:15">
      <c r="A121" s="42" t="s">
        <v>89</v>
      </c>
      <c r="B121" s="42"/>
      <c r="C121" s="14"/>
      <c r="D121" s="121">
        <v>0.23</v>
      </c>
      <c r="E121" s="20"/>
      <c r="F121" s="96"/>
      <c r="G121" s="41"/>
      <c r="J121" s="143" t="str">
        <f t="shared" si="8"/>
        <v>-</v>
      </c>
      <c r="K121" s="143" t="str">
        <f t="shared" si="9"/>
        <v>-</v>
      </c>
      <c r="L121" s="144" t="str">
        <f t="shared" si="10"/>
        <v>-</v>
      </c>
      <c r="M121" s="145" t="str">
        <f t="shared" si="11"/>
        <v>-</v>
      </c>
      <c r="O121" s="145" t="str">
        <f t="shared" si="12"/>
        <v>-</v>
      </c>
    </row>
    <row r="122" spans="1:15">
      <c r="A122" s="61" t="s">
        <v>90</v>
      </c>
      <c r="B122" s="65">
        <v>1700</v>
      </c>
      <c r="C122" s="108" t="s">
        <v>3</v>
      </c>
      <c r="D122" s="118">
        <v>0</v>
      </c>
      <c r="E122" s="113">
        <v>23.72</v>
      </c>
      <c r="F122" s="92"/>
      <c r="G122" s="88">
        <f t="shared" ref="G122:G131" si="15">F122*E122</f>
        <v>0</v>
      </c>
      <c r="J122" s="143" t="str">
        <f t="shared" si="8"/>
        <v>-</v>
      </c>
      <c r="K122" s="143" t="str">
        <f t="shared" si="9"/>
        <v>-</v>
      </c>
      <c r="L122" s="144" t="str">
        <f t="shared" si="10"/>
        <v>-</v>
      </c>
      <c r="M122" s="145" t="str">
        <f t="shared" si="11"/>
        <v>-</v>
      </c>
      <c r="O122" s="145" t="str">
        <f t="shared" si="12"/>
        <v>-</v>
      </c>
    </row>
    <row r="123" spans="1:15">
      <c r="A123" s="63"/>
      <c r="B123" s="65">
        <v>1703</v>
      </c>
      <c r="C123" s="108" t="s">
        <v>91</v>
      </c>
      <c r="D123" s="118">
        <v>0</v>
      </c>
      <c r="E123" s="113">
        <v>13.86</v>
      </c>
      <c r="F123" s="95"/>
      <c r="G123" s="88">
        <f t="shared" si="15"/>
        <v>0</v>
      </c>
      <c r="J123" s="143" t="str">
        <f t="shared" si="8"/>
        <v>-</v>
      </c>
      <c r="K123" s="143" t="str">
        <f t="shared" si="9"/>
        <v>-</v>
      </c>
      <c r="L123" s="144" t="str">
        <f t="shared" si="10"/>
        <v>-</v>
      </c>
      <c r="M123" s="145" t="str">
        <f t="shared" si="11"/>
        <v>-</v>
      </c>
      <c r="O123" s="145" t="str">
        <f t="shared" si="12"/>
        <v>-</v>
      </c>
    </row>
    <row r="124" spans="1:15">
      <c r="A124" s="61" t="s">
        <v>92</v>
      </c>
      <c r="B124" s="65">
        <v>1704</v>
      </c>
      <c r="C124" s="108" t="s">
        <v>3</v>
      </c>
      <c r="D124" s="118">
        <v>0</v>
      </c>
      <c r="E124" s="113">
        <v>23.72</v>
      </c>
      <c r="F124" s="92"/>
      <c r="G124" s="88">
        <f t="shared" si="15"/>
        <v>0</v>
      </c>
      <c r="J124" s="143" t="str">
        <f t="shared" si="8"/>
        <v>-</v>
      </c>
      <c r="K124" s="143" t="str">
        <f t="shared" si="9"/>
        <v>-</v>
      </c>
      <c r="L124" s="144" t="str">
        <f t="shared" si="10"/>
        <v>-</v>
      </c>
      <c r="M124" s="145" t="str">
        <f t="shared" si="11"/>
        <v>-</v>
      </c>
      <c r="O124" s="145" t="str">
        <f t="shared" si="12"/>
        <v>-</v>
      </c>
    </row>
    <row r="125" spans="1:15">
      <c r="A125" s="63"/>
      <c r="B125" s="65">
        <v>1707</v>
      </c>
      <c r="C125" s="108" t="s">
        <v>91</v>
      </c>
      <c r="D125" s="118">
        <v>0</v>
      </c>
      <c r="E125" s="113">
        <v>13.86</v>
      </c>
      <c r="F125" s="95"/>
      <c r="G125" s="88">
        <f t="shared" si="15"/>
        <v>0</v>
      </c>
      <c r="J125" s="143" t="str">
        <f t="shared" si="8"/>
        <v>-</v>
      </c>
      <c r="K125" s="143" t="str">
        <f t="shared" si="9"/>
        <v>-</v>
      </c>
      <c r="L125" s="144" t="str">
        <f t="shared" si="10"/>
        <v>-</v>
      </c>
      <c r="M125" s="145" t="str">
        <f t="shared" si="11"/>
        <v>-</v>
      </c>
      <c r="O125" s="145" t="str">
        <f t="shared" si="12"/>
        <v>-</v>
      </c>
    </row>
    <row r="126" spans="1:15">
      <c r="A126" s="61" t="s">
        <v>93</v>
      </c>
      <c r="B126" s="65">
        <v>1708</v>
      </c>
      <c r="C126" s="108" t="s">
        <v>3</v>
      </c>
      <c r="D126" s="118">
        <v>0</v>
      </c>
      <c r="E126" s="113">
        <v>23.72</v>
      </c>
      <c r="F126" s="92"/>
      <c r="G126" s="88">
        <f t="shared" si="15"/>
        <v>0</v>
      </c>
      <c r="J126" s="143" t="str">
        <f t="shared" si="8"/>
        <v>-</v>
      </c>
      <c r="K126" s="143" t="str">
        <f t="shared" si="9"/>
        <v>-</v>
      </c>
      <c r="L126" s="144" t="str">
        <f t="shared" si="10"/>
        <v>-</v>
      </c>
      <c r="M126" s="145" t="str">
        <f t="shared" si="11"/>
        <v>-</v>
      </c>
      <c r="O126" s="145" t="str">
        <f t="shared" si="12"/>
        <v>-</v>
      </c>
    </row>
    <row r="127" spans="1:15">
      <c r="A127" s="63"/>
      <c r="B127" s="65">
        <v>1711</v>
      </c>
      <c r="C127" s="108" t="s">
        <v>91</v>
      </c>
      <c r="D127" s="118">
        <v>0</v>
      </c>
      <c r="E127" s="113">
        <v>13.86</v>
      </c>
      <c r="F127" s="95"/>
      <c r="G127" s="88">
        <f t="shared" si="15"/>
        <v>0</v>
      </c>
      <c r="J127" s="143" t="str">
        <f t="shared" si="8"/>
        <v>-</v>
      </c>
      <c r="K127" s="143" t="str">
        <f t="shared" si="9"/>
        <v>-</v>
      </c>
      <c r="L127" s="144" t="str">
        <f t="shared" si="10"/>
        <v>-</v>
      </c>
      <c r="M127" s="145" t="str">
        <f t="shared" si="11"/>
        <v>-</v>
      </c>
      <c r="O127" s="145" t="str">
        <f t="shared" si="12"/>
        <v>-</v>
      </c>
    </row>
    <row r="128" spans="1:15">
      <c r="A128" s="61" t="s">
        <v>94</v>
      </c>
      <c r="B128" s="65">
        <v>1712</v>
      </c>
      <c r="C128" s="108" t="s">
        <v>66</v>
      </c>
      <c r="D128" s="118">
        <v>0</v>
      </c>
      <c r="E128" s="113">
        <v>22.93</v>
      </c>
      <c r="F128" s="92"/>
      <c r="G128" s="88">
        <f t="shared" si="15"/>
        <v>0</v>
      </c>
      <c r="J128" s="143" t="str">
        <f t="shared" si="8"/>
        <v>-</v>
      </c>
      <c r="K128" s="143" t="str">
        <f t="shared" si="9"/>
        <v>-</v>
      </c>
      <c r="L128" s="144" t="str">
        <f t="shared" si="10"/>
        <v>-</v>
      </c>
      <c r="M128" s="145" t="str">
        <f t="shared" si="11"/>
        <v>-</v>
      </c>
      <c r="O128" s="145" t="str">
        <f t="shared" si="12"/>
        <v>-</v>
      </c>
    </row>
    <row r="129" spans="1:15">
      <c r="A129" s="61" t="s">
        <v>95</v>
      </c>
      <c r="B129" s="65">
        <v>1716</v>
      </c>
      <c r="C129" s="108" t="s">
        <v>66</v>
      </c>
      <c r="D129" s="118">
        <v>0</v>
      </c>
      <c r="E129" s="113">
        <v>22.93</v>
      </c>
      <c r="F129" s="92"/>
      <c r="G129" s="88">
        <f t="shared" si="15"/>
        <v>0</v>
      </c>
      <c r="J129" s="143" t="str">
        <f t="shared" si="8"/>
        <v>-</v>
      </c>
      <c r="K129" s="143" t="str">
        <f t="shared" si="9"/>
        <v>-</v>
      </c>
      <c r="L129" s="144" t="str">
        <f t="shared" si="10"/>
        <v>-</v>
      </c>
      <c r="M129" s="145" t="str">
        <f t="shared" si="11"/>
        <v>-</v>
      </c>
      <c r="O129" s="145" t="str">
        <f t="shared" si="12"/>
        <v>-</v>
      </c>
    </row>
    <row r="130" spans="1:15">
      <c r="A130" s="61" t="s">
        <v>96</v>
      </c>
      <c r="B130" s="65">
        <v>1720</v>
      </c>
      <c r="C130" s="108" t="s">
        <v>66</v>
      </c>
      <c r="D130" s="118">
        <v>0</v>
      </c>
      <c r="E130" s="113">
        <v>22.93</v>
      </c>
      <c r="F130" s="92"/>
      <c r="G130" s="88">
        <f t="shared" si="15"/>
        <v>0</v>
      </c>
      <c r="J130" s="143" t="str">
        <f t="shared" si="8"/>
        <v>-</v>
      </c>
      <c r="K130" s="143" t="str">
        <f t="shared" si="9"/>
        <v>-</v>
      </c>
      <c r="L130" s="144" t="str">
        <f t="shared" si="10"/>
        <v>-</v>
      </c>
      <c r="M130" s="145" t="str">
        <f t="shared" si="11"/>
        <v>-</v>
      </c>
      <c r="O130" s="145" t="str">
        <f t="shared" si="12"/>
        <v>-</v>
      </c>
    </row>
    <row r="131" spans="1:15" ht="14.4" customHeight="1">
      <c r="A131" s="61" t="s">
        <v>97</v>
      </c>
      <c r="B131" s="68">
        <v>1724</v>
      </c>
      <c r="C131" s="109" t="s">
        <v>66</v>
      </c>
      <c r="D131" s="118">
        <v>0</v>
      </c>
      <c r="E131" s="113">
        <v>22.93</v>
      </c>
      <c r="F131" s="92"/>
      <c r="G131" s="88">
        <f t="shared" si="15"/>
        <v>0</v>
      </c>
      <c r="J131" s="143" t="str">
        <f t="shared" ref="J131:J194" si="16">IFERROR(IF($J$2*D131=0, "-", $J$2*D131), "-")</f>
        <v>-</v>
      </c>
      <c r="K131" s="143" t="str">
        <f t="shared" ref="K131:K194" si="17">IF(F131&gt;0,E131+D131*F131/$L$2*$M$2/F131,"-")</f>
        <v>-</v>
      </c>
      <c r="L131" s="144" t="str">
        <f t="shared" si="10"/>
        <v>-</v>
      </c>
      <c r="M131" s="145" t="str">
        <f t="shared" ref="M131:M194" si="18">IFERROR(IF($J$2&gt;0, $J$2*L131, "-"), "-")</f>
        <v>-</v>
      </c>
      <c r="O131" s="145" t="str">
        <f t="shared" ref="O131:O194" si="19">IFERROR(IF(M131+G131=0, "-", IF(M131&gt;0, M131+G131, "-")), "-")</f>
        <v>-</v>
      </c>
    </row>
    <row r="132" spans="1:15">
      <c r="A132" s="42" t="s">
        <v>98</v>
      </c>
      <c r="B132" s="42"/>
      <c r="C132" s="14"/>
      <c r="D132" s="121"/>
      <c r="E132" s="20"/>
      <c r="F132" s="96"/>
      <c r="G132" s="41"/>
      <c r="J132" s="143" t="str">
        <f t="shared" si="16"/>
        <v>-</v>
      </c>
      <c r="K132" s="143" t="str">
        <f t="shared" si="17"/>
        <v>-</v>
      </c>
      <c r="L132" s="144" t="str">
        <f t="shared" ref="L132:L195" si="20">IF(F132&gt;0,F132*D132*1.113, "-")</f>
        <v>-</v>
      </c>
      <c r="M132" s="145" t="str">
        <f t="shared" si="18"/>
        <v>-</v>
      </c>
      <c r="O132" s="145" t="str">
        <f t="shared" si="19"/>
        <v>-</v>
      </c>
    </row>
    <row r="133" spans="1:15" ht="14.4" customHeight="1">
      <c r="A133" s="61" t="s">
        <v>99</v>
      </c>
      <c r="B133" s="68">
        <v>1580</v>
      </c>
      <c r="C133" s="109">
        <v>90</v>
      </c>
      <c r="D133" s="118">
        <v>0.43</v>
      </c>
      <c r="E133" s="113">
        <v>22.41</v>
      </c>
      <c r="F133" s="92"/>
      <c r="G133" s="88">
        <f t="shared" ref="G133:G152" si="21">F133*E133</f>
        <v>0</v>
      </c>
      <c r="J133" s="143" t="str">
        <f t="shared" si="16"/>
        <v>-</v>
      </c>
      <c r="K133" s="143" t="str">
        <f t="shared" si="17"/>
        <v>-</v>
      </c>
      <c r="L133" s="144" t="str">
        <f t="shared" si="20"/>
        <v>-</v>
      </c>
      <c r="M133" s="145" t="str">
        <f t="shared" si="18"/>
        <v>-</v>
      </c>
      <c r="O133" s="145" t="str">
        <f t="shared" si="19"/>
        <v>-</v>
      </c>
    </row>
    <row r="134" spans="1:15" ht="14.4" customHeight="1">
      <c r="A134" s="61" t="s">
        <v>100</v>
      </c>
      <c r="B134" s="65">
        <v>1585</v>
      </c>
      <c r="C134" s="109">
        <v>90</v>
      </c>
      <c r="D134" s="118">
        <v>0</v>
      </c>
      <c r="E134" s="113">
        <v>18.149999999999999</v>
      </c>
      <c r="F134" s="95"/>
      <c r="G134" s="88">
        <f t="shared" si="21"/>
        <v>0</v>
      </c>
      <c r="J134" s="143" t="str">
        <f t="shared" si="16"/>
        <v>-</v>
      </c>
      <c r="K134" s="143" t="str">
        <f t="shared" si="17"/>
        <v>-</v>
      </c>
      <c r="L134" s="144" t="str">
        <f t="shared" si="20"/>
        <v>-</v>
      </c>
      <c r="M134" s="145" t="str">
        <f t="shared" si="18"/>
        <v>-</v>
      </c>
      <c r="O134" s="145" t="str">
        <f t="shared" si="19"/>
        <v>-</v>
      </c>
    </row>
    <row r="135" spans="1:15" ht="14.4" customHeight="1">
      <c r="A135" s="61" t="s">
        <v>101</v>
      </c>
      <c r="B135" s="65">
        <v>1590</v>
      </c>
      <c r="C135" s="109">
        <v>120</v>
      </c>
      <c r="D135" s="118">
        <v>0.34</v>
      </c>
      <c r="E135" s="113">
        <v>26.73</v>
      </c>
      <c r="F135" s="95"/>
      <c r="G135" s="88">
        <f t="shared" si="21"/>
        <v>0</v>
      </c>
      <c r="J135" s="143" t="str">
        <f t="shared" si="16"/>
        <v>-</v>
      </c>
      <c r="K135" s="143" t="str">
        <f t="shared" si="17"/>
        <v>-</v>
      </c>
      <c r="L135" s="144" t="str">
        <f t="shared" si="20"/>
        <v>-</v>
      </c>
      <c r="M135" s="145" t="str">
        <f t="shared" si="18"/>
        <v>-</v>
      </c>
      <c r="O135" s="145" t="str">
        <f t="shared" si="19"/>
        <v>-</v>
      </c>
    </row>
    <row r="136" spans="1:15" ht="14.4" customHeight="1">
      <c r="A136" s="61" t="s">
        <v>102</v>
      </c>
      <c r="B136" s="68">
        <v>35</v>
      </c>
      <c r="C136" s="108" t="s">
        <v>103</v>
      </c>
      <c r="D136" s="118">
        <v>0</v>
      </c>
      <c r="E136" s="113">
        <v>17.82</v>
      </c>
      <c r="F136" s="92"/>
      <c r="G136" s="88">
        <f t="shared" si="21"/>
        <v>0</v>
      </c>
      <c r="J136" s="143" t="str">
        <f t="shared" si="16"/>
        <v>-</v>
      </c>
      <c r="K136" s="143" t="str">
        <f t="shared" si="17"/>
        <v>-</v>
      </c>
      <c r="L136" s="144" t="str">
        <f t="shared" si="20"/>
        <v>-</v>
      </c>
      <c r="M136" s="145" t="str">
        <f t="shared" si="18"/>
        <v>-</v>
      </c>
      <c r="O136" s="145" t="str">
        <f t="shared" si="19"/>
        <v>-</v>
      </c>
    </row>
    <row r="137" spans="1:15">
      <c r="A137" s="61" t="s">
        <v>104</v>
      </c>
      <c r="B137" s="65">
        <v>1597</v>
      </c>
      <c r="C137" s="108" t="s">
        <v>47</v>
      </c>
      <c r="D137" s="118">
        <v>0</v>
      </c>
      <c r="E137" s="113">
        <v>24.39</v>
      </c>
      <c r="F137" s="92"/>
      <c r="G137" s="88">
        <f t="shared" si="21"/>
        <v>0</v>
      </c>
      <c r="J137" s="143" t="str">
        <f t="shared" si="16"/>
        <v>-</v>
      </c>
      <c r="K137" s="143" t="str">
        <f t="shared" si="17"/>
        <v>-</v>
      </c>
      <c r="L137" s="144" t="str">
        <f t="shared" si="20"/>
        <v>-</v>
      </c>
      <c r="M137" s="145" t="str">
        <f t="shared" si="18"/>
        <v>-</v>
      </c>
      <c r="O137" s="145" t="str">
        <f t="shared" si="19"/>
        <v>-</v>
      </c>
    </row>
    <row r="138" spans="1:15">
      <c r="A138" s="61" t="s">
        <v>105</v>
      </c>
      <c r="B138" s="65">
        <v>1794</v>
      </c>
      <c r="C138" s="108" t="s">
        <v>51</v>
      </c>
      <c r="D138" s="118">
        <v>0</v>
      </c>
      <c r="E138" s="113">
        <v>24.16</v>
      </c>
      <c r="F138" s="95"/>
      <c r="G138" s="88">
        <f t="shared" si="21"/>
        <v>0</v>
      </c>
      <c r="J138" s="143" t="str">
        <f t="shared" si="16"/>
        <v>-</v>
      </c>
      <c r="K138" s="143" t="str">
        <f t="shared" si="17"/>
        <v>-</v>
      </c>
      <c r="L138" s="144" t="str">
        <f t="shared" si="20"/>
        <v>-</v>
      </c>
      <c r="M138" s="145" t="str">
        <f t="shared" si="18"/>
        <v>-</v>
      </c>
      <c r="O138" s="145" t="str">
        <f t="shared" si="19"/>
        <v>-</v>
      </c>
    </row>
    <row r="139" spans="1:15">
      <c r="A139" s="62"/>
      <c r="B139" s="65">
        <v>1795</v>
      </c>
      <c r="C139" s="108" t="s">
        <v>52</v>
      </c>
      <c r="D139" s="118">
        <v>0</v>
      </c>
      <c r="E139" s="113">
        <v>40</v>
      </c>
      <c r="F139" s="95"/>
      <c r="G139" s="88">
        <f t="shared" si="21"/>
        <v>0</v>
      </c>
      <c r="J139" s="143" t="str">
        <f t="shared" si="16"/>
        <v>-</v>
      </c>
      <c r="K139" s="143" t="str">
        <f t="shared" si="17"/>
        <v>-</v>
      </c>
      <c r="L139" s="144" t="str">
        <f t="shared" si="20"/>
        <v>-</v>
      </c>
      <c r="M139" s="145" t="str">
        <f t="shared" si="18"/>
        <v>-</v>
      </c>
      <c r="O139" s="145" t="str">
        <f t="shared" si="19"/>
        <v>-</v>
      </c>
    </row>
    <row r="140" spans="1:15">
      <c r="A140" s="62"/>
      <c r="B140" s="65">
        <v>1797</v>
      </c>
      <c r="C140" s="108" t="s">
        <v>53</v>
      </c>
      <c r="D140" s="118">
        <v>0</v>
      </c>
      <c r="E140" s="113">
        <v>20.55</v>
      </c>
      <c r="F140" s="95"/>
      <c r="G140" s="88">
        <f t="shared" si="21"/>
        <v>0</v>
      </c>
      <c r="J140" s="143" t="str">
        <f t="shared" si="16"/>
        <v>-</v>
      </c>
      <c r="K140" s="143" t="str">
        <f t="shared" si="17"/>
        <v>-</v>
      </c>
      <c r="L140" s="144" t="str">
        <f t="shared" si="20"/>
        <v>-</v>
      </c>
      <c r="M140" s="145" t="str">
        <f t="shared" si="18"/>
        <v>-</v>
      </c>
      <c r="O140" s="145" t="str">
        <f t="shared" si="19"/>
        <v>-</v>
      </c>
    </row>
    <row r="141" spans="1:15" ht="14.4" customHeight="1">
      <c r="A141" s="61" t="s">
        <v>106</v>
      </c>
      <c r="B141" s="68">
        <v>153</v>
      </c>
      <c r="C141" s="109">
        <v>30</v>
      </c>
      <c r="D141" s="118">
        <v>0</v>
      </c>
      <c r="E141" s="113">
        <v>12.87</v>
      </c>
      <c r="F141" s="92"/>
      <c r="G141" s="88">
        <f t="shared" si="21"/>
        <v>0</v>
      </c>
      <c r="J141" s="143" t="str">
        <f t="shared" si="16"/>
        <v>-</v>
      </c>
      <c r="K141" s="143" t="str">
        <f t="shared" si="17"/>
        <v>-</v>
      </c>
      <c r="L141" s="144" t="str">
        <f t="shared" si="20"/>
        <v>-</v>
      </c>
      <c r="M141" s="145" t="str">
        <f t="shared" si="18"/>
        <v>-</v>
      </c>
      <c r="O141" s="145" t="str">
        <f t="shared" si="19"/>
        <v>-</v>
      </c>
    </row>
    <row r="142" spans="1:15" ht="14.4" customHeight="1">
      <c r="A142" s="61"/>
      <c r="B142" s="68">
        <v>155</v>
      </c>
      <c r="C142" s="109">
        <v>60</v>
      </c>
      <c r="D142" s="118">
        <v>0.24</v>
      </c>
      <c r="E142" s="113">
        <v>23.73</v>
      </c>
      <c r="F142" s="92"/>
      <c r="G142" s="88">
        <f t="shared" si="21"/>
        <v>0</v>
      </c>
      <c r="J142" s="143" t="str">
        <f t="shared" si="16"/>
        <v>-</v>
      </c>
      <c r="K142" s="143" t="str">
        <f t="shared" si="17"/>
        <v>-</v>
      </c>
      <c r="L142" s="144" t="str">
        <f t="shared" si="20"/>
        <v>-</v>
      </c>
      <c r="M142" s="145" t="str">
        <f t="shared" si="18"/>
        <v>-</v>
      </c>
      <c r="O142" s="145" t="str">
        <f t="shared" si="19"/>
        <v>-</v>
      </c>
    </row>
    <row r="143" spans="1:15" ht="14.4" customHeight="1">
      <c r="A143" s="61" t="s">
        <v>107</v>
      </c>
      <c r="B143" s="68">
        <v>158</v>
      </c>
      <c r="C143" s="109">
        <v>30</v>
      </c>
      <c r="D143" s="118">
        <v>0</v>
      </c>
      <c r="E143" s="113">
        <v>12.87</v>
      </c>
      <c r="F143" s="92"/>
      <c r="G143" s="88">
        <f t="shared" si="21"/>
        <v>0</v>
      </c>
      <c r="J143" s="143" t="str">
        <f t="shared" si="16"/>
        <v>-</v>
      </c>
      <c r="K143" s="143" t="str">
        <f t="shared" si="17"/>
        <v>-</v>
      </c>
      <c r="L143" s="144" t="str">
        <f t="shared" si="20"/>
        <v>-</v>
      </c>
      <c r="M143" s="145" t="str">
        <f t="shared" si="18"/>
        <v>-</v>
      </c>
      <c r="O143" s="145" t="str">
        <f t="shared" si="19"/>
        <v>-</v>
      </c>
    </row>
    <row r="144" spans="1:15" ht="14.4" customHeight="1">
      <c r="A144" s="61"/>
      <c r="B144" s="68">
        <v>159</v>
      </c>
      <c r="C144" s="109">
        <v>60</v>
      </c>
      <c r="D144" s="118">
        <v>0.24</v>
      </c>
      <c r="E144" s="113">
        <v>23.73</v>
      </c>
      <c r="F144" s="92"/>
      <c r="G144" s="88">
        <f t="shared" si="21"/>
        <v>0</v>
      </c>
      <c r="J144" s="143" t="str">
        <f t="shared" si="16"/>
        <v>-</v>
      </c>
      <c r="K144" s="143" t="str">
        <f t="shared" si="17"/>
        <v>-</v>
      </c>
      <c r="L144" s="144" t="str">
        <f t="shared" si="20"/>
        <v>-</v>
      </c>
      <c r="M144" s="145" t="str">
        <f t="shared" si="18"/>
        <v>-</v>
      </c>
      <c r="O144" s="145" t="str">
        <f t="shared" si="19"/>
        <v>-</v>
      </c>
    </row>
    <row r="145" spans="1:15" ht="14.4" customHeight="1">
      <c r="A145" s="61" t="s">
        <v>108</v>
      </c>
      <c r="B145" s="68">
        <v>169</v>
      </c>
      <c r="C145" s="109">
        <v>30</v>
      </c>
      <c r="D145" s="118">
        <v>0</v>
      </c>
      <c r="E145" s="113">
        <v>15.81</v>
      </c>
      <c r="F145" s="92"/>
      <c r="G145" s="88">
        <f t="shared" si="21"/>
        <v>0</v>
      </c>
      <c r="J145" s="143" t="str">
        <f t="shared" si="16"/>
        <v>-</v>
      </c>
      <c r="K145" s="143" t="str">
        <f t="shared" si="17"/>
        <v>-</v>
      </c>
      <c r="L145" s="144" t="str">
        <f t="shared" si="20"/>
        <v>-</v>
      </c>
      <c r="M145" s="145" t="str">
        <f t="shared" si="18"/>
        <v>-</v>
      </c>
      <c r="O145" s="145" t="str">
        <f t="shared" si="19"/>
        <v>-</v>
      </c>
    </row>
    <row r="146" spans="1:15" ht="14.4" customHeight="1">
      <c r="A146" s="61"/>
      <c r="B146" s="68">
        <v>171</v>
      </c>
      <c r="C146" s="109">
        <v>60</v>
      </c>
      <c r="D146" s="118">
        <v>0</v>
      </c>
      <c r="E146" s="113">
        <v>30.99</v>
      </c>
      <c r="F146" s="92"/>
      <c r="G146" s="88">
        <f t="shared" si="21"/>
        <v>0</v>
      </c>
      <c r="J146" s="143" t="str">
        <f t="shared" si="16"/>
        <v>-</v>
      </c>
      <c r="K146" s="143" t="str">
        <f t="shared" si="17"/>
        <v>-</v>
      </c>
      <c r="L146" s="144" t="str">
        <f t="shared" si="20"/>
        <v>-</v>
      </c>
      <c r="M146" s="145" t="str">
        <f t="shared" si="18"/>
        <v>-</v>
      </c>
      <c r="O146" s="145" t="str">
        <f t="shared" si="19"/>
        <v>-</v>
      </c>
    </row>
    <row r="147" spans="1:15" ht="14.4" customHeight="1">
      <c r="A147" s="61" t="s">
        <v>109</v>
      </c>
      <c r="B147" s="68">
        <v>133</v>
      </c>
      <c r="C147" s="109">
        <v>30</v>
      </c>
      <c r="D147" s="118">
        <v>0</v>
      </c>
      <c r="E147" s="113">
        <v>10.53</v>
      </c>
      <c r="F147" s="92"/>
      <c r="G147" s="88">
        <f t="shared" si="21"/>
        <v>0</v>
      </c>
      <c r="J147" s="143" t="str">
        <f t="shared" si="16"/>
        <v>-</v>
      </c>
      <c r="K147" s="143" t="str">
        <f t="shared" si="17"/>
        <v>-</v>
      </c>
      <c r="L147" s="144" t="str">
        <f t="shared" si="20"/>
        <v>-</v>
      </c>
      <c r="M147" s="145" t="str">
        <f t="shared" si="18"/>
        <v>-</v>
      </c>
      <c r="O147" s="145" t="str">
        <f t="shared" si="19"/>
        <v>-</v>
      </c>
    </row>
    <row r="148" spans="1:15">
      <c r="A148" s="39"/>
      <c r="B148" s="65">
        <v>134</v>
      </c>
      <c r="C148" s="109">
        <v>60</v>
      </c>
      <c r="D148" s="118">
        <v>0</v>
      </c>
      <c r="E148" s="113">
        <v>18.809999999999999</v>
      </c>
      <c r="F148" s="95"/>
      <c r="G148" s="88">
        <f t="shared" si="21"/>
        <v>0</v>
      </c>
      <c r="J148" s="143" t="str">
        <f t="shared" si="16"/>
        <v>-</v>
      </c>
      <c r="K148" s="143" t="str">
        <f t="shared" si="17"/>
        <v>-</v>
      </c>
      <c r="L148" s="144" t="str">
        <f t="shared" si="20"/>
        <v>-</v>
      </c>
      <c r="M148" s="145" t="str">
        <f t="shared" si="18"/>
        <v>-</v>
      </c>
      <c r="O148" s="145" t="str">
        <f t="shared" si="19"/>
        <v>-</v>
      </c>
    </row>
    <row r="149" spans="1:15">
      <c r="A149" s="39"/>
      <c r="B149" s="65">
        <v>136</v>
      </c>
      <c r="C149" s="109">
        <v>90</v>
      </c>
      <c r="D149" s="118">
        <v>0</v>
      </c>
      <c r="E149" s="113">
        <v>27.03</v>
      </c>
      <c r="F149" s="95"/>
      <c r="G149" s="88">
        <f t="shared" si="21"/>
        <v>0</v>
      </c>
      <c r="J149" s="143" t="str">
        <f t="shared" si="16"/>
        <v>-</v>
      </c>
      <c r="K149" s="143" t="str">
        <f t="shared" si="17"/>
        <v>-</v>
      </c>
      <c r="L149" s="144" t="str">
        <f t="shared" si="20"/>
        <v>-</v>
      </c>
      <c r="M149" s="145" t="str">
        <f t="shared" si="18"/>
        <v>-</v>
      </c>
      <c r="O149" s="145" t="str">
        <f t="shared" si="19"/>
        <v>-</v>
      </c>
    </row>
    <row r="150" spans="1:15" ht="24">
      <c r="A150" s="34" t="s">
        <v>110</v>
      </c>
      <c r="B150" s="65">
        <v>110</v>
      </c>
      <c r="C150" s="109">
        <v>30</v>
      </c>
      <c r="D150" s="118">
        <v>0</v>
      </c>
      <c r="E150" s="113">
        <v>10.53</v>
      </c>
      <c r="F150" s="95"/>
      <c r="G150" s="88">
        <f t="shared" si="21"/>
        <v>0</v>
      </c>
      <c r="J150" s="143" t="str">
        <f t="shared" si="16"/>
        <v>-</v>
      </c>
      <c r="K150" s="143" t="str">
        <f t="shared" si="17"/>
        <v>-</v>
      </c>
      <c r="L150" s="144" t="str">
        <f t="shared" si="20"/>
        <v>-</v>
      </c>
      <c r="M150" s="145" t="str">
        <f t="shared" si="18"/>
        <v>-</v>
      </c>
      <c r="O150" s="145" t="str">
        <f t="shared" si="19"/>
        <v>-</v>
      </c>
    </row>
    <row r="151" spans="1:15">
      <c r="A151" s="39"/>
      <c r="B151" s="65">
        <v>112</v>
      </c>
      <c r="C151" s="109">
        <v>60</v>
      </c>
      <c r="D151" s="118">
        <v>0</v>
      </c>
      <c r="E151" s="113">
        <v>18.809999999999999</v>
      </c>
      <c r="F151" s="95"/>
      <c r="G151" s="88">
        <f t="shared" si="21"/>
        <v>0</v>
      </c>
      <c r="J151" s="143" t="str">
        <f t="shared" si="16"/>
        <v>-</v>
      </c>
      <c r="K151" s="143" t="str">
        <f t="shared" si="17"/>
        <v>-</v>
      </c>
      <c r="L151" s="144" t="str">
        <f t="shared" si="20"/>
        <v>-</v>
      </c>
      <c r="M151" s="145" t="str">
        <f t="shared" si="18"/>
        <v>-</v>
      </c>
      <c r="O151" s="145" t="str">
        <f t="shared" si="19"/>
        <v>-</v>
      </c>
    </row>
    <row r="152" spans="1:15">
      <c r="A152" s="39"/>
      <c r="B152" s="65">
        <v>114</v>
      </c>
      <c r="C152" s="109">
        <v>90</v>
      </c>
      <c r="D152" s="118">
        <v>0</v>
      </c>
      <c r="E152" s="113">
        <v>27.03</v>
      </c>
      <c r="F152" s="95"/>
      <c r="G152" s="88">
        <f t="shared" si="21"/>
        <v>0</v>
      </c>
      <c r="J152" s="143" t="str">
        <f t="shared" si="16"/>
        <v>-</v>
      </c>
      <c r="K152" s="143" t="str">
        <f t="shared" si="17"/>
        <v>-</v>
      </c>
      <c r="L152" s="144" t="str">
        <f t="shared" si="20"/>
        <v>-</v>
      </c>
      <c r="M152" s="145" t="str">
        <f t="shared" si="18"/>
        <v>-</v>
      </c>
      <c r="O152" s="145" t="str">
        <f t="shared" si="19"/>
        <v>-</v>
      </c>
    </row>
    <row r="153" spans="1:15">
      <c r="A153" s="37" t="s">
        <v>111</v>
      </c>
      <c r="B153" s="67"/>
      <c r="C153" s="3"/>
      <c r="D153" s="120"/>
      <c r="E153" s="19"/>
      <c r="F153" s="94"/>
      <c r="G153" s="38"/>
      <c r="J153" s="143" t="str">
        <f t="shared" si="16"/>
        <v>-</v>
      </c>
      <c r="K153" s="143" t="str">
        <f t="shared" si="17"/>
        <v>-</v>
      </c>
      <c r="L153" s="144" t="str">
        <f t="shared" si="20"/>
        <v>-</v>
      </c>
      <c r="M153" s="145" t="str">
        <f t="shared" si="18"/>
        <v>-</v>
      </c>
      <c r="O153" s="145" t="str">
        <f t="shared" si="19"/>
        <v>-</v>
      </c>
    </row>
    <row r="154" spans="1:15" ht="14.4" customHeight="1">
      <c r="A154" s="61" t="s">
        <v>112</v>
      </c>
      <c r="B154" s="68">
        <v>145</v>
      </c>
      <c r="C154" s="109">
        <v>30</v>
      </c>
      <c r="D154" s="118">
        <v>0</v>
      </c>
      <c r="E154" s="113">
        <v>11.19</v>
      </c>
      <c r="F154" s="92"/>
      <c r="G154" s="88">
        <f t="shared" ref="G154:G172" si="22">F154*E154</f>
        <v>0</v>
      </c>
      <c r="J154" s="143" t="str">
        <f t="shared" si="16"/>
        <v>-</v>
      </c>
      <c r="K154" s="143" t="str">
        <f t="shared" si="17"/>
        <v>-</v>
      </c>
      <c r="L154" s="144" t="str">
        <f t="shared" si="20"/>
        <v>-</v>
      </c>
      <c r="M154" s="145" t="str">
        <f t="shared" si="18"/>
        <v>-</v>
      </c>
      <c r="O154" s="145" t="str">
        <f t="shared" si="19"/>
        <v>-</v>
      </c>
    </row>
    <row r="155" spans="1:15" ht="14.4" customHeight="1">
      <c r="A155" s="61"/>
      <c r="B155" s="68">
        <v>146</v>
      </c>
      <c r="C155" s="109">
        <v>60</v>
      </c>
      <c r="D155" s="118">
        <v>0</v>
      </c>
      <c r="E155" s="113">
        <v>21.09</v>
      </c>
      <c r="F155" s="92"/>
      <c r="G155" s="88">
        <f t="shared" si="22"/>
        <v>0</v>
      </c>
      <c r="J155" s="143" t="str">
        <f t="shared" si="16"/>
        <v>-</v>
      </c>
      <c r="K155" s="143" t="str">
        <f t="shared" si="17"/>
        <v>-</v>
      </c>
      <c r="L155" s="144" t="str">
        <f t="shared" si="20"/>
        <v>-</v>
      </c>
      <c r="M155" s="145" t="str">
        <f t="shared" si="18"/>
        <v>-</v>
      </c>
      <c r="O155" s="145" t="str">
        <f t="shared" si="19"/>
        <v>-</v>
      </c>
    </row>
    <row r="156" spans="1:15" ht="14.4" customHeight="1">
      <c r="A156" s="61"/>
      <c r="B156" s="68">
        <v>148</v>
      </c>
      <c r="C156" s="109">
        <v>90</v>
      </c>
      <c r="D156" s="118">
        <v>0</v>
      </c>
      <c r="E156" s="113">
        <v>29.67</v>
      </c>
      <c r="F156" s="92"/>
      <c r="G156" s="88">
        <f t="shared" si="22"/>
        <v>0</v>
      </c>
      <c r="J156" s="143" t="str">
        <f t="shared" si="16"/>
        <v>-</v>
      </c>
      <c r="K156" s="143" t="str">
        <f t="shared" si="17"/>
        <v>-</v>
      </c>
      <c r="L156" s="144" t="str">
        <f t="shared" si="20"/>
        <v>-</v>
      </c>
      <c r="M156" s="145" t="str">
        <f t="shared" si="18"/>
        <v>-</v>
      </c>
      <c r="O156" s="145" t="str">
        <f t="shared" si="19"/>
        <v>-</v>
      </c>
    </row>
    <row r="157" spans="1:15" ht="14.4" customHeight="1">
      <c r="A157" s="61"/>
      <c r="B157" s="68">
        <v>149</v>
      </c>
      <c r="C157" s="109">
        <v>120</v>
      </c>
      <c r="D157" s="118">
        <v>0.34</v>
      </c>
      <c r="E157" s="113">
        <v>37.950000000000003</v>
      </c>
      <c r="F157" s="92"/>
      <c r="G157" s="88">
        <f t="shared" si="22"/>
        <v>0</v>
      </c>
      <c r="J157" s="143" t="str">
        <f t="shared" si="16"/>
        <v>-</v>
      </c>
      <c r="K157" s="143" t="str">
        <f t="shared" si="17"/>
        <v>-</v>
      </c>
      <c r="L157" s="144" t="str">
        <f t="shared" si="20"/>
        <v>-</v>
      </c>
      <c r="M157" s="145" t="str">
        <f t="shared" si="18"/>
        <v>-</v>
      </c>
      <c r="O157" s="145" t="str">
        <f t="shared" si="19"/>
        <v>-</v>
      </c>
    </row>
    <row r="158" spans="1:15" ht="14.4" customHeight="1">
      <c r="A158" s="61" t="s">
        <v>113</v>
      </c>
      <c r="B158" s="68">
        <v>126</v>
      </c>
      <c r="C158" s="109">
        <v>30</v>
      </c>
      <c r="D158" s="118">
        <v>0</v>
      </c>
      <c r="E158" s="113">
        <v>11.19</v>
      </c>
      <c r="F158" s="92"/>
      <c r="G158" s="88">
        <f t="shared" si="22"/>
        <v>0</v>
      </c>
      <c r="J158" s="143" t="str">
        <f t="shared" si="16"/>
        <v>-</v>
      </c>
      <c r="K158" s="143" t="str">
        <f t="shared" si="17"/>
        <v>-</v>
      </c>
      <c r="L158" s="144" t="str">
        <f t="shared" si="20"/>
        <v>-</v>
      </c>
      <c r="M158" s="145" t="str">
        <f t="shared" si="18"/>
        <v>-</v>
      </c>
      <c r="O158" s="145" t="str">
        <f t="shared" si="19"/>
        <v>-</v>
      </c>
    </row>
    <row r="159" spans="1:15" ht="14.4" customHeight="1">
      <c r="A159" s="61"/>
      <c r="B159" s="68">
        <v>128</v>
      </c>
      <c r="C159" s="109">
        <v>60</v>
      </c>
      <c r="D159" s="118">
        <v>0</v>
      </c>
      <c r="E159" s="113">
        <v>21.09</v>
      </c>
      <c r="F159" s="92"/>
      <c r="G159" s="88">
        <f t="shared" si="22"/>
        <v>0</v>
      </c>
      <c r="J159" s="143" t="str">
        <f t="shared" si="16"/>
        <v>-</v>
      </c>
      <c r="K159" s="143" t="str">
        <f t="shared" si="17"/>
        <v>-</v>
      </c>
      <c r="L159" s="144" t="str">
        <f t="shared" si="20"/>
        <v>-</v>
      </c>
      <c r="M159" s="145" t="str">
        <f t="shared" si="18"/>
        <v>-</v>
      </c>
      <c r="O159" s="145" t="str">
        <f t="shared" si="19"/>
        <v>-</v>
      </c>
    </row>
    <row r="160" spans="1:15" ht="14.4" customHeight="1">
      <c r="A160" s="61"/>
      <c r="B160" s="68">
        <v>130</v>
      </c>
      <c r="C160" s="109">
        <v>90</v>
      </c>
      <c r="D160" s="118">
        <v>0</v>
      </c>
      <c r="E160" s="113">
        <v>29.67</v>
      </c>
      <c r="F160" s="92"/>
      <c r="G160" s="88">
        <f t="shared" si="22"/>
        <v>0</v>
      </c>
      <c r="J160" s="143" t="str">
        <f t="shared" si="16"/>
        <v>-</v>
      </c>
      <c r="K160" s="143" t="str">
        <f t="shared" si="17"/>
        <v>-</v>
      </c>
      <c r="L160" s="144" t="str">
        <f t="shared" si="20"/>
        <v>-</v>
      </c>
      <c r="M160" s="145" t="str">
        <f t="shared" si="18"/>
        <v>-</v>
      </c>
      <c r="O160" s="145" t="str">
        <f t="shared" si="19"/>
        <v>-</v>
      </c>
    </row>
    <row r="161" spans="1:15" ht="14.4" customHeight="1">
      <c r="A161" s="61"/>
      <c r="B161" s="68">
        <v>131</v>
      </c>
      <c r="C161" s="109">
        <v>120</v>
      </c>
      <c r="D161" s="118">
        <v>0.39</v>
      </c>
      <c r="E161" s="113">
        <v>37.950000000000003</v>
      </c>
      <c r="F161" s="92"/>
      <c r="G161" s="88">
        <f t="shared" si="22"/>
        <v>0</v>
      </c>
      <c r="J161" s="143" t="str">
        <f t="shared" si="16"/>
        <v>-</v>
      </c>
      <c r="K161" s="143" t="str">
        <f t="shared" si="17"/>
        <v>-</v>
      </c>
      <c r="L161" s="144" t="str">
        <f t="shared" si="20"/>
        <v>-</v>
      </c>
      <c r="M161" s="145" t="str">
        <f t="shared" si="18"/>
        <v>-</v>
      </c>
      <c r="O161" s="145" t="str">
        <f t="shared" si="19"/>
        <v>-</v>
      </c>
    </row>
    <row r="162" spans="1:15" ht="14.4" customHeight="1">
      <c r="A162" s="61" t="s">
        <v>114</v>
      </c>
      <c r="B162" s="68">
        <v>104</v>
      </c>
      <c r="C162" s="109">
        <v>90</v>
      </c>
      <c r="D162" s="118">
        <v>0</v>
      </c>
      <c r="E162" s="113">
        <v>26.37</v>
      </c>
      <c r="F162" s="92"/>
      <c r="G162" s="88">
        <f t="shared" si="22"/>
        <v>0</v>
      </c>
      <c r="J162" s="143" t="str">
        <f t="shared" si="16"/>
        <v>-</v>
      </c>
      <c r="K162" s="143" t="str">
        <f t="shared" si="17"/>
        <v>-</v>
      </c>
      <c r="L162" s="144" t="str">
        <f t="shared" si="20"/>
        <v>-</v>
      </c>
      <c r="M162" s="145" t="str">
        <f t="shared" si="18"/>
        <v>-</v>
      </c>
      <c r="O162" s="145" t="str">
        <f t="shared" si="19"/>
        <v>-</v>
      </c>
    </row>
    <row r="163" spans="1:15" ht="14.4" customHeight="1">
      <c r="A163" s="61"/>
      <c r="B163" s="68">
        <v>106</v>
      </c>
      <c r="C163" s="109">
        <v>180</v>
      </c>
      <c r="D163" s="118">
        <v>0.64</v>
      </c>
      <c r="E163" s="113">
        <v>47.85</v>
      </c>
      <c r="F163" s="92"/>
      <c r="G163" s="88">
        <f t="shared" si="22"/>
        <v>0</v>
      </c>
      <c r="J163" s="143" t="str">
        <f t="shared" si="16"/>
        <v>-</v>
      </c>
      <c r="K163" s="143" t="str">
        <f t="shared" si="17"/>
        <v>-</v>
      </c>
      <c r="L163" s="144" t="str">
        <f t="shared" si="20"/>
        <v>-</v>
      </c>
      <c r="M163" s="145" t="str">
        <f t="shared" si="18"/>
        <v>-</v>
      </c>
      <c r="O163" s="145" t="str">
        <f t="shared" si="19"/>
        <v>-</v>
      </c>
    </row>
    <row r="164" spans="1:15" ht="14.4" customHeight="1">
      <c r="A164" s="61" t="s">
        <v>115</v>
      </c>
      <c r="B164" s="68">
        <v>108</v>
      </c>
      <c r="C164" s="109">
        <v>90</v>
      </c>
      <c r="D164" s="118">
        <v>0</v>
      </c>
      <c r="E164" s="113">
        <v>26.37</v>
      </c>
      <c r="F164" s="92"/>
      <c r="G164" s="88">
        <f t="shared" si="22"/>
        <v>0</v>
      </c>
      <c r="J164" s="143" t="str">
        <f t="shared" si="16"/>
        <v>-</v>
      </c>
      <c r="K164" s="143" t="str">
        <f t="shared" si="17"/>
        <v>-</v>
      </c>
      <c r="L164" s="144" t="str">
        <f t="shared" si="20"/>
        <v>-</v>
      </c>
      <c r="M164" s="145" t="str">
        <f t="shared" si="18"/>
        <v>-</v>
      </c>
      <c r="O164" s="145" t="str">
        <f t="shared" si="19"/>
        <v>-</v>
      </c>
    </row>
    <row r="165" spans="1:15" ht="14.4" customHeight="1">
      <c r="A165" s="61"/>
      <c r="B165" s="68">
        <v>109</v>
      </c>
      <c r="C165" s="109">
        <v>180</v>
      </c>
      <c r="D165" s="118">
        <v>0</v>
      </c>
      <c r="E165" s="113">
        <v>47.85</v>
      </c>
      <c r="F165" s="92"/>
      <c r="G165" s="88">
        <f t="shared" si="22"/>
        <v>0</v>
      </c>
      <c r="J165" s="143" t="str">
        <f t="shared" si="16"/>
        <v>-</v>
      </c>
      <c r="K165" s="143" t="str">
        <f t="shared" si="17"/>
        <v>-</v>
      </c>
      <c r="L165" s="144" t="str">
        <f t="shared" si="20"/>
        <v>-</v>
      </c>
      <c r="M165" s="145" t="str">
        <f t="shared" si="18"/>
        <v>-</v>
      </c>
      <c r="O165" s="145" t="str">
        <f t="shared" si="19"/>
        <v>-</v>
      </c>
    </row>
    <row r="166" spans="1:15">
      <c r="A166" s="34" t="s">
        <v>116</v>
      </c>
      <c r="B166" s="68">
        <v>97</v>
      </c>
      <c r="C166" s="108" t="s">
        <v>117</v>
      </c>
      <c r="D166" s="118">
        <v>0</v>
      </c>
      <c r="E166" s="113">
        <v>28.35</v>
      </c>
      <c r="F166" s="92"/>
      <c r="G166" s="88">
        <f t="shared" si="22"/>
        <v>0</v>
      </c>
      <c r="J166" s="143" t="str">
        <f t="shared" si="16"/>
        <v>-</v>
      </c>
      <c r="K166" s="143" t="str">
        <f t="shared" si="17"/>
        <v>-</v>
      </c>
      <c r="L166" s="144" t="str">
        <f t="shared" si="20"/>
        <v>-</v>
      </c>
      <c r="M166" s="145" t="str">
        <f t="shared" si="18"/>
        <v>-</v>
      </c>
      <c r="O166" s="145" t="str">
        <f t="shared" si="19"/>
        <v>-</v>
      </c>
    </row>
    <row r="167" spans="1:15">
      <c r="A167" s="34" t="s">
        <v>118</v>
      </c>
      <c r="B167" s="65">
        <v>111</v>
      </c>
      <c r="C167" s="109">
        <v>30</v>
      </c>
      <c r="D167" s="118">
        <v>0</v>
      </c>
      <c r="E167" s="113">
        <v>12.21</v>
      </c>
      <c r="F167" s="92"/>
      <c r="G167" s="88">
        <f t="shared" si="22"/>
        <v>0</v>
      </c>
      <c r="J167" s="143" t="str">
        <f t="shared" si="16"/>
        <v>-</v>
      </c>
      <c r="K167" s="143" t="str">
        <f t="shared" si="17"/>
        <v>-</v>
      </c>
      <c r="L167" s="144" t="str">
        <f t="shared" si="20"/>
        <v>-</v>
      </c>
      <c r="M167" s="145" t="str">
        <f t="shared" si="18"/>
        <v>-</v>
      </c>
      <c r="O167" s="145" t="str">
        <f t="shared" si="19"/>
        <v>-</v>
      </c>
    </row>
    <row r="168" spans="1:15">
      <c r="A168" s="39"/>
      <c r="B168" s="65">
        <v>113</v>
      </c>
      <c r="C168" s="109">
        <v>60</v>
      </c>
      <c r="D168" s="118">
        <v>0</v>
      </c>
      <c r="E168" s="113">
        <v>22.11</v>
      </c>
      <c r="F168" s="95"/>
      <c r="G168" s="88">
        <f t="shared" si="22"/>
        <v>0</v>
      </c>
      <c r="J168" s="143" t="str">
        <f t="shared" si="16"/>
        <v>-</v>
      </c>
      <c r="K168" s="143" t="str">
        <f t="shared" si="17"/>
        <v>-</v>
      </c>
      <c r="L168" s="144" t="str">
        <f t="shared" si="20"/>
        <v>-</v>
      </c>
      <c r="M168" s="145" t="str">
        <f t="shared" si="18"/>
        <v>-</v>
      </c>
      <c r="O168" s="145" t="str">
        <f t="shared" si="19"/>
        <v>-</v>
      </c>
    </row>
    <row r="169" spans="1:15">
      <c r="A169" s="55"/>
      <c r="B169" s="65">
        <v>115</v>
      </c>
      <c r="C169" s="109">
        <v>90</v>
      </c>
      <c r="D169" s="118">
        <v>0</v>
      </c>
      <c r="E169" s="113">
        <v>30.99</v>
      </c>
      <c r="F169" s="95"/>
      <c r="G169" s="88">
        <f t="shared" si="22"/>
        <v>0</v>
      </c>
      <c r="J169" s="143" t="str">
        <f t="shared" si="16"/>
        <v>-</v>
      </c>
      <c r="K169" s="143" t="str">
        <f t="shared" si="17"/>
        <v>-</v>
      </c>
      <c r="L169" s="144" t="str">
        <f t="shared" si="20"/>
        <v>-</v>
      </c>
      <c r="M169" s="145" t="str">
        <f t="shared" si="18"/>
        <v>-</v>
      </c>
      <c r="O169" s="145" t="str">
        <f t="shared" si="19"/>
        <v>-</v>
      </c>
    </row>
    <row r="170" spans="1:15">
      <c r="A170" s="34" t="s">
        <v>119</v>
      </c>
      <c r="B170" s="65">
        <v>117</v>
      </c>
      <c r="C170" s="109">
        <v>30</v>
      </c>
      <c r="D170" s="118">
        <v>0</v>
      </c>
      <c r="E170" s="113">
        <v>12.21</v>
      </c>
      <c r="F170" s="92"/>
      <c r="G170" s="88">
        <f t="shared" si="22"/>
        <v>0</v>
      </c>
      <c r="J170" s="143" t="str">
        <f t="shared" si="16"/>
        <v>-</v>
      </c>
      <c r="K170" s="143" t="str">
        <f t="shared" si="17"/>
        <v>-</v>
      </c>
      <c r="L170" s="144" t="str">
        <f t="shared" si="20"/>
        <v>-</v>
      </c>
      <c r="M170" s="145" t="str">
        <f t="shared" si="18"/>
        <v>-</v>
      </c>
      <c r="O170" s="145" t="str">
        <f t="shared" si="19"/>
        <v>-</v>
      </c>
    </row>
    <row r="171" spans="1:15">
      <c r="A171" s="39"/>
      <c r="B171" s="65">
        <v>119</v>
      </c>
      <c r="C171" s="109">
        <v>60</v>
      </c>
      <c r="D171" s="118">
        <v>0</v>
      </c>
      <c r="E171" s="113">
        <v>22.11</v>
      </c>
      <c r="F171" s="95"/>
      <c r="G171" s="88">
        <f t="shared" si="22"/>
        <v>0</v>
      </c>
      <c r="J171" s="143" t="str">
        <f t="shared" si="16"/>
        <v>-</v>
      </c>
      <c r="K171" s="143" t="str">
        <f t="shared" si="17"/>
        <v>-</v>
      </c>
      <c r="L171" s="144" t="str">
        <f t="shared" si="20"/>
        <v>-</v>
      </c>
      <c r="M171" s="145" t="str">
        <f t="shared" si="18"/>
        <v>-</v>
      </c>
      <c r="O171" s="145" t="str">
        <f t="shared" si="19"/>
        <v>-</v>
      </c>
    </row>
    <row r="172" spans="1:15">
      <c r="A172" s="55"/>
      <c r="B172" s="65">
        <v>121</v>
      </c>
      <c r="C172" s="109">
        <v>90</v>
      </c>
      <c r="D172" s="118">
        <v>0</v>
      </c>
      <c r="E172" s="113">
        <v>30.99</v>
      </c>
      <c r="F172" s="95"/>
      <c r="G172" s="88">
        <f t="shared" si="22"/>
        <v>0</v>
      </c>
      <c r="J172" s="143" t="str">
        <f t="shared" si="16"/>
        <v>-</v>
      </c>
      <c r="K172" s="143" t="str">
        <f t="shared" si="17"/>
        <v>-</v>
      </c>
      <c r="L172" s="144" t="str">
        <f t="shared" si="20"/>
        <v>-</v>
      </c>
      <c r="M172" s="145" t="str">
        <f t="shared" si="18"/>
        <v>-</v>
      </c>
      <c r="O172" s="145" t="str">
        <f t="shared" si="19"/>
        <v>-</v>
      </c>
    </row>
    <row r="173" spans="1:15">
      <c r="A173" s="45" t="s">
        <v>120</v>
      </c>
      <c r="B173" s="71"/>
      <c r="C173" s="5"/>
      <c r="D173" s="123">
        <v>0.24</v>
      </c>
      <c r="E173" s="22"/>
      <c r="F173" s="98"/>
      <c r="G173" s="46"/>
      <c r="J173" s="143" t="str">
        <f t="shared" si="16"/>
        <v>-</v>
      </c>
      <c r="K173" s="143" t="str">
        <f t="shared" si="17"/>
        <v>-</v>
      </c>
      <c r="L173" s="144" t="str">
        <f t="shared" si="20"/>
        <v>-</v>
      </c>
      <c r="M173" s="145" t="str">
        <f t="shared" si="18"/>
        <v>-</v>
      </c>
      <c r="O173" s="145" t="str">
        <f t="shared" si="19"/>
        <v>-</v>
      </c>
    </row>
    <row r="174" spans="1:15" ht="24">
      <c r="A174" s="34" t="s">
        <v>121</v>
      </c>
      <c r="B174" s="65">
        <v>157</v>
      </c>
      <c r="C174" s="109">
        <v>90</v>
      </c>
      <c r="D174" s="118">
        <v>0.39</v>
      </c>
      <c r="E174" s="113">
        <v>28.35</v>
      </c>
      <c r="F174" s="95"/>
      <c r="G174" s="88">
        <f>F174*E174</f>
        <v>0</v>
      </c>
      <c r="J174" s="143" t="str">
        <f t="shared" si="16"/>
        <v>-</v>
      </c>
      <c r="K174" s="143" t="str">
        <f t="shared" si="17"/>
        <v>-</v>
      </c>
      <c r="L174" s="144" t="str">
        <f t="shared" si="20"/>
        <v>-</v>
      </c>
      <c r="M174" s="145" t="str">
        <f t="shared" si="18"/>
        <v>-</v>
      </c>
      <c r="O174" s="145" t="str">
        <f t="shared" si="19"/>
        <v>-</v>
      </c>
    </row>
    <row r="175" spans="1:15" ht="24">
      <c r="A175" s="34" t="s">
        <v>122</v>
      </c>
      <c r="B175" s="65">
        <v>160</v>
      </c>
      <c r="C175" s="109">
        <v>90</v>
      </c>
      <c r="D175" s="118">
        <v>0</v>
      </c>
      <c r="E175" s="113">
        <v>28.35</v>
      </c>
      <c r="F175" s="95"/>
      <c r="G175" s="88">
        <f>F175*E175</f>
        <v>0</v>
      </c>
      <c r="J175" s="143" t="str">
        <f t="shared" si="16"/>
        <v>-</v>
      </c>
      <c r="K175" s="143" t="str">
        <f t="shared" si="17"/>
        <v>-</v>
      </c>
      <c r="L175" s="144" t="str">
        <f t="shared" si="20"/>
        <v>-</v>
      </c>
      <c r="M175" s="145" t="str">
        <f t="shared" si="18"/>
        <v>-</v>
      </c>
      <c r="O175" s="145" t="str">
        <f t="shared" si="19"/>
        <v>-</v>
      </c>
    </row>
    <row r="176" spans="1:15" ht="25.8">
      <c r="A176" s="34" t="s">
        <v>123</v>
      </c>
      <c r="B176" s="65">
        <v>163</v>
      </c>
      <c r="C176" s="109">
        <v>90</v>
      </c>
      <c r="D176" s="118">
        <v>0.39</v>
      </c>
      <c r="E176" s="113">
        <v>29.67</v>
      </c>
      <c r="F176" s="95"/>
      <c r="G176" s="88">
        <f>F176*E176</f>
        <v>0</v>
      </c>
      <c r="J176" s="143" t="str">
        <f t="shared" si="16"/>
        <v>-</v>
      </c>
      <c r="K176" s="143" t="str">
        <f t="shared" si="17"/>
        <v>-</v>
      </c>
      <c r="L176" s="144" t="str">
        <f t="shared" si="20"/>
        <v>-</v>
      </c>
      <c r="M176" s="145" t="str">
        <f t="shared" si="18"/>
        <v>-</v>
      </c>
      <c r="O176" s="145" t="str">
        <f t="shared" si="19"/>
        <v>-</v>
      </c>
    </row>
    <row r="177" spans="1:15" ht="24">
      <c r="A177" s="34" t="s">
        <v>124</v>
      </c>
      <c r="B177" s="65">
        <v>166</v>
      </c>
      <c r="C177" s="109">
        <v>90</v>
      </c>
      <c r="D177" s="118">
        <v>0</v>
      </c>
      <c r="E177" s="113">
        <v>29.67</v>
      </c>
      <c r="F177" s="95"/>
      <c r="G177" s="88">
        <f>F177*E177</f>
        <v>0</v>
      </c>
      <c r="J177" s="143" t="str">
        <f t="shared" si="16"/>
        <v>-</v>
      </c>
      <c r="K177" s="143" t="str">
        <f t="shared" si="17"/>
        <v>-</v>
      </c>
      <c r="L177" s="144" t="str">
        <f t="shared" si="20"/>
        <v>-</v>
      </c>
      <c r="M177" s="145" t="str">
        <f t="shared" si="18"/>
        <v>-</v>
      </c>
      <c r="O177" s="145" t="str">
        <f t="shared" si="19"/>
        <v>-</v>
      </c>
    </row>
    <row r="178" spans="1:15">
      <c r="A178" s="45" t="s">
        <v>125</v>
      </c>
      <c r="B178" s="66"/>
      <c r="C178" s="2"/>
      <c r="D178" s="119"/>
      <c r="E178" s="18"/>
      <c r="F178" s="93"/>
      <c r="G178" s="36"/>
      <c r="J178" s="143" t="str">
        <f t="shared" si="16"/>
        <v>-</v>
      </c>
      <c r="K178" s="143" t="str">
        <f t="shared" si="17"/>
        <v>-</v>
      </c>
      <c r="L178" s="144" t="str">
        <f t="shared" si="20"/>
        <v>-</v>
      </c>
      <c r="M178" s="145" t="str">
        <f t="shared" si="18"/>
        <v>-</v>
      </c>
      <c r="O178" s="145" t="str">
        <f t="shared" si="19"/>
        <v>-</v>
      </c>
    </row>
    <row r="179" spans="1:15" ht="24">
      <c r="A179" s="34" t="s">
        <v>126</v>
      </c>
      <c r="B179" s="65">
        <v>174</v>
      </c>
      <c r="C179" s="109">
        <v>60</v>
      </c>
      <c r="D179" s="118">
        <v>0</v>
      </c>
      <c r="E179" s="113">
        <v>15.15</v>
      </c>
      <c r="F179" s="95"/>
      <c r="G179" s="88">
        <f>F179*E179</f>
        <v>0</v>
      </c>
      <c r="J179" s="143" t="str">
        <f t="shared" si="16"/>
        <v>-</v>
      </c>
      <c r="K179" s="143" t="str">
        <f t="shared" si="17"/>
        <v>-</v>
      </c>
      <c r="L179" s="144" t="str">
        <f t="shared" si="20"/>
        <v>-</v>
      </c>
      <c r="M179" s="145" t="str">
        <f t="shared" si="18"/>
        <v>-</v>
      </c>
      <c r="O179" s="145" t="str">
        <f t="shared" si="19"/>
        <v>-</v>
      </c>
    </row>
    <row r="180" spans="1:15">
      <c r="A180" s="39"/>
      <c r="B180" s="65">
        <v>175</v>
      </c>
      <c r="C180" s="109">
        <v>120</v>
      </c>
      <c r="D180" s="118">
        <v>0</v>
      </c>
      <c r="E180" s="113">
        <v>27.68</v>
      </c>
      <c r="F180" s="95"/>
      <c r="G180" s="88">
        <f>F180*E180</f>
        <v>0</v>
      </c>
      <c r="J180" s="143" t="str">
        <f t="shared" si="16"/>
        <v>-</v>
      </c>
      <c r="K180" s="143" t="str">
        <f t="shared" si="17"/>
        <v>-</v>
      </c>
      <c r="L180" s="144" t="str">
        <f t="shared" si="20"/>
        <v>-</v>
      </c>
      <c r="M180" s="145" t="str">
        <f t="shared" si="18"/>
        <v>-</v>
      </c>
      <c r="O180" s="145" t="str">
        <f t="shared" si="19"/>
        <v>-</v>
      </c>
    </row>
    <row r="181" spans="1:15">
      <c r="A181" s="34" t="s">
        <v>127</v>
      </c>
      <c r="B181" s="65">
        <v>178</v>
      </c>
      <c r="C181" s="109">
        <v>30</v>
      </c>
      <c r="D181" s="118">
        <v>0</v>
      </c>
      <c r="E181" s="113">
        <v>15.81</v>
      </c>
      <c r="F181" s="92"/>
      <c r="G181" s="88">
        <f>F181*E181</f>
        <v>0</v>
      </c>
      <c r="J181" s="143" t="str">
        <f t="shared" si="16"/>
        <v>-</v>
      </c>
      <c r="K181" s="143" t="str">
        <f t="shared" si="17"/>
        <v>-</v>
      </c>
      <c r="L181" s="144" t="str">
        <f t="shared" si="20"/>
        <v>-</v>
      </c>
      <c r="M181" s="145" t="str">
        <f t="shared" si="18"/>
        <v>-</v>
      </c>
      <c r="O181" s="145" t="str">
        <f t="shared" si="19"/>
        <v>-</v>
      </c>
    </row>
    <row r="182" spans="1:15">
      <c r="A182" s="39"/>
      <c r="B182" s="65">
        <v>179</v>
      </c>
      <c r="C182" s="109">
        <v>60</v>
      </c>
      <c r="D182" s="118">
        <v>0</v>
      </c>
      <c r="E182" s="113">
        <v>28.35</v>
      </c>
      <c r="F182" s="95"/>
      <c r="G182" s="88">
        <f>F182*E182</f>
        <v>0</v>
      </c>
      <c r="J182" s="143" t="str">
        <f t="shared" si="16"/>
        <v>-</v>
      </c>
      <c r="K182" s="143" t="str">
        <f t="shared" si="17"/>
        <v>-</v>
      </c>
      <c r="L182" s="144" t="str">
        <f t="shared" si="20"/>
        <v>-</v>
      </c>
      <c r="M182" s="145" t="str">
        <f t="shared" si="18"/>
        <v>-</v>
      </c>
      <c r="O182" s="145" t="str">
        <f t="shared" si="19"/>
        <v>-</v>
      </c>
    </row>
    <row r="183" spans="1:15" ht="25.8">
      <c r="A183" s="47" t="s">
        <v>128</v>
      </c>
      <c r="B183" s="72"/>
      <c r="C183" s="4"/>
      <c r="D183" s="124"/>
      <c r="E183" s="23"/>
      <c r="F183" s="99"/>
      <c r="G183" s="48"/>
      <c r="J183" s="143" t="str">
        <f t="shared" si="16"/>
        <v>-</v>
      </c>
      <c r="K183" s="143" t="str">
        <f t="shared" si="17"/>
        <v>-</v>
      </c>
      <c r="L183" s="144" t="str">
        <f t="shared" si="20"/>
        <v>-</v>
      </c>
      <c r="M183" s="145" t="str">
        <f t="shared" si="18"/>
        <v>-</v>
      </c>
      <c r="O183" s="145" t="str">
        <f t="shared" si="19"/>
        <v>-</v>
      </c>
    </row>
    <row r="184" spans="1:15">
      <c r="A184" s="35" t="s">
        <v>129</v>
      </c>
      <c r="B184" s="66"/>
      <c r="C184" s="2"/>
      <c r="D184" s="119"/>
      <c r="E184" s="18"/>
      <c r="F184" s="93"/>
      <c r="G184" s="36"/>
      <c r="J184" s="143" t="str">
        <f t="shared" si="16"/>
        <v>-</v>
      </c>
      <c r="K184" s="143" t="str">
        <f t="shared" si="17"/>
        <v>-</v>
      </c>
      <c r="L184" s="144" t="str">
        <f t="shared" si="20"/>
        <v>-</v>
      </c>
      <c r="M184" s="145" t="str">
        <f t="shared" si="18"/>
        <v>-</v>
      </c>
      <c r="O184" s="145" t="str">
        <f t="shared" si="19"/>
        <v>-</v>
      </c>
    </row>
    <row r="185" spans="1:15">
      <c r="A185" s="34" t="s">
        <v>130</v>
      </c>
      <c r="B185" s="65">
        <v>182</v>
      </c>
      <c r="C185" s="109">
        <v>60</v>
      </c>
      <c r="D185" s="118">
        <v>0</v>
      </c>
      <c r="E185" s="113">
        <v>16.47</v>
      </c>
      <c r="F185" s="92"/>
      <c r="G185" s="88">
        <f t="shared" ref="G185:G196" si="23">F185*E185</f>
        <v>0</v>
      </c>
      <c r="J185" s="143" t="str">
        <f t="shared" si="16"/>
        <v>-</v>
      </c>
      <c r="K185" s="143" t="str">
        <f t="shared" si="17"/>
        <v>-</v>
      </c>
      <c r="L185" s="144" t="str">
        <f t="shared" si="20"/>
        <v>-</v>
      </c>
      <c r="M185" s="145" t="str">
        <f t="shared" si="18"/>
        <v>-</v>
      </c>
      <c r="O185" s="145" t="str">
        <f t="shared" si="19"/>
        <v>-</v>
      </c>
    </row>
    <row r="186" spans="1:15" ht="36">
      <c r="A186" s="34" t="s">
        <v>131</v>
      </c>
      <c r="B186" s="73" t="s">
        <v>132</v>
      </c>
      <c r="C186" s="109">
        <v>90</v>
      </c>
      <c r="D186" s="118">
        <v>0</v>
      </c>
      <c r="E186" s="113">
        <v>14.49</v>
      </c>
      <c r="F186" s="95"/>
      <c r="G186" s="88">
        <f t="shared" si="23"/>
        <v>0</v>
      </c>
      <c r="J186" s="143" t="str">
        <f t="shared" si="16"/>
        <v>-</v>
      </c>
      <c r="K186" s="143" t="str">
        <f t="shared" si="17"/>
        <v>-</v>
      </c>
      <c r="L186" s="144" t="str">
        <f t="shared" si="20"/>
        <v>-</v>
      </c>
      <c r="M186" s="145" t="str">
        <f t="shared" si="18"/>
        <v>-</v>
      </c>
      <c r="O186" s="145" t="str">
        <f t="shared" si="19"/>
        <v>-</v>
      </c>
    </row>
    <row r="187" spans="1:15">
      <c r="A187" s="39"/>
      <c r="B187" s="73" t="s">
        <v>133</v>
      </c>
      <c r="C187" s="109">
        <v>180</v>
      </c>
      <c r="D187" s="118">
        <v>0.52</v>
      </c>
      <c r="E187" s="113">
        <v>27.03</v>
      </c>
      <c r="F187" s="95"/>
      <c r="G187" s="88">
        <f t="shared" si="23"/>
        <v>0</v>
      </c>
      <c r="J187" s="143" t="str">
        <f t="shared" si="16"/>
        <v>-</v>
      </c>
      <c r="K187" s="143" t="str">
        <f t="shared" si="17"/>
        <v>-</v>
      </c>
      <c r="L187" s="144" t="str">
        <f t="shared" si="20"/>
        <v>-</v>
      </c>
      <c r="M187" s="145" t="str">
        <f t="shared" si="18"/>
        <v>-</v>
      </c>
      <c r="O187" s="145" t="str">
        <f t="shared" si="19"/>
        <v>-</v>
      </c>
    </row>
    <row r="188" spans="1:15">
      <c r="A188" s="39"/>
      <c r="B188" s="73" t="s">
        <v>134</v>
      </c>
      <c r="C188" s="109">
        <v>90</v>
      </c>
      <c r="D188" s="118">
        <v>0</v>
      </c>
      <c r="E188" s="113">
        <v>14.49</v>
      </c>
      <c r="F188" s="95"/>
      <c r="G188" s="88">
        <f t="shared" si="23"/>
        <v>0</v>
      </c>
      <c r="J188" s="143" t="str">
        <f t="shared" si="16"/>
        <v>-</v>
      </c>
      <c r="K188" s="143" t="str">
        <f t="shared" si="17"/>
        <v>-</v>
      </c>
      <c r="L188" s="144" t="str">
        <f t="shared" si="20"/>
        <v>-</v>
      </c>
      <c r="M188" s="145" t="str">
        <f t="shared" si="18"/>
        <v>-</v>
      </c>
      <c r="O188" s="145" t="str">
        <f t="shared" si="19"/>
        <v>-</v>
      </c>
    </row>
    <row r="189" spans="1:15">
      <c r="A189" s="39"/>
      <c r="B189" s="73" t="s">
        <v>135</v>
      </c>
      <c r="C189" s="109">
        <v>180</v>
      </c>
      <c r="D189" s="118">
        <v>0.51</v>
      </c>
      <c r="E189" s="113">
        <v>27.03</v>
      </c>
      <c r="F189" s="95"/>
      <c r="G189" s="88">
        <f t="shared" si="23"/>
        <v>0</v>
      </c>
      <c r="J189" s="143" t="str">
        <f t="shared" si="16"/>
        <v>-</v>
      </c>
      <c r="K189" s="143" t="str">
        <f t="shared" si="17"/>
        <v>-</v>
      </c>
      <c r="L189" s="144" t="str">
        <f t="shared" si="20"/>
        <v>-</v>
      </c>
      <c r="M189" s="145" t="str">
        <f t="shared" si="18"/>
        <v>-</v>
      </c>
      <c r="O189" s="145" t="str">
        <f t="shared" si="19"/>
        <v>-</v>
      </c>
    </row>
    <row r="190" spans="1:15">
      <c r="A190" s="39"/>
      <c r="B190" s="73" t="s">
        <v>136</v>
      </c>
      <c r="C190" s="109">
        <v>90</v>
      </c>
      <c r="D190" s="118">
        <v>0</v>
      </c>
      <c r="E190" s="113">
        <v>14.49</v>
      </c>
      <c r="F190" s="95"/>
      <c r="G190" s="88">
        <f t="shared" si="23"/>
        <v>0</v>
      </c>
      <c r="J190" s="143" t="str">
        <f t="shared" si="16"/>
        <v>-</v>
      </c>
      <c r="K190" s="143" t="str">
        <f t="shared" si="17"/>
        <v>-</v>
      </c>
      <c r="L190" s="144" t="str">
        <f t="shared" si="20"/>
        <v>-</v>
      </c>
      <c r="M190" s="145" t="str">
        <f t="shared" si="18"/>
        <v>-</v>
      </c>
      <c r="O190" s="145" t="str">
        <f t="shared" si="19"/>
        <v>-</v>
      </c>
    </row>
    <row r="191" spans="1:15">
      <c r="A191" s="39"/>
      <c r="B191" s="73" t="s">
        <v>137</v>
      </c>
      <c r="C191" s="109">
        <v>180</v>
      </c>
      <c r="D191" s="118">
        <v>0</v>
      </c>
      <c r="E191" s="113">
        <v>27.03</v>
      </c>
      <c r="F191" s="95"/>
      <c r="G191" s="88">
        <f t="shared" si="23"/>
        <v>0</v>
      </c>
      <c r="J191" s="143" t="str">
        <f t="shared" si="16"/>
        <v>-</v>
      </c>
      <c r="K191" s="143" t="str">
        <f t="shared" si="17"/>
        <v>-</v>
      </c>
      <c r="L191" s="144" t="str">
        <f t="shared" si="20"/>
        <v>-</v>
      </c>
      <c r="M191" s="145" t="str">
        <f t="shared" si="18"/>
        <v>-</v>
      </c>
      <c r="O191" s="145" t="str">
        <f t="shared" si="19"/>
        <v>-</v>
      </c>
    </row>
    <row r="192" spans="1:15">
      <c r="A192" s="39"/>
      <c r="B192" s="73" t="s">
        <v>138</v>
      </c>
      <c r="C192" s="109">
        <v>90</v>
      </c>
      <c r="D192" s="118">
        <v>0</v>
      </c>
      <c r="E192" s="113">
        <v>14.49</v>
      </c>
      <c r="F192" s="95"/>
      <c r="G192" s="88">
        <f t="shared" si="23"/>
        <v>0</v>
      </c>
      <c r="J192" s="143" t="str">
        <f t="shared" si="16"/>
        <v>-</v>
      </c>
      <c r="K192" s="143" t="str">
        <f t="shared" si="17"/>
        <v>-</v>
      </c>
      <c r="L192" s="144" t="str">
        <f t="shared" si="20"/>
        <v>-</v>
      </c>
      <c r="M192" s="145" t="str">
        <f t="shared" si="18"/>
        <v>-</v>
      </c>
      <c r="O192" s="145" t="str">
        <f t="shared" si="19"/>
        <v>-</v>
      </c>
    </row>
    <row r="193" spans="1:15">
      <c r="A193" s="55"/>
      <c r="B193" s="73" t="s">
        <v>139</v>
      </c>
      <c r="C193" s="109">
        <v>180</v>
      </c>
      <c r="D193" s="118">
        <v>0</v>
      </c>
      <c r="E193" s="113">
        <v>27.03</v>
      </c>
      <c r="F193" s="95"/>
      <c r="G193" s="88">
        <f t="shared" si="23"/>
        <v>0</v>
      </c>
      <c r="J193" s="143" t="str">
        <f t="shared" si="16"/>
        <v>-</v>
      </c>
      <c r="K193" s="143" t="str">
        <f t="shared" si="17"/>
        <v>-</v>
      </c>
      <c r="L193" s="144" t="str">
        <f t="shared" si="20"/>
        <v>-</v>
      </c>
      <c r="M193" s="145" t="str">
        <f t="shared" si="18"/>
        <v>-</v>
      </c>
      <c r="O193" s="145" t="str">
        <f t="shared" si="19"/>
        <v>-</v>
      </c>
    </row>
    <row r="194" spans="1:15">
      <c r="A194" s="34" t="s">
        <v>140</v>
      </c>
      <c r="B194" s="65">
        <v>192</v>
      </c>
      <c r="C194" s="109">
        <v>90</v>
      </c>
      <c r="D194" s="118">
        <v>0.31</v>
      </c>
      <c r="E194" s="113">
        <v>9.74</v>
      </c>
      <c r="F194" s="92"/>
      <c r="G194" s="88">
        <f t="shared" si="23"/>
        <v>0</v>
      </c>
      <c r="J194" s="143" t="str">
        <f t="shared" si="16"/>
        <v>-</v>
      </c>
      <c r="K194" s="143" t="str">
        <f t="shared" si="17"/>
        <v>-</v>
      </c>
      <c r="L194" s="144" t="str">
        <f t="shared" si="20"/>
        <v>-</v>
      </c>
      <c r="M194" s="145" t="str">
        <f t="shared" si="18"/>
        <v>-</v>
      </c>
      <c r="O194" s="145" t="str">
        <f t="shared" si="19"/>
        <v>-</v>
      </c>
    </row>
    <row r="195" spans="1:15">
      <c r="A195" s="34" t="s">
        <v>141</v>
      </c>
      <c r="B195" s="65">
        <v>194</v>
      </c>
      <c r="C195" s="109">
        <v>90</v>
      </c>
      <c r="D195" s="118">
        <v>0.16</v>
      </c>
      <c r="E195" s="113">
        <v>7.23</v>
      </c>
      <c r="F195" s="92"/>
      <c r="G195" s="88">
        <f t="shared" si="23"/>
        <v>0</v>
      </c>
      <c r="J195" s="143" t="str">
        <f t="shared" ref="J195:J258" si="24">IFERROR(IF($J$2*D195=0, "-", $J$2*D195), "-")</f>
        <v>-</v>
      </c>
      <c r="K195" s="143" t="str">
        <f t="shared" ref="K195:K258" si="25">IF(F195&gt;0,E195+D195*F195/$L$2*$M$2/F195,"-")</f>
        <v>-</v>
      </c>
      <c r="L195" s="144" t="str">
        <f t="shared" si="20"/>
        <v>-</v>
      </c>
      <c r="M195" s="145" t="str">
        <f t="shared" ref="M195:M258" si="26">IFERROR(IF($J$2&gt;0, $J$2*L195, "-"), "-")</f>
        <v>-</v>
      </c>
      <c r="O195" s="145" t="str">
        <f t="shared" ref="O195:O258" si="27">IFERROR(IF(M195+G195=0, "-", IF(M195&gt;0, M195+G195, "-")), "-")</f>
        <v>-</v>
      </c>
    </row>
    <row r="196" spans="1:15" ht="24">
      <c r="A196" s="34" t="s">
        <v>142</v>
      </c>
      <c r="B196" s="65">
        <v>196</v>
      </c>
      <c r="C196" s="109">
        <v>90</v>
      </c>
      <c r="D196" s="118">
        <v>0.32</v>
      </c>
      <c r="E196" s="113">
        <v>10.53</v>
      </c>
      <c r="F196" s="95"/>
      <c r="G196" s="88">
        <f t="shared" si="23"/>
        <v>0</v>
      </c>
      <c r="J196" s="143" t="str">
        <f t="shared" si="24"/>
        <v>-</v>
      </c>
      <c r="K196" s="143" t="str">
        <f t="shared" si="25"/>
        <v>-</v>
      </c>
      <c r="L196" s="144" t="str">
        <f t="shared" ref="L196:L259" si="28">IF(F196&gt;0,F196*D196*1.113, "-")</f>
        <v>-</v>
      </c>
      <c r="M196" s="145" t="str">
        <f t="shared" si="26"/>
        <v>-</v>
      </c>
      <c r="O196" s="145" t="str">
        <f t="shared" si="27"/>
        <v>-</v>
      </c>
    </row>
    <row r="197" spans="1:15">
      <c r="A197" s="34" t="s">
        <v>143</v>
      </c>
      <c r="B197" s="74"/>
      <c r="C197" s="6"/>
      <c r="D197" s="125"/>
      <c r="E197" s="24"/>
      <c r="F197" s="100"/>
      <c r="G197" s="49"/>
      <c r="J197" s="143" t="str">
        <f t="shared" si="24"/>
        <v>-</v>
      </c>
      <c r="K197" s="143" t="str">
        <f t="shared" si="25"/>
        <v>-</v>
      </c>
      <c r="L197" s="144" t="str">
        <f t="shared" si="28"/>
        <v>-</v>
      </c>
      <c r="M197" s="145" t="str">
        <f t="shared" si="26"/>
        <v>-</v>
      </c>
      <c r="O197" s="145" t="str">
        <f t="shared" si="27"/>
        <v>-</v>
      </c>
    </row>
    <row r="198" spans="1:15">
      <c r="A198" s="50" t="s">
        <v>144</v>
      </c>
      <c r="B198" s="75"/>
      <c r="C198" s="7"/>
      <c r="D198" s="126"/>
      <c r="E198" s="25"/>
      <c r="F198" s="101"/>
      <c r="G198" s="51"/>
      <c r="J198" s="143" t="str">
        <f t="shared" si="24"/>
        <v>-</v>
      </c>
      <c r="K198" s="143" t="str">
        <f t="shared" si="25"/>
        <v>-</v>
      </c>
      <c r="L198" s="144" t="str">
        <f t="shared" si="28"/>
        <v>-</v>
      </c>
      <c r="M198" s="145" t="str">
        <f t="shared" si="26"/>
        <v>-</v>
      </c>
      <c r="O198" s="145" t="str">
        <f t="shared" si="27"/>
        <v>-</v>
      </c>
    </row>
    <row r="199" spans="1:15">
      <c r="A199" s="52" t="s">
        <v>145</v>
      </c>
      <c r="B199" s="76"/>
      <c r="C199" s="8"/>
      <c r="D199" s="127"/>
      <c r="E199" s="26"/>
      <c r="F199" s="102"/>
      <c r="G199" s="53"/>
      <c r="J199" s="143" t="str">
        <f t="shared" si="24"/>
        <v>-</v>
      </c>
      <c r="K199" s="143" t="str">
        <f t="shared" si="25"/>
        <v>-</v>
      </c>
      <c r="L199" s="144" t="str">
        <f t="shared" si="28"/>
        <v>-</v>
      </c>
      <c r="M199" s="145" t="str">
        <f t="shared" si="26"/>
        <v>-</v>
      </c>
      <c r="O199" s="145" t="str">
        <f t="shared" si="27"/>
        <v>-</v>
      </c>
    </row>
    <row r="200" spans="1:15">
      <c r="A200" s="34" t="s">
        <v>146</v>
      </c>
      <c r="B200" s="65">
        <v>298</v>
      </c>
      <c r="C200" s="109">
        <v>100</v>
      </c>
      <c r="D200" s="118">
        <v>0.12</v>
      </c>
      <c r="E200" s="113">
        <v>6.57</v>
      </c>
      <c r="F200" s="92"/>
      <c r="G200" s="88">
        <f t="shared" ref="G200:G219" si="29">F200*E200</f>
        <v>0</v>
      </c>
      <c r="J200" s="143" t="str">
        <f t="shared" si="24"/>
        <v>-</v>
      </c>
      <c r="K200" s="143" t="str">
        <f t="shared" si="25"/>
        <v>-</v>
      </c>
      <c r="L200" s="144" t="str">
        <f t="shared" si="28"/>
        <v>-</v>
      </c>
      <c r="M200" s="145" t="str">
        <f t="shared" si="26"/>
        <v>-</v>
      </c>
      <c r="O200" s="145" t="str">
        <f t="shared" si="27"/>
        <v>-</v>
      </c>
    </row>
    <row r="201" spans="1:15">
      <c r="A201" s="34" t="s">
        <v>147</v>
      </c>
      <c r="B201" s="65">
        <v>300</v>
      </c>
      <c r="C201" s="109">
        <v>100</v>
      </c>
      <c r="D201" s="118">
        <v>0</v>
      </c>
      <c r="E201" s="113">
        <v>6.93</v>
      </c>
      <c r="F201" s="92"/>
      <c r="G201" s="88">
        <f t="shared" si="29"/>
        <v>0</v>
      </c>
      <c r="J201" s="143" t="str">
        <f t="shared" si="24"/>
        <v>-</v>
      </c>
      <c r="K201" s="143" t="str">
        <f t="shared" si="25"/>
        <v>-</v>
      </c>
      <c r="L201" s="144" t="str">
        <f t="shared" si="28"/>
        <v>-</v>
      </c>
      <c r="M201" s="145" t="str">
        <f t="shared" si="26"/>
        <v>-</v>
      </c>
      <c r="O201" s="145" t="str">
        <f t="shared" si="27"/>
        <v>-</v>
      </c>
    </row>
    <row r="202" spans="1:15">
      <c r="A202" s="34" t="s">
        <v>148</v>
      </c>
      <c r="B202" s="65">
        <v>303</v>
      </c>
      <c r="C202" s="109">
        <v>100</v>
      </c>
      <c r="D202" s="118">
        <v>0.15</v>
      </c>
      <c r="E202" s="113">
        <v>10.23</v>
      </c>
      <c r="F202" s="92"/>
      <c r="G202" s="88">
        <f t="shared" si="29"/>
        <v>0</v>
      </c>
      <c r="J202" s="143" t="str">
        <f t="shared" si="24"/>
        <v>-</v>
      </c>
      <c r="K202" s="143" t="str">
        <f t="shared" si="25"/>
        <v>-</v>
      </c>
      <c r="L202" s="144" t="str">
        <f t="shared" si="28"/>
        <v>-</v>
      </c>
      <c r="M202" s="145" t="str">
        <f t="shared" si="26"/>
        <v>-</v>
      </c>
      <c r="O202" s="145" t="str">
        <f t="shared" si="27"/>
        <v>-</v>
      </c>
    </row>
    <row r="203" spans="1:15">
      <c r="A203" s="34" t="s">
        <v>149</v>
      </c>
      <c r="B203" s="65">
        <v>304</v>
      </c>
      <c r="C203" s="109">
        <v>90</v>
      </c>
      <c r="D203" s="118">
        <v>0</v>
      </c>
      <c r="E203" s="113">
        <v>7.23</v>
      </c>
      <c r="F203" s="92"/>
      <c r="G203" s="88">
        <f t="shared" si="29"/>
        <v>0</v>
      </c>
      <c r="J203" s="143" t="str">
        <f t="shared" si="24"/>
        <v>-</v>
      </c>
      <c r="K203" s="143" t="str">
        <f t="shared" si="25"/>
        <v>-</v>
      </c>
      <c r="L203" s="144" t="str">
        <f t="shared" si="28"/>
        <v>-</v>
      </c>
      <c r="M203" s="145" t="str">
        <f t="shared" si="26"/>
        <v>-</v>
      </c>
      <c r="O203" s="145" t="str">
        <f t="shared" si="27"/>
        <v>-</v>
      </c>
    </row>
    <row r="204" spans="1:15">
      <c r="A204" s="55"/>
      <c r="B204" s="65">
        <v>305</v>
      </c>
      <c r="C204" s="109">
        <v>180</v>
      </c>
      <c r="D204" s="118">
        <v>0</v>
      </c>
      <c r="E204" s="113">
        <v>12.87</v>
      </c>
      <c r="F204" s="95"/>
      <c r="G204" s="88">
        <f t="shared" si="29"/>
        <v>0</v>
      </c>
      <c r="J204" s="143" t="str">
        <f t="shared" si="24"/>
        <v>-</v>
      </c>
      <c r="K204" s="143" t="str">
        <f t="shared" si="25"/>
        <v>-</v>
      </c>
      <c r="L204" s="144" t="str">
        <f t="shared" si="28"/>
        <v>-</v>
      </c>
      <c r="M204" s="145" t="str">
        <f t="shared" si="26"/>
        <v>-</v>
      </c>
      <c r="O204" s="145" t="str">
        <f t="shared" si="27"/>
        <v>-</v>
      </c>
    </row>
    <row r="205" spans="1:15">
      <c r="A205" s="34" t="s">
        <v>150</v>
      </c>
      <c r="B205" s="65">
        <v>306</v>
      </c>
      <c r="C205" s="109">
        <v>100</v>
      </c>
      <c r="D205" s="118">
        <v>0</v>
      </c>
      <c r="E205" s="113">
        <v>6.27</v>
      </c>
      <c r="F205" s="92"/>
      <c r="G205" s="88">
        <f t="shared" si="29"/>
        <v>0</v>
      </c>
      <c r="J205" s="143" t="str">
        <f t="shared" si="24"/>
        <v>-</v>
      </c>
      <c r="K205" s="143" t="str">
        <f t="shared" si="25"/>
        <v>-</v>
      </c>
      <c r="L205" s="144" t="str">
        <f t="shared" si="28"/>
        <v>-</v>
      </c>
      <c r="M205" s="145" t="str">
        <f t="shared" si="26"/>
        <v>-</v>
      </c>
      <c r="O205" s="145" t="str">
        <f t="shared" si="27"/>
        <v>-</v>
      </c>
    </row>
    <row r="206" spans="1:15">
      <c r="A206" s="39"/>
      <c r="B206" s="65">
        <v>307</v>
      </c>
      <c r="C206" s="109">
        <v>250</v>
      </c>
      <c r="D206" s="118">
        <v>0</v>
      </c>
      <c r="E206" s="113">
        <v>12.51</v>
      </c>
      <c r="F206" s="95"/>
      <c r="G206" s="88">
        <f t="shared" si="29"/>
        <v>0</v>
      </c>
      <c r="J206" s="143" t="str">
        <f t="shared" si="24"/>
        <v>-</v>
      </c>
      <c r="K206" s="143" t="str">
        <f t="shared" si="25"/>
        <v>-</v>
      </c>
      <c r="L206" s="144" t="str">
        <f t="shared" si="28"/>
        <v>-</v>
      </c>
      <c r="M206" s="145" t="str">
        <f t="shared" si="26"/>
        <v>-</v>
      </c>
      <c r="O206" s="145" t="str">
        <f t="shared" si="27"/>
        <v>-</v>
      </c>
    </row>
    <row r="207" spans="1:15">
      <c r="A207" s="34" t="s">
        <v>151</v>
      </c>
      <c r="B207" s="65">
        <v>308</v>
      </c>
      <c r="C207" s="109">
        <v>100</v>
      </c>
      <c r="D207" s="118">
        <v>0</v>
      </c>
      <c r="E207" s="113">
        <v>6.93</v>
      </c>
      <c r="F207" s="92"/>
      <c r="G207" s="88">
        <f t="shared" si="29"/>
        <v>0</v>
      </c>
      <c r="J207" s="143" t="str">
        <f t="shared" si="24"/>
        <v>-</v>
      </c>
      <c r="K207" s="143" t="str">
        <f t="shared" si="25"/>
        <v>-</v>
      </c>
      <c r="L207" s="144" t="str">
        <f t="shared" si="28"/>
        <v>-</v>
      </c>
      <c r="M207" s="145" t="str">
        <f t="shared" si="26"/>
        <v>-</v>
      </c>
      <c r="O207" s="145" t="str">
        <f t="shared" si="27"/>
        <v>-</v>
      </c>
    </row>
    <row r="208" spans="1:15">
      <c r="A208" s="39"/>
      <c r="B208" s="65">
        <v>309</v>
      </c>
      <c r="C208" s="109">
        <v>250</v>
      </c>
      <c r="D208" s="118">
        <v>0</v>
      </c>
      <c r="E208" s="113">
        <v>13.53</v>
      </c>
      <c r="F208" s="95"/>
      <c r="G208" s="88">
        <f t="shared" si="29"/>
        <v>0</v>
      </c>
      <c r="J208" s="143" t="str">
        <f t="shared" si="24"/>
        <v>-</v>
      </c>
      <c r="K208" s="143" t="str">
        <f t="shared" si="25"/>
        <v>-</v>
      </c>
      <c r="L208" s="144" t="str">
        <f t="shared" si="28"/>
        <v>-</v>
      </c>
      <c r="M208" s="145" t="str">
        <f t="shared" si="26"/>
        <v>-</v>
      </c>
      <c r="O208" s="145" t="str">
        <f t="shared" si="27"/>
        <v>-</v>
      </c>
    </row>
    <row r="209" spans="1:15">
      <c r="A209" s="34" t="s">
        <v>152</v>
      </c>
      <c r="B209" s="65">
        <v>311</v>
      </c>
      <c r="C209" s="109">
        <v>90</v>
      </c>
      <c r="D209" s="118">
        <v>0</v>
      </c>
      <c r="E209" s="113">
        <v>8.5500000000000007</v>
      </c>
      <c r="F209" s="92"/>
      <c r="G209" s="88">
        <f t="shared" si="29"/>
        <v>0</v>
      </c>
      <c r="J209" s="143" t="str">
        <f t="shared" si="24"/>
        <v>-</v>
      </c>
      <c r="K209" s="143" t="str">
        <f t="shared" si="25"/>
        <v>-</v>
      </c>
      <c r="L209" s="144" t="str">
        <f t="shared" si="28"/>
        <v>-</v>
      </c>
      <c r="M209" s="145" t="str">
        <f t="shared" si="26"/>
        <v>-</v>
      </c>
      <c r="O209" s="145" t="str">
        <f t="shared" si="27"/>
        <v>-</v>
      </c>
    </row>
    <row r="210" spans="1:15">
      <c r="A210" s="39"/>
      <c r="B210" s="65">
        <v>313</v>
      </c>
      <c r="C210" s="109">
        <v>180</v>
      </c>
      <c r="D210" s="118">
        <v>0</v>
      </c>
      <c r="E210" s="113">
        <v>14.49</v>
      </c>
      <c r="F210" s="95"/>
      <c r="G210" s="88">
        <f t="shared" si="29"/>
        <v>0</v>
      </c>
      <c r="J210" s="143" t="str">
        <f t="shared" si="24"/>
        <v>-</v>
      </c>
      <c r="K210" s="143" t="str">
        <f t="shared" si="25"/>
        <v>-</v>
      </c>
      <c r="L210" s="144" t="str">
        <f t="shared" si="28"/>
        <v>-</v>
      </c>
      <c r="M210" s="145" t="str">
        <f t="shared" si="26"/>
        <v>-</v>
      </c>
      <c r="O210" s="145" t="str">
        <f t="shared" si="27"/>
        <v>-</v>
      </c>
    </row>
    <row r="211" spans="1:15">
      <c r="A211" s="34" t="s">
        <v>153</v>
      </c>
      <c r="B211" s="65">
        <v>314</v>
      </c>
      <c r="C211" s="109">
        <v>90</v>
      </c>
      <c r="D211" s="118">
        <v>0.19</v>
      </c>
      <c r="E211" s="113">
        <v>10.89</v>
      </c>
      <c r="F211" s="92"/>
      <c r="G211" s="88">
        <f t="shared" si="29"/>
        <v>0</v>
      </c>
      <c r="J211" s="143" t="str">
        <f t="shared" si="24"/>
        <v>-</v>
      </c>
      <c r="K211" s="143" t="str">
        <f t="shared" si="25"/>
        <v>-</v>
      </c>
      <c r="L211" s="144" t="str">
        <f t="shared" si="28"/>
        <v>-</v>
      </c>
      <c r="M211" s="145" t="str">
        <f t="shared" si="26"/>
        <v>-</v>
      </c>
      <c r="O211" s="145" t="str">
        <f t="shared" si="27"/>
        <v>-</v>
      </c>
    </row>
    <row r="212" spans="1:15">
      <c r="A212" s="39"/>
      <c r="B212" s="65">
        <v>315</v>
      </c>
      <c r="C212" s="109">
        <v>180</v>
      </c>
      <c r="D212" s="118">
        <v>0</v>
      </c>
      <c r="E212" s="113">
        <v>19.47</v>
      </c>
      <c r="F212" s="95"/>
      <c r="G212" s="88">
        <f t="shared" si="29"/>
        <v>0</v>
      </c>
      <c r="J212" s="143" t="str">
        <f t="shared" si="24"/>
        <v>-</v>
      </c>
      <c r="K212" s="143" t="str">
        <f t="shared" si="25"/>
        <v>-</v>
      </c>
      <c r="L212" s="144" t="str">
        <f t="shared" si="28"/>
        <v>-</v>
      </c>
      <c r="M212" s="145" t="str">
        <f t="shared" si="26"/>
        <v>-</v>
      </c>
      <c r="O212" s="145" t="str">
        <f t="shared" si="27"/>
        <v>-</v>
      </c>
    </row>
    <row r="213" spans="1:15">
      <c r="A213" s="34" t="s">
        <v>154</v>
      </c>
      <c r="B213" s="65">
        <v>317</v>
      </c>
      <c r="C213" s="109">
        <v>100</v>
      </c>
      <c r="D213" s="118">
        <v>0</v>
      </c>
      <c r="E213" s="113">
        <v>8.25</v>
      </c>
      <c r="F213" s="95"/>
      <c r="G213" s="88">
        <f t="shared" si="29"/>
        <v>0</v>
      </c>
      <c r="J213" s="143" t="str">
        <f t="shared" si="24"/>
        <v>-</v>
      </c>
      <c r="K213" s="143" t="str">
        <f t="shared" si="25"/>
        <v>-</v>
      </c>
      <c r="L213" s="144" t="str">
        <f t="shared" si="28"/>
        <v>-</v>
      </c>
      <c r="M213" s="145" t="str">
        <f t="shared" si="26"/>
        <v>-</v>
      </c>
      <c r="O213" s="145" t="str">
        <f t="shared" si="27"/>
        <v>-</v>
      </c>
    </row>
    <row r="214" spans="1:15">
      <c r="A214" s="39"/>
      <c r="B214" s="65">
        <v>319</v>
      </c>
      <c r="C214" s="109">
        <v>250</v>
      </c>
      <c r="D214" s="118">
        <v>0.36</v>
      </c>
      <c r="E214" s="113">
        <v>15.15</v>
      </c>
      <c r="F214" s="95"/>
      <c r="G214" s="88">
        <f t="shared" si="29"/>
        <v>0</v>
      </c>
      <c r="J214" s="143" t="str">
        <f t="shared" si="24"/>
        <v>-</v>
      </c>
      <c r="K214" s="143" t="str">
        <f t="shared" si="25"/>
        <v>-</v>
      </c>
      <c r="L214" s="144" t="str">
        <f t="shared" si="28"/>
        <v>-</v>
      </c>
      <c r="M214" s="145" t="str">
        <f t="shared" si="26"/>
        <v>-</v>
      </c>
      <c r="O214" s="145" t="str">
        <f t="shared" si="27"/>
        <v>-</v>
      </c>
    </row>
    <row r="215" spans="1:15">
      <c r="A215" s="34" t="s">
        <v>155</v>
      </c>
      <c r="B215" s="65">
        <v>368</v>
      </c>
      <c r="C215" s="109">
        <v>60</v>
      </c>
      <c r="D215" s="118">
        <v>0.17</v>
      </c>
      <c r="E215" s="113">
        <v>8.5500000000000007</v>
      </c>
      <c r="F215" s="92"/>
      <c r="G215" s="88">
        <f t="shared" si="29"/>
        <v>0</v>
      </c>
      <c r="J215" s="143" t="str">
        <f t="shared" si="24"/>
        <v>-</v>
      </c>
      <c r="K215" s="143" t="str">
        <f t="shared" si="25"/>
        <v>-</v>
      </c>
      <c r="L215" s="144" t="str">
        <f t="shared" si="28"/>
        <v>-</v>
      </c>
      <c r="M215" s="145" t="str">
        <f t="shared" si="26"/>
        <v>-</v>
      </c>
      <c r="O215" s="145" t="str">
        <f t="shared" si="27"/>
        <v>-</v>
      </c>
    </row>
    <row r="216" spans="1:15">
      <c r="A216" s="39"/>
      <c r="B216" s="65">
        <v>369</v>
      </c>
      <c r="C216" s="109">
        <v>120</v>
      </c>
      <c r="D216" s="118">
        <v>0.28999999999999998</v>
      </c>
      <c r="E216" s="113">
        <v>15.51</v>
      </c>
      <c r="F216" s="95"/>
      <c r="G216" s="88">
        <f t="shared" si="29"/>
        <v>0</v>
      </c>
      <c r="J216" s="143" t="str">
        <f t="shared" si="24"/>
        <v>-</v>
      </c>
      <c r="K216" s="143" t="str">
        <f t="shared" si="25"/>
        <v>-</v>
      </c>
      <c r="L216" s="144" t="str">
        <f t="shared" si="28"/>
        <v>-</v>
      </c>
      <c r="M216" s="145" t="str">
        <f t="shared" si="26"/>
        <v>-</v>
      </c>
      <c r="O216" s="145" t="str">
        <f t="shared" si="27"/>
        <v>-</v>
      </c>
    </row>
    <row r="217" spans="1:15">
      <c r="A217" s="34" t="s">
        <v>156</v>
      </c>
      <c r="B217" s="65">
        <v>321</v>
      </c>
      <c r="C217" s="109">
        <v>100</v>
      </c>
      <c r="D217" s="118">
        <v>0.23</v>
      </c>
      <c r="E217" s="113">
        <v>8.91</v>
      </c>
      <c r="F217" s="92"/>
      <c r="G217" s="88">
        <f t="shared" si="29"/>
        <v>0</v>
      </c>
      <c r="J217" s="143" t="str">
        <f t="shared" si="24"/>
        <v>-</v>
      </c>
      <c r="K217" s="143" t="str">
        <f t="shared" si="25"/>
        <v>-</v>
      </c>
      <c r="L217" s="144" t="str">
        <f t="shared" si="28"/>
        <v>-</v>
      </c>
      <c r="M217" s="145" t="str">
        <f t="shared" si="26"/>
        <v>-</v>
      </c>
      <c r="O217" s="145" t="str">
        <f t="shared" si="27"/>
        <v>-</v>
      </c>
    </row>
    <row r="218" spans="1:15">
      <c r="A218" s="39"/>
      <c r="B218" s="65">
        <v>323</v>
      </c>
      <c r="C218" s="109">
        <v>250</v>
      </c>
      <c r="D218" s="118">
        <v>0.4</v>
      </c>
      <c r="E218" s="113">
        <v>19.77</v>
      </c>
      <c r="F218" s="95"/>
      <c r="G218" s="88">
        <f t="shared" si="29"/>
        <v>0</v>
      </c>
      <c r="J218" s="143" t="str">
        <f t="shared" si="24"/>
        <v>-</v>
      </c>
      <c r="K218" s="143" t="str">
        <f t="shared" si="25"/>
        <v>-</v>
      </c>
      <c r="L218" s="144" t="str">
        <f t="shared" si="28"/>
        <v>-</v>
      </c>
      <c r="M218" s="145" t="str">
        <f t="shared" si="26"/>
        <v>-</v>
      </c>
      <c r="O218" s="145" t="str">
        <f t="shared" si="27"/>
        <v>-</v>
      </c>
    </row>
    <row r="219" spans="1:15">
      <c r="A219" s="34" t="s">
        <v>157</v>
      </c>
      <c r="B219" s="65">
        <v>316</v>
      </c>
      <c r="C219" s="109">
        <v>90</v>
      </c>
      <c r="D219" s="118">
        <v>0.17</v>
      </c>
      <c r="E219" s="113">
        <v>17.79</v>
      </c>
      <c r="F219" s="92"/>
      <c r="G219" s="88">
        <f t="shared" si="29"/>
        <v>0</v>
      </c>
      <c r="J219" s="143" t="str">
        <f t="shared" si="24"/>
        <v>-</v>
      </c>
      <c r="K219" s="143" t="str">
        <f t="shared" si="25"/>
        <v>-</v>
      </c>
      <c r="L219" s="144" t="str">
        <f t="shared" si="28"/>
        <v>-</v>
      </c>
      <c r="M219" s="145" t="str">
        <f t="shared" si="26"/>
        <v>-</v>
      </c>
      <c r="O219" s="145" t="str">
        <f t="shared" si="27"/>
        <v>-</v>
      </c>
    </row>
    <row r="220" spans="1:15">
      <c r="A220" s="45" t="s">
        <v>158</v>
      </c>
      <c r="B220" s="77"/>
      <c r="C220" s="9"/>
      <c r="D220" s="128"/>
      <c r="E220" s="27"/>
      <c r="F220" s="98"/>
      <c r="G220" s="54"/>
      <c r="J220" s="143" t="str">
        <f t="shared" si="24"/>
        <v>-</v>
      </c>
      <c r="K220" s="143" t="str">
        <f t="shared" si="25"/>
        <v>-</v>
      </c>
      <c r="L220" s="144" t="str">
        <f t="shared" si="28"/>
        <v>-</v>
      </c>
      <c r="M220" s="145" t="str">
        <f t="shared" si="26"/>
        <v>-</v>
      </c>
      <c r="O220" s="145" t="str">
        <f t="shared" si="27"/>
        <v>-</v>
      </c>
    </row>
    <row r="221" spans="1:15">
      <c r="A221" s="34" t="s">
        <v>159</v>
      </c>
      <c r="B221" s="65">
        <v>360</v>
      </c>
      <c r="C221" s="109">
        <v>90</v>
      </c>
      <c r="D221" s="118">
        <v>0</v>
      </c>
      <c r="E221" s="113">
        <v>7.23</v>
      </c>
      <c r="F221" s="92"/>
      <c r="G221" s="88">
        <f>F221*E221</f>
        <v>0</v>
      </c>
      <c r="J221" s="143" t="str">
        <f t="shared" si="24"/>
        <v>-</v>
      </c>
      <c r="K221" s="143" t="str">
        <f t="shared" si="25"/>
        <v>-</v>
      </c>
      <c r="L221" s="144" t="str">
        <f t="shared" si="28"/>
        <v>-</v>
      </c>
      <c r="M221" s="145" t="str">
        <f t="shared" si="26"/>
        <v>-</v>
      </c>
      <c r="O221" s="145" t="str">
        <f t="shared" si="27"/>
        <v>-</v>
      </c>
    </row>
    <row r="222" spans="1:15">
      <c r="A222" s="34" t="s">
        <v>160</v>
      </c>
      <c r="B222" s="65">
        <v>362</v>
      </c>
      <c r="C222" s="109">
        <v>90</v>
      </c>
      <c r="D222" s="118">
        <v>0.16</v>
      </c>
      <c r="E222" s="113">
        <v>8.91</v>
      </c>
      <c r="F222" s="92"/>
      <c r="G222" s="88">
        <f>F222*E222</f>
        <v>0</v>
      </c>
      <c r="J222" s="143" t="str">
        <f t="shared" si="24"/>
        <v>-</v>
      </c>
      <c r="K222" s="143" t="str">
        <f t="shared" si="25"/>
        <v>-</v>
      </c>
      <c r="L222" s="144" t="str">
        <f t="shared" si="28"/>
        <v>-</v>
      </c>
      <c r="M222" s="145" t="str">
        <f t="shared" si="26"/>
        <v>-</v>
      </c>
      <c r="O222" s="145" t="str">
        <f t="shared" si="27"/>
        <v>-</v>
      </c>
    </row>
    <row r="223" spans="1:15">
      <c r="A223" s="34" t="s">
        <v>161</v>
      </c>
      <c r="B223" s="65">
        <v>364</v>
      </c>
      <c r="C223" s="109">
        <v>90</v>
      </c>
      <c r="D223" s="118">
        <v>0.23</v>
      </c>
      <c r="E223" s="113">
        <v>11.85</v>
      </c>
      <c r="F223" s="92"/>
      <c r="G223" s="88">
        <f>F223*E223</f>
        <v>0</v>
      </c>
      <c r="J223" s="143" t="str">
        <f t="shared" si="24"/>
        <v>-</v>
      </c>
      <c r="K223" s="143" t="str">
        <f t="shared" si="25"/>
        <v>-</v>
      </c>
      <c r="L223" s="144" t="str">
        <f t="shared" si="28"/>
        <v>-</v>
      </c>
      <c r="M223" s="145" t="str">
        <f t="shared" si="26"/>
        <v>-</v>
      </c>
      <c r="O223" s="145" t="str">
        <f t="shared" si="27"/>
        <v>-</v>
      </c>
    </row>
    <row r="224" spans="1:15">
      <c r="A224" s="34" t="s">
        <v>162</v>
      </c>
      <c r="B224" s="65">
        <v>366</v>
      </c>
      <c r="C224" s="109">
        <v>90</v>
      </c>
      <c r="D224" s="118">
        <v>0.23</v>
      </c>
      <c r="E224" s="113">
        <v>15.15</v>
      </c>
      <c r="F224" s="92"/>
      <c r="G224" s="88">
        <f>F224*E224</f>
        <v>0</v>
      </c>
      <c r="J224" s="143" t="str">
        <f t="shared" si="24"/>
        <v>-</v>
      </c>
      <c r="K224" s="143" t="str">
        <f t="shared" si="25"/>
        <v>-</v>
      </c>
      <c r="L224" s="144" t="str">
        <f t="shared" si="28"/>
        <v>-</v>
      </c>
      <c r="M224" s="145" t="str">
        <f t="shared" si="26"/>
        <v>-</v>
      </c>
      <c r="O224" s="145" t="str">
        <f t="shared" si="27"/>
        <v>-</v>
      </c>
    </row>
    <row r="225" spans="1:15">
      <c r="A225" s="52" t="s">
        <v>163</v>
      </c>
      <c r="B225" s="76"/>
      <c r="C225" s="8"/>
      <c r="D225" s="127">
        <v>0.16</v>
      </c>
      <c r="E225" s="26"/>
      <c r="F225" s="102"/>
      <c r="G225" s="53"/>
      <c r="J225" s="143" t="str">
        <f t="shared" si="24"/>
        <v>-</v>
      </c>
      <c r="K225" s="143" t="str">
        <f t="shared" si="25"/>
        <v>-</v>
      </c>
      <c r="L225" s="144" t="str">
        <f t="shared" si="28"/>
        <v>-</v>
      </c>
      <c r="M225" s="145" t="str">
        <f t="shared" si="26"/>
        <v>-</v>
      </c>
      <c r="O225" s="145" t="str">
        <f t="shared" si="27"/>
        <v>-</v>
      </c>
    </row>
    <row r="226" spans="1:15">
      <c r="A226" s="34" t="s">
        <v>164</v>
      </c>
      <c r="B226" s="65">
        <v>372</v>
      </c>
      <c r="C226" s="108" t="s">
        <v>165</v>
      </c>
      <c r="D226" s="118">
        <v>0</v>
      </c>
      <c r="E226" s="113">
        <v>11.19</v>
      </c>
      <c r="F226" s="92"/>
      <c r="G226" s="88">
        <f>F226*E226</f>
        <v>0</v>
      </c>
      <c r="J226" s="143" t="str">
        <f t="shared" si="24"/>
        <v>-</v>
      </c>
      <c r="K226" s="143" t="str">
        <f t="shared" si="25"/>
        <v>-</v>
      </c>
      <c r="L226" s="144" t="str">
        <f t="shared" si="28"/>
        <v>-</v>
      </c>
      <c r="M226" s="145" t="str">
        <f t="shared" si="26"/>
        <v>-</v>
      </c>
      <c r="O226" s="145" t="str">
        <f t="shared" si="27"/>
        <v>-</v>
      </c>
    </row>
    <row r="227" spans="1:15" ht="24">
      <c r="A227" s="34" t="s">
        <v>166</v>
      </c>
      <c r="B227" s="65">
        <v>374</v>
      </c>
      <c r="C227" s="108" t="s">
        <v>165</v>
      </c>
      <c r="D227" s="118">
        <v>0.09</v>
      </c>
      <c r="E227" s="113">
        <v>13.17</v>
      </c>
      <c r="F227" s="92"/>
      <c r="G227" s="88">
        <f>F227*E227</f>
        <v>0</v>
      </c>
      <c r="J227" s="143" t="str">
        <f t="shared" si="24"/>
        <v>-</v>
      </c>
      <c r="K227" s="143" t="str">
        <f t="shared" si="25"/>
        <v>-</v>
      </c>
      <c r="L227" s="144" t="str">
        <f t="shared" si="28"/>
        <v>-</v>
      </c>
      <c r="M227" s="145" t="str">
        <f t="shared" si="26"/>
        <v>-</v>
      </c>
      <c r="O227" s="145" t="str">
        <f t="shared" si="27"/>
        <v>-</v>
      </c>
    </row>
    <row r="228" spans="1:15" ht="24">
      <c r="A228" s="34" t="s">
        <v>167</v>
      </c>
      <c r="B228" s="65">
        <v>376</v>
      </c>
      <c r="C228" s="108" t="s">
        <v>165</v>
      </c>
      <c r="D228" s="118">
        <v>0.09</v>
      </c>
      <c r="E228" s="113">
        <v>16.47</v>
      </c>
      <c r="F228" s="92"/>
      <c r="G228" s="88">
        <f>F228*E228</f>
        <v>0</v>
      </c>
      <c r="J228" s="143" t="str">
        <f t="shared" si="24"/>
        <v>-</v>
      </c>
      <c r="K228" s="143" t="str">
        <f t="shared" si="25"/>
        <v>-</v>
      </c>
      <c r="L228" s="144" t="str">
        <f t="shared" si="28"/>
        <v>-</v>
      </c>
      <c r="M228" s="145" t="str">
        <f t="shared" si="26"/>
        <v>-</v>
      </c>
      <c r="O228" s="145" t="str">
        <f t="shared" si="27"/>
        <v>-</v>
      </c>
    </row>
    <row r="229" spans="1:15" ht="24">
      <c r="A229" s="34" t="s">
        <v>168</v>
      </c>
      <c r="B229" s="65">
        <v>378</v>
      </c>
      <c r="C229" s="108" t="s">
        <v>165</v>
      </c>
      <c r="D229" s="118">
        <v>0.09</v>
      </c>
      <c r="E229" s="113">
        <v>20.13</v>
      </c>
      <c r="F229" s="92"/>
      <c r="G229" s="88">
        <f>F229*E229</f>
        <v>0</v>
      </c>
      <c r="J229" s="143" t="str">
        <f t="shared" si="24"/>
        <v>-</v>
      </c>
      <c r="K229" s="143" t="str">
        <f t="shared" si="25"/>
        <v>-</v>
      </c>
      <c r="L229" s="144" t="str">
        <f t="shared" si="28"/>
        <v>-</v>
      </c>
      <c r="M229" s="145" t="str">
        <f t="shared" si="26"/>
        <v>-</v>
      </c>
      <c r="O229" s="145" t="str">
        <f t="shared" si="27"/>
        <v>-</v>
      </c>
    </row>
    <row r="230" spans="1:15">
      <c r="A230" s="37" t="s">
        <v>169</v>
      </c>
      <c r="B230" s="67"/>
      <c r="C230" s="3"/>
      <c r="D230" s="120">
        <v>0.12</v>
      </c>
      <c r="E230" s="19"/>
      <c r="F230" s="94"/>
      <c r="G230" s="38"/>
      <c r="J230" s="143" t="str">
        <f t="shared" si="24"/>
        <v>-</v>
      </c>
      <c r="K230" s="143" t="str">
        <f t="shared" si="25"/>
        <v>-</v>
      </c>
      <c r="L230" s="144" t="str">
        <f t="shared" si="28"/>
        <v>-</v>
      </c>
      <c r="M230" s="145" t="str">
        <f t="shared" si="26"/>
        <v>-</v>
      </c>
      <c r="O230" s="145" t="str">
        <f t="shared" si="27"/>
        <v>-</v>
      </c>
    </row>
    <row r="231" spans="1:15">
      <c r="A231" s="52" t="s">
        <v>145</v>
      </c>
      <c r="B231" s="76"/>
      <c r="C231" s="8"/>
      <c r="D231" s="127"/>
      <c r="E231" s="26"/>
      <c r="F231" s="102"/>
      <c r="G231" s="53"/>
      <c r="J231" s="143" t="str">
        <f t="shared" si="24"/>
        <v>-</v>
      </c>
      <c r="K231" s="143" t="str">
        <f t="shared" si="25"/>
        <v>-</v>
      </c>
      <c r="L231" s="144" t="str">
        <f t="shared" si="28"/>
        <v>-</v>
      </c>
      <c r="M231" s="145" t="str">
        <f t="shared" si="26"/>
        <v>-</v>
      </c>
      <c r="O231" s="145" t="str">
        <f t="shared" si="27"/>
        <v>-</v>
      </c>
    </row>
    <row r="232" spans="1:15">
      <c r="A232" s="34" t="s">
        <v>170</v>
      </c>
      <c r="B232" s="65">
        <v>410</v>
      </c>
      <c r="C232" s="109">
        <v>50</v>
      </c>
      <c r="D232" s="118">
        <v>0</v>
      </c>
      <c r="E232" s="113">
        <v>8.25</v>
      </c>
      <c r="F232" s="95"/>
      <c r="G232" s="88">
        <f t="shared" ref="G232:G261" si="30">F232*E232</f>
        <v>0</v>
      </c>
      <c r="J232" s="143" t="str">
        <f t="shared" si="24"/>
        <v>-</v>
      </c>
      <c r="K232" s="143" t="str">
        <f t="shared" si="25"/>
        <v>-</v>
      </c>
      <c r="L232" s="144" t="str">
        <f t="shared" si="28"/>
        <v>-</v>
      </c>
      <c r="M232" s="145" t="str">
        <f t="shared" si="26"/>
        <v>-</v>
      </c>
      <c r="O232" s="145" t="str">
        <f t="shared" si="27"/>
        <v>-</v>
      </c>
    </row>
    <row r="233" spans="1:15">
      <c r="A233" s="55"/>
      <c r="B233" s="65">
        <v>412</v>
      </c>
      <c r="C233" s="109">
        <v>100</v>
      </c>
      <c r="D233" s="118">
        <v>0.24</v>
      </c>
      <c r="E233" s="113">
        <v>12.87</v>
      </c>
      <c r="F233" s="95"/>
      <c r="G233" s="88">
        <f t="shared" si="30"/>
        <v>0</v>
      </c>
      <c r="J233" s="143" t="str">
        <f t="shared" si="24"/>
        <v>-</v>
      </c>
      <c r="K233" s="143" t="str">
        <f t="shared" si="25"/>
        <v>-</v>
      </c>
      <c r="L233" s="144" t="str">
        <f t="shared" si="28"/>
        <v>-</v>
      </c>
      <c r="M233" s="145" t="str">
        <f t="shared" si="26"/>
        <v>-</v>
      </c>
      <c r="O233" s="145" t="str">
        <f t="shared" si="27"/>
        <v>-</v>
      </c>
    </row>
    <row r="234" spans="1:15" ht="24">
      <c r="A234" s="34" t="s">
        <v>171</v>
      </c>
      <c r="B234" s="65">
        <v>414</v>
      </c>
      <c r="C234" s="109">
        <v>50</v>
      </c>
      <c r="D234" s="118">
        <v>0.16</v>
      </c>
      <c r="E234" s="113">
        <v>12.51</v>
      </c>
      <c r="F234" s="95"/>
      <c r="G234" s="88">
        <f t="shared" si="30"/>
        <v>0</v>
      </c>
      <c r="J234" s="143" t="str">
        <f t="shared" si="24"/>
        <v>-</v>
      </c>
      <c r="K234" s="143" t="str">
        <f t="shared" si="25"/>
        <v>-</v>
      </c>
      <c r="L234" s="144" t="str">
        <f t="shared" si="28"/>
        <v>-</v>
      </c>
      <c r="M234" s="145" t="str">
        <f t="shared" si="26"/>
        <v>-</v>
      </c>
      <c r="O234" s="145" t="str">
        <f t="shared" si="27"/>
        <v>-</v>
      </c>
    </row>
    <row r="235" spans="1:15">
      <c r="A235" s="39"/>
      <c r="B235" s="65">
        <v>415</v>
      </c>
      <c r="C235" s="109">
        <v>100</v>
      </c>
      <c r="D235" s="118">
        <v>0</v>
      </c>
      <c r="E235" s="113">
        <v>22.41</v>
      </c>
      <c r="F235" s="95"/>
      <c r="G235" s="88">
        <f t="shared" si="30"/>
        <v>0</v>
      </c>
      <c r="J235" s="143" t="str">
        <f t="shared" si="24"/>
        <v>-</v>
      </c>
      <c r="K235" s="143" t="str">
        <f t="shared" si="25"/>
        <v>-</v>
      </c>
      <c r="L235" s="144" t="str">
        <f t="shared" si="28"/>
        <v>-</v>
      </c>
      <c r="M235" s="145" t="str">
        <f t="shared" si="26"/>
        <v>-</v>
      </c>
      <c r="O235" s="145" t="str">
        <f t="shared" si="27"/>
        <v>-</v>
      </c>
    </row>
    <row r="236" spans="1:15">
      <c r="A236" s="34" t="s">
        <v>172</v>
      </c>
      <c r="B236" s="65">
        <v>416</v>
      </c>
      <c r="C236" s="109">
        <v>50</v>
      </c>
      <c r="D236" s="118">
        <v>0.18</v>
      </c>
      <c r="E236" s="113">
        <v>12.21</v>
      </c>
      <c r="F236" s="95"/>
      <c r="G236" s="88">
        <f t="shared" si="30"/>
        <v>0</v>
      </c>
      <c r="J236" s="143" t="str">
        <f t="shared" si="24"/>
        <v>-</v>
      </c>
      <c r="K236" s="143" t="str">
        <f t="shared" si="25"/>
        <v>-</v>
      </c>
      <c r="L236" s="144" t="str">
        <f t="shared" si="28"/>
        <v>-</v>
      </c>
      <c r="M236" s="145" t="str">
        <f t="shared" si="26"/>
        <v>-</v>
      </c>
      <c r="O236" s="145" t="str">
        <f t="shared" si="27"/>
        <v>-</v>
      </c>
    </row>
    <row r="237" spans="1:15">
      <c r="A237" s="55"/>
      <c r="B237" s="65">
        <v>418</v>
      </c>
      <c r="C237" s="109">
        <v>100</v>
      </c>
      <c r="D237" s="118">
        <v>0.28999999999999998</v>
      </c>
      <c r="E237" s="113">
        <v>21.45</v>
      </c>
      <c r="F237" s="95"/>
      <c r="G237" s="88">
        <f t="shared" si="30"/>
        <v>0</v>
      </c>
      <c r="J237" s="143" t="str">
        <f t="shared" si="24"/>
        <v>-</v>
      </c>
      <c r="K237" s="143" t="str">
        <f t="shared" si="25"/>
        <v>-</v>
      </c>
      <c r="L237" s="144" t="str">
        <f t="shared" si="28"/>
        <v>-</v>
      </c>
      <c r="M237" s="145" t="str">
        <f t="shared" si="26"/>
        <v>-</v>
      </c>
      <c r="O237" s="145" t="str">
        <f t="shared" si="27"/>
        <v>-</v>
      </c>
    </row>
    <row r="238" spans="1:15">
      <c r="A238" s="34" t="s">
        <v>173</v>
      </c>
      <c r="B238" s="65">
        <v>422</v>
      </c>
      <c r="C238" s="109">
        <v>50</v>
      </c>
      <c r="D238" s="118">
        <v>0.2</v>
      </c>
      <c r="E238" s="113">
        <v>12.21</v>
      </c>
      <c r="F238" s="92"/>
      <c r="G238" s="88">
        <f t="shared" si="30"/>
        <v>0</v>
      </c>
      <c r="J238" s="143" t="str">
        <f t="shared" si="24"/>
        <v>-</v>
      </c>
      <c r="K238" s="143" t="str">
        <f t="shared" si="25"/>
        <v>-</v>
      </c>
      <c r="L238" s="144" t="str">
        <f t="shared" si="28"/>
        <v>-</v>
      </c>
      <c r="M238" s="145" t="str">
        <f t="shared" si="26"/>
        <v>-</v>
      </c>
      <c r="O238" s="145" t="str">
        <f t="shared" si="27"/>
        <v>-</v>
      </c>
    </row>
    <row r="239" spans="1:15">
      <c r="A239" s="55"/>
      <c r="B239" s="65">
        <v>424</v>
      </c>
      <c r="C239" s="109">
        <v>100</v>
      </c>
      <c r="D239" s="118">
        <v>0.28999999999999998</v>
      </c>
      <c r="E239" s="113">
        <v>21.45</v>
      </c>
      <c r="F239" s="95"/>
      <c r="G239" s="88">
        <f t="shared" si="30"/>
        <v>0</v>
      </c>
      <c r="J239" s="143" t="str">
        <f t="shared" si="24"/>
        <v>-</v>
      </c>
      <c r="K239" s="143" t="str">
        <f t="shared" si="25"/>
        <v>-</v>
      </c>
      <c r="L239" s="144" t="str">
        <f t="shared" si="28"/>
        <v>-</v>
      </c>
      <c r="M239" s="145" t="str">
        <f t="shared" si="26"/>
        <v>-</v>
      </c>
      <c r="O239" s="145" t="str">
        <f t="shared" si="27"/>
        <v>-</v>
      </c>
    </row>
    <row r="240" spans="1:15">
      <c r="A240" s="34" t="s">
        <v>174</v>
      </c>
      <c r="B240" s="65">
        <v>425</v>
      </c>
      <c r="C240" s="109">
        <v>100</v>
      </c>
      <c r="D240" s="118">
        <v>0</v>
      </c>
      <c r="E240" s="113">
        <v>10.23</v>
      </c>
      <c r="F240" s="92"/>
      <c r="G240" s="88">
        <f t="shared" si="30"/>
        <v>0</v>
      </c>
      <c r="J240" s="143" t="str">
        <f t="shared" si="24"/>
        <v>-</v>
      </c>
      <c r="K240" s="143" t="str">
        <f t="shared" si="25"/>
        <v>-</v>
      </c>
      <c r="L240" s="144" t="str">
        <f t="shared" si="28"/>
        <v>-</v>
      </c>
      <c r="M240" s="145" t="str">
        <f t="shared" si="26"/>
        <v>-</v>
      </c>
      <c r="O240" s="145" t="str">
        <f t="shared" si="27"/>
        <v>-</v>
      </c>
    </row>
    <row r="241" spans="1:15">
      <c r="A241" s="34" t="s">
        <v>175</v>
      </c>
      <c r="B241" s="65">
        <v>426</v>
      </c>
      <c r="C241" s="109">
        <v>100</v>
      </c>
      <c r="D241" s="118">
        <v>0.16</v>
      </c>
      <c r="E241" s="113">
        <v>12.87</v>
      </c>
      <c r="F241" s="92"/>
      <c r="G241" s="88">
        <f t="shared" si="30"/>
        <v>0</v>
      </c>
      <c r="J241" s="143" t="str">
        <f t="shared" si="24"/>
        <v>-</v>
      </c>
      <c r="K241" s="143" t="str">
        <f t="shared" si="25"/>
        <v>-</v>
      </c>
      <c r="L241" s="144" t="str">
        <f t="shared" si="28"/>
        <v>-</v>
      </c>
      <c r="M241" s="145" t="str">
        <f t="shared" si="26"/>
        <v>-</v>
      </c>
      <c r="O241" s="145" t="str">
        <f t="shared" si="27"/>
        <v>-</v>
      </c>
    </row>
    <row r="242" spans="1:15">
      <c r="A242" s="34" t="s">
        <v>176</v>
      </c>
      <c r="B242" s="65">
        <v>428</v>
      </c>
      <c r="C242" s="109">
        <v>90</v>
      </c>
      <c r="D242" s="118">
        <v>0</v>
      </c>
      <c r="E242" s="113">
        <v>8.5500000000000007</v>
      </c>
      <c r="F242" s="92"/>
      <c r="G242" s="88">
        <f t="shared" si="30"/>
        <v>0</v>
      </c>
      <c r="J242" s="143" t="str">
        <f t="shared" si="24"/>
        <v>-</v>
      </c>
      <c r="K242" s="143" t="str">
        <f t="shared" si="25"/>
        <v>-</v>
      </c>
      <c r="L242" s="144" t="str">
        <f t="shared" si="28"/>
        <v>-</v>
      </c>
      <c r="M242" s="145" t="str">
        <f t="shared" si="26"/>
        <v>-</v>
      </c>
      <c r="O242" s="145" t="str">
        <f t="shared" si="27"/>
        <v>-</v>
      </c>
    </row>
    <row r="243" spans="1:15">
      <c r="A243" s="34" t="s">
        <v>177</v>
      </c>
      <c r="B243" s="65">
        <v>429</v>
      </c>
      <c r="C243" s="109">
        <v>90</v>
      </c>
      <c r="D243" s="118">
        <v>0.16</v>
      </c>
      <c r="E243" s="113">
        <v>18.149999999999999</v>
      </c>
      <c r="F243" s="92"/>
      <c r="G243" s="88">
        <f t="shared" si="30"/>
        <v>0</v>
      </c>
      <c r="J243" s="143" t="str">
        <f t="shared" si="24"/>
        <v>-</v>
      </c>
      <c r="K243" s="143" t="str">
        <f t="shared" si="25"/>
        <v>-</v>
      </c>
      <c r="L243" s="144" t="str">
        <f t="shared" si="28"/>
        <v>-</v>
      </c>
      <c r="M243" s="145" t="str">
        <f t="shared" si="26"/>
        <v>-</v>
      </c>
      <c r="O243" s="145" t="str">
        <f t="shared" si="27"/>
        <v>-</v>
      </c>
    </row>
    <row r="244" spans="1:15">
      <c r="A244" s="34" t="s">
        <v>178</v>
      </c>
      <c r="B244" s="65">
        <v>430</v>
      </c>
      <c r="C244" s="109">
        <v>90</v>
      </c>
      <c r="D244" s="118">
        <v>0</v>
      </c>
      <c r="E244" s="113">
        <v>9.57</v>
      </c>
      <c r="F244" s="92"/>
      <c r="G244" s="88">
        <f t="shared" si="30"/>
        <v>0</v>
      </c>
      <c r="J244" s="143" t="str">
        <f t="shared" si="24"/>
        <v>-</v>
      </c>
      <c r="K244" s="143" t="str">
        <f t="shared" si="25"/>
        <v>-</v>
      </c>
      <c r="L244" s="144" t="str">
        <f t="shared" si="28"/>
        <v>-</v>
      </c>
      <c r="M244" s="145" t="str">
        <f t="shared" si="26"/>
        <v>-</v>
      </c>
      <c r="O244" s="145" t="str">
        <f t="shared" si="27"/>
        <v>-</v>
      </c>
    </row>
    <row r="245" spans="1:15">
      <c r="A245" s="34" t="s">
        <v>179</v>
      </c>
      <c r="B245" s="65">
        <v>432</v>
      </c>
      <c r="C245" s="109">
        <v>90</v>
      </c>
      <c r="D245" s="118">
        <v>0.16</v>
      </c>
      <c r="E245" s="113">
        <v>11.85</v>
      </c>
      <c r="F245" s="92"/>
      <c r="G245" s="88">
        <f t="shared" si="30"/>
        <v>0</v>
      </c>
      <c r="J245" s="143" t="str">
        <f t="shared" si="24"/>
        <v>-</v>
      </c>
      <c r="K245" s="143" t="str">
        <f t="shared" si="25"/>
        <v>-</v>
      </c>
      <c r="L245" s="144" t="str">
        <f t="shared" si="28"/>
        <v>-</v>
      </c>
      <c r="M245" s="145" t="str">
        <f t="shared" si="26"/>
        <v>-</v>
      </c>
      <c r="O245" s="145" t="str">
        <f t="shared" si="27"/>
        <v>-</v>
      </c>
    </row>
    <row r="246" spans="1:15">
      <c r="A246" s="34" t="s">
        <v>180</v>
      </c>
      <c r="B246" s="65">
        <v>446</v>
      </c>
      <c r="C246" s="109">
        <v>90</v>
      </c>
      <c r="D246" s="118">
        <v>0</v>
      </c>
      <c r="E246" s="113">
        <v>9.57</v>
      </c>
      <c r="F246" s="92"/>
      <c r="G246" s="88">
        <f t="shared" si="30"/>
        <v>0</v>
      </c>
      <c r="J246" s="143" t="str">
        <f t="shared" si="24"/>
        <v>-</v>
      </c>
      <c r="K246" s="143" t="str">
        <f t="shared" si="25"/>
        <v>-</v>
      </c>
      <c r="L246" s="144" t="str">
        <f t="shared" si="28"/>
        <v>-</v>
      </c>
      <c r="M246" s="145" t="str">
        <f t="shared" si="26"/>
        <v>-</v>
      </c>
      <c r="O246" s="145" t="str">
        <f t="shared" si="27"/>
        <v>-</v>
      </c>
    </row>
    <row r="247" spans="1:15">
      <c r="A247" s="34" t="s">
        <v>181</v>
      </c>
      <c r="B247" s="65">
        <v>447</v>
      </c>
      <c r="C247" s="109">
        <v>60</v>
      </c>
      <c r="D247" s="118">
        <v>0.14000000000000001</v>
      </c>
      <c r="E247" s="113">
        <v>8.5500000000000007</v>
      </c>
      <c r="F247" s="92"/>
      <c r="G247" s="88">
        <f t="shared" si="30"/>
        <v>0</v>
      </c>
      <c r="J247" s="143" t="str">
        <f t="shared" si="24"/>
        <v>-</v>
      </c>
      <c r="K247" s="143" t="str">
        <f t="shared" si="25"/>
        <v>-</v>
      </c>
      <c r="L247" s="144" t="str">
        <f t="shared" si="28"/>
        <v>-</v>
      </c>
      <c r="M247" s="145" t="str">
        <f t="shared" si="26"/>
        <v>-</v>
      </c>
      <c r="O247" s="145" t="str">
        <f t="shared" si="27"/>
        <v>-</v>
      </c>
    </row>
    <row r="248" spans="1:15">
      <c r="A248" s="55"/>
      <c r="B248" s="65">
        <v>448</v>
      </c>
      <c r="C248" s="109">
        <v>120</v>
      </c>
      <c r="D248" s="118">
        <v>0.2</v>
      </c>
      <c r="E248" s="113">
        <v>15.15</v>
      </c>
      <c r="F248" s="95"/>
      <c r="G248" s="88">
        <f t="shared" si="30"/>
        <v>0</v>
      </c>
      <c r="J248" s="143" t="str">
        <f t="shared" si="24"/>
        <v>-</v>
      </c>
      <c r="K248" s="143" t="str">
        <f t="shared" si="25"/>
        <v>-</v>
      </c>
      <c r="L248" s="144" t="str">
        <f t="shared" si="28"/>
        <v>-</v>
      </c>
      <c r="M248" s="145" t="str">
        <f t="shared" si="26"/>
        <v>-</v>
      </c>
      <c r="O248" s="145" t="str">
        <f t="shared" si="27"/>
        <v>-</v>
      </c>
    </row>
    <row r="249" spans="1:15">
      <c r="A249" s="34" t="s">
        <v>182</v>
      </c>
      <c r="B249" s="65">
        <v>449</v>
      </c>
      <c r="C249" s="109">
        <v>90</v>
      </c>
      <c r="D249" s="118">
        <v>0</v>
      </c>
      <c r="E249" s="113">
        <v>7.89</v>
      </c>
      <c r="F249" s="92"/>
      <c r="G249" s="88">
        <f t="shared" si="30"/>
        <v>0</v>
      </c>
      <c r="J249" s="143" t="str">
        <f t="shared" si="24"/>
        <v>-</v>
      </c>
      <c r="K249" s="143" t="str">
        <f t="shared" si="25"/>
        <v>-</v>
      </c>
      <c r="L249" s="144" t="str">
        <f t="shared" si="28"/>
        <v>-</v>
      </c>
      <c r="M249" s="145" t="str">
        <f t="shared" si="26"/>
        <v>-</v>
      </c>
      <c r="O249" s="145" t="str">
        <f t="shared" si="27"/>
        <v>-</v>
      </c>
    </row>
    <row r="250" spans="1:15">
      <c r="A250" s="34" t="s">
        <v>183</v>
      </c>
      <c r="B250" s="65">
        <v>450</v>
      </c>
      <c r="C250" s="109">
        <v>90</v>
      </c>
      <c r="D250" s="118">
        <v>0</v>
      </c>
      <c r="E250" s="113">
        <v>8.5500000000000007</v>
      </c>
      <c r="F250" s="92"/>
      <c r="G250" s="88">
        <f t="shared" si="30"/>
        <v>0</v>
      </c>
      <c r="J250" s="143" t="str">
        <f t="shared" si="24"/>
        <v>-</v>
      </c>
      <c r="K250" s="143" t="str">
        <f t="shared" si="25"/>
        <v>-</v>
      </c>
      <c r="L250" s="144" t="str">
        <f t="shared" si="28"/>
        <v>-</v>
      </c>
      <c r="M250" s="145" t="str">
        <f t="shared" si="26"/>
        <v>-</v>
      </c>
      <c r="O250" s="145" t="str">
        <f t="shared" si="27"/>
        <v>-</v>
      </c>
    </row>
    <row r="251" spans="1:15">
      <c r="A251" s="55"/>
      <c r="B251" s="65">
        <v>451</v>
      </c>
      <c r="C251" s="109">
        <v>180</v>
      </c>
      <c r="D251" s="118">
        <v>0</v>
      </c>
      <c r="E251" s="113">
        <v>15.15</v>
      </c>
      <c r="F251" s="95"/>
      <c r="G251" s="88">
        <f t="shared" si="30"/>
        <v>0</v>
      </c>
      <c r="J251" s="143" t="str">
        <f t="shared" si="24"/>
        <v>-</v>
      </c>
      <c r="K251" s="143" t="str">
        <f t="shared" si="25"/>
        <v>-</v>
      </c>
      <c r="L251" s="144" t="str">
        <f t="shared" si="28"/>
        <v>-</v>
      </c>
      <c r="M251" s="145" t="str">
        <f t="shared" si="26"/>
        <v>-</v>
      </c>
      <c r="O251" s="145" t="str">
        <f t="shared" si="27"/>
        <v>-</v>
      </c>
    </row>
    <row r="252" spans="1:15">
      <c r="A252" s="34" t="s">
        <v>184</v>
      </c>
      <c r="B252" s="65">
        <v>456</v>
      </c>
      <c r="C252" s="109">
        <v>60</v>
      </c>
      <c r="D252" s="118">
        <v>0</v>
      </c>
      <c r="E252" s="113">
        <v>7.23</v>
      </c>
      <c r="F252" s="92"/>
      <c r="G252" s="88">
        <f t="shared" si="30"/>
        <v>0</v>
      </c>
      <c r="J252" s="143" t="str">
        <f t="shared" si="24"/>
        <v>-</v>
      </c>
      <c r="K252" s="143" t="str">
        <f t="shared" si="25"/>
        <v>-</v>
      </c>
      <c r="L252" s="144" t="str">
        <f t="shared" si="28"/>
        <v>-</v>
      </c>
      <c r="M252" s="145" t="str">
        <f t="shared" si="26"/>
        <v>-</v>
      </c>
      <c r="O252" s="145" t="str">
        <f t="shared" si="27"/>
        <v>-</v>
      </c>
    </row>
    <row r="253" spans="1:15">
      <c r="A253" s="34" t="s">
        <v>185</v>
      </c>
      <c r="B253" s="65">
        <v>457</v>
      </c>
      <c r="C253" s="109">
        <v>60</v>
      </c>
      <c r="D253" s="118">
        <v>0</v>
      </c>
      <c r="E253" s="113">
        <v>9.8699999999999992</v>
      </c>
      <c r="F253" s="92"/>
      <c r="G253" s="88">
        <f t="shared" si="30"/>
        <v>0</v>
      </c>
      <c r="J253" s="143" t="str">
        <f t="shared" si="24"/>
        <v>-</v>
      </c>
      <c r="K253" s="143" t="str">
        <f t="shared" si="25"/>
        <v>-</v>
      </c>
      <c r="L253" s="144" t="str">
        <f t="shared" si="28"/>
        <v>-</v>
      </c>
      <c r="M253" s="145" t="str">
        <f t="shared" si="26"/>
        <v>-</v>
      </c>
      <c r="O253" s="145" t="str">
        <f t="shared" si="27"/>
        <v>-</v>
      </c>
    </row>
    <row r="254" spans="1:15">
      <c r="A254" s="34" t="s">
        <v>186</v>
      </c>
      <c r="B254" s="65">
        <v>458</v>
      </c>
      <c r="C254" s="109">
        <v>60</v>
      </c>
      <c r="D254" s="118">
        <v>0</v>
      </c>
      <c r="E254" s="113">
        <v>12.51</v>
      </c>
      <c r="F254" s="92"/>
      <c r="G254" s="88">
        <f t="shared" si="30"/>
        <v>0</v>
      </c>
      <c r="J254" s="143" t="str">
        <f t="shared" si="24"/>
        <v>-</v>
      </c>
      <c r="K254" s="143" t="str">
        <f t="shared" si="25"/>
        <v>-</v>
      </c>
      <c r="L254" s="144" t="str">
        <f t="shared" si="28"/>
        <v>-</v>
      </c>
      <c r="M254" s="145" t="str">
        <f t="shared" si="26"/>
        <v>-</v>
      </c>
      <c r="O254" s="145" t="str">
        <f t="shared" si="27"/>
        <v>-</v>
      </c>
    </row>
    <row r="255" spans="1:15" ht="24">
      <c r="A255" s="34" t="s">
        <v>187</v>
      </c>
      <c r="B255" s="65">
        <v>459</v>
      </c>
      <c r="C255" s="109">
        <v>90</v>
      </c>
      <c r="D255" s="118">
        <v>0</v>
      </c>
      <c r="E255" s="113">
        <v>7.89</v>
      </c>
      <c r="F255" s="92"/>
      <c r="G255" s="88">
        <f t="shared" si="30"/>
        <v>0</v>
      </c>
      <c r="J255" s="143" t="str">
        <f t="shared" si="24"/>
        <v>-</v>
      </c>
      <c r="K255" s="143" t="str">
        <f t="shared" si="25"/>
        <v>-</v>
      </c>
      <c r="L255" s="144" t="str">
        <f t="shared" si="28"/>
        <v>-</v>
      </c>
      <c r="M255" s="145" t="str">
        <f t="shared" si="26"/>
        <v>-</v>
      </c>
      <c r="O255" s="145" t="str">
        <f t="shared" si="27"/>
        <v>-</v>
      </c>
    </row>
    <row r="256" spans="1:15">
      <c r="A256" s="34" t="s">
        <v>188</v>
      </c>
      <c r="B256" s="65">
        <v>462</v>
      </c>
      <c r="C256" s="109">
        <v>60</v>
      </c>
      <c r="D256" s="118">
        <v>0</v>
      </c>
      <c r="E256" s="113">
        <v>13.17</v>
      </c>
      <c r="F256" s="92"/>
      <c r="G256" s="88">
        <f t="shared" si="30"/>
        <v>0</v>
      </c>
      <c r="J256" s="143" t="str">
        <f t="shared" si="24"/>
        <v>-</v>
      </c>
      <c r="K256" s="143" t="str">
        <f t="shared" si="25"/>
        <v>-</v>
      </c>
      <c r="L256" s="144" t="str">
        <f t="shared" si="28"/>
        <v>-</v>
      </c>
      <c r="M256" s="145" t="str">
        <f t="shared" si="26"/>
        <v>-</v>
      </c>
      <c r="O256" s="145" t="str">
        <f t="shared" si="27"/>
        <v>-</v>
      </c>
    </row>
    <row r="257" spans="1:15">
      <c r="A257" s="55"/>
      <c r="B257" s="65">
        <v>464</v>
      </c>
      <c r="C257" s="109">
        <v>120</v>
      </c>
      <c r="D257" s="118">
        <v>0.34</v>
      </c>
      <c r="E257" s="113">
        <v>24.09</v>
      </c>
      <c r="F257" s="95"/>
      <c r="G257" s="88">
        <f t="shared" si="30"/>
        <v>0</v>
      </c>
      <c r="J257" s="143" t="str">
        <f t="shared" si="24"/>
        <v>-</v>
      </c>
      <c r="K257" s="143" t="str">
        <f t="shared" si="25"/>
        <v>-</v>
      </c>
      <c r="L257" s="144" t="str">
        <f t="shared" si="28"/>
        <v>-</v>
      </c>
      <c r="M257" s="145" t="str">
        <f t="shared" si="26"/>
        <v>-</v>
      </c>
      <c r="O257" s="145" t="str">
        <f t="shared" si="27"/>
        <v>-</v>
      </c>
    </row>
    <row r="258" spans="1:15">
      <c r="A258" s="34" t="s">
        <v>189</v>
      </c>
      <c r="B258" s="65">
        <v>466</v>
      </c>
      <c r="C258" s="109">
        <v>60</v>
      </c>
      <c r="D258" s="118">
        <v>0</v>
      </c>
      <c r="E258" s="113">
        <v>9.2100000000000009</v>
      </c>
      <c r="F258" s="92"/>
      <c r="G258" s="88">
        <f t="shared" si="30"/>
        <v>0</v>
      </c>
      <c r="J258" s="143" t="str">
        <f t="shared" si="24"/>
        <v>-</v>
      </c>
      <c r="K258" s="143" t="str">
        <f t="shared" si="25"/>
        <v>-</v>
      </c>
      <c r="L258" s="144" t="str">
        <f t="shared" si="28"/>
        <v>-</v>
      </c>
      <c r="M258" s="145" t="str">
        <f t="shared" si="26"/>
        <v>-</v>
      </c>
      <c r="O258" s="145" t="str">
        <f t="shared" si="27"/>
        <v>-</v>
      </c>
    </row>
    <row r="259" spans="1:15">
      <c r="A259" s="34" t="s">
        <v>190</v>
      </c>
      <c r="B259" s="65">
        <v>468</v>
      </c>
      <c r="C259" s="109">
        <v>60</v>
      </c>
      <c r="D259" s="118">
        <v>0</v>
      </c>
      <c r="E259" s="113">
        <v>7.89</v>
      </c>
      <c r="F259" s="92"/>
      <c r="G259" s="88">
        <f t="shared" si="30"/>
        <v>0</v>
      </c>
      <c r="J259" s="143" t="str">
        <f t="shared" ref="J259:J322" si="31">IFERROR(IF($J$2*D259=0, "-", $J$2*D259), "-")</f>
        <v>-</v>
      </c>
      <c r="K259" s="143" t="str">
        <f t="shared" ref="K259:K322" si="32">IF(F259&gt;0,E259+D259*F259/$L$2*$M$2/F259,"-")</f>
        <v>-</v>
      </c>
      <c r="L259" s="144" t="str">
        <f t="shared" si="28"/>
        <v>-</v>
      </c>
      <c r="M259" s="145" t="str">
        <f t="shared" ref="M259:M322" si="33">IFERROR(IF($J$2&gt;0, $J$2*L259, "-"), "-")</f>
        <v>-</v>
      </c>
      <c r="O259" s="145" t="str">
        <f t="shared" ref="O259:O322" si="34">IFERROR(IF(M259+G259=0, "-", IF(M259&gt;0, M259+G259, "-")), "-")</f>
        <v>-</v>
      </c>
    </row>
    <row r="260" spans="1:15">
      <c r="A260" s="34" t="s">
        <v>191</v>
      </c>
      <c r="B260" s="65">
        <v>470</v>
      </c>
      <c r="C260" s="109">
        <v>90</v>
      </c>
      <c r="D260" s="118">
        <v>0.25</v>
      </c>
      <c r="E260" s="113">
        <v>13.17</v>
      </c>
      <c r="F260" s="92"/>
      <c r="G260" s="88">
        <f t="shared" si="30"/>
        <v>0</v>
      </c>
      <c r="J260" s="143" t="str">
        <f t="shared" si="31"/>
        <v>-</v>
      </c>
      <c r="K260" s="143" t="str">
        <f t="shared" si="32"/>
        <v>-</v>
      </c>
      <c r="L260" s="144" t="str">
        <f t="shared" ref="L260:L323" si="35">IF(F260&gt;0,F260*D260*1.113, "-")</f>
        <v>-</v>
      </c>
      <c r="M260" s="145" t="str">
        <f t="shared" si="33"/>
        <v>-</v>
      </c>
      <c r="O260" s="145" t="str">
        <f t="shared" si="34"/>
        <v>-</v>
      </c>
    </row>
    <row r="261" spans="1:15">
      <c r="A261" s="55"/>
      <c r="B261" s="65">
        <v>472</v>
      </c>
      <c r="C261" s="109">
        <v>180</v>
      </c>
      <c r="D261" s="118">
        <v>0</v>
      </c>
      <c r="E261" s="113">
        <v>23.73</v>
      </c>
      <c r="F261" s="95"/>
      <c r="G261" s="88">
        <f t="shared" si="30"/>
        <v>0</v>
      </c>
      <c r="J261" s="143" t="str">
        <f t="shared" si="31"/>
        <v>-</v>
      </c>
      <c r="K261" s="143" t="str">
        <f t="shared" si="32"/>
        <v>-</v>
      </c>
      <c r="L261" s="144" t="str">
        <f t="shared" si="35"/>
        <v>-</v>
      </c>
      <c r="M261" s="145" t="str">
        <f t="shared" si="33"/>
        <v>-</v>
      </c>
      <c r="O261" s="145" t="str">
        <f t="shared" si="34"/>
        <v>-</v>
      </c>
    </row>
    <row r="262" spans="1:15">
      <c r="A262" s="45" t="s">
        <v>158</v>
      </c>
      <c r="B262" s="77"/>
      <c r="C262" s="9"/>
      <c r="D262" s="128"/>
      <c r="E262" s="27"/>
      <c r="F262" s="98"/>
      <c r="G262" s="54"/>
      <c r="J262" s="143" t="str">
        <f t="shared" si="31"/>
        <v>-</v>
      </c>
      <c r="K262" s="143" t="str">
        <f t="shared" si="32"/>
        <v>-</v>
      </c>
      <c r="L262" s="144" t="str">
        <f t="shared" si="35"/>
        <v>-</v>
      </c>
      <c r="M262" s="145" t="str">
        <f t="shared" si="33"/>
        <v>-</v>
      </c>
      <c r="O262" s="145" t="str">
        <f t="shared" si="34"/>
        <v>-</v>
      </c>
    </row>
    <row r="263" spans="1:15">
      <c r="A263" s="34" t="s">
        <v>192</v>
      </c>
      <c r="B263" s="65">
        <v>434</v>
      </c>
      <c r="C263" s="109">
        <v>90</v>
      </c>
      <c r="D263" s="118">
        <v>0</v>
      </c>
      <c r="E263" s="113">
        <v>9.2100000000000009</v>
      </c>
      <c r="F263" s="95"/>
      <c r="G263" s="88">
        <f t="shared" ref="G263:G273" si="36">F263*E263</f>
        <v>0</v>
      </c>
      <c r="J263" s="143" t="str">
        <f t="shared" si="31"/>
        <v>-</v>
      </c>
      <c r="K263" s="143" t="str">
        <f t="shared" si="32"/>
        <v>-</v>
      </c>
      <c r="L263" s="144" t="str">
        <f t="shared" si="35"/>
        <v>-</v>
      </c>
      <c r="M263" s="145" t="str">
        <f t="shared" si="33"/>
        <v>-</v>
      </c>
      <c r="O263" s="145" t="str">
        <f t="shared" si="34"/>
        <v>-</v>
      </c>
    </row>
    <row r="264" spans="1:15">
      <c r="A264" s="55"/>
      <c r="B264" s="65">
        <v>435</v>
      </c>
      <c r="C264" s="109">
        <v>180</v>
      </c>
      <c r="D264" s="118">
        <v>0.18</v>
      </c>
      <c r="E264" s="113">
        <v>15.81</v>
      </c>
      <c r="F264" s="95"/>
      <c r="G264" s="88">
        <f t="shared" si="36"/>
        <v>0</v>
      </c>
      <c r="J264" s="143" t="str">
        <f t="shared" si="31"/>
        <v>-</v>
      </c>
      <c r="K264" s="143" t="str">
        <f t="shared" si="32"/>
        <v>-</v>
      </c>
      <c r="L264" s="144" t="str">
        <f t="shared" si="35"/>
        <v>-</v>
      </c>
      <c r="M264" s="145" t="str">
        <f t="shared" si="33"/>
        <v>-</v>
      </c>
      <c r="O264" s="145" t="str">
        <f t="shared" si="34"/>
        <v>-</v>
      </c>
    </row>
    <row r="265" spans="1:15">
      <c r="A265" s="34" t="s">
        <v>193</v>
      </c>
      <c r="B265" s="65">
        <v>436</v>
      </c>
      <c r="C265" s="109">
        <v>90</v>
      </c>
      <c r="D265" s="118">
        <v>0.14000000000000001</v>
      </c>
      <c r="E265" s="113">
        <v>10.89</v>
      </c>
      <c r="F265" s="92"/>
      <c r="G265" s="88">
        <f t="shared" si="36"/>
        <v>0</v>
      </c>
      <c r="J265" s="143" t="str">
        <f t="shared" si="31"/>
        <v>-</v>
      </c>
      <c r="K265" s="143" t="str">
        <f t="shared" si="32"/>
        <v>-</v>
      </c>
      <c r="L265" s="144" t="str">
        <f t="shared" si="35"/>
        <v>-</v>
      </c>
      <c r="M265" s="145" t="str">
        <f t="shared" si="33"/>
        <v>-</v>
      </c>
      <c r="O265" s="145" t="str">
        <f t="shared" si="34"/>
        <v>-</v>
      </c>
    </row>
    <row r="266" spans="1:15">
      <c r="A266" s="34" t="s">
        <v>194</v>
      </c>
      <c r="B266" s="65">
        <v>440</v>
      </c>
      <c r="C266" s="109">
        <v>30</v>
      </c>
      <c r="D266" s="118">
        <v>0</v>
      </c>
      <c r="E266" s="113">
        <v>8.25</v>
      </c>
      <c r="F266" s="95"/>
      <c r="G266" s="88">
        <f t="shared" si="36"/>
        <v>0</v>
      </c>
      <c r="J266" s="143" t="str">
        <f t="shared" si="31"/>
        <v>-</v>
      </c>
      <c r="K266" s="143" t="str">
        <f t="shared" si="32"/>
        <v>-</v>
      </c>
      <c r="L266" s="144" t="str">
        <f t="shared" si="35"/>
        <v>-</v>
      </c>
      <c r="M266" s="145" t="str">
        <f t="shared" si="33"/>
        <v>-</v>
      </c>
      <c r="O266" s="145" t="str">
        <f t="shared" si="34"/>
        <v>-</v>
      </c>
    </row>
    <row r="267" spans="1:15">
      <c r="A267" s="55"/>
      <c r="B267" s="65">
        <v>442</v>
      </c>
      <c r="C267" s="109">
        <v>60</v>
      </c>
      <c r="D267" s="118">
        <v>0.14000000000000001</v>
      </c>
      <c r="E267" s="113">
        <v>14.19</v>
      </c>
      <c r="F267" s="95"/>
      <c r="G267" s="88">
        <f t="shared" si="36"/>
        <v>0</v>
      </c>
      <c r="J267" s="143" t="str">
        <f t="shared" si="31"/>
        <v>-</v>
      </c>
      <c r="K267" s="143" t="str">
        <f t="shared" si="32"/>
        <v>-</v>
      </c>
      <c r="L267" s="144" t="str">
        <f t="shared" si="35"/>
        <v>-</v>
      </c>
      <c r="M267" s="145" t="str">
        <f t="shared" si="33"/>
        <v>-</v>
      </c>
      <c r="O267" s="145" t="str">
        <f t="shared" si="34"/>
        <v>-</v>
      </c>
    </row>
    <row r="268" spans="1:15">
      <c r="A268" s="34" t="s">
        <v>195</v>
      </c>
      <c r="B268" s="65">
        <v>441</v>
      </c>
      <c r="C268" s="109">
        <v>60</v>
      </c>
      <c r="D268" s="118">
        <v>0.14000000000000001</v>
      </c>
      <c r="E268" s="113">
        <v>8.5500000000000007</v>
      </c>
      <c r="F268" s="92"/>
      <c r="G268" s="88">
        <f t="shared" si="36"/>
        <v>0</v>
      </c>
      <c r="J268" s="143" t="str">
        <f t="shared" si="31"/>
        <v>-</v>
      </c>
      <c r="K268" s="143" t="str">
        <f t="shared" si="32"/>
        <v>-</v>
      </c>
      <c r="L268" s="144" t="str">
        <f t="shared" si="35"/>
        <v>-</v>
      </c>
      <c r="M268" s="145" t="str">
        <f t="shared" si="33"/>
        <v>-</v>
      </c>
      <c r="O268" s="145" t="str">
        <f t="shared" si="34"/>
        <v>-</v>
      </c>
    </row>
    <row r="269" spans="1:15">
      <c r="A269" s="34" t="s">
        <v>196</v>
      </c>
      <c r="B269" s="65">
        <v>443</v>
      </c>
      <c r="C269" s="109">
        <v>60</v>
      </c>
      <c r="D269" s="118">
        <v>0.14000000000000001</v>
      </c>
      <c r="E269" s="113">
        <v>20.13</v>
      </c>
      <c r="F269" s="92"/>
      <c r="G269" s="88">
        <f t="shared" si="36"/>
        <v>0</v>
      </c>
      <c r="J269" s="143" t="str">
        <f t="shared" si="31"/>
        <v>-</v>
      </c>
      <c r="K269" s="143" t="str">
        <f t="shared" si="32"/>
        <v>-</v>
      </c>
      <c r="L269" s="144" t="str">
        <f t="shared" si="35"/>
        <v>-</v>
      </c>
      <c r="M269" s="145" t="str">
        <f t="shared" si="33"/>
        <v>-</v>
      </c>
      <c r="O269" s="145" t="str">
        <f t="shared" si="34"/>
        <v>-</v>
      </c>
    </row>
    <row r="270" spans="1:15">
      <c r="A270" s="34" t="s">
        <v>197</v>
      </c>
      <c r="B270" s="65">
        <v>445</v>
      </c>
      <c r="C270" s="109">
        <v>60</v>
      </c>
      <c r="D270" s="118">
        <v>0.24</v>
      </c>
      <c r="E270" s="113">
        <v>13.17</v>
      </c>
      <c r="F270" s="95"/>
      <c r="G270" s="88">
        <f t="shared" si="36"/>
        <v>0</v>
      </c>
      <c r="J270" s="143" t="str">
        <f t="shared" si="31"/>
        <v>-</v>
      </c>
      <c r="K270" s="143" t="str">
        <f t="shared" si="32"/>
        <v>-</v>
      </c>
      <c r="L270" s="144" t="str">
        <f t="shared" si="35"/>
        <v>-</v>
      </c>
      <c r="M270" s="145" t="str">
        <f t="shared" si="33"/>
        <v>-</v>
      </c>
      <c r="O270" s="145" t="str">
        <f t="shared" si="34"/>
        <v>-</v>
      </c>
    </row>
    <row r="271" spans="1:15">
      <c r="A271" s="34" t="s">
        <v>198</v>
      </c>
      <c r="B271" s="65">
        <v>453</v>
      </c>
      <c r="C271" s="109">
        <v>90</v>
      </c>
      <c r="D271" s="118">
        <v>0</v>
      </c>
      <c r="E271" s="113">
        <v>11.19</v>
      </c>
      <c r="F271" s="92"/>
      <c r="G271" s="88">
        <f t="shared" si="36"/>
        <v>0</v>
      </c>
      <c r="J271" s="143" t="str">
        <f t="shared" si="31"/>
        <v>-</v>
      </c>
      <c r="K271" s="143" t="str">
        <f t="shared" si="32"/>
        <v>-</v>
      </c>
      <c r="L271" s="144" t="str">
        <f t="shared" si="35"/>
        <v>-</v>
      </c>
      <c r="M271" s="145" t="str">
        <f t="shared" si="33"/>
        <v>-</v>
      </c>
      <c r="O271" s="145" t="str">
        <f t="shared" si="34"/>
        <v>-</v>
      </c>
    </row>
    <row r="272" spans="1:15">
      <c r="A272" s="34" t="s">
        <v>199</v>
      </c>
      <c r="B272" s="65">
        <v>454</v>
      </c>
      <c r="C272" s="109">
        <v>90</v>
      </c>
      <c r="D272" s="118">
        <v>0</v>
      </c>
      <c r="E272" s="113">
        <v>15.51</v>
      </c>
      <c r="F272" s="92"/>
      <c r="G272" s="88">
        <f t="shared" si="36"/>
        <v>0</v>
      </c>
      <c r="J272" s="143" t="str">
        <f t="shared" si="31"/>
        <v>-</v>
      </c>
      <c r="K272" s="143" t="str">
        <f t="shared" si="32"/>
        <v>-</v>
      </c>
      <c r="L272" s="144" t="str">
        <f t="shared" si="35"/>
        <v>-</v>
      </c>
      <c r="M272" s="145" t="str">
        <f t="shared" si="33"/>
        <v>-</v>
      </c>
      <c r="O272" s="145" t="str">
        <f t="shared" si="34"/>
        <v>-</v>
      </c>
    </row>
    <row r="273" spans="1:15">
      <c r="A273" s="34" t="s">
        <v>200</v>
      </c>
      <c r="B273" s="65">
        <v>455</v>
      </c>
      <c r="C273" s="109">
        <v>90</v>
      </c>
      <c r="D273" s="118">
        <v>0</v>
      </c>
      <c r="E273" s="113">
        <v>21.09</v>
      </c>
      <c r="F273" s="92"/>
      <c r="G273" s="88">
        <f t="shared" si="36"/>
        <v>0</v>
      </c>
      <c r="J273" s="143" t="str">
        <f t="shared" si="31"/>
        <v>-</v>
      </c>
      <c r="K273" s="143" t="str">
        <f t="shared" si="32"/>
        <v>-</v>
      </c>
      <c r="L273" s="144" t="str">
        <f t="shared" si="35"/>
        <v>-</v>
      </c>
      <c r="M273" s="145" t="str">
        <f t="shared" si="33"/>
        <v>-</v>
      </c>
      <c r="O273" s="145" t="str">
        <f t="shared" si="34"/>
        <v>-</v>
      </c>
    </row>
    <row r="274" spans="1:15">
      <c r="A274" s="52" t="s">
        <v>163</v>
      </c>
      <c r="B274" s="76"/>
      <c r="C274" s="8"/>
      <c r="D274" s="127">
        <v>0.16</v>
      </c>
      <c r="E274" s="26"/>
      <c r="F274" s="102"/>
      <c r="G274" s="53"/>
      <c r="J274" s="143" t="str">
        <f t="shared" si="31"/>
        <v>-</v>
      </c>
      <c r="K274" s="143" t="str">
        <f t="shared" si="32"/>
        <v>-</v>
      </c>
      <c r="L274" s="144" t="str">
        <f t="shared" si="35"/>
        <v>-</v>
      </c>
      <c r="M274" s="145" t="str">
        <f t="shared" si="33"/>
        <v>-</v>
      </c>
      <c r="O274" s="145" t="str">
        <f t="shared" si="34"/>
        <v>-</v>
      </c>
    </row>
    <row r="275" spans="1:15">
      <c r="A275" s="34" t="s">
        <v>201</v>
      </c>
      <c r="B275" s="65">
        <v>433</v>
      </c>
      <c r="C275" s="108" t="s">
        <v>202</v>
      </c>
      <c r="D275" s="118">
        <v>0.14000000000000001</v>
      </c>
      <c r="E275" s="113">
        <v>15.81</v>
      </c>
      <c r="F275" s="92"/>
      <c r="G275" s="88">
        <f>F275*E275</f>
        <v>0</v>
      </c>
      <c r="J275" s="143" t="str">
        <f t="shared" si="31"/>
        <v>-</v>
      </c>
      <c r="K275" s="143" t="str">
        <f t="shared" si="32"/>
        <v>-</v>
      </c>
      <c r="L275" s="144" t="str">
        <f t="shared" si="35"/>
        <v>-</v>
      </c>
      <c r="M275" s="145" t="str">
        <f t="shared" si="33"/>
        <v>-</v>
      </c>
      <c r="O275" s="145" t="str">
        <f t="shared" si="34"/>
        <v>-</v>
      </c>
    </row>
    <row r="276" spans="1:15">
      <c r="A276" s="34" t="s">
        <v>203</v>
      </c>
      <c r="B276" s="65">
        <v>439</v>
      </c>
      <c r="C276" s="108" t="s">
        <v>202</v>
      </c>
      <c r="D276" s="118">
        <v>0.14000000000000001</v>
      </c>
      <c r="E276" s="113">
        <v>15.81</v>
      </c>
      <c r="F276" s="92"/>
      <c r="G276" s="88">
        <f>F276*E276</f>
        <v>0</v>
      </c>
      <c r="J276" s="143" t="str">
        <f t="shared" si="31"/>
        <v>-</v>
      </c>
      <c r="K276" s="143" t="str">
        <f t="shared" si="32"/>
        <v>-</v>
      </c>
      <c r="L276" s="144" t="str">
        <f t="shared" si="35"/>
        <v>-</v>
      </c>
      <c r="M276" s="145" t="str">
        <f t="shared" si="33"/>
        <v>-</v>
      </c>
      <c r="O276" s="145" t="str">
        <f t="shared" si="34"/>
        <v>-</v>
      </c>
    </row>
    <row r="277" spans="1:15">
      <c r="A277" s="34" t="s">
        <v>204</v>
      </c>
      <c r="B277" s="65">
        <v>444</v>
      </c>
      <c r="C277" s="108" t="s">
        <v>202</v>
      </c>
      <c r="D277" s="118">
        <v>0.14000000000000001</v>
      </c>
      <c r="E277" s="113">
        <v>24.39</v>
      </c>
      <c r="F277" s="92"/>
      <c r="G277" s="88">
        <f>F277*E277</f>
        <v>0</v>
      </c>
      <c r="J277" s="143" t="str">
        <f t="shared" si="31"/>
        <v>-</v>
      </c>
      <c r="K277" s="143" t="str">
        <f t="shared" si="32"/>
        <v>-</v>
      </c>
      <c r="L277" s="144" t="str">
        <f t="shared" si="35"/>
        <v>-</v>
      </c>
      <c r="M277" s="145" t="str">
        <f t="shared" si="33"/>
        <v>-</v>
      </c>
      <c r="O277" s="145" t="str">
        <f t="shared" si="34"/>
        <v>-</v>
      </c>
    </row>
    <row r="278" spans="1:15">
      <c r="A278" s="37" t="s">
        <v>205</v>
      </c>
      <c r="B278" s="67"/>
      <c r="C278" s="3"/>
      <c r="D278" s="120">
        <v>0.14000000000000001</v>
      </c>
      <c r="E278" s="19"/>
      <c r="F278" s="94"/>
      <c r="G278" s="38"/>
      <c r="J278" s="143" t="str">
        <f t="shared" si="31"/>
        <v>-</v>
      </c>
      <c r="K278" s="143" t="str">
        <f t="shared" si="32"/>
        <v>-</v>
      </c>
      <c r="L278" s="144" t="str">
        <f t="shared" si="35"/>
        <v>-</v>
      </c>
      <c r="M278" s="145" t="str">
        <f t="shared" si="33"/>
        <v>-</v>
      </c>
      <c r="O278" s="145" t="str">
        <f t="shared" si="34"/>
        <v>-</v>
      </c>
    </row>
    <row r="279" spans="1:15">
      <c r="A279" s="52" t="s">
        <v>145</v>
      </c>
      <c r="B279" s="76"/>
      <c r="C279" s="8"/>
      <c r="D279" s="127">
        <v>0.2</v>
      </c>
      <c r="E279" s="26"/>
      <c r="F279" s="102"/>
      <c r="G279" s="53"/>
      <c r="J279" s="143" t="str">
        <f t="shared" si="31"/>
        <v>-</v>
      </c>
      <c r="K279" s="143" t="str">
        <f t="shared" si="32"/>
        <v>-</v>
      </c>
      <c r="L279" s="144" t="str">
        <f t="shared" si="35"/>
        <v>-</v>
      </c>
      <c r="M279" s="145" t="str">
        <f t="shared" si="33"/>
        <v>-</v>
      </c>
      <c r="O279" s="145" t="str">
        <f t="shared" si="34"/>
        <v>-</v>
      </c>
    </row>
    <row r="280" spans="1:15">
      <c r="A280" s="34" t="s">
        <v>206</v>
      </c>
      <c r="B280" s="65">
        <v>510</v>
      </c>
      <c r="C280" s="109">
        <v>90</v>
      </c>
      <c r="D280" s="118">
        <v>0</v>
      </c>
      <c r="E280" s="113">
        <v>9.57</v>
      </c>
      <c r="F280" s="92"/>
      <c r="G280" s="88">
        <f t="shared" ref="G280:G308" si="37">F280*E280</f>
        <v>0</v>
      </c>
      <c r="J280" s="143" t="str">
        <f t="shared" si="31"/>
        <v>-</v>
      </c>
      <c r="K280" s="143" t="str">
        <f t="shared" si="32"/>
        <v>-</v>
      </c>
      <c r="L280" s="144" t="str">
        <f t="shared" si="35"/>
        <v>-</v>
      </c>
      <c r="M280" s="145" t="str">
        <f t="shared" si="33"/>
        <v>-</v>
      </c>
      <c r="O280" s="145" t="str">
        <f t="shared" si="34"/>
        <v>-</v>
      </c>
    </row>
    <row r="281" spans="1:15">
      <c r="A281" s="55"/>
      <c r="B281" s="65">
        <v>512</v>
      </c>
      <c r="C281" s="109">
        <v>180</v>
      </c>
      <c r="D281" s="118">
        <v>0</v>
      </c>
      <c r="E281" s="113">
        <v>17.13</v>
      </c>
      <c r="F281" s="95"/>
      <c r="G281" s="88">
        <f t="shared" si="37"/>
        <v>0</v>
      </c>
      <c r="J281" s="143" t="str">
        <f t="shared" si="31"/>
        <v>-</v>
      </c>
      <c r="K281" s="143" t="str">
        <f t="shared" si="32"/>
        <v>-</v>
      </c>
      <c r="L281" s="144" t="str">
        <f t="shared" si="35"/>
        <v>-</v>
      </c>
      <c r="M281" s="145" t="str">
        <f t="shared" si="33"/>
        <v>-</v>
      </c>
      <c r="O281" s="145" t="str">
        <f t="shared" si="34"/>
        <v>-</v>
      </c>
    </row>
    <row r="282" spans="1:15">
      <c r="A282" s="34" t="s">
        <v>207</v>
      </c>
      <c r="B282" s="65">
        <v>516</v>
      </c>
      <c r="C282" s="109">
        <v>90</v>
      </c>
      <c r="D282" s="118">
        <v>0</v>
      </c>
      <c r="E282" s="113">
        <v>13.53</v>
      </c>
      <c r="F282" s="92"/>
      <c r="G282" s="88">
        <f t="shared" si="37"/>
        <v>0</v>
      </c>
      <c r="J282" s="143" t="str">
        <f t="shared" si="31"/>
        <v>-</v>
      </c>
      <c r="K282" s="143" t="str">
        <f t="shared" si="32"/>
        <v>-</v>
      </c>
      <c r="L282" s="144" t="str">
        <f t="shared" si="35"/>
        <v>-</v>
      </c>
      <c r="M282" s="145" t="str">
        <f t="shared" si="33"/>
        <v>-</v>
      </c>
      <c r="O282" s="145" t="str">
        <f t="shared" si="34"/>
        <v>-</v>
      </c>
    </row>
    <row r="283" spans="1:15">
      <c r="A283" s="55"/>
      <c r="B283" s="65">
        <v>518</v>
      </c>
      <c r="C283" s="109">
        <v>180</v>
      </c>
      <c r="D283" s="118">
        <v>0.45</v>
      </c>
      <c r="E283" s="113">
        <v>24.39</v>
      </c>
      <c r="F283" s="95"/>
      <c r="G283" s="88">
        <f t="shared" si="37"/>
        <v>0</v>
      </c>
      <c r="J283" s="143" t="str">
        <f t="shared" si="31"/>
        <v>-</v>
      </c>
      <c r="K283" s="143" t="str">
        <f t="shared" si="32"/>
        <v>-</v>
      </c>
      <c r="L283" s="144" t="str">
        <f t="shared" si="35"/>
        <v>-</v>
      </c>
      <c r="M283" s="145" t="str">
        <f t="shared" si="33"/>
        <v>-</v>
      </c>
      <c r="O283" s="145" t="str">
        <f t="shared" si="34"/>
        <v>-</v>
      </c>
    </row>
    <row r="284" spans="1:15">
      <c r="A284" s="34" t="s">
        <v>208</v>
      </c>
      <c r="B284" s="65">
        <v>522</v>
      </c>
      <c r="C284" s="109">
        <v>90</v>
      </c>
      <c r="D284" s="118">
        <v>0</v>
      </c>
      <c r="E284" s="113">
        <v>12.87</v>
      </c>
      <c r="F284" s="92"/>
      <c r="G284" s="88">
        <f t="shared" si="37"/>
        <v>0</v>
      </c>
      <c r="J284" s="143" t="str">
        <f t="shared" si="31"/>
        <v>-</v>
      </c>
      <c r="K284" s="143" t="str">
        <f t="shared" si="32"/>
        <v>-</v>
      </c>
      <c r="L284" s="144" t="str">
        <f t="shared" si="35"/>
        <v>-</v>
      </c>
      <c r="M284" s="145" t="str">
        <f t="shared" si="33"/>
        <v>-</v>
      </c>
      <c r="O284" s="145" t="str">
        <f t="shared" si="34"/>
        <v>-</v>
      </c>
    </row>
    <row r="285" spans="1:15">
      <c r="A285" s="55"/>
      <c r="B285" s="65">
        <v>524</v>
      </c>
      <c r="C285" s="109">
        <v>180</v>
      </c>
      <c r="D285" s="118">
        <v>0</v>
      </c>
      <c r="E285" s="113">
        <v>23.43</v>
      </c>
      <c r="F285" s="95"/>
      <c r="G285" s="88">
        <f t="shared" si="37"/>
        <v>0</v>
      </c>
      <c r="J285" s="143" t="str">
        <f t="shared" si="31"/>
        <v>-</v>
      </c>
      <c r="K285" s="143" t="str">
        <f t="shared" si="32"/>
        <v>-</v>
      </c>
      <c r="L285" s="144" t="str">
        <f t="shared" si="35"/>
        <v>-</v>
      </c>
      <c r="M285" s="145" t="str">
        <f t="shared" si="33"/>
        <v>-</v>
      </c>
      <c r="O285" s="145" t="str">
        <f t="shared" si="34"/>
        <v>-</v>
      </c>
    </row>
    <row r="286" spans="1:15">
      <c r="A286" s="34" t="s">
        <v>209</v>
      </c>
      <c r="B286" s="65">
        <v>528</v>
      </c>
      <c r="C286" s="109">
        <v>90</v>
      </c>
      <c r="D286" s="118">
        <v>0</v>
      </c>
      <c r="E286" s="113">
        <v>16.47</v>
      </c>
      <c r="F286" s="92"/>
      <c r="G286" s="88">
        <f t="shared" si="37"/>
        <v>0</v>
      </c>
      <c r="J286" s="143" t="str">
        <f t="shared" si="31"/>
        <v>-</v>
      </c>
      <c r="K286" s="143" t="str">
        <f t="shared" si="32"/>
        <v>-</v>
      </c>
      <c r="L286" s="144" t="str">
        <f t="shared" si="35"/>
        <v>-</v>
      </c>
      <c r="M286" s="145" t="str">
        <f t="shared" si="33"/>
        <v>-</v>
      </c>
      <c r="O286" s="145" t="str">
        <f t="shared" si="34"/>
        <v>-</v>
      </c>
    </row>
    <row r="287" spans="1:15">
      <c r="A287" s="55"/>
      <c r="B287" s="65">
        <v>530</v>
      </c>
      <c r="C287" s="109">
        <v>180</v>
      </c>
      <c r="D287" s="118">
        <v>0</v>
      </c>
      <c r="E287" s="113">
        <v>30.69</v>
      </c>
      <c r="F287" s="95"/>
      <c r="G287" s="88">
        <f t="shared" si="37"/>
        <v>0</v>
      </c>
      <c r="J287" s="143" t="str">
        <f t="shared" si="31"/>
        <v>-</v>
      </c>
      <c r="K287" s="143" t="str">
        <f t="shared" si="32"/>
        <v>-</v>
      </c>
      <c r="L287" s="144" t="str">
        <f t="shared" si="35"/>
        <v>-</v>
      </c>
      <c r="M287" s="145" t="str">
        <f t="shared" si="33"/>
        <v>-</v>
      </c>
      <c r="O287" s="145" t="str">
        <f t="shared" si="34"/>
        <v>-</v>
      </c>
    </row>
    <row r="288" spans="1:15" ht="24">
      <c r="A288" s="34" t="s">
        <v>210</v>
      </c>
      <c r="B288" s="65">
        <v>532</v>
      </c>
      <c r="C288" s="109">
        <v>90</v>
      </c>
      <c r="D288" s="118">
        <v>0</v>
      </c>
      <c r="E288" s="113">
        <v>24.09</v>
      </c>
      <c r="F288" s="92"/>
      <c r="G288" s="88">
        <f t="shared" si="37"/>
        <v>0</v>
      </c>
      <c r="J288" s="143" t="str">
        <f t="shared" si="31"/>
        <v>-</v>
      </c>
      <c r="K288" s="143" t="str">
        <f t="shared" si="32"/>
        <v>-</v>
      </c>
      <c r="L288" s="144" t="str">
        <f t="shared" si="35"/>
        <v>-</v>
      </c>
      <c r="M288" s="145" t="str">
        <f t="shared" si="33"/>
        <v>-</v>
      </c>
      <c r="O288" s="145" t="str">
        <f t="shared" si="34"/>
        <v>-</v>
      </c>
    </row>
    <row r="289" spans="1:15">
      <c r="A289" s="39"/>
      <c r="B289" s="65">
        <v>533</v>
      </c>
      <c r="C289" s="109">
        <v>180</v>
      </c>
      <c r="D289" s="118">
        <v>0</v>
      </c>
      <c r="E289" s="113">
        <v>44.85</v>
      </c>
      <c r="F289" s="95"/>
      <c r="G289" s="88">
        <f t="shared" si="37"/>
        <v>0</v>
      </c>
      <c r="J289" s="143" t="str">
        <f t="shared" si="31"/>
        <v>-</v>
      </c>
      <c r="K289" s="143" t="str">
        <f t="shared" si="32"/>
        <v>-</v>
      </c>
      <c r="L289" s="144" t="str">
        <f t="shared" si="35"/>
        <v>-</v>
      </c>
      <c r="M289" s="145" t="str">
        <f t="shared" si="33"/>
        <v>-</v>
      </c>
      <c r="O289" s="145" t="str">
        <f t="shared" si="34"/>
        <v>-</v>
      </c>
    </row>
    <row r="290" spans="1:15">
      <c r="A290" s="34" t="s">
        <v>211</v>
      </c>
      <c r="B290" s="65">
        <v>534</v>
      </c>
      <c r="C290" s="109">
        <v>90</v>
      </c>
      <c r="D290" s="118">
        <v>0</v>
      </c>
      <c r="E290" s="113">
        <v>17.13</v>
      </c>
      <c r="F290" s="92"/>
      <c r="G290" s="88">
        <f t="shared" si="37"/>
        <v>0</v>
      </c>
      <c r="J290" s="143" t="str">
        <f t="shared" si="31"/>
        <v>-</v>
      </c>
      <c r="K290" s="143" t="str">
        <f t="shared" si="32"/>
        <v>-</v>
      </c>
      <c r="L290" s="144" t="str">
        <f t="shared" si="35"/>
        <v>-</v>
      </c>
      <c r="M290" s="145" t="str">
        <f t="shared" si="33"/>
        <v>-</v>
      </c>
      <c r="O290" s="145" t="str">
        <f t="shared" si="34"/>
        <v>-</v>
      </c>
    </row>
    <row r="291" spans="1:15">
      <c r="A291" s="39"/>
      <c r="B291" s="65">
        <v>536</v>
      </c>
      <c r="C291" s="109">
        <v>180</v>
      </c>
      <c r="D291" s="118">
        <v>0</v>
      </c>
      <c r="E291" s="113">
        <v>32.31</v>
      </c>
      <c r="F291" s="95"/>
      <c r="G291" s="88">
        <f t="shared" si="37"/>
        <v>0</v>
      </c>
      <c r="J291" s="143" t="str">
        <f t="shared" si="31"/>
        <v>-</v>
      </c>
      <c r="K291" s="143" t="str">
        <f t="shared" si="32"/>
        <v>-</v>
      </c>
      <c r="L291" s="144" t="str">
        <f t="shared" si="35"/>
        <v>-</v>
      </c>
      <c r="M291" s="145" t="str">
        <f t="shared" si="33"/>
        <v>-</v>
      </c>
      <c r="O291" s="145" t="str">
        <f t="shared" si="34"/>
        <v>-</v>
      </c>
    </row>
    <row r="292" spans="1:15">
      <c r="A292" s="34" t="s">
        <v>212</v>
      </c>
      <c r="B292" s="65">
        <v>540</v>
      </c>
      <c r="C292" s="108" t="s">
        <v>213</v>
      </c>
      <c r="D292" s="118">
        <v>0</v>
      </c>
      <c r="E292" s="113">
        <v>10.23</v>
      </c>
      <c r="F292" s="92"/>
      <c r="G292" s="88">
        <f t="shared" si="37"/>
        <v>0</v>
      </c>
      <c r="J292" s="143" t="str">
        <f t="shared" si="31"/>
        <v>-</v>
      </c>
      <c r="K292" s="143" t="str">
        <f t="shared" si="32"/>
        <v>-</v>
      </c>
      <c r="L292" s="144" t="str">
        <f t="shared" si="35"/>
        <v>-</v>
      </c>
      <c r="M292" s="145" t="str">
        <f t="shared" si="33"/>
        <v>-</v>
      </c>
      <c r="O292" s="145" t="str">
        <f t="shared" si="34"/>
        <v>-</v>
      </c>
    </row>
    <row r="293" spans="1:15">
      <c r="A293" s="55"/>
      <c r="B293" s="65">
        <v>542</v>
      </c>
      <c r="C293" s="108" t="s">
        <v>214</v>
      </c>
      <c r="D293" s="118">
        <v>0</v>
      </c>
      <c r="E293" s="113">
        <v>19.11</v>
      </c>
      <c r="F293" s="95"/>
      <c r="G293" s="88">
        <f t="shared" si="37"/>
        <v>0</v>
      </c>
      <c r="J293" s="143" t="str">
        <f t="shared" si="31"/>
        <v>-</v>
      </c>
      <c r="K293" s="143" t="str">
        <f t="shared" si="32"/>
        <v>-</v>
      </c>
      <c r="L293" s="144" t="str">
        <f t="shared" si="35"/>
        <v>-</v>
      </c>
      <c r="M293" s="145" t="str">
        <f t="shared" si="33"/>
        <v>-</v>
      </c>
      <c r="O293" s="145" t="str">
        <f t="shared" si="34"/>
        <v>-</v>
      </c>
    </row>
    <row r="294" spans="1:15">
      <c r="A294" s="34" t="s">
        <v>215</v>
      </c>
      <c r="B294" s="65">
        <v>544</v>
      </c>
      <c r="C294" s="108" t="s">
        <v>213</v>
      </c>
      <c r="D294" s="118">
        <v>0</v>
      </c>
      <c r="E294" s="113">
        <v>12.51</v>
      </c>
      <c r="F294" s="92"/>
      <c r="G294" s="88">
        <f t="shared" si="37"/>
        <v>0</v>
      </c>
      <c r="J294" s="143" t="str">
        <f t="shared" si="31"/>
        <v>-</v>
      </c>
      <c r="K294" s="143" t="str">
        <f t="shared" si="32"/>
        <v>-</v>
      </c>
      <c r="L294" s="144" t="str">
        <f t="shared" si="35"/>
        <v>-</v>
      </c>
      <c r="M294" s="145" t="str">
        <f t="shared" si="33"/>
        <v>-</v>
      </c>
      <c r="O294" s="145" t="str">
        <f t="shared" si="34"/>
        <v>-</v>
      </c>
    </row>
    <row r="295" spans="1:15">
      <c r="A295" s="55"/>
      <c r="B295" s="65">
        <v>546</v>
      </c>
      <c r="C295" s="108" t="s">
        <v>214</v>
      </c>
      <c r="D295" s="118">
        <v>0</v>
      </c>
      <c r="E295" s="113">
        <v>23.07</v>
      </c>
      <c r="F295" s="95"/>
      <c r="G295" s="88">
        <f t="shared" si="37"/>
        <v>0</v>
      </c>
      <c r="J295" s="143" t="str">
        <f t="shared" si="31"/>
        <v>-</v>
      </c>
      <c r="K295" s="143" t="str">
        <f t="shared" si="32"/>
        <v>-</v>
      </c>
      <c r="L295" s="144" t="str">
        <f t="shared" si="35"/>
        <v>-</v>
      </c>
      <c r="M295" s="145" t="str">
        <f t="shared" si="33"/>
        <v>-</v>
      </c>
      <c r="O295" s="145" t="str">
        <f t="shared" si="34"/>
        <v>-</v>
      </c>
    </row>
    <row r="296" spans="1:15">
      <c r="A296" s="34" t="s">
        <v>216</v>
      </c>
      <c r="B296" s="65">
        <v>568</v>
      </c>
      <c r="C296" s="109">
        <v>90</v>
      </c>
      <c r="D296" s="118">
        <v>0</v>
      </c>
      <c r="E296" s="113">
        <v>13.82</v>
      </c>
      <c r="F296" s="92"/>
      <c r="G296" s="88">
        <f t="shared" si="37"/>
        <v>0</v>
      </c>
      <c r="J296" s="143" t="str">
        <f t="shared" si="31"/>
        <v>-</v>
      </c>
      <c r="K296" s="143" t="str">
        <f t="shared" si="32"/>
        <v>-</v>
      </c>
      <c r="L296" s="144" t="str">
        <f t="shared" si="35"/>
        <v>-</v>
      </c>
      <c r="M296" s="145" t="str">
        <f t="shared" si="33"/>
        <v>-</v>
      </c>
      <c r="O296" s="145" t="str">
        <f t="shared" si="34"/>
        <v>-</v>
      </c>
    </row>
    <row r="297" spans="1:15">
      <c r="A297" s="39"/>
      <c r="B297" s="65">
        <v>569</v>
      </c>
      <c r="C297" s="109">
        <v>180</v>
      </c>
      <c r="D297" s="118">
        <v>0.43</v>
      </c>
      <c r="E297" s="113">
        <v>25.71</v>
      </c>
      <c r="F297" s="95"/>
      <c r="G297" s="88">
        <f t="shared" si="37"/>
        <v>0</v>
      </c>
      <c r="J297" s="143" t="str">
        <f t="shared" si="31"/>
        <v>-</v>
      </c>
      <c r="K297" s="143" t="str">
        <f t="shared" si="32"/>
        <v>-</v>
      </c>
      <c r="L297" s="144" t="str">
        <f t="shared" si="35"/>
        <v>-</v>
      </c>
      <c r="M297" s="145" t="str">
        <f t="shared" si="33"/>
        <v>-</v>
      </c>
      <c r="O297" s="145" t="str">
        <f t="shared" si="34"/>
        <v>-</v>
      </c>
    </row>
    <row r="298" spans="1:15">
      <c r="A298" s="34" t="s">
        <v>217</v>
      </c>
      <c r="B298" s="65">
        <v>570</v>
      </c>
      <c r="C298" s="109">
        <v>90</v>
      </c>
      <c r="D298" s="118">
        <v>0</v>
      </c>
      <c r="E298" s="113">
        <v>15.81</v>
      </c>
      <c r="F298" s="92"/>
      <c r="G298" s="88">
        <f t="shared" si="37"/>
        <v>0</v>
      </c>
      <c r="J298" s="143" t="str">
        <f t="shared" si="31"/>
        <v>-</v>
      </c>
      <c r="K298" s="143" t="str">
        <f t="shared" si="32"/>
        <v>-</v>
      </c>
      <c r="L298" s="144" t="str">
        <f t="shared" si="35"/>
        <v>-</v>
      </c>
      <c r="M298" s="145" t="str">
        <f t="shared" si="33"/>
        <v>-</v>
      </c>
      <c r="O298" s="145" t="str">
        <f t="shared" si="34"/>
        <v>-</v>
      </c>
    </row>
    <row r="299" spans="1:15">
      <c r="A299" s="55"/>
      <c r="B299" s="65">
        <v>571</v>
      </c>
      <c r="C299" s="109">
        <v>180</v>
      </c>
      <c r="D299" s="118">
        <v>0</v>
      </c>
      <c r="E299" s="113">
        <v>29.37</v>
      </c>
      <c r="F299" s="95"/>
      <c r="G299" s="88">
        <f t="shared" si="37"/>
        <v>0</v>
      </c>
      <c r="J299" s="143" t="str">
        <f t="shared" si="31"/>
        <v>-</v>
      </c>
      <c r="K299" s="143" t="str">
        <f t="shared" si="32"/>
        <v>-</v>
      </c>
      <c r="L299" s="144" t="str">
        <f t="shared" si="35"/>
        <v>-</v>
      </c>
      <c r="M299" s="145" t="str">
        <f t="shared" si="33"/>
        <v>-</v>
      </c>
      <c r="O299" s="145" t="str">
        <f t="shared" si="34"/>
        <v>-</v>
      </c>
    </row>
    <row r="300" spans="1:15">
      <c r="A300" s="34" t="s">
        <v>218</v>
      </c>
      <c r="B300" s="65">
        <v>572</v>
      </c>
      <c r="C300" s="109">
        <v>90</v>
      </c>
      <c r="D300" s="118">
        <v>0</v>
      </c>
      <c r="E300" s="113">
        <v>9.8699999999999992</v>
      </c>
      <c r="F300" s="92"/>
      <c r="G300" s="88">
        <f t="shared" si="37"/>
        <v>0</v>
      </c>
      <c r="J300" s="143" t="str">
        <f t="shared" si="31"/>
        <v>-</v>
      </c>
      <c r="K300" s="143" t="str">
        <f t="shared" si="32"/>
        <v>-</v>
      </c>
      <c r="L300" s="144" t="str">
        <f t="shared" si="35"/>
        <v>-</v>
      </c>
      <c r="M300" s="145" t="str">
        <f t="shared" si="33"/>
        <v>-</v>
      </c>
      <c r="O300" s="145" t="str">
        <f t="shared" si="34"/>
        <v>-</v>
      </c>
    </row>
    <row r="301" spans="1:15">
      <c r="A301" s="55"/>
      <c r="B301" s="65">
        <v>573</v>
      </c>
      <c r="C301" s="109">
        <v>180</v>
      </c>
      <c r="D301" s="118">
        <v>0</v>
      </c>
      <c r="E301" s="113">
        <v>18.809999999999999</v>
      </c>
      <c r="F301" s="95"/>
      <c r="G301" s="88">
        <f t="shared" si="37"/>
        <v>0</v>
      </c>
      <c r="J301" s="143" t="str">
        <f t="shared" si="31"/>
        <v>-</v>
      </c>
      <c r="K301" s="143" t="str">
        <f t="shared" si="32"/>
        <v>-</v>
      </c>
      <c r="L301" s="144" t="str">
        <f t="shared" si="35"/>
        <v>-</v>
      </c>
      <c r="M301" s="145" t="str">
        <f t="shared" si="33"/>
        <v>-</v>
      </c>
      <c r="O301" s="145" t="str">
        <f t="shared" si="34"/>
        <v>-</v>
      </c>
    </row>
    <row r="302" spans="1:15">
      <c r="A302" s="34" t="s">
        <v>219</v>
      </c>
      <c r="B302" s="65">
        <v>574</v>
      </c>
      <c r="C302" s="109">
        <v>90</v>
      </c>
      <c r="D302" s="118">
        <v>0</v>
      </c>
      <c r="E302" s="113">
        <v>11.85</v>
      </c>
      <c r="F302" s="92"/>
      <c r="G302" s="88">
        <f t="shared" si="37"/>
        <v>0</v>
      </c>
      <c r="J302" s="143" t="str">
        <f t="shared" si="31"/>
        <v>-</v>
      </c>
      <c r="K302" s="143" t="str">
        <f t="shared" si="32"/>
        <v>-</v>
      </c>
      <c r="L302" s="144" t="str">
        <f t="shared" si="35"/>
        <v>-</v>
      </c>
      <c r="M302" s="145" t="str">
        <f t="shared" si="33"/>
        <v>-</v>
      </c>
      <c r="O302" s="145" t="str">
        <f t="shared" si="34"/>
        <v>-</v>
      </c>
    </row>
    <row r="303" spans="1:15">
      <c r="A303" s="55"/>
      <c r="B303" s="65">
        <v>575</v>
      </c>
      <c r="C303" s="109">
        <v>180</v>
      </c>
      <c r="D303" s="118">
        <v>0.45</v>
      </c>
      <c r="E303" s="113">
        <v>23.07</v>
      </c>
      <c r="F303" s="95"/>
      <c r="G303" s="88">
        <f t="shared" si="37"/>
        <v>0</v>
      </c>
      <c r="J303" s="143" t="str">
        <f t="shared" si="31"/>
        <v>-</v>
      </c>
      <c r="K303" s="143" t="str">
        <f t="shared" si="32"/>
        <v>-</v>
      </c>
      <c r="L303" s="144" t="str">
        <f t="shared" si="35"/>
        <v>-</v>
      </c>
      <c r="M303" s="145" t="str">
        <f t="shared" si="33"/>
        <v>-</v>
      </c>
      <c r="O303" s="145" t="str">
        <f t="shared" si="34"/>
        <v>-</v>
      </c>
    </row>
    <row r="304" spans="1:15" ht="24">
      <c r="A304" s="34" t="s">
        <v>220</v>
      </c>
      <c r="B304" s="65">
        <v>550</v>
      </c>
      <c r="C304" s="109">
        <v>30</v>
      </c>
      <c r="D304" s="118">
        <v>0.13</v>
      </c>
      <c r="E304" s="113">
        <v>13.83</v>
      </c>
      <c r="F304" s="95"/>
      <c r="G304" s="88">
        <f t="shared" si="37"/>
        <v>0</v>
      </c>
      <c r="J304" s="143" t="str">
        <f t="shared" si="31"/>
        <v>-</v>
      </c>
      <c r="K304" s="143" t="str">
        <f t="shared" si="32"/>
        <v>-</v>
      </c>
      <c r="L304" s="144" t="str">
        <f t="shared" si="35"/>
        <v>-</v>
      </c>
      <c r="M304" s="145" t="str">
        <f t="shared" si="33"/>
        <v>-</v>
      </c>
      <c r="O304" s="145" t="str">
        <f t="shared" si="34"/>
        <v>-</v>
      </c>
    </row>
    <row r="305" spans="1:15">
      <c r="A305" s="39"/>
      <c r="B305" s="65">
        <v>552</v>
      </c>
      <c r="C305" s="109">
        <v>60</v>
      </c>
      <c r="D305" s="118">
        <v>0.2</v>
      </c>
      <c r="E305" s="113">
        <v>25.41</v>
      </c>
      <c r="F305" s="95"/>
      <c r="G305" s="88">
        <f t="shared" si="37"/>
        <v>0</v>
      </c>
      <c r="J305" s="143" t="str">
        <f t="shared" si="31"/>
        <v>-</v>
      </c>
      <c r="K305" s="143" t="str">
        <f t="shared" si="32"/>
        <v>-</v>
      </c>
      <c r="L305" s="144" t="str">
        <f t="shared" si="35"/>
        <v>-</v>
      </c>
      <c r="M305" s="145" t="str">
        <f t="shared" si="33"/>
        <v>-</v>
      </c>
      <c r="O305" s="145" t="str">
        <f t="shared" si="34"/>
        <v>-</v>
      </c>
    </row>
    <row r="306" spans="1:15">
      <c r="A306" s="39"/>
      <c r="B306" s="65">
        <v>553</v>
      </c>
      <c r="C306" s="109">
        <v>90</v>
      </c>
      <c r="D306" s="118">
        <v>0.25</v>
      </c>
      <c r="E306" s="113">
        <v>36.630000000000003</v>
      </c>
      <c r="F306" s="95"/>
      <c r="G306" s="88">
        <f t="shared" si="37"/>
        <v>0</v>
      </c>
      <c r="J306" s="143" t="str">
        <f t="shared" si="31"/>
        <v>-</v>
      </c>
      <c r="K306" s="143" t="str">
        <f t="shared" si="32"/>
        <v>-</v>
      </c>
      <c r="L306" s="144" t="str">
        <f t="shared" si="35"/>
        <v>-</v>
      </c>
      <c r="M306" s="145" t="str">
        <f t="shared" si="33"/>
        <v>-</v>
      </c>
      <c r="O306" s="145" t="str">
        <f t="shared" si="34"/>
        <v>-</v>
      </c>
    </row>
    <row r="307" spans="1:15" ht="24">
      <c r="A307" s="34" t="s">
        <v>221</v>
      </c>
      <c r="B307" s="65">
        <v>224</v>
      </c>
      <c r="C307" s="109">
        <v>90</v>
      </c>
      <c r="D307" s="118">
        <v>0</v>
      </c>
      <c r="E307" s="113">
        <v>18.809999999999999</v>
      </c>
      <c r="F307" s="92"/>
      <c r="G307" s="88">
        <f t="shared" si="37"/>
        <v>0</v>
      </c>
      <c r="J307" s="143" t="str">
        <f t="shared" si="31"/>
        <v>-</v>
      </c>
      <c r="K307" s="143" t="str">
        <f t="shared" si="32"/>
        <v>-</v>
      </c>
      <c r="L307" s="144" t="str">
        <f t="shared" si="35"/>
        <v>-</v>
      </c>
      <c r="M307" s="145" t="str">
        <f t="shared" si="33"/>
        <v>-</v>
      </c>
      <c r="O307" s="145" t="str">
        <f t="shared" si="34"/>
        <v>-</v>
      </c>
    </row>
    <row r="308" spans="1:15">
      <c r="A308" s="39"/>
      <c r="B308" s="65">
        <v>226</v>
      </c>
      <c r="C308" s="109">
        <v>180</v>
      </c>
      <c r="D308" s="118">
        <v>0</v>
      </c>
      <c r="E308" s="113">
        <v>35.97</v>
      </c>
      <c r="F308" s="95"/>
      <c r="G308" s="88">
        <f t="shared" si="37"/>
        <v>0</v>
      </c>
      <c r="J308" s="143" t="str">
        <f t="shared" si="31"/>
        <v>-</v>
      </c>
      <c r="K308" s="143" t="str">
        <f t="shared" si="32"/>
        <v>-</v>
      </c>
      <c r="L308" s="144" t="str">
        <f t="shared" si="35"/>
        <v>-</v>
      </c>
      <c r="M308" s="145" t="str">
        <f t="shared" si="33"/>
        <v>-</v>
      </c>
      <c r="O308" s="145" t="str">
        <f t="shared" si="34"/>
        <v>-</v>
      </c>
    </row>
    <row r="309" spans="1:15">
      <c r="A309" s="35" t="s">
        <v>222</v>
      </c>
      <c r="B309" s="66"/>
      <c r="C309" s="2"/>
      <c r="D309" s="119">
        <v>0.14000000000000001</v>
      </c>
      <c r="E309" s="18"/>
      <c r="F309" s="93"/>
      <c r="G309" s="36"/>
      <c r="J309" s="143" t="str">
        <f t="shared" si="31"/>
        <v>-</v>
      </c>
      <c r="K309" s="143" t="str">
        <f t="shared" si="32"/>
        <v>-</v>
      </c>
      <c r="L309" s="144" t="str">
        <f t="shared" si="35"/>
        <v>-</v>
      </c>
      <c r="M309" s="145" t="str">
        <f t="shared" si="33"/>
        <v>-</v>
      </c>
      <c r="O309" s="145" t="str">
        <f t="shared" si="34"/>
        <v>-</v>
      </c>
    </row>
    <row r="310" spans="1:15" ht="24">
      <c r="A310" s="34" t="s">
        <v>223</v>
      </c>
      <c r="B310" s="65">
        <v>660</v>
      </c>
      <c r="C310" s="109">
        <v>60</v>
      </c>
      <c r="D310" s="118">
        <v>0</v>
      </c>
      <c r="E310" s="113">
        <v>13.53</v>
      </c>
      <c r="F310" s="92"/>
      <c r="G310" s="88">
        <f t="shared" ref="G310:G323" si="38">F310*E310</f>
        <v>0</v>
      </c>
      <c r="J310" s="143" t="str">
        <f t="shared" si="31"/>
        <v>-</v>
      </c>
      <c r="K310" s="143" t="str">
        <f t="shared" si="32"/>
        <v>-</v>
      </c>
      <c r="L310" s="144" t="str">
        <f t="shared" si="35"/>
        <v>-</v>
      </c>
      <c r="M310" s="145" t="str">
        <f t="shared" si="33"/>
        <v>-</v>
      </c>
      <c r="O310" s="145" t="str">
        <f t="shared" si="34"/>
        <v>-</v>
      </c>
    </row>
    <row r="311" spans="1:15">
      <c r="A311" s="39"/>
      <c r="B311" s="65">
        <v>661</v>
      </c>
      <c r="C311" s="109">
        <v>120</v>
      </c>
      <c r="D311" s="118">
        <v>0.48</v>
      </c>
      <c r="E311" s="113">
        <v>24.39</v>
      </c>
      <c r="F311" s="95"/>
      <c r="G311" s="88">
        <f t="shared" si="38"/>
        <v>0</v>
      </c>
      <c r="J311" s="143" t="str">
        <f t="shared" si="31"/>
        <v>-</v>
      </c>
      <c r="K311" s="143" t="str">
        <f t="shared" si="32"/>
        <v>-</v>
      </c>
      <c r="L311" s="144" t="str">
        <f t="shared" si="35"/>
        <v>-</v>
      </c>
      <c r="M311" s="145" t="str">
        <f t="shared" si="33"/>
        <v>-</v>
      </c>
      <c r="O311" s="145" t="str">
        <f t="shared" si="34"/>
        <v>-</v>
      </c>
    </row>
    <row r="312" spans="1:15">
      <c r="A312" s="34" t="s">
        <v>224</v>
      </c>
      <c r="B312" s="65">
        <v>663</v>
      </c>
      <c r="C312" s="109">
        <v>90</v>
      </c>
      <c r="D312" s="118">
        <v>0</v>
      </c>
      <c r="E312" s="113">
        <v>9.2100000000000009</v>
      </c>
      <c r="F312" s="92"/>
      <c r="G312" s="88">
        <f t="shared" si="38"/>
        <v>0</v>
      </c>
      <c r="J312" s="143" t="str">
        <f t="shared" si="31"/>
        <v>-</v>
      </c>
      <c r="K312" s="143" t="str">
        <f t="shared" si="32"/>
        <v>-</v>
      </c>
      <c r="L312" s="144" t="str">
        <f t="shared" si="35"/>
        <v>-</v>
      </c>
      <c r="M312" s="145" t="str">
        <f t="shared" si="33"/>
        <v>-</v>
      </c>
      <c r="O312" s="145" t="str">
        <f t="shared" si="34"/>
        <v>-</v>
      </c>
    </row>
    <row r="313" spans="1:15">
      <c r="A313" s="34" t="s">
        <v>225</v>
      </c>
      <c r="B313" s="65">
        <v>665</v>
      </c>
      <c r="C313" s="109">
        <v>90</v>
      </c>
      <c r="D313" s="118">
        <v>0.16</v>
      </c>
      <c r="E313" s="113">
        <v>9.2100000000000009</v>
      </c>
      <c r="F313" s="92"/>
      <c r="G313" s="88">
        <f t="shared" si="38"/>
        <v>0</v>
      </c>
      <c r="J313" s="143" t="str">
        <f t="shared" si="31"/>
        <v>-</v>
      </c>
      <c r="K313" s="143" t="str">
        <f t="shared" si="32"/>
        <v>-</v>
      </c>
      <c r="L313" s="144" t="str">
        <f t="shared" si="35"/>
        <v>-</v>
      </c>
      <c r="M313" s="145" t="str">
        <f t="shared" si="33"/>
        <v>-</v>
      </c>
      <c r="O313" s="145" t="str">
        <f t="shared" si="34"/>
        <v>-</v>
      </c>
    </row>
    <row r="314" spans="1:15">
      <c r="A314" s="34" t="s">
        <v>226</v>
      </c>
      <c r="B314" s="65">
        <v>726</v>
      </c>
      <c r="C314" s="109">
        <v>90</v>
      </c>
      <c r="D314" s="118">
        <v>0.16</v>
      </c>
      <c r="E314" s="113">
        <v>10.23</v>
      </c>
      <c r="F314" s="92"/>
      <c r="G314" s="88">
        <f t="shared" si="38"/>
        <v>0</v>
      </c>
      <c r="J314" s="143" t="str">
        <f t="shared" si="31"/>
        <v>-</v>
      </c>
      <c r="K314" s="143" t="str">
        <f t="shared" si="32"/>
        <v>-</v>
      </c>
      <c r="L314" s="144" t="str">
        <f t="shared" si="35"/>
        <v>-</v>
      </c>
      <c r="M314" s="145" t="str">
        <f t="shared" si="33"/>
        <v>-</v>
      </c>
      <c r="O314" s="145" t="str">
        <f t="shared" si="34"/>
        <v>-</v>
      </c>
    </row>
    <row r="315" spans="1:15">
      <c r="A315" s="34" t="s">
        <v>227</v>
      </c>
      <c r="B315" s="65">
        <v>670</v>
      </c>
      <c r="C315" s="109">
        <v>90</v>
      </c>
      <c r="D315" s="118">
        <v>0.2</v>
      </c>
      <c r="E315" s="113">
        <v>11.55</v>
      </c>
      <c r="F315" s="92"/>
      <c r="G315" s="88">
        <f t="shared" si="38"/>
        <v>0</v>
      </c>
      <c r="J315" s="143" t="str">
        <f t="shared" si="31"/>
        <v>-</v>
      </c>
      <c r="K315" s="143" t="str">
        <f t="shared" si="32"/>
        <v>-</v>
      </c>
      <c r="L315" s="144" t="str">
        <f t="shared" si="35"/>
        <v>-</v>
      </c>
      <c r="M315" s="145" t="str">
        <f t="shared" si="33"/>
        <v>-</v>
      </c>
      <c r="O315" s="145" t="str">
        <f t="shared" si="34"/>
        <v>-</v>
      </c>
    </row>
    <row r="316" spans="1:15" ht="24">
      <c r="A316" s="34" t="s">
        <v>228</v>
      </c>
      <c r="B316" s="65">
        <v>672</v>
      </c>
      <c r="C316" s="109">
        <v>60</v>
      </c>
      <c r="D316" s="118">
        <v>0.2</v>
      </c>
      <c r="E316" s="113">
        <v>13.83</v>
      </c>
      <c r="F316" s="92"/>
      <c r="G316" s="88">
        <f t="shared" si="38"/>
        <v>0</v>
      </c>
      <c r="J316" s="143" t="str">
        <f t="shared" si="31"/>
        <v>-</v>
      </c>
      <c r="K316" s="143" t="str">
        <f t="shared" si="32"/>
        <v>-</v>
      </c>
      <c r="L316" s="144" t="str">
        <f t="shared" si="35"/>
        <v>-</v>
      </c>
      <c r="M316" s="145" t="str">
        <f t="shared" si="33"/>
        <v>-</v>
      </c>
      <c r="O316" s="145" t="str">
        <f t="shared" si="34"/>
        <v>-</v>
      </c>
    </row>
    <row r="317" spans="1:15">
      <c r="A317" s="39"/>
      <c r="B317" s="65">
        <v>673</v>
      </c>
      <c r="C317" s="109">
        <v>120</v>
      </c>
      <c r="D317" s="118">
        <v>0.39</v>
      </c>
      <c r="E317" s="113">
        <v>25.71</v>
      </c>
      <c r="F317" s="95"/>
      <c r="G317" s="88">
        <f t="shared" si="38"/>
        <v>0</v>
      </c>
      <c r="J317" s="143" t="str">
        <f t="shared" si="31"/>
        <v>-</v>
      </c>
      <c r="K317" s="143" t="str">
        <f t="shared" si="32"/>
        <v>-</v>
      </c>
      <c r="L317" s="144" t="str">
        <f t="shared" si="35"/>
        <v>-</v>
      </c>
      <c r="M317" s="145" t="str">
        <f t="shared" si="33"/>
        <v>-</v>
      </c>
      <c r="O317" s="145" t="str">
        <f t="shared" si="34"/>
        <v>-</v>
      </c>
    </row>
    <row r="318" spans="1:15" ht="24">
      <c r="A318" s="34" t="s">
        <v>229</v>
      </c>
      <c r="B318" s="65">
        <v>682</v>
      </c>
      <c r="C318" s="109">
        <v>60</v>
      </c>
      <c r="D318" s="118">
        <v>0.23</v>
      </c>
      <c r="E318" s="113">
        <v>10.53</v>
      </c>
      <c r="F318" s="92"/>
      <c r="G318" s="88">
        <f t="shared" si="38"/>
        <v>0</v>
      </c>
      <c r="J318" s="143" t="str">
        <f t="shared" si="31"/>
        <v>-</v>
      </c>
      <c r="K318" s="143" t="str">
        <f t="shared" si="32"/>
        <v>-</v>
      </c>
      <c r="L318" s="144" t="str">
        <f t="shared" si="35"/>
        <v>-</v>
      </c>
      <c r="M318" s="145" t="str">
        <f t="shared" si="33"/>
        <v>-</v>
      </c>
      <c r="O318" s="145" t="str">
        <f t="shared" si="34"/>
        <v>-</v>
      </c>
    </row>
    <row r="319" spans="1:15">
      <c r="A319" s="39"/>
      <c r="B319" s="65">
        <v>683</v>
      </c>
      <c r="C319" s="109">
        <v>120</v>
      </c>
      <c r="D319" s="118">
        <v>0.37</v>
      </c>
      <c r="E319" s="113">
        <v>18.45</v>
      </c>
      <c r="F319" s="95"/>
      <c r="G319" s="88">
        <f t="shared" si="38"/>
        <v>0</v>
      </c>
      <c r="J319" s="143" t="str">
        <f t="shared" si="31"/>
        <v>-</v>
      </c>
      <c r="K319" s="143" t="str">
        <f t="shared" si="32"/>
        <v>-</v>
      </c>
      <c r="L319" s="144" t="str">
        <f t="shared" si="35"/>
        <v>-</v>
      </c>
      <c r="M319" s="145" t="str">
        <f t="shared" si="33"/>
        <v>-</v>
      </c>
      <c r="O319" s="145" t="str">
        <f t="shared" si="34"/>
        <v>-</v>
      </c>
    </row>
    <row r="320" spans="1:15">
      <c r="A320" s="34" t="s">
        <v>230</v>
      </c>
      <c r="B320" s="65">
        <v>674</v>
      </c>
      <c r="C320" s="109">
        <v>90</v>
      </c>
      <c r="D320" s="118">
        <v>0.16</v>
      </c>
      <c r="E320" s="113">
        <v>10.23</v>
      </c>
      <c r="F320" s="92"/>
      <c r="G320" s="88">
        <f t="shared" si="38"/>
        <v>0</v>
      </c>
      <c r="J320" s="143" t="str">
        <f t="shared" si="31"/>
        <v>-</v>
      </c>
      <c r="K320" s="143" t="str">
        <f t="shared" si="32"/>
        <v>-</v>
      </c>
      <c r="L320" s="144" t="str">
        <f t="shared" si="35"/>
        <v>-</v>
      </c>
      <c r="M320" s="145" t="str">
        <f t="shared" si="33"/>
        <v>-</v>
      </c>
      <c r="O320" s="145" t="str">
        <f t="shared" si="34"/>
        <v>-</v>
      </c>
    </row>
    <row r="321" spans="1:15">
      <c r="A321" s="34" t="s">
        <v>231</v>
      </c>
      <c r="B321" s="65">
        <v>676</v>
      </c>
      <c r="C321" s="109">
        <v>90</v>
      </c>
      <c r="D321" s="118">
        <v>0.2</v>
      </c>
      <c r="E321" s="113">
        <v>12.87</v>
      </c>
      <c r="F321" s="92"/>
      <c r="G321" s="88">
        <f t="shared" si="38"/>
        <v>0</v>
      </c>
      <c r="J321" s="143" t="str">
        <f t="shared" si="31"/>
        <v>-</v>
      </c>
      <c r="K321" s="143" t="str">
        <f t="shared" si="32"/>
        <v>-</v>
      </c>
      <c r="L321" s="144" t="str">
        <f t="shared" si="35"/>
        <v>-</v>
      </c>
      <c r="M321" s="145" t="str">
        <f t="shared" si="33"/>
        <v>-</v>
      </c>
      <c r="O321" s="145" t="str">
        <f t="shared" si="34"/>
        <v>-</v>
      </c>
    </row>
    <row r="322" spans="1:15">
      <c r="A322" s="34" t="s">
        <v>232</v>
      </c>
      <c r="B322" s="65">
        <v>678</v>
      </c>
      <c r="C322" s="109">
        <v>90</v>
      </c>
      <c r="D322" s="118">
        <v>0.16</v>
      </c>
      <c r="E322" s="113">
        <v>10.53</v>
      </c>
      <c r="F322" s="92"/>
      <c r="G322" s="88">
        <f t="shared" si="38"/>
        <v>0</v>
      </c>
      <c r="J322" s="143" t="str">
        <f t="shared" si="31"/>
        <v>-</v>
      </c>
      <c r="K322" s="143" t="str">
        <f t="shared" si="32"/>
        <v>-</v>
      </c>
      <c r="L322" s="144" t="str">
        <f t="shared" si="35"/>
        <v>-</v>
      </c>
      <c r="M322" s="145" t="str">
        <f t="shared" si="33"/>
        <v>-</v>
      </c>
      <c r="O322" s="145" t="str">
        <f t="shared" si="34"/>
        <v>-</v>
      </c>
    </row>
    <row r="323" spans="1:15">
      <c r="A323" s="34" t="s">
        <v>233</v>
      </c>
      <c r="B323" s="65">
        <v>680</v>
      </c>
      <c r="C323" s="109">
        <v>90</v>
      </c>
      <c r="D323" s="118">
        <v>0.16</v>
      </c>
      <c r="E323" s="113">
        <v>11.55</v>
      </c>
      <c r="F323" s="92"/>
      <c r="G323" s="88">
        <f t="shared" si="38"/>
        <v>0</v>
      </c>
      <c r="J323" s="143" t="str">
        <f t="shared" ref="J323:J386" si="39">IFERROR(IF($J$2*D323=0, "-", $J$2*D323), "-")</f>
        <v>-</v>
      </c>
      <c r="K323" s="143" t="str">
        <f t="shared" ref="K323:K386" si="40">IF(F323&gt;0,E323+D323*F323/$L$2*$M$2/F323,"-")</f>
        <v>-</v>
      </c>
      <c r="L323" s="144" t="str">
        <f t="shared" si="35"/>
        <v>-</v>
      </c>
      <c r="M323" s="145" t="str">
        <f t="shared" ref="M323:M386" si="41">IFERROR(IF($J$2&gt;0, $J$2*L323, "-"), "-")</f>
        <v>-</v>
      </c>
      <c r="O323" s="145" t="str">
        <f t="shared" ref="O323:O386" si="42">IFERROR(IF(M323+G323=0, "-", IF(M323&gt;0, M323+G323, "-")), "-")</f>
        <v>-</v>
      </c>
    </row>
    <row r="324" spans="1:15">
      <c r="A324" s="37" t="s">
        <v>234</v>
      </c>
      <c r="B324" s="67"/>
      <c r="C324" s="3"/>
      <c r="D324" s="120"/>
      <c r="E324" s="19"/>
      <c r="F324" s="94"/>
      <c r="G324" s="38"/>
      <c r="J324" s="143" t="str">
        <f t="shared" si="39"/>
        <v>-</v>
      </c>
      <c r="K324" s="143" t="str">
        <f t="shared" si="40"/>
        <v>-</v>
      </c>
      <c r="L324" s="144" t="str">
        <f t="shared" ref="L324:L387" si="43">IF(F324&gt;0,F324*D324*1.113, "-")</f>
        <v>-</v>
      </c>
      <c r="M324" s="145" t="str">
        <f t="shared" si="41"/>
        <v>-</v>
      </c>
      <c r="O324" s="145" t="str">
        <f t="shared" si="42"/>
        <v>-</v>
      </c>
    </row>
    <row r="325" spans="1:15">
      <c r="A325" s="34" t="s">
        <v>235</v>
      </c>
      <c r="B325" s="65">
        <v>685</v>
      </c>
      <c r="C325" s="109">
        <v>90</v>
      </c>
      <c r="D325" s="118">
        <v>0.15</v>
      </c>
      <c r="E325" s="113">
        <v>9.8699999999999992</v>
      </c>
      <c r="F325" s="92"/>
      <c r="G325" s="88">
        <f t="shared" ref="G325:G355" si="44">F325*E325</f>
        <v>0</v>
      </c>
      <c r="J325" s="143" t="str">
        <f t="shared" si="39"/>
        <v>-</v>
      </c>
      <c r="K325" s="143" t="str">
        <f t="shared" si="40"/>
        <v>-</v>
      </c>
      <c r="L325" s="144" t="str">
        <f t="shared" si="43"/>
        <v>-</v>
      </c>
      <c r="M325" s="145" t="str">
        <f t="shared" si="41"/>
        <v>-</v>
      </c>
      <c r="O325" s="145" t="str">
        <f t="shared" si="42"/>
        <v>-</v>
      </c>
    </row>
    <row r="326" spans="1:15" ht="36">
      <c r="A326" s="34" t="s">
        <v>236</v>
      </c>
      <c r="B326" s="73" t="s">
        <v>237</v>
      </c>
      <c r="C326" s="108" t="s">
        <v>14</v>
      </c>
      <c r="D326" s="118">
        <v>0.66</v>
      </c>
      <c r="E326" s="113">
        <v>12.87</v>
      </c>
      <c r="F326" s="95"/>
      <c r="G326" s="88">
        <f t="shared" si="44"/>
        <v>0</v>
      </c>
      <c r="J326" s="143" t="str">
        <f t="shared" si="39"/>
        <v>-</v>
      </c>
      <c r="K326" s="143" t="str">
        <f t="shared" si="40"/>
        <v>-</v>
      </c>
      <c r="L326" s="144" t="str">
        <f t="shared" si="43"/>
        <v>-</v>
      </c>
      <c r="M326" s="145" t="str">
        <f t="shared" si="41"/>
        <v>-</v>
      </c>
      <c r="O326" s="145" t="str">
        <f t="shared" si="42"/>
        <v>-</v>
      </c>
    </row>
    <row r="327" spans="1:15">
      <c r="A327" s="39"/>
      <c r="B327" s="73" t="s">
        <v>238</v>
      </c>
      <c r="C327" s="108" t="s">
        <v>14</v>
      </c>
      <c r="D327" s="118">
        <v>0.66</v>
      </c>
      <c r="E327" s="113">
        <v>12.87</v>
      </c>
      <c r="F327" s="95"/>
      <c r="G327" s="88">
        <f t="shared" si="44"/>
        <v>0</v>
      </c>
      <c r="J327" s="143" t="str">
        <f t="shared" si="39"/>
        <v>-</v>
      </c>
      <c r="K327" s="143" t="str">
        <f t="shared" si="40"/>
        <v>-</v>
      </c>
      <c r="L327" s="144" t="str">
        <f t="shared" si="43"/>
        <v>-</v>
      </c>
      <c r="M327" s="145" t="str">
        <f t="shared" si="41"/>
        <v>-</v>
      </c>
      <c r="O327" s="145" t="str">
        <f t="shared" si="42"/>
        <v>-</v>
      </c>
    </row>
    <row r="328" spans="1:15">
      <c r="A328" s="39"/>
      <c r="B328" s="73" t="s">
        <v>239</v>
      </c>
      <c r="C328" s="108" t="s">
        <v>14</v>
      </c>
      <c r="D328" s="118">
        <v>0.66</v>
      </c>
      <c r="E328" s="113">
        <v>12.87</v>
      </c>
      <c r="F328" s="95"/>
      <c r="G328" s="88">
        <f t="shared" si="44"/>
        <v>0</v>
      </c>
      <c r="J328" s="143" t="str">
        <f t="shared" si="39"/>
        <v>-</v>
      </c>
      <c r="K328" s="143" t="str">
        <f t="shared" si="40"/>
        <v>-</v>
      </c>
      <c r="L328" s="144" t="str">
        <f t="shared" si="43"/>
        <v>-</v>
      </c>
      <c r="M328" s="145" t="str">
        <f t="shared" si="41"/>
        <v>-</v>
      </c>
      <c r="O328" s="145" t="str">
        <f t="shared" si="42"/>
        <v>-</v>
      </c>
    </row>
    <row r="329" spans="1:15">
      <c r="A329" s="39"/>
      <c r="B329" s="73" t="s">
        <v>240</v>
      </c>
      <c r="C329" s="108" t="s">
        <v>14</v>
      </c>
      <c r="D329" s="118">
        <v>0.66</v>
      </c>
      <c r="E329" s="113">
        <v>12.87</v>
      </c>
      <c r="F329" s="95"/>
      <c r="G329" s="88">
        <f t="shared" si="44"/>
        <v>0</v>
      </c>
      <c r="J329" s="143" t="str">
        <f t="shared" si="39"/>
        <v>-</v>
      </c>
      <c r="K329" s="143" t="str">
        <f t="shared" si="40"/>
        <v>-</v>
      </c>
      <c r="L329" s="144" t="str">
        <f t="shared" si="43"/>
        <v>-</v>
      </c>
      <c r="M329" s="145" t="str">
        <f t="shared" si="41"/>
        <v>-</v>
      </c>
      <c r="O329" s="145" t="str">
        <f t="shared" si="42"/>
        <v>-</v>
      </c>
    </row>
    <row r="330" spans="1:15">
      <c r="A330" s="39"/>
      <c r="B330" s="73" t="s">
        <v>241</v>
      </c>
      <c r="C330" s="108" t="s">
        <v>14</v>
      </c>
      <c r="D330" s="118">
        <v>0.66</v>
      </c>
      <c r="E330" s="113">
        <v>12.87</v>
      </c>
      <c r="F330" s="95"/>
      <c r="G330" s="88">
        <f t="shared" si="44"/>
        <v>0</v>
      </c>
      <c r="J330" s="143" t="str">
        <f t="shared" si="39"/>
        <v>-</v>
      </c>
      <c r="K330" s="143" t="str">
        <f t="shared" si="40"/>
        <v>-</v>
      </c>
      <c r="L330" s="144" t="str">
        <f t="shared" si="43"/>
        <v>-</v>
      </c>
      <c r="M330" s="145" t="str">
        <f t="shared" si="41"/>
        <v>-</v>
      </c>
      <c r="O330" s="145" t="str">
        <f t="shared" si="42"/>
        <v>-</v>
      </c>
    </row>
    <row r="331" spans="1:15">
      <c r="A331" s="55"/>
      <c r="B331" s="73" t="s">
        <v>242</v>
      </c>
      <c r="C331" s="108" t="s">
        <v>14</v>
      </c>
      <c r="D331" s="118">
        <v>0.66</v>
      </c>
      <c r="E331" s="113">
        <v>12.87</v>
      </c>
      <c r="F331" s="95"/>
      <c r="G331" s="88">
        <f t="shared" si="44"/>
        <v>0</v>
      </c>
      <c r="J331" s="143" t="str">
        <f t="shared" si="39"/>
        <v>-</v>
      </c>
      <c r="K331" s="143" t="str">
        <f t="shared" si="40"/>
        <v>-</v>
      </c>
      <c r="L331" s="144" t="str">
        <f t="shared" si="43"/>
        <v>-</v>
      </c>
      <c r="M331" s="145" t="str">
        <f t="shared" si="41"/>
        <v>-</v>
      </c>
      <c r="O331" s="145" t="str">
        <f t="shared" si="42"/>
        <v>-</v>
      </c>
    </row>
    <row r="332" spans="1:15" ht="24">
      <c r="A332" s="34" t="s">
        <v>243</v>
      </c>
      <c r="B332" s="65">
        <v>697</v>
      </c>
      <c r="C332" s="108" t="s">
        <v>14</v>
      </c>
      <c r="D332" s="118">
        <v>0</v>
      </c>
      <c r="E332" s="113">
        <v>17.13</v>
      </c>
      <c r="F332" s="92"/>
      <c r="G332" s="88">
        <f t="shared" si="44"/>
        <v>0</v>
      </c>
      <c r="J332" s="143" t="str">
        <f t="shared" si="39"/>
        <v>-</v>
      </c>
      <c r="K332" s="143" t="str">
        <f t="shared" si="40"/>
        <v>-</v>
      </c>
      <c r="L332" s="144" t="str">
        <f t="shared" si="43"/>
        <v>-</v>
      </c>
      <c r="M332" s="145" t="str">
        <f t="shared" si="41"/>
        <v>-</v>
      </c>
      <c r="O332" s="145" t="str">
        <f t="shared" si="42"/>
        <v>-</v>
      </c>
    </row>
    <row r="333" spans="1:15">
      <c r="A333" s="34" t="s">
        <v>244</v>
      </c>
      <c r="B333" s="65">
        <v>698</v>
      </c>
      <c r="C333" s="109">
        <v>90</v>
      </c>
      <c r="D333" s="118">
        <v>0</v>
      </c>
      <c r="E333" s="113">
        <v>10.53</v>
      </c>
      <c r="F333" s="92"/>
      <c r="G333" s="88">
        <f t="shared" si="44"/>
        <v>0</v>
      </c>
      <c r="J333" s="143" t="str">
        <f t="shared" si="39"/>
        <v>-</v>
      </c>
      <c r="K333" s="143" t="str">
        <f t="shared" si="40"/>
        <v>-</v>
      </c>
      <c r="L333" s="144" t="str">
        <f t="shared" si="43"/>
        <v>-</v>
      </c>
      <c r="M333" s="145" t="str">
        <f t="shared" si="41"/>
        <v>-</v>
      </c>
      <c r="O333" s="145" t="str">
        <f t="shared" si="42"/>
        <v>-</v>
      </c>
    </row>
    <row r="334" spans="1:15">
      <c r="A334" s="39"/>
      <c r="B334" s="65">
        <v>699</v>
      </c>
      <c r="C334" s="109">
        <v>180</v>
      </c>
      <c r="D334" s="118">
        <v>0.56999999999999995</v>
      </c>
      <c r="E334" s="113">
        <v>16.829999999999998</v>
      </c>
      <c r="F334" s="95"/>
      <c r="G334" s="88">
        <f t="shared" si="44"/>
        <v>0</v>
      </c>
      <c r="J334" s="143" t="str">
        <f t="shared" si="39"/>
        <v>-</v>
      </c>
      <c r="K334" s="143" t="str">
        <f t="shared" si="40"/>
        <v>-</v>
      </c>
      <c r="L334" s="144" t="str">
        <f t="shared" si="43"/>
        <v>-</v>
      </c>
      <c r="M334" s="145" t="str">
        <f t="shared" si="41"/>
        <v>-</v>
      </c>
      <c r="O334" s="145" t="str">
        <f t="shared" si="42"/>
        <v>-</v>
      </c>
    </row>
    <row r="335" spans="1:15" ht="28.2">
      <c r="A335" s="34" t="s">
        <v>245</v>
      </c>
      <c r="B335" s="65">
        <v>700</v>
      </c>
      <c r="C335" s="109">
        <v>60</v>
      </c>
      <c r="D335" s="118">
        <v>0</v>
      </c>
      <c r="E335" s="113">
        <v>10.53</v>
      </c>
      <c r="F335" s="92"/>
      <c r="G335" s="88">
        <f t="shared" si="44"/>
        <v>0</v>
      </c>
      <c r="J335" s="143" t="str">
        <f t="shared" si="39"/>
        <v>-</v>
      </c>
      <c r="K335" s="143" t="str">
        <f t="shared" si="40"/>
        <v>-</v>
      </c>
      <c r="L335" s="144" t="str">
        <f t="shared" si="43"/>
        <v>-</v>
      </c>
      <c r="M335" s="145" t="str">
        <f t="shared" si="41"/>
        <v>-</v>
      </c>
      <c r="O335" s="145" t="str">
        <f t="shared" si="42"/>
        <v>-</v>
      </c>
    </row>
    <row r="336" spans="1:15">
      <c r="A336" s="39"/>
      <c r="B336" s="65">
        <v>701</v>
      </c>
      <c r="C336" s="109">
        <v>120</v>
      </c>
      <c r="D336" s="118">
        <v>0.52</v>
      </c>
      <c r="E336" s="113">
        <v>16.829999999999998</v>
      </c>
      <c r="F336" s="95"/>
      <c r="G336" s="88">
        <f t="shared" si="44"/>
        <v>0</v>
      </c>
      <c r="J336" s="143" t="str">
        <f t="shared" si="39"/>
        <v>-</v>
      </c>
      <c r="K336" s="143" t="str">
        <f t="shared" si="40"/>
        <v>-</v>
      </c>
      <c r="L336" s="144" t="str">
        <f t="shared" si="43"/>
        <v>-</v>
      </c>
      <c r="M336" s="145" t="str">
        <f t="shared" si="41"/>
        <v>-</v>
      </c>
      <c r="O336" s="145" t="str">
        <f t="shared" si="42"/>
        <v>-</v>
      </c>
    </row>
    <row r="337" spans="1:15">
      <c r="A337" s="34" t="s">
        <v>246</v>
      </c>
      <c r="B337" s="65">
        <v>702</v>
      </c>
      <c r="C337" s="109">
        <v>60</v>
      </c>
      <c r="D337" s="118">
        <v>0</v>
      </c>
      <c r="E337" s="113">
        <v>10.53</v>
      </c>
      <c r="F337" s="92"/>
      <c r="G337" s="88">
        <f t="shared" si="44"/>
        <v>0</v>
      </c>
      <c r="J337" s="143" t="str">
        <f t="shared" si="39"/>
        <v>-</v>
      </c>
      <c r="K337" s="143" t="str">
        <f t="shared" si="40"/>
        <v>-</v>
      </c>
      <c r="L337" s="144" t="str">
        <f t="shared" si="43"/>
        <v>-</v>
      </c>
      <c r="M337" s="145" t="str">
        <f t="shared" si="41"/>
        <v>-</v>
      </c>
      <c r="O337" s="145" t="str">
        <f t="shared" si="42"/>
        <v>-</v>
      </c>
    </row>
    <row r="338" spans="1:15">
      <c r="A338" s="39"/>
      <c r="B338" s="65">
        <v>704</v>
      </c>
      <c r="C338" s="109">
        <v>120</v>
      </c>
      <c r="D338" s="118">
        <v>0.55000000000000004</v>
      </c>
      <c r="E338" s="113">
        <v>16.829999999999998</v>
      </c>
      <c r="F338" s="95"/>
      <c r="G338" s="88">
        <f t="shared" si="44"/>
        <v>0</v>
      </c>
      <c r="J338" s="143" t="str">
        <f t="shared" si="39"/>
        <v>-</v>
      </c>
      <c r="K338" s="143" t="str">
        <f t="shared" si="40"/>
        <v>-</v>
      </c>
      <c r="L338" s="144" t="str">
        <f t="shared" si="43"/>
        <v>-</v>
      </c>
      <c r="M338" s="145" t="str">
        <f t="shared" si="41"/>
        <v>-</v>
      </c>
      <c r="O338" s="145" t="str">
        <f t="shared" si="42"/>
        <v>-</v>
      </c>
    </row>
    <row r="339" spans="1:15" ht="24">
      <c r="A339" s="34" t="s">
        <v>247</v>
      </c>
      <c r="B339" s="65">
        <v>703</v>
      </c>
      <c r="C339" s="108" t="s">
        <v>14</v>
      </c>
      <c r="D339" s="118">
        <v>0.61</v>
      </c>
      <c r="E339" s="113">
        <v>13.53</v>
      </c>
      <c r="F339" s="92"/>
      <c r="G339" s="88">
        <f t="shared" si="44"/>
        <v>0</v>
      </c>
      <c r="J339" s="143" t="str">
        <f t="shared" si="39"/>
        <v>-</v>
      </c>
      <c r="K339" s="143" t="str">
        <f t="shared" si="40"/>
        <v>-</v>
      </c>
      <c r="L339" s="144" t="str">
        <f t="shared" si="43"/>
        <v>-</v>
      </c>
      <c r="M339" s="145" t="str">
        <f t="shared" si="41"/>
        <v>-</v>
      </c>
      <c r="O339" s="145" t="str">
        <f t="shared" si="42"/>
        <v>-</v>
      </c>
    </row>
    <row r="340" spans="1:15" ht="24">
      <c r="A340" s="34" t="s">
        <v>248</v>
      </c>
      <c r="B340" s="65">
        <v>706</v>
      </c>
      <c r="C340" s="109">
        <v>90</v>
      </c>
      <c r="D340" s="118">
        <v>0</v>
      </c>
      <c r="E340" s="113">
        <v>12.21</v>
      </c>
      <c r="F340" s="92"/>
      <c r="G340" s="88">
        <f t="shared" si="44"/>
        <v>0</v>
      </c>
      <c r="J340" s="143" t="str">
        <f t="shared" si="39"/>
        <v>-</v>
      </c>
      <c r="K340" s="143" t="str">
        <f t="shared" si="40"/>
        <v>-</v>
      </c>
      <c r="L340" s="144" t="str">
        <f t="shared" si="43"/>
        <v>-</v>
      </c>
      <c r="M340" s="145" t="str">
        <f t="shared" si="41"/>
        <v>-</v>
      </c>
      <c r="O340" s="145" t="str">
        <f t="shared" si="42"/>
        <v>-</v>
      </c>
    </row>
    <row r="341" spans="1:15">
      <c r="A341" s="39"/>
      <c r="B341" s="65">
        <v>708</v>
      </c>
      <c r="C341" s="109">
        <v>180</v>
      </c>
      <c r="D341" s="118">
        <v>0</v>
      </c>
      <c r="E341" s="113">
        <v>21.75</v>
      </c>
      <c r="F341" s="95"/>
      <c r="G341" s="88">
        <f t="shared" si="44"/>
        <v>0</v>
      </c>
      <c r="J341" s="143" t="str">
        <f t="shared" si="39"/>
        <v>-</v>
      </c>
      <c r="K341" s="143" t="str">
        <f t="shared" si="40"/>
        <v>-</v>
      </c>
      <c r="L341" s="144" t="str">
        <f t="shared" si="43"/>
        <v>-</v>
      </c>
      <c r="M341" s="145" t="str">
        <f t="shared" si="41"/>
        <v>-</v>
      </c>
      <c r="O341" s="145" t="str">
        <f t="shared" si="42"/>
        <v>-</v>
      </c>
    </row>
    <row r="342" spans="1:15" ht="24">
      <c r="A342" s="34" t="s">
        <v>249</v>
      </c>
      <c r="B342" s="65">
        <v>709</v>
      </c>
      <c r="C342" s="109">
        <v>90</v>
      </c>
      <c r="D342" s="118">
        <v>0</v>
      </c>
      <c r="E342" s="113">
        <v>11.19</v>
      </c>
      <c r="F342" s="92"/>
      <c r="G342" s="88">
        <f t="shared" si="44"/>
        <v>0</v>
      </c>
      <c r="J342" s="143" t="str">
        <f t="shared" si="39"/>
        <v>-</v>
      </c>
      <c r="K342" s="143" t="str">
        <f t="shared" si="40"/>
        <v>-</v>
      </c>
      <c r="L342" s="144" t="str">
        <f t="shared" si="43"/>
        <v>-</v>
      </c>
      <c r="M342" s="145" t="str">
        <f t="shared" si="41"/>
        <v>-</v>
      </c>
      <c r="O342" s="145" t="str">
        <f t="shared" si="42"/>
        <v>-</v>
      </c>
    </row>
    <row r="343" spans="1:15">
      <c r="A343" s="39"/>
      <c r="B343" s="65">
        <v>711</v>
      </c>
      <c r="C343" s="109">
        <v>180</v>
      </c>
      <c r="D343" s="118">
        <v>0.61</v>
      </c>
      <c r="E343" s="113">
        <v>20.43</v>
      </c>
      <c r="F343" s="95"/>
      <c r="G343" s="88">
        <f t="shared" si="44"/>
        <v>0</v>
      </c>
      <c r="J343" s="143" t="str">
        <f t="shared" si="39"/>
        <v>-</v>
      </c>
      <c r="K343" s="143" t="str">
        <f t="shared" si="40"/>
        <v>-</v>
      </c>
      <c r="L343" s="144" t="str">
        <f t="shared" si="43"/>
        <v>-</v>
      </c>
      <c r="M343" s="145" t="str">
        <f t="shared" si="41"/>
        <v>-</v>
      </c>
      <c r="O343" s="145" t="str">
        <f t="shared" si="42"/>
        <v>-</v>
      </c>
    </row>
    <row r="344" spans="1:15">
      <c r="A344" s="34" t="s">
        <v>250</v>
      </c>
      <c r="B344" s="65">
        <v>710</v>
      </c>
      <c r="C344" s="109">
        <v>90</v>
      </c>
      <c r="D344" s="118">
        <v>0</v>
      </c>
      <c r="E344" s="113">
        <v>10.23</v>
      </c>
      <c r="F344" s="92"/>
      <c r="G344" s="88">
        <f t="shared" si="44"/>
        <v>0</v>
      </c>
      <c r="J344" s="143" t="str">
        <f t="shared" si="39"/>
        <v>-</v>
      </c>
      <c r="K344" s="143" t="str">
        <f t="shared" si="40"/>
        <v>-</v>
      </c>
      <c r="L344" s="144" t="str">
        <f t="shared" si="43"/>
        <v>-</v>
      </c>
      <c r="M344" s="145" t="str">
        <f t="shared" si="41"/>
        <v>-</v>
      </c>
      <c r="O344" s="145" t="str">
        <f t="shared" si="42"/>
        <v>-</v>
      </c>
    </row>
    <row r="345" spans="1:15">
      <c r="A345" s="39"/>
      <c r="B345" s="65">
        <v>712</v>
      </c>
      <c r="C345" s="109">
        <v>180</v>
      </c>
      <c r="D345" s="118">
        <v>0.59</v>
      </c>
      <c r="E345" s="113">
        <v>17.79</v>
      </c>
      <c r="F345" s="95"/>
      <c r="G345" s="88">
        <f t="shared" si="44"/>
        <v>0</v>
      </c>
      <c r="J345" s="143" t="str">
        <f t="shared" si="39"/>
        <v>-</v>
      </c>
      <c r="K345" s="143" t="str">
        <f t="shared" si="40"/>
        <v>-</v>
      </c>
      <c r="L345" s="144" t="str">
        <f t="shared" si="43"/>
        <v>-</v>
      </c>
      <c r="M345" s="145" t="str">
        <f t="shared" si="41"/>
        <v>-</v>
      </c>
      <c r="O345" s="145" t="str">
        <f t="shared" si="42"/>
        <v>-</v>
      </c>
    </row>
    <row r="346" spans="1:15">
      <c r="A346" s="34" t="s">
        <v>251</v>
      </c>
      <c r="B346" s="65">
        <v>713</v>
      </c>
      <c r="C346" s="109">
        <v>90</v>
      </c>
      <c r="D346" s="118">
        <v>0</v>
      </c>
      <c r="E346" s="113">
        <v>12.87</v>
      </c>
      <c r="F346" s="92"/>
      <c r="G346" s="88">
        <f t="shared" si="44"/>
        <v>0</v>
      </c>
      <c r="J346" s="143" t="str">
        <f t="shared" si="39"/>
        <v>-</v>
      </c>
      <c r="K346" s="143" t="str">
        <f t="shared" si="40"/>
        <v>-</v>
      </c>
      <c r="L346" s="144" t="str">
        <f t="shared" si="43"/>
        <v>-</v>
      </c>
      <c r="M346" s="145" t="str">
        <f t="shared" si="41"/>
        <v>-</v>
      </c>
      <c r="O346" s="145" t="str">
        <f t="shared" si="42"/>
        <v>-</v>
      </c>
    </row>
    <row r="347" spans="1:15">
      <c r="A347" s="39"/>
      <c r="B347" s="65">
        <v>714</v>
      </c>
      <c r="C347" s="109">
        <v>180</v>
      </c>
      <c r="D347" s="118">
        <v>0.52</v>
      </c>
      <c r="E347" s="113">
        <v>23.73</v>
      </c>
      <c r="F347" s="95"/>
      <c r="G347" s="88">
        <f t="shared" si="44"/>
        <v>0</v>
      </c>
      <c r="J347" s="143" t="str">
        <f t="shared" si="39"/>
        <v>-</v>
      </c>
      <c r="K347" s="143" t="str">
        <f t="shared" si="40"/>
        <v>-</v>
      </c>
      <c r="L347" s="144" t="str">
        <f t="shared" si="43"/>
        <v>-</v>
      </c>
      <c r="M347" s="145" t="str">
        <f t="shared" si="41"/>
        <v>-</v>
      </c>
      <c r="O347" s="145" t="str">
        <f t="shared" si="42"/>
        <v>-</v>
      </c>
    </row>
    <row r="348" spans="1:15">
      <c r="A348" s="34" t="s">
        <v>252</v>
      </c>
      <c r="B348" s="65">
        <v>716</v>
      </c>
      <c r="C348" s="109">
        <v>90</v>
      </c>
      <c r="D348" s="118">
        <v>0</v>
      </c>
      <c r="E348" s="113">
        <v>11.19</v>
      </c>
      <c r="F348" s="92"/>
      <c r="G348" s="88">
        <f t="shared" si="44"/>
        <v>0</v>
      </c>
      <c r="J348" s="143" t="str">
        <f t="shared" si="39"/>
        <v>-</v>
      </c>
      <c r="K348" s="143" t="str">
        <f t="shared" si="40"/>
        <v>-</v>
      </c>
      <c r="L348" s="144" t="str">
        <f t="shared" si="43"/>
        <v>-</v>
      </c>
      <c r="M348" s="145" t="str">
        <f t="shared" si="41"/>
        <v>-</v>
      </c>
      <c r="O348" s="145" t="str">
        <f t="shared" si="42"/>
        <v>-</v>
      </c>
    </row>
    <row r="349" spans="1:15">
      <c r="A349" s="39"/>
      <c r="B349" s="65">
        <v>718</v>
      </c>
      <c r="C349" s="109">
        <v>180</v>
      </c>
      <c r="D349" s="118">
        <v>0.54</v>
      </c>
      <c r="E349" s="113">
        <v>20.43</v>
      </c>
      <c r="F349" s="95"/>
      <c r="G349" s="88">
        <f t="shared" si="44"/>
        <v>0</v>
      </c>
      <c r="J349" s="143" t="str">
        <f t="shared" si="39"/>
        <v>-</v>
      </c>
      <c r="K349" s="143" t="str">
        <f t="shared" si="40"/>
        <v>-</v>
      </c>
      <c r="L349" s="144" t="str">
        <f t="shared" si="43"/>
        <v>-</v>
      </c>
      <c r="M349" s="145" t="str">
        <f t="shared" si="41"/>
        <v>-</v>
      </c>
      <c r="O349" s="145" t="str">
        <f t="shared" si="42"/>
        <v>-</v>
      </c>
    </row>
    <row r="350" spans="1:15" ht="24">
      <c r="A350" s="34" t="s">
        <v>253</v>
      </c>
      <c r="B350" s="65">
        <v>555</v>
      </c>
      <c r="C350" s="109">
        <v>50</v>
      </c>
      <c r="D350" s="118">
        <v>0.19</v>
      </c>
      <c r="E350" s="113">
        <v>7.23</v>
      </c>
      <c r="F350" s="92"/>
      <c r="G350" s="88">
        <f t="shared" si="44"/>
        <v>0</v>
      </c>
      <c r="J350" s="143" t="str">
        <f t="shared" si="39"/>
        <v>-</v>
      </c>
      <c r="K350" s="143" t="str">
        <f t="shared" si="40"/>
        <v>-</v>
      </c>
      <c r="L350" s="144" t="str">
        <f t="shared" si="43"/>
        <v>-</v>
      </c>
      <c r="M350" s="145" t="str">
        <f t="shared" si="41"/>
        <v>-</v>
      </c>
      <c r="O350" s="145" t="str">
        <f t="shared" si="42"/>
        <v>-</v>
      </c>
    </row>
    <row r="351" spans="1:15">
      <c r="A351" s="39"/>
      <c r="B351" s="65">
        <v>557</v>
      </c>
      <c r="C351" s="109">
        <v>100</v>
      </c>
      <c r="D351" s="118">
        <v>0.28000000000000003</v>
      </c>
      <c r="E351" s="113">
        <v>13.82</v>
      </c>
      <c r="F351" s="95"/>
      <c r="G351" s="88">
        <f t="shared" si="44"/>
        <v>0</v>
      </c>
      <c r="J351" s="143" t="str">
        <f t="shared" si="39"/>
        <v>-</v>
      </c>
      <c r="K351" s="143" t="str">
        <f t="shared" si="40"/>
        <v>-</v>
      </c>
      <c r="L351" s="144" t="str">
        <f t="shared" si="43"/>
        <v>-</v>
      </c>
      <c r="M351" s="145" t="str">
        <f t="shared" si="41"/>
        <v>-</v>
      </c>
      <c r="O351" s="145" t="str">
        <f t="shared" si="42"/>
        <v>-</v>
      </c>
    </row>
    <row r="352" spans="1:15" ht="24">
      <c r="A352" s="34" t="s">
        <v>254</v>
      </c>
      <c r="B352" s="65">
        <v>576</v>
      </c>
      <c r="C352" s="109">
        <v>90</v>
      </c>
      <c r="D352" s="118">
        <v>0</v>
      </c>
      <c r="E352" s="113">
        <v>15.81</v>
      </c>
      <c r="F352" s="92"/>
      <c r="G352" s="88">
        <f t="shared" si="44"/>
        <v>0</v>
      </c>
      <c r="J352" s="143" t="str">
        <f t="shared" si="39"/>
        <v>-</v>
      </c>
      <c r="K352" s="143" t="str">
        <f t="shared" si="40"/>
        <v>-</v>
      </c>
      <c r="L352" s="144" t="str">
        <f t="shared" si="43"/>
        <v>-</v>
      </c>
      <c r="M352" s="145" t="str">
        <f t="shared" si="41"/>
        <v>-</v>
      </c>
      <c r="O352" s="145" t="str">
        <f t="shared" si="42"/>
        <v>-</v>
      </c>
    </row>
    <row r="353" spans="1:15">
      <c r="A353" s="34" t="s">
        <v>255</v>
      </c>
      <c r="B353" s="65">
        <v>564</v>
      </c>
      <c r="C353" s="109">
        <v>50</v>
      </c>
      <c r="D353" s="118">
        <v>0.16</v>
      </c>
      <c r="E353" s="113">
        <v>11.85</v>
      </c>
      <c r="F353" s="92"/>
      <c r="G353" s="88">
        <f t="shared" si="44"/>
        <v>0</v>
      </c>
      <c r="J353" s="143" t="str">
        <f t="shared" si="39"/>
        <v>-</v>
      </c>
      <c r="K353" s="143" t="str">
        <f t="shared" si="40"/>
        <v>-</v>
      </c>
      <c r="L353" s="144" t="str">
        <f t="shared" si="43"/>
        <v>-</v>
      </c>
      <c r="M353" s="145" t="str">
        <f t="shared" si="41"/>
        <v>-</v>
      </c>
      <c r="O353" s="145" t="str">
        <f t="shared" si="42"/>
        <v>-</v>
      </c>
    </row>
    <row r="354" spans="1:15" ht="24">
      <c r="A354" s="34" t="s">
        <v>256</v>
      </c>
      <c r="B354" s="65">
        <v>580</v>
      </c>
      <c r="C354" s="109">
        <v>90</v>
      </c>
      <c r="D354" s="118">
        <v>0</v>
      </c>
      <c r="E354" s="113">
        <v>13.17</v>
      </c>
      <c r="F354" s="95"/>
      <c r="G354" s="88">
        <f t="shared" si="44"/>
        <v>0</v>
      </c>
      <c r="J354" s="143" t="str">
        <f t="shared" si="39"/>
        <v>-</v>
      </c>
      <c r="K354" s="143" t="str">
        <f t="shared" si="40"/>
        <v>-</v>
      </c>
      <c r="L354" s="144" t="str">
        <f t="shared" si="43"/>
        <v>-</v>
      </c>
      <c r="M354" s="145" t="str">
        <f t="shared" si="41"/>
        <v>-</v>
      </c>
      <c r="O354" s="145" t="str">
        <f t="shared" si="42"/>
        <v>-</v>
      </c>
    </row>
    <row r="355" spans="1:15">
      <c r="A355" s="39"/>
      <c r="B355" s="65">
        <v>582</v>
      </c>
      <c r="C355" s="109">
        <v>180</v>
      </c>
      <c r="D355" s="118">
        <v>0</v>
      </c>
      <c r="E355" s="113">
        <v>25.05</v>
      </c>
      <c r="F355" s="95"/>
      <c r="G355" s="88">
        <f t="shared" si="44"/>
        <v>0</v>
      </c>
      <c r="J355" s="143" t="str">
        <f t="shared" si="39"/>
        <v>-</v>
      </c>
      <c r="K355" s="143" t="str">
        <f t="shared" si="40"/>
        <v>-</v>
      </c>
      <c r="L355" s="144" t="str">
        <f t="shared" si="43"/>
        <v>-</v>
      </c>
      <c r="M355" s="145" t="str">
        <f t="shared" si="41"/>
        <v>-</v>
      </c>
      <c r="O355" s="145" t="str">
        <f t="shared" si="42"/>
        <v>-</v>
      </c>
    </row>
    <row r="356" spans="1:15">
      <c r="A356" s="45" t="s">
        <v>158</v>
      </c>
      <c r="B356" s="77"/>
      <c r="C356" s="9"/>
      <c r="D356" s="128">
        <v>0.39</v>
      </c>
      <c r="E356" s="27"/>
      <c r="F356" s="98"/>
      <c r="G356" s="54"/>
      <c r="J356" s="143" t="str">
        <f t="shared" si="39"/>
        <v>-</v>
      </c>
      <c r="K356" s="143" t="str">
        <f t="shared" si="40"/>
        <v>-</v>
      </c>
      <c r="L356" s="144" t="str">
        <f t="shared" si="43"/>
        <v>-</v>
      </c>
      <c r="M356" s="145" t="str">
        <f t="shared" si="41"/>
        <v>-</v>
      </c>
      <c r="O356" s="145" t="str">
        <f t="shared" si="42"/>
        <v>-</v>
      </c>
    </row>
    <row r="357" spans="1:15">
      <c r="A357" s="34" t="s">
        <v>257</v>
      </c>
      <c r="B357" s="65">
        <v>505</v>
      </c>
      <c r="C357" s="109">
        <v>90</v>
      </c>
      <c r="D357" s="118">
        <v>0.61</v>
      </c>
      <c r="E357" s="113">
        <v>13.17</v>
      </c>
      <c r="F357" s="95"/>
      <c r="G357" s="88">
        <f>F357*E357</f>
        <v>0</v>
      </c>
      <c r="J357" s="143" t="str">
        <f t="shared" si="39"/>
        <v>-</v>
      </c>
      <c r="K357" s="143" t="str">
        <f t="shared" si="40"/>
        <v>-</v>
      </c>
      <c r="L357" s="144" t="str">
        <f t="shared" si="43"/>
        <v>-</v>
      </c>
      <c r="M357" s="145" t="str">
        <f t="shared" si="41"/>
        <v>-</v>
      </c>
      <c r="O357" s="145" t="str">
        <f t="shared" si="42"/>
        <v>-</v>
      </c>
    </row>
    <row r="358" spans="1:15">
      <c r="A358" s="37" t="s">
        <v>258</v>
      </c>
      <c r="B358" s="67"/>
      <c r="C358" s="3"/>
      <c r="D358" s="120">
        <v>0.23</v>
      </c>
      <c r="E358" s="19"/>
      <c r="F358" s="94"/>
      <c r="G358" s="38"/>
      <c r="J358" s="143" t="str">
        <f t="shared" si="39"/>
        <v>-</v>
      </c>
      <c r="K358" s="143" t="str">
        <f t="shared" si="40"/>
        <v>-</v>
      </c>
      <c r="L358" s="144" t="str">
        <f t="shared" si="43"/>
        <v>-</v>
      </c>
      <c r="M358" s="145" t="str">
        <f t="shared" si="41"/>
        <v>-</v>
      </c>
      <c r="O358" s="145" t="str">
        <f t="shared" si="42"/>
        <v>-</v>
      </c>
    </row>
    <row r="359" spans="1:15">
      <c r="A359" s="52" t="s">
        <v>145</v>
      </c>
      <c r="B359" s="76"/>
      <c r="C359" s="8"/>
      <c r="D359" s="127">
        <v>0.37</v>
      </c>
      <c r="E359" s="26"/>
      <c r="F359" s="102"/>
      <c r="G359" s="53"/>
      <c r="J359" s="143" t="str">
        <f t="shared" si="39"/>
        <v>-</v>
      </c>
      <c r="K359" s="143" t="str">
        <f t="shared" si="40"/>
        <v>-</v>
      </c>
      <c r="L359" s="144" t="str">
        <f t="shared" si="43"/>
        <v>-</v>
      </c>
      <c r="M359" s="145" t="str">
        <f t="shared" si="41"/>
        <v>-</v>
      </c>
      <c r="O359" s="145" t="str">
        <f t="shared" si="42"/>
        <v>-</v>
      </c>
    </row>
    <row r="360" spans="1:15" ht="24">
      <c r="A360" s="34" t="s">
        <v>259</v>
      </c>
      <c r="B360" s="65">
        <v>600</v>
      </c>
      <c r="C360" s="109">
        <v>30</v>
      </c>
      <c r="D360" s="118">
        <v>0</v>
      </c>
      <c r="E360" s="113">
        <v>18.45</v>
      </c>
      <c r="F360" s="92"/>
      <c r="G360" s="88">
        <f t="shared" ref="G360:G371" si="45">F360*E360</f>
        <v>0</v>
      </c>
      <c r="J360" s="143" t="str">
        <f t="shared" si="39"/>
        <v>-</v>
      </c>
      <c r="K360" s="143" t="str">
        <f t="shared" si="40"/>
        <v>-</v>
      </c>
      <c r="L360" s="144" t="str">
        <f t="shared" si="43"/>
        <v>-</v>
      </c>
      <c r="M360" s="145" t="str">
        <f t="shared" si="41"/>
        <v>-</v>
      </c>
      <c r="O360" s="145" t="str">
        <f t="shared" si="42"/>
        <v>-</v>
      </c>
    </row>
    <row r="361" spans="1:15">
      <c r="A361" s="39"/>
      <c r="B361" s="65">
        <v>601</v>
      </c>
      <c r="C361" s="109">
        <v>60</v>
      </c>
      <c r="D361" s="118">
        <v>0.2</v>
      </c>
      <c r="E361" s="113">
        <v>33.630000000000003</v>
      </c>
      <c r="F361" s="95"/>
      <c r="G361" s="88">
        <f t="shared" si="45"/>
        <v>0</v>
      </c>
      <c r="J361" s="143" t="str">
        <f t="shared" si="39"/>
        <v>-</v>
      </c>
      <c r="K361" s="143" t="str">
        <f t="shared" si="40"/>
        <v>-</v>
      </c>
      <c r="L361" s="144" t="str">
        <f t="shared" si="43"/>
        <v>-</v>
      </c>
      <c r="M361" s="145" t="str">
        <f t="shared" si="41"/>
        <v>-</v>
      </c>
      <c r="O361" s="145" t="str">
        <f t="shared" si="42"/>
        <v>-</v>
      </c>
    </row>
    <row r="362" spans="1:15">
      <c r="A362" s="34" t="s">
        <v>260</v>
      </c>
      <c r="B362" s="65">
        <v>610</v>
      </c>
      <c r="C362" s="109">
        <v>50</v>
      </c>
      <c r="D362" s="118">
        <v>0</v>
      </c>
      <c r="E362" s="113">
        <v>7.59</v>
      </c>
      <c r="F362" s="95"/>
      <c r="G362" s="88">
        <f t="shared" si="45"/>
        <v>0</v>
      </c>
      <c r="J362" s="143" t="str">
        <f t="shared" si="39"/>
        <v>-</v>
      </c>
      <c r="K362" s="143" t="str">
        <f t="shared" si="40"/>
        <v>-</v>
      </c>
      <c r="L362" s="144" t="str">
        <f t="shared" si="43"/>
        <v>-</v>
      </c>
      <c r="M362" s="145" t="str">
        <f t="shared" si="41"/>
        <v>-</v>
      </c>
      <c r="O362" s="145" t="str">
        <f t="shared" si="42"/>
        <v>-</v>
      </c>
    </row>
    <row r="363" spans="1:15">
      <c r="A363" s="55"/>
      <c r="B363" s="65">
        <v>612</v>
      </c>
      <c r="C363" s="109">
        <v>100</v>
      </c>
      <c r="D363" s="118">
        <v>0.18</v>
      </c>
      <c r="E363" s="113">
        <v>14.49</v>
      </c>
      <c r="F363" s="95"/>
      <c r="G363" s="88">
        <f t="shared" si="45"/>
        <v>0</v>
      </c>
      <c r="J363" s="143" t="str">
        <f t="shared" si="39"/>
        <v>-</v>
      </c>
      <c r="K363" s="143" t="str">
        <f t="shared" si="40"/>
        <v>-</v>
      </c>
      <c r="L363" s="144" t="str">
        <f t="shared" si="43"/>
        <v>-</v>
      </c>
      <c r="M363" s="145" t="str">
        <f t="shared" si="41"/>
        <v>-</v>
      </c>
      <c r="O363" s="145" t="str">
        <f t="shared" si="42"/>
        <v>-</v>
      </c>
    </row>
    <row r="364" spans="1:15">
      <c r="A364" s="34" t="s">
        <v>261</v>
      </c>
      <c r="B364" s="65">
        <v>616</v>
      </c>
      <c r="C364" s="109">
        <v>50</v>
      </c>
      <c r="D364" s="118">
        <v>0.16</v>
      </c>
      <c r="E364" s="113">
        <v>13.17</v>
      </c>
      <c r="F364" s="95"/>
      <c r="G364" s="88">
        <f t="shared" si="45"/>
        <v>0</v>
      </c>
      <c r="J364" s="143" t="str">
        <f t="shared" si="39"/>
        <v>-</v>
      </c>
      <c r="K364" s="143" t="str">
        <f t="shared" si="40"/>
        <v>-</v>
      </c>
      <c r="L364" s="144" t="str">
        <f t="shared" si="43"/>
        <v>-</v>
      </c>
      <c r="M364" s="145" t="str">
        <f t="shared" si="41"/>
        <v>-</v>
      </c>
      <c r="O364" s="145" t="str">
        <f t="shared" si="42"/>
        <v>-</v>
      </c>
    </row>
    <row r="365" spans="1:15">
      <c r="A365" s="55"/>
      <c r="B365" s="65">
        <v>618</v>
      </c>
      <c r="C365" s="109">
        <v>100</v>
      </c>
      <c r="D365" s="118">
        <v>0.23</v>
      </c>
      <c r="E365" s="113">
        <v>23.73</v>
      </c>
      <c r="F365" s="95"/>
      <c r="G365" s="88">
        <f t="shared" si="45"/>
        <v>0</v>
      </c>
      <c r="J365" s="143" t="str">
        <f t="shared" si="39"/>
        <v>-</v>
      </c>
      <c r="K365" s="143" t="str">
        <f t="shared" si="40"/>
        <v>-</v>
      </c>
      <c r="L365" s="144" t="str">
        <f t="shared" si="43"/>
        <v>-</v>
      </c>
      <c r="M365" s="145" t="str">
        <f t="shared" si="41"/>
        <v>-</v>
      </c>
      <c r="O365" s="145" t="str">
        <f t="shared" si="42"/>
        <v>-</v>
      </c>
    </row>
    <row r="366" spans="1:15">
      <c r="A366" s="34" t="s">
        <v>262</v>
      </c>
      <c r="B366" s="65">
        <v>622</v>
      </c>
      <c r="C366" s="109">
        <v>50</v>
      </c>
      <c r="D366" s="118">
        <v>0</v>
      </c>
      <c r="E366" s="113">
        <v>26.07</v>
      </c>
      <c r="F366" s="95"/>
      <c r="G366" s="88">
        <f t="shared" si="45"/>
        <v>0</v>
      </c>
      <c r="J366" s="143" t="str">
        <f t="shared" si="39"/>
        <v>-</v>
      </c>
      <c r="K366" s="143" t="str">
        <f t="shared" si="40"/>
        <v>-</v>
      </c>
      <c r="L366" s="144" t="str">
        <f t="shared" si="43"/>
        <v>-</v>
      </c>
      <c r="M366" s="145" t="str">
        <f t="shared" si="41"/>
        <v>-</v>
      </c>
      <c r="O366" s="145" t="str">
        <f t="shared" si="42"/>
        <v>-</v>
      </c>
    </row>
    <row r="367" spans="1:15">
      <c r="A367" s="55"/>
      <c r="B367" s="65">
        <v>624</v>
      </c>
      <c r="C367" s="109">
        <v>100</v>
      </c>
      <c r="D367" s="118">
        <v>0</v>
      </c>
      <c r="E367" s="113">
        <v>45.51</v>
      </c>
      <c r="F367" s="95"/>
      <c r="G367" s="88">
        <f t="shared" si="45"/>
        <v>0</v>
      </c>
      <c r="J367" s="143" t="str">
        <f t="shared" si="39"/>
        <v>-</v>
      </c>
      <c r="K367" s="143" t="str">
        <f t="shared" si="40"/>
        <v>-</v>
      </c>
      <c r="L367" s="144" t="str">
        <f t="shared" si="43"/>
        <v>-</v>
      </c>
      <c r="M367" s="145" t="str">
        <f t="shared" si="41"/>
        <v>-</v>
      </c>
      <c r="O367" s="145" t="str">
        <f t="shared" si="42"/>
        <v>-</v>
      </c>
    </row>
    <row r="368" spans="1:15">
      <c r="A368" s="34" t="s">
        <v>263</v>
      </c>
      <c r="B368" s="65">
        <v>626</v>
      </c>
      <c r="C368" s="109">
        <v>50</v>
      </c>
      <c r="D368" s="118">
        <v>0</v>
      </c>
      <c r="E368" s="113">
        <v>13.82</v>
      </c>
      <c r="F368" s="95"/>
      <c r="G368" s="88">
        <f t="shared" si="45"/>
        <v>0</v>
      </c>
      <c r="J368" s="143" t="str">
        <f t="shared" si="39"/>
        <v>-</v>
      </c>
      <c r="K368" s="143" t="str">
        <f t="shared" si="40"/>
        <v>-</v>
      </c>
      <c r="L368" s="144" t="str">
        <f t="shared" si="43"/>
        <v>-</v>
      </c>
      <c r="M368" s="145" t="str">
        <f t="shared" si="41"/>
        <v>-</v>
      </c>
      <c r="O368" s="145" t="str">
        <f t="shared" si="42"/>
        <v>-</v>
      </c>
    </row>
    <row r="369" spans="1:15">
      <c r="A369" s="55"/>
      <c r="B369" s="65">
        <v>628</v>
      </c>
      <c r="C369" s="109">
        <v>100</v>
      </c>
      <c r="D369" s="118">
        <v>0</v>
      </c>
      <c r="E369" s="113">
        <v>26.07</v>
      </c>
      <c r="F369" s="95"/>
      <c r="G369" s="88">
        <f t="shared" si="45"/>
        <v>0</v>
      </c>
      <c r="J369" s="143" t="str">
        <f t="shared" si="39"/>
        <v>-</v>
      </c>
      <c r="K369" s="143" t="str">
        <f t="shared" si="40"/>
        <v>-</v>
      </c>
      <c r="L369" s="144" t="str">
        <f t="shared" si="43"/>
        <v>-</v>
      </c>
      <c r="M369" s="145" t="str">
        <f t="shared" si="41"/>
        <v>-</v>
      </c>
      <c r="O369" s="145" t="str">
        <f t="shared" si="42"/>
        <v>-</v>
      </c>
    </row>
    <row r="370" spans="1:15">
      <c r="A370" s="34" t="s">
        <v>264</v>
      </c>
      <c r="B370" s="65">
        <v>630</v>
      </c>
      <c r="C370" s="109">
        <v>60</v>
      </c>
      <c r="D370" s="118">
        <v>0</v>
      </c>
      <c r="E370" s="113">
        <v>16.170000000000002</v>
      </c>
      <c r="F370" s="92"/>
      <c r="G370" s="88">
        <f t="shared" si="45"/>
        <v>0</v>
      </c>
      <c r="J370" s="143" t="str">
        <f t="shared" si="39"/>
        <v>-</v>
      </c>
      <c r="K370" s="143" t="str">
        <f t="shared" si="40"/>
        <v>-</v>
      </c>
      <c r="L370" s="144" t="str">
        <f t="shared" si="43"/>
        <v>-</v>
      </c>
      <c r="M370" s="145" t="str">
        <f t="shared" si="41"/>
        <v>-</v>
      </c>
      <c r="O370" s="145" t="str">
        <f t="shared" si="42"/>
        <v>-</v>
      </c>
    </row>
    <row r="371" spans="1:15">
      <c r="A371" s="39"/>
      <c r="B371" s="65">
        <v>632</v>
      </c>
      <c r="C371" s="109">
        <v>120</v>
      </c>
      <c r="D371" s="118">
        <v>0</v>
      </c>
      <c r="E371" s="113">
        <v>30.33</v>
      </c>
      <c r="F371" s="95"/>
      <c r="G371" s="88">
        <f t="shared" si="45"/>
        <v>0</v>
      </c>
      <c r="J371" s="143" t="str">
        <f t="shared" si="39"/>
        <v>-</v>
      </c>
      <c r="K371" s="143" t="str">
        <f t="shared" si="40"/>
        <v>-</v>
      </c>
      <c r="L371" s="144" t="str">
        <f t="shared" si="43"/>
        <v>-</v>
      </c>
      <c r="M371" s="145" t="str">
        <f t="shared" si="41"/>
        <v>-</v>
      </c>
      <c r="O371" s="145" t="str">
        <f t="shared" si="42"/>
        <v>-</v>
      </c>
    </row>
    <row r="372" spans="1:15">
      <c r="A372" s="37" t="s">
        <v>265</v>
      </c>
      <c r="B372" s="67"/>
      <c r="C372" s="3"/>
      <c r="D372" s="120">
        <v>0.66</v>
      </c>
      <c r="E372" s="19"/>
      <c r="F372" s="94"/>
      <c r="G372" s="38"/>
      <c r="J372" s="143" t="str">
        <f t="shared" si="39"/>
        <v>-</v>
      </c>
      <c r="K372" s="143" t="str">
        <f t="shared" si="40"/>
        <v>-</v>
      </c>
      <c r="L372" s="144" t="str">
        <f t="shared" si="43"/>
        <v>-</v>
      </c>
      <c r="M372" s="145" t="str">
        <f t="shared" si="41"/>
        <v>-</v>
      </c>
      <c r="O372" s="145" t="str">
        <f t="shared" si="42"/>
        <v>-</v>
      </c>
    </row>
    <row r="373" spans="1:15">
      <c r="A373" s="52" t="s">
        <v>266</v>
      </c>
      <c r="B373" s="76"/>
      <c r="C373" s="8"/>
      <c r="D373" s="127">
        <v>0.66</v>
      </c>
      <c r="E373" s="26"/>
      <c r="F373" s="102"/>
      <c r="G373" s="53"/>
      <c r="J373" s="143" t="str">
        <f t="shared" si="39"/>
        <v>-</v>
      </c>
      <c r="K373" s="143" t="str">
        <f t="shared" si="40"/>
        <v>-</v>
      </c>
      <c r="L373" s="144" t="str">
        <f t="shared" si="43"/>
        <v>-</v>
      </c>
      <c r="M373" s="145" t="str">
        <f t="shared" si="41"/>
        <v>-</v>
      </c>
      <c r="O373" s="145" t="str">
        <f t="shared" si="42"/>
        <v>-</v>
      </c>
    </row>
    <row r="374" spans="1:15">
      <c r="A374" s="34" t="s">
        <v>267</v>
      </c>
      <c r="B374" s="65">
        <v>650</v>
      </c>
      <c r="C374" s="109">
        <v>100</v>
      </c>
      <c r="D374" s="118">
        <v>0</v>
      </c>
      <c r="E374" s="113">
        <v>7.89</v>
      </c>
      <c r="F374" s="92"/>
      <c r="G374" s="88">
        <f>F374*E374</f>
        <v>0</v>
      </c>
      <c r="J374" s="143" t="str">
        <f t="shared" si="39"/>
        <v>-</v>
      </c>
      <c r="K374" s="143" t="str">
        <f t="shared" si="40"/>
        <v>-</v>
      </c>
      <c r="L374" s="144" t="str">
        <f t="shared" si="43"/>
        <v>-</v>
      </c>
      <c r="M374" s="145" t="str">
        <f t="shared" si="41"/>
        <v>-</v>
      </c>
      <c r="O374" s="145" t="str">
        <f t="shared" si="42"/>
        <v>-</v>
      </c>
    </row>
    <row r="375" spans="1:15">
      <c r="A375" s="34" t="s">
        <v>268</v>
      </c>
      <c r="B375" s="65">
        <v>652</v>
      </c>
      <c r="C375" s="109">
        <v>50</v>
      </c>
      <c r="D375" s="118">
        <v>0</v>
      </c>
      <c r="E375" s="113">
        <v>17.489999999999998</v>
      </c>
      <c r="F375" s="95"/>
      <c r="G375" s="88">
        <f>F375*E375</f>
        <v>0</v>
      </c>
      <c r="J375" s="143" t="str">
        <f t="shared" si="39"/>
        <v>-</v>
      </c>
      <c r="K375" s="143" t="str">
        <f t="shared" si="40"/>
        <v>-</v>
      </c>
      <c r="L375" s="144" t="str">
        <f t="shared" si="43"/>
        <v>-</v>
      </c>
      <c r="M375" s="145" t="str">
        <f t="shared" si="41"/>
        <v>-</v>
      </c>
      <c r="O375" s="145" t="str">
        <f t="shared" si="42"/>
        <v>-</v>
      </c>
    </row>
    <row r="376" spans="1:15">
      <c r="A376" s="55"/>
      <c r="B376" s="65">
        <v>653</v>
      </c>
      <c r="C376" s="109">
        <v>100</v>
      </c>
      <c r="D376" s="118">
        <v>0.18</v>
      </c>
      <c r="E376" s="113">
        <v>32.31</v>
      </c>
      <c r="F376" s="95"/>
      <c r="G376" s="88">
        <f>F376*E376</f>
        <v>0</v>
      </c>
      <c r="J376" s="143" t="str">
        <f t="shared" si="39"/>
        <v>-</v>
      </c>
      <c r="K376" s="143" t="str">
        <f t="shared" si="40"/>
        <v>-</v>
      </c>
      <c r="L376" s="144" t="str">
        <f t="shared" si="43"/>
        <v>-</v>
      </c>
      <c r="M376" s="145" t="str">
        <f t="shared" si="41"/>
        <v>-</v>
      </c>
      <c r="O376" s="145" t="str">
        <f t="shared" si="42"/>
        <v>-</v>
      </c>
    </row>
    <row r="377" spans="1:15">
      <c r="A377" s="34" t="s">
        <v>269</v>
      </c>
      <c r="B377" s="65">
        <v>654</v>
      </c>
      <c r="C377" s="109">
        <v>60</v>
      </c>
      <c r="D377" s="118">
        <v>0.14000000000000001</v>
      </c>
      <c r="E377" s="113">
        <v>14.49</v>
      </c>
      <c r="F377" s="92"/>
      <c r="G377" s="88">
        <f>F377*E377</f>
        <v>0</v>
      </c>
      <c r="J377" s="143" t="str">
        <f t="shared" si="39"/>
        <v>-</v>
      </c>
      <c r="K377" s="143" t="str">
        <f t="shared" si="40"/>
        <v>-</v>
      </c>
      <c r="L377" s="144" t="str">
        <f t="shared" si="43"/>
        <v>-</v>
      </c>
      <c r="M377" s="145" t="str">
        <f t="shared" si="41"/>
        <v>-</v>
      </c>
      <c r="O377" s="145" t="str">
        <f t="shared" si="42"/>
        <v>-</v>
      </c>
    </row>
    <row r="378" spans="1:15">
      <c r="A378" s="45" t="s">
        <v>158</v>
      </c>
      <c r="B378" s="77"/>
      <c r="C378" s="9"/>
      <c r="D378" s="128"/>
      <c r="E378" s="27"/>
      <c r="F378" s="98"/>
      <c r="G378" s="54"/>
      <c r="J378" s="143" t="str">
        <f t="shared" si="39"/>
        <v>-</v>
      </c>
      <c r="K378" s="143" t="str">
        <f t="shared" si="40"/>
        <v>-</v>
      </c>
      <c r="L378" s="144" t="str">
        <f t="shared" si="43"/>
        <v>-</v>
      </c>
      <c r="M378" s="145" t="str">
        <f t="shared" si="41"/>
        <v>-</v>
      </c>
      <c r="O378" s="145" t="str">
        <f t="shared" si="42"/>
        <v>-</v>
      </c>
    </row>
    <row r="379" spans="1:15">
      <c r="A379" s="34" t="s">
        <v>270</v>
      </c>
      <c r="B379" s="65">
        <v>656</v>
      </c>
      <c r="C379" s="109">
        <v>60</v>
      </c>
      <c r="D379" s="118">
        <v>0</v>
      </c>
      <c r="E379" s="113">
        <v>12.87</v>
      </c>
      <c r="F379" s="95"/>
      <c r="G379" s="88">
        <f>F379*E379</f>
        <v>0</v>
      </c>
      <c r="J379" s="143" t="str">
        <f t="shared" si="39"/>
        <v>-</v>
      </c>
      <c r="K379" s="143" t="str">
        <f t="shared" si="40"/>
        <v>-</v>
      </c>
      <c r="L379" s="144" t="str">
        <f t="shared" si="43"/>
        <v>-</v>
      </c>
      <c r="M379" s="145" t="str">
        <f t="shared" si="41"/>
        <v>-</v>
      </c>
      <c r="O379" s="145" t="str">
        <f t="shared" si="42"/>
        <v>-</v>
      </c>
    </row>
    <row r="380" spans="1:15">
      <c r="A380" s="34" t="s">
        <v>271</v>
      </c>
      <c r="B380" s="70"/>
      <c r="C380" s="111"/>
      <c r="D380" s="124"/>
      <c r="E380" s="23"/>
      <c r="F380" s="99"/>
      <c r="G380" s="48"/>
      <c r="J380" s="143" t="str">
        <f t="shared" si="39"/>
        <v>-</v>
      </c>
      <c r="K380" s="143" t="str">
        <f t="shared" si="40"/>
        <v>-</v>
      </c>
      <c r="L380" s="144" t="str">
        <f t="shared" si="43"/>
        <v>-</v>
      </c>
      <c r="M380" s="145" t="str">
        <f t="shared" si="41"/>
        <v>-</v>
      </c>
      <c r="O380" s="145" t="str">
        <f t="shared" si="42"/>
        <v>-</v>
      </c>
    </row>
    <row r="381" spans="1:15">
      <c r="A381" s="37" t="s">
        <v>272</v>
      </c>
      <c r="B381" s="67"/>
      <c r="C381" s="3"/>
      <c r="D381" s="120">
        <v>0.56999999999999995</v>
      </c>
      <c r="E381" s="19"/>
      <c r="F381" s="94"/>
      <c r="G381" s="38"/>
      <c r="J381" s="143" t="str">
        <f t="shared" si="39"/>
        <v>-</v>
      </c>
      <c r="K381" s="143" t="str">
        <f t="shared" si="40"/>
        <v>-</v>
      </c>
      <c r="L381" s="144" t="str">
        <f t="shared" si="43"/>
        <v>-</v>
      </c>
      <c r="M381" s="145" t="str">
        <f t="shared" si="41"/>
        <v>-</v>
      </c>
      <c r="O381" s="145" t="str">
        <f t="shared" si="42"/>
        <v>-</v>
      </c>
    </row>
    <row r="382" spans="1:15">
      <c r="A382" s="34" t="s">
        <v>273</v>
      </c>
      <c r="B382" s="65">
        <v>202</v>
      </c>
      <c r="C382" s="109">
        <v>60</v>
      </c>
      <c r="D382" s="118">
        <v>0</v>
      </c>
      <c r="E382" s="113">
        <v>11.85</v>
      </c>
      <c r="F382" s="92"/>
      <c r="G382" s="88">
        <f t="shared" ref="G382:G416" si="46">F382*E382</f>
        <v>0</v>
      </c>
      <c r="J382" s="143" t="str">
        <f t="shared" si="39"/>
        <v>-</v>
      </c>
      <c r="K382" s="143" t="str">
        <f t="shared" si="40"/>
        <v>-</v>
      </c>
      <c r="L382" s="144" t="str">
        <f t="shared" si="43"/>
        <v>-</v>
      </c>
      <c r="M382" s="145" t="str">
        <f t="shared" si="41"/>
        <v>-</v>
      </c>
      <c r="O382" s="145" t="str">
        <f t="shared" si="42"/>
        <v>-</v>
      </c>
    </row>
    <row r="383" spans="1:15">
      <c r="A383" s="55"/>
      <c r="B383" s="65">
        <v>204</v>
      </c>
      <c r="C383" s="109">
        <v>120</v>
      </c>
      <c r="D383" s="118">
        <v>0.54</v>
      </c>
      <c r="E383" s="113">
        <v>21.45</v>
      </c>
      <c r="F383" s="95"/>
      <c r="G383" s="88">
        <f t="shared" si="46"/>
        <v>0</v>
      </c>
      <c r="J383" s="143" t="str">
        <f t="shared" si="39"/>
        <v>-</v>
      </c>
      <c r="K383" s="143" t="str">
        <f t="shared" si="40"/>
        <v>-</v>
      </c>
      <c r="L383" s="144" t="str">
        <f t="shared" si="43"/>
        <v>-</v>
      </c>
      <c r="M383" s="145" t="str">
        <f t="shared" si="41"/>
        <v>-</v>
      </c>
      <c r="O383" s="145" t="str">
        <f t="shared" si="42"/>
        <v>-</v>
      </c>
    </row>
    <row r="384" spans="1:15">
      <c r="A384" s="34" t="s">
        <v>274</v>
      </c>
      <c r="B384" s="65">
        <v>206</v>
      </c>
      <c r="C384" s="109">
        <v>60</v>
      </c>
      <c r="D384" s="118">
        <v>0</v>
      </c>
      <c r="E384" s="113">
        <v>11.85</v>
      </c>
      <c r="F384" s="92"/>
      <c r="G384" s="88">
        <f t="shared" si="46"/>
        <v>0</v>
      </c>
      <c r="J384" s="143" t="str">
        <f t="shared" si="39"/>
        <v>-</v>
      </c>
      <c r="K384" s="143" t="str">
        <f t="shared" si="40"/>
        <v>-</v>
      </c>
      <c r="L384" s="144" t="str">
        <f t="shared" si="43"/>
        <v>-</v>
      </c>
      <c r="M384" s="145" t="str">
        <f t="shared" si="41"/>
        <v>-</v>
      </c>
      <c r="O384" s="145" t="str">
        <f t="shared" si="42"/>
        <v>-</v>
      </c>
    </row>
    <row r="385" spans="1:15">
      <c r="A385" s="39"/>
      <c r="B385" s="65">
        <v>208</v>
      </c>
      <c r="C385" s="109">
        <v>120</v>
      </c>
      <c r="D385" s="118">
        <v>0.5</v>
      </c>
      <c r="E385" s="113">
        <v>21.45</v>
      </c>
      <c r="F385" s="95"/>
      <c r="G385" s="88">
        <f t="shared" si="46"/>
        <v>0</v>
      </c>
      <c r="J385" s="143" t="str">
        <f t="shared" si="39"/>
        <v>-</v>
      </c>
      <c r="K385" s="143" t="str">
        <f t="shared" si="40"/>
        <v>-</v>
      </c>
      <c r="L385" s="144" t="str">
        <f t="shared" si="43"/>
        <v>-</v>
      </c>
      <c r="M385" s="145" t="str">
        <f t="shared" si="41"/>
        <v>-</v>
      </c>
      <c r="O385" s="145" t="str">
        <f t="shared" si="42"/>
        <v>-</v>
      </c>
    </row>
    <row r="386" spans="1:15">
      <c r="A386" s="34" t="s">
        <v>275</v>
      </c>
      <c r="B386" s="65">
        <v>210</v>
      </c>
      <c r="C386" s="109">
        <v>90</v>
      </c>
      <c r="D386" s="118">
        <v>0</v>
      </c>
      <c r="E386" s="113">
        <v>13.17</v>
      </c>
      <c r="F386" s="92"/>
      <c r="G386" s="88">
        <f t="shared" si="46"/>
        <v>0</v>
      </c>
      <c r="J386" s="143" t="str">
        <f t="shared" si="39"/>
        <v>-</v>
      </c>
      <c r="K386" s="143" t="str">
        <f t="shared" si="40"/>
        <v>-</v>
      </c>
      <c r="L386" s="144" t="str">
        <f t="shared" si="43"/>
        <v>-</v>
      </c>
      <c r="M386" s="145" t="str">
        <f t="shared" si="41"/>
        <v>-</v>
      </c>
      <c r="O386" s="145" t="str">
        <f t="shared" si="42"/>
        <v>-</v>
      </c>
    </row>
    <row r="387" spans="1:15">
      <c r="A387" s="39"/>
      <c r="B387" s="65">
        <v>212</v>
      </c>
      <c r="C387" s="109">
        <v>180</v>
      </c>
      <c r="D387" s="118">
        <v>0.5</v>
      </c>
      <c r="E387" s="113">
        <v>25.05</v>
      </c>
      <c r="F387" s="95"/>
      <c r="G387" s="88">
        <f t="shared" si="46"/>
        <v>0</v>
      </c>
      <c r="J387" s="143" t="str">
        <f t="shared" ref="J387:J450" si="47">IFERROR(IF($J$2*D387=0, "-", $J$2*D387), "-")</f>
        <v>-</v>
      </c>
      <c r="K387" s="143" t="str">
        <f t="shared" ref="K387:K450" si="48">IF(F387&gt;0,E387+D387*F387/$L$2*$M$2/F387,"-")</f>
        <v>-</v>
      </c>
      <c r="L387" s="144" t="str">
        <f t="shared" si="43"/>
        <v>-</v>
      </c>
      <c r="M387" s="145" t="str">
        <f t="shared" ref="M387:M450" si="49">IFERROR(IF($J$2&gt;0, $J$2*L387, "-"), "-")</f>
        <v>-</v>
      </c>
      <c r="O387" s="145" t="str">
        <f t="shared" ref="O387:O450" si="50">IFERROR(IF(M387+G387=0, "-", IF(M387&gt;0, M387+G387, "-")), "-")</f>
        <v>-</v>
      </c>
    </row>
    <row r="388" spans="1:15">
      <c r="A388" s="34" t="s">
        <v>276</v>
      </c>
      <c r="B388" s="65">
        <v>216</v>
      </c>
      <c r="C388" s="109">
        <v>90</v>
      </c>
      <c r="D388" s="118">
        <v>0</v>
      </c>
      <c r="E388" s="113">
        <v>13.17</v>
      </c>
      <c r="F388" s="92"/>
      <c r="G388" s="88">
        <f t="shared" si="46"/>
        <v>0</v>
      </c>
      <c r="J388" s="143" t="str">
        <f t="shared" si="47"/>
        <v>-</v>
      </c>
      <c r="K388" s="143" t="str">
        <f t="shared" si="48"/>
        <v>-</v>
      </c>
      <c r="L388" s="144" t="str">
        <f t="shared" ref="L388:L451" si="51">IF(F388&gt;0,F388*D388*1.113, "-")</f>
        <v>-</v>
      </c>
      <c r="M388" s="145" t="str">
        <f t="shared" si="49"/>
        <v>-</v>
      </c>
      <c r="O388" s="145" t="str">
        <f t="shared" si="50"/>
        <v>-</v>
      </c>
    </row>
    <row r="389" spans="1:15">
      <c r="A389" s="55"/>
      <c r="B389" s="65">
        <v>218</v>
      </c>
      <c r="C389" s="109">
        <v>180</v>
      </c>
      <c r="D389" s="118">
        <v>0.48</v>
      </c>
      <c r="E389" s="113">
        <v>25.05</v>
      </c>
      <c r="F389" s="95"/>
      <c r="G389" s="88">
        <f t="shared" si="46"/>
        <v>0</v>
      </c>
      <c r="J389" s="143" t="str">
        <f t="shared" si="47"/>
        <v>-</v>
      </c>
      <c r="K389" s="143" t="str">
        <f t="shared" si="48"/>
        <v>-</v>
      </c>
      <c r="L389" s="144" t="str">
        <f t="shared" si="51"/>
        <v>-</v>
      </c>
      <c r="M389" s="145" t="str">
        <f t="shared" si="49"/>
        <v>-</v>
      </c>
      <c r="O389" s="145" t="str">
        <f t="shared" si="50"/>
        <v>-</v>
      </c>
    </row>
    <row r="390" spans="1:15" ht="24">
      <c r="A390" s="34" t="s">
        <v>277</v>
      </c>
      <c r="B390" s="65">
        <v>220</v>
      </c>
      <c r="C390" s="109">
        <v>120</v>
      </c>
      <c r="D390" s="118">
        <v>0</v>
      </c>
      <c r="E390" s="113">
        <v>17.489999999999998</v>
      </c>
      <c r="F390" s="95"/>
      <c r="G390" s="88">
        <f t="shared" si="46"/>
        <v>0</v>
      </c>
      <c r="J390" s="143" t="str">
        <f t="shared" si="47"/>
        <v>-</v>
      </c>
      <c r="K390" s="143" t="str">
        <f t="shared" si="48"/>
        <v>-</v>
      </c>
      <c r="L390" s="144" t="str">
        <f t="shared" si="51"/>
        <v>-</v>
      </c>
      <c r="M390" s="145" t="str">
        <f t="shared" si="49"/>
        <v>-</v>
      </c>
      <c r="O390" s="145" t="str">
        <f t="shared" si="50"/>
        <v>-</v>
      </c>
    </row>
    <row r="391" spans="1:15">
      <c r="A391" s="39"/>
      <c r="B391" s="65">
        <v>222</v>
      </c>
      <c r="C391" s="109">
        <v>240</v>
      </c>
      <c r="D391" s="118">
        <v>0</v>
      </c>
      <c r="E391" s="113">
        <v>32.97</v>
      </c>
      <c r="F391" s="95"/>
      <c r="G391" s="88">
        <f t="shared" si="46"/>
        <v>0</v>
      </c>
      <c r="J391" s="143" t="str">
        <f t="shared" si="47"/>
        <v>-</v>
      </c>
      <c r="K391" s="143" t="str">
        <f t="shared" si="48"/>
        <v>-</v>
      </c>
      <c r="L391" s="144" t="str">
        <f t="shared" si="51"/>
        <v>-</v>
      </c>
      <c r="M391" s="145" t="str">
        <f t="shared" si="49"/>
        <v>-</v>
      </c>
      <c r="O391" s="145" t="str">
        <f t="shared" si="50"/>
        <v>-</v>
      </c>
    </row>
    <row r="392" spans="1:15" ht="24">
      <c r="A392" s="34" t="s">
        <v>278</v>
      </c>
      <c r="B392" s="65">
        <v>715</v>
      </c>
      <c r="C392" s="109">
        <v>90</v>
      </c>
      <c r="D392" s="118">
        <v>0.34</v>
      </c>
      <c r="E392" s="113">
        <v>12.21</v>
      </c>
      <c r="F392" s="92"/>
      <c r="G392" s="88">
        <f t="shared" si="46"/>
        <v>0</v>
      </c>
      <c r="J392" s="143" t="str">
        <f t="shared" si="47"/>
        <v>-</v>
      </c>
      <c r="K392" s="143" t="str">
        <f t="shared" si="48"/>
        <v>-</v>
      </c>
      <c r="L392" s="144" t="str">
        <f t="shared" si="51"/>
        <v>-</v>
      </c>
      <c r="M392" s="145" t="str">
        <f t="shared" si="49"/>
        <v>-</v>
      </c>
      <c r="O392" s="145" t="str">
        <f t="shared" si="50"/>
        <v>-</v>
      </c>
    </row>
    <row r="393" spans="1:15">
      <c r="A393" s="39"/>
      <c r="B393" s="65">
        <v>717</v>
      </c>
      <c r="C393" s="109">
        <v>180</v>
      </c>
      <c r="D393" s="118">
        <v>0.61</v>
      </c>
      <c r="E393" s="113">
        <v>22.41</v>
      </c>
      <c r="F393" s="95"/>
      <c r="G393" s="88">
        <f t="shared" si="46"/>
        <v>0</v>
      </c>
      <c r="J393" s="143" t="str">
        <f t="shared" si="47"/>
        <v>-</v>
      </c>
      <c r="K393" s="143" t="str">
        <f t="shared" si="48"/>
        <v>-</v>
      </c>
      <c r="L393" s="144" t="str">
        <f t="shared" si="51"/>
        <v>-</v>
      </c>
      <c r="M393" s="145" t="str">
        <f t="shared" si="49"/>
        <v>-</v>
      </c>
      <c r="O393" s="145" t="str">
        <f t="shared" si="50"/>
        <v>-</v>
      </c>
    </row>
    <row r="394" spans="1:15" ht="24">
      <c r="A394" s="34" t="s">
        <v>279</v>
      </c>
      <c r="B394" s="65">
        <v>719</v>
      </c>
      <c r="C394" s="109">
        <v>90</v>
      </c>
      <c r="D394" s="118">
        <v>0</v>
      </c>
      <c r="E394" s="113">
        <v>12.87</v>
      </c>
      <c r="F394" s="92"/>
      <c r="G394" s="88">
        <f t="shared" si="46"/>
        <v>0</v>
      </c>
      <c r="J394" s="143" t="str">
        <f t="shared" si="47"/>
        <v>-</v>
      </c>
      <c r="K394" s="143" t="str">
        <f t="shared" si="48"/>
        <v>-</v>
      </c>
      <c r="L394" s="144" t="str">
        <f t="shared" si="51"/>
        <v>-</v>
      </c>
      <c r="M394" s="145" t="str">
        <f t="shared" si="49"/>
        <v>-</v>
      </c>
      <c r="O394" s="145" t="str">
        <f t="shared" si="50"/>
        <v>-</v>
      </c>
    </row>
    <row r="395" spans="1:15">
      <c r="A395" s="39"/>
      <c r="B395" s="65">
        <v>720</v>
      </c>
      <c r="C395" s="109">
        <v>180</v>
      </c>
      <c r="D395" s="118">
        <v>0.52</v>
      </c>
      <c r="E395" s="113">
        <v>23.73</v>
      </c>
      <c r="F395" s="95"/>
      <c r="G395" s="88">
        <f t="shared" si="46"/>
        <v>0</v>
      </c>
      <c r="J395" s="143" t="str">
        <f t="shared" si="47"/>
        <v>-</v>
      </c>
      <c r="K395" s="143" t="str">
        <f t="shared" si="48"/>
        <v>-</v>
      </c>
      <c r="L395" s="144" t="str">
        <f t="shared" si="51"/>
        <v>-</v>
      </c>
      <c r="M395" s="145" t="str">
        <f t="shared" si="49"/>
        <v>-</v>
      </c>
      <c r="O395" s="145" t="str">
        <f t="shared" si="50"/>
        <v>-</v>
      </c>
    </row>
    <row r="396" spans="1:15">
      <c r="A396" s="34" t="s">
        <v>280</v>
      </c>
      <c r="B396" s="65">
        <v>721</v>
      </c>
      <c r="C396" s="109">
        <v>100</v>
      </c>
      <c r="D396" s="118">
        <v>0</v>
      </c>
      <c r="E396" s="113">
        <v>10.23</v>
      </c>
      <c r="F396" s="92"/>
      <c r="G396" s="88">
        <f t="shared" si="46"/>
        <v>0</v>
      </c>
      <c r="J396" s="143" t="str">
        <f t="shared" si="47"/>
        <v>-</v>
      </c>
      <c r="K396" s="143" t="str">
        <f t="shared" si="48"/>
        <v>-</v>
      </c>
      <c r="L396" s="144" t="str">
        <f t="shared" si="51"/>
        <v>-</v>
      </c>
      <c r="M396" s="145" t="str">
        <f t="shared" si="49"/>
        <v>-</v>
      </c>
      <c r="O396" s="145" t="str">
        <f t="shared" si="50"/>
        <v>-</v>
      </c>
    </row>
    <row r="397" spans="1:15">
      <c r="A397" s="34" t="s">
        <v>281</v>
      </c>
      <c r="B397" s="65">
        <v>722</v>
      </c>
      <c r="C397" s="109">
        <v>100</v>
      </c>
      <c r="D397" s="118">
        <v>0</v>
      </c>
      <c r="E397" s="113">
        <v>10.89</v>
      </c>
      <c r="F397" s="92"/>
      <c r="G397" s="88">
        <f t="shared" si="46"/>
        <v>0</v>
      </c>
      <c r="J397" s="143" t="str">
        <f t="shared" si="47"/>
        <v>-</v>
      </c>
      <c r="K397" s="143" t="str">
        <f t="shared" si="48"/>
        <v>-</v>
      </c>
      <c r="L397" s="144" t="str">
        <f t="shared" si="51"/>
        <v>-</v>
      </c>
      <c r="M397" s="145" t="str">
        <f t="shared" si="49"/>
        <v>-</v>
      </c>
      <c r="O397" s="145" t="str">
        <f t="shared" si="50"/>
        <v>-</v>
      </c>
    </row>
    <row r="398" spans="1:15">
      <c r="A398" s="34" t="s">
        <v>282</v>
      </c>
      <c r="B398" s="65">
        <v>725</v>
      </c>
      <c r="C398" s="109">
        <v>100</v>
      </c>
      <c r="D398" s="118">
        <v>0</v>
      </c>
      <c r="E398" s="113">
        <v>17.13</v>
      </c>
      <c r="F398" s="92"/>
      <c r="G398" s="88">
        <f t="shared" si="46"/>
        <v>0</v>
      </c>
      <c r="J398" s="143" t="str">
        <f t="shared" si="47"/>
        <v>-</v>
      </c>
      <c r="K398" s="143" t="str">
        <f t="shared" si="48"/>
        <v>-</v>
      </c>
      <c r="L398" s="144" t="str">
        <f t="shared" si="51"/>
        <v>-</v>
      </c>
      <c r="M398" s="145" t="str">
        <f t="shared" si="49"/>
        <v>-</v>
      </c>
      <c r="O398" s="145" t="str">
        <f t="shared" si="50"/>
        <v>-</v>
      </c>
    </row>
    <row r="399" spans="1:15" ht="24">
      <c r="A399" s="34" t="s">
        <v>283</v>
      </c>
      <c r="B399" s="65">
        <v>727</v>
      </c>
      <c r="C399" s="109">
        <v>90</v>
      </c>
      <c r="D399" s="118">
        <v>0</v>
      </c>
      <c r="E399" s="113">
        <v>12.87</v>
      </c>
      <c r="F399" s="92"/>
      <c r="G399" s="88">
        <f t="shared" si="46"/>
        <v>0</v>
      </c>
      <c r="J399" s="143" t="str">
        <f t="shared" si="47"/>
        <v>-</v>
      </c>
      <c r="K399" s="143" t="str">
        <f t="shared" si="48"/>
        <v>-</v>
      </c>
      <c r="L399" s="144" t="str">
        <f t="shared" si="51"/>
        <v>-</v>
      </c>
      <c r="M399" s="145" t="str">
        <f t="shared" si="49"/>
        <v>-</v>
      </c>
      <c r="O399" s="145" t="str">
        <f t="shared" si="50"/>
        <v>-</v>
      </c>
    </row>
    <row r="400" spans="1:15">
      <c r="A400" s="39"/>
      <c r="B400" s="65">
        <v>728</v>
      </c>
      <c r="C400" s="109">
        <v>180</v>
      </c>
      <c r="D400" s="118">
        <v>0</v>
      </c>
      <c r="E400" s="113">
        <v>23.43</v>
      </c>
      <c r="F400" s="95"/>
      <c r="G400" s="88">
        <f t="shared" si="46"/>
        <v>0</v>
      </c>
      <c r="J400" s="143" t="str">
        <f t="shared" si="47"/>
        <v>-</v>
      </c>
      <c r="K400" s="143" t="str">
        <f t="shared" si="48"/>
        <v>-</v>
      </c>
      <c r="L400" s="144" t="str">
        <f t="shared" si="51"/>
        <v>-</v>
      </c>
      <c r="M400" s="145" t="str">
        <f t="shared" si="49"/>
        <v>-</v>
      </c>
      <c r="O400" s="145" t="str">
        <f t="shared" si="50"/>
        <v>-</v>
      </c>
    </row>
    <row r="401" spans="1:15">
      <c r="A401" s="34" t="s">
        <v>284</v>
      </c>
      <c r="B401" s="65">
        <v>729</v>
      </c>
      <c r="C401" s="109">
        <v>60</v>
      </c>
      <c r="D401" s="118">
        <v>0.27</v>
      </c>
      <c r="E401" s="113">
        <v>9.2100000000000009</v>
      </c>
      <c r="F401" s="92"/>
      <c r="G401" s="88">
        <f t="shared" si="46"/>
        <v>0</v>
      </c>
      <c r="J401" s="143" t="str">
        <f t="shared" si="47"/>
        <v>-</v>
      </c>
      <c r="K401" s="143" t="str">
        <f t="shared" si="48"/>
        <v>-</v>
      </c>
      <c r="L401" s="144" t="str">
        <f t="shared" si="51"/>
        <v>-</v>
      </c>
      <c r="M401" s="145" t="str">
        <f t="shared" si="49"/>
        <v>-</v>
      </c>
      <c r="O401" s="145" t="str">
        <f t="shared" si="50"/>
        <v>-</v>
      </c>
    </row>
    <row r="402" spans="1:15">
      <c r="A402" s="55"/>
      <c r="B402" s="65">
        <v>731</v>
      </c>
      <c r="C402" s="109">
        <v>120</v>
      </c>
      <c r="D402" s="118">
        <v>0.46</v>
      </c>
      <c r="E402" s="113">
        <v>16.170000000000002</v>
      </c>
      <c r="F402" s="95"/>
      <c r="G402" s="88">
        <f t="shared" si="46"/>
        <v>0</v>
      </c>
      <c r="J402" s="143" t="str">
        <f t="shared" si="47"/>
        <v>-</v>
      </c>
      <c r="K402" s="143" t="str">
        <f t="shared" si="48"/>
        <v>-</v>
      </c>
      <c r="L402" s="144" t="str">
        <f t="shared" si="51"/>
        <v>-</v>
      </c>
      <c r="M402" s="145" t="str">
        <f t="shared" si="49"/>
        <v>-</v>
      </c>
      <c r="O402" s="145" t="str">
        <f t="shared" si="50"/>
        <v>-</v>
      </c>
    </row>
    <row r="403" spans="1:15">
      <c r="A403" s="34" t="s">
        <v>285</v>
      </c>
      <c r="B403" s="65">
        <v>730</v>
      </c>
      <c r="C403" s="109">
        <v>100</v>
      </c>
      <c r="D403" s="118">
        <v>0.27</v>
      </c>
      <c r="E403" s="113">
        <v>13.83</v>
      </c>
      <c r="F403" s="92"/>
      <c r="G403" s="88">
        <f t="shared" si="46"/>
        <v>0</v>
      </c>
      <c r="J403" s="143" t="str">
        <f t="shared" si="47"/>
        <v>-</v>
      </c>
      <c r="K403" s="143" t="str">
        <f t="shared" si="48"/>
        <v>-</v>
      </c>
      <c r="L403" s="144" t="str">
        <f t="shared" si="51"/>
        <v>-</v>
      </c>
      <c r="M403" s="145" t="str">
        <f t="shared" si="49"/>
        <v>-</v>
      </c>
      <c r="O403" s="145" t="str">
        <f t="shared" si="50"/>
        <v>-</v>
      </c>
    </row>
    <row r="404" spans="1:15">
      <c r="A404" s="55"/>
      <c r="B404" s="65">
        <v>737</v>
      </c>
      <c r="C404" s="109">
        <v>200</v>
      </c>
      <c r="D404" s="118">
        <v>0.48</v>
      </c>
      <c r="E404" s="113">
        <v>25.05</v>
      </c>
      <c r="F404" s="95"/>
      <c r="G404" s="88">
        <f t="shared" si="46"/>
        <v>0</v>
      </c>
      <c r="J404" s="143" t="str">
        <f t="shared" si="47"/>
        <v>-</v>
      </c>
      <c r="K404" s="143" t="str">
        <f t="shared" si="48"/>
        <v>-</v>
      </c>
      <c r="L404" s="144" t="str">
        <f t="shared" si="51"/>
        <v>-</v>
      </c>
      <c r="M404" s="145" t="str">
        <f t="shared" si="49"/>
        <v>-</v>
      </c>
      <c r="O404" s="145" t="str">
        <f t="shared" si="50"/>
        <v>-</v>
      </c>
    </row>
    <row r="405" spans="1:15">
      <c r="A405" s="34" t="s">
        <v>286</v>
      </c>
      <c r="B405" s="65">
        <v>735</v>
      </c>
      <c r="C405" s="109">
        <v>90</v>
      </c>
      <c r="D405" s="118">
        <v>0.26</v>
      </c>
      <c r="E405" s="113">
        <v>13.17</v>
      </c>
      <c r="F405" s="92"/>
      <c r="G405" s="88">
        <f t="shared" si="46"/>
        <v>0</v>
      </c>
      <c r="J405" s="143" t="str">
        <f t="shared" si="47"/>
        <v>-</v>
      </c>
      <c r="K405" s="143" t="str">
        <f t="shared" si="48"/>
        <v>-</v>
      </c>
      <c r="L405" s="144" t="str">
        <f t="shared" si="51"/>
        <v>-</v>
      </c>
      <c r="M405" s="145" t="str">
        <f t="shared" si="49"/>
        <v>-</v>
      </c>
      <c r="O405" s="145" t="str">
        <f t="shared" si="50"/>
        <v>-</v>
      </c>
    </row>
    <row r="406" spans="1:15" ht="24">
      <c r="A406" s="34" t="s">
        <v>287</v>
      </c>
      <c r="B406" s="65">
        <v>732</v>
      </c>
      <c r="C406" s="109">
        <v>60</v>
      </c>
      <c r="D406" s="118">
        <v>0</v>
      </c>
      <c r="E406" s="113">
        <v>12.21</v>
      </c>
      <c r="F406" s="92"/>
      <c r="G406" s="88">
        <f t="shared" si="46"/>
        <v>0</v>
      </c>
      <c r="J406" s="143" t="str">
        <f t="shared" si="47"/>
        <v>-</v>
      </c>
      <c r="K406" s="143" t="str">
        <f t="shared" si="48"/>
        <v>-</v>
      </c>
      <c r="L406" s="144" t="str">
        <f t="shared" si="51"/>
        <v>-</v>
      </c>
      <c r="M406" s="145" t="str">
        <f t="shared" si="49"/>
        <v>-</v>
      </c>
      <c r="O406" s="145" t="str">
        <f t="shared" si="50"/>
        <v>-</v>
      </c>
    </row>
    <row r="407" spans="1:15">
      <c r="A407" s="39"/>
      <c r="B407" s="65">
        <v>733</v>
      </c>
      <c r="C407" s="109">
        <v>120</v>
      </c>
      <c r="D407" s="118">
        <v>0.34</v>
      </c>
      <c r="E407" s="113">
        <v>21.75</v>
      </c>
      <c r="F407" s="95"/>
      <c r="G407" s="88">
        <f t="shared" si="46"/>
        <v>0</v>
      </c>
      <c r="J407" s="143" t="str">
        <f t="shared" si="47"/>
        <v>-</v>
      </c>
      <c r="K407" s="143" t="str">
        <f t="shared" si="48"/>
        <v>-</v>
      </c>
      <c r="L407" s="144" t="str">
        <f t="shared" si="51"/>
        <v>-</v>
      </c>
      <c r="M407" s="145" t="str">
        <f t="shared" si="49"/>
        <v>-</v>
      </c>
      <c r="O407" s="145" t="str">
        <f t="shared" si="50"/>
        <v>-</v>
      </c>
    </row>
    <row r="408" spans="1:15">
      <c r="A408" s="34" t="s">
        <v>288</v>
      </c>
      <c r="B408" s="65">
        <v>734</v>
      </c>
      <c r="C408" s="109">
        <v>90</v>
      </c>
      <c r="D408" s="118">
        <v>0</v>
      </c>
      <c r="E408" s="113">
        <v>10.53</v>
      </c>
      <c r="F408" s="92"/>
      <c r="G408" s="88">
        <f t="shared" si="46"/>
        <v>0</v>
      </c>
      <c r="J408" s="143" t="str">
        <f t="shared" si="47"/>
        <v>-</v>
      </c>
      <c r="K408" s="143" t="str">
        <f t="shared" si="48"/>
        <v>-</v>
      </c>
      <c r="L408" s="144" t="str">
        <f t="shared" si="51"/>
        <v>-</v>
      </c>
      <c r="M408" s="145" t="str">
        <f t="shared" si="49"/>
        <v>-</v>
      </c>
      <c r="O408" s="145" t="str">
        <f t="shared" si="50"/>
        <v>-</v>
      </c>
    </row>
    <row r="409" spans="1:15">
      <c r="A409" s="34" t="s">
        <v>289</v>
      </c>
      <c r="B409" s="65">
        <v>739</v>
      </c>
      <c r="C409" s="109">
        <v>90</v>
      </c>
      <c r="D409" s="118">
        <v>0.16</v>
      </c>
      <c r="E409" s="113">
        <v>9.57</v>
      </c>
      <c r="F409" s="92"/>
      <c r="G409" s="88">
        <f t="shared" si="46"/>
        <v>0</v>
      </c>
      <c r="J409" s="143" t="str">
        <f t="shared" si="47"/>
        <v>-</v>
      </c>
      <c r="K409" s="143" t="str">
        <f t="shared" si="48"/>
        <v>-</v>
      </c>
      <c r="L409" s="144" t="str">
        <f t="shared" si="51"/>
        <v>-</v>
      </c>
      <c r="M409" s="145" t="str">
        <f t="shared" si="49"/>
        <v>-</v>
      </c>
      <c r="O409" s="145" t="str">
        <f t="shared" si="50"/>
        <v>-</v>
      </c>
    </row>
    <row r="410" spans="1:15">
      <c r="A410" s="34" t="s">
        <v>290</v>
      </c>
      <c r="B410" s="65">
        <v>736</v>
      </c>
      <c r="C410" s="109">
        <v>90</v>
      </c>
      <c r="D410" s="118">
        <v>0</v>
      </c>
      <c r="E410" s="113">
        <v>11.19</v>
      </c>
      <c r="F410" s="92"/>
      <c r="G410" s="88">
        <f t="shared" si="46"/>
        <v>0</v>
      </c>
      <c r="J410" s="143" t="str">
        <f t="shared" si="47"/>
        <v>-</v>
      </c>
      <c r="K410" s="143" t="str">
        <f t="shared" si="48"/>
        <v>-</v>
      </c>
      <c r="L410" s="144" t="str">
        <f t="shared" si="51"/>
        <v>-</v>
      </c>
      <c r="M410" s="145" t="str">
        <f t="shared" si="49"/>
        <v>-</v>
      </c>
      <c r="O410" s="145" t="str">
        <f t="shared" si="50"/>
        <v>-</v>
      </c>
    </row>
    <row r="411" spans="1:15">
      <c r="A411" s="34" t="s">
        <v>291</v>
      </c>
      <c r="B411" s="65">
        <v>738</v>
      </c>
      <c r="C411" s="109">
        <v>50</v>
      </c>
      <c r="D411" s="118">
        <v>0.13</v>
      </c>
      <c r="E411" s="113">
        <v>8.91</v>
      </c>
      <c r="F411" s="92"/>
      <c r="G411" s="88">
        <f t="shared" si="46"/>
        <v>0</v>
      </c>
      <c r="J411" s="143" t="str">
        <f t="shared" si="47"/>
        <v>-</v>
      </c>
      <c r="K411" s="143" t="str">
        <f t="shared" si="48"/>
        <v>-</v>
      </c>
      <c r="L411" s="144" t="str">
        <f t="shared" si="51"/>
        <v>-</v>
      </c>
      <c r="M411" s="145" t="str">
        <f t="shared" si="49"/>
        <v>-</v>
      </c>
      <c r="O411" s="145" t="str">
        <f t="shared" si="50"/>
        <v>-</v>
      </c>
    </row>
    <row r="412" spans="1:15">
      <c r="A412" s="55"/>
      <c r="B412" s="65">
        <v>740</v>
      </c>
      <c r="C412" s="109">
        <v>100</v>
      </c>
      <c r="D412" s="118">
        <v>0.16</v>
      </c>
      <c r="E412" s="113">
        <v>15.81</v>
      </c>
      <c r="F412" s="95"/>
      <c r="G412" s="88">
        <f t="shared" si="46"/>
        <v>0</v>
      </c>
      <c r="J412" s="143" t="str">
        <f t="shared" si="47"/>
        <v>-</v>
      </c>
      <c r="K412" s="143" t="str">
        <f t="shared" si="48"/>
        <v>-</v>
      </c>
      <c r="L412" s="144" t="str">
        <f t="shared" si="51"/>
        <v>-</v>
      </c>
      <c r="M412" s="145" t="str">
        <f t="shared" si="49"/>
        <v>-</v>
      </c>
      <c r="O412" s="145" t="str">
        <f t="shared" si="50"/>
        <v>-</v>
      </c>
    </row>
    <row r="413" spans="1:15">
      <c r="A413" s="34" t="s">
        <v>292</v>
      </c>
      <c r="B413" s="65">
        <v>748</v>
      </c>
      <c r="C413" s="109">
        <v>60</v>
      </c>
      <c r="D413" s="118">
        <v>0.2</v>
      </c>
      <c r="E413" s="113">
        <v>10.53</v>
      </c>
      <c r="F413" s="92"/>
      <c r="G413" s="88">
        <f t="shared" si="46"/>
        <v>0</v>
      </c>
      <c r="J413" s="143" t="str">
        <f t="shared" si="47"/>
        <v>-</v>
      </c>
      <c r="K413" s="143" t="str">
        <f t="shared" si="48"/>
        <v>-</v>
      </c>
      <c r="L413" s="144" t="str">
        <f t="shared" si="51"/>
        <v>-</v>
      </c>
      <c r="M413" s="145" t="str">
        <f t="shared" si="49"/>
        <v>-</v>
      </c>
      <c r="O413" s="145" t="str">
        <f t="shared" si="50"/>
        <v>-</v>
      </c>
    </row>
    <row r="414" spans="1:15">
      <c r="A414" s="39"/>
      <c r="B414" s="65">
        <v>749</v>
      </c>
      <c r="C414" s="109">
        <v>120</v>
      </c>
      <c r="D414" s="118">
        <v>0.36</v>
      </c>
      <c r="E414" s="113">
        <v>18.45</v>
      </c>
      <c r="F414" s="95"/>
      <c r="G414" s="88">
        <f t="shared" si="46"/>
        <v>0</v>
      </c>
      <c r="J414" s="143" t="str">
        <f t="shared" si="47"/>
        <v>-</v>
      </c>
      <c r="K414" s="143" t="str">
        <f t="shared" si="48"/>
        <v>-</v>
      </c>
      <c r="L414" s="144" t="str">
        <f t="shared" si="51"/>
        <v>-</v>
      </c>
      <c r="M414" s="145" t="str">
        <f t="shared" si="49"/>
        <v>-</v>
      </c>
      <c r="O414" s="145" t="str">
        <f t="shared" si="50"/>
        <v>-</v>
      </c>
    </row>
    <row r="415" spans="1:15">
      <c r="A415" s="34" t="s">
        <v>293</v>
      </c>
      <c r="B415" s="65">
        <v>750</v>
      </c>
      <c r="C415" s="109">
        <v>90</v>
      </c>
      <c r="D415" s="118">
        <v>0</v>
      </c>
      <c r="E415" s="113">
        <v>23.73</v>
      </c>
      <c r="F415" s="92"/>
      <c r="G415" s="88">
        <f t="shared" si="46"/>
        <v>0</v>
      </c>
      <c r="J415" s="143" t="str">
        <f t="shared" si="47"/>
        <v>-</v>
      </c>
      <c r="K415" s="143" t="str">
        <f t="shared" si="48"/>
        <v>-</v>
      </c>
      <c r="L415" s="144" t="str">
        <f t="shared" si="51"/>
        <v>-</v>
      </c>
      <c r="M415" s="145" t="str">
        <f t="shared" si="49"/>
        <v>-</v>
      </c>
      <c r="O415" s="145" t="str">
        <f t="shared" si="50"/>
        <v>-</v>
      </c>
    </row>
    <row r="416" spans="1:15">
      <c r="A416" s="34" t="s">
        <v>294</v>
      </c>
      <c r="B416" s="65">
        <v>752</v>
      </c>
      <c r="C416" s="109">
        <v>90</v>
      </c>
      <c r="D416" s="118">
        <v>0</v>
      </c>
      <c r="E416" s="113">
        <v>8.5500000000000007</v>
      </c>
      <c r="F416" s="92"/>
      <c r="G416" s="88">
        <f t="shared" si="46"/>
        <v>0</v>
      </c>
      <c r="J416" s="143" t="str">
        <f t="shared" si="47"/>
        <v>-</v>
      </c>
      <c r="K416" s="143" t="str">
        <f t="shared" si="48"/>
        <v>-</v>
      </c>
      <c r="L416" s="144" t="str">
        <f t="shared" si="51"/>
        <v>-</v>
      </c>
      <c r="M416" s="145" t="str">
        <f t="shared" si="49"/>
        <v>-</v>
      </c>
      <c r="O416" s="145" t="str">
        <f t="shared" si="50"/>
        <v>-</v>
      </c>
    </row>
    <row r="417" spans="1:15">
      <c r="A417" s="45" t="s">
        <v>158</v>
      </c>
      <c r="B417" s="77"/>
      <c r="C417" s="9"/>
      <c r="D417" s="128"/>
      <c r="E417" s="27"/>
      <c r="F417" s="98"/>
      <c r="G417" s="54"/>
      <c r="J417" s="143" t="str">
        <f t="shared" si="47"/>
        <v>-</v>
      </c>
      <c r="K417" s="143" t="str">
        <f t="shared" si="48"/>
        <v>-</v>
      </c>
      <c r="L417" s="144" t="str">
        <f t="shared" si="51"/>
        <v>-</v>
      </c>
      <c r="M417" s="145" t="str">
        <f t="shared" si="49"/>
        <v>-</v>
      </c>
      <c r="O417" s="145" t="str">
        <f t="shared" si="50"/>
        <v>-</v>
      </c>
    </row>
    <row r="418" spans="1:15" ht="28.2">
      <c r="A418" s="34" t="s">
        <v>295</v>
      </c>
      <c r="B418" s="73" t="s">
        <v>296</v>
      </c>
      <c r="C418" s="109">
        <v>90</v>
      </c>
      <c r="D418" s="118">
        <v>0.45</v>
      </c>
      <c r="E418" s="113">
        <v>13.82</v>
      </c>
      <c r="F418" s="95"/>
      <c r="G418" s="88">
        <f>F418*E418</f>
        <v>0</v>
      </c>
      <c r="J418" s="143" t="str">
        <f t="shared" si="47"/>
        <v>-</v>
      </c>
      <c r="K418" s="143" t="str">
        <f t="shared" si="48"/>
        <v>-</v>
      </c>
      <c r="L418" s="144" t="str">
        <f t="shared" si="51"/>
        <v>-</v>
      </c>
      <c r="M418" s="145" t="str">
        <f t="shared" si="49"/>
        <v>-</v>
      </c>
      <c r="O418" s="145" t="str">
        <f t="shared" si="50"/>
        <v>-</v>
      </c>
    </row>
    <row r="419" spans="1:15">
      <c r="A419" s="39"/>
      <c r="B419" s="73" t="s">
        <v>297</v>
      </c>
      <c r="C419" s="109">
        <v>90</v>
      </c>
      <c r="D419" s="118">
        <v>0</v>
      </c>
      <c r="E419" s="113">
        <v>13.82</v>
      </c>
      <c r="F419" s="95"/>
      <c r="G419" s="88">
        <f>F419*E419</f>
        <v>0</v>
      </c>
      <c r="J419" s="143" t="str">
        <f t="shared" si="47"/>
        <v>-</v>
      </c>
      <c r="K419" s="143" t="str">
        <f t="shared" si="48"/>
        <v>-</v>
      </c>
      <c r="L419" s="144" t="str">
        <f t="shared" si="51"/>
        <v>-</v>
      </c>
      <c r="M419" s="145" t="str">
        <f t="shared" si="49"/>
        <v>-</v>
      </c>
      <c r="O419" s="145" t="str">
        <f t="shared" si="50"/>
        <v>-</v>
      </c>
    </row>
    <row r="420" spans="1:15">
      <c r="A420" s="34" t="s">
        <v>298</v>
      </c>
      <c r="B420" s="65">
        <v>745</v>
      </c>
      <c r="C420" s="109">
        <v>60</v>
      </c>
      <c r="D420" s="118">
        <v>0.25</v>
      </c>
      <c r="E420" s="113">
        <v>9.2100000000000009</v>
      </c>
      <c r="F420" s="92"/>
      <c r="G420" s="88">
        <f>F420*E420</f>
        <v>0</v>
      </c>
      <c r="J420" s="143" t="str">
        <f t="shared" si="47"/>
        <v>-</v>
      </c>
      <c r="K420" s="143" t="str">
        <f t="shared" si="48"/>
        <v>-</v>
      </c>
      <c r="L420" s="144" t="str">
        <f t="shared" si="51"/>
        <v>-</v>
      </c>
      <c r="M420" s="145" t="str">
        <f t="shared" si="49"/>
        <v>-</v>
      </c>
      <c r="O420" s="145" t="str">
        <f t="shared" si="50"/>
        <v>-</v>
      </c>
    </row>
    <row r="421" spans="1:15" ht="24">
      <c r="A421" s="47" t="s">
        <v>299</v>
      </c>
      <c r="B421" s="72"/>
      <c r="C421" s="4"/>
      <c r="D421" s="124"/>
      <c r="E421" s="23"/>
      <c r="F421" s="99"/>
      <c r="G421" s="48"/>
      <c r="J421" s="143" t="str">
        <f t="shared" si="47"/>
        <v>-</v>
      </c>
      <c r="K421" s="143" t="str">
        <f t="shared" si="48"/>
        <v>-</v>
      </c>
      <c r="L421" s="144" t="str">
        <f t="shared" si="51"/>
        <v>-</v>
      </c>
      <c r="M421" s="145" t="str">
        <f t="shared" si="49"/>
        <v>-</v>
      </c>
      <c r="O421" s="145" t="str">
        <f t="shared" si="50"/>
        <v>-</v>
      </c>
    </row>
    <row r="422" spans="1:15">
      <c r="A422" s="37" t="s">
        <v>300</v>
      </c>
      <c r="B422" s="67"/>
      <c r="C422" s="3"/>
      <c r="D422" s="120"/>
      <c r="E422" s="19"/>
      <c r="F422" s="94"/>
      <c r="G422" s="38"/>
      <c r="J422" s="143" t="str">
        <f t="shared" si="47"/>
        <v>-</v>
      </c>
      <c r="K422" s="143" t="str">
        <f t="shared" si="48"/>
        <v>-</v>
      </c>
      <c r="L422" s="144" t="str">
        <f t="shared" si="51"/>
        <v>-</v>
      </c>
      <c r="M422" s="145" t="str">
        <f t="shared" si="49"/>
        <v>-</v>
      </c>
      <c r="O422" s="145" t="str">
        <f t="shared" si="50"/>
        <v>-</v>
      </c>
    </row>
    <row r="423" spans="1:15">
      <c r="A423" s="34" t="s">
        <v>301</v>
      </c>
      <c r="B423" s="65">
        <v>942</v>
      </c>
      <c r="C423" s="109">
        <v>60</v>
      </c>
      <c r="D423" s="118">
        <v>0</v>
      </c>
      <c r="E423" s="113">
        <v>19.11</v>
      </c>
      <c r="F423" s="92"/>
      <c r="G423" s="88">
        <f t="shared" ref="G423:G430" si="52">F423*E423</f>
        <v>0</v>
      </c>
      <c r="J423" s="143" t="str">
        <f t="shared" si="47"/>
        <v>-</v>
      </c>
      <c r="K423" s="143" t="str">
        <f t="shared" si="48"/>
        <v>-</v>
      </c>
      <c r="L423" s="144" t="str">
        <f t="shared" si="51"/>
        <v>-</v>
      </c>
      <c r="M423" s="145" t="str">
        <f t="shared" si="49"/>
        <v>-</v>
      </c>
      <c r="O423" s="145" t="str">
        <f t="shared" si="50"/>
        <v>-</v>
      </c>
    </row>
    <row r="424" spans="1:15">
      <c r="A424" s="39"/>
      <c r="B424" s="65">
        <v>943</v>
      </c>
      <c r="C424" s="109">
        <v>120</v>
      </c>
      <c r="D424" s="118">
        <v>0.44</v>
      </c>
      <c r="E424" s="113">
        <v>36.270000000000003</v>
      </c>
      <c r="F424" s="95"/>
      <c r="G424" s="88">
        <f t="shared" si="52"/>
        <v>0</v>
      </c>
      <c r="J424" s="143" t="str">
        <f t="shared" si="47"/>
        <v>-</v>
      </c>
      <c r="K424" s="143" t="str">
        <f t="shared" si="48"/>
        <v>-</v>
      </c>
      <c r="L424" s="144" t="str">
        <f t="shared" si="51"/>
        <v>-</v>
      </c>
      <c r="M424" s="145" t="str">
        <f t="shared" si="49"/>
        <v>-</v>
      </c>
      <c r="O424" s="145" t="str">
        <f t="shared" si="50"/>
        <v>-</v>
      </c>
    </row>
    <row r="425" spans="1:15">
      <c r="A425" s="34" t="s">
        <v>302</v>
      </c>
      <c r="B425" s="65">
        <v>944</v>
      </c>
      <c r="C425" s="109">
        <v>60</v>
      </c>
      <c r="D425" s="118">
        <v>0</v>
      </c>
      <c r="E425" s="113">
        <v>19.11</v>
      </c>
      <c r="F425" s="92"/>
      <c r="G425" s="88">
        <f t="shared" si="52"/>
        <v>0</v>
      </c>
      <c r="J425" s="143" t="str">
        <f t="shared" si="47"/>
        <v>-</v>
      </c>
      <c r="K425" s="143" t="str">
        <f t="shared" si="48"/>
        <v>-</v>
      </c>
      <c r="L425" s="144" t="str">
        <f t="shared" si="51"/>
        <v>-</v>
      </c>
      <c r="M425" s="145" t="str">
        <f t="shared" si="49"/>
        <v>-</v>
      </c>
      <c r="O425" s="145" t="str">
        <f t="shared" si="50"/>
        <v>-</v>
      </c>
    </row>
    <row r="426" spans="1:15">
      <c r="A426" s="39"/>
      <c r="B426" s="65">
        <v>945</v>
      </c>
      <c r="C426" s="109">
        <v>120</v>
      </c>
      <c r="D426" s="118">
        <v>0</v>
      </c>
      <c r="E426" s="113">
        <v>36.270000000000003</v>
      </c>
      <c r="F426" s="95"/>
      <c r="G426" s="88">
        <f t="shared" si="52"/>
        <v>0</v>
      </c>
      <c r="J426" s="143" t="str">
        <f t="shared" si="47"/>
        <v>-</v>
      </c>
      <c r="K426" s="143" t="str">
        <f t="shared" si="48"/>
        <v>-</v>
      </c>
      <c r="L426" s="144" t="str">
        <f t="shared" si="51"/>
        <v>-</v>
      </c>
      <c r="M426" s="145" t="str">
        <f t="shared" si="49"/>
        <v>-</v>
      </c>
      <c r="O426" s="145" t="str">
        <f t="shared" si="50"/>
        <v>-</v>
      </c>
    </row>
    <row r="427" spans="1:15">
      <c r="A427" s="34" t="s">
        <v>303</v>
      </c>
      <c r="B427" s="65">
        <v>952</v>
      </c>
      <c r="C427" s="109">
        <v>90</v>
      </c>
      <c r="D427" s="118">
        <v>0</v>
      </c>
      <c r="E427" s="113">
        <v>15.81</v>
      </c>
      <c r="F427" s="92"/>
      <c r="G427" s="88">
        <f t="shared" si="52"/>
        <v>0</v>
      </c>
      <c r="J427" s="143" t="str">
        <f t="shared" si="47"/>
        <v>-</v>
      </c>
      <c r="K427" s="143" t="str">
        <f t="shared" si="48"/>
        <v>-</v>
      </c>
      <c r="L427" s="144" t="str">
        <f t="shared" si="51"/>
        <v>-</v>
      </c>
      <c r="M427" s="145" t="str">
        <f t="shared" si="49"/>
        <v>-</v>
      </c>
      <c r="O427" s="145" t="str">
        <f t="shared" si="50"/>
        <v>-</v>
      </c>
    </row>
    <row r="428" spans="1:15">
      <c r="A428" s="55"/>
      <c r="B428" s="65">
        <v>953</v>
      </c>
      <c r="C428" s="109">
        <v>180</v>
      </c>
      <c r="D428" s="118">
        <v>0.56999999999999995</v>
      </c>
      <c r="E428" s="113">
        <v>28.35</v>
      </c>
      <c r="F428" s="95"/>
      <c r="G428" s="88">
        <f t="shared" si="52"/>
        <v>0</v>
      </c>
      <c r="J428" s="143" t="str">
        <f t="shared" si="47"/>
        <v>-</v>
      </c>
      <c r="K428" s="143" t="str">
        <f t="shared" si="48"/>
        <v>-</v>
      </c>
      <c r="L428" s="144" t="str">
        <f t="shared" si="51"/>
        <v>-</v>
      </c>
      <c r="M428" s="145" t="str">
        <f t="shared" si="49"/>
        <v>-</v>
      </c>
      <c r="O428" s="145" t="str">
        <f t="shared" si="50"/>
        <v>-</v>
      </c>
    </row>
    <row r="429" spans="1:15">
      <c r="A429" s="34" t="s">
        <v>304</v>
      </c>
      <c r="B429" s="65">
        <v>977</v>
      </c>
      <c r="C429" s="109">
        <v>60</v>
      </c>
      <c r="D429" s="118">
        <v>0</v>
      </c>
      <c r="E429" s="113">
        <v>16.170000000000002</v>
      </c>
      <c r="F429" s="92"/>
      <c r="G429" s="88">
        <f t="shared" si="52"/>
        <v>0</v>
      </c>
      <c r="J429" s="143" t="str">
        <f t="shared" si="47"/>
        <v>-</v>
      </c>
      <c r="K429" s="143" t="str">
        <f t="shared" si="48"/>
        <v>-</v>
      </c>
      <c r="L429" s="144" t="str">
        <f t="shared" si="51"/>
        <v>-</v>
      </c>
      <c r="M429" s="145" t="str">
        <f t="shared" si="49"/>
        <v>-</v>
      </c>
      <c r="O429" s="145" t="str">
        <f t="shared" si="50"/>
        <v>-</v>
      </c>
    </row>
    <row r="430" spans="1:15">
      <c r="A430" s="55"/>
      <c r="B430" s="65">
        <v>979</v>
      </c>
      <c r="C430" s="109">
        <v>120</v>
      </c>
      <c r="D430" s="118">
        <v>0.43</v>
      </c>
      <c r="E430" s="113">
        <v>30.69</v>
      </c>
      <c r="F430" s="92"/>
      <c r="G430" s="88">
        <f t="shared" si="52"/>
        <v>0</v>
      </c>
      <c r="J430" s="143" t="str">
        <f t="shared" si="47"/>
        <v>-</v>
      </c>
      <c r="K430" s="143" t="str">
        <f t="shared" si="48"/>
        <v>-</v>
      </c>
      <c r="L430" s="144" t="str">
        <f t="shared" si="51"/>
        <v>-</v>
      </c>
      <c r="M430" s="145" t="str">
        <f t="shared" si="49"/>
        <v>-</v>
      </c>
      <c r="O430" s="145" t="str">
        <f t="shared" si="50"/>
        <v>-</v>
      </c>
    </row>
    <row r="431" spans="1:15">
      <c r="A431" s="37" t="s">
        <v>305</v>
      </c>
      <c r="B431" s="67"/>
      <c r="C431" s="3"/>
      <c r="D431" s="120"/>
      <c r="E431" s="19"/>
      <c r="F431" s="94"/>
      <c r="G431" s="38"/>
      <c r="J431" s="143" t="str">
        <f t="shared" si="47"/>
        <v>-</v>
      </c>
      <c r="K431" s="143" t="str">
        <f t="shared" si="48"/>
        <v>-</v>
      </c>
      <c r="L431" s="144" t="str">
        <f t="shared" si="51"/>
        <v>-</v>
      </c>
      <c r="M431" s="145" t="str">
        <f t="shared" si="49"/>
        <v>-</v>
      </c>
      <c r="O431" s="145" t="str">
        <f t="shared" si="50"/>
        <v>-</v>
      </c>
    </row>
    <row r="432" spans="1:15" ht="24">
      <c r="A432" s="34" t="s">
        <v>306</v>
      </c>
      <c r="B432" s="65">
        <v>908</v>
      </c>
      <c r="C432" s="109">
        <v>30</v>
      </c>
      <c r="D432" s="118">
        <v>0</v>
      </c>
      <c r="E432" s="113">
        <v>15.81</v>
      </c>
      <c r="F432" s="92"/>
      <c r="G432" s="88">
        <f t="shared" ref="G432:G440" si="53">F432*E432</f>
        <v>0</v>
      </c>
      <c r="J432" s="143" t="str">
        <f t="shared" si="47"/>
        <v>-</v>
      </c>
      <c r="K432" s="143" t="str">
        <f t="shared" si="48"/>
        <v>-</v>
      </c>
      <c r="L432" s="144" t="str">
        <f t="shared" si="51"/>
        <v>-</v>
      </c>
      <c r="M432" s="145" t="str">
        <f t="shared" si="49"/>
        <v>-</v>
      </c>
      <c r="O432" s="145" t="str">
        <f t="shared" si="50"/>
        <v>-</v>
      </c>
    </row>
    <row r="433" spans="1:15">
      <c r="A433" s="39"/>
      <c r="B433" s="65">
        <v>909</v>
      </c>
      <c r="C433" s="109">
        <v>60</v>
      </c>
      <c r="D433" s="118">
        <v>0</v>
      </c>
      <c r="E433" s="113">
        <v>28.35</v>
      </c>
      <c r="F433" s="95"/>
      <c r="G433" s="88">
        <f t="shared" si="53"/>
        <v>0</v>
      </c>
      <c r="J433" s="143" t="str">
        <f t="shared" si="47"/>
        <v>-</v>
      </c>
      <c r="K433" s="143" t="str">
        <f t="shared" si="48"/>
        <v>-</v>
      </c>
      <c r="L433" s="144" t="str">
        <f t="shared" si="51"/>
        <v>-</v>
      </c>
      <c r="M433" s="145" t="str">
        <f t="shared" si="49"/>
        <v>-</v>
      </c>
      <c r="O433" s="145" t="str">
        <f t="shared" si="50"/>
        <v>-</v>
      </c>
    </row>
    <row r="434" spans="1:15">
      <c r="A434" s="34" t="s">
        <v>307</v>
      </c>
      <c r="B434" s="65">
        <v>918</v>
      </c>
      <c r="C434" s="109">
        <v>100</v>
      </c>
      <c r="D434" s="118">
        <v>0</v>
      </c>
      <c r="E434" s="113">
        <v>11.85</v>
      </c>
      <c r="F434" s="92"/>
      <c r="G434" s="88">
        <f t="shared" si="53"/>
        <v>0</v>
      </c>
      <c r="J434" s="143" t="str">
        <f t="shared" si="47"/>
        <v>-</v>
      </c>
      <c r="K434" s="143" t="str">
        <f t="shared" si="48"/>
        <v>-</v>
      </c>
      <c r="L434" s="144" t="str">
        <f t="shared" si="51"/>
        <v>-</v>
      </c>
      <c r="M434" s="145" t="str">
        <f t="shared" si="49"/>
        <v>-</v>
      </c>
      <c r="O434" s="145" t="str">
        <f t="shared" si="50"/>
        <v>-</v>
      </c>
    </row>
    <row r="435" spans="1:15">
      <c r="A435" s="34" t="s">
        <v>308</v>
      </c>
      <c r="B435" s="65">
        <v>920</v>
      </c>
      <c r="C435" s="109">
        <v>30</v>
      </c>
      <c r="D435" s="118">
        <v>0</v>
      </c>
      <c r="E435" s="113">
        <v>10.23</v>
      </c>
      <c r="F435" s="95"/>
      <c r="G435" s="88">
        <f t="shared" si="53"/>
        <v>0</v>
      </c>
      <c r="J435" s="143" t="str">
        <f t="shared" si="47"/>
        <v>-</v>
      </c>
      <c r="K435" s="143" t="str">
        <f t="shared" si="48"/>
        <v>-</v>
      </c>
      <c r="L435" s="144" t="str">
        <f t="shared" si="51"/>
        <v>-</v>
      </c>
      <c r="M435" s="145" t="str">
        <f t="shared" si="49"/>
        <v>-</v>
      </c>
      <c r="O435" s="145" t="str">
        <f t="shared" si="50"/>
        <v>-</v>
      </c>
    </row>
    <row r="436" spans="1:15">
      <c r="A436" s="39"/>
      <c r="B436" s="65">
        <v>921</v>
      </c>
      <c r="C436" s="109">
        <v>60</v>
      </c>
      <c r="D436" s="118">
        <v>0</v>
      </c>
      <c r="E436" s="113">
        <v>17.13</v>
      </c>
      <c r="F436" s="95"/>
      <c r="G436" s="88">
        <f t="shared" si="53"/>
        <v>0</v>
      </c>
      <c r="J436" s="143" t="str">
        <f t="shared" si="47"/>
        <v>-</v>
      </c>
      <c r="K436" s="143" t="str">
        <f t="shared" si="48"/>
        <v>-</v>
      </c>
      <c r="L436" s="144" t="str">
        <f t="shared" si="51"/>
        <v>-</v>
      </c>
      <c r="M436" s="145" t="str">
        <f t="shared" si="49"/>
        <v>-</v>
      </c>
      <c r="O436" s="145" t="str">
        <f t="shared" si="50"/>
        <v>-</v>
      </c>
    </row>
    <row r="437" spans="1:15">
      <c r="A437" s="55"/>
      <c r="B437" s="65">
        <v>929</v>
      </c>
      <c r="C437" s="109">
        <v>90</v>
      </c>
      <c r="D437" s="118">
        <v>0.39</v>
      </c>
      <c r="E437" s="113">
        <v>23.73</v>
      </c>
      <c r="F437" s="95"/>
      <c r="G437" s="88">
        <f t="shared" si="53"/>
        <v>0</v>
      </c>
      <c r="J437" s="143" t="str">
        <f t="shared" si="47"/>
        <v>-</v>
      </c>
      <c r="K437" s="143" t="str">
        <f t="shared" si="48"/>
        <v>-</v>
      </c>
      <c r="L437" s="144" t="str">
        <f t="shared" si="51"/>
        <v>-</v>
      </c>
      <c r="M437" s="145" t="str">
        <f t="shared" si="49"/>
        <v>-</v>
      </c>
      <c r="O437" s="145" t="str">
        <f t="shared" si="50"/>
        <v>-</v>
      </c>
    </row>
    <row r="438" spans="1:15">
      <c r="A438" s="34" t="s">
        <v>309</v>
      </c>
      <c r="B438" s="65">
        <v>922</v>
      </c>
      <c r="C438" s="109">
        <v>100</v>
      </c>
      <c r="D438" s="118">
        <v>0.39</v>
      </c>
      <c r="E438" s="113">
        <v>10.53</v>
      </c>
      <c r="F438" s="92"/>
      <c r="G438" s="88">
        <f t="shared" si="53"/>
        <v>0</v>
      </c>
      <c r="J438" s="143" t="str">
        <f t="shared" si="47"/>
        <v>-</v>
      </c>
      <c r="K438" s="143" t="str">
        <f t="shared" si="48"/>
        <v>-</v>
      </c>
      <c r="L438" s="144" t="str">
        <f t="shared" si="51"/>
        <v>-</v>
      </c>
      <c r="M438" s="145" t="str">
        <f t="shared" si="49"/>
        <v>-</v>
      </c>
      <c r="O438" s="145" t="str">
        <f t="shared" si="50"/>
        <v>-</v>
      </c>
    </row>
    <row r="439" spans="1:15">
      <c r="A439" s="55"/>
      <c r="B439" s="65">
        <v>923</v>
      </c>
      <c r="C439" s="109">
        <v>250</v>
      </c>
      <c r="D439" s="118">
        <v>0.7</v>
      </c>
      <c r="E439" s="113">
        <v>22.41</v>
      </c>
      <c r="F439" s="95"/>
      <c r="G439" s="88">
        <f t="shared" si="53"/>
        <v>0</v>
      </c>
      <c r="J439" s="143" t="str">
        <f t="shared" si="47"/>
        <v>-</v>
      </c>
      <c r="K439" s="143" t="str">
        <f t="shared" si="48"/>
        <v>-</v>
      </c>
      <c r="L439" s="144" t="str">
        <f t="shared" si="51"/>
        <v>-</v>
      </c>
      <c r="M439" s="145" t="str">
        <f t="shared" si="49"/>
        <v>-</v>
      </c>
      <c r="O439" s="145" t="str">
        <f t="shared" si="50"/>
        <v>-</v>
      </c>
    </row>
    <row r="440" spans="1:15" ht="24">
      <c r="A440" s="34" t="s">
        <v>310</v>
      </c>
      <c r="B440" s="65">
        <v>1012</v>
      </c>
      <c r="C440" s="109">
        <v>90</v>
      </c>
      <c r="D440" s="118">
        <v>0.36</v>
      </c>
      <c r="E440" s="113">
        <v>17.13</v>
      </c>
      <c r="F440" s="92"/>
      <c r="G440" s="88">
        <f t="shared" si="53"/>
        <v>0</v>
      </c>
      <c r="J440" s="143" t="str">
        <f t="shared" si="47"/>
        <v>-</v>
      </c>
      <c r="K440" s="143" t="str">
        <f t="shared" si="48"/>
        <v>-</v>
      </c>
      <c r="L440" s="144" t="str">
        <f t="shared" si="51"/>
        <v>-</v>
      </c>
      <c r="M440" s="145" t="str">
        <f t="shared" si="49"/>
        <v>-</v>
      </c>
      <c r="O440" s="145" t="str">
        <f t="shared" si="50"/>
        <v>-</v>
      </c>
    </row>
    <row r="441" spans="1:15">
      <c r="A441" s="34" t="s">
        <v>311</v>
      </c>
      <c r="B441" s="74"/>
      <c r="C441" s="6"/>
      <c r="D441" s="125"/>
      <c r="E441" s="24"/>
      <c r="F441" s="100"/>
      <c r="G441" s="49"/>
      <c r="J441" s="143" t="str">
        <f t="shared" si="47"/>
        <v>-</v>
      </c>
      <c r="K441" s="143" t="str">
        <f t="shared" si="48"/>
        <v>-</v>
      </c>
      <c r="L441" s="144" t="str">
        <f t="shared" si="51"/>
        <v>-</v>
      </c>
      <c r="M441" s="145" t="str">
        <f t="shared" si="49"/>
        <v>-</v>
      </c>
      <c r="O441" s="145" t="str">
        <f t="shared" si="50"/>
        <v>-</v>
      </c>
    </row>
    <row r="442" spans="1:15">
      <c r="A442" s="32" t="s">
        <v>312</v>
      </c>
      <c r="B442" s="64"/>
      <c r="C442" s="1"/>
      <c r="D442" s="129">
        <v>0.18</v>
      </c>
      <c r="E442" s="17"/>
      <c r="F442" s="91"/>
      <c r="G442" s="33"/>
      <c r="J442" s="143" t="str">
        <f t="shared" si="47"/>
        <v>-</v>
      </c>
      <c r="K442" s="143" t="str">
        <f t="shared" si="48"/>
        <v>-</v>
      </c>
      <c r="L442" s="144" t="str">
        <f t="shared" si="51"/>
        <v>-</v>
      </c>
      <c r="M442" s="145" t="str">
        <f t="shared" si="49"/>
        <v>-</v>
      </c>
      <c r="O442" s="145" t="str">
        <f t="shared" si="50"/>
        <v>-</v>
      </c>
    </row>
    <row r="443" spans="1:15">
      <c r="A443" s="34" t="s">
        <v>313</v>
      </c>
      <c r="B443" s="65">
        <v>318</v>
      </c>
      <c r="C443" s="109">
        <v>60</v>
      </c>
      <c r="D443" s="118">
        <v>0</v>
      </c>
      <c r="E443" s="113">
        <v>21.09</v>
      </c>
      <c r="F443" s="95"/>
      <c r="G443" s="88">
        <f t="shared" ref="G443:G448" si="54">F443*E443</f>
        <v>0</v>
      </c>
      <c r="J443" s="143" t="str">
        <f t="shared" si="47"/>
        <v>-</v>
      </c>
      <c r="K443" s="143" t="str">
        <f t="shared" si="48"/>
        <v>-</v>
      </c>
      <c r="L443" s="144" t="str">
        <f t="shared" si="51"/>
        <v>-</v>
      </c>
      <c r="M443" s="145" t="str">
        <f t="shared" si="49"/>
        <v>-</v>
      </c>
      <c r="O443" s="145" t="str">
        <f t="shared" si="50"/>
        <v>-</v>
      </c>
    </row>
    <row r="444" spans="1:15">
      <c r="A444" s="39"/>
      <c r="B444" s="65">
        <v>322</v>
      </c>
      <c r="C444" s="109">
        <v>120</v>
      </c>
      <c r="D444" s="118">
        <v>0.34</v>
      </c>
      <c r="E444" s="113">
        <v>39.57</v>
      </c>
      <c r="F444" s="95"/>
      <c r="G444" s="88">
        <f t="shared" si="54"/>
        <v>0</v>
      </c>
      <c r="J444" s="143" t="str">
        <f t="shared" si="47"/>
        <v>-</v>
      </c>
      <c r="K444" s="143" t="str">
        <f t="shared" si="48"/>
        <v>-</v>
      </c>
      <c r="L444" s="144" t="str">
        <f t="shared" si="51"/>
        <v>-</v>
      </c>
      <c r="M444" s="145" t="str">
        <f t="shared" si="49"/>
        <v>-</v>
      </c>
      <c r="O444" s="145" t="str">
        <f t="shared" si="50"/>
        <v>-</v>
      </c>
    </row>
    <row r="445" spans="1:15" ht="25.8">
      <c r="A445" s="34" t="s">
        <v>314</v>
      </c>
      <c r="B445" s="65">
        <v>340</v>
      </c>
      <c r="C445" s="109">
        <v>60</v>
      </c>
      <c r="D445" s="118">
        <v>0</v>
      </c>
      <c r="E445" s="113">
        <v>21.45</v>
      </c>
      <c r="F445" s="95"/>
      <c r="G445" s="88">
        <f t="shared" si="54"/>
        <v>0</v>
      </c>
      <c r="J445" s="143" t="str">
        <f t="shared" si="47"/>
        <v>-</v>
      </c>
      <c r="K445" s="143" t="str">
        <f t="shared" si="48"/>
        <v>-</v>
      </c>
      <c r="L445" s="144" t="str">
        <f t="shared" si="51"/>
        <v>-</v>
      </c>
      <c r="M445" s="145" t="str">
        <f t="shared" si="49"/>
        <v>-</v>
      </c>
      <c r="O445" s="145" t="str">
        <f t="shared" si="50"/>
        <v>-</v>
      </c>
    </row>
    <row r="446" spans="1:15">
      <c r="A446" s="39"/>
      <c r="B446" s="65">
        <v>342</v>
      </c>
      <c r="C446" s="109">
        <v>120</v>
      </c>
      <c r="D446" s="118">
        <v>0.36</v>
      </c>
      <c r="E446" s="113">
        <v>39.57</v>
      </c>
      <c r="F446" s="95"/>
      <c r="G446" s="88">
        <f t="shared" si="54"/>
        <v>0</v>
      </c>
      <c r="J446" s="143" t="str">
        <f t="shared" si="47"/>
        <v>-</v>
      </c>
      <c r="K446" s="143" t="str">
        <f t="shared" si="48"/>
        <v>-</v>
      </c>
      <c r="L446" s="144" t="str">
        <f t="shared" si="51"/>
        <v>-</v>
      </c>
      <c r="M446" s="145" t="str">
        <f t="shared" si="49"/>
        <v>-</v>
      </c>
      <c r="O446" s="145" t="str">
        <f t="shared" si="50"/>
        <v>-</v>
      </c>
    </row>
    <row r="447" spans="1:15">
      <c r="A447" s="34" t="s">
        <v>315</v>
      </c>
      <c r="B447" s="65">
        <v>324</v>
      </c>
      <c r="C447" s="109">
        <v>30</v>
      </c>
      <c r="D447" s="118">
        <v>0</v>
      </c>
      <c r="E447" s="113">
        <v>14.49</v>
      </c>
      <c r="F447" s="92"/>
      <c r="G447" s="88">
        <f t="shared" si="54"/>
        <v>0</v>
      </c>
      <c r="J447" s="143" t="str">
        <f t="shared" si="47"/>
        <v>-</v>
      </c>
      <c r="K447" s="143" t="str">
        <f t="shared" si="48"/>
        <v>-</v>
      </c>
      <c r="L447" s="144" t="str">
        <f t="shared" si="51"/>
        <v>-</v>
      </c>
      <c r="M447" s="145" t="str">
        <f t="shared" si="49"/>
        <v>-</v>
      </c>
      <c r="O447" s="145" t="str">
        <f t="shared" si="50"/>
        <v>-</v>
      </c>
    </row>
    <row r="448" spans="1:15">
      <c r="A448" s="55"/>
      <c r="B448" s="65">
        <v>326</v>
      </c>
      <c r="C448" s="109">
        <v>60</v>
      </c>
      <c r="D448" s="118">
        <v>0</v>
      </c>
      <c r="E448" s="113">
        <v>28.05</v>
      </c>
      <c r="F448" s="95"/>
      <c r="G448" s="88">
        <f t="shared" si="54"/>
        <v>0</v>
      </c>
      <c r="J448" s="143" t="str">
        <f t="shared" si="47"/>
        <v>-</v>
      </c>
      <c r="K448" s="143" t="str">
        <f t="shared" si="48"/>
        <v>-</v>
      </c>
      <c r="L448" s="144" t="str">
        <f t="shared" si="51"/>
        <v>-</v>
      </c>
      <c r="M448" s="145" t="str">
        <f t="shared" si="49"/>
        <v>-</v>
      </c>
      <c r="O448" s="145" t="str">
        <f t="shared" si="50"/>
        <v>-</v>
      </c>
    </row>
    <row r="449" spans="1:15">
      <c r="A449" s="37" t="s">
        <v>316</v>
      </c>
      <c r="B449" s="67"/>
      <c r="C449" s="3"/>
      <c r="D449" s="120"/>
      <c r="E449" s="19"/>
      <c r="F449" s="94"/>
      <c r="G449" s="38"/>
      <c r="J449" s="143" t="str">
        <f t="shared" si="47"/>
        <v>-</v>
      </c>
      <c r="K449" s="143" t="str">
        <f t="shared" si="48"/>
        <v>-</v>
      </c>
      <c r="L449" s="144" t="str">
        <f t="shared" si="51"/>
        <v>-</v>
      </c>
      <c r="M449" s="145" t="str">
        <f t="shared" si="49"/>
        <v>-</v>
      </c>
      <c r="O449" s="145" t="str">
        <f t="shared" si="50"/>
        <v>-</v>
      </c>
    </row>
    <row r="450" spans="1:15" ht="24">
      <c r="A450" s="34" t="s">
        <v>317</v>
      </c>
      <c r="B450" s="65">
        <v>790</v>
      </c>
      <c r="C450" s="109">
        <v>30</v>
      </c>
      <c r="D450" s="118">
        <v>0</v>
      </c>
      <c r="E450" s="113">
        <v>12.51</v>
      </c>
      <c r="F450" s="92"/>
      <c r="G450" s="88">
        <f t="shared" ref="G450:G467" si="55">F450*E450</f>
        <v>0</v>
      </c>
      <c r="J450" s="143" t="str">
        <f t="shared" si="47"/>
        <v>-</v>
      </c>
      <c r="K450" s="143" t="str">
        <f t="shared" si="48"/>
        <v>-</v>
      </c>
      <c r="L450" s="144" t="str">
        <f t="shared" si="51"/>
        <v>-</v>
      </c>
      <c r="M450" s="145" t="str">
        <f t="shared" si="49"/>
        <v>-</v>
      </c>
      <c r="O450" s="145" t="str">
        <f t="shared" si="50"/>
        <v>-</v>
      </c>
    </row>
    <row r="451" spans="1:15">
      <c r="A451" s="39"/>
      <c r="B451" s="65">
        <v>791</v>
      </c>
      <c r="C451" s="109">
        <v>60</v>
      </c>
      <c r="D451" s="118">
        <v>0.18</v>
      </c>
      <c r="E451" s="113">
        <v>22.41</v>
      </c>
      <c r="F451" s="95"/>
      <c r="G451" s="88">
        <f t="shared" si="55"/>
        <v>0</v>
      </c>
      <c r="J451" s="143" t="str">
        <f t="shared" ref="J451:J514" si="56">IFERROR(IF($J$2*D451=0, "-", $J$2*D451), "-")</f>
        <v>-</v>
      </c>
      <c r="K451" s="143" t="str">
        <f t="shared" ref="K451:K514" si="57">IF(F451&gt;0,E451+D451*F451/$L$2*$M$2/F451,"-")</f>
        <v>-</v>
      </c>
      <c r="L451" s="144" t="str">
        <f t="shared" si="51"/>
        <v>-</v>
      </c>
      <c r="M451" s="145" t="str">
        <f t="shared" ref="M451:M514" si="58">IFERROR(IF($J$2&gt;0, $J$2*L451, "-"), "-")</f>
        <v>-</v>
      </c>
      <c r="O451" s="145" t="str">
        <f t="shared" ref="O451:O514" si="59">IFERROR(IF(M451+G451=0, "-", IF(M451&gt;0, M451+G451, "-")), "-")</f>
        <v>-</v>
      </c>
    </row>
    <row r="452" spans="1:15" ht="24">
      <c r="A452" s="34" t="s">
        <v>318</v>
      </c>
      <c r="B452" s="65">
        <v>792</v>
      </c>
      <c r="C452" s="109">
        <v>30</v>
      </c>
      <c r="D452" s="118">
        <v>0.11</v>
      </c>
      <c r="E452" s="113">
        <v>23.07</v>
      </c>
      <c r="F452" s="92"/>
      <c r="G452" s="88">
        <f t="shared" si="55"/>
        <v>0</v>
      </c>
      <c r="J452" s="143" t="str">
        <f t="shared" si="56"/>
        <v>-</v>
      </c>
      <c r="K452" s="143" t="str">
        <f t="shared" si="57"/>
        <v>-</v>
      </c>
      <c r="L452" s="144" t="str">
        <f t="shared" ref="L452:L515" si="60">IF(F452&gt;0,F452*D452*1.113, "-")</f>
        <v>-</v>
      </c>
      <c r="M452" s="145" t="str">
        <f t="shared" si="58"/>
        <v>-</v>
      </c>
      <c r="O452" s="145" t="str">
        <f t="shared" si="59"/>
        <v>-</v>
      </c>
    </row>
    <row r="453" spans="1:15">
      <c r="A453" s="39"/>
      <c r="B453" s="65">
        <v>793</v>
      </c>
      <c r="C453" s="109">
        <v>60</v>
      </c>
      <c r="D453" s="118">
        <v>0.18</v>
      </c>
      <c r="E453" s="113">
        <v>39.57</v>
      </c>
      <c r="F453" s="95"/>
      <c r="G453" s="88">
        <f t="shared" si="55"/>
        <v>0</v>
      </c>
      <c r="J453" s="143" t="str">
        <f t="shared" si="56"/>
        <v>-</v>
      </c>
      <c r="K453" s="143" t="str">
        <f t="shared" si="57"/>
        <v>-</v>
      </c>
      <c r="L453" s="144" t="str">
        <f t="shared" si="60"/>
        <v>-</v>
      </c>
      <c r="M453" s="145" t="str">
        <f t="shared" si="58"/>
        <v>-</v>
      </c>
      <c r="O453" s="145" t="str">
        <f t="shared" si="59"/>
        <v>-</v>
      </c>
    </row>
    <row r="454" spans="1:15" ht="24">
      <c r="A454" s="34" t="s">
        <v>319</v>
      </c>
      <c r="B454" s="65">
        <v>798</v>
      </c>
      <c r="C454" s="109">
        <v>30</v>
      </c>
      <c r="D454" s="118">
        <v>0</v>
      </c>
      <c r="E454" s="113">
        <v>38.61</v>
      </c>
      <c r="F454" s="92"/>
      <c r="G454" s="88">
        <f t="shared" si="55"/>
        <v>0</v>
      </c>
      <c r="J454" s="143" t="str">
        <f t="shared" si="56"/>
        <v>-</v>
      </c>
      <c r="K454" s="143" t="str">
        <f t="shared" si="57"/>
        <v>-</v>
      </c>
      <c r="L454" s="144" t="str">
        <f t="shared" si="60"/>
        <v>-</v>
      </c>
      <c r="M454" s="145" t="str">
        <f t="shared" si="58"/>
        <v>-</v>
      </c>
      <c r="O454" s="145" t="str">
        <f t="shared" si="59"/>
        <v>-</v>
      </c>
    </row>
    <row r="455" spans="1:15">
      <c r="A455" s="39"/>
      <c r="B455" s="65">
        <v>799</v>
      </c>
      <c r="C455" s="109">
        <v>60</v>
      </c>
      <c r="D455" s="118">
        <v>0.2</v>
      </c>
      <c r="E455" s="113">
        <v>65.97</v>
      </c>
      <c r="F455" s="95"/>
      <c r="G455" s="88">
        <f t="shared" si="55"/>
        <v>0</v>
      </c>
      <c r="J455" s="143" t="str">
        <f t="shared" si="56"/>
        <v>-</v>
      </c>
      <c r="K455" s="143" t="str">
        <f t="shared" si="57"/>
        <v>-</v>
      </c>
      <c r="L455" s="144" t="str">
        <f t="shared" si="60"/>
        <v>-</v>
      </c>
      <c r="M455" s="145" t="str">
        <f t="shared" si="58"/>
        <v>-</v>
      </c>
      <c r="O455" s="145" t="str">
        <f t="shared" si="59"/>
        <v>-</v>
      </c>
    </row>
    <row r="456" spans="1:15">
      <c r="A456" s="34" t="s">
        <v>320</v>
      </c>
      <c r="B456" s="65">
        <v>804</v>
      </c>
      <c r="C456" s="109">
        <v>30</v>
      </c>
      <c r="D456" s="118">
        <v>0</v>
      </c>
      <c r="E456" s="113">
        <v>7.23</v>
      </c>
      <c r="F456" s="92"/>
      <c r="G456" s="88">
        <f t="shared" si="55"/>
        <v>0</v>
      </c>
      <c r="J456" s="143" t="str">
        <f t="shared" si="56"/>
        <v>-</v>
      </c>
      <c r="K456" s="143" t="str">
        <f t="shared" si="57"/>
        <v>-</v>
      </c>
      <c r="L456" s="144" t="str">
        <f t="shared" si="60"/>
        <v>-</v>
      </c>
      <c r="M456" s="145" t="str">
        <f t="shared" si="58"/>
        <v>-</v>
      </c>
      <c r="O456" s="145" t="str">
        <f t="shared" si="59"/>
        <v>-</v>
      </c>
    </row>
    <row r="457" spans="1:15">
      <c r="A457" s="39"/>
      <c r="B457" s="65">
        <v>805</v>
      </c>
      <c r="C457" s="109">
        <v>60</v>
      </c>
      <c r="D457" s="118">
        <v>0</v>
      </c>
      <c r="E457" s="113">
        <v>13.17</v>
      </c>
      <c r="F457" s="95"/>
      <c r="G457" s="88">
        <f t="shared" si="55"/>
        <v>0</v>
      </c>
      <c r="J457" s="143" t="str">
        <f t="shared" si="56"/>
        <v>-</v>
      </c>
      <c r="K457" s="143" t="str">
        <f t="shared" si="57"/>
        <v>-</v>
      </c>
      <c r="L457" s="144" t="str">
        <f t="shared" si="60"/>
        <v>-</v>
      </c>
      <c r="M457" s="145" t="str">
        <f t="shared" si="58"/>
        <v>-</v>
      </c>
      <c r="O457" s="145" t="str">
        <f t="shared" si="59"/>
        <v>-</v>
      </c>
    </row>
    <row r="458" spans="1:15">
      <c r="A458" s="55"/>
      <c r="B458" s="65">
        <v>806</v>
      </c>
      <c r="C458" s="109">
        <v>90</v>
      </c>
      <c r="D458" s="118">
        <v>0</v>
      </c>
      <c r="E458" s="113">
        <v>19.11</v>
      </c>
      <c r="F458" s="95"/>
      <c r="G458" s="88">
        <f t="shared" si="55"/>
        <v>0</v>
      </c>
      <c r="J458" s="143" t="str">
        <f t="shared" si="56"/>
        <v>-</v>
      </c>
      <c r="K458" s="143" t="str">
        <f t="shared" si="57"/>
        <v>-</v>
      </c>
      <c r="L458" s="144" t="str">
        <f t="shared" si="60"/>
        <v>-</v>
      </c>
      <c r="M458" s="145" t="str">
        <f t="shared" si="58"/>
        <v>-</v>
      </c>
      <c r="O458" s="145" t="str">
        <f t="shared" si="59"/>
        <v>-</v>
      </c>
    </row>
    <row r="459" spans="1:15">
      <c r="A459" s="34" t="s">
        <v>321</v>
      </c>
      <c r="B459" s="65">
        <v>807</v>
      </c>
      <c r="C459" s="109">
        <v>30</v>
      </c>
      <c r="D459" s="118">
        <v>0</v>
      </c>
      <c r="E459" s="113">
        <v>10.23</v>
      </c>
      <c r="F459" s="95"/>
      <c r="G459" s="88">
        <f t="shared" si="55"/>
        <v>0</v>
      </c>
      <c r="J459" s="143" t="str">
        <f t="shared" si="56"/>
        <v>-</v>
      </c>
      <c r="K459" s="143" t="str">
        <f t="shared" si="57"/>
        <v>-</v>
      </c>
      <c r="L459" s="144" t="str">
        <f t="shared" si="60"/>
        <v>-</v>
      </c>
      <c r="M459" s="145" t="str">
        <f t="shared" si="58"/>
        <v>-</v>
      </c>
      <c r="O459" s="145" t="str">
        <f t="shared" si="59"/>
        <v>-</v>
      </c>
    </row>
    <row r="460" spans="1:15">
      <c r="A460" s="39"/>
      <c r="B460" s="65">
        <v>808</v>
      </c>
      <c r="C460" s="109">
        <v>60</v>
      </c>
      <c r="D460" s="118">
        <v>0</v>
      </c>
      <c r="E460" s="113">
        <v>19.11</v>
      </c>
      <c r="F460" s="95"/>
      <c r="G460" s="88">
        <f t="shared" si="55"/>
        <v>0</v>
      </c>
      <c r="J460" s="143" t="str">
        <f t="shared" si="56"/>
        <v>-</v>
      </c>
      <c r="K460" s="143" t="str">
        <f t="shared" si="57"/>
        <v>-</v>
      </c>
      <c r="L460" s="144" t="str">
        <f t="shared" si="60"/>
        <v>-</v>
      </c>
      <c r="M460" s="145" t="str">
        <f t="shared" si="58"/>
        <v>-</v>
      </c>
      <c r="O460" s="145" t="str">
        <f t="shared" si="59"/>
        <v>-</v>
      </c>
    </row>
    <row r="461" spans="1:15">
      <c r="A461" s="39"/>
      <c r="B461" s="65">
        <v>809</v>
      </c>
      <c r="C461" s="109">
        <v>90</v>
      </c>
      <c r="D461" s="118">
        <v>0</v>
      </c>
      <c r="E461" s="113">
        <v>29.37</v>
      </c>
      <c r="F461" s="95"/>
      <c r="G461" s="88">
        <f t="shared" si="55"/>
        <v>0</v>
      </c>
      <c r="J461" s="143" t="str">
        <f t="shared" si="56"/>
        <v>-</v>
      </c>
      <c r="K461" s="143" t="str">
        <f t="shared" si="57"/>
        <v>-</v>
      </c>
      <c r="L461" s="144" t="str">
        <f t="shared" si="60"/>
        <v>-</v>
      </c>
      <c r="M461" s="145" t="str">
        <f t="shared" si="58"/>
        <v>-</v>
      </c>
      <c r="O461" s="145" t="str">
        <f t="shared" si="59"/>
        <v>-</v>
      </c>
    </row>
    <row r="462" spans="1:15">
      <c r="A462" s="55"/>
      <c r="B462" s="65">
        <v>811</v>
      </c>
      <c r="C462" s="109">
        <v>120</v>
      </c>
      <c r="D462" s="118">
        <v>0.23</v>
      </c>
      <c r="E462" s="113">
        <v>37.590000000000003</v>
      </c>
      <c r="F462" s="95"/>
      <c r="G462" s="88">
        <f t="shared" si="55"/>
        <v>0</v>
      </c>
      <c r="J462" s="143" t="str">
        <f t="shared" si="56"/>
        <v>-</v>
      </c>
      <c r="K462" s="143" t="str">
        <f t="shared" si="57"/>
        <v>-</v>
      </c>
      <c r="L462" s="144" t="str">
        <f t="shared" si="60"/>
        <v>-</v>
      </c>
      <c r="M462" s="145" t="str">
        <f t="shared" si="58"/>
        <v>-</v>
      </c>
      <c r="O462" s="145" t="str">
        <f t="shared" si="59"/>
        <v>-</v>
      </c>
    </row>
    <row r="463" spans="1:15">
      <c r="A463" s="34" t="s">
        <v>322</v>
      </c>
      <c r="B463" s="65">
        <v>817</v>
      </c>
      <c r="C463" s="109">
        <v>30</v>
      </c>
      <c r="D463" s="118">
        <v>0</v>
      </c>
      <c r="E463" s="113">
        <v>17.13</v>
      </c>
      <c r="F463" s="92"/>
      <c r="G463" s="88">
        <f t="shared" si="55"/>
        <v>0</v>
      </c>
      <c r="J463" s="143" t="str">
        <f t="shared" si="56"/>
        <v>-</v>
      </c>
      <c r="K463" s="143" t="str">
        <f t="shared" si="57"/>
        <v>-</v>
      </c>
      <c r="L463" s="144" t="str">
        <f t="shared" si="60"/>
        <v>-</v>
      </c>
      <c r="M463" s="145" t="str">
        <f t="shared" si="58"/>
        <v>-</v>
      </c>
      <c r="O463" s="145" t="str">
        <f t="shared" si="59"/>
        <v>-</v>
      </c>
    </row>
    <row r="464" spans="1:15">
      <c r="A464" s="39"/>
      <c r="B464" s="65">
        <v>820</v>
      </c>
      <c r="C464" s="109">
        <v>60</v>
      </c>
      <c r="D464" s="118">
        <v>0.2</v>
      </c>
      <c r="E464" s="113">
        <v>32.31</v>
      </c>
      <c r="F464" s="95"/>
      <c r="G464" s="88">
        <f t="shared" si="55"/>
        <v>0</v>
      </c>
      <c r="J464" s="143" t="str">
        <f t="shared" si="56"/>
        <v>-</v>
      </c>
      <c r="K464" s="143" t="str">
        <f t="shared" si="57"/>
        <v>-</v>
      </c>
      <c r="L464" s="144" t="str">
        <f t="shared" si="60"/>
        <v>-</v>
      </c>
      <c r="M464" s="145" t="str">
        <f t="shared" si="58"/>
        <v>-</v>
      </c>
      <c r="O464" s="145" t="str">
        <f t="shared" si="59"/>
        <v>-</v>
      </c>
    </row>
    <row r="465" spans="1:15">
      <c r="A465" s="34" t="s">
        <v>323</v>
      </c>
      <c r="B465" s="65">
        <v>822</v>
      </c>
      <c r="C465" s="109">
        <v>30</v>
      </c>
      <c r="D465" s="118">
        <v>0</v>
      </c>
      <c r="E465" s="113">
        <v>10.53</v>
      </c>
      <c r="F465" s="95"/>
      <c r="G465" s="88">
        <f t="shared" si="55"/>
        <v>0</v>
      </c>
      <c r="J465" s="143" t="str">
        <f t="shared" si="56"/>
        <v>-</v>
      </c>
      <c r="K465" s="143" t="str">
        <f t="shared" si="57"/>
        <v>-</v>
      </c>
      <c r="L465" s="144" t="str">
        <f t="shared" si="60"/>
        <v>-</v>
      </c>
      <c r="M465" s="145" t="str">
        <f t="shared" si="58"/>
        <v>-</v>
      </c>
      <c r="O465" s="145" t="str">
        <f t="shared" si="59"/>
        <v>-</v>
      </c>
    </row>
    <row r="466" spans="1:15">
      <c r="A466" s="39"/>
      <c r="B466" s="65">
        <v>824</v>
      </c>
      <c r="C466" s="109">
        <v>60</v>
      </c>
      <c r="D466" s="118">
        <v>0</v>
      </c>
      <c r="E466" s="113">
        <v>19.77</v>
      </c>
      <c r="F466" s="95"/>
      <c r="G466" s="88">
        <f t="shared" si="55"/>
        <v>0</v>
      </c>
      <c r="J466" s="143" t="str">
        <f t="shared" si="56"/>
        <v>-</v>
      </c>
      <c r="K466" s="143" t="str">
        <f t="shared" si="57"/>
        <v>-</v>
      </c>
      <c r="L466" s="144" t="str">
        <f t="shared" si="60"/>
        <v>-</v>
      </c>
      <c r="M466" s="145" t="str">
        <f t="shared" si="58"/>
        <v>-</v>
      </c>
      <c r="O466" s="145" t="str">
        <f t="shared" si="59"/>
        <v>-</v>
      </c>
    </row>
    <row r="467" spans="1:15">
      <c r="A467" s="55"/>
      <c r="B467" s="65">
        <v>825</v>
      </c>
      <c r="C467" s="109">
        <v>90</v>
      </c>
      <c r="D467" s="118">
        <v>0</v>
      </c>
      <c r="E467" s="113">
        <v>29.67</v>
      </c>
      <c r="F467" s="95"/>
      <c r="G467" s="88">
        <f t="shared" si="55"/>
        <v>0</v>
      </c>
      <c r="J467" s="143" t="str">
        <f t="shared" si="56"/>
        <v>-</v>
      </c>
      <c r="K467" s="143" t="str">
        <f t="shared" si="57"/>
        <v>-</v>
      </c>
      <c r="L467" s="144" t="str">
        <f t="shared" si="60"/>
        <v>-</v>
      </c>
      <c r="M467" s="145" t="str">
        <f t="shared" si="58"/>
        <v>-</v>
      </c>
      <c r="O467" s="145" t="str">
        <f t="shared" si="59"/>
        <v>-</v>
      </c>
    </row>
    <row r="468" spans="1:15">
      <c r="A468" s="37" t="s">
        <v>324</v>
      </c>
      <c r="B468" s="67"/>
      <c r="C468" s="3"/>
      <c r="D468" s="120"/>
      <c r="E468" s="19"/>
      <c r="F468" s="94"/>
      <c r="G468" s="38"/>
      <c r="J468" s="143" t="str">
        <f t="shared" si="56"/>
        <v>-</v>
      </c>
      <c r="K468" s="143" t="str">
        <f t="shared" si="57"/>
        <v>-</v>
      </c>
      <c r="L468" s="144" t="str">
        <f t="shared" si="60"/>
        <v>-</v>
      </c>
      <c r="M468" s="145" t="str">
        <f t="shared" si="58"/>
        <v>-</v>
      </c>
      <c r="O468" s="145" t="str">
        <f t="shared" si="59"/>
        <v>-</v>
      </c>
    </row>
    <row r="469" spans="1:15">
      <c r="A469" s="34" t="s">
        <v>325</v>
      </c>
      <c r="B469" s="65">
        <v>828</v>
      </c>
      <c r="C469" s="109">
        <v>30</v>
      </c>
      <c r="D469" s="118">
        <v>0</v>
      </c>
      <c r="E469" s="113">
        <v>7.23</v>
      </c>
      <c r="F469" s="92"/>
      <c r="G469" s="88">
        <f t="shared" ref="G469:G484" si="61">F469*E469</f>
        <v>0</v>
      </c>
      <c r="J469" s="143" t="str">
        <f t="shared" si="56"/>
        <v>-</v>
      </c>
      <c r="K469" s="143" t="str">
        <f t="shared" si="57"/>
        <v>-</v>
      </c>
      <c r="L469" s="144" t="str">
        <f t="shared" si="60"/>
        <v>-</v>
      </c>
      <c r="M469" s="145" t="str">
        <f t="shared" si="58"/>
        <v>-</v>
      </c>
      <c r="O469" s="145" t="str">
        <f t="shared" si="59"/>
        <v>-</v>
      </c>
    </row>
    <row r="470" spans="1:15">
      <c r="A470" s="55"/>
      <c r="B470" s="65">
        <v>829</v>
      </c>
      <c r="C470" s="109">
        <v>60</v>
      </c>
      <c r="D470" s="118">
        <v>0</v>
      </c>
      <c r="E470" s="113">
        <v>11.19</v>
      </c>
      <c r="F470" s="95"/>
      <c r="G470" s="88">
        <f t="shared" si="61"/>
        <v>0</v>
      </c>
      <c r="J470" s="143" t="str">
        <f t="shared" si="56"/>
        <v>-</v>
      </c>
      <c r="K470" s="143" t="str">
        <f t="shared" si="57"/>
        <v>-</v>
      </c>
      <c r="L470" s="144" t="str">
        <f t="shared" si="60"/>
        <v>-</v>
      </c>
      <c r="M470" s="145" t="str">
        <f t="shared" si="58"/>
        <v>-</v>
      </c>
      <c r="O470" s="145" t="str">
        <f t="shared" si="59"/>
        <v>-</v>
      </c>
    </row>
    <row r="471" spans="1:15">
      <c r="A471" s="34" t="s">
        <v>326</v>
      </c>
      <c r="B471" s="65">
        <v>830</v>
      </c>
      <c r="C471" s="109">
        <v>30</v>
      </c>
      <c r="D471" s="118">
        <v>0</v>
      </c>
      <c r="E471" s="113">
        <v>10.23</v>
      </c>
      <c r="F471" s="92"/>
      <c r="G471" s="88">
        <f t="shared" si="61"/>
        <v>0</v>
      </c>
      <c r="J471" s="143" t="str">
        <f t="shared" si="56"/>
        <v>-</v>
      </c>
      <c r="K471" s="143" t="str">
        <f t="shared" si="57"/>
        <v>-</v>
      </c>
      <c r="L471" s="144" t="str">
        <f t="shared" si="60"/>
        <v>-</v>
      </c>
      <c r="M471" s="145" t="str">
        <f t="shared" si="58"/>
        <v>-</v>
      </c>
      <c r="O471" s="145" t="str">
        <f t="shared" si="59"/>
        <v>-</v>
      </c>
    </row>
    <row r="472" spans="1:15">
      <c r="A472" s="55"/>
      <c r="B472" s="65">
        <v>831</v>
      </c>
      <c r="C472" s="109">
        <v>60</v>
      </c>
      <c r="D472" s="118">
        <v>0</v>
      </c>
      <c r="E472" s="113">
        <v>16.47</v>
      </c>
      <c r="F472" s="95"/>
      <c r="G472" s="88">
        <f t="shared" si="61"/>
        <v>0</v>
      </c>
      <c r="J472" s="143" t="str">
        <f t="shared" si="56"/>
        <v>-</v>
      </c>
      <c r="K472" s="143" t="str">
        <f t="shared" si="57"/>
        <v>-</v>
      </c>
      <c r="L472" s="144" t="str">
        <f t="shared" si="60"/>
        <v>-</v>
      </c>
      <c r="M472" s="145" t="str">
        <f t="shared" si="58"/>
        <v>-</v>
      </c>
      <c r="O472" s="145" t="str">
        <f t="shared" si="59"/>
        <v>-</v>
      </c>
    </row>
    <row r="473" spans="1:15">
      <c r="A473" s="34" t="s">
        <v>327</v>
      </c>
      <c r="B473" s="65">
        <v>853</v>
      </c>
      <c r="C473" s="109">
        <v>30</v>
      </c>
      <c r="D473" s="118">
        <v>0</v>
      </c>
      <c r="E473" s="113">
        <v>12.51</v>
      </c>
      <c r="F473" s="92"/>
      <c r="G473" s="88">
        <f t="shared" si="61"/>
        <v>0</v>
      </c>
      <c r="J473" s="143" t="str">
        <f t="shared" si="56"/>
        <v>-</v>
      </c>
      <c r="K473" s="143" t="str">
        <f t="shared" si="57"/>
        <v>-</v>
      </c>
      <c r="L473" s="144" t="str">
        <f t="shared" si="60"/>
        <v>-</v>
      </c>
      <c r="M473" s="145" t="str">
        <f t="shared" si="58"/>
        <v>-</v>
      </c>
      <c r="O473" s="145" t="str">
        <f t="shared" si="59"/>
        <v>-</v>
      </c>
    </row>
    <row r="474" spans="1:15">
      <c r="A474" s="55"/>
      <c r="B474" s="65">
        <v>854</v>
      </c>
      <c r="C474" s="109">
        <v>60</v>
      </c>
      <c r="D474" s="118">
        <v>0</v>
      </c>
      <c r="E474" s="113">
        <v>22.41</v>
      </c>
      <c r="F474" s="95"/>
      <c r="G474" s="88">
        <f t="shared" si="61"/>
        <v>0</v>
      </c>
      <c r="J474" s="143" t="str">
        <f t="shared" si="56"/>
        <v>-</v>
      </c>
      <c r="K474" s="143" t="str">
        <f t="shared" si="57"/>
        <v>-</v>
      </c>
      <c r="L474" s="144" t="str">
        <f t="shared" si="60"/>
        <v>-</v>
      </c>
      <c r="M474" s="145" t="str">
        <f t="shared" si="58"/>
        <v>-</v>
      </c>
      <c r="O474" s="145" t="str">
        <f t="shared" si="59"/>
        <v>-</v>
      </c>
    </row>
    <row r="475" spans="1:15">
      <c r="A475" s="34" t="s">
        <v>328</v>
      </c>
      <c r="B475" s="65">
        <v>855</v>
      </c>
      <c r="C475" s="109">
        <v>30</v>
      </c>
      <c r="D475" s="118">
        <v>0</v>
      </c>
      <c r="E475" s="113">
        <v>17.13</v>
      </c>
      <c r="F475" s="92"/>
      <c r="G475" s="88">
        <f t="shared" si="61"/>
        <v>0</v>
      </c>
      <c r="J475" s="143" t="str">
        <f t="shared" si="56"/>
        <v>-</v>
      </c>
      <c r="K475" s="143" t="str">
        <f t="shared" si="57"/>
        <v>-</v>
      </c>
      <c r="L475" s="144" t="str">
        <f t="shared" si="60"/>
        <v>-</v>
      </c>
      <c r="M475" s="145" t="str">
        <f t="shared" si="58"/>
        <v>-</v>
      </c>
      <c r="O475" s="145" t="str">
        <f t="shared" si="59"/>
        <v>-</v>
      </c>
    </row>
    <row r="476" spans="1:15">
      <c r="A476" s="55"/>
      <c r="B476" s="65">
        <v>856</v>
      </c>
      <c r="C476" s="109">
        <v>60</v>
      </c>
      <c r="D476" s="118">
        <v>0.2</v>
      </c>
      <c r="E476" s="113">
        <v>31.65</v>
      </c>
      <c r="F476" s="95"/>
      <c r="G476" s="88">
        <f t="shared" si="61"/>
        <v>0</v>
      </c>
      <c r="J476" s="143" t="str">
        <f t="shared" si="56"/>
        <v>-</v>
      </c>
      <c r="K476" s="143" t="str">
        <f t="shared" si="57"/>
        <v>-</v>
      </c>
      <c r="L476" s="144" t="str">
        <f t="shared" si="60"/>
        <v>-</v>
      </c>
      <c r="M476" s="145" t="str">
        <f t="shared" si="58"/>
        <v>-</v>
      </c>
      <c r="O476" s="145" t="str">
        <f t="shared" si="59"/>
        <v>-</v>
      </c>
    </row>
    <row r="477" spans="1:15">
      <c r="A477" s="34" t="s">
        <v>329</v>
      </c>
      <c r="B477" s="65">
        <v>860</v>
      </c>
      <c r="C477" s="109">
        <v>30</v>
      </c>
      <c r="D477" s="118">
        <v>0</v>
      </c>
      <c r="E477" s="113">
        <v>12.87</v>
      </c>
      <c r="F477" s="95"/>
      <c r="G477" s="88">
        <f t="shared" si="61"/>
        <v>0</v>
      </c>
      <c r="J477" s="143" t="str">
        <f t="shared" si="56"/>
        <v>-</v>
      </c>
      <c r="K477" s="143" t="str">
        <f t="shared" si="57"/>
        <v>-</v>
      </c>
      <c r="L477" s="144" t="str">
        <f t="shared" si="60"/>
        <v>-</v>
      </c>
      <c r="M477" s="145" t="str">
        <f t="shared" si="58"/>
        <v>-</v>
      </c>
      <c r="O477" s="145" t="str">
        <f t="shared" si="59"/>
        <v>-</v>
      </c>
    </row>
    <row r="478" spans="1:15">
      <c r="A478" s="55"/>
      <c r="B478" s="65">
        <v>862</v>
      </c>
      <c r="C478" s="109">
        <v>60</v>
      </c>
      <c r="D478" s="118">
        <v>0</v>
      </c>
      <c r="E478" s="113">
        <v>23.73</v>
      </c>
      <c r="F478" s="95"/>
      <c r="G478" s="88">
        <f t="shared" si="61"/>
        <v>0</v>
      </c>
      <c r="J478" s="143" t="str">
        <f t="shared" si="56"/>
        <v>-</v>
      </c>
      <c r="K478" s="143" t="str">
        <f t="shared" si="57"/>
        <v>-</v>
      </c>
      <c r="L478" s="144" t="str">
        <f t="shared" si="60"/>
        <v>-</v>
      </c>
      <c r="M478" s="145" t="str">
        <f t="shared" si="58"/>
        <v>-</v>
      </c>
      <c r="O478" s="145" t="str">
        <f t="shared" si="59"/>
        <v>-</v>
      </c>
    </row>
    <row r="479" spans="1:15">
      <c r="A479" s="34" t="s">
        <v>330</v>
      </c>
      <c r="B479" s="65">
        <v>832</v>
      </c>
      <c r="C479" s="109">
        <v>30</v>
      </c>
      <c r="D479" s="118">
        <v>0</v>
      </c>
      <c r="E479" s="113">
        <v>25.05</v>
      </c>
      <c r="F479" s="92"/>
      <c r="G479" s="88">
        <f t="shared" si="61"/>
        <v>0</v>
      </c>
      <c r="J479" s="143" t="str">
        <f t="shared" si="56"/>
        <v>-</v>
      </c>
      <c r="K479" s="143" t="str">
        <f t="shared" si="57"/>
        <v>-</v>
      </c>
      <c r="L479" s="144" t="str">
        <f t="shared" si="60"/>
        <v>-</v>
      </c>
      <c r="M479" s="145" t="str">
        <f t="shared" si="58"/>
        <v>-</v>
      </c>
      <c r="O479" s="145" t="str">
        <f t="shared" si="59"/>
        <v>-</v>
      </c>
    </row>
    <row r="480" spans="1:15">
      <c r="A480" s="39"/>
      <c r="B480" s="65">
        <v>834</v>
      </c>
      <c r="C480" s="109">
        <v>60</v>
      </c>
      <c r="D480" s="118">
        <v>0</v>
      </c>
      <c r="E480" s="113">
        <v>46.17</v>
      </c>
      <c r="F480" s="95"/>
      <c r="G480" s="88">
        <f t="shared" si="61"/>
        <v>0</v>
      </c>
      <c r="J480" s="143" t="str">
        <f t="shared" si="56"/>
        <v>-</v>
      </c>
      <c r="K480" s="143" t="str">
        <f t="shared" si="57"/>
        <v>-</v>
      </c>
      <c r="L480" s="144" t="str">
        <f t="shared" si="60"/>
        <v>-</v>
      </c>
      <c r="M480" s="145" t="str">
        <f t="shared" si="58"/>
        <v>-</v>
      </c>
      <c r="O480" s="145" t="str">
        <f t="shared" si="59"/>
        <v>-</v>
      </c>
    </row>
    <row r="481" spans="1:15">
      <c r="A481" s="34" t="s">
        <v>331</v>
      </c>
      <c r="B481" s="65">
        <v>835</v>
      </c>
      <c r="C481" s="109">
        <v>30</v>
      </c>
      <c r="D481" s="118">
        <v>0</v>
      </c>
      <c r="E481" s="113">
        <v>46.17</v>
      </c>
      <c r="F481" s="92"/>
      <c r="G481" s="88">
        <f t="shared" si="61"/>
        <v>0</v>
      </c>
      <c r="J481" s="143" t="str">
        <f t="shared" si="56"/>
        <v>-</v>
      </c>
      <c r="K481" s="143" t="str">
        <f t="shared" si="57"/>
        <v>-</v>
      </c>
      <c r="L481" s="144" t="str">
        <f t="shared" si="60"/>
        <v>-</v>
      </c>
      <c r="M481" s="145" t="str">
        <f t="shared" si="58"/>
        <v>-</v>
      </c>
      <c r="O481" s="145" t="str">
        <f t="shared" si="59"/>
        <v>-</v>
      </c>
    </row>
    <row r="482" spans="1:15">
      <c r="A482" s="39"/>
      <c r="B482" s="65">
        <v>836</v>
      </c>
      <c r="C482" s="109">
        <v>60</v>
      </c>
      <c r="D482" s="118">
        <v>0</v>
      </c>
      <c r="E482" s="113">
        <v>75.87</v>
      </c>
      <c r="F482" s="95"/>
      <c r="G482" s="88">
        <f t="shared" si="61"/>
        <v>0</v>
      </c>
      <c r="J482" s="143" t="str">
        <f t="shared" si="56"/>
        <v>-</v>
      </c>
      <c r="K482" s="143" t="str">
        <f t="shared" si="57"/>
        <v>-</v>
      </c>
      <c r="L482" s="144" t="str">
        <f t="shared" si="60"/>
        <v>-</v>
      </c>
      <c r="M482" s="145" t="str">
        <f t="shared" si="58"/>
        <v>-</v>
      </c>
      <c r="O482" s="145" t="str">
        <f t="shared" si="59"/>
        <v>-</v>
      </c>
    </row>
    <row r="483" spans="1:15" ht="24">
      <c r="A483" s="34" t="s">
        <v>332</v>
      </c>
      <c r="B483" s="65">
        <v>858</v>
      </c>
      <c r="C483" s="109">
        <v>30</v>
      </c>
      <c r="D483" s="118">
        <v>0</v>
      </c>
      <c r="E483" s="113">
        <v>13.83</v>
      </c>
      <c r="F483" s="95"/>
      <c r="G483" s="88">
        <f t="shared" si="61"/>
        <v>0</v>
      </c>
      <c r="J483" s="143" t="str">
        <f t="shared" si="56"/>
        <v>-</v>
      </c>
      <c r="K483" s="143" t="str">
        <f t="shared" si="57"/>
        <v>-</v>
      </c>
      <c r="L483" s="144" t="str">
        <f t="shared" si="60"/>
        <v>-</v>
      </c>
      <c r="M483" s="145" t="str">
        <f t="shared" si="58"/>
        <v>-</v>
      </c>
      <c r="O483" s="145" t="str">
        <f t="shared" si="59"/>
        <v>-</v>
      </c>
    </row>
    <row r="484" spans="1:15">
      <c r="A484" s="39"/>
      <c r="B484" s="65">
        <v>859</v>
      </c>
      <c r="C484" s="109">
        <v>60</v>
      </c>
      <c r="D484" s="118">
        <v>0</v>
      </c>
      <c r="E484" s="113">
        <v>24.39</v>
      </c>
      <c r="F484" s="95"/>
      <c r="G484" s="88">
        <f t="shared" si="61"/>
        <v>0</v>
      </c>
      <c r="J484" s="143" t="str">
        <f t="shared" si="56"/>
        <v>-</v>
      </c>
      <c r="K484" s="143" t="str">
        <f t="shared" si="57"/>
        <v>-</v>
      </c>
      <c r="L484" s="144" t="str">
        <f t="shared" si="60"/>
        <v>-</v>
      </c>
      <c r="M484" s="145" t="str">
        <f t="shared" si="58"/>
        <v>-</v>
      </c>
      <c r="O484" s="145" t="str">
        <f t="shared" si="59"/>
        <v>-</v>
      </c>
    </row>
    <row r="485" spans="1:15" ht="36">
      <c r="A485" s="47" t="s">
        <v>333</v>
      </c>
      <c r="B485" s="72"/>
      <c r="C485" s="4"/>
      <c r="D485" s="124">
        <v>0.26</v>
      </c>
      <c r="E485" s="23"/>
      <c r="F485" s="99"/>
      <c r="G485" s="48"/>
      <c r="J485" s="143" t="str">
        <f t="shared" si="56"/>
        <v>-</v>
      </c>
      <c r="K485" s="143" t="str">
        <f t="shared" si="57"/>
        <v>-</v>
      </c>
      <c r="L485" s="144" t="str">
        <f t="shared" si="60"/>
        <v>-</v>
      </c>
      <c r="M485" s="145" t="str">
        <f t="shared" si="58"/>
        <v>-</v>
      </c>
      <c r="O485" s="145" t="str">
        <f t="shared" si="59"/>
        <v>-</v>
      </c>
    </row>
    <row r="486" spans="1:15">
      <c r="A486" s="37" t="s">
        <v>334</v>
      </c>
      <c r="B486" s="67"/>
      <c r="C486" s="3"/>
      <c r="D486" s="120"/>
      <c r="E486" s="19"/>
      <c r="F486" s="94"/>
      <c r="G486" s="38"/>
      <c r="J486" s="143" t="str">
        <f t="shared" si="56"/>
        <v>-</v>
      </c>
      <c r="K486" s="143" t="str">
        <f t="shared" si="57"/>
        <v>-</v>
      </c>
      <c r="L486" s="144" t="str">
        <f t="shared" si="60"/>
        <v>-</v>
      </c>
      <c r="M486" s="145" t="str">
        <f t="shared" si="58"/>
        <v>-</v>
      </c>
      <c r="O486" s="145" t="str">
        <f t="shared" si="59"/>
        <v>-</v>
      </c>
    </row>
    <row r="487" spans="1:15">
      <c r="A487" s="34" t="s">
        <v>335</v>
      </c>
      <c r="B487" s="65">
        <v>3020</v>
      </c>
      <c r="C487" s="108" t="s">
        <v>336</v>
      </c>
      <c r="D487" s="118">
        <v>0</v>
      </c>
      <c r="E487" s="113">
        <v>13.83</v>
      </c>
      <c r="F487" s="92"/>
      <c r="G487" s="88">
        <f>F487*E487</f>
        <v>0</v>
      </c>
      <c r="J487" s="143" t="str">
        <f t="shared" si="56"/>
        <v>-</v>
      </c>
      <c r="K487" s="143" t="str">
        <f t="shared" si="57"/>
        <v>-</v>
      </c>
      <c r="L487" s="144" t="str">
        <f t="shared" si="60"/>
        <v>-</v>
      </c>
      <c r="M487" s="145" t="str">
        <f t="shared" si="58"/>
        <v>-</v>
      </c>
      <c r="O487" s="145" t="str">
        <f t="shared" si="59"/>
        <v>-</v>
      </c>
    </row>
    <row r="488" spans="1:15">
      <c r="A488" s="37" t="s">
        <v>337</v>
      </c>
      <c r="B488" s="67"/>
      <c r="C488" s="3"/>
      <c r="D488" s="120">
        <v>0.34</v>
      </c>
      <c r="E488" s="19"/>
      <c r="F488" s="94"/>
      <c r="G488" s="38"/>
      <c r="J488" s="143" t="str">
        <f t="shared" si="56"/>
        <v>-</v>
      </c>
      <c r="K488" s="143" t="str">
        <f t="shared" si="57"/>
        <v>-</v>
      </c>
      <c r="L488" s="144" t="str">
        <f t="shared" si="60"/>
        <v>-</v>
      </c>
      <c r="M488" s="145" t="str">
        <f t="shared" si="58"/>
        <v>-</v>
      </c>
      <c r="O488" s="145" t="str">
        <f t="shared" si="59"/>
        <v>-</v>
      </c>
    </row>
    <row r="489" spans="1:15">
      <c r="A489" s="34" t="s">
        <v>338</v>
      </c>
      <c r="B489" s="65">
        <v>893</v>
      </c>
      <c r="C489" s="109">
        <v>30</v>
      </c>
      <c r="D489" s="118">
        <v>0</v>
      </c>
      <c r="E489" s="113">
        <v>10.53</v>
      </c>
      <c r="F489" s="95"/>
      <c r="G489" s="88">
        <f t="shared" ref="G489:G498" si="62">F489*E489</f>
        <v>0</v>
      </c>
      <c r="J489" s="143" t="str">
        <f t="shared" si="56"/>
        <v>-</v>
      </c>
      <c r="K489" s="143" t="str">
        <f t="shared" si="57"/>
        <v>-</v>
      </c>
      <c r="L489" s="144" t="str">
        <f t="shared" si="60"/>
        <v>-</v>
      </c>
      <c r="M489" s="145" t="str">
        <f t="shared" si="58"/>
        <v>-</v>
      </c>
      <c r="O489" s="145" t="str">
        <f t="shared" si="59"/>
        <v>-</v>
      </c>
    </row>
    <row r="490" spans="1:15">
      <c r="A490" s="39"/>
      <c r="B490" s="65">
        <v>894</v>
      </c>
      <c r="C490" s="109">
        <v>60</v>
      </c>
      <c r="D490" s="118">
        <v>0</v>
      </c>
      <c r="E490" s="113">
        <v>19.77</v>
      </c>
      <c r="F490" s="95"/>
      <c r="G490" s="88">
        <f t="shared" si="62"/>
        <v>0</v>
      </c>
      <c r="J490" s="143" t="str">
        <f t="shared" si="56"/>
        <v>-</v>
      </c>
      <c r="K490" s="143" t="str">
        <f t="shared" si="57"/>
        <v>-</v>
      </c>
      <c r="L490" s="144" t="str">
        <f t="shared" si="60"/>
        <v>-</v>
      </c>
      <c r="M490" s="145" t="str">
        <f t="shared" si="58"/>
        <v>-</v>
      </c>
      <c r="O490" s="145" t="str">
        <f t="shared" si="59"/>
        <v>-</v>
      </c>
    </row>
    <row r="491" spans="1:15">
      <c r="A491" s="55"/>
      <c r="B491" s="65">
        <v>895</v>
      </c>
      <c r="C491" s="109">
        <v>120</v>
      </c>
      <c r="D491" s="118">
        <v>0</v>
      </c>
      <c r="E491" s="113">
        <v>27.39</v>
      </c>
      <c r="F491" s="95"/>
      <c r="G491" s="88">
        <f t="shared" si="62"/>
        <v>0</v>
      </c>
      <c r="J491" s="143" t="str">
        <f t="shared" si="56"/>
        <v>-</v>
      </c>
      <c r="K491" s="143" t="str">
        <f t="shared" si="57"/>
        <v>-</v>
      </c>
      <c r="L491" s="144" t="str">
        <f t="shared" si="60"/>
        <v>-</v>
      </c>
      <c r="M491" s="145" t="str">
        <f t="shared" si="58"/>
        <v>-</v>
      </c>
      <c r="O491" s="145" t="str">
        <f t="shared" si="59"/>
        <v>-</v>
      </c>
    </row>
    <row r="492" spans="1:15">
      <c r="A492" s="34" t="s">
        <v>339</v>
      </c>
      <c r="B492" s="65">
        <v>896</v>
      </c>
      <c r="C492" s="109">
        <v>90</v>
      </c>
      <c r="D492" s="118">
        <v>0</v>
      </c>
      <c r="E492" s="113">
        <v>20.13</v>
      </c>
      <c r="F492" s="92"/>
      <c r="G492" s="88">
        <f t="shared" si="62"/>
        <v>0</v>
      </c>
      <c r="J492" s="143" t="str">
        <f t="shared" si="56"/>
        <v>-</v>
      </c>
      <c r="K492" s="143" t="str">
        <f t="shared" si="57"/>
        <v>-</v>
      </c>
      <c r="L492" s="144" t="str">
        <f t="shared" si="60"/>
        <v>-</v>
      </c>
      <c r="M492" s="145" t="str">
        <f t="shared" si="58"/>
        <v>-</v>
      </c>
      <c r="O492" s="145" t="str">
        <f t="shared" si="59"/>
        <v>-</v>
      </c>
    </row>
    <row r="493" spans="1:15">
      <c r="A493" s="55"/>
      <c r="B493" s="65">
        <v>897</v>
      </c>
      <c r="C493" s="109">
        <v>180</v>
      </c>
      <c r="D493" s="118">
        <v>0.41</v>
      </c>
      <c r="E493" s="113">
        <v>36.270000000000003</v>
      </c>
      <c r="F493" s="95"/>
      <c r="G493" s="88">
        <f t="shared" si="62"/>
        <v>0</v>
      </c>
      <c r="J493" s="143" t="str">
        <f t="shared" si="56"/>
        <v>-</v>
      </c>
      <c r="K493" s="143" t="str">
        <f t="shared" si="57"/>
        <v>-</v>
      </c>
      <c r="L493" s="144" t="str">
        <f t="shared" si="60"/>
        <v>-</v>
      </c>
      <c r="M493" s="145" t="str">
        <f t="shared" si="58"/>
        <v>-</v>
      </c>
      <c r="O493" s="145" t="str">
        <f t="shared" si="59"/>
        <v>-</v>
      </c>
    </row>
    <row r="494" spans="1:15" ht="24">
      <c r="A494" s="34" t="s">
        <v>340</v>
      </c>
      <c r="B494" s="65">
        <v>899</v>
      </c>
      <c r="C494" s="109">
        <v>60</v>
      </c>
      <c r="D494" s="118">
        <v>0</v>
      </c>
      <c r="E494" s="113">
        <v>17.79</v>
      </c>
      <c r="F494" s="92"/>
      <c r="G494" s="88">
        <f t="shared" si="62"/>
        <v>0</v>
      </c>
      <c r="J494" s="143" t="str">
        <f t="shared" si="56"/>
        <v>-</v>
      </c>
      <c r="K494" s="143" t="str">
        <f t="shared" si="57"/>
        <v>-</v>
      </c>
      <c r="L494" s="144" t="str">
        <f t="shared" si="60"/>
        <v>-</v>
      </c>
      <c r="M494" s="145" t="str">
        <f t="shared" si="58"/>
        <v>-</v>
      </c>
      <c r="O494" s="145" t="str">
        <f t="shared" si="59"/>
        <v>-</v>
      </c>
    </row>
    <row r="495" spans="1:15">
      <c r="A495" s="39"/>
      <c r="B495" s="65">
        <v>900</v>
      </c>
      <c r="C495" s="109">
        <v>90</v>
      </c>
      <c r="D495" s="118">
        <v>0</v>
      </c>
      <c r="E495" s="113">
        <v>24.75</v>
      </c>
      <c r="F495" s="95"/>
      <c r="G495" s="88">
        <f t="shared" si="62"/>
        <v>0</v>
      </c>
      <c r="J495" s="143" t="str">
        <f t="shared" si="56"/>
        <v>-</v>
      </c>
      <c r="K495" s="143" t="str">
        <f t="shared" si="57"/>
        <v>-</v>
      </c>
      <c r="L495" s="144" t="str">
        <f t="shared" si="60"/>
        <v>-</v>
      </c>
      <c r="M495" s="145" t="str">
        <f t="shared" si="58"/>
        <v>-</v>
      </c>
      <c r="O495" s="145" t="str">
        <f t="shared" si="59"/>
        <v>-</v>
      </c>
    </row>
    <row r="496" spans="1:15" ht="24">
      <c r="A496" s="34" t="s">
        <v>341</v>
      </c>
      <c r="B496" s="65">
        <v>902</v>
      </c>
      <c r="C496" s="109">
        <v>60</v>
      </c>
      <c r="D496" s="118">
        <v>0</v>
      </c>
      <c r="E496" s="113">
        <v>12.51</v>
      </c>
      <c r="F496" s="95"/>
      <c r="G496" s="88">
        <f t="shared" si="62"/>
        <v>0</v>
      </c>
      <c r="J496" s="143" t="str">
        <f t="shared" si="56"/>
        <v>-</v>
      </c>
      <c r="K496" s="143" t="str">
        <f t="shared" si="57"/>
        <v>-</v>
      </c>
      <c r="L496" s="144" t="str">
        <f t="shared" si="60"/>
        <v>-</v>
      </c>
      <c r="M496" s="145" t="str">
        <f t="shared" si="58"/>
        <v>-</v>
      </c>
      <c r="O496" s="145" t="str">
        <f t="shared" si="59"/>
        <v>-</v>
      </c>
    </row>
    <row r="497" spans="1:15">
      <c r="A497" s="39"/>
      <c r="B497" s="65">
        <v>904</v>
      </c>
      <c r="C497" s="109">
        <v>90</v>
      </c>
      <c r="D497" s="118">
        <v>0</v>
      </c>
      <c r="E497" s="113">
        <v>16.47</v>
      </c>
      <c r="F497" s="95"/>
      <c r="G497" s="88">
        <f t="shared" si="62"/>
        <v>0</v>
      </c>
      <c r="J497" s="143" t="str">
        <f t="shared" si="56"/>
        <v>-</v>
      </c>
      <c r="K497" s="143" t="str">
        <f t="shared" si="57"/>
        <v>-</v>
      </c>
      <c r="L497" s="144" t="str">
        <f t="shared" si="60"/>
        <v>-</v>
      </c>
      <c r="M497" s="145" t="str">
        <f t="shared" si="58"/>
        <v>-</v>
      </c>
      <c r="O497" s="145" t="str">
        <f t="shared" si="59"/>
        <v>-</v>
      </c>
    </row>
    <row r="498" spans="1:15">
      <c r="A498" s="39"/>
      <c r="B498" s="65">
        <v>905</v>
      </c>
      <c r="C498" s="109">
        <v>180</v>
      </c>
      <c r="D498" s="118">
        <v>0</v>
      </c>
      <c r="E498" s="113">
        <v>27.68</v>
      </c>
      <c r="F498" s="95"/>
      <c r="G498" s="88">
        <f t="shared" si="62"/>
        <v>0</v>
      </c>
      <c r="J498" s="143" t="str">
        <f t="shared" si="56"/>
        <v>-</v>
      </c>
      <c r="K498" s="143" t="str">
        <f t="shared" si="57"/>
        <v>-</v>
      </c>
      <c r="L498" s="144" t="str">
        <f t="shared" si="60"/>
        <v>-</v>
      </c>
      <c r="M498" s="145" t="str">
        <f t="shared" si="58"/>
        <v>-</v>
      </c>
      <c r="O498" s="145" t="str">
        <f t="shared" si="59"/>
        <v>-</v>
      </c>
    </row>
    <row r="499" spans="1:15">
      <c r="A499" s="56" t="s">
        <v>342</v>
      </c>
      <c r="B499" s="78"/>
      <c r="C499" s="10"/>
      <c r="D499" s="130">
        <v>0.36</v>
      </c>
      <c r="E499" s="28"/>
      <c r="F499" s="103"/>
      <c r="G499" s="57"/>
      <c r="J499" s="143" t="str">
        <f t="shared" si="56"/>
        <v>-</v>
      </c>
      <c r="K499" s="143" t="str">
        <f t="shared" si="57"/>
        <v>-</v>
      </c>
      <c r="L499" s="144" t="str">
        <f t="shared" si="60"/>
        <v>-</v>
      </c>
      <c r="M499" s="145" t="str">
        <f t="shared" si="58"/>
        <v>-</v>
      </c>
      <c r="O499" s="145" t="str">
        <f t="shared" si="59"/>
        <v>-</v>
      </c>
    </row>
    <row r="500" spans="1:15" ht="24">
      <c r="A500" s="34" t="s">
        <v>343</v>
      </c>
      <c r="B500" s="65">
        <v>906</v>
      </c>
      <c r="C500" s="109">
        <v>60</v>
      </c>
      <c r="D500" s="118">
        <v>0</v>
      </c>
      <c r="E500" s="113">
        <v>16.47</v>
      </c>
      <c r="F500" s="92"/>
      <c r="G500" s="88">
        <f t="shared" ref="G500:G509" si="63">F500*E500</f>
        <v>0</v>
      </c>
      <c r="J500" s="143" t="str">
        <f t="shared" si="56"/>
        <v>-</v>
      </c>
      <c r="K500" s="143" t="str">
        <f t="shared" si="57"/>
        <v>-</v>
      </c>
      <c r="L500" s="144" t="str">
        <f t="shared" si="60"/>
        <v>-</v>
      </c>
      <c r="M500" s="145" t="str">
        <f t="shared" si="58"/>
        <v>-</v>
      </c>
      <c r="O500" s="145" t="str">
        <f t="shared" si="59"/>
        <v>-</v>
      </c>
    </row>
    <row r="501" spans="1:15">
      <c r="A501" s="34" t="s">
        <v>344</v>
      </c>
      <c r="B501" s="65">
        <v>910</v>
      </c>
      <c r="C501" s="109">
        <v>50</v>
      </c>
      <c r="D501" s="118">
        <v>0</v>
      </c>
      <c r="E501" s="113">
        <v>12.21</v>
      </c>
      <c r="F501" s="92"/>
      <c r="G501" s="88">
        <f t="shared" si="63"/>
        <v>0</v>
      </c>
      <c r="J501" s="143" t="str">
        <f t="shared" si="56"/>
        <v>-</v>
      </c>
      <c r="K501" s="143" t="str">
        <f t="shared" si="57"/>
        <v>-</v>
      </c>
      <c r="L501" s="144" t="str">
        <f t="shared" si="60"/>
        <v>-</v>
      </c>
      <c r="M501" s="145" t="str">
        <f t="shared" si="58"/>
        <v>-</v>
      </c>
      <c r="O501" s="145" t="str">
        <f t="shared" si="59"/>
        <v>-</v>
      </c>
    </row>
    <row r="502" spans="1:15">
      <c r="A502" s="39"/>
      <c r="B502" s="65">
        <v>912</v>
      </c>
      <c r="C502" s="109">
        <v>100</v>
      </c>
      <c r="D502" s="118">
        <v>0</v>
      </c>
      <c r="E502" s="113">
        <v>20.43</v>
      </c>
      <c r="F502" s="95"/>
      <c r="G502" s="88">
        <f t="shared" si="63"/>
        <v>0</v>
      </c>
      <c r="J502" s="143" t="str">
        <f t="shared" si="56"/>
        <v>-</v>
      </c>
      <c r="K502" s="143" t="str">
        <f t="shared" si="57"/>
        <v>-</v>
      </c>
      <c r="L502" s="144" t="str">
        <f t="shared" si="60"/>
        <v>-</v>
      </c>
      <c r="M502" s="145" t="str">
        <f t="shared" si="58"/>
        <v>-</v>
      </c>
      <c r="O502" s="145" t="str">
        <f t="shared" si="59"/>
        <v>-</v>
      </c>
    </row>
    <row r="503" spans="1:15">
      <c r="A503" s="55"/>
      <c r="B503" s="65">
        <v>914</v>
      </c>
      <c r="C503" s="109">
        <v>250</v>
      </c>
      <c r="D503" s="118">
        <v>0</v>
      </c>
      <c r="E503" s="113">
        <v>41.54</v>
      </c>
      <c r="F503" s="95"/>
      <c r="G503" s="88">
        <f t="shared" si="63"/>
        <v>0</v>
      </c>
      <c r="J503" s="143" t="str">
        <f t="shared" si="56"/>
        <v>-</v>
      </c>
      <c r="K503" s="143" t="str">
        <f t="shared" si="57"/>
        <v>-</v>
      </c>
      <c r="L503" s="144" t="str">
        <f t="shared" si="60"/>
        <v>-</v>
      </c>
      <c r="M503" s="145" t="str">
        <f t="shared" si="58"/>
        <v>-</v>
      </c>
      <c r="O503" s="145" t="str">
        <f t="shared" si="59"/>
        <v>-</v>
      </c>
    </row>
    <row r="504" spans="1:15" ht="24">
      <c r="A504" s="34" t="s">
        <v>345</v>
      </c>
      <c r="B504" s="65">
        <v>915</v>
      </c>
      <c r="C504" s="108" t="s">
        <v>346</v>
      </c>
      <c r="D504" s="118">
        <v>0</v>
      </c>
      <c r="E504" s="113">
        <v>20.43</v>
      </c>
      <c r="F504" s="92"/>
      <c r="G504" s="88">
        <f t="shared" si="63"/>
        <v>0</v>
      </c>
      <c r="J504" s="143" t="str">
        <f t="shared" si="56"/>
        <v>-</v>
      </c>
      <c r="K504" s="143" t="str">
        <f t="shared" si="57"/>
        <v>-</v>
      </c>
      <c r="L504" s="144" t="str">
        <f t="shared" si="60"/>
        <v>-</v>
      </c>
      <c r="M504" s="145" t="str">
        <f t="shared" si="58"/>
        <v>-</v>
      </c>
      <c r="O504" s="145" t="str">
        <f t="shared" si="59"/>
        <v>-</v>
      </c>
    </row>
    <row r="505" spans="1:15" ht="24">
      <c r="A505" s="34" t="s">
        <v>347</v>
      </c>
      <c r="B505" s="65">
        <v>3000</v>
      </c>
      <c r="C505" s="109">
        <v>30</v>
      </c>
      <c r="D505" s="118">
        <v>0</v>
      </c>
      <c r="E505" s="113">
        <v>11.19</v>
      </c>
      <c r="F505" s="92"/>
      <c r="G505" s="88">
        <f t="shared" si="63"/>
        <v>0</v>
      </c>
      <c r="J505" s="143" t="str">
        <f t="shared" si="56"/>
        <v>-</v>
      </c>
      <c r="K505" s="143" t="str">
        <f t="shared" si="57"/>
        <v>-</v>
      </c>
      <c r="L505" s="144" t="str">
        <f t="shared" si="60"/>
        <v>-</v>
      </c>
      <c r="M505" s="145" t="str">
        <f t="shared" si="58"/>
        <v>-</v>
      </c>
      <c r="O505" s="145" t="str">
        <f t="shared" si="59"/>
        <v>-</v>
      </c>
    </row>
    <row r="506" spans="1:15" ht="24">
      <c r="A506" s="34" t="s">
        <v>348</v>
      </c>
      <c r="B506" s="65">
        <v>3003</v>
      </c>
      <c r="C506" s="109">
        <v>30</v>
      </c>
      <c r="D506" s="118">
        <v>0</v>
      </c>
      <c r="E506" s="113">
        <v>22.41</v>
      </c>
      <c r="F506" s="92"/>
      <c r="G506" s="88">
        <f t="shared" si="63"/>
        <v>0</v>
      </c>
      <c r="J506" s="143" t="str">
        <f t="shared" si="56"/>
        <v>-</v>
      </c>
      <c r="K506" s="143" t="str">
        <f t="shared" si="57"/>
        <v>-</v>
      </c>
      <c r="L506" s="144" t="str">
        <f t="shared" si="60"/>
        <v>-</v>
      </c>
      <c r="M506" s="145" t="str">
        <f t="shared" si="58"/>
        <v>-</v>
      </c>
      <c r="O506" s="145" t="str">
        <f t="shared" si="59"/>
        <v>-</v>
      </c>
    </row>
    <row r="507" spans="1:15" ht="24">
      <c r="A507" s="34" t="s">
        <v>349</v>
      </c>
      <c r="B507" s="65">
        <v>3006</v>
      </c>
      <c r="C507" s="109">
        <v>30</v>
      </c>
      <c r="D507" s="118">
        <v>0</v>
      </c>
      <c r="E507" s="113">
        <v>31.65</v>
      </c>
      <c r="F507" s="92"/>
      <c r="G507" s="88">
        <f t="shared" si="63"/>
        <v>0</v>
      </c>
      <c r="J507" s="143" t="str">
        <f t="shared" si="56"/>
        <v>-</v>
      </c>
      <c r="K507" s="143" t="str">
        <f t="shared" si="57"/>
        <v>-</v>
      </c>
      <c r="L507" s="144" t="str">
        <f t="shared" si="60"/>
        <v>-</v>
      </c>
      <c r="M507" s="145" t="str">
        <f t="shared" si="58"/>
        <v>-</v>
      </c>
      <c r="O507" s="145" t="str">
        <f t="shared" si="59"/>
        <v>-</v>
      </c>
    </row>
    <row r="508" spans="1:15" ht="24">
      <c r="A508" s="34" t="s">
        <v>350</v>
      </c>
      <c r="B508" s="65">
        <v>3009</v>
      </c>
      <c r="C508" s="109">
        <v>30</v>
      </c>
      <c r="D508" s="118">
        <v>0</v>
      </c>
      <c r="E508" s="113">
        <v>11.19</v>
      </c>
      <c r="F508" s="92"/>
      <c r="G508" s="88">
        <f t="shared" si="63"/>
        <v>0</v>
      </c>
      <c r="J508" s="143" t="str">
        <f t="shared" si="56"/>
        <v>-</v>
      </c>
      <c r="K508" s="143" t="str">
        <f t="shared" si="57"/>
        <v>-</v>
      </c>
      <c r="L508" s="144" t="str">
        <f t="shared" si="60"/>
        <v>-</v>
      </c>
      <c r="M508" s="145" t="str">
        <f t="shared" si="58"/>
        <v>-</v>
      </c>
      <c r="O508" s="145" t="str">
        <f t="shared" si="59"/>
        <v>-</v>
      </c>
    </row>
    <row r="509" spans="1:15" ht="24">
      <c r="A509" s="34" t="s">
        <v>351</v>
      </c>
      <c r="B509" s="65">
        <v>3012</v>
      </c>
      <c r="C509" s="109">
        <v>30</v>
      </c>
      <c r="D509" s="118">
        <v>0</v>
      </c>
      <c r="E509" s="113">
        <v>32.31</v>
      </c>
      <c r="F509" s="95"/>
      <c r="G509" s="88">
        <f t="shared" si="63"/>
        <v>0</v>
      </c>
      <c r="J509" s="143" t="str">
        <f t="shared" si="56"/>
        <v>-</v>
      </c>
      <c r="K509" s="143" t="str">
        <f t="shared" si="57"/>
        <v>-</v>
      </c>
      <c r="L509" s="144" t="str">
        <f t="shared" si="60"/>
        <v>-</v>
      </c>
      <c r="M509" s="145" t="str">
        <f t="shared" si="58"/>
        <v>-</v>
      </c>
      <c r="O509" s="145" t="str">
        <f t="shared" si="59"/>
        <v>-</v>
      </c>
    </row>
    <row r="510" spans="1:15" ht="36">
      <c r="A510" s="58" t="s">
        <v>352</v>
      </c>
      <c r="B510" s="79"/>
      <c r="C510" s="11"/>
      <c r="D510" s="131"/>
      <c r="E510" s="29"/>
      <c r="F510" s="104"/>
      <c r="G510" s="59"/>
      <c r="J510" s="143" t="str">
        <f t="shared" si="56"/>
        <v>-</v>
      </c>
      <c r="K510" s="143" t="str">
        <f t="shared" si="57"/>
        <v>-</v>
      </c>
      <c r="L510" s="144" t="str">
        <f t="shared" si="60"/>
        <v>-</v>
      </c>
      <c r="M510" s="145" t="str">
        <f t="shared" si="58"/>
        <v>-</v>
      </c>
      <c r="O510" s="145" t="str">
        <f t="shared" si="59"/>
        <v>-</v>
      </c>
    </row>
    <row r="511" spans="1:15">
      <c r="A511" s="37" t="s">
        <v>353</v>
      </c>
      <c r="B511" s="67"/>
      <c r="C511" s="3"/>
      <c r="D511" s="120"/>
      <c r="E511" s="19"/>
      <c r="F511" s="94"/>
      <c r="G511" s="38"/>
      <c r="J511" s="143" t="str">
        <f t="shared" si="56"/>
        <v>-</v>
      </c>
      <c r="K511" s="143" t="str">
        <f t="shared" si="57"/>
        <v>-</v>
      </c>
      <c r="L511" s="144" t="str">
        <f t="shared" si="60"/>
        <v>-</v>
      </c>
      <c r="M511" s="145" t="str">
        <f t="shared" si="58"/>
        <v>-</v>
      </c>
      <c r="O511" s="145" t="str">
        <f t="shared" si="59"/>
        <v>-</v>
      </c>
    </row>
    <row r="512" spans="1:15">
      <c r="A512" s="34" t="s">
        <v>354</v>
      </c>
      <c r="B512" s="65">
        <v>1200</v>
      </c>
      <c r="C512" s="108" t="s">
        <v>66</v>
      </c>
      <c r="D512" s="118">
        <v>0</v>
      </c>
      <c r="E512" s="113">
        <v>22.14</v>
      </c>
      <c r="F512" s="92"/>
      <c r="G512" s="88">
        <f t="shared" ref="G512:G525" si="64">F512*E512</f>
        <v>0</v>
      </c>
      <c r="J512" s="143" t="str">
        <f t="shared" si="56"/>
        <v>-</v>
      </c>
      <c r="K512" s="143" t="str">
        <f t="shared" si="57"/>
        <v>-</v>
      </c>
      <c r="L512" s="144" t="str">
        <f t="shared" si="60"/>
        <v>-</v>
      </c>
      <c r="M512" s="145" t="str">
        <f t="shared" si="58"/>
        <v>-</v>
      </c>
      <c r="O512" s="145" t="str">
        <f t="shared" si="59"/>
        <v>-</v>
      </c>
    </row>
    <row r="513" spans="1:15">
      <c r="A513" s="39"/>
      <c r="B513" s="65">
        <v>1202</v>
      </c>
      <c r="C513" s="108" t="s">
        <v>67</v>
      </c>
      <c r="D513" s="118">
        <v>1.02</v>
      </c>
      <c r="E513" s="113">
        <v>38.770000000000003</v>
      </c>
      <c r="F513" s="95"/>
      <c r="G513" s="88">
        <f t="shared" si="64"/>
        <v>0</v>
      </c>
      <c r="J513" s="143" t="str">
        <f t="shared" si="56"/>
        <v>-</v>
      </c>
      <c r="K513" s="143" t="str">
        <f t="shared" si="57"/>
        <v>-</v>
      </c>
      <c r="L513" s="144" t="str">
        <f t="shared" si="60"/>
        <v>-</v>
      </c>
      <c r="M513" s="145" t="str">
        <f t="shared" si="58"/>
        <v>-</v>
      </c>
      <c r="O513" s="145" t="str">
        <f t="shared" si="59"/>
        <v>-</v>
      </c>
    </row>
    <row r="514" spans="1:15">
      <c r="A514" s="34" t="s">
        <v>355</v>
      </c>
      <c r="B514" s="65">
        <v>1204</v>
      </c>
      <c r="C514" s="108" t="s">
        <v>336</v>
      </c>
      <c r="D514" s="118">
        <v>0</v>
      </c>
      <c r="E514" s="113">
        <v>15.01</v>
      </c>
      <c r="F514" s="92"/>
      <c r="G514" s="88">
        <f t="shared" si="64"/>
        <v>0</v>
      </c>
      <c r="J514" s="143" t="str">
        <f t="shared" si="56"/>
        <v>-</v>
      </c>
      <c r="K514" s="143" t="str">
        <f t="shared" si="57"/>
        <v>-</v>
      </c>
      <c r="L514" s="144" t="str">
        <f t="shared" si="60"/>
        <v>-</v>
      </c>
      <c r="M514" s="145" t="str">
        <f t="shared" si="58"/>
        <v>-</v>
      </c>
      <c r="O514" s="145" t="str">
        <f t="shared" si="59"/>
        <v>-</v>
      </c>
    </row>
    <row r="515" spans="1:15">
      <c r="A515" s="34" t="s">
        <v>356</v>
      </c>
      <c r="B515" s="65">
        <v>1208</v>
      </c>
      <c r="C515" s="108" t="s">
        <v>3</v>
      </c>
      <c r="D515" s="118">
        <v>0</v>
      </c>
      <c r="E515" s="113">
        <v>16.59</v>
      </c>
      <c r="F515" s="92"/>
      <c r="G515" s="88">
        <f t="shared" si="64"/>
        <v>0</v>
      </c>
      <c r="J515" s="143" t="str">
        <f t="shared" ref="J515:J578" si="65">IFERROR(IF($J$2*D515=0, "-", $J$2*D515), "-")</f>
        <v>-</v>
      </c>
      <c r="K515" s="143" t="str">
        <f t="shared" ref="K515:K578" si="66">IF(F515&gt;0,E515+D515*F515/$L$2*$M$2/F515,"-")</f>
        <v>-</v>
      </c>
      <c r="L515" s="144" t="str">
        <f t="shared" si="60"/>
        <v>-</v>
      </c>
      <c r="M515" s="145" t="str">
        <f t="shared" ref="M515:M578" si="67">IFERROR(IF($J$2&gt;0, $J$2*L515, "-"), "-")</f>
        <v>-</v>
      </c>
      <c r="O515" s="145" t="str">
        <f t="shared" ref="O515:O578" si="68">IFERROR(IF(M515+G515=0, "-", IF(M515&gt;0, M515+G515, "-")), "-")</f>
        <v>-</v>
      </c>
    </row>
    <row r="516" spans="1:15" ht="24">
      <c r="A516" s="34" t="s">
        <v>357</v>
      </c>
      <c r="B516" s="65">
        <v>1236</v>
      </c>
      <c r="C516" s="109">
        <v>60</v>
      </c>
      <c r="D516" s="118">
        <v>0</v>
      </c>
      <c r="E516" s="113">
        <v>12.51</v>
      </c>
      <c r="F516" s="92"/>
      <c r="G516" s="88">
        <f t="shared" si="64"/>
        <v>0</v>
      </c>
      <c r="J516" s="143" t="str">
        <f t="shared" si="65"/>
        <v>-</v>
      </c>
      <c r="K516" s="143" t="str">
        <f t="shared" si="66"/>
        <v>-</v>
      </c>
      <c r="L516" s="144" t="str">
        <f t="shared" ref="L516:L579" si="69">IF(F516&gt;0,F516*D516*1.113, "-")</f>
        <v>-</v>
      </c>
      <c r="M516" s="145" t="str">
        <f t="shared" si="67"/>
        <v>-</v>
      </c>
      <c r="O516" s="145" t="str">
        <f t="shared" si="68"/>
        <v>-</v>
      </c>
    </row>
    <row r="517" spans="1:15">
      <c r="A517" s="39"/>
      <c r="B517" s="65">
        <v>1237</v>
      </c>
      <c r="C517" s="109">
        <v>90</v>
      </c>
      <c r="D517" s="118">
        <v>0</v>
      </c>
      <c r="E517" s="113">
        <v>17.79</v>
      </c>
      <c r="F517" s="95"/>
      <c r="G517" s="88">
        <f t="shared" si="64"/>
        <v>0</v>
      </c>
      <c r="J517" s="143" t="str">
        <f t="shared" si="65"/>
        <v>-</v>
      </c>
      <c r="K517" s="143" t="str">
        <f t="shared" si="66"/>
        <v>-</v>
      </c>
      <c r="L517" s="144" t="str">
        <f t="shared" si="69"/>
        <v>-</v>
      </c>
      <c r="M517" s="145" t="str">
        <f t="shared" si="67"/>
        <v>-</v>
      </c>
      <c r="O517" s="145" t="str">
        <f t="shared" si="68"/>
        <v>-</v>
      </c>
    </row>
    <row r="518" spans="1:15">
      <c r="A518" s="34" t="s">
        <v>358</v>
      </c>
      <c r="B518" s="65">
        <v>1250</v>
      </c>
      <c r="C518" s="109">
        <v>30</v>
      </c>
      <c r="D518" s="118">
        <v>0</v>
      </c>
      <c r="E518" s="113">
        <v>13.82</v>
      </c>
      <c r="F518" s="95"/>
      <c r="G518" s="88">
        <f t="shared" si="64"/>
        <v>0</v>
      </c>
      <c r="J518" s="143" t="str">
        <f t="shared" si="65"/>
        <v>-</v>
      </c>
      <c r="K518" s="143" t="str">
        <f t="shared" si="66"/>
        <v>-</v>
      </c>
      <c r="L518" s="144" t="str">
        <f t="shared" si="69"/>
        <v>-</v>
      </c>
      <c r="M518" s="145" t="str">
        <f t="shared" si="67"/>
        <v>-</v>
      </c>
      <c r="O518" s="145" t="str">
        <f t="shared" si="68"/>
        <v>-</v>
      </c>
    </row>
    <row r="519" spans="1:15">
      <c r="A519" s="39"/>
      <c r="B519" s="65">
        <v>1251</v>
      </c>
      <c r="C519" s="109">
        <v>60</v>
      </c>
      <c r="D519" s="118">
        <v>0</v>
      </c>
      <c r="E519" s="113">
        <v>25.71</v>
      </c>
      <c r="F519" s="95"/>
      <c r="G519" s="88">
        <f t="shared" si="64"/>
        <v>0</v>
      </c>
      <c r="J519" s="143" t="str">
        <f t="shared" si="65"/>
        <v>-</v>
      </c>
      <c r="K519" s="143" t="str">
        <f t="shared" si="66"/>
        <v>-</v>
      </c>
      <c r="L519" s="144" t="str">
        <f t="shared" si="69"/>
        <v>-</v>
      </c>
      <c r="M519" s="145" t="str">
        <f t="shared" si="67"/>
        <v>-</v>
      </c>
      <c r="O519" s="145" t="str">
        <f t="shared" si="68"/>
        <v>-</v>
      </c>
    </row>
    <row r="520" spans="1:15" ht="24">
      <c r="A520" s="34" t="s">
        <v>359</v>
      </c>
      <c r="B520" s="65">
        <v>1253</v>
      </c>
      <c r="C520" s="109">
        <v>60</v>
      </c>
      <c r="D520" s="118">
        <v>0</v>
      </c>
      <c r="E520" s="113">
        <v>15.81</v>
      </c>
      <c r="F520" s="92"/>
      <c r="G520" s="88">
        <f t="shared" si="64"/>
        <v>0</v>
      </c>
      <c r="J520" s="143" t="str">
        <f t="shared" si="65"/>
        <v>-</v>
      </c>
      <c r="K520" s="143" t="str">
        <f t="shared" si="66"/>
        <v>-</v>
      </c>
      <c r="L520" s="144" t="str">
        <f t="shared" si="69"/>
        <v>-</v>
      </c>
      <c r="M520" s="145" t="str">
        <f t="shared" si="67"/>
        <v>-</v>
      </c>
      <c r="O520" s="145" t="str">
        <f t="shared" si="68"/>
        <v>-</v>
      </c>
    </row>
    <row r="521" spans="1:15" ht="24">
      <c r="A521" s="34" t="s">
        <v>360</v>
      </c>
      <c r="B521" s="65">
        <v>1264</v>
      </c>
      <c r="C521" s="109">
        <v>60</v>
      </c>
      <c r="D521" s="118">
        <v>0.22</v>
      </c>
      <c r="E521" s="113">
        <v>38.25</v>
      </c>
      <c r="F521" s="92"/>
      <c r="G521" s="88">
        <f t="shared" si="64"/>
        <v>0</v>
      </c>
      <c r="J521" s="143" t="str">
        <f t="shared" si="65"/>
        <v>-</v>
      </c>
      <c r="K521" s="143" t="str">
        <f t="shared" si="66"/>
        <v>-</v>
      </c>
      <c r="L521" s="144" t="str">
        <f t="shared" si="69"/>
        <v>-</v>
      </c>
      <c r="M521" s="145" t="str">
        <f t="shared" si="67"/>
        <v>-</v>
      </c>
      <c r="O521" s="145" t="str">
        <f t="shared" si="68"/>
        <v>-</v>
      </c>
    </row>
    <row r="522" spans="1:15">
      <c r="A522" s="34" t="s">
        <v>361</v>
      </c>
      <c r="B522" s="65">
        <v>1266</v>
      </c>
      <c r="C522" s="108" t="s">
        <v>336</v>
      </c>
      <c r="D522" s="118">
        <v>0</v>
      </c>
      <c r="E522" s="113">
        <v>24.51</v>
      </c>
      <c r="F522" s="92"/>
      <c r="G522" s="88">
        <f t="shared" si="64"/>
        <v>0</v>
      </c>
      <c r="J522" s="143" t="str">
        <f t="shared" si="65"/>
        <v>-</v>
      </c>
      <c r="K522" s="143" t="str">
        <f t="shared" si="66"/>
        <v>-</v>
      </c>
      <c r="L522" s="144" t="str">
        <f t="shared" si="69"/>
        <v>-</v>
      </c>
      <c r="M522" s="145" t="str">
        <f t="shared" si="67"/>
        <v>-</v>
      </c>
      <c r="O522" s="145" t="str">
        <f t="shared" si="68"/>
        <v>-</v>
      </c>
    </row>
    <row r="523" spans="1:15">
      <c r="A523" s="39"/>
      <c r="B523" s="65">
        <v>1270</v>
      </c>
      <c r="C523" s="108" t="s">
        <v>91</v>
      </c>
      <c r="D523" s="118">
        <v>0</v>
      </c>
      <c r="E523" s="113">
        <v>16.59</v>
      </c>
      <c r="F523" s="95"/>
      <c r="G523" s="88">
        <f t="shared" si="64"/>
        <v>0</v>
      </c>
      <c r="J523" s="143" t="str">
        <f t="shared" si="65"/>
        <v>-</v>
      </c>
      <c r="K523" s="143" t="str">
        <f t="shared" si="66"/>
        <v>-</v>
      </c>
      <c r="L523" s="144" t="str">
        <f t="shared" si="69"/>
        <v>-</v>
      </c>
      <c r="M523" s="145" t="str">
        <f t="shared" si="67"/>
        <v>-</v>
      </c>
      <c r="O523" s="145" t="str">
        <f t="shared" si="68"/>
        <v>-</v>
      </c>
    </row>
    <row r="524" spans="1:15">
      <c r="A524" s="34" t="s">
        <v>362</v>
      </c>
      <c r="B524" s="65">
        <v>1272</v>
      </c>
      <c r="C524" s="108" t="s">
        <v>363</v>
      </c>
      <c r="D524" s="118">
        <v>0</v>
      </c>
      <c r="E524" s="113">
        <v>25.3</v>
      </c>
      <c r="F524" s="92"/>
      <c r="G524" s="88">
        <f t="shared" si="64"/>
        <v>0</v>
      </c>
      <c r="J524" s="143" t="str">
        <f t="shared" si="65"/>
        <v>-</v>
      </c>
      <c r="K524" s="143" t="str">
        <f t="shared" si="66"/>
        <v>-</v>
      </c>
      <c r="L524" s="144" t="str">
        <f t="shared" si="69"/>
        <v>-</v>
      </c>
      <c r="M524" s="145" t="str">
        <f t="shared" si="67"/>
        <v>-</v>
      </c>
      <c r="O524" s="145" t="str">
        <f t="shared" si="68"/>
        <v>-</v>
      </c>
    </row>
    <row r="525" spans="1:15">
      <c r="A525" s="55"/>
      <c r="B525" s="65">
        <v>1276</v>
      </c>
      <c r="C525" s="108" t="s">
        <v>91</v>
      </c>
      <c r="D525" s="118">
        <v>0</v>
      </c>
      <c r="E525" s="113">
        <v>16.59</v>
      </c>
      <c r="F525" s="95"/>
      <c r="G525" s="88">
        <f t="shared" si="64"/>
        <v>0</v>
      </c>
      <c r="J525" s="143" t="str">
        <f t="shared" si="65"/>
        <v>-</v>
      </c>
      <c r="K525" s="143" t="str">
        <f t="shared" si="66"/>
        <v>-</v>
      </c>
      <c r="L525" s="144" t="str">
        <f t="shared" si="69"/>
        <v>-</v>
      </c>
      <c r="M525" s="145" t="str">
        <f t="shared" si="67"/>
        <v>-</v>
      </c>
      <c r="O525" s="145" t="str">
        <f t="shared" si="68"/>
        <v>-</v>
      </c>
    </row>
    <row r="526" spans="1:15">
      <c r="A526" s="37" t="s">
        <v>364</v>
      </c>
      <c r="B526" s="67"/>
      <c r="C526" s="3"/>
      <c r="D526" s="120"/>
      <c r="E526" s="19"/>
      <c r="F526" s="94"/>
      <c r="G526" s="38"/>
      <c r="J526" s="143" t="str">
        <f t="shared" si="65"/>
        <v>-</v>
      </c>
      <c r="K526" s="143" t="str">
        <f t="shared" si="66"/>
        <v>-</v>
      </c>
      <c r="L526" s="144" t="str">
        <f t="shared" si="69"/>
        <v>-</v>
      </c>
      <c r="M526" s="145" t="str">
        <f t="shared" si="67"/>
        <v>-</v>
      </c>
      <c r="O526" s="145" t="str">
        <f t="shared" si="68"/>
        <v>-</v>
      </c>
    </row>
    <row r="527" spans="1:15">
      <c r="A527" s="34" t="s">
        <v>365</v>
      </c>
      <c r="B527" s="65">
        <v>838</v>
      </c>
      <c r="C527" s="109">
        <v>30</v>
      </c>
      <c r="D527" s="118">
        <v>0</v>
      </c>
      <c r="E527" s="113">
        <v>10.89</v>
      </c>
      <c r="F527" s="92"/>
      <c r="G527" s="88">
        <f t="shared" ref="G527:G539" si="70">F527*E527</f>
        <v>0</v>
      </c>
      <c r="J527" s="143" t="str">
        <f t="shared" si="65"/>
        <v>-</v>
      </c>
      <c r="K527" s="143" t="str">
        <f t="shared" si="66"/>
        <v>-</v>
      </c>
      <c r="L527" s="144" t="str">
        <f t="shared" si="69"/>
        <v>-</v>
      </c>
      <c r="M527" s="145" t="str">
        <f t="shared" si="67"/>
        <v>-</v>
      </c>
      <c r="O527" s="145" t="str">
        <f t="shared" si="68"/>
        <v>-</v>
      </c>
    </row>
    <row r="528" spans="1:15">
      <c r="A528" s="39"/>
      <c r="B528" s="65">
        <v>840</v>
      </c>
      <c r="C528" s="109">
        <v>60</v>
      </c>
      <c r="D528" s="118">
        <v>0</v>
      </c>
      <c r="E528" s="113">
        <v>18.809999999999999</v>
      </c>
      <c r="F528" s="95"/>
      <c r="G528" s="88">
        <f t="shared" si="70"/>
        <v>0</v>
      </c>
      <c r="J528" s="143" t="str">
        <f t="shared" si="65"/>
        <v>-</v>
      </c>
      <c r="K528" s="143" t="str">
        <f t="shared" si="66"/>
        <v>-</v>
      </c>
      <c r="L528" s="144" t="str">
        <f t="shared" si="69"/>
        <v>-</v>
      </c>
      <c r="M528" s="145" t="str">
        <f t="shared" si="67"/>
        <v>-</v>
      </c>
      <c r="O528" s="145" t="str">
        <f t="shared" si="68"/>
        <v>-</v>
      </c>
    </row>
    <row r="529" spans="1:15">
      <c r="A529" s="55"/>
      <c r="B529" s="65">
        <v>842</v>
      </c>
      <c r="C529" s="109">
        <v>90</v>
      </c>
      <c r="D529" s="118">
        <v>0</v>
      </c>
      <c r="E529" s="113">
        <v>25.71</v>
      </c>
      <c r="F529" s="95"/>
      <c r="G529" s="88">
        <f t="shared" si="70"/>
        <v>0</v>
      </c>
      <c r="J529" s="143" t="str">
        <f t="shared" si="65"/>
        <v>-</v>
      </c>
      <c r="K529" s="143" t="str">
        <f t="shared" si="66"/>
        <v>-</v>
      </c>
      <c r="L529" s="144" t="str">
        <f t="shared" si="69"/>
        <v>-</v>
      </c>
      <c r="M529" s="145" t="str">
        <f t="shared" si="67"/>
        <v>-</v>
      </c>
      <c r="O529" s="145" t="str">
        <f t="shared" si="68"/>
        <v>-</v>
      </c>
    </row>
    <row r="530" spans="1:15">
      <c r="A530" s="34" t="s">
        <v>366</v>
      </c>
      <c r="B530" s="65">
        <v>873</v>
      </c>
      <c r="C530" s="109">
        <v>60</v>
      </c>
      <c r="D530" s="118">
        <v>0.18</v>
      </c>
      <c r="E530" s="113">
        <v>45.51</v>
      </c>
      <c r="F530" s="92"/>
      <c r="G530" s="88">
        <f t="shared" si="70"/>
        <v>0</v>
      </c>
      <c r="J530" s="143" t="str">
        <f t="shared" si="65"/>
        <v>-</v>
      </c>
      <c r="K530" s="143" t="str">
        <f t="shared" si="66"/>
        <v>-</v>
      </c>
      <c r="L530" s="144" t="str">
        <f t="shared" si="69"/>
        <v>-</v>
      </c>
      <c r="M530" s="145" t="str">
        <f t="shared" si="67"/>
        <v>-</v>
      </c>
      <c r="O530" s="145" t="str">
        <f t="shared" si="68"/>
        <v>-</v>
      </c>
    </row>
    <row r="531" spans="1:15">
      <c r="A531" s="34" t="s">
        <v>367</v>
      </c>
      <c r="B531" s="65">
        <v>916</v>
      </c>
      <c r="C531" s="109">
        <v>60</v>
      </c>
      <c r="D531" s="118">
        <v>0</v>
      </c>
      <c r="E531" s="113">
        <v>14.19</v>
      </c>
      <c r="F531" s="92"/>
      <c r="G531" s="88">
        <f t="shared" si="70"/>
        <v>0</v>
      </c>
      <c r="J531" s="143" t="str">
        <f t="shared" si="65"/>
        <v>-</v>
      </c>
      <c r="K531" s="143" t="str">
        <f t="shared" si="66"/>
        <v>-</v>
      </c>
      <c r="L531" s="144" t="str">
        <f t="shared" si="69"/>
        <v>-</v>
      </c>
      <c r="M531" s="145" t="str">
        <f t="shared" si="67"/>
        <v>-</v>
      </c>
      <c r="O531" s="145" t="str">
        <f t="shared" si="68"/>
        <v>-</v>
      </c>
    </row>
    <row r="532" spans="1:15">
      <c r="A532" s="39"/>
      <c r="B532" s="65">
        <v>919</v>
      </c>
      <c r="C532" s="109">
        <v>120</v>
      </c>
      <c r="D532" s="118">
        <v>0</v>
      </c>
      <c r="E532" s="113">
        <v>26.37</v>
      </c>
      <c r="F532" s="95"/>
      <c r="G532" s="88">
        <f t="shared" si="70"/>
        <v>0</v>
      </c>
      <c r="J532" s="143" t="str">
        <f t="shared" si="65"/>
        <v>-</v>
      </c>
      <c r="K532" s="143" t="str">
        <f t="shared" si="66"/>
        <v>-</v>
      </c>
      <c r="L532" s="144" t="str">
        <f t="shared" si="69"/>
        <v>-</v>
      </c>
      <c r="M532" s="145" t="str">
        <f t="shared" si="67"/>
        <v>-</v>
      </c>
      <c r="O532" s="145" t="str">
        <f t="shared" si="68"/>
        <v>-</v>
      </c>
    </row>
    <row r="533" spans="1:15">
      <c r="A533" s="34" t="s">
        <v>368</v>
      </c>
      <c r="B533" s="65">
        <v>980</v>
      </c>
      <c r="C533" s="109">
        <v>60</v>
      </c>
      <c r="D533" s="118">
        <v>0</v>
      </c>
      <c r="E533" s="113">
        <v>14.49</v>
      </c>
      <c r="F533" s="92"/>
      <c r="G533" s="88">
        <f t="shared" si="70"/>
        <v>0</v>
      </c>
      <c r="J533" s="143" t="str">
        <f t="shared" si="65"/>
        <v>-</v>
      </c>
      <c r="K533" s="143" t="str">
        <f t="shared" si="66"/>
        <v>-</v>
      </c>
      <c r="L533" s="144" t="str">
        <f t="shared" si="69"/>
        <v>-</v>
      </c>
      <c r="M533" s="145" t="str">
        <f t="shared" si="67"/>
        <v>-</v>
      </c>
      <c r="O533" s="145" t="str">
        <f t="shared" si="68"/>
        <v>-</v>
      </c>
    </row>
    <row r="534" spans="1:15">
      <c r="A534" s="39"/>
      <c r="B534" s="65">
        <v>981</v>
      </c>
      <c r="C534" s="109">
        <v>120</v>
      </c>
      <c r="D534" s="118">
        <v>0</v>
      </c>
      <c r="E534" s="113">
        <v>25.41</v>
      </c>
      <c r="F534" s="95"/>
      <c r="G534" s="88">
        <f t="shared" si="70"/>
        <v>0</v>
      </c>
      <c r="J534" s="143" t="str">
        <f t="shared" si="65"/>
        <v>-</v>
      </c>
      <c r="K534" s="143" t="str">
        <f t="shared" si="66"/>
        <v>-</v>
      </c>
      <c r="L534" s="144" t="str">
        <f t="shared" si="69"/>
        <v>-</v>
      </c>
      <c r="M534" s="145" t="str">
        <f t="shared" si="67"/>
        <v>-</v>
      </c>
      <c r="O534" s="145" t="str">
        <f t="shared" si="68"/>
        <v>-</v>
      </c>
    </row>
    <row r="535" spans="1:15" ht="24">
      <c r="A535" s="34" t="s">
        <v>369</v>
      </c>
      <c r="B535" s="65">
        <v>982</v>
      </c>
      <c r="C535" s="109">
        <v>60</v>
      </c>
      <c r="D535" s="118">
        <v>0</v>
      </c>
      <c r="E535" s="113">
        <v>7.89</v>
      </c>
      <c r="F535" s="92"/>
      <c r="G535" s="88">
        <f t="shared" si="70"/>
        <v>0</v>
      </c>
      <c r="J535" s="143" t="str">
        <f t="shared" si="65"/>
        <v>-</v>
      </c>
      <c r="K535" s="143" t="str">
        <f t="shared" si="66"/>
        <v>-</v>
      </c>
      <c r="L535" s="144" t="str">
        <f t="shared" si="69"/>
        <v>-</v>
      </c>
      <c r="M535" s="145" t="str">
        <f t="shared" si="67"/>
        <v>-</v>
      </c>
      <c r="O535" s="145" t="str">
        <f t="shared" si="68"/>
        <v>-</v>
      </c>
    </row>
    <row r="536" spans="1:15">
      <c r="A536" s="39"/>
      <c r="B536" s="65">
        <v>984</v>
      </c>
      <c r="C536" s="109">
        <v>120</v>
      </c>
      <c r="D536" s="118">
        <v>0</v>
      </c>
      <c r="E536" s="113">
        <v>15.15</v>
      </c>
      <c r="F536" s="95"/>
      <c r="G536" s="88">
        <f t="shared" si="70"/>
        <v>0</v>
      </c>
      <c r="J536" s="143" t="str">
        <f t="shared" si="65"/>
        <v>-</v>
      </c>
      <c r="K536" s="143" t="str">
        <f t="shared" si="66"/>
        <v>-</v>
      </c>
      <c r="L536" s="144" t="str">
        <f t="shared" si="69"/>
        <v>-</v>
      </c>
      <c r="M536" s="145" t="str">
        <f t="shared" si="67"/>
        <v>-</v>
      </c>
      <c r="O536" s="145" t="str">
        <f t="shared" si="68"/>
        <v>-</v>
      </c>
    </row>
    <row r="537" spans="1:15">
      <c r="A537" s="34" t="s">
        <v>370</v>
      </c>
      <c r="B537" s="65">
        <v>983</v>
      </c>
      <c r="C537" s="109">
        <v>60</v>
      </c>
      <c r="D537" s="118">
        <v>0.18</v>
      </c>
      <c r="E537" s="113">
        <v>17.79</v>
      </c>
      <c r="F537" s="92"/>
      <c r="G537" s="88">
        <f t="shared" si="70"/>
        <v>0</v>
      </c>
      <c r="J537" s="143" t="str">
        <f t="shared" si="65"/>
        <v>-</v>
      </c>
      <c r="K537" s="143" t="str">
        <f t="shared" si="66"/>
        <v>-</v>
      </c>
      <c r="L537" s="144" t="str">
        <f t="shared" si="69"/>
        <v>-</v>
      </c>
      <c r="M537" s="145" t="str">
        <f t="shared" si="67"/>
        <v>-</v>
      </c>
      <c r="O537" s="145" t="str">
        <f t="shared" si="68"/>
        <v>-</v>
      </c>
    </row>
    <row r="538" spans="1:15" ht="24">
      <c r="A538" s="34" t="s">
        <v>371</v>
      </c>
      <c r="B538" s="65">
        <v>1190</v>
      </c>
      <c r="C538" s="109">
        <v>60</v>
      </c>
      <c r="D538" s="118">
        <v>0</v>
      </c>
      <c r="E538" s="113">
        <v>13.53</v>
      </c>
      <c r="F538" s="92"/>
      <c r="G538" s="88">
        <f t="shared" si="70"/>
        <v>0</v>
      </c>
      <c r="J538" s="143" t="str">
        <f t="shared" si="65"/>
        <v>-</v>
      </c>
      <c r="K538" s="143" t="str">
        <f t="shared" si="66"/>
        <v>-</v>
      </c>
      <c r="L538" s="144" t="str">
        <f t="shared" si="69"/>
        <v>-</v>
      </c>
      <c r="M538" s="145" t="str">
        <f t="shared" si="67"/>
        <v>-</v>
      </c>
      <c r="O538" s="145" t="str">
        <f t="shared" si="68"/>
        <v>-</v>
      </c>
    </row>
    <row r="539" spans="1:15">
      <c r="A539" s="39"/>
      <c r="B539" s="65">
        <v>1192</v>
      </c>
      <c r="C539" s="109">
        <v>90</v>
      </c>
      <c r="D539" s="118">
        <v>0</v>
      </c>
      <c r="E539" s="113">
        <v>19.77</v>
      </c>
      <c r="F539" s="95"/>
      <c r="G539" s="88">
        <f t="shared" si="70"/>
        <v>0</v>
      </c>
      <c r="J539" s="143" t="str">
        <f t="shared" si="65"/>
        <v>-</v>
      </c>
      <c r="K539" s="143" t="str">
        <f t="shared" si="66"/>
        <v>-</v>
      </c>
      <c r="L539" s="144" t="str">
        <f t="shared" si="69"/>
        <v>-</v>
      </c>
      <c r="M539" s="145" t="str">
        <f t="shared" si="67"/>
        <v>-</v>
      </c>
      <c r="O539" s="145" t="str">
        <f t="shared" si="68"/>
        <v>-</v>
      </c>
    </row>
    <row r="540" spans="1:15">
      <c r="A540" s="37" t="s">
        <v>372</v>
      </c>
      <c r="B540" s="67"/>
      <c r="C540" s="3"/>
      <c r="D540" s="120"/>
      <c r="E540" s="19"/>
      <c r="F540" s="94"/>
      <c r="G540" s="38"/>
      <c r="J540" s="143" t="str">
        <f t="shared" si="65"/>
        <v>-</v>
      </c>
      <c r="K540" s="143" t="str">
        <f t="shared" si="66"/>
        <v>-</v>
      </c>
      <c r="L540" s="144" t="str">
        <f t="shared" si="69"/>
        <v>-</v>
      </c>
      <c r="M540" s="145" t="str">
        <f t="shared" si="67"/>
        <v>-</v>
      </c>
      <c r="O540" s="145" t="str">
        <f t="shared" si="68"/>
        <v>-</v>
      </c>
    </row>
    <row r="541" spans="1:15">
      <c r="A541" s="34" t="s">
        <v>373</v>
      </c>
      <c r="B541" s="65">
        <v>924</v>
      </c>
      <c r="C541" s="109">
        <v>90</v>
      </c>
      <c r="D541" s="118">
        <v>0</v>
      </c>
      <c r="E541" s="113">
        <v>9.57</v>
      </c>
      <c r="F541" s="95"/>
      <c r="G541" s="88">
        <f>F541*E541</f>
        <v>0</v>
      </c>
      <c r="J541" s="143" t="str">
        <f t="shared" si="65"/>
        <v>-</v>
      </c>
      <c r="K541" s="143" t="str">
        <f t="shared" si="66"/>
        <v>-</v>
      </c>
      <c r="L541" s="144" t="str">
        <f t="shared" si="69"/>
        <v>-</v>
      </c>
      <c r="M541" s="145" t="str">
        <f t="shared" si="67"/>
        <v>-</v>
      </c>
      <c r="O541" s="145" t="str">
        <f t="shared" si="68"/>
        <v>-</v>
      </c>
    </row>
    <row r="542" spans="1:15">
      <c r="A542" s="55"/>
      <c r="B542" s="65">
        <v>926</v>
      </c>
      <c r="C542" s="109">
        <v>180</v>
      </c>
      <c r="D542" s="118">
        <v>0.64</v>
      </c>
      <c r="E542" s="113">
        <v>16.47</v>
      </c>
      <c r="F542" s="95"/>
      <c r="G542" s="88">
        <f>F542*E542</f>
        <v>0</v>
      </c>
      <c r="J542" s="143" t="str">
        <f t="shared" si="65"/>
        <v>-</v>
      </c>
      <c r="K542" s="143" t="str">
        <f t="shared" si="66"/>
        <v>-</v>
      </c>
      <c r="L542" s="144" t="str">
        <f t="shared" si="69"/>
        <v>-</v>
      </c>
      <c r="M542" s="145" t="str">
        <f t="shared" si="67"/>
        <v>-</v>
      </c>
      <c r="O542" s="145" t="str">
        <f t="shared" si="68"/>
        <v>-</v>
      </c>
    </row>
    <row r="543" spans="1:15">
      <c r="A543" s="34" t="s">
        <v>374</v>
      </c>
      <c r="B543" s="65">
        <v>928</v>
      </c>
      <c r="C543" s="108" t="s">
        <v>375</v>
      </c>
      <c r="D543" s="118">
        <v>0.48</v>
      </c>
      <c r="E543" s="113">
        <v>15.15</v>
      </c>
      <c r="F543" s="92"/>
      <c r="G543" s="88">
        <f>F543*E543</f>
        <v>0</v>
      </c>
      <c r="J543" s="143" t="str">
        <f t="shared" si="65"/>
        <v>-</v>
      </c>
      <c r="K543" s="143" t="str">
        <f t="shared" si="66"/>
        <v>-</v>
      </c>
      <c r="L543" s="144" t="str">
        <f t="shared" si="69"/>
        <v>-</v>
      </c>
      <c r="M543" s="145" t="str">
        <f t="shared" si="67"/>
        <v>-</v>
      </c>
      <c r="O543" s="145" t="str">
        <f t="shared" si="68"/>
        <v>-</v>
      </c>
    </row>
    <row r="544" spans="1:15">
      <c r="A544" s="55"/>
      <c r="B544" s="65">
        <v>933</v>
      </c>
      <c r="C544" s="108" t="s">
        <v>376</v>
      </c>
      <c r="D544" s="118">
        <v>0</v>
      </c>
      <c r="E544" s="113">
        <v>28.35</v>
      </c>
      <c r="F544" s="95"/>
      <c r="G544" s="88">
        <f>F544*E544</f>
        <v>0</v>
      </c>
      <c r="J544" s="143" t="str">
        <f t="shared" si="65"/>
        <v>-</v>
      </c>
      <c r="K544" s="143" t="str">
        <f t="shared" si="66"/>
        <v>-</v>
      </c>
      <c r="L544" s="144" t="str">
        <f t="shared" si="69"/>
        <v>-</v>
      </c>
      <c r="M544" s="145" t="str">
        <f t="shared" si="67"/>
        <v>-</v>
      </c>
      <c r="O544" s="145" t="str">
        <f t="shared" si="68"/>
        <v>-</v>
      </c>
    </row>
    <row r="545" spans="1:15">
      <c r="A545" s="34" t="s">
        <v>377</v>
      </c>
      <c r="B545" s="65">
        <v>964</v>
      </c>
      <c r="C545" s="109">
        <v>60</v>
      </c>
      <c r="D545" s="118">
        <v>0</v>
      </c>
      <c r="E545" s="113">
        <v>18.45</v>
      </c>
      <c r="F545" s="92"/>
      <c r="G545" s="88">
        <f>F545*E545</f>
        <v>0</v>
      </c>
      <c r="J545" s="143" t="str">
        <f t="shared" si="65"/>
        <v>-</v>
      </c>
      <c r="K545" s="143" t="str">
        <f t="shared" si="66"/>
        <v>-</v>
      </c>
      <c r="L545" s="144" t="str">
        <f t="shared" si="69"/>
        <v>-</v>
      </c>
      <c r="M545" s="145" t="str">
        <f t="shared" si="67"/>
        <v>-</v>
      </c>
      <c r="O545" s="145" t="str">
        <f t="shared" si="68"/>
        <v>-</v>
      </c>
    </row>
    <row r="546" spans="1:15" ht="36">
      <c r="A546" s="47" t="s">
        <v>378</v>
      </c>
      <c r="B546" s="72"/>
      <c r="C546" s="4"/>
      <c r="D546" s="124"/>
      <c r="E546" s="23"/>
      <c r="F546" s="99"/>
      <c r="G546" s="48"/>
      <c r="J546" s="143" t="str">
        <f t="shared" si="65"/>
        <v>-</v>
      </c>
      <c r="K546" s="143" t="str">
        <f t="shared" si="66"/>
        <v>-</v>
      </c>
      <c r="L546" s="144" t="str">
        <f t="shared" si="69"/>
        <v>-</v>
      </c>
      <c r="M546" s="145" t="str">
        <f t="shared" si="67"/>
        <v>-</v>
      </c>
      <c r="O546" s="145" t="str">
        <f t="shared" si="68"/>
        <v>-</v>
      </c>
    </row>
    <row r="547" spans="1:15">
      <c r="A547" s="35" t="s">
        <v>379</v>
      </c>
      <c r="B547" s="66"/>
      <c r="C547" s="2"/>
      <c r="D547" s="119"/>
      <c r="E547" s="18"/>
      <c r="F547" s="93"/>
      <c r="G547" s="36"/>
      <c r="J547" s="143" t="str">
        <f t="shared" si="65"/>
        <v>-</v>
      </c>
      <c r="K547" s="143" t="str">
        <f t="shared" si="66"/>
        <v>-</v>
      </c>
      <c r="L547" s="144" t="str">
        <f t="shared" si="69"/>
        <v>-</v>
      </c>
      <c r="M547" s="145" t="str">
        <f t="shared" si="67"/>
        <v>-</v>
      </c>
      <c r="O547" s="145" t="str">
        <f t="shared" si="68"/>
        <v>-</v>
      </c>
    </row>
    <row r="548" spans="1:15">
      <c r="A548" s="34" t="s">
        <v>380</v>
      </c>
      <c r="B548" s="65">
        <v>2000</v>
      </c>
      <c r="C548" s="109">
        <v>30</v>
      </c>
      <c r="D548" s="118">
        <v>0</v>
      </c>
      <c r="E548" s="113">
        <v>12.51</v>
      </c>
      <c r="F548" s="95"/>
      <c r="G548" s="88">
        <f t="shared" ref="G548:G573" si="71">F548*E548</f>
        <v>0</v>
      </c>
      <c r="J548" s="143" t="str">
        <f t="shared" si="65"/>
        <v>-</v>
      </c>
      <c r="K548" s="143" t="str">
        <f t="shared" si="66"/>
        <v>-</v>
      </c>
      <c r="L548" s="144" t="str">
        <f t="shared" si="69"/>
        <v>-</v>
      </c>
      <c r="M548" s="145" t="str">
        <f t="shared" si="67"/>
        <v>-</v>
      </c>
      <c r="O548" s="145" t="str">
        <f t="shared" si="68"/>
        <v>-</v>
      </c>
    </row>
    <row r="549" spans="1:15">
      <c r="A549" s="55"/>
      <c r="B549" s="65">
        <v>2002</v>
      </c>
      <c r="C549" s="109">
        <v>60</v>
      </c>
      <c r="D549" s="118">
        <v>0</v>
      </c>
      <c r="E549" s="113">
        <v>23.07</v>
      </c>
      <c r="F549" s="95"/>
      <c r="G549" s="88">
        <f t="shared" si="71"/>
        <v>0</v>
      </c>
      <c r="J549" s="143" t="str">
        <f t="shared" si="65"/>
        <v>-</v>
      </c>
      <c r="K549" s="143" t="str">
        <f t="shared" si="66"/>
        <v>-</v>
      </c>
      <c r="L549" s="144" t="str">
        <f t="shared" si="69"/>
        <v>-</v>
      </c>
      <c r="M549" s="145" t="str">
        <f t="shared" si="67"/>
        <v>-</v>
      </c>
      <c r="O549" s="145" t="str">
        <f t="shared" si="68"/>
        <v>-</v>
      </c>
    </row>
    <row r="550" spans="1:15">
      <c r="A550" s="34" t="s">
        <v>381</v>
      </c>
      <c r="B550" s="65">
        <v>2004</v>
      </c>
      <c r="C550" s="109">
        <v>30</v>
      </c>
      <c r="D550" s="118">
        <v>0</v>
      </c>
      <c r="E550" s="113">
        <v>11.85</v>
      </c>
      <c r="F550" s="95"/>
      <c r="G550" s="88">
        <f t="shared" si="71"/>
        <v>0</v>
      </c>
      <c r="J550" s="143" t="str">
        <f t="shared" si="65"/>
        <v>-</v>
      </c>
      <c r="K550" s="143" t="str">
        <f t="shared" si="66"/>
        <v>-</v>
      </c>
      <c r="L550" s="144" t="str">
        <f t="shared" si="69"/>
        <v>-</v>
      </c>
      <c r="M550" s="145" t="str">
        <f t="shared" si="67"/>
        <v>-</v>
      </c>
      <c r="O550" s="145" t="str">
        <f t="shared" si="68"/>
        <v>-</v>
      </c>
    </row>
    <row r="551" spans="1:15">
      <c r="A551" s="39"/>
      <c r="B551" s="65">
        <v>2006</v>
      </c>
      <c r="C551" s="109">
        <v>60</v>
      </c>
      <c r="D551" s="118">
        <v>0</v>
      </c>
      <c r="E551" s="113">
        <v>22.41</v>
      </c>
      <c r="F551" s="95"/>
      <c r="G551" s="88">
        <f t="shared" si="71"/>
        <v>0</v>
      </c>
      <c r="J551" s="143" t="str">
        <f t="shared" si="65"/>
        <v>-</v>
      </c>
      <c r="K551" s="143" t="str">
        <f t="shared" si="66"/>
        <v>-</v>
      </c>
      <c r="L551" s="144" t="str">
        <f t="shared" si="69"/>
        <v>-</v>
      </c>
      <c r="M551" s="145" t="str">
        <f t="shared" si="67"/>
        <v>-</v>
      </c>
      <c r="O551" s="145" t="str">
        <f t="shared" si="68"/>
        <v>-</v>
      </c>
    </row>
    <row r="552" spans="1:15">
      <c r="A552" s="34" t="s">
        <v>382</v>
      </c>
      <c r="B552" s="65">
        <v>2008</v>
      </c>
      <c r="C552" s="109">
        <v>60</v>
      </c>
      <c r="D552" s="118">
        <v>0</v>
      </c>
      <c r="E552" s="113">
        <v>17.79</v>
      </c>
      <c r="F552" s="92"/>
      <c r="G552" s="88">
        <f t="shared" si="71"/>
        <v>0</v>
      </c>
      <c r="J552" s="143" t="str">
        <f t="shared" si="65"/>
        <v>-</v>
      </c>
      <c r="K552" s="143" t="str">
        <f t="shared" si="66"/>
        <v>-</v>
      </c>
      <c r="L552" s="144" t="str">
        <f t="shared" si="69"/>
        <v>-</v>
      </c>
      <c r="M552" s="145" t="str">
        <f t="shared" si="67"/>
        <v>-</v>
      </c>
      <c r="O552" s="145" t="str">
        <f t="shared" si="68"/>
        <v>-</v>
      </c>
    </row>
    <row r="553" spans="1:15">
      <c r="A553" s="39"/>
      <c r="B553" s="65">
        <v>2010</v>
      </c>
      <c r="C553" s="109">
        <v>90</v>
      </c>
      <c r="D553" s="118">
        <v>0</v>
      </c>
      <c r="E553" s="113">
        <v>26.37</v>
      </c>
      <c r="F553" s="95"/>
      <c r="G553" s="88">
        <f t="shared" si="71"/>
        <v>0</v>
      </c>
      <c r="J553" s="143" t="str">
        <f t="shared" si="65"/>
        <v>-</v>
      </c>
      <c r="K553" s="143" t="str">
        <f t="shared" si="66"/>
        <v>-</v>
      </c>
      <c r="L553" s="144" t="str">
        <f t="shared" si="69"/>
        <v>-</v>
      </c>
      <c r="M553" s="145" t="str">
        <f t="shared" si="67"/>
        <v>-</v>
      </c>
      <c r="O553" s="145" t="str">
        <f t="shared" si="68"/>
        <v>-</v>
      </c>
    </row>
    <row r="554" spans="1:15">
      <c r="A554" s="34" t="s">
        <v>383</v>
      </c>
      <c r="B554" s="65">
        <v>2012</v>
      </c>
      <c r="C554" s="109">
        <v>30</v>
      </c>
      <c r="D554" s="118">
        <v>0</v>
      </c>
      <c r="E554" s="113">
        <v>14.85</v>
      </c>
      <c r="F554" s="92"/>
      <c r="G554" s="88">
        <f t="shared" si="71"/>
        <v>0</v>
      </c>
      <c r="J554" s="143" t="str">
        <f t="shared" si="65"/>
        <v>-</v>
      </c>
      <c r="K554" s="143" t="str">
        <f t="shared" si="66"/>
        <v>-</v>
      </c>
      <c r="L554" s="144" t="str">
        <f t="shared" si="69"/>
        <v>-</v>
      </c>
      <c r="M554" s="145" t="str">
        <f t="shared" si="67"/>
        <v>-</v>
      </c>
      <c r="O554" s="145" t="str">
        <f t="shared" si="68"/>
        <v>-</v>
      </c>
    </row>
    <row r="555" spans="1:15">
      <c r="A555" s="39"/>
      <c r="B555" s="65">
        <v>2014</v>
      </c>
      <c r="C555" s="109">
        <v>60</v>
      </c>
      <c r="D555" s="118">
        <v>0</v>
      </c>
      <c r="E555" s="113">
        <v>27.69</v>
      </c>
      <c r="F555" s="95"/>
      <c r="G555" s="88">
        <f t="shared" si="71"/>
        <v>0</v>
      </c>
      <c r="J555" s="143" t="str">
        <f t="shared" si="65"/>
        <v>-</v>
      </c>
      <c r="K555" s="143" t="str">
        <f t="shared" si="66"/>
        <v>-</v>
      </c>
      <c r="L555" s="144" t="str">
        <f t="shared" si="69"/>
        <v>-</v>
      </c>
      <c r="M555" s="145" t="str">
        <f t="shared" si="67"/>
        <v>-</v>
      </c>
      <c r="O555" s="145" t="str">
        <f t="shared" si="68"/>
        <v>-</v>
      </c>
    </row>
    <row r="556" spans="1:15">
      <c r="A556" s="34" t="s">
        <v>384</v>
      </c>
      <c r="B556" s="65">
        <v>2016</v>
      </c>
      <c r="C556" s="109">
        <v>60</v>
      </c>
      <c r="D556" s="118">
        <v>0</v>
      </c>
      <c r="E556" s="113">
        <v>19.47</v>
      </c>
      <c r="F556" s="92"/>
      <c r="G556" s="88">
        <f t="shared" si="71"/>
        <v>0</v>
      </c>
      <c r="J556" s="143" t="str">
        <f t="shared" si="65"/>
        <v>-</v>
      </c>
      <c r="K556" s="143" t="str">
        <f t="shared" si="66"/>
        <v>-</v>
      </c>
      <c r="L556" s="144" t="str">
        <f t="shared" si="69"/>
        <v>-</v>
      </c>
      <c r="M556" s="145" t="str">
        <f t="shared" si="67"/>
        <v>-</v>
      </c>
      <c r="O556" s="145" t="str">
        <f t="shared" si="68"/>
        <v>-</v>
      </c>
    </row>
    <row r="557" spans="1:15">
      <c r="A557" s="39"/>
      <c r="B557" s="65">
        <v>2018</v>
      </c>
      <c r="C557" s="109">
        <v>90</v>
      </c>
      <c r="D557" s="118">
        <v>0</v>
      </c>
      <c r="E557" s="113">
        <v>28.71</v>
      </c>
      <c r="F557" s="95"/>
      <c r="G557" s="88">
        <f t="shared" si="71"/>
        <v>0</v>
      </c>
      <c r="J557" s="143" t="str">
        <f t="shared" si="65"/>
        <v>-</v>
      </c>
      <c r="K557" s="143" t="str">
        <f t="shared" si="66"/>
        <v>-</v>
      </c>
      <c r="L557" s="144" t="str">
        <f t="shared" si="69"/>
        <v>-</v>
      </c>
      <c r="M557" s="145" t="str">
        <f t="shared" si="67"/>
        <v>-</v>
      </c>
      <c r="O557" s="145" t="str">
        <f t="shared" si="68"/>
        <v>-</v>
      </c>
    </row>
    <row r="558" spans="1:15">
      <c r="A558" s="34" t="s">
        <v>385</v>
      </c>
      <c r="B558" s="65">
        <v>2020</v>
      </c>
      <c r="C558" s="109">
        <v>30</v>
      </c>
      <c r="D558" s="118">
        <v>0</v>
      </c>
      <c r="E558" s="113">
        <v>17.13</v>
      </c>
      <c r="F558" s="95"/>
      <c r="G558" s="88">
        <f t="shared" si="71"/>
        <v>0</v>
      </c>
      <c r="J558" s="143" t="str">
        <f t="shared" si="65"/>
        <v>-</v>
      </c>
      <c r="K558" s="143" t="str">
        <f t="shared" si="66"/>
        <v>-</v>
      </c>
      <c r="L558" s="144" t="str">
        <f t="shared" si="69"/>
        <v>-</v>
      </c>
      <c r="M558" s="145" t="str">
        <f t="shared" si="67"/>
        <v>-</v>
      </c>
      <c r="O558" s="145" t="str">
        <f t="shared" si="68"/>
        <v>-</v>
      </c>
    </row>
    <row r="559" spans="1:15">
      <c r="A559" s="55"/>
      <c r="B559" s="65">
        <v>2022</v>
      </c>
      <c r="C559" s="109">
        <v>60</v>
      </c>
      <c r="D559" s="118">
        <v>0</v>
      </c>
      <c r="E559" s="113">
        <v>31.65</v>
      </c>
      <c r="F559" s="95"/>
      <c r="G559" s="88">
        <f t="shared" si="71"/>
        <v>0</v>
      </c>
      <c r="J559" s="143" t="str">
        <f t="shared" si="65"/>
        <v>-</v>
      </c>
      <c r="K559" s="143" t="str">
        <f t="shared" si="66"/>
        <v>-</v>
      </c>
      <c r="L559" s="144" t="str">
        <f t="shared" si="69"/>
        <v>-</v>
      </c>
      <c r="M559" s="145" t="str">
        <f t="shared" si="67"/>
        <v>-</v>
      </c>
      <c r="O559" s="145" t="str">
        <f t="shared" si="68"/>
        <v>-</v>
      </c>
    </row>
    <row r="560" spans="1:15">
      <c r="A560" s="34" t="s">
        <v>386</v>
      </c>
      <c r="B560" s="65">
        <v>2024</v>
      </c>
      <c r="C560" s="109">
        <v>30</v>
      </c>
      <c r="D560" s="118">
        <v>0</v>
      </c>
      <c r="E560" s="113">
        <v>9.57</v>
      </c>
      <c r="F560" s="92"/>
      <c r="G560" s="88">
        <f t="shared" si="71"/>
        <v>0</v>
      </c>
      <c r="J560" s="143" t="str">
        <f t="shared" si="65"/>
        <v>-</v>
      </c>
      <c r="K560" s="143" t="str">
        <f t="shared" si="66"/>
        <v>-</v>
      </c>
      <c r="L560" s="144" t="str">
        <f t="shared" si="69"/>
        <v>-</v>
      </c>
      <c r="M560" s="145" t="str">
        <f t="shared" si="67"/>
        <v>-</v>
      </c>
      <c r="O560" s="145" t="str">
        <f t="shared" si="68"/>
        <v>-</v>
      </c>
    </row>
    <row r="561" spans="1:15">
      <c r="A561" s="39"/>
      <c r="B561" s="65">
        <v>2026</v>
      </c>
      <c r="C561" s="109">
        <v>60</v>
      </c>
      <c r="D561" s="118">
        <v>0</v>
      </c>
      <c r="E561" s="113">
        <v>17.79</v>
      </c>
      <c r="F561" s="95"/>
      <c r="G561" s="88">
        <f t="shared" si="71"/>
        <v>0</v>
      </c>
      <c r="J561" s="143" t="str">
        <f t="shared" si="65"/>
        <v>-</v>
      </c>
      <c r="K561" s="143" t="str">
        <f t="shared" si="66"/>
        <v>-</v>
      </c>
      <c r="L561" s="144" t="str">
        <f t="shared" si="69"/>
        <v>-</v>
      </c>
      <c r="M561" s="145" t="str">
        <f t="shared" si="67"/>
        <v>-</v>
      </c>
      <c r="O561" s="145" t="str">
        <f t="shared" si="68"/>
        <v>-</v>
      </c>
    </row>
    <row r="562" spans="1:15">
      <c r="A562" s="34" t="s">
        <v>387</v>
      </c>
      <c r="B562" s="65">
        <v>2028</v>
      </c>
      <c r="C562" s="109">
        <v>30</v>
      </c>
      <c r="D562" s="118">
        <v>0</v>
      </c>
      <c r="E562" s="113">
        <v>17.79</v>
      </c>
      <c r="F562" s="95"/>
      <c r="G562" s="88">
        <f t="shared" si="71"/>
        <v>0</v>
      </c>
      <c r="J562" s="143" t="str">
        <f t="shared" si="65"/>
        <v>-</v>
      </c>
      <c r="K562" s="143" t="str">
        <f t="shared" si="66"/>
        <v>-</v>
      </c>
      <c r="L562" s="144" t="str">
        <f t="shared" si="69"/>
        <v>-</v>
      </c>
      <c r="M562" s="145" t="str">
        <f t="shared" si="67"/>
        <v>-</v>
      </c>
      <c r="O562" s="145" t="str">
        <f t="shared" si="68"/>
        <v>-</v>
      </c>
    </row>
    <row r="563" spans="1:15">
      <c r="A563" s="39"/>
      <c r="B563" s="65">
        <v>2030</v>
      </c>
      <c r="C563" s="109">
        <v>60</v>
      </c>
      <c r="D563" s="118">
        <v>0</v>
      </c>
      <c r="E563" s="113">
        <v>34.65</v>
      </c>
      <c r="F563" s="95"/>
      <c r="G563" s="88">
        <f t="shared" si="71"/>
        <v>0</v>
      </c>
      <c r="J563" s="143" t="str">
        <f t="shared" si="65"/>
        <v>-</v>
      </c>
      <c r="K563" s="143" t="str">
        <f t="shared" si="66"/>
        <v>-</v>
      </c>
      <c r="L563" s="144" t="str">
        <f t="shared" si="69"/>
        <v>-</v>
      </c>
      <c r="M563" s="145" t="str">
        <f t="shared" si="67"/>
        <v>-</v>
      </c>
      <c r="O563" s="145" t="str">
        <f t="shared" si="68"/>
        <v>-</v>
      </c>
    </row>
    <row r="564" spans="1:15">
      <c r="A564" s="34" t="s">
        <v>388</v>
      </c>
      <c r="B564" s="65">
        <v>2032</v>
      </c>
      <c r="C564" s="109">
        <v>60</v>
      </c>
      <c r="D564" s="118">
        <v>0</v>
      </c>
      <c r="E564" s="113">
        <v>18.809999999999999</v>
      </c>
      <c r="F564" s="95"/>
      <c r="G564" s="88">
        <f t="shared" si="71"/>
        <v>0</v>
      </c>
      <c r="J564" s="143" t="str">
        <f t="shared" si="65"/>
        <v>-</v>
      </c>
      <c r="K564" s="143" t="str">
        <f t="shared" si="66"/>
        <v>-</v>
      </c>
      <c r="L564" s="144" t="str">
        <f t="shared" si="69"/>
        <v>-</v>
      </c>
      <c r="M564" s="145" t="str">
        <f t="shared" si="67"/>
        <v>-</v>
      </c>
      <c r="O564" s="145" t="str">
        <f t="shared" si="68"/>
        <v>-</v>
      </c>
    </row>
    <row r="565" spans="1:15">
      <c r="A565" s="39"/>
      <c r="B565" s="65">
        <v>2034</v>
      </c>
      <c r="C565" s="109">
        <v>90</v>
      </c>
      <c r="D565" s="118">
        <v>0</v>
      </c>
      <c r="E565" s="113">
        <v>27.69</v>
      </c>
      <c r="F565" s="95"/>
      <c r="G565" s="88">
        <f t="shared" si="71"/>
        <v>0</v>
      </c>
      <c r="J565" s="143" t="str">
        <f t="shared" si="65"/>
        <v>-</v>
      </c>
      <c r="K565" s="143" t="str">
        <f t="shared" si="66"/>
        <v>-</v>
      </c>
      <c r="L565" s="144" t="str">
        <f t="shared" si="69"/>
        <v>-</v>
      </c>
      <c r="M565" s="145" t="str">
        <f t="shared" si="67"/>
        <v>-</v>
      </c>
      <c r="O565" s="145" t="str">
        <f t="shared" si="68"/>
        <v>-</v>
      </c>
    </row>
    <row r="566" spans="1:15">
      <c r="A566" s="34" t="s">
        <v>389</v>
      </c>
      <c r="B566" s="65">
        <v>2040</v>
      </c>
      <c r="C566" s="109">
        <v>60</v>
      </c>
      <c r="D566" s="118">
        <v>0</v>
      </c>
      <c r="E566" s="113">
        <v>19.47</v>
      </c>
      <c r="F566" s="95"/>
      <c r="G566" s="88">
        <f t="shared" si="71"/>
        <v>0</v>
      </c>
      <c r="J566" s="143" t="str">
        <f t="shared" si="65"/>
        <v>-</v>
      </c>
      <c r="K566" s="143" t="str">
        <f t="shared" si="66"/>
        <v>-</v>
      </c>
      <c r="L566" s="144" t="str">
        <f t="shared" si="69"/>
        <v>-</v>
      </c>
      <c r="M566" s="145" t="str">
        <f t="shared" si="67"/>
        <v>-</v>
      </c>
      <c r="O566" s="145" t="str">
        <f t="shared" si="68"/>
        <v>-</v>
      </c>
    </row>
    <row r="567" spans="1:15">
      <c r="A567" s="39"/>
      <c r="B567" s="65">
        <v>2042</v>
      </c>
      <c r="C567" s="109">
        <v>90</v>
      </c>
      <c r="D567" s="118">
        <v>0</v>
      </c>
      <c r="E567" s="113">
        <v>28.35</v>
      </c>
      <c r="F567" s="95"/>
      <c r="G567" s="88">
        <f t="shared" si="71"/>
        <v>0</v>
      </c>
      <c r="J567" s="143" t="str">
        <f t="shared" si="65"/>
        <v>-</v>
      </c>
      <c r="K567" s="143" t="str">
        <f t="shared" si="66"/>
        <v>-</v>
      </c>
      <c r="L567" s="144" t="str">
        <f t="shared" si="69"/>
        <v>-</v>
      </c>
      <c r="M567" s="145" t="str">
        <f t="shared" si="67"/>
        <v>-</v>
      </c>
      <c r="O567" s="145" t="str">
        <f t="shared" si="68"/>
        <v>-</v>
      </c>
    </row>
    <row r="568" spans="1:15">
      <c r="A568" s="34" t="s">
        <v>390</v>
      </c>
      <c r="B568" s="65">
        <v>2044</v>
      </c>
      <c r="C568" s="109">
        <v>60</v>
      </c>
      <c r="D568" s="118">
        <v>0</v>
      </c>
      <c r="E568" s="113">
        <v>16.47</v>
      </c>
      <c r="F568" s="92"/>
      <c r="G568" s="88">
        <f t="shared" si="71"/>
        <v>0</v>
      </c>
      <c r="J568" s="143" t="str">
        <f t="shared" si="65"/>
        <v>-</v>
      </c>
      <c r="K568" s="143" t="str">
        <f t="shared" si="66"/>
        <v>-</v>
      </c>
      <c r="L568" s="144" t="str">
        <f t="shared" si="69"/>
        <v>-</v>
      </c>
      <c r="M568" s="145" t="str">
        <f t="shared" si="67"/>
        <v>-</v>
      </c>
      <c r="O568" s="145" t="str">
        <f t="shared" si="68"/>
        <v>-</v>
      </c>
    </row>
    <row r="569" spans="1:15">
      <c r="A569" s="39"/>
      <c r="B569" s="65">
        <v>2046</v>
      </c>
      <c r="C569" s="109">
        <v>120</v>
      </c>
      <c r="D569" s="118">
        <v>0</v>
      </c>
      <c r="E569" s="113">
        <v>30.69</v>
      </c>
      <c r="F569" s="95"/>
      <c r="G569" s="88">
        <f t="shared" si="71"/>
        <v>0</v>
      </c>
      <c r="J569" s="143" t="str">
        <f t="shared" si="65"/>
        <v>-</v>
      </c>
      <c r="K569" s="143" t="str">
        <f t="shared" si="66"/>
        <v>-</v>
      </c>
      <c r="L569" s="144" t="str">
        <f t="shared" si="69"/>
        <v>-</v>
      </c>
      <c r="M569" s="145" t="str">
        <f t="shared" si="67"/>
        <v>-</v>
      </c>
      <c r="O569" s="145" t="str">
        <f t="shared" si="68"/>
        <v>-</v>
      </c>
    </row>
    <row r="570" spans="1:15">
      <c r="A570" s="34" t="s">
        <v>391</v>
      </c>
      <c r="B570" s="65">
        <v>2048</v>
      </c>
      <c r="C570" s="109">
        <v>30</v>
      </c>
      <c r="D570" s="118">
        <v>0</v>
      </c>
      <c r="E570" s="113">
        <v>9.57</v>
      </c>
      <c r="F570" s="95"/>
      <c r="G570" s="88">
        <f t="shared" si="71"/>
        <v>0</v>
      </c>
      <c r="J570" s="143" t="str">
        <f t="shared" si="65"/>
        <v>-</v>
      </c>
      <c r="K570" s="143" t="str">
        <f t="shared" si="66"/>
        <v>-</v>
      </c>
      <c r="L570" s="144" t="str">
        <f t="shared" si="69"/>
        <v>-</v>
      </c>
      <c r="M570" s="145" t="str">
        <f t="shared" si="67"/>
        <v>-</v>
      </c>
      <c r="O570" s="145" t="str">
        <f t="shared" si="68"/>
        <v>-</v>
      </c>
    </row>
    <row r="571" spans="1:15">
      <c r="A571" s="39"/>
      <c r="B571" s="65">
        <v>2050</v>
      </c>
      <c r="C571" s="109">
        <v>60</v>
      </c>
      <c r="D571" s="118">
        <v>0</v>
      </c>
      <c r="E571" s="113">
        <v>17.13</v>
      </c>
      <c r="F571" s="95"/>
      <c r="G571" s="88">
        <f t="shared" si="71"/>
        <v>0</v>
      </c>
      <c r="J571" s="143" t="str">
        <f t="shared" si="65"/>
        <v>-</v>
      </c>
      <c r="K571" s="143" t="str">
        <f t="shared" si="66"/>
        <v>-</v>
      </c>
      <c r="L571" s="144" t="str">
        <f t="shared" si="69"/>
        <v>-</v>
      </c>
      <c r="M571" s="145" t="str">
        <f t="shared" si="67"/>
        <v>-</v>
      </c>
      <c r="O571" s="145" t="str">
        <f t="shared" si="68"/>
        <v>-</v>
      </c>
    </row>
    <row r="572" spans="1:15">
      <c r="A572" s="34" t="s">
        <v>392</v>
      </c>
      <c r="B572" s="65">
        <v>2052</v>
      </c>
      <c r="C572" s="109">
        <v>30</v>
      </c>
      <c r="D572" s="118">
        <v>0</v>
      </c>
      <c r="E572" s="113">
        <v>13.17</v>
      </c>
      <c r="F572" s="95"/>
      <c r="G572" s="88">
        <f t="shared" si="71"/>
        <v>0</v>
      </c>
      <c r="J572" s="143" t="str">
        <f t="shared" si="65"/>
        <v>-</v>
      </c>
      <c r="K572" s="143" t="str">
        <f t="shared" si="66"/>
        <v>-</v>
      </c>
      <c r="L572" s="144" t="str">
        <f t="shared" si="69"/>
        <v>-</v>
      </c>
      <c r="M572" s="145" t="str">
        <f t="shared" si="67"/>
        <v>-</v>
      </c>
      <c r="O572" s="145" t="str">
        <f t="shared" si="68"/>
        <v>-</v>
      </c>
    </row>
    <row r="573" spans="1:15">
      <c r="A573" s="39"/>
      <c r="B573" s="65">
        <v>2054</v>
      </c>
      <c r="C573" s="109">
        <v>60</v>
      </c>
      <c r="D573" s="118">
        <v>0</v>
      </c>
      <c r="E573" s="113">
        <v>25.41</v>
      </c>
      <c r="F573" s="95"/>
      <c r="G573" s="88">
        <f t="shared" si="71"/>
        <v>0</v>
      </c>
      <c r="J573" s="143" t="str">
        <f t="shared" si="65"/>
        <v>-</v>
      </c>
      <c r="K573" s="143" t="str">
        <f t="shared" si="66"/>
        <v>-</v>
      </c>
      <c r="L573" s="144" t="str">
        <f t="shared" si="69"/>
        <v>-</v>
      </c>
      <c r="M573" s="145" t="str">
        <f t="shared" si="67"/>
        <v>-</v>
      </c>
      <c r="O573" s="145" t="str">
        <f t="shared" si="68"/>
        <v>-</v>
      </c>
    </row>
    <row r="574" spans="1:15">
      <c r="A574" s="37" t="s">
        <v>393</v>
      </c>
      <c r="B574" s="67"/>
      <c r="C574" s="3"/>
      <c r="D574" s="120"/>
      <c r="E574" s="19"/>
      <c r="F574" s="94"/>
      <c r="G574" s="38"/>
      <c r="J574" s="143" t="str">
        <f t="shared" si="65"/>
        <v>-</v>
      </c>
      <c r="K574" s="143" t="str">
        <f t="shared" si="66"/>
        <v>-</v>
      </c>
      <c r="L574" s="144" t="str">
        <f t="shared" si="69"/>
        <v>-</v>
      </c>
      <c r="M574" s="145" t="str">
        <f t="shared" si="67"/>
        <v>-</v>
      </c>
      <c r="O574" s="145" t="str">
        <f t="shared" si="68"/>
        <v>-</v>
      </c>
    </row>
    <row r="575" spans="1:15" ht="24">
      <c r="A575" s="34" t="s">
        <v>394</v>
      </c>
      <c r="B575" s="65">
        <v>1131</v>
      </c>
      <c r="C575" s="109">
        <v>60</v>
      </c>
      <c r="D575" s="118">
        <v>0</v>
      </c>
      <c r="E575" s="113">
        <v>26.73</v>
      </c>
      <c r="F575" s="95"/>
      <c r="G575" s="88">
        <f t="shared" ref="G575:G585" si="72">F575*E575</f>
        <v>0</v>
      </c>
      <c r="J575" s="143" t="str">
        <f t="shared" si="65"/>
        <v>-</v>
      </c>
      <c r="K575" s="143" t="str">
        <f t="shared" si="66"/>
        <v>-</v>
      </c>
      <c r="L575" s="144" t="str">
        <f t="shared" si="69"/>
        <v>-</v>
      </c>
      <c r="M575" s="145" t="str">
        <f t="shared" si="67"/>
        <v>-</v>
      </c>
      <c r="O575" s="145" t="str">
        <f t="shared" si="68"/>
        <v>-</v>
      </c>
    </row>
    <row r="576" spans="1:15">
      <c r="A576" s="39"/>
      <c r="B576" s="65">
        <v>1132</v>
      </c>
      <c r="C576" s="109">
        <v>90</v>
      </c>
      <c r="D576" s="118">
        <v>0.27</v>
      </c>
      <c r="E576" s="113">
        <v>38.25</v>
      </c>
      <c r="F576" s="95"/>
      <c r="G576" s="88">
        <f t="shared" si="72"/>
        <v>0</v>
      </c>
      <c r="J576" s="143" t="str">
        <f t="shared" si="65"/>
        <v>-</v>
      </c>
      <c r="K576" s="143" t="str">
        <f t="shared" si="66"/>
        <v>-</v>
      </c>
      <c r="L576" s="144" t="str">
        <f t="shared" si="69"/>
        <v>-</v>
      </c>
      <c r="M576" s="145" t="str">
        <f t="shared" si="67"/>
        <v>-</v>
      </c>
      <c r="O576" s="145" t="str">
        <f t="shared" si="68"/>
        <v>-</v>
      </c>
    </row>
    <row r="577" spans="1:15">
      <c r="A577" s="34" t="s">
        <v>395</v>
      </c>
      <c r="B577" s="65">
        <v>1134</v>
      </c>
      <c r="C577" s="109">
        <v>60</v>
      </c>
      <c r="D577" s="118">
        <v>0</v>
      </c>
      <c r="E577" s="113">
        <v>12.21</v>
      </c>
      <c r="F577" s="92"/>
      <c r="G577" s="88">
        <f t="shared" si="72"/>
        <v>0</v>
      </c>
      <c r="J577" s="143" t="str">
        <f t="shared" si="65"/>
        <v>-</v>
      </c>
      <c r="K577" s="143" t="str">
        <f t="shared" si="66"/>
        <v>-</v>
      </c>
      <c r="L577" s="144" t="str">
        <f t="shared" si="69"/>
        <v>-</v>
      </c>
      <c r="M577" s="145" t="str">
        <f t="shared" si="67"/>
        <v>-</v>
      </c>
      <c r="O577" s="145" t="str">
        <f t="shared" si="68"/>
        <v>-</v>
      </c>
    </row>
    <row r="578" spans="1:15">
      <c r="A578" s="39"/>
      <c r="B578" s="65">
        <v>1136</v>
      </c>
      <c r="C578" s="109">
        <v>120</v>
      </c>
      <c r="D578" s="118">
        <v>0</v>
      </c>
      <c r="E578" s="113">
        <v>21.45</v>
      </c>
      <c r="F578" s="95"/>
      <c r="G578" s="88">
        <f t="shared" si="72"/>
        <v>0</v>
      </c>
      <c r="J578" s="143" t="str">
        <f t="shared" si="65"/>
        <v>-</v>
      </c>
      <c r="K578" s="143" t="str">
        <f t="shared" si="66"/>
        <v>-</v>
      </c>
      <c r="L578" s="144" t="str">
        <f t="shared" si="69"/>
        <v>-</v>
      </c>
      <c r="M578" s="145" t="str">
        <f t="shared" si="67"/>
        <v>-</v>
      </c>
      <c r="O578" s="145" t="str">
        <f t="shared" si="68"/>
        <v>-</v>
      </c>
    </row>
    <row r="579" spans="1:15">
      <c r="A579" s="34" t="s">
        <v>396</v>
      </c>
      <c r="B579" s="65">
        <v>1124</v>
      </c>
      <c r="C579" s="109">
        <v>60</v>
      </c>
      <c r="D579" s="118">
        <v>0</v>
      </c>
      <c r="E579" s="113">
        <v>17.489999999999998</v>
      </c>
      <c r="F579" s="92"/>
      <c r="G579" s="88">
        <f t="shared" si="72"/>
        <v>0</v>
      </c>
      <c r="J579" s="143" t="str">
        <f t="shared" ref="J579:J642" si="73">IFERROR(IF($J$2*D579=0, "-", $J$2*D579), "-")</f>
        <v>-</v>
      </c>
      <c r="K579" s="143" t="str">
        <f t="shared" ref="K579:K642" si="74">IF(F579&gt;0,E579+D579*F579/$L$2*$M$2/F579,"-")</f>
        <v>-</v>
      </c>
      <c r="L579" s="144" t="str">
        <f t="shared" si="69"/>
        <v>-</v>
      </c>
      <c r="M579" s="145" t="str">
        <f t="shared" ref="M579:M642" si="75">IFERROR(IF($J$2&gt;0, $J$2*L579, "-"), "-")</f>
        <v>-</v>
      </c>
      <c r="O579" s="145" t="str">
        <f t="shared" ref="O579:O642" si="76">IFERROR(IF(M579+G579=0, "-", IF(M579&gt;0, M579+G579, "-")), "-")</f>
        <v>-</v>
      </c>
    </row>
    <row r="580" spans="1:15">
      <c r="A580" s="39"/>
      <c r="B580" s="65">
        <v>1128</v>
      </c>
      <c r="C580" s="109">
        <v>120</v>
      </c>
      <c r="D580" s="118">
        <v>0.32</v>
      </c>
      <c r="E580" s="113">
        <v>32.97</v>
      </c>
      <c r="F580" s="95"/>
      <c r="G580" s="88">
        <f t="shared" si="72"/>
        <v>0</v>
      </c>
      <c r="J580" s="143" t="str">
        <f t="shared" si="73"/>
        <v>-</v>
      </c>
      <c r="K580" s="143" t="str">
        <f t="shared" si="74"/>
        <v>-</v>
      </c>
      <c r="L580" s="144" t="str">
        <f t="shared" ref="L580:L643" si="77">IF(F580&gt;0,F580*D580*1.113, "-")</f>
        <v>-</v>
      </c>
      <c r="M580" s="145" t="str">
        <f t="shared" si="75"/>
        <v>-</v>
      </c>
      <c r="O580" s="145" t="str">
        <f t="shared" si="76"/>
        <v>-</v>
      </c>
    </row>
    <row r="581" spans="1:15" ht="24">
      <c r="A581" s="34" t="s">
        <v>397</v>
      </c>
      <c r="B581" s="65">
        <v>1119</v>
      </c>
      <c r="C581" s="109">
        <v>30</v>
      </c>
      <c r="D581" s="118">
        <v>0</v>
      </c>
      <c r="E581" s="113">
        <v>14.49</v>
      </c>
      <c r="F581" s="95"/>
      <c r="G581" s="88">
        <f t="shared" si="72"/>
        <v>0</v>
      </c>
      <c r="J581" s="143" t="str">
        <f t="shared" si="73"/>
        <v>-</v>
      </c>
      <c r="K581" s="143" t="str">
        <f t="shared" si="74"/>
        <v>-</v>
      </c>
      <c r="L581" s="144" t="str">
        <f t="shared" si="77"/>
        <v>-</v>
      </c>
      <c r="M581" s="145" t="str">
        <f t="shared" si="75"/>
        <v>-</v>
      </c>
      <c r="O581" s="145" t="str">
        <f t="shared" si="76"/>
        <v>-</v>
      </c>
    </row>
    <row r="582" spans="1:15">
      <c r="A582" s="39"/>
      <c r="B582" s="65">
        <v>1120</v>
      </c>
      <c r="C582" s="109">
        <v>60</v>
      </c>
      <c r="D582" s="118">
        <v>0</v>
      </c>
      <c r="E582" s="113">
        <v>27.69</v>
      </c>
      <c r="F582" s="95"/>
      <c r="G582" s="88">
        <f t="shared" si="72"/>
        <v>0</v>
      </c>
      <c r="J582" s="143" t="str">
        <f t="shared" si="73"/>
        <v>-</v>
      </c>
      <c r="K582" s="143" t="str">
        <f t="shared" si="74"/>
        <v>-</v>
      </c>
      <c r="L582" s="144" t="str">
        <f t="shared" si="77"/>
        <v>-</v>
      </c>
      <c r="M582" s="145" t="str">
        <f t="shared" si="75"/>
        <v>-</v>
      </c>
      <c r="O582" s="145" t="str">
        <f t="shared" si="76"/>
        <v>-</v>
      </c>
    </row>
    <row r="583" spans="1:15">
      <c r="A583" s="55"/>
      <c r="B583" s="65">
        <v>1125</v>
      </c>
      <c r="C583" s="109">
        <v>90</v>
      </c>
      <c r="D583" s="118">
        <v>0</v>
      </c>
      <c r="E583" s="113">
        <v>34.950000000000003</v>
      </c>
      <c r="F583" s="95"/>
      <c r="G583" s="88">
        <f t="shared" si="72"/>
        <v>0</v>
      </c>
      <c r="J583" s="143" t="str">
        <f t="shared" si="73"/>
        <v>-</v>
      </c>
      <c r="K583" s="143" t="str">
        <f t="shared" si="74"/>
        <v>-</v>
      </c>
      <c r="L583" s="144" t="str">
        <f t="shared" si="77"/>
        <v>-</v>
      </c>
      <c r="M583" s="145" t="str">
        <f t="shared" si="75"/>
        <v>-</v>
      </c>
      <c r="O583" s="145" t="str">
        <f t="shared" si="76"/>
        <v>-</v>
      </c>
    </row>
    <row r="584" spans="1:15" ht="24">
      <c r="A584" s="34" t="s">
        <v>398</v>
      </c>
      <c r="B584" s="65">
        <v>1102</v>
      </c>
      <c r="C584" s="109">
        <v>60</v>
      </c>
      <c r="D584" s="118">
        <v>0</v>
      </c>
      <c r="E584" s="113">
        <v>21.75</v>
      </c>
      <c r="F584" s="95"/>
      <c r="G584" s="88">
        <f t="shared" si="72"/>
        <v>0</v>
      </c>
      <c r="J584" s="143" t="str">
        <f t="shared" si="73"/>
        <v>-</v>
      </c>
      <c r="K584" s="143" t="str">
        <f t="shared" si="74"/>
        <v>-</v>
      </c>
      <c r="L584" s="144" t="str">
        <f t="shared" si="77"/>
        <v>-</v>
      </c>
      <c r="M584" s="145" t="str">
        <f t="shared" si="75"/>
        <v>-</v>
      </c>
      <c r="O584" s="145" t="str">
        <f t="shared" si="76"/>
        <v>-</v>
      </c>
    </row>
    <row r="585" spans="1:15">
      <c r="A585" s="39"/>
      <c r="B585" s="65">
        <v>1104</v>
      </c>
      <c r="C585" s="109">
        <v>90</v>
      </c>
      <c r="D585" s="118">
        <v>0.27</v>
      </c>
      <c r="E585" s="113">
        <v>31.65</v>
      </c>
      <c r="F585" s="95"/>
      <c r="G585" s="88">
        <f t="shared" si="72"/>
        <v>0</v>
      </c>
      <c r="J585" s="143" t="str">
        <f t="shared" si="73"/>
        <v>-</v>
      </c>
      <c r="K585" s="143" t="str">
        <f t="shared" si="74"/>
        <v>-</v>
      </c>
      <c r="L585" s="144" t="str">
        <f t="shared" si="77"/>
        <v>-</v>
      </c>
      <c r="M585" s="145" t="str">
        <f t="shared" si="75"/>
        <v>-</v>
      </c>
      <c r="O585" s="145" t="str">
        <f t="shared" si="76"/>
        <v>-</v>
      </c>
    </row>
    <row r="586" spans="1:15">
      <c r="A586" s="37" t="s">
        <v>399</v>
      </c>
      <c r="B586" s="67"/>
      <c r="C586" s="3"/>
      <c r="D586" s="120"/>
      <c r="E586" s="19"/>
      <c r="F586" s="94"/>
      <c r="G586" s="38"/>
      <c r="J586" s="143" t="str">
        <f t="shared" si="73"/>
        <v>-</v>
      </c>
      <c r="K586" s="143" t="str">
        <f t="shared" si="74"/>
        <v>-</v>
      </c>
      <c r="L586" s="144" t="str">
        <f t="shared" si="77"/>
        <v>-</v>
      </c>
      <c r="M586" s="145" t="str">
        <f t="shared" si="75"/>
        <v>-</v>
      </c>
      <c r="O586" s="145" t="str">
        <f t="shared" si="76"/>
        <v>-</v>
      </c>
    </row>
    <row r="587" spans="1:15">
      <c r="A587" s="34" t="s">
        <v>400</v>
      </c>
      <c r="B587" s="65">
        <v>1088</v>
      </c>
      <c r="C587" s="109">
        <v>50</v>
      </c>
      <c r="D587" s="118">
        <v>0</v>
      </c>
      <c r="E587" s="113">
        <v>8.25</v>
      </c>
      <c r="F587" s="92"/>
      <c r="G587" s="88">
        <f t="shared" ref="G587:G605" si="78">F587*E587</f>
        <v>0</v>
      </c>
      <c r="J587" s="143" t="str">
        <f t="shared" si="73"/>
        <v>-</v>
      </c>
      <c r="K587" s="143" t="str">
        <f t="shared" si="74"/>
        <v>-</v>
      </c>
      <c r="L587" s="144" t="str">
        <f t="shared" si="77"/>
        <v>-</v>
      </c>
      <c r="M587" s="145" t="str">
        <f t="shared" si="75"/>
        <v>-</v>
      </c>
      <c r="O587" s="145" t="str">
        <f t="shared" si="76"/>
        <v>-</v>
      </c>
    </row>
    <row r="588" spans="1:15">
      <c r="A588" s="55"/>
      <c r="B588" s="65">
        <v>1090</v>
      </c>
      <c r="C588" s="109">
        <v>100</v>
      </c>
      <c r="D588" s="118">
        <v>0.23</v>
      </c>
      <c r="E588" s="113">
        <v>13.53</v>
      </c>
      <c r="F588" s="95"/>
      <c r="G588" s="88">
        <f t="shared" si="78"/>
        <v>0</v>
      </c>
      <c r="J588" s="143" t="str">
        <f t="shared" si="73"/>
        <v>-</v>
      </c>
      <c r="K588" s="143" t="str">
        <f t="shared" si="74"/>
        <v>-</v>
      </c>
      <c r="L588" s="144" t="str">
        <f t="shared" si="77"/>
        <v>-</v>
      </c>
      <c r="M588" s="145" t="str">
        <f t="shared" si="75"/>
        <v>-</v>
      </c>
      <c r="O588" s="145" t="str">
        <f t="shared" si="76"/>
        <v>-</v>
      </c>
    </row>
    <row r="589" spans="1:15" ht="24">
      <c r="A589" s="34" t="s">
        <v>401</v>
      </c>
      <c r="B589" s="65">
        <v>1109</v>
      </c>
      <c r="C589" s="109">
        <v>60</v>
      </c>
      <c r="D589" s="118">
        <v>0</v>
      </c>
      <c r="E589" s="113">
        <v>25.05</v>
      </c>
      <c r="F589" s="95"/>
      <c r="G589" s="88">
        <f t="shared" si="78"/>
        <v>0</v>
      </c>
      <c r="J589" s="143" t="str">
        <f t="shared" si="73"/>
        <v>-</v>
      </c>
      <c r="K589" s="143" t="str">
        <f t="shared" si="74"/>
        <v>-</v>
      </c>
      <c r="L589" s="144" t="str">
        <f t="shared" si="77"/>
        <v>-</v>
      </c>
      <c r="M589" s="145" t="str">
        <f t="shared" si="75"/>
        <v>-</v>
      </c>
      <c r="O589" s="145" t="str">
        <f t="shared" si="76"/>
        <v>-</v>
      </c>
    </row>
    <row r="590" spans="1:15">
      <c r="A590" s="39"/>
      <c r="B590" s="65">
        <v>1110</v>
      </c>
      <c r="C590" s="109">
        <v>120</v>
      </c>
      <c r="D590" s="118">
        <v>0</v>
      </c>
      <c r="E590" s="113">
        <v>46.83</v>
      </c>
      <c r="F590" s="95"/>
      <c r="G590" s="88">
        <f t="shared" si="78"/>
        <v>0</v>
      </c>
      <c r="J590" s="143" t="str">
        <f t="shared" si="73"/>
        <v>-</v>
      </c>
      <c r="K590" s="143" t="str">
        <f t="shared" si="74"/>
        <v>-</v>
      </c>
      <c r="L590" s="144" t="str">
        <f t="shared" si="77"/>
        <v>-</v>
      </c>
      <c r="M590" s="145" t="str">
        <f t="shared" si="75"/>
        <v>-</v>
      </c>
      <c r="O590" s="145" t="str">
        <f t="shared" si="76"/>
        <v>-</v>
      </c>
    </row>
    <row r="591" spans="1:15">
      <c r="A591" s="34" t="s">
        <v>402</v>
      </c>
      <c r="B591" s="65">
        <v>1113</v>
      </c>
      <c r="C591" s="109">
        <v>60</v>
      </c>
      <c r="D591" s="118">
        <v>0</v>
      </c>
      <c r="E591" s="113">
        <v>14.19</v>
      </c>
      <c r="F591" s="92"/>
      <c r="G591" s="88">
        <f t="shared" si="78"/>
        <v>0</v>
      </c>
      <c r="J591" s="143" t="str">
        <f t="shared" si="73"/>
        <v>-</v>
      </c>
      <c r="K591" s="143" t="str">
        <f t="shared" si="74"/>
        <v>-</v>
      </c>
      <c r="L591" s="144" t="str">
        <f t="shared" si="77"/>
        <v>-</v>
      </c>
      <c r="M591" s="145" t="str">
        <f t="shared" si="75"/>
        <v>-</v>
      </c>
      <c r="O591" s="145" t="str">
        <f t="shared" si="76"/>
        <v>-</v>
      </c>
    </row>
    <row r="592" spans="1:15">
      <c r="A592" s="39"/>
      <c r="B592" s="65">
        <v>1115</v>
      </c>
      <c r="C592" s="109">
        <v>120</v>
      </c>
      <c r="D592" s="118">
        <v>0</v>
      </c>
      <c r="E592" s="113">
        <v>25.71</v>
      </c>
      <c r="F592" s="95"/>
      <c r="G592" s="88">
        <f t="shared" si="78"/>
        <v>0</v>
      </c>
      <c r="J592" s="143" t="str">
        <f t="shared" si="73"/>
        <v>-</v>
      </c>
      <c r="K592" s="143" t="str">
        <f t="shared" si="74"/>
        <v>-</v>
      </c>
      <c r="L592" s="144" t="str">
        <f t="shared" si="77"/>
        <v>-</v>
      </c>
      <c r="M592" s="145" t="str">
        <f t="shared" si="75"/>
        <v>-</v>
      </c>
      <c r="O592" s="145" t="str">
        <f t="shared" si="76"/>
        <v>-</v>
      </c>
    </row>
    <row r="593" spans="1:15" ht="24">
      <c r="A593" s="34" t="s">
        <v>403</v>
      </c>
      <c r="B593" s="65">
        <v>1117</v>
      </c>
      <c r="C593" s="109">
        <v>60</v>
      </c>
      <c r="D593" s="118">
        <v>0</v>
      </c>
      <c r="E593" s="113">
        <v>17.13</v>
      </c>
      <c r="F593" s="92"/>
      <c r="G593" s="88">
        <f t="shared" si="78"/>
        <v>0</v>
      </c>
      <c r="J593" s="143" t="str">
        <f t="shared" si="73"/>
        <v>-</v>
      </c>
      <c r="K593" s="143" t="str">
        <f t="shared" si="74"/>
        <v>-</v>
      </c>
      <c r="L593" s="144" t="str">
        <f t="shared" si="77"/>
        <v>-</v>
      </c>
      <c r="M593" s="145" t="str">
        <f t="shared" si="75"/>
        <v>-</v>
      </c>
      <c r="O593" s="145" t="str">
        <f t="shared" si="76"/>
        <v>-</v>
      </c>
    </row>
    <row r="594" spans="1:15">
      <c r="A594" s="39"/>
      <c r="B594" s="65">
        <v>1118</v>
      </c>
      <c r="C594" s="109">
        <v>120</v>
      </c>
      <c r="D594" s="118">
        <v>0.39</v>
      </c>
      <c r="E594" s="113">
        <v>32.01</v>
      </c>
      <c r="F594" s="95"/>
      <c r="G594" s="88">
        <f t="shared" si="78"/>
        <v>0</v>
      </c>
      <c r="J594" s="143" t="str">
        <f t="shared" si="73"/>
        <v>-</v>
      </c>
      <c r="K594" s="143" t="str">
        <f t="shared" si="74"/>
        <v>-</v>
      </c>
      <c r="L594" s="144" t="str">
        <f t="shared" si="77"/>
        <v>-</v>
      </c>
      <c r="M594" s="145" t="str">
        <f t="shared" si="75"/>
        <v>-</v>
      </c>
      <c r="O594" s="145" t="str">
        <f t="shared" si="76"/>
        <v>-</v>
      </c>
    </row>
    <row r="595" spans="1:15">
      <c r="A595" s="55"/>
      <c r="B595" s="65">
        <v>1121</v>
      </c>
      <c r="C595" s="109">
        <v>180</v>
      </c>
      <c r="D595" s="118">
        <v>0.52</v>
      </c>
      <c r="E595" s="113">
        <v>47.19</v>
      </c>
      <c r="F595" s="95"/>
      <c r="G595" s="88">
        <f t="shared" si="78"/>
        <v>0</v>
      </c>
      <c r="J595" s="143" t="str">
        <f t="shared" si="73"/>
        <v>-</v>
      </c>
      <c r="K595" s="143" t="str">
        <f t="shared" si="74"/>
        <v>-</v>
      </c>
      <c r="L595" s="144" t="str">
        <f t="shared" si="77"/>
        <v>-</v>
      </c>
      <c r="M595" s="145" t="str">
        <f t="shared" si="75"/>
        <v>-</v>
      </c>
      <c r="O595" s="145" t="str">
        <f t="shared" si="76"/>
        <v>-</v>
      </c>
    </row>
    <row r="596" spans="1:15">
      <c r="A596" s="34" t="s">
        <v>404</v>
      </c>
      <c r="B596" s="65">
        <v>958</v>
      </c>
      <c r="C596" s="109">
        <v>60</v>
      </c>
      <c r="D596" s="118">
        <v>0</v>
      </c>
      <c r="E596" s="113">
        <v>12.21</v>
      </c>
      <c r="F596" s="92"/>
      <c r="G596" s="88">
        <f t="shared" si="78"/>
        <v>0</v>
      </c>
      <c r="J596" s="143" t="str">
        <f t="shared" si="73"/>
        <v>-</v>
      </c>
      <c r="K596" s="143" t="str">
        <f t="shared" si="74"/>
        <v>-</v>
      </c>
      <c r="L596" s="144" t="str">
        <f t="shared" si="77"/>
        <v>-</v>
      </c>
      <c r="M596" s="145" t="str">
        <f t="shared" si="75"/>
        <v>-</v>
      </c>
      <c r="O596" s="145" t="str">
        <f t="shared" si="76"/>
        <v>-</v>
      </c>
    </row>
    <row r="597" spans="1:15">
      <c r="A597" s="55"/>
      <c r="B597" s="65">
        <v>960</v>
      </c>
      <c r="C597" s="109">
        <v>120</v>
      </c>
      <c r="D597" s="118">
        <v>0.39</v>
      </c>
      <c r="E597" s="113">
        <v>21.75</v>
      </c>
      <c r="F597" s="95"/>
      <c r="G597" s="88">
        <f t="shared" si="78"/>
        <v>0</v>
      </c>
      <c r="J597" s="143" t="str">
        <f t="shared" si="73"/>
        <v>-</v>
      </c>
      <c r="K597" s="143" t="str">
        <f t="shared" si="74"/>
        <v>-</v>
      </c>
      <c r="L597" s="144" t="str">
        <f t="shared" si="77"/>
        <v>-</v>
      </c>
      <c r="M597" s="145" t="str">
        <f t="shared" si="75"/>
        <v>-</v>
      </c>
      <c r="O597" s="145" t="str">
        <f t="shared" si="76"/>
        <v>-</v>
      </c>
    </row>
    <row r="598" spans="1:15">
      <c r="A598" s="34" t="s">
        <v>405</v>
      </c>
      <c r="B598" s="65">
        <v>959</v>
      </c>
      <c r="C598" s="108" t="s">
        <v>46</v>
      </c>
      <c r="D598" s="118">
        <v>0</v>
      </c>
      <c r="E598" s="113">
        <v>8.5500000000000007</v>
      </c>
      <c r="F598" s="92"/>
      <c r="G598" s="88">
        <f t="shared" si="78"/>
        <v>0</v>
      </c>
      <c r="J598" s="143" t="str">
        <f t="shared" si="73"/>
        <v>-</v>
      </c>
      <c r="K598" s="143" t="str">
        <f t="shared" si="74"/>
        <v>-</v>
      </c>
      <c r="L598" s="144" t="str">
        <f t="shared" si="77"/>
        <v>-</v>
      </c>
      <c r="M598" s="145" t="str">
        <f t="shared" si="75"/>
        <v>-</v>
      </c>
      <c r="O598" s="145" t="str">
        <f t="shared" si="76"/>
        <v>-</v>
      </c>
    </row>
    <row r="599" spans="1:15">
      <c r="A599" s="55"/>
      <c r="B599" s="65">
        <v>961</v>
      </c>
      <c r="C599" s="108" t="s">
        <v>47</v>
      </c>
      <c r="D599" s="118">
        <v>0</v>
      </c>
      <c r="E599" s="113">
        <v>13.82</v>
      </c>
      <c r="F599" s="95"/>
      <c r="G599" s="88">
        <f t="shared" si="78"/>
        <v>0</v>
      </c>
      <c r="J599" s="143" t="str">
        <f t="shared" si="73"/>
        <v>-</v>
      </c>
      <c r="K599" s="143" t="str">
        <f t="shared" si="74"/>
        <v>-</v>
      </c>
      <c r="L599" s="144" t="str">
        <f t="shared" si="77"/>
        <v>-</v>
      </c>
      <c r="M599" s="145" t="str">
        <f t="shared" si="75"/>
        <v>-</v>
      </c>
      <c r="O599" s="145" t="str">
        <f t="shared" si="76"/>
        <v>-</v>
      </c>
    </row>
    <row r="600" spans="1:15">
      <c r="A600" s="34" t="s">
        <v>406</v>
      </c>
      <c r="B600" s="65">
        <v>962</v>
      </c>
      <c r="C600" s="109">
        <v>60</v>
      </c>
      <c r="D600" s="118">
        <v>0</v>
      </c>
      <c r="E600" s="113">
        <v>20.43</v>
      </c>
      <c r="F600" s="92"/>
      <c r="G600" s="88">
        <f t="shared" si="78"/>
        <v>0</v>
      </c>
      <c r="J600" s="143" t="str">
        <f t="shared" si="73"/>
        <v>-</v>
      </c>
      <c r="K600" s="143" t="str">
        <f t="shared" si="74"/>
        <v>-</v>
      </c>
      <c r="L600" s="144" t="str">
        <f t="shared" si="77"/>
        <v>-</v>
      </c>
      <c r="M600" s="145" t="str">
        <f t="shared" si="75"/>
        <v>-</v>
      </c>
      <c r="O600" s="145" t="str">
        <f t="shared" si="76"/>
        <v>-</v>
      </c>
    </row>
    <row r="601" spans="1:15">
      <c r="A601" s="34" t="s">
        <v>407</v>
      </c>
      <c r="B601" s="65">
        <v>1177</v>
      </c>
      <c r="C601" s="109">
        <v>60</v>
      </c>
      <c r="D601" s="118">
        <v>0</v>
      </c>
      <c r="E601" s="113">
        <v>15.15</v>
      </c>
      <c r="F601" s="92"/>
      <c r="G601" s="88">
        <f t="shared" si="78"/>
        <v>0</v>
      </c>
      <c r="J601" s="143" t="str">
        <f t="shared" si="73"/>
        <v>-</v>
      </c>
      <c r="K601" s="143" t="str">
        <f t="shared" si="74"/>
        <v>-</v>
      </c>
      <c r="L601" s="144" t="str">
        <f t="shared" si="77"/>
        <v>-</v>
      </c>
      <c r="M601" s="145" t="str">
        <f t="shared" si="75"/>
        <v>-</v>
      </c>
      <c r="O601" s="145" t="str">
        <f t="shared" si="76"/>
        <v>-</v>
      </c>
    </row>
    <row r="602" spans="1:15">
      <c r="A602" s="39"/>
      <c r="B602" s="65">
        <v>1178</v>
      </c>
      <c r="C602" s="109">
        <v>90</v>
      </c>
      <c r="D602" s="118">
        <v>0.32</v>
      </c>
      <c r="E602" s="113">
        <v>21.45</v>
      </c>
      <c r="F602" s="95"/>
      <c r="G602" s="88">
        <f t="shared" si="78"/>
        <v>0</v>
      </c>
      <c r="J602" s="143" t="str">
        <f t="shared" si="73"/>
        <v>-</v>
      </c>
      <c r="K602" s="143" t="str">
        <f t="shared" si="74"/>
        <v>-</v>
      </c>
      <c r="L602" s="144" t="str">
        <f t="shared" si="77"/>
        <v>-</v>
      </c>
      <c r="M602" s="145" t="str">
        <f t="shared" si="75"/>
        <v>-</v>
      </c>
      <c r="O602" s="145" t="str">
        <f t="shared" si="76"/>
        <v>-</v>
      </c>
    </row>
    <row r="603" spans="1:15">
      <c r="A603" s="34" t="s">
        <v>408</v>
      </c>
      <c r="B603" s="65">
        <v>1174</v>
      </c>
      <c r="C603" s="109">
        <v>60</v>
      </c>
      <c r="D603" s="118">
        <v>0</v>
      </c>
      <c r="E603" s="113">
        <v>17.79</v>
      </c>
      <c r="F603" s="92"/>
      <c r="G603" s="88">
        <f t="shared" si="78"/>
        <v>0</v>
      </c>
      <c r="J603" s="143" t="str">
        <f t="shared" si="73"/>
        <v>-</v>
      </c>
      <c r="K603" s="143" t="str">
        <f t="shared" si="74"/>
        <v>-</v>
      </c>
      <c r="L603" s="144" t="str">
        <f t="shared" si="77"/>
        <v>-</v>
      </c>
      <c r="M603" s="145" t="str">
        <f t="shared" si="75"/>
        <v>-</v>
      </c>
      <c r="O603" s="145" t="str">
        <f t="shared" si="76"/>
        <v>-</v>
      </c>
    </row>
    <row r="604" spans="1:15">
      <c r="A604" s="34" t="s">
        <v>409</v>
      </c>
      <c r="B604" s="65">
        <v>1170</v>
      </c>
      <c r="C604" s="109">
        <v>60</v>
      </c>
      <c r="D604" s="118">
        <v>0</v>
      </c>
      <c r="E604" s="113">
        <v>13.53</v>
      </c>
      <c r="F604" s="92"/>
      <c r="G604" s="88">
        <f t="shared" si="78"/>
        <v>0</v>
      </c>
      <c r="J604" s="143" t="str">
        <f t="shared" si="73"/>
        <v>-</v>
      </c>
      <c r="K604" s="143" t="str">
        <f t="shared" si="74"/>
        <v>-</v>
      </c>
      <c r="L604" s="144" t="str">
        <f t="shared" si="77"/>
        <v>-</v>
      </c>
      <c r="M604" s="145" t="str">
        <f t="shared" si="75"/>
        <v>-</v>
      </c>
      <c r="O604" s="145" t="str">
        <f t="shared" si="76"/>
        <v>-</v>
      </c>
    </row>
    <row r="605" spans="1:15">
      <c r="A605" s="55"/>
      <c r="B605" s="65">
        <v>1171</v>
      </c>
      <c r="C605" s="109">
        <v>120</v>
      </c>
      <c r="D605" s="118">
        <v>0.34</v>
      </c>
      <c r="E605" s="113">
        <v>24.75</v>
      </c>
      <c r="F605" s="95"/>
      <c r="G605" s="88">
        <f t="shared" si="78"/>
        <v>0</v>
      </c>
      <c r="J605" s="143" t="str">
        <f t="shared" si="73"/>
        <v>-</v>
      </c>
      <c r="K605" s="143" t="str">
        <f t="shared" si="74"/>
        <v>-</v>
      </c>
      <c r="L605" s="144" t="str">
        <f t="shared" si="77"/>
        <v>-</v>
      </c>
      <c r="M605" s="145" t="str">
        <f t="shared" si="75"/>
        <v>-</v>
      </c>
      <c r="O605" s="145" t="str">
        <f t="shared" si="76"/>
        <v>-</v>
      </c>
    </row>
    <row r="606" spans="1:15">
      <c r="A606" s="45" t="s">
        <v>158</v>
      </c>
      <c r="B606" s="77"/>
      <c r="C606" s="9"/>
      <c r="D606" s="128"/>
      <c r="E606" s="27"/>
      <c r="F606" s="98"/>
      <c r="G606" s="54"/>
      <c r="J606" s="143" t="str">
        <f t="shared" si="73"/>
        <v>-</v>
      </c>
      <c r="K606" s="143" t="str">
        <f t="shared" si="74"/>
        <v>-</v>
      </c>
      <c r="L606" s="144" t="str">
        <f t="shared" si="77"/>
        <v>-</v>
      </c>
      <c r="M606" s="145" t="str">
        <f t="shared" si="75"/>
        <v>-</v>
      </c>
      <c r="O606" s="145" t="str">
        <f t="shared" si="76"/>
        <v>-</v>
      </c>
    </row>
    <row r="607" spans="1:15">
      <c r="A607" s="34" t="s">
        <v>410</v>
      </c>
      <c r="B607" s="65">
        <v>990</v>
      </c>
      <c r="C607" s="109">
        <v>60</v>
      </c>
      <c r="D607" s="118">
        <v>0</v>
      </c>
      <c r="E607" s="113">
        <v>4.95</v>
      </c>
      <c r="F607" s="92"/>
      <c r="G607" s="88">
        <f t="shared" ref="G607:G647" si="79">F607*E607</f>
        <v>0</v>
      </c>
      <c r="J607" s="143" t="str">
        <f t="shared" si="73"/>
        <v>-</v>
      </c>
      <c r="K607" s="143" t="str">
        <f t="shared" si="74"/>
        <v>-</v>
      </c>
      <c r="L607" s="144" t="str">
        <f t="shared" si="77"/>
        <v>-</v>
      </c>
      <c r="M607" s="145" t="str">
        <f t="shared" si="75"/>
        <v>-</v>
      </c>
      <c r="O607" s="145" t="str">
        <f t="shared" si="76"/>
        <v>-</v>
      </c>
    </row>
    <row r="608" spans="1:15">
      <c r="A608" s="55"/>
      <c r="B608" s="65">
        <v>991</v>
      </c>
      <c r="C608" s="109">
        <v>120</v>
      </c>
      <c r="D608" s="118">
        <v>0.2</v>
      </c>
      <c r="E608" s="113">
        <v>7.89</v>
      </c>
      <c r="F608" s="95"/>
      <c r="G608" s="88">
        <f t="shared" si="79"/>
        <v>0</v>
      </c>
      <c r="J608" s="143" t="str">
        <f t="shared" si="73"/>
        <v>-</v>
      </c>
      <c r="K608" s="143" t="str">
        <f t="shared" si="74"/>
        <v>-</v>
      </c>
      <c r="L608" s="144" t="str">
        <f t="shared" si="77"/>
        <v>-</v>
      </c>
      <c r="M608" s="145" t="str">
        <f t="shared" si="75"/>
        <v>-</v>
      </c>
      <c r="O608" s="145" t="str">
        <f t="shared" si="76"/>
        <v>-</v>
      </c>
    </row>
    <row r="609" spans="1:15">
      <c r="A609" s="34" t="s">
        <v>411</v>
      </c>
      <c r="B609" s="65">
        <v>993</v>
      </c>
      <c r="C609" s="109">
        <v>60</v>
      </c>
      <c r="D609" s="118">
        <v>0</v>
      </c>
      <c r="E609" s="113">
        <v>5.61</v>
      </c>
      <c r="F609" s="92"/>
      <c r="G609" s="88">
        <f t="shared" si="79"/>
        <v>0</v>
      </c>
      <c r="J609" s="143" t="str">
        <f t="shared" si="73"/>
        <v>-</v>
      </c>
      <c r="K609" s="143" t="str">
        <f t="shared" si="74"/>
        <v>-</v>
      </c>
      <c r="L609" s="144" t="str">
        <f t="shared" si="77"/>
        <v>-</v>
      </c>
      <c r="M609" s="145" t="str">
        <f t="shared" si="75"/>
        <v>-</v>
      </c>
      <c r="O609" s="145" t="str">
        <f t="shared" si="76"/>
        <v>-</v>
      </c>
    </row>
    <row r="610" spans="1:15">
      <c r="A610" s="55"/>
      <c r="B610" s="65">
        <v>994</v>
      </c>
      <c r="C610" s="109">
        <v>120</v>
      </c>
      <c r="D610" s="118">
        <v>0.2</v>
      </c>
      <c r="E610" s="113">
        <v>9.2100000000000009</v>
      </c>
      <c r="F610" s="95"/>
      <c r="G610" s="88">
        <f t="shared" si="79"/>
        <v>0</v>
      </c>
      <c r="J610" s="143" t="str">
        <f t="shared" si="73"/>
        <v>-</v>
      </c>
      <c r="K610" s="143" t="str">
        <f t="shared" si="74"/>
        <v>-</v>
      </c>
      <c r="L610" s="144" t="str">
        <f t="shared" si="77"/>
        <v>-</v>
      </c>
      <c r="M610" s="145" t="str">
        <f t="shared" si="75"/>
        <v>-</v>
      </c>
      <c r="O610" s="145" t="str">
        <f t="shared" si="76"/>
        <v>-</v>
      </c>
    </row>
    <row r="611" spans="1:15">
      <c r="A611" s="34" t="s">
        <v>412</v>
      </c>
      <c r="B611" s="65">
        <v>996</v>
      </c>
      <c r="C611" s="109">
        <v>60</v>
      </c>
      <c r="D611" s="118">
        <v>0.15</v>
      </c>
      <c r="E611" s="113">
        <v>6.93</v>
      </c>
      <c r="F611" s="92"/>
      <c r="G611" s="88">
        <f t="shared" si="79"/>
        <v>0</v>
      </c>
      <c r="J611" s="143" t="str">
        <f t="shared" si="73"/>
        <v>-</v>
      </c>
      <c r="K611" s="143" t="str">
        <f t="shared" si="74"/>
        <v>-</v>
      </c>
      <c r="L611" s="144" t="str">
        <f t="shared" si="77"/>
        <v>-</v>
      </c>
      <c r="M611" s="145" t="str">
        <f t="shared" si="75"/>
        <v>-</v>
      </c>
      <c r="O611" s="145" t="str">
        <f t="shared" si="76"/>
        <v>-</v>
      </c>
    </row>
    <row r="612" spans="1:15">
      <c r="A612" s="55"/>
      <c r="B612" s="65">
        <v>997</v>
      </c>
      <c r="C612" s="109">
        <v>120</v>
      </c>
      <c r="D612" s="118">
        <v>0.2</v>
      </c>
      <c r="E612" s="113">
        <v>11.55</v>
      </c>
      <c r="F612" s="95"/>
      <c r="G612" s="88">
        <f t="shared" si="79"/>
        <v>0</v>
      </c>
      <c r="J612" s="143" t="str">
        <f t="shared" si="73"/>
        <v>-</v>
      </c>
      <c r="K612" s="143" t="str">
        <f t="shared" si="74"/>
        <v>-</v>
      </c>
      <c r="L612" s="144" t="str">
        <f t="shared" si="77"/>
        <v>-</v>
      </c>
      <c r="M612" s="145" t="str">
        <f t="shared" si="75"/>
        <v>-</v>
      </c>
      <c r="O612" s="145" t="str">
        <f t="shared" si="76"/>
        <v>-</v>
      </c>
    </row>
    <row r="613" spans="1:15">
      <c r="A613" s="34" t="s">
        <v>413</v>
      </c>
      <c r="B613" s="65">
        <v>998</v>
      </c>
      <c r="C613" s="109">
        <v>60</v>
      </c>
      <c r="D613" s="118">
        <v>0</v>
      </c>
      <c r="E613" s="113">
        <v>7.59</v>
      </c>
      <c r="F613" s="92"/>
      <c r="G613" s="88">
        <f t="shared" si="79"/>
        <v>0</v>
      </c>
      <c r="J613" s="143" t="str">
        <f t="shared" si="73"/>
        <v>-</v>
      </c>
      <c r="K613" s="143" t="str">
        <f t="shared" si="74"/>
        <v>-</v>
      </c>
      <c r="L613" s="144" t="str">
        <f t="shared" si="77"/>
        <v>-</v>
      </c>
      <c r="M613" s="145" t="str">
        <f t="shared" si="75"/>
        <v>-</v>
      </c>
      <c r="O613" s="145" t="str">
        <f t="shared" si="76"/>
        <v>-</v>
      </c>
    </row>
    <row r="614" spans="1:15">
      <c r="A614" s="55"/>
      <c r="B614" s="65">
        <v>999</v>
      </c>
      <c r="C614" s="109">
        <v>120</v>
      </c>
      <c r="D614" s="118">
        <v>0</v>
      </c>
      <c r="E614" s="113">
        <v>12.21</v>
      </c>
      <c r="F614" s="95"/>
      <c r="G614" s="88">
        <f t="shared" si="79"/>
        <v>0</v>
      </c>
      <c r="J614" s="143" t="str">
        <f t="shared" si="73"/>
        <v>-</v>
      </c>
      <c r="K614" s="143" t="str">
        <f t="shared" si="74"/>
        <v>-</v>
      </c>
      <c r="L614" s="144" t="str">
        <f t="shared" si="77"/>
        <v>-</v>
      </c>
      <c r="M614" s="145" t="str">
        <f t="shared" si="75"/>
        <v>-</v>
      </c>
      <c r="O614" s="145" t="str">
        <f t="shared" si="76"/>
        <v>-</v>
      </c>
    </row>
    <row r="615" spans="1:15">
      <c r="A615" s="34" t="s">
        <v>414</v>
      </c>
      <c r="B615" s="65">
        <v>1302</v>
      </c>
      <c r="C615" s="109">
        <v>60</v>
      </c>
      <c r="D615" s="118">
        <v>0</v>
      </c>
      <c r="E615" s="113">
        <v>17.13</v>
      </c>
      <c r="F615" s="92"/>
      <c r="G615" s="88">
        <f t="shared" si="79"/>
        <v>0</v>
      </c>
      <c r="J615" s="143" t="str">
        <f t="shared" si="73"/>
        <v>-</v>
      </c>
      <c r="K615" s="143" t="str">
        <f t="shared" si="74"/>
        <v>-</v>
      </c>
      <c r="L615" s="144" t="str">
        <f t="shared" si="77"/>
        <v>-</v>
      </c>
      <c r="M615" s="145" t="str">
        <f t="shared" si="75"/>
        <v>-</v>
      </c>
      <c r="O615" s="145" t="str">
        <f t="shared" si="76"/>
        <v>-</v>
      </c>
    </row>
    <row r="616" spans="1:15">
      <c r="A616" s="34" t="s">
        <v>415</v>
      </c>
      <c r="B616" s="65">
        <v>1304</v>
      </c>
      <c r="C616" s="109">
        <v>60</v>
      </c>
      <c r="D616" s="118">
        <v>0</v>
      </c>
      <c r="E616" s="113">
        <v>16.170000000000002</v>
      </c>
      <c r="F616" s="92"/>
      <c r="G616" s="88">
        <f t="shared" si="79"/>
        <v>0</v>
      </c>
      <c r="J616" s="143" t="str">
        <f t="shared" si="73"/>
        <v>-</v>
      </c>
      <c r="K616" s="143" t="str">
        <f t="shared" si="74"/>
        <v>-</v>
      </c>
      <c r="L616" s="144" t="str">
        <f t="shared" si="77"/>
        <v>-</v>
      </c>
      <c r="M616" s="145" t="str">
        <f t="shared" si="75"/>
        <v>-</v>
      </c>
      <c r="O616" s="145" t="str">
        <f t="shared" si="76"/>
        <v>-</v>
      </c>
    </row>
    <row r="617" spans="1:15">
      <c r="A617" s="34" t="s">
        <v>416</v>
      </c>
      <c r="B617" s="65">
        <v>1306</v>
      </c>
      <c r="C617" s="109">
        <v>60</v>
      </c>
      <c r="D617" s="118">
        <v>0</v>
      </c>
      <c r="E617" s="113">
        <v>17.489999999999998</v>
      </c>
      <c r="F617" s="92"/>
      <c r="G617" s="88">
        <f t="shared" si="79"/>
        <v>0</v>
      </c>
      <c r="J617" s="143" t="str">
        <f t="shared" si="73"/>
        <v>-</v>
      </c>
      <c r="K617" s="143" t="str">
        <f t="shared" si="74"/>
        <v>-</v>
      </c>
      <c r="L617" s="144" t="str">
        <f t="shared" si="77"/>
        <v>-</v>
      </c>
      <c r="M617" s="145" t="str">
        <f t="shared" si="75"/>
        <v>-</v>
      </c>
      <c r="O617" s="145" t="str">
        <f t="shared" si="76"/>
        <v>-</v>
      </c>
    </row>
    <row r="618" spans="1:15">
      <c r="A618" s="34" t="s">
        <v>417</v>
      </c>
      <c r="B618" s="65">
        <v>1312</v>
      </c>
      <c r="C618" s="109">
        <v>60</v>
      </c>
      <c r="D618" s="118">
        <v>0</v>
      </c>
      <c r="E618" s="113">
        <v>23.07</v>
      </c>
      <c r="F618" s="92"/>
      <c r="G618" s="88">
        <f t="shared" si="79"/>
        <v>0</v>
      </c>
      <c r="J618" s="143" t="str">
        <f t="shared" si="73"/>
        <v>-</v>
      </c>
      <c r="K618" s="143" t="str">
        <f t="shared" si="74"/>
        <v>-</v>
      </c>
      <c r="L618" s="144" t="str">
        <f t="shared" si="77"/>
        <v>-</v>
      </c>
      <c r="M618" s="145" t="str">
        <f t="shared" si="75"/>
        <v>-</v>
      </c>
      <c r="O618" s="145" t="str">
        <f t="shared" si="76"/>
        <v>-</v>
      </c>
    </row>
    <row r="619" spans="1:15">
      <c r="A619" s="34" t="s">
        <v>418</v>
      </c>
      <c r="B619" s="65">
        <v>1316</v>
      </c>
      <c r="C619" s="109">
        <v>60</v>
      </c>
      <c r="D619" s="118">
        <v>0</v>
      </c>
      <c r="E619" s="113">
        <v>16.47</v>
      </c>
      <c r="F619" s="92"/>
      <c r="G619" s="88">
        <f t="shared" si="79"/>
        <v>0</v>
      </c>
      <c r="J619" s="143" t="str">
        <f t="shared" si="73"/>
        <v>-</v>
      </c>
      <c r="K619" s="143" t="str">
        <f t="shared" si="74"/>
        <v>-</v>
      </c>
      <c r="L619" s="144" t="str">
        <f t="shared" si="77"/>
        <v>-</v>
      </c>
      <c r="M619" s="145" t="str">
        <f t="shared" si="75"/>
        <v>-</v>
      </c>
      <c r="O619" s="145" t="str">
        <f t="shared" si="76"/>
        <v>-</v>
      </c>
    </row>
    <row r="620" spans="1:15">
      <c r="A620" s="34" t="s">
        <v>419</v>
      </c>
      <c r="B620" s="65">
        <v>1320</v>
      </c>
      <c r="C620" s="109">
        <v>60</v>
      </c>
      <c r="D620" s="118">
        <v>0</v>
      </c>
      <c r="E620" s="113">
        <v>17.489999999999998</v>
      </c>
      <c r="F620" s="92"/>
      <c r="G620" s="88">
        <f t="shared" si="79"/>
        <v>0</v>
      </c>
      <c r="J620" s="143" t="str">
        <f t="shared" si="73"/>
        <v>-</v>
      </c>
      <c r="K620" s="143" t="str">
        <f t="shared" si="74"/>
        <v>-</v>
      </c>
      <c r="L620" s="144" t="str">
        <f t="shared" si="77"/>
        <v>-</v>
      </c>
      <c r="M620" s="145" t="str">
        <f t="shared" si="75"/>
        <v>-</v>
      </c>
      <c r="O620" s="145" t="str">
        <f t="shared" si="76"/>
        <v>-</v>
      </c>
    </row>
    <row r="621" spans="1:15">
      <c r="A621" s="34" t="s">
        <v>420</v>
      </c>
      <c r="B621" s="65">
        <v>1321</v>
      </c>
      <c r="C621" s="109">
        <v>60</v>
      </c>
      <c r="D621" s="118">
        <v>0</v>
      </c>
      <c r="E621" s="113">
        <v>21.45</v>
      </c>
      <c r="F621" s="92"/>
      <c r="G621" s="88">
        <f t="shared" si="79"/>
        <v>0</v>
      </c>
      <c r="J621" s="143" t="str">
        <f t="shared" si="73"/>
        <v>-</v>
      </c>
      <c r="K621" s="143" t="str">
        <f t="shared" si="74"/>
        <v>-</v>
      </c>
      <c r="L621" s="144" t="str">
        <f t="shared" si="77"/>
        <v>-</v>
      </c>
      <c r="M621" s="145" t="str">
        <f t="shared" si="75"/>
        <v>-</v>
      </c>
      <c r="O621" s="145" t="str">
        <f t="shared" si="76"/>
        <v>-</v>
      </c>
    </row>
    <row r="622" spans="1:15">
      <c r="A622" s="34" t="s">
        <v>421</v>
      </c>
      <c r="B622" s="65">
        <v>1328</v>
      </c>
      <c r="C622" s="109">
        <v>60</v>
      </c>
      <c r="D622" s="118">
        <v>0</v>
      </c>
      <c r="E622" s="113">
        <v>11.55</v>
      </c>
      <c r="F622" s="92"/>
      <c r="G622" s="88">
        <f t="shared" si="79"/>
        <v>0</v>
      </c>
      <c r="J622" s="143" t="str">
        <f t="shared" si="73"/>
        <v>-</v>
      </c>
      <c r="K622" s="143" t="str">
        <f t="shared" si="74"/>
        <v>-</v>
      </c>
      <c r="L622" s="144" t="str">
        <f t="shared" si="77"/>
        <v>-</v>
      </c>
      <c r="M622" s="145" t="str">
        <f t="shared" si="75"/>
        <v>-</v>
      </c>
      <c r="O622" s="145" t="str">
        <f t="shared" si="76"/>
        <v>-</v>
      </c>
    </row>
    <row r="623" spans="1:15" ht="24">
      <c r="A623" s="34" t="s">
        <v>422</v>
      </c>
      <c r="B623" s="65">
        <v>1337</v>
      </c>
      <c r="C623" s="109">
        <v>60</v>
      </c>
      <c r="D623" s="118">
        <v>0</v>
      </c>
      <c r="E623" s="113">
        <v>25.05</v>
      </c>
      <c r="F623" s="92"/>
      <c r="G623" s="88">
        <f t="shared" si="79"/>
        <v>0</v>
      </c>
      <c r="J623" s="143" t="str">
        <f t="shared" si="73"/>
        <v>-</v>
      </c>
      <c r="K623" s="143" t="str">
        <f t="shared" si="74"/>
        <v>-</v>
      </c>
      <c r="L623" s="144" t="str">
        <f t="shared" si="77"/>
        <v>-</v>
      </c>
      <c r="M623" s="145" t="str">
        <f t="shared" si="75"/>
        <v>-</v>
      </c>
      <c r="O623" s="145" t="str">
        <f t="shared" si="76"/>
        <v>-</v>
      </c>
    </row>
    <row r="624" spans="1:15">
      <c r="A624" s="34" t="s">
        <v>423</v>
      </c>
      <c r="B624" s="65">
        <v>1382</v>
      </c>
      <c r="C624" s="109">
        <v>60</v>
      </c>
      <c r="D624" s="118">
        <v>0.14000000000000001</v>
      </c>
      <c r="E624" s="113">
        <v>10.89</v>
      </c>
      <c r="F624" s="92"/>
      <c r="G624" s="88">
        <f t="shared" si="79"/>
        <v>0</v>
      </c>
      <c r="J624" s="143" t="str">
        <f t="shared" si="73"/>
        <v>-</v>
      </c>
      <c r="K624" s="143" t="str">
        <f t="shared" si="74"/>
        <v>-</v>
      </c>
      <c r="L624" s="144" t="str">
        <f t="shared" si="77"/>
        <v>-</v>
      </c>
      <c r="M624" s="145" t="str">
        <f t="shared" si="75"/>
        <v>-</v>
      </c>
      <c r="O624" s="145" t="str">
        <f t="shared" si="76"/>
        <v>-</v>
      </c>
    </row>
    <row r="625" spans="1:15">
      <c r="A625" s="34" t="s">
        <v>424</v>
      </c>
      <c r="B625" s="65">
        <v>1385</v>
      </c>
      <c r="C625" s="109">
        <v>60</v>
      </c>
      <c r="D625" s="118">
        <v>0</v>
      </c>
      <c r="E625" s="113">
        <v>12.51</v>
      </c>
      <c r="F625" s="92"/>
      <c r="G625" s="88">
        <f t="shared" si="79"/>
        <v>0</v>
      </c>
      <c r="J625" s="143" t="str">
        <f t="shared" si="73"/>
        <v>-</v>
      </c>
      <c r="K625" s="143" t="str">
        <f t="shared" si="74"/>
        <v>-</v>
      </c>
      <c r="L625" s="144" t="str">
        <f t="shared" si="77"/>
        <v>-</v>
      </c>
      <c r="M625" s="145" t="str">
        <f t="shared" si="75"/>
        <v>-</v>
      </c>
      <c r="O625" s="145" t="str">
        <f t="shared" si="76"/>
        <v>-</v>
      </c>
    </row>
    <row r="626" spans="1:15">
      <c r="A626" s="55"/>
      <c r="B626" s="65">
        <v>1386</v>
      </c>
      <c r="C626" s="109">
        <v>120</v>
      </c>
      <c r="D626" s="118">
        <v>0</v>
      </c>
      <c r="E626" s="113">
        <v>22.41</v>
      </c>
      <c r="F626" s="95"/>
      <c r="G626" s="88">
        <f t="shared" si="79"/>
        <v>0</v>
      </c>
      <c r="J626" s="143" t="str">
        <f t="shared" si="73"/>
        <v>-</v>
      </c>
      <c r="K626" s="143" t="str">
        <f t="shared" si="74"/>
        <v>-</v>
      </c>
      <c r="L626" s="144" t="str">
        <f t="shared" si="77"/>
        <v>-</v>
      </c>
      <c r="M626" s="145" t="str">
        <f t="shared" si="75"/>
        <v>-</v>
      </c>
      <c r="O626" s="145" t="str">
        <f t="shared" si="76"/>
        <v>-</v>
      </c>
    </row>
    <row r="627" spans="1:15">
      <c r="A627" s="34" t="s">
        <v>425</v>
      </c>
      <c r="B627" s="65">
        <v>1387</v>
      </c>
      <c r="C627" s="109">
        <v>60</v>
      </c>
      <c r="D627" s="118">
        <v>0</v>
      </c>
      <c r="E627" s="113">
        <v>15.51</v>
      </c>
      <c r="F627" s="92"/>
      <c r="G627" s="88">
        <f t="shared" si="79"/>
        <v>0</v>
      </c>
      <c r="J627" s="143" t="str">
        <f t="shared" si="73"/>
        <v>-</v>
      </c>
      <c r="K627" s="143" t="str">
        <f t="shared" si="74"/>
        <v>-</v>
      </c>
      <c r="L627" s="144" t="str">
        <f t="shared" si="77"/>
        <v>-</v>
      </c>
      <c r="M627" s="145" t="str">
        <f t="shared" si="75"/>
        <v>-</v>
      </c>
      <c r="O627" s="145" t="str">
        <f t="shared" si="76"/>
        <v>-</v>
      </c>
    </row>
    <row r="628" spans="1:15">
      <c r="A628" s="34" t="s">
        <v>426</v>
      </c>
      <c r="B628" s="65">
        <v>1392</v>
      </c>
      <c r="C628" s="109">
        <v>30</v>
      </c>
      <c r="D628" s="118">
        <v>0</v>
      </c>
      <c r="E628" s="113">
        <v>15.51</v>
      </c>
      <c r="F628" s="92"/>
      <c r="G628" s="88">
        <f t="shared" si="79"/>
        <v>0</v>
      </c>
      <c r="J628" s="143" t="str">
        <f t="shared" si="73"/>
        <v>-</v>
      </c>
      <c r="K628" s="143" t="str">
        <f t="shared" si="74"/>
        <v>-</v>
      </c>
      <c r="L628" s="144" t="str">
        <f t="shared" si="77"/>
        <v>-</v>
      </c>
      <c r="M628" s="145" t="str">
        <f t="shared" si="75"/>
        <v>-</v>
      </c>
      <c r="O628" s="145" t="str">
        <f t="shared" si="76"/>
        <v>-</v>
      </c>
    </row>
    <row r="629" spans="1:15">
      <c r="A629" s="39"/>
      <c r="B629" s="65">
        <v>1393</v>
      </c>
      <c r="C629" s="109">
        <v>60</v>
      </c>
      <c r="D629" s="118">
        <v>0</v>
      </c>
      <c r="E629" s="113">
        <v>26.37</v>
      </c>
      <c r="F629" s="95"/>
      <c r="G629" s="88">
        <f t="shared" si="79"/>
        <v>0</v>
      </c>
      <c r="J629" s="143" t="str">
        <f t="shared" si="73"/>
        <v>-</v>
      </c>
      <c r="K629" s="143" t="str">
        <f t="shared" si="74"/>
        <v>-</v>
      </c>
      <c r="L629" s="144" t="str">
        <f t="shared" si="77"/>
        <v>-</v>
      </c>
      <c r="M629" s="145" t="str">
        <f t="shared" si="75"/>
        <v>-</v>
      </c>
      <c r="O629" s="145" t="str">
        <f t="shared" si="76"/>
        <v>-</v>
      </c>
    </row>
    <row r="630" spans="1:15">
      <c r="A630" s="34" t="s">
        <v>427</v>
      </c>
      <c r="B630" s="65">
        <v>1370</v>
      </c>
      <c r="C630" s="109">
        <v>60</v>
      </c>
      <c r="D630" s="118">
        <v>0</v>
      </c>
      <c r="E630" s="113">
        <v>13.17</v>
      </c>
      <c r="F630" s="92"/>
      <c r="G630" s="88">
        <f t="shared" si="79"/>
        <v>0</v>
      </c>
      <c r="J630" s="143" t="str">
        <f t="shared" si="73"/>
        <v>-</v>
      </c>
      <c r="K630" s="143" t="str">
        <f t="shared" si="74"/>
        <v>-</v>
      </c>
      <c r="L630" s="144" t="str">
        <f t="shared" si="77"/>
        <v>-</v>
      </c>
      <c r="M630" s="145" t="str">
        <f t="shared" si="75"/>
        <v>-</v>
      </c>
      <c r="O630" s="145" t="str">
        <f t="shared" si="76"/>
        <v>-</v>
      </c>
    </row>
    <row r="631" spans="1:15">
      <c r="A631" s="34" t="s">
        <v>428</v>
      </c>
      <c r="B631" s="65">
        <v>1397</v>
      </c>
      <c r="C631" s="109">
        <v>60</v>
      </c>
      <c r="D631" s="118">
        <v>0</v>
      </c>
      <c r="E631" s="113">
        <v>12.21</v>
      </c>
      <c r="F631" s="92"/>
      <c r="G631" s="88">
        <f t="shared" si="79"/>
        <v>0</v>
      </c>
      <c r="J631" s="143" t="str">
        <f t="shared" si="73"/>
        <v>-</v>
      </c>
      <c r="K631" s="143" t="str">
        <f t="shared" si="74"/>
        <v>-</v>
      </c>
      <c r="L631" s="144" t="str">
        <f t="shared" si="77"/>
        <v>-</v>
      </c>
      <c r="M631" s="145" t="str">
        <f t="shared" si="75"/>
        <v>-</v>
      </c>
      <c r="O631" s="145" t="str">
        <f t="shared" si="76"/>
        <v>-</v>
      </c>
    </row>
    <row r="632" spans="1:15">
      <c r="A632" s="34" t="s">
        <v>429</v>
      </c>
      <c r="B632" s="65">
        <v>1394</v>
      </c>
      <c r="C632" s="109">
        <v>60</v>
      </c>
      <c r="D632" s="118">
        <v>0</v>
      </c>
      <c r="E632" s="113">
        <v>22.77</v>
      </c>
      <c r="F632" s="92"/>
      <c r="G632" s="88">
        <f t="shared" si="79"/>
        <v>0</v>
      </c>
      <c r="J632" s="143" t="str">
        <f t="shared" si="73"/>
        <v>-</v>
      </c>
      <c r="K632" s="143" t="str">
        <f t="shared" si="74"/>
        <v>-</v>
      </c>
      <c r="L632" s="144" t="str">
        <f t="shared" si="77"/>
        <v>-</v>
      </c>
      <c r="M632" s="145" t="str">
        <f t="shared" si="75"/>
        <v>-</v>
      </c>
      <c r="O632" s="145" t="str">
        <f t="shared" si="76"/>
        <v>-</v>
      </c>
    </row>
    <row r="633" spans="1:15">
      <c r="A633" s="39"/>
      <c r="B633" s="65">
        <v>1395</v>
      </c>
      <c r="C633" s="109">
        <v>120</v>
      </c>
      <c r="D633" s="118">
        <v>0</v>
      </c>
      <c r="E633" s="113">
        <v>44.19</v>
      </c>
      <c r="F633" s="95"/>
      <c r="G633" s="88">
        <f t="shared" si="79"/>
        <v>0</v>
      </c>
      <c r="J633" s="143" t="str">
        <f t="shared" si="73"/>
        <v>-</v>
      </c>
      <c r="K633" s="143" t="str">
        <f t="shared" si="74"/>
        <v>-</v>
      </c>
      <c r="L633" s="144" t="str">
        <f t="shared" si="77"/>
        <v>-</v>
      </c>
      <c r="M633" s="145" t="str">
        <f t="shared" si="75"/>
        <v>-</v>
      </c>
      <c r="O633" s="145" t="str">
        <f t="shared" si="76"/>
        <v>-</v>
      </c>
    </row>
    <row r="634" spans="1:15">
      <c r="A634" s="34" t="s">
        <v>430</v>
      </c>
      <c r="B634" s="65">
        <v>1398</v>
      </c>
      <c r="C634" s="109">
        <v>60</v>
      </c>
      <c r="D634" s="118">
        <v>0</v>
      </c>
      <c r="E634" s="113">
        <v>14.19</v>
      </c>
      <c r="F634" s="92"/>
      <c r="G634" s="88">
        <f t="shared" si="79"/>
        <v>0</v>
      </c>
      <c r="J634" s="143" t="str">
        <f t="shared" si="73"/>
        <v>-</v>
      </c>
      <c r="K634" s="143" t="str">
        <f t="shared" si="74"/>
        <v>-</v>
      </c>
      <c r="L634" s="144" t="str">
        <f t="shared" si="77"/>
        <v>-</v>
      </c>
      <c r="M634" s="145" t="str">
        <f t="shared" si="75"/>
        <v>-</v>
      </c>
      <c r="O634" s="145" t="str">
        <f t="shared" si="76"/>
        <v>-</v>
      </c>
    </row>
    <row r="635" spans="1:15">
      <c r="A635" s="34" t="s">
        <v>431</v>
      </c>
      <c r="B635" s="65">
        <v>1399</v>
      </c>
      <c r="C635" s="109">
        <v>60</v>
      </c>
      <c r="D635" s="118">
        <v>0.15</v>
      </c>
      <c r="E635" s="113">
        <v>13.53</v>
      </c>
      <c r="F635" s="92"/>
      <c r="G635" s="88">
        <f t="shared" si="79"/>
        <v>0</v>
      </c>
      <c r="J635" s="143" t="str">
        <f t="shared" si="73"/>
        <v>-</v>
      </c>
      <c r="K635" s="143" t="str">
        <f t="shared" si="74"/>
        <v>-</v>
      </c>
      <c r="L635" s="144" t="str">
        <f t="shared" si="77"/>
        <v>-</v>
      </c>
      <c r="M635" s="145" t="str">
        <f t="shared" si="75"/>
        <v>-</v>
      </c>
      <c r="O635" s="145" t="str">
        <f t="shared" si="76"/>
        <v>-</v>
      </c>
    </row>
    <row r="636" spans="1:15">
      <c r="A636" s="34" t="s">
        <v>432</v>
      </c>
      <c r="B636" s="65">
        <v>1340</v>
      </c>
      <c r="C636" s="109">
        <v>60</v>
      </c>
      <c r="D636" s="118">
        <v>0</v>
      </c>
      <c r="E636" s="113">
        <v>16.829999999999998</v>
      </c>
      <c r="F636" s="92"/>
      <c r="G636" s="88">
        <f t="shared" si="79"/>
        <v>0</v>
      </c>
      <c r="J636" s="143" t="str">
        <f t="shared" si="73"/>
        <v>-</v>
      </c>
      <c r="K636" s="143" t="str">
        <f t="shared" si="74"/>
        <v>-</v>
      </c>
      <c r="L636" s="144" t="str">
        <f t="shared" si="77"/>
        <v>-</v>
      </c>
      <c r="M636" s="145" t="str">
        <f t="shared" si="75"/>
        <v>-</v>
      </c>
      <c r="O636" s="145" t="str">
        <f t="shared" si="76"/>
        <v>-</v>
      </c>
    </row>
    <row r="637" spans="1:15">
      <c r="A637" s="34" t="s">
        <v>433</v>
      </c>
      <c r="B637" s="65">
        <v>1341</v>
      </c>
      <c r="C637" s="109">
        <v>60</v>
      </c>
      <c r="D637" s="118">
        <v>0</v>
      </c>
      <c r="E637" s="113">
        <v>12.21</v>
      </c>
      <c r="F637" s="92"/>
      <c r="G637" s="88">
        <f t="shared" si="79"/>
        <v>0</v>
      </c>
      <c r="J637" s="143" t="str">
        <f t="shared" si="73"/>
        <v>-</v>
      </c>
      <c r="K637" s="143" t="str">
        <f t="shared" si="74"/>
        <v>-</v>
      </c>
      <c r="L637" s="144" t="str">
        <f t="shared" si="77"/>
        <v>-</v>
      </c>
      <c r="M637" s="145" t="str">
        <f t="shared" si="75"/>
        <v>-</v>
      </c>
      <c r="O637" s="145" t="str">
        <f t="shared" si="76"/>
        <v>-</v>
      </c>
    </row>
    <row r="638" spans="1:15">
      <c r="A638" s="34" t="s">
        <v>434</v>
      </c>
      <c r="B638" s="65">
        <v>1342</v>
      </c>
      <c r="C638" s="109">
        <v>60</v>
      </c>
      <c r="D638" s="118">
        <v>0</v>
      </c>
      <c r="E638" s="113">
        <v>12.21</v>
      </c>
      <c r="F638" s="92"/>
      <c r="G638" s="88">
        <f t="shared" si="79"/>
        <v>0</v>
      </c>
      <c r="J638" s="143" t="str">
        <f t="shared" si="73"/>
        <v>-</v>
      </c>
      <c r="K638" s="143" t="str">
        <f t="shared" si="74"/>
        <v>-</v>
      </c>
      <c r="L638" s="144" t="str">
        <f t="shared" si="77"/>
        <v>-</v>
      </c>
      <c r="M638" s="145" t="str">
        <f t="shared" si="75"/>
        <v>-</v>
      </c>
      <c r="O638" s="145" t="str">
        <f t="shared" si="76"/>
        <v>-</v>
      </c>
    </row>
    <row r="639" spans="1:15">
      <c r="A639" s="34" t="s">
        <v>435</v>
      </c>
      <c r="B639" s="65">
        <v>1346</v>
      </c>
      <c r="C639" s="109">
        <v>60</v>
      </c>
      <c r="D639" s="118">
        <v>0</v>
      </c>
      <c r="E639" s="113">
        <v>12.87</v>
      </c>
      <c r="F639" s="92"/>
      <c r="G639" s="88">
        <f t="shared" si="79"/>
        <v>0</v>
      </c>
      <c r="J639" s="143" t="str">
        <f t="shared" si="73"/>
        <v>-</v>
      </c>
      <c r="K639" s="143" t="str">
        <f t="shared" si="74"/>
        <v>-</v>
      </c>
      <c r="L639" s="144" t="str">
        <f t="shared" si="77"/>
        <v>-</v>
      </c>
      <c r="M639" s="145" t="str">
        <f t="shared" si="75"/>
        <v>-</v>
      </c>
      <c r="O639" s="145" t="str">
        <f t="shared" si="76"/>
        <v>-</v>
      </c>
    </row>
    <row r="640" spans="1:15" ht="24">
      <c r="A640" s="34" t="s">
        <v>436</v>
      </c>
      <c r="B640" s="65">
        <v>1360</v>
      </c>
      <c r="C640" s="109">
        <v>30</v>
      </c>
      <c r="D640" s="118">
        <v>0</v>
      </c>
      <c r="E640" s="113">
        <v>8.5500000000000007</v>
      </c>
      <c r="F640" s="92"/>
      <c r="G640" s="88">
        <f t="shared" si="79"/>
        <v>0</v>
      </c>
      <c r="J640" s="143" t="str">
        <f t="shared" si="73"/>
        <v>-</v>
      </c>
      <c r="K640" s="143" t="str">
        <f t="shared" si="74"/>
        <v>-</v>
      </c>
      <c r="L640" s="144" t="str">
        <f t="shared" si="77"/>
        <v>-</v>
      </c>
      <c r="M640" s="145" t="str">
        <f t="shared" si="75"/>
        <v>-</v>
      </c>
      <c r="O640" s="145" t="str">
        <f t="shared" si="76"/>
        <v>-</v>
      </c>
    </row>
    <row r="641" spans="1:15">
      <c r="A641" s="39"/>
      <c r="B641" s="65">
        <v>1362</v>
      </c>
      <c r="C641" s="109">
        <v>60</v>
      </c>
      <c r="D641" s="118">
        <v>0</v>
      </c>
      <c r="E641" s="113">
        <v>15.15</v>
      </c>
      <c r="F641" s="95"/>
      <c r="G641" s="88">
        <f t="shared" si="79"/>
        <v>0</v>
      </c>
      <c r="J641" s="143" t="str">
        <f t="shared" si="73"/>
        <v>-</v>
      </c>
      <c r="K641" s="143" t="str">
        <f t="shared" si="74"/>
        <v>-</v>
      </c>
      <c r="L641" s="144" t="str">
        <f t="shared" si="77"/>
        <v>-</v>
      </c>
      <c r="M641" s="145" t="str">
        <f t="shared" si="75"/>
        <v>-</v>
      </c>
      <c r="O641" s="145" t="str">
        <f t="shared" si="76"/>
        <v>-</v>
      </c>
    </row>
    <row r="642" spans="1:15">
      <c r="A642" s="34" t="s">
        <v>437</v>
      </c>
      <c r="B642" s="65">
        <v>1344</v>
      </c>
      <c r="C642" s="109">
        <v>60</v>
      </c>
      <c r="D642" s="118">
        <v>0</v>
      </c>
      <c r="E642" s="113">
        <v>22.41</v>
      </c>
      <c r="F642" s="92"/>
      <c r="G642" s="88">
        <f t="shared" si="79"/>
        <v>0</v>
      </c>
      <c r="J642" s="143" t="str">
        <f t="shared" si="73"/>
        <v>-</v>
      </c>
      <c r="K642" s="143" t="str">
        <f t="shared" si="74"/>
        <v>-</v>
      </c>
      <c r="L642" s="144" t="str">
        <f t="shared" si="77"/>
        <v>-</v>
      </c>
      <c r="M642" s="145" t="str">
        <f t="shared" si="75"/>
        <v>-</v>
      </c>
      <c r="O642" s="145" t="str">
        <f t="shared" si="76"/>
        <v>-</v>
      </c>
    </row>
    <row r="643" spans="1:15" ht="24">
      <c r="A643" s="34" t="s">
        <v>438</v>
      </c>
      <c r="B643" s="65">
        <v>1378</v>
      </c>
      <c r="C643" s="109">
        <v>60</v>
      </c>
      <c r="D643" s="118">
        <v>0</v>
      </c>
      <c r="E643" s="113">
        <v>11.19</v>
      </c>
      <c r="F643" s="92"/>
      <c r="G643" s="88">
        <f t="shared" si="79"/>
        <v>0</v>
      </c>
      <c r="J643" s="143" t="str">
        <f t="shared" ref="J643:J647" si="80">IFERROR(IF($J$2*D643=0, "-", $J$2*D643), "-")</f>
        <v>-</v>
      </c>
      <c r="K643" s="143" t="str">
        <f t="shared" ref="K643:K647" si="81">IF(F643&gt;0,E643+D643*F643/$L$2*$M$2/F643,"-")</f>
        <v>-</v>
      </c>
      <c r="L643" s="144" t="str">
        <f t="shared" si="77"/>
        <v>-</v>
      </c>
      <c r="M643" s="145" t="str">
        <f t="shared" ref="M643:M647" si="82">IFERROR(IF($J$2&gt;0, $J$2*L643, "-"), "-")</f>
        <v>-</v>
      </c>
      <c r="O643" s="145" t="str">
        <f t="shared" ref="O643:O647" si="83">IFERROR(IF(M643+G643=0, "-", IF(M643&gt;0, M643+G643, "-")), "-")</f>
        <v>-</v>
      </c>
    </row>
    <row r="644" spans="1:15">
      <c r="A644" s="39"/>
      <c r="B644" s="65">
        <v>1379</v>
      </c>
      <c r="C644" s="109">
        <v>120</v>
      </c>
      <c r="D644" s="118">
        <v>0</v>
      </c>
      <c r="E644" s="113">
        <v>20.43</v>
      </c>
      <c r="F644" s="95"/>
      <c r="G644" s="88">
        <f t="shared" si="79"/>
        <v>0</v>
      </c>
      <c r="J644" s="143" t="str">
        <f t="shared" si="80"/>
        <v>-</v>
      </c>
      <c r="K644" s="143" t="str">
        <f t="shared" si="81"/>
        <v>-</v>
      </c>
      <c r="L644" s="144" t="str">
        <f t="shared" ref="L644:L647" si="84">IF(F644&gt;0,F644*D644*1.113, "-")</f>
        <v>-</v>
      </c>
      <c r="M644" s="145" t="str">
        <f t="shared" si="82"/>
        <v>-</v>
      </c>
      <c r="O644" s="145" t="str">
        <f t="shared" si="83"/>
        <v>-</v>
      </c>
    </row>
    <row r="645" spans="1:15">
      <c r="A645" s="34" t="s">
        <v>439</v>
      </c>
      <c r="B645" s="65">
        <v>1372</v>
      </c>
      <c r="C645" s="109">
        <v>60</v>
      </c>
      <c r="D645" s="118">
        <v>0</v>
      </c>
      <c r="E645" s="113">
        <v>12.21</v>
      </c>
      <c r="F645" s="92"/>
      <c r="G645" s="88">
        <f t="shared" si="79"/>
        <v>0</v>
      </c>
      <c r="J645" s="143" t="str">
        <f t="shared" si="80"/>
        <v>-</v>
      </c>
      <c r="K645" s="143" t="str">
        <f t="shared" si="81"/>
        <v>-</v>
      </c>
      <c r="L645" s="144" t="str">
        <f t="shared" si="84"/>
        <v>-</v>
      </c>
      <c r="M645" s="145" t="str">
        <f t="shared" si="82"/>
        <v>-</v>
      </c>
      <c r="O645" s="145" t="str">
        <f t="shared" si="83"/>
        <v>-</v>
      </c>
    </row>
    <row r="646" spans="1:15">
      <c r="A646" s="34" t="s">
        <v>440</v>
      </c>
      <c r="B646" s="65">
        <v>1380</v>
      </c>
      <c r="C646" s="109">
        <v>60</v>
      </c>
      <c r="D646" s="118">
        <v>0</v>
      </c>
      <c r="E646" s="113">
        <v>16.170000000000002</v>
      </c>
      <c r="F646" s="92"/>
      <c r="G646" s="88">
        <f t="shared" si="79"/>
        <v>0</v>
      </c>
      <c r="J646" s="143" t="str">
        <f t="shared" si="80"/>
        <v>-</v>
      </c>
      <c r="K646" s="143" t="str">
        <f t="shared" si="81"/>
        <v>-</v>
      </c>
      <c r="L646" s="144" t="str">
        <f t="shared" si="84"/>
        <v>-</v>
      </c>
      <c r="M646" s="145" t="str">
        <f t="shared" si="82"/>
        <v>-</v>
      </c>
      <c r="O646" s="145" t="str">
        <f t="shared" si="83"/>
        <v>-</v>
      </c>
    </row>
    <row r="647" spans="1:15" ht="15" thickBot="1">
      <c r="A647" s="60"/>
      <c r="B647" s="80">
        <v>1381</v>
      </c>
      <c r="C647" s="112">
        <v>120</v>
      </c>
      <c r="D647" s="132">
        <v>0</v>
      </c>
      <c r="E647" s="115">
        <v>29.67</v>
      </c>
      <c r="F647" s="105"/>
      <c r="G647" s="89">
        <f t="shared" si="79"/>
        <v>0</v>
      </c>
      <c r="J647" s="143" t="str">
        <f t="shared" si="80"/>
        <v>-</v>
      </c>
      <c r="K647" s="143" t="str">
        <f t="shared" si="81"/>
        <v>-</v>
      </c>
      <c r="L647" s="144" t="str">
        <f t="shared" si="84"/>
        <v>-</v>
      </c>
      <c r="M647" s="145" t="str">
        <f t="shared" si="82"/>
        <v>-</v>
      </c>
      <c r="O647" s="145" t="str">
        <f t="shared" si="83"/>
        <v>-</v>
      </c>
    </row>
    <row r="648" spans="1:15">
      <c r="J648" s="143"/>
      <c r="K648" s="143"/>
      <c r="L648" s="144"/>
      <c r="M648" s="145"/>
      <c r="O648" s="145"/>
    </row>
    <row r="649" spans="1:15">
      <c r="J649" s="143"/>
      <c r="K649" s="143"/>
      <c r="L649" s="144"/>
      <c r="M649" s="145"/>
      <c r="O649" s="145"/>
    </row>
    <row r="650" spans="1:15">
      <c r="J650" s="143"/>
      <c r="K650" s="143"/>
      <c r="L650" s="144"/>
      <c r="M650" s="145"/>
      <c r="O650" s="145"/>
    </row>
    <row r="651" spans="1:15">
      <c r="J651" s="143"/>
      <c r="K651" s="143"/>
      <c r="L651" s="144"/>
      <c r="M651" s="145"/>
      <c r="O651" s="145"/>
    </row>
    <row r="652" spans="1:15">
      <c r="J652" s="143"/>
      <c r="K652" s="143"/>
      <c r="L652" s="144"/>
      <c r="M652" s="145"/>
      <c r="O652" s="145"/>
    </row>
    <row r="653" spans="1:15">
      <c r="J653" s="143"/>
      <c r="K653" s="143"/>
      <c r="L653" s="144"/>
      <c r="M653" s="145"/>
      <c r="O653" s="145"/>
    </row>
    <row r="654" spans="1:15">
      <c r="J654" s="143"/>
      <c r="K654" s="143"/>
      <c r="L654" s="144"/>
      <c r="M654" s="145"/>
      <c r="O654" s="145"/>
    </row>
    <row r="655" spans="1:15">
      <c r="J655" s="143"/>
      <c r="K655" s="143"/>
      <c r="L655" s="144"/>
      <c r="M655" s="145"/>
      <c r="O655" s="145"/>
    </row>
    <row r="656" spans="1:15">
      <c r="J656" s="143"/>
      <c r="K656" s="143"/>
      <c r="L656" s="144"/>
      <c r="M656" s="145"/>
      <c r="O656" s="145"/>
    </row>
    <row r="657" spans="4:15">
      <c r="D657" s="13">
        <v>0.18</v>
      </c>
      <c r="J657" s="143"/>
      <c r="K657" s="143"/>
      <c r="L657" s="144"/>
      <c r="M657" s="145"/>
      <c r="O657" s="145"/>
    </row>
    <row r="658" spans="4:15">
      <c r="J658" s="143"/>
      <c r="K658" s="143"/>
      <c r="L658" s="144"/>
      <c r="M658" s="145"/>
      <c r="O658" s="145"/>
    </row>
    <row r="659" spans="4:15">
      <c r="J659" s="143"/>
      <c r="K659" s="143"/>
      <c r="L659" s="144"/>
      <c r="M659" s="145"/>
      <c r="O659" s="145"/>
    </row>
    <row r="660" spans="4:15">
      <c r="J660" s="143"/>
      <c r="K660" s="143"/>
      <c r="L660" s="144"/>
      <c r="M660" s="145"/>
      <c r="O660" s="145"/>
    </row>
    <row r="661" spans="4:15">
      <c r="J661" s="143"/>
      <c r="K661" s="143"/>
      <c r="L661" s="144"/>
      <c r="M661" s="145"/>
      <c r="O661" s="145"/>
    </row>
    <row r="662" spans="4:15">
      <c r="J662" s="143"/>
      <c r="K662" s="143"/>
      <c r="L662" s="144"/>
      <c r="M662" s="145"/>
      <c r="O662" s="145"/>
    </row>
    <row r="663" spans="4:15">
      <c r="J663" s="143"/>
      <c r="K663" s="143"/>
      <c r="L663" s="144"/>
      <c r="M663" s="145"/>
      <c r="O663" s="145"/>
    </row>
    <row r="664" spans="4:15">
      <c r="J664" s="143"/>
      <c r="K664" s="143"/>
      <c r="L664" s="144"/>
      <c r="M664" s="145"/>
      <c r="O664" s="145"/>
    </row>
    <row r="665" spans="4:15">
      <c r="J665" s="143"/>
      <c r="K665" s="143"/>
      <c r="L665" s="144"/>
      <c r="M665" s="145"/>
      <c r="O665" s="145"/>
    </row>
    <row r="666" spans="4:15">
      <c r="J666" s="143"/>
      <c r="K666" s="143"/>
      <c r="L666" s="144"/>
      <c r="M666" s="145"/>
      <c r="O666" s="145"/>
    </row>
    <row r="667" spans="4:15">
      <c r="J667" s="143"/>
      <c r="K667" s="143"/>
      <c r="L667" s="144"/>
      <c r="M667" s="145"/>
      <c r="O667" s="145"/>
    </row>
    <row r="668" spans="4:15">
      <c r="D668" s="13">
        <v>0.18</v>
      </c>
      <c r="J668" s="143"/>
      <c r="K668" s="143"/>
      <c r="L668" s="144"/>
      <c r="M668" s="145"/>
      <c r="O668" s="145"/>
    </row>
    <row r="669" spans="4:15">
      <c r="J669" s="143"/>
      <c r="K669" s="143"/>
      <c r="L669" s="144"/>
      <c r="M669" s="145"/>
      <c r="O669" s="145"/>
    </row>
    <row r="670" spans="4:15">
      <c r="J670" s="143"/>
      <c r="K670" s="143"/>
      <c r="L670" s="144"/>
      <c r="M670" s="145"/>
      <c r="O670" s="145"/>
    </row>
    <row r="671" spans="4:15">
      <c r="J671" s="143"/>
      <c r="K671" s="143"/>
      <c r="L671" s="144"/>
      <c r="M671" s="145"/>
      <c r="O671" s="145"/>
    </row>
    <row r="672" spans="4:15">
      <c r="J672" s="143"/>
      <c r="K672" s="143"/>
      <c r="L672" s="144"/>
      <c r="M672" s="145"/>
      <c r="O672" s="145"/>
    </row>
    <row r="673" spans="4:15">
      <c r="J673" s="143"/>
      <c r="K673" s="143"/>
      <c r="L673" s="144"/>
      <c r="M673" s="145"/>
      <c r="O673" s="145"/>
    </row>
    <row r="674" spans="4:15">
      <c r="J674" s="143"/>
      <c r="K674" s="143"/>
      <c r="L674" s="144"/>
      <c r="M674" s="145"/>
      <c r="O674" s="145"/>
    </row>
    <row r="675" spans="4:15">
      <c r="D675" s="13">
        <v>0.64</v>
      </c>
      <c r="J675" s="143"/>
      <c r="K675" s="143"/>
      <c r="L675" s="144"/>
      <c r="M675" s="145"/>
      <c r="O675" s="145"/>
    </row>
    <row r="676" spans="4:15">
      <c r="D676" s="13">
        <v>0.48</v>
      </c>
      <c r="J676" s="143"/>
      <c r="K676" s="143"/>
      <c r="L676" s="144"/>
      <c r="M676" s="145"/>
      <c r="O676" s="145"/>
    </row>
    <row r="677" spans="4:15">
      <c r="J677" s="143"/>
      <c r="K677" s="143"/>
      <c r="L677" s="144"/>
      <c r="M677" s="145"/>
      <c r="O677" s="145"/>
    </row>
    <row r="678" spans="4:15">
      <c r="J678" s="143"/>
      <c r="K678" s="143"/>
      <c r="L678" s="144"/>
      <c r="M678" s="145"/>
      <c r="O678" s="145"/>
    </row>
    <row r="679" spans="4:15">
      <c r="J679" s="143"/>
      <c r="K679" s="143"/>
      <c r="L679" s="144"/>
      <c r="M679" s="145"/>
      <c r="O679" s="145"/>
    </row>
    <row r="680" spans="4:15">
      <c r="J680" s="143"/>
      <c r="K680" s="143"/>
      <c r="L680" s="144"/>
      <c r="M680" s="145"/>
      <c r="O680" s="145"/>
    </row>
    <row r="681" spans="4:15">
      <c r="J681" s="143"/>
      <c r="K681" s="143"/>
      <c r="L681" s="144"/>
      <c r="M681" s="145"/>
      <c r="O681" s="145"/>
    </row>
    <row r="682" spans="4:15">
      <c r="J682" s="143"/>
      <c r="K682" s="143"/>
      <c r="L682" s="144"/>
      <c r="M682" s="145"/>
      <c r="O682" s="145"/>
    </row>
    <row r="683" spans="4:15">
      <c r="J683" s="143"/>
      <c r="K683" s="143"/>
      <c r="L683" s="144"/>
      <c r="M683" s="145"/>
      <c r="O683" s="145"/>
    </row>
    <row r="684" spans="4:15">
      <c r="J684" s="143"/>
      <c r="K684" s="143"/>
      <c r="L684" s="144"/>
      <c r="M684" s="145"/>
      <c r="O684" s="145"/>
    </row>
    <row r="685" spans="4:15">
      <c r="J685" s="143"/>
      <c r="K685" s="143"/>
      <c r="L685" s="144"/>
      <c r="M685" s="145"/>
      <c r="O685" s="145"/>
    </row>
    <row r="686" spans="4:15">
      <c r="J686" s="143"/>
      <c r="K686" s="143"/>
      <c r="L686" s="144"/>
      <c r="M686" s="145"/>
      <c r="O686" s="145"/>
    </row>
    <row r="687" spans="4:15">
      <c r="J687" s="143"/>
      <c r="K687" s="143"/>
      <c r="L687" s="144"/>
      <c r="M687" s="145"/>
      <c r="O687" s="145"/>
    </row>
    <row r="688" spans="4:15">
      <c r="J688" s="143"/>
      <c r="K688" s="143"/>
      <c r="L688" s="144"/>
      <c r="M688" s="145"/>
      <c r="O688" s="145"/>
    </row>
    <row r="689" spans="10:15">
      <c r="J689" s="143"/>
      <c r="K689" s="143"/>
      <c r="L689" s="144"/>
      <c r="M689" s="145"/>
      <c r="O689" s="145"/>
    </row>
    <row r="690" spans="10:15">
      <c r="J690" s="143"/>
      <c r="K690" s="143"/>
      <c r="L690" s="144"/>
      <c r="M690" s="145"/>
      <c r="O690" s="145"/>
    </row>
    <row r="691" spans="10:15">
      <c r="J691" s="143"/>
      <c r="K691" s="143"/>
      <c r="L691" s="144"/>
      <c r="M691" s="145"/>
      <c r="O691" s="145"/>
    </row>
    <row r="692" spans="10:15">
      <c r="J692" s="143"/>
      <c r="K692" s="143"/>
      <c r="L692" s="144"/>
      <c r="M692" s="145"/>
      <c r="O692" s="145"/>
    </row>
    <row r="693" spans="10:15">
      <c r="J693" s="143"/>
      <c r="K693" s="143"/>
      <c r="L693" s="144"/>
      <c r="M693" s="145"/>
      <c r="O693" s="145"/>
    </row>
    <row r="694" spans="10:15">
      <c r="J694" s="143"/>
      <c r="K694" s="143"/>
      <c r="L694" s="144"/>
      <c r="M694" s="145"/>
      <c r="O694" s="145"/>
    </row>
    <row r="695" spans="10:15">
      <c r="J695" s="143"/>
      <c r="K695" s="143"/>
      <c r="L695" s="144"/>
      <c r="M695" s="145"/>
      <c r="O695" s="145"/>
    </row>
    <row r="696" spans="10:15">
      <c r="J696" s="143"/>
      <c r="K696" s="143"/>
      <c r="L696" s="144"/>
      <c r="M696" s="145"/>
      <c r="O696" s="145"/>
    </row>
    <row r="697" spans="10:15">
      <c r="J697" s="143"/>
      <c r="K697" s="143"/>
      <c r="L697" s="144"/>
      <c r="M697" s="145"/>
      <c r="O697" s="145"/>
    </row>
    <row r="698" spans="10:15">
      <c r="J698" s="143"/>
      <c r="K698" s="143"/>
      <c r="L698" s="144"/>
      <c r="M698" s="145"/>
      <c r="O698" s="145"/>
    </row>
    <row r="699" spans="10:15">
      <c r="J699" s="143"/>
      <c r="K699" s="143"/>
      <c r="L699" s="144"/>
      <c r="M699" s="145"/>
      <c r="O699" s="145"/>
    </row>
    <row r="700" spans="10:15">
      <c r="J700" s="143"/>
      <c r="K700" s="143"/>
      <c r="L700" s="144"/>
      <c r="M700" s="145"/>
      <c r="O700" s="145"/>
    </row>
    <row r="701" spans="10:15">
      <c r="J701" s="143"/>
      <c r="K701" s="143"/>
      <c r="L701" s="144"/>
      <c r="M701" s="145"/>
      <c r="O701" s="145"/>
    </row>
    <row r="702" spans="10:15">
      <c r="J702" s="143"/>
      <c r="K702" s="143"/>
      <c r="L702" s="144"/>
      <c r="M702" s="145"/>
      <c r="O702" s="145"/>
    </row>
    <row r="703" spans="10:15">
      <c r="J703" s="143"/>
      <c r="K703" s="143"/>
      <c r="L703" s="144"/>
      <c r="M703" s="145"/>
      <c r="O703" s="145"/>
    </row>
    <row r="704" spans="10:15">
      <c r="J704" s="143"/>
      <c r="K704" s="143"/>
      <c r="L704" s="144"/>
      <c r="M704" s="145"/>
      <c r="O704" s="145"/>
    </row>
    <row r="705" spans="10:15">
      <c r="J705" s="143"/>
      <c r="K705" s="143"/>
      <c r="L705" s="144"/>
      <c r="M705" s="145"/>
      <c r="O705" s="145"/>
    </row>
    <row r="706" spans="10:15">
      <c r="J706" s="143"/>
      <c r="K706" s="143"/>
      <c r="L706" s="144"/>
      <c r="M706" s="145"/>
      <c r="O706" s="145"/>
    </row>
    <row r="707" spans="10:15">
      <c r="J707" s="143"/>
      <c r="K707" s="143"/>
      <c r="L707" s="144"/>
      <c r="M707" s="145"/>
      <c r="O707" s="145"/>
    </row>
    <row r="708" spans="10:15">
      <c r="J708" s="143"/>
      <c r="K708" s="143"/>
      <c r="L708" s="144"/>
      <c r="M708" s="145"/>
      <c r="O708" s="145"/>
    </row>
    <row r="709" spans="10:15">
      <c r="J709" s="143"/>
      <c r="K709" s="143"/>
      <c r="L709" s="144"/>
      <c r="M709" s="145"/>
      <c r="O709" s="145"/>
    </row>
    <row r="710" spans="10:15">
      <c r="J710" s="143"/>
      <c r="K710" s="143"/>
      <c r="L710" s="144"/>
      <c r="M710" s="145"/>
      <c r="O710" s="145"/>
    </row>
    <row r="711" spans="10:15">
      <c r="J711" s="143"/>
      <c r="K711" s="143"/>
      <c r="L711" s="144"/>
      <c r="M711" s="145"/>
      <c r="O711" s="145"/>
    </row>
    <row r="712" spans="10:15">
      <c r="J712" s="143"/>
      <c r="K712" s="143"/>
      <c r="L712" s="144"/>
      <c r="M712" s="145"/>
      <c r="O712" s="145"/>
    </row>
    <row r="713" spans="10:15">
      <c r="J713" s="143"/>
      <c r="K713" s="143"/>
      <c r="L713" s="144"/>
      <c r="M713" s="145"/>
      <c r="O713" s="145"/>
    </row>
    <row r="714" spans="10:15">
      <c r="J714" s="143"/>
      <c r="K714" s="143"/>
      <c r="L714" s="144"/>
      <c r="M714" s="145"/>
      <c r="O714" s="145"/>
    </row>
    <row r="715" spans="10:15">
      <c r="J715" s="143"/>
      <c r="K715" s="143"/>
      <c r="L715" s="144"/>
      <c r="M715" s="145"/>
      <c r="O715" s="145"/>
    </row>
    <row r="716" spans="10:15">
      <c r="J716" s="143"/>
      <c r="K716" s="143"/>
      <c r="L716" s="144"/>
      <c r="M716" s="145"/>
      <c r="O716" s="145"/>
    </row>
    <row r="717" spans="10:15">
      <c r="J717" s="143"/>
      <c r="K717" s="143"/>
      <c r="L717" s="144"/>
      <c r="M717" s="145"/>
      <c r="O717" s="145"/>
    </row>
    <row r="718" spans="10:15">
      <c r="J718" s="143"/>
      <c r="K718" s="143"/>
      <c r="L718" s="144"/>
      <c r="M718" s="145"/>
      <c r="O718" s="145"/>
    </row>
    <row r="719" spans="10:15">
      <c r="J719" s="143"/>
      <c r="K719" s="143"/>
      <c r="L719" s="144"/>
      <c r="M719" s="145"/>
      <c r="O719" s="145"/>
    </row>
    <row r="720" spans="10:15">
      <c r="J720" s="143"/>
      <c r="K720" s="143"/>
      <c r="L720" s="144"/>
      <c r="M720" s="145"/>
      <c r="O720" s="145"/>
    </row>
    <row r="721" spans="10:15">
      <c r="J721" s="143"/>
      <c r="K721" s="143"/>
      <c r="L721" s="144"/>
      <c r="M721" s="145"/>
      <c r="O721" s="145"/>
    </row>
    <row r="722" spans="10:15">
      <c r="J722" s="143"/>
      <c r="K722" s="143"/>
      <c r="L722" s="144"/>
      <c r="M722" s="145"/>
      <c r="O722" s="145"/>
    </row>
    <row r="723" spans="10:15">
      <c r="J723" s="143"/>
      <c r="K723" s="143"/>
      <c r="L723" s="144"/>
      <c r="M723" s="145"/>
      <c r="O723" s="145"/>
    </row>
    <row r="724" spans="10:15">
      <c r="J724" s="143"/>
      <c r="K724" s="143"/>
      <c r="L724" s="144"/>
      <c r="M724" s="145"/>
      <c r="O724" s="145"/>
    </row>
    <row r="725" spans="10:15">
      <c r="J725" s="143"/>
      <c r="K725" s="143"/>
      <c r="L725" s="144"/>
      <c r="M725" s="145"/>
      <c r="O725" s="145"/>
    </row>
    <row r="726" spans="10:15">
      <c r="J726" s="143"/>
      <c r="K726" s="143"/>
      <c r="L726" s="144"/>
      <c r="M726" s="145"/>
      <c r="O726" s="145"/>
    </row>
    <row r="727" spans="10:15">
      <c r="J727" s="143"/>
      <c r="K727" s="143"/>
      <c r="L727" s="144"/>
      <c r="M727" s="145"/>
      <c r="O727" s="145"/>
    </row>
  </sheetData>
  <sheetProtection algorithmName="SHA-512" hashValue="q6TaS70bEEp7a5It0PuWEoSedhB/3vHHnh5U6KiCJx6HMsgtXR/hA+jtzh0lkL3+4k9EU1n7zQB6hxzLUSZmmg==" saltValue="9xrR9D8N+4wqk+0Z6aSFUQ==" spinCount="100000" sheet="1" formatCells="0" formatColumns="0" formatRows="0" insertColumns="0" insertRows="0" insertHyperlinks="0" deleteColumns="0" deleteRows="0" sort="0" autoFilter="0" pivotTables="0"/>
  <autoFilter ref="A2:G647" xr:uid="{00000000-0001-0000-0000-000000000000}"/>
  <mergeCells count="2">
    <mergeCell ref="A1:G1"/>
    <mergeCell ref="K1:K2"/>
  </mergeCells>
  <conditionalFormatting sqref="O1">
    <cfRule type="expression" dxfId="0" priority="1">
      <formula>"&gt;0"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(Bluebonnet)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2025-11-28T15:11:17Z</dcterms:modified>
</cp:coreProperties>
</file>