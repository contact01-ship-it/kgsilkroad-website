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8_{918EE367-316F-482E-8761-F4CA536D30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Womensense)" sheetId="1" r:id="rId1"/>
  </sheets>
  <definedNames>
    <definedName name="_xlnm._FilterDatabase" localSheetId="0" hidden="1">'DSN GROUP (Womensense)'!$A$2:$I$2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N3" i="1"/>
  <c r="O3" i="1" s="1"/>
  <c r="L4" i="1" l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M3" i="1"/>
  <c r="I3" i="1"/>
  <c r="Q3" i="1" s="1"/>
  <c r="O2" i="1" l="1"/>
  <c r="N2" i="1"/>
  <c r="I5" i="1"/>
  <c r="Q5" i="1" s="1"/>
  <c r="I30" i="1"/>
  <c r="Q30" i="1" s="1"/>
  <c r="I29" i="1"/>
  <c r="Q29" i="1" s="1"/>
  <c r="I27" i="1"/>
  <c r="Q27" i="1" s="1"/>
  <c r="I17" i="1"/>
  <c r="Q17" i="1" s="1"/>
  <c r="I15" i="1"/>
  <c r="Q15" i="1" s="1"/>
  <c r="I28" i="1"/>
  <c r="Q28" i="1" s="1"/>
  <c r="I14" i="1"/>
  <c r="Q14" i="1" s="1"/>
  <c r="I26" i="1"/>
  <c r="Q26" i="1" s="1"/>
  <c r="I13" i="1"/>
  <c r="Q13" i="1" s="1"/>
  <c r="I25" i="1"/>
  <c r="Q25" i="1" s="1"/>
  <c r="I12" i="1"/>
  <c r="Q12" i="1" s="1"/>
  <c r="I24" i="1"/>
  <c r="Q24" i="1" s="1"/>
  <c r="I11" i="1"/>
  <c r="Q11" i="1" s="1"/>
  <c r="I23" i="1"/>
  <c r="Q23" i="1" s="1"/>
  <c r="I10" i="1"/>
  <c r="Q10" i="1" s="1"/>
  <c r="I22" i="1"/>
  <c r="Q22" i="1" s="1"/>
  <c r="I9" i="1"/>
  <c r="Q9" i="1" s="1"/>
  <c r="I21" i="1"/>
  <c r="Q21" i="1" s="1"/>
  <c r="I8" i="1"/>
  <c r="Q8" i="1" s="1"/>
  <c r="I20" i="1"/>
  <c r="Q20" i="1" s="1"/>
  <c r="I7" i="1"/>
  <c r="Q7" i="1" s="1"/>
  <c r="I19" i="1"/>
  <c r="Q19" i="1" s="1"/>
  <c r="I6" i="1"/>
  <c r="Q6" i="1" s="1"/>
  <c r="I34" i="1"/>
  <c r="Q34" i="1" s="1"/>
  <c r="I18" i="1"/>
  <c r="Q18" i="1" s="1"/>
  <c r="I33" i="1"/>
  <c r="Q33" i="1" s="1"/>
  <c r="I4" i="1"/>
  <c r="Q4" i="1" s="1"/>
  <c r="I32" i="1"/>
  <c r="Q32" i="1" s="1"/>
  <c r="I31" i="1"/>
  <c r="Q31" i="1" s="1"/>
  <c r="I16" i="1"/>
  <c r="Q16" i="1" s="1"/>
  <c r="J2" i="1" l="1"/>
  <c r="Q1" i="1" s="1"/>
</calcChain>
</file>

<file path=xl/sharedStrings.xml><?xml version="1.0" encoding="utf-8"?>
<sst xmlns="http://schemas.openxmlformats.org/spreadsheetml/2006/main" count="114" uniqueCount="87">
  <si>
    <r>
      <rPr>
        <b/>
        <sz val="9.5"/>
        <rFont val="Times New Roman"/>
        <family val="1"/>
      </rPr>
      <t>CODE</t>
    </r>
  </si>
  <si>
    <r>
      <rPr>
        <b/>
        <sz val="9.5"/>
        <rFont val="Times New Roman"/>
        <family val="1"/>
      </rPr>
      <t>DESCRIPTION</t>
    </r>
  </si>
  <si>
    <r>
      <rPr>
        <b/>
        <sz val="9.5"/>
        <rFont val="Times New Roman"/>
        <family val="1"/>
      </rPr>
      <t>Size</t>
    </r>
  </si>
  <si>
    <r>
      <rPr>
        <b/>
        <sz val="9.5"/>
        <rFont val="Times New Roman"/>
        <family val="1"/>
      </rPr>
      <t>Format</t>
    </r>
  </si>
  <si>
    <r>
      <rPr>
        <sz val="7.5"/>
        <rFont val="Arial MT"/>
        <family val="2"/>
      </rPr>
      <t>PN0075</t>
    </r>
  </si>
  <si>
    <r>
      <rPr>
        <sz val="7.5"/>
        <rFont val="Arial MT"/>
        <family val="2"/>
      </rPr>
      <t>WS MenoSense VCAP 90</t>
    </r>
  </si>
  <si>
    <r>
      <rPr>
        <sz val="7"/>
        <rFont val="Arial MT"/>
        <family val="2"/>
      </rPr>
      <t>CAPS</t>
    </r>
  </si>
  <si>
    <r>
      <rPr>
        <sz val="7.5"/>
        <rFont val="Arial MT"/>
        <family val="2"/>
      </rPr>
      <t>PN0080</t>
    </r>
  </si>
  <si>
    <r>
      <rPr>
        <sz val="7.5"/>
        <rFont val="Arial MT"/>
        <family val="2"/>
      </rPr>
      <t>WS MenoSense VCAP 180</t>
    </r>
  </si>
  <si>
    <r>
      <rPr>
        <sz val="7.5"/>
        <rFont val="Arial MT"/>
        <family val="2"/>
      </rPr>
      <t>PN0081</t>
    </r>
  </si>
  <si>
    <r>
      <rPr>
        <sz val="7.5"/>
        <rFont val="Arial MT"/>
        <family val="2"/>
      </rPr>
      <t>WS MenoSense VCAP 210</t>
    </r>
  </si>
  <si>
    <r>
      <rPr>
        <sz val="7.5"/>
        <rFont val="Arial MT"/>
        <family val="2"/>
      </rPr>
      <t>PN0103</t>
    </r>
  </si>
  <si>
    <r>
      <rPr>
        <sz val="7.5"/>
        <rFont val="Arial MT"/>
        <family val="2"/>
      </rPr>
      <t>Black Cohosh 40mg VCAP 90</t>
    </r>
  </si>
  <si>
    <r>
      <rPr>
        <sz val="7.5"/>
        <rFont val="Arial MT"/>
        <family val="2"/>
      </rPr>
      <t>PN0118</t>
    </r>
  </si>
  <si>
    <r>
      <rPr>
        <sz val="7.5"/>
        <rFont val="Arial MT"/>
        <family val="2"/>
      </rPr>
      <t>WS AdrenaSense VCAP 210</t>
    </r>
  </si>
  <si>
    <r>
      <rPr>
        <sz val="7.5"/>
        <rFont val="Arial MT"/>
        <family val="2"/>
      </rPr>
      <t>PN0125</t>
    </r>
  </si>
  <si>
    <r>
      <rPr>
        <sz val="7.5"/>
        <rFont val="Arial MT"/>
        <family val="2"/>
      </rPr>
      <t>WS AdrenaSense VCAP 90</t>
    </r>
  </si>
  <si>
    <r>
      <rPr>
        <sz val="7.5"/>
        <rFont val="Arial MT"/>
        <family val="2"/>
      </rPr>
      <t>PN0130</t>
    </r>
  </si>
  <si>
    <r>
      <rPr>
        <sz val="7.5"/>
        <rFont val="Arial MT"/>
        <family val="2"/>
      </rPr>
      <t>WS AdrenaSense VCAP 180</t>
    </r>
  </si>
  <si>
    <r>
      <rPr>
        <sz val="7.5"/>
        <rFont val="Arial MT"/>
        <family val="2"/>
      </rPr>
      <t>PN0136</t>
    </r>
  </si>
  <si>
    <r>
      <rPr>
        <sz val="7.5"/>
        <rFont val="Arial MT"/>
        <family val="2"/>
      </rPr>
      <t>WS Vitex VCAP 90</t>
    </r>
  </si>
  <si>
    <r>
      <rPr>
        <sz val="7.5"/>
        <rFont val="Arial MT"/>
        <family val="2"/>
      </rPr>
      <t>PN0176</t>
    </r>
  </si>
  <si>
    <r>
      <rPr>
        <sz val="7.5"/>
        <rFont val="Arial MT"/>
        <family val="2"/>
      </rPr>
      <t>WS BladderSense VCAP 90</t>
    </r>
  </si>
  <si>
    <r>
      <rPr>
        <sz val="7"/>
        <rFont val="Arial MT"/>
        <family val="2"/>
      </rPr>
      <t>50 ml</t>
    </r>
  </si>
  <si>
    <r>
      <rPr>
        <sz val="7"/>
        <rFont val="Arial MT"/>
        <family val="2"/>
      </rPr>
      <t>Cream</t>
    </r>
  </si>
  <si>
    <r>
      <rPr>
        <sz val="7.5"/>
        <rFont val="Arial MT"/>
        <family val="2"/>
      </rPr>
      <t>PN0178</t>
    </r>
  </si>
  <si>
    <r>
      <rPr>
        <sz val="7.5"/>
        <rFont val="Arial MT"/>
        <family val="2"/>
      </rPr>
      <t>WS MagSense 400g</t>
    </r>
  </si>
  <si>
    <r>
      <rPr>
        <sz val="7"/>
        <rFont val="Arial MT"/>
        <family val="2"/>
      </rPr>
      <t>400 g</t>
    </r>
  </si>
  <si>
    <r>
      <rPr>
        <sz val="7"/>
        <rFont val="Arial MT"/>
        <family val="2"/>
      </rPr>
      <t>PWD</t>
    </r>
  </si>
  <si>
    <r>
      <rPr>
        <sz val="7.5"/>
        <rFont val="Arial MT"/>
        <family val="2"/>
      </rPr>
      <t>PN0185</t>
    </r>
  </si>
  <si>
    <r>
      <rPr>
        <sz val="7.5"/>
        <rFont val="Arial MT"/>
        <family val="2"/>
      </rPr>
      <t>WS VeinSense VCAP 90</t>
    </r>
  </si>
  <si>
    <r>
      <rPr>
        <sz val="7.5"/>
        <rFont val="Arial MT"/>
        <family val="2"/>
      </rPr>
      <t>PN0193</t>
    </r>
  </si>
  <si>
    <r>
      <rPr>
        <sz val="7.5"/>
        <rFont val="Arial MT"/>
        <family val="2"/>
      </rPr>
      <t>WS MagSense 200g</t>
    </r>
  </si>
  <si>
    <r>
      <rPr>
        <sz val="7"/>
        <rFont val="Arial MT"/>
        <family val="2"/>
      </rPr>
      <t>200 g</t>
    </r>
  </si>
  <si>
    <r>
      <rPr>
        <sz val="7"/>
        <rFont val="Arial MT"/>
        <family val="2"/>
      </rPr>
      <t>vcaps</t>
    </r>
  </si>
  <si>
    <r>
      <rPr>
        <sz val="7.5"/>
        <rFont val="Arial MT"/>
        <family val="2"/>
      </rPr>
      <t>PN0215</t>
    </r>
  </si>
  <si>
    <r>
      <rPr>
        <sz val="7.5"/>
        <rFont val="Arial MT"/>
        <family val="2"/>
      </rPr>
      <t>WS FibreSense Org 150g</t>
    </r>
  </si>
  <si>
    <r>
      <rPr>
        <sz val="7.5"/>
        <rFont val="Arial MT"/>
        <family val="2"/>
      </rPr>
      <t>PN0216</t>
    </r>
  </si>
  <si>
    <r>
      <rPr>
        <sz val="7.5"/>
        <rFont val="Arial MT"/>
        <family val="2"/>
      </rPr>
      <t>WS PCOSense 129g</t>
    </r>
  </si>
  <si>
    <r>
      <rPr>
        <sz val="7.5"/>
        <rFont val="Arial MT"/>
        <family val="2"/>
      </rPr>
      <t>PN0238</t>
    </r>
  </si>
  <si>
    <r>
      <rPr>
        <sz val="7.5"/>
        <rFont val="Arial MT"/>
        <family val="2"/>
      </rPr>
      <t>WS PCOSense 387g</t>
    </r>
  </si>
  <si>
    <r>
      <rPr>
        <sz val="7"/>
        <rFont val="Arial MT"/>
        <family val="2"/>
      </rPr>
      <t>TABS</t>
    </r>
  </si>
  <si>
    <r>
      <rPr>
        <sz val="7.5"/>
        <rFont val="Arial MT"/>
        <family val="2"/>
      </rPr>
      <t>PN0220</t>
    </r>
  </si>
  <si>
    <r>
      <rPr>
        <sz val="7.5"/>
        <rFont val="Arial MT"/>
        <family val="2"/>
      </rPr>
      <t>WS HappySens 100mg TR Cplt 60</t>
    </r>
  </si>
  <si>
    <r>
      <rPr>
        <sz val="7.5"/>
        <rFont val="Arial MT"/>
        <family val="2"/>
      </rPr>
      <t>PN0221</t>
    </r>
  </si>
  <si>
    <r>
      <rPr>
        <sz val="7.5"/>
        <rFont val="Arial MT"/>
        <family val="2"/>
      </rPr>
      <t>WS HappySens 100mg TR Cplt 120</t>
    </r>
  </si>
  <si>
    <r>
      <rPr>
        <sz val="7.5"/>
        <rFont val="Arial MT"/>
        <family val="2"/>
      </rPr>
      <t>PN0281</t>
    </r>
  </si>
  <si>
    <r>
      <rPr>
        <sz val="7.5"/>
        <rFont val="Arial MT"/>
        <family val="2"/>
      </rPr>
      <t>WS Cranbrry D-mannose VCAP 60</t>
    </r>
  </si>
  <si>
    <r>
      <rPr>
        <sz val="7.5"/>
        <rFont val="Arial MT"/>
        <family val="2"/>
      </rPr>
      <t>PN0282</t>
    </r>
  </si>
  <si>
    <r>
      <rPr>
        <sz val="7.5"/>
        <rFont val="Arial MT"/>
        <family val="2"/>
      </rPr>
      <t>WS D-mannose VCAP 120</t>
    </r>
  </si>
  <si>
    <r>
      <rPr>
        <sz val="7.5"/>
        <rFont val="Arial MT"/>
        <family val="2"/>
      </rPr>
      <t>PN0283</t>
    </r>
  </si>
  <si>
    <r>
      <rPr>
        <sz val="7.5"/>
        <rFont val="Arial MT"/>
        <family val="2"/>
      </rPr>
      <t>WS D-Mannose 2000mg PWD 60g</t>
    </r>
  </si>
  <si>
    <r>
      <rPr>
        <sz val="7.5"/>
        <rFont val="Arial MT"/>
        <family val="2"/>
      </rPr>
      <t>PN0285</t>
    </r>
  </si>
  <si>
    <r>
      <rPr>
        <sz val="7.5"/>
        <rFont val="Arial MT"/>
        <family val="2"/>
      </rPr>
      <t>PN0507</t>
    </r>
  </si>
  <si>
    <r>
      <rPr>
        <sz val="7.5"/>
        <rFont val="Arial MT"/>
        <family val="2"/>
      </rPr>
      <t>WS Sage Leaf VCAP 60</t>
    </r>
  </si>
  <si>
    <r>
      <rPr>
        <sz val="7.5"/>
        <rFont val="Arial MT"/>
        <family val="2"/>
      </rPr>
      <t>PN0508</t>
    </r>
  </si>
  <si>
    <r>
      <rPr>
        <sz val="7.5"/>
        <rFont val="Arial MT"/>
        <family val="2"/>
      </rPr>
      <t>WS Sage Leaf VCAP 120</t>
    </r>
  </si>
  <si>
    <r>
      <rPr>
        <sz val="7.5"/>
        <rFont val="Arial MT"/>
        <family val="2"/>
      </rPr>
      <t>PN0517</t>
    </r>
  </si>
  <si>
    <r>
      <rPr>
        <sz val="7.5"/>
        <rFont val="Arial MT"/>
        <family val="2"/>
      </rPr>
      <t>WS Rhodiola VCAP 60</t>
    </r>
  </si>
  <si>
    <r>
      <rPr>
        <sz val="7.5"/>
        <rFont val="Arial MT"/>
        <family val="2"/>
      </rPr>
      <t>PN0524</t>
    </r>
  </si>
  <si>
    <r>
      <rPr>
        <sz val="7.5"/>
        <rFont val="Arial MT"/>
        <family val="2"/>
      </rPr>
      <t>WS MagSense Brry 200g</t>
    </r>
  </si>
  <si>
    <r>
      <rPr>
        <sz val="7.5"/>
        <rFont val="Arial MT"/>
        <family val="2"/>
      </rPr>
      <t>PN0532</t>
    </r>
  </si>
  <si>
    <r>
      <rPr>
        <sz val="7.5"/>
        <rFont val="Arial MT"/>
        <family val="2"/>
      </rPr>
      <t>WS EstroSense VCAP 60</t>
    </r>
  </si>
  <si>
    <r>
      <rPr>
        <sz val="7.5"/>
        <rFont val="Arial MT"/>
        <family val="2"/>
      </rPr>
      <t>PN0533</t>
    </r>
  </si>
  <si>
    <r>
      <rPr>
        <sz val="7.5"/>
        <rFont val="Arial MT"/>
        <family val="2"/>
      </rPr>
      <t>WS EstroSense VCAP 120</t>
    </r>
  </si>
  <si>
    <r>
      <rPr>
        <sz val="7.5"/>
        <rFont val="Arial MT"/>
        <family val="2"/>
      </rPr>
      <t>PN0534</t>
    </r>
  </si>
  <si>
    <r>
      <rPr>
        <sz val="7.5"/>
        <rFont val="Arial MT"/>
        <family val="2"/>
      </rPr>
      <t>WS EstroSense VCAP 150</t>
    </r>
  </si>
  <si>
    <r>
      <rPr>
        <sz val="7.5"/>
        <rFont val="Arial MT"/>
        <family val="2"/>
      </rPr>
      <t>PN0538</t>
    </r>
  </si>
  <si>
    <r>
      <rPr>
        <sz val="7.5"/>
        <rFont val="Arial MT"/>
        <family val="2"/>
      </rPr>
      <t>WS MagSense Brry 400g</t>
    </r>
  </si>
  <si>
    <r>
      <rPr>
        <sz val="7.5"/>
        <rFont val="Arial MT"/>
        <family val="2"/>
      </rPr>
      <t>PN0556</t>
    </r>
  </si>
  <si>
    <r>
      <rPr>
        <sz val="7.5"/>
        <rFont val="Arial MT"/>
        <family val="2"/>
      </rPr>
      <t>WS Thyrosense VCAP 90</t>
    </r>
  </si>
  <si>
    <r>
      <rPr>
        <sz val="7.5"/>
        <rFont val="Arial MT"/>
        <family val="2"/>
      </rPr>
      <t>PN0557</t>
    </r>
  </si>
  <si>
    <r>
      <rPr>
        <sz val="7.5"/>
        <rFont val="Arial MT"/>
        <family val="2"/>
      </rPr>
      <t>WS Thyrosense VCAP 180</t>
    </r>
  </si>
  <si>
    <r>
      <rPr>
        <sz val="7.5"/>
        <rFont val="Arial MT"/>
        <family val="2"/>
      </rPr>
      <t>PN0558</t>
    </r>
  </si>
  <si>
    <r>
      <rPr>
        <sz val="7.5"/>
        <rFont val="Arial MT"/>
        <family val="2"/>
      </rPr>
      <t>WS ThyroSense VCAP 210</t>
    </r>
  </si>
  <si>
    <t>Price</t>
  </si>
  <si>
    <t>Order</t>
  </si>
  <si>
    <t>Total</t>
  </si>
  <si>
    <t>Importantly!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</si>
  <si>
    <t>WS DMannose500&amp;CranberryVCAP60</t>
  </si>
  <si>
    <t>Unіt Freight Cost</t>
  </si>
  <si>
    <t>unit, key</t>
  </si>
  <si>
    <t>Weight, kg</t>
  </si>
  <si>
    <t>Logistic Price</t>
  </si>
  <si>
    <t>Landed Cost</t>
  </si>
  <si>
    <t>Weight (kg)</t>
  </si>
  <si>
    <t>Case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</si>
</sst>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\ 0.00;[Red]\$\ 0.00"/>
    <numFmt numFmtId="165" formatCode="_-[$$-2809]* #,##0.00_-;\-[$$-2809]* #,##0.00_-;_-[$$-2809]* &quot;-&quot;??_-;_-@_-"/>
    <numFmt numFmtId="166" formatCode="_-[$$-409]* #,##0.00_ ;_-[$$-409]* \-#,##0.00\ ;_-[$$-409]* &quot;-&quot;??_ ;_-@_ "/>
    <numFmt numFmtId="167" formatCode="[$$-409]#,##0.00"/>
  </numFmts>
  <fonts count="16">
    <font>
      <sz val="10"/>
      <color rgb="FF000000"/>
      <name val="Times New Roman"/>
      <charset val="204"/>
    </font>
    <font>
      <b/>
      <sz val="9.5"/>
      <name val="Times New Roman"/>
      <family val="1"/>
    </font>
    <font>
      <sz val="7.5"/>
      <name val="Arial MT"/>
      <family val="2"/>
    </font>
    <font>
      <sz val="7"/>
      <name val="Arial MT"/>
      <family val="2"/>
    </font>
    <font>
      <b/>
      <sz val="9.5"/>
      <name val="Times New Roman"/>
      <family val="1"/>
      <charset val="204"/>
    </font>
    <font>
      <sz val="7.5"/>
      <name val="Arial MT"/>
      <charset val="204"/>
    </font>
    <font>
      <sz val="7"/>
      <name val="Arial MT"/>
      <family val="2"/>
      <charset val="204"/>
    </font>
    <font>
      <sz val="7"/>
      <name val="Arial MT"/>
      <charset val="204"/>
    </font>
    <font>
      <sz val="7.5"/>
      <name val="Arial MT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wrapText="1" shrinkToFit="1"/>
    </xf>
    <xf numFmtId="0" fontId="7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 shrinkToFit="1"/>
    </xf>
    <xf numFmtId="14" fontId="9" fillId="0" borderId="0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5" fontId="4" fillId="2" borderId="4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1" fontId="6" fillId="0" borderId="6" xfId="0" applyNumberFormat="1" applyFont="1" applyBorder="1" applyAlignment="1">
      <alignment horizontal="center" vertical="top" wrapText="1" shrinkToFit="1"/>
    </xf>
    <xf numFmtId="0" fontId="7" fillId="0" borderId="6" xfId="0" applyFont="1" applyBorder="1" applyAlignment="1">
      <alignment horizontal="center" vertical="top" wrapText="1"/>
    </xf>
    <xf numFmtId="164" fontId="8" fillId="0" borderId="6" xfId="0" applyNumberFormat="1" applyFont="1" applyBorder="1" applyAlignment="1">
      <alignment horizontal="center" vertical="top" wrapText="1" shrinkToFit="1"/>
    </xf>
    <xf numFmtId="164" fontId="8" fillId="0" borderId="7" xfId="0" applyNumberFormat="1" applyFont="1" applyBorder="1" applyAlignment="1">
      <alignment horizontal="center" vertical="top" wrapText="1" shrinkToFit="1"/>
    </xf>
    <xf numFmtId="0" fontId="5" fillId="0" borderId="8" xfId="0" applyFont="1" applyBorder="1" applyAlignment="1">
      <alignment horizontal="center" vertical="top" wrapText="1"/>
    </xf>
    <xf numFmtId="164" fontId="8" fillId="0" borderId="9" xfId="0" applyNumberFormat="1" applyFont="1" applyBorder="1" applyAlignment="1">
      <alignment horizontal="center" vertical="top" wrapText="1" shrinkToFi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1" fontId="6" fillId="0" borderId="11" xfId="0" applyNumberFormat="1" applyFont="1" applyBorder="1" applyAlignment="1">
      <alignment horizontal="center" vertical="top" wrapText="1" shrinkToFit="1"/>
    </xf>
    <xf numFmtId="0" fontId="7" fillId="0" borderId="11" xfId="0" applyFont="1" applyBorder="1" applyAlignment="1">
      <alignment horizontal="center" vertical="top" wrapText="1"/>
    </xf>
    <xf numFmtId="164" fontId="8" fillId="0" borderId="11" xfId="0" applyNumberFormat="1" applyFont="1" applyBorder="1" applyAlignment="1">
      <alignment horizontal="center" vertical="top" wrapText="1" shrinkToFit="1"/>
    </xf>
    <xf numFmtId="164" fontId="8" fillId="0" borderId="12" xfId="0" applyNumberFormat="1" applyFont="1" applyBorder="1" applyAlignment="1">
      <alignment horizontal="center" vertical="top" wrapText="1" shrinkToFit="1"/>
    </xf>
    <xf numFmtId="0" fontId="2" fillId="0" borderId="1" xfId="0" applyFont="1" applyBorder="1" applyAlignment="1">
      <alignment horizontal="left" vertical="top" wrapText="1"/>
    </xf>
    <xf numFmtId="0" fontId="11" fillId="0" borderId="6" xfId="0" applyFont="1" applyBorder="1" applyAlignment="1" applyProtection="1">
      <alignment horizontal="center" vertical="top" wrapText="1"/>
      <protection locked="0"/>
    </xf>
    <xf numFmtId="0" fontId="11" fillId="0" borderId="1" xfId="0" applyFont="1" applyBorder="1" applyAlignment="1" applyProtection="1">
      <alignment horizontal="center" vertical="top" wrapText="1"/>
      <protection locked="0"/>
    </xf>
    <xf numFmtId="0" fontId="11" fillId="0" borderId="11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10" fillId="0" borderId="0" xfId="0" applyFont="1" applyAlignment="1">
      <alignment horizontal="left" vertical="top" wrapText="1"/>
    </xf>
    <xf numFmtId="14" fontId="12" fillId="3" borderId="13" xfId="0" applyNumberFormat="1" applyFont="1" applyFill="1" applyBorder="1" applyAlignment="1">
      <alignment horizontal="center" vertical="center" wrapText="1"/>
    </xf>
    <xf numFmtId="14" fontId="12" fillId="3" borderId="14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166" fontId="13" fillId="3" borderId="13" xfId="0" applyNumberFormat="1" applyFont="1" applyFill="1" applyBorder="1" applyAlignment="1" applyProtection="1">
      <alignment horizontal="center" vertical="center" wrapText="1" readingOrder="1"/>
      <protection hidden="1"/>
    </xf>
    <xf numFmtId="0" fontId="14" fillId="0" borderId="0" xfId="0" applyFont="1"/>
    <xf numFmtId="167" fontId="12" fillId="3" borderId="13" xfId="0" applyNumberFormat="1" applyFont="1" applyFill="1" applyBorder="1" applyAlignment="1">
      <alignment horizontal="center" vertical="center"/>
    </xf>
    <xf numFmtId="0" fontId="15" fillId="4" borderId="13" xfId="0" applyFont="1" applyFill="1" applyBorder="1" applyAlignment="1" applyProtection="1">
      <alignment horizontal="center" vertical="center" wrapText="1" readingOrder="1"/>
      <protection locked="0"/>
    </xf>
    <xf numFmtId="14" fontId="12" fillId="3" borderId="15" xfId="0" applyNumberFormat="1" applyFont="1" applyFill="1" applyBorder="1" applyAlignment="1">
      <alignment horizontal="center" vertical="center" wrapText="1"/>
    </xf>
    <xf numFmtId="4" fontId="12" fillId="4" borderId="15" xfId="0" applyNumberFormat="1" applyFont="1" applyFill="1" applyBorder="1" applyAlignment="1">
      <alignment horizontal="center" vertical="center"/>
    </xf>
    <xf numFmtId="166" fontId="13" fillId="0" borderId="0" xfId="0" applyNumberFormat="1" applyFont="1" applyAlignment="1" applyProtection="1">
      <alignment vertical="center" wrapText="1" readingOrder="1"/>
      <protection hidden="1"/>
    </xf>
    <xf numFmtId="0" fontId="12" fillId="5" borderId="13" xfId="0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2" fontId="7" fillId="0" borderId="6" xfId="0" applyNumberFormat="1" applyFont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center" vertical="top" wrapText="1"/>
    </xf>
    <xf numFmtId="2" fontId="7" fillId="0" borderId="11" xfId="0" applyNumberFormat="1" applyFont="1" applyBorder="1" applyAlignment="1">
      <alignment horizontal="center" vertical="top" wrapText="1"/>
    </xf>
    <xf numFmtId="1" fontId="7" fillId="0" borderId="6" xfId="0" applyNumberFormat="1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wrapText="1"/>
    </xf>
    <xf numFmtId="1" fontId="7" fillId="0" borderId="11" xfId="0" applyNumberFormat="1" applyFont="1" applyBorder="1" applyAlignment="1">
      <alignment horizontal="center" vertical="top" wrapText="1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528244</xdr:colOff>
      <xdr:row>34</xdr:row>
      <xdr:rowOff>0</xdr:rowOff>
    </xdr:from>
    <xdr:ext cx="6585584" cy="889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85584" cy="8890"/>
        </a:xfrm>
        <a:custGeom>
          <a:avLst/>
          <a:gdLst/>
          <a:ahLst/>
          <a:cxnLst/>
          <a:rect l="0" t="0" r="0" b="0"/>
          <a:pathLst>
            <a:path w="6585584" h="8890">
              <a:moveTo>
                <a:pt x="6585261" y="8314"/>
              </a:moveTo>
              <a:lnTo>
                <a:pt x="0" y="8314"/>
              </a:lnTo>
              <a:lnTo>
                <a:pt x="0" y="0"/>
              </a:lnTo>
              <a:lnTo>
                <a:pt x="6585261" y="0"/>
              </a:lnTo>
              <a:lnTo>
                <a:pt x="6585261" y="8314"/>
              </a:lnTo>
              <a:close/>
            </a:path>
          </a:pathLst>
        </a:custGeom>
        <a:solidFill>
          <a:srgbClr val="E1E1E1"/>
        </a:solidFill>
      </xdr:spPr>
    </xdr:sp>
    <xdr:clientData/>
  </xdr:oneCellAnchor>
  <xdr:twoCellAnchor editAs="oneCell">
    <xdr:from>
      <xdr:col>6</xdr:col>
      <xdr:colOff>15241</xdr:colOff>
      <xdr:row>0</xdr:row>
      <xdr:rowOff>144780</xdr:rowOff>
    </xdr:from>
    <xdr:to>
      <xdr:col>8</xdr:col>
      <xdr:colOff>228601</xdr:colOff>
      <xdr:row>0</xdr:row>
      <xdr:rowOff>812577</xdr:rowOff>
    </xdr:to>
    <xdr:pic>
      <xdr:nvPicPr>
        <xdr:cNvPr id="10" name="Рисунок 9" descr="WomenSense | Shop Best Sellers at YesWellness">
          <a:extLst>
            <a:ext uri="{FF2B5EF4-FFF2-40B4-BE49-F238E27FC236}">
              <a16:creationId xmlns:a16="http://schemas.microsoft.com/office/drawing/2014/main" id="{E85378C8-0D70-7B81-71B0-A68E5B11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1" y="144780"/>
          <a:ext cx="1584960" cy="667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2" topLeftCell="A3" activePane="bottomLeft" state="frozen"/>
      <selection pane="bottomLeft" activeCell="J7" sqref="J7"/>
    </sheetView>
  </sheetViews>
  <sheetFormatPr defaultRowHeight="13.2"/>
  <cols>
    <col min="1" max="1" width="12" style="1" customWidth="1"/>
    <col min="2" max="2" width="31.21875" style="1" customWidth="1"/>
    <col min="3" max="3" width="11.44140625" style="1" customWidth="1"/>
    <col min="4" max="6" width="10.6640625" style="1" customWidth="1"/>
    <col min="7" max="7" width="11.109375" style="6" bestFit="1" customWidth="1"/>
    <col min="8" max="8" width="8.88671875" style="30"/>
    <col min="9" max="9" width="11.109375" style="6" bestFit="1" customWidth="1"/>
    <col min="10" max="10" width="11.44140625" style="1" customWidth="1"/>
    <col min="11" max="16384" width="8.88671875" style="1"/>
  </cols>
  <sheetData>
    <row r="1" spans="1:17" ht="74.400000000000006" customHeight="1" thickBot="1">
      <c r="A1" s="31" t="s">
        <v>78</v>
      </c>
      <c r="B1" s="31"/>
      <c r="C1" s="31"/>
      <c r="D1" s="31"/>
      <c r="E1" s="31"/>
      <c r="F1" s="31"/>
      <c r="G1" s="31"/>
      <c r="H1" s="31"/>
      <c r="I1" s="31"/>
      <c r="J1" s="8">
        <v>46071</v>
      </c>
      <c r="L1" s="32" t="s">
        <v>80</v>
      </c>
      <c r="M1" s="33" t="s">
        <v>81</v>
      </c>
      <c r="N1" s="34" t="s">
        <v>82</v>
      </c>
      <c r="O1" s="35" t="s">
        <v>83</v>
      </c>
      <c r="P1" s="36"/>
      <c r="Q1" s="37" t="str">
        <f>IFERROR(IF(SUM(Q3:Q34)=0, "-", J2+O2), "-")</f>
        <v>-</v>
      </c>
    </row>
    <row r="2" spans="1:17" s="5" customFormat="1" ht="28.2" thickBot="1">
      <c r="A2" s="9" t="s">
        <v>0</v>
      </c>
      <c r="B2" s="10" t="s">
        <v>1</v>
      </c>
      <c r="C2" s="10" t="s">
        <v>2</v>
      </c>
      <c r="D2" s="10" t="s">
        <v>3</v>
      </c>
      <c r="E2" s="10" t="s">
        <v>85</v>
      </c>
      <c r="F2" s="10" t="s">
        <v>86</v>
      </c>
      <c r="G2" s="10" t="s">
        <v>75</v>
      </c>
      <c r="H2" s="10" t="s">
        <v>76</v>
      </c>
      <c r="I2" s="10" t="s">
        <v>77</v>
      </c>
      <c r="J2" s="11">
        <f>SUM(I3:I34)</f>
        <v>0</v>
      </c>
      <c r="L2" s="38"/>
      <c r="M2" s="39"/>
      <c r="N2" s="40" t="str">
        <f>IF(SUM(N3:N34)=0, "-", SUM(N3:N34))</f>
        <v>-</v>
      </c>
      <c r="O2" s="40" t="str">
        <f>IF(SUM(O3:O34)=0, "-", SUM(O3:O34))</f>
        <v>-</v>
      </c>
      <c r="P2" s="41"/>
      <c r="Q2" s="42" t="s">
        <v>84</v>
      </c>
    </row>
    <row r="3" spans="1:17" ht="13.8">
      <c r="A3" s="12" t="s">
        <v>4</v>
      </c>
      <c r="B3" s="13" t="s">
        <v>5</v>
      </c>
      <c r="C3" s="14">
        <v>90</v>
      </c>
      <c r="D3" s="15" t="s">
        <v>6</v>
      </c>
      <c r="E3" s="46">
        <v>9.7961599999999996E-2</v>
      </c>
      <c r="F3" s="49">
        <v>24</v>
      </c>
      <c r="G3" s="16">
        <v>12.914999999999999</v>
      </c>
      <c r="H3" s="27"/>
      <c r="I3" s="17">
        <f>H3*G3</f>
        <v>0</v>
      </c>
      <c r="L3" s="43" t="str">
        <f>IFERROR(IF($L$2*E3=0, "-", $L$2*E3), "-")</f>
        <v>-</v>
      </c>
      <c r="M3" s="43" t="str">
        <f>IFERROR(IF(H3&gt;0,G3+L3,"-"),"-")</f>
        <v>-</v>
      </c>
      <c r="N3" s="44" t="str">
        <f>IF(H3&gt;0,H3*E3, "-")</f>
        <v>-</v>
      </c>
      <c r="O3" s="45" t="str">
        <f>IFERROR(IF($L$2&gt;0, $L$2*N3, "-"), "-")</f>
        <v>-</v>
      </c>
      <c r="P3" s="36"/>
      <c r="Q3" s="45" t="str">
        <f>IFERROR(IF(O3+I3=0, "-", IF(O3&gt;0, O3+I3, "-")), "-")</f>
        <v>-</v>
      </c>
    </row>
    <row r="4" spans="1:17" ht="13.8">
      <c r="A4" s="18" t="s">
        <v>7</v>
      </c>
      <c r="B4" s="2" t="s">
        <v>8</v>
      </c>
      <c r="C4" s="3">
        <v>180</v>
      </c>
      <c r="D4" s="4" t="s">
        <v>6</v>
      </c>
      <c r="E4" s="47">
        <v>0.1758856</v>
      </c>
      <c r="F4" s="50">
        <v>24</v>
      </c>
      <c r="G4" s="7">
        <v>25.454999999999998</v>
      </c>
      <c r="H4" s="28"/>
      <c r="I4" s="19">
        <f t="shared" ref="I4:I34" si="0">H4*G4</f>
        <v>0</v>
      </c>
      <c r="L4" s="43" t="str">
        <f>IFERROR(IF($R$2*D4=0, "-", $R$2*D4), "-")</f>
        <v>-</v>
      </c>
      <c r="M4" s="43" t="str">
        <f t="shared" ref="M4:M34" si="1">IFERROR(IF(H4&gt;0,G4+L4,"-"),"-")</f>
        <v>-</v>
      </c>
      <c r="N4" s="44" t="str">
        <f>IF(H4&gt;0,H4*D4, "-")</f>
        <v>-</v>
      </c>
      <c r="O4" s="45" t="str">
        <f t="shared" ref="O4:O34" si="2">IFERROR(IF($R$2&gt;0, $R$2*N4, "-"), "-")</f>
        <v>-</v>
      </c>
      <c r="P4" s="36"/>
      <c r="Q4" s="45" t="str">
        <f t="shared" ref="Q4:Q34" si="3">IFERROR(IF(O4+I4=0, "-", IF(O4&gt;0, O4+I4, "-")), "-")</f>
        <v>-</v>
      </c>
    </row>
    <row r="5" spans="1:17" ht="13.8">
      <c r="A5" s="18" t="s">
        <v>9</v>
      </c>
      <c r="B5" s="2" t="s">
        <v>10</v>
      </c>
      <c r="C5" s="3">
        <v>240</v>
      </c>
      <c r="D5" s="4" t="s">
        <v>6</v>
      </c>
      <c r="E5" s="47">
        <v>0.23377199999999998</v>
      </c>
      <c r="F5" s="50">
        <v>12</v>
      </c>
      <c r="G5" s="7">
        <v>28.785000000000004</v>
      </c>
      <c r="H5" s="28"/>
      <c r="I5" s="19">
        <f t="shared" si="0"/>
        <v>0</v>
      </c>
      <c r="L5" s="43" t="str">
        <f>IFERROR(IF($R$2*D5=0, "-", $R$2*D5), "-")</f>
        <v>-</v>
      </c>
      <c r="M5" s="43" t="str">
        <f t="shared" si="1"/>
        <v>-</v>
      </c>
      <c r="N5" s="44" t="str">
        <f>IF(H5&gt;0,H5*D5, "-")</f>
        <v>-</v>
      </c>
      <c r="O5" s="45" t="str">
        <f t="shared" si="2"/>
        <v>-</v>
      </c>
      <c r="P5" s="36"/>
      <c r="Q5" s="45" t="str">
        <f t="shared" si="3"/>
        <v>-</v>
      </c>
    </row>
    <row r="6" spans="1:17" ht="13.8">
      <c r="A6" s="18" t="s">
        <v>11</v>
      </c>
      <c r="B6" s="2" t="s">
        <v>12</v>
      </c>
      <c r="C6" s="3">
        <v>90</v>
      </c>
      <c r="D6" s="4" t="s">
        <v>6</v>
      </c>
      <c r="E6" s="47">
        <v>5.7886399999999998E-2</v>
      </c>
      <c r="F6" s="50">
        <v>24</v>
      </c>
      <c r="G6" s="7">
        <v>7.8000000000000007</v>
      </c>
      <c r="H6" s="28"/>
      <c r="I6" s="19">
        <f t="shared" si="0"/>
        <v>0</v>
      </c>
      <c r="L6" s="43" t="str">
        <f>IFERROR(IF($R$2*D6=0, "-", $R$2*D6), "-")</f>
        <v>-</v>
      </c>
      <c r="M6" s="43" t="str">
        <f t="shared" si="1"/>
        <v>-</v>
      </c>
      <c r="N6" s="44" t="str">
        <f>IF(H6&gt;0,H6*D6, "-")</f>
        <v>-</v>
      </c>
      <c r="O6" s="45" t="str">
        <f t="shared" si="2"/>
        <v>-</v>
      </c>
      <c r="P6" s="36"/>
      <c r="Q6" s="45" t="str">
        <f t="shared" si="3"/>
        <v>-</v>
      </c>
    </row>
    <row r="7" spans="1:17" ht="13.8">
      <c r="A7" s="18" t="s">
        <v>13</v>
      </c>
      <c r="B7" s="2" t="s">
        <v>14</v>
      </c>
      <c r="C7" s="3">
        <v>240</v>
      </c>
      <c r="D7" s="4" t="s">
        <v>6</v>
      </c>
      <c r="E7" s="47">
        <v>0.27829999999999999</v>
      </c>
      <c r="F7" s="50">
        <v>12</v>
      </c>
      <c r="G7" s="7">
        <v>31.575000000000003</v>
      </c>
      <c r="H7" s="28"/>
      <c r="I7" s="19">
        <f t="shared" si="0"/>
        <v>0</v>
      </c>
      <c r="L7" s="43" t="str">
        <f>IFERROR(IF($R$2*D7=0, "-", $R$2*D7), "-")</f>
        <v>-</v>
      </c>
      <c r="M7" s="43" t="str">
        <f t="shared" si="1"/>
        <v>-</v>
      </c>
      <c r="N7" s="44" t="str">
        <f>IF(H7&gt;0,H7*D7, "-")</f>
        <v>-</v>
      </c>
      <c r="O7" s="45" t="str">
        <f t="shared" si="2"/>
        <v>-</v>
      </c>
      <c r="P7" s="36"/>
      <c r="Q7" s="45" t="str">
        <f t="shared" si="3"/>
        <v>-</v>
      </c>
    </row>
    <row r="8" spans="1:17" ht="13.8">
      <c r="A8" s="18" t="s">
        <v>15</v>
      </c>
      <c r="B8" s="2" t="s">
        <v>16</v>
      </c>
      <c r="C8" s="3">
        <v>90</v>
      </c>
      <c r="D8" s="4" t="s">
        <v>6</v>
      </c>
      <c r="E8" s="47">
        <v>0.1090936</v>
      </c>
      <c r="F8" s="50">
        <v>24</v>
      </c>
      <c r="G8" s="7">
        <v>15.164999999999999</v>
      </c>
      <c r="H8" s="28"/>
      <c r="I8" s="19">
        <f t="shared" si="0"/>
        <v>0</v>
      </c>
      <c r="L8" s="43" t="str">
        <f>IFERROR(IF($R$2*D8=0, "-", $R$2*D8), "-")</f>
        <v>-</v>
      </c>
      <c r="M8" s="43" t="str">
        <f t="shared" si="1"/>
        <v>-</v>
      </c>
      <c r="N8" s="44" t="str">
        <f>IF(H8&gt;0,H8*D8, "-")</f>
        <v>-</v>
      </c>
      <c r="O8" s="45" t="str">
        <f t="shared" si="2"/>
        <v>-</v>
      </c>
      <c r="P8" s="36"/>
      <c r="Q8" s="45" t="str">
        <f t="shared" si="3"/>
        <v>-</v>
      </c>
    </row>
    <row r="9" spans="1:17" ht="13.8">
      <c r="A9" s="18" t="s">
        <v>17</v>
      </c>
      <c r="B9" s="2" t="s">
        <v>18</v>
      </c>
      <c r="C9" s="3">
        <v>180</v>
      </c>
      <c r="D9" s="4" t="s">
        <v>6</v>
      </c>
      <c r="E9" s="47">
        <v>0.19592319999999999</v>
      </c>
      <c r="F9" s="50">
        <v>24</v>
      </c>
      <c r="G9" s="7">
        <v>27.599999999999998</v>
      </c>
      <c r="H9" s="28"/>
      <c r="I9" s="19">
        <f t="shared" si="0"/>
        <v>0</v>
      </c>
      <c r="L9" s="43" t="str">
        <f>IFERROR(IF($R$2*D9=0, "-", $R$2*D9), "-")</f>
        <v>-</v>
      </c>
      <c r="M9" s="43" t="str">
        <f t="shared" si="1"/>
        <v>-</v>
      </c>
      <c r="N9" s="44" t="str">
        <f>IF(H9&gt;0,H9*D9, "-")</f>
        <v>-</v>
      </c>
      <c r="O9" s="45" t="str">
        <f t="shared" si="2"/>
        <v>-</v>
      </c>
      <c r="P9" s="36"/>
      <c r="Q9" s="45" t="str">
        <f t="shared" si="3"/>
        <v>-</v>
      </c>
    </row>
    <row r="10" spans="1:17" ht="13.8">
      <c r="A10" s="18" t="s">
        <v>19</v>
      </c>
      <c r="B10" s="2" t="s">
        <v>20</v>
      </c>
      <c r="C10" s="3">
        <v>90</v>
      </c>
      <c r="D10" s="4" t="s">
        <v>6</v>
      </c>
      <c r="E10" s="47">
        <v>6.1225999999999996E-2</v>
      </c>
      <c r="F10" s="50">
        <v>24</v>
      </c>
      <c r="G10" s="7">
        <v>7.23</v>
      </c>
      <c r="H10" s="28"/>
      <c r="I10" s="19">
        <f t="shared" si="0"/>
        <v>0</v>
      </c>
      <c r="L10" s="43" t="str">
        <f>IFERROR(IF($R$2*D10=0, "-", $R$2*D10), "-")</f>
        <v>-</v>
      </c>
      <c r="M10" s="43" t="str">
        <f t="shared" si="1"/>
        <v>-</v>
      </c>
      <c r="N10" s="44" t="str">
        <f>IF(H10&gt;0,H10*D10, "-")</f>
        <v>-</v>
      </c>
      <c r="O10" s="45" t="str">
        <f t="shared" si="2"/>
        <v>-</v>
      </c>
      <c r="P10" s="36"/>
      <c r="Q10" s="45" t="str">
        <f t="shared" si="3"/>
        <v>-</v>
      </c>
    </row>
    <row r="11" spans="1:17" ht="13.8">
      <c r="A11" s="18" t="s">
        <v>21</v>
      </c>
      <c r="B11" s="2" t="s">
        <v>22</v>
      </c>
      <c r="C11" s="4" t="s">
        <v>23</v>
      </c>
      <c r="D11" s="4" t="s">
        <v>24</v>
      </c>
      <c r="E11" s="47">
        <v>7.5697600000000004E-2</v>
      </c>
      <c r="F11" s="50">
        <v>24</v>
      </c>
      <c r="G11" s="7">
        <v>14.669999999999998</v>
      </c>
      <c r="H11" s="28"/>
      <c r="I11" s="19">
        <f t="shared" si="0"/>
        <v>0</v>
      </c>
      <c r="L11" s="43" t="str">
        <f>IFERROR(IF($R$2*D11=0, "-", $R$2*D11), "-")</f>
        <v>-</v>
      </c>
      <c r="M11" s="43" t="str">
        <f t="shared" si="1"/>
        <v>-</v>
      </c>
      <c r="N11" s="44" t="str">
        <f>IF(H11&gt;0,H11*D11, "-")</f>
        <v>-</v>
      </c>
      <c r="O11" s="45" t="str">
        <f t="shared" si="2"/>
        <v>-</v>
      </c>
      <c r="P11" s="36"/>
      <c r="Q11" s="45" t="str">
        <f t="shared" si="3"/>
        <v>-</v>
      </c>
    </row>
    <row r="12" spans="1:17" ht="13.8">
      <c r="A12" s="18" t="s">
        <v>25</v>
      </c>
      <c r="B12" s="2" t="s">
        <v>26</v>
      </c>
      <c r="C12" s="4" t="s">
        <v>27</v>
      </c>
      <c r="D12" s="4" t="s">
        <v>28</v>
      </c>
      <c r="E12" s="47">
        <v>0.55659999999999998</v>
      </c>
      <c r="F12" s="50">
        <v>6</v>
      </c>
      <c r="G12" s="7">
        <v>38.099999999999994</v>
      </c>
      <c r="H12" s="28"/>
      <c r="I12" s="19">
        <f t="shared" si="0"/>
        <v>0</v>
      </c>
      <c r="L12" s="43" t="str">
        <f>IFERROR(IF($R$2*D12=0, "-", $R$2*D12), "-")</f>
        <v>-</v>
      </c>
      <c r="M12" s="43" t="str">
        <f t="shared" si="1"/>
        <v>-</v>
      </c>
      <c r="N12" s="44" t="str">
        <f>IF(H12&gt;0,H12*D12, "-")</f>
        <v>-</v>
      </c>
      <c r="O12" s="45" t="str">
        <f t="shared" si="2"/>
        <v>-</v>
      </c>
      <c r="P12" s="36"/>
      <c r="Q12" s="45" t="str">
        <f t="shared" si="3"/>
        <v>-</v>
      </c>
    </row>
    <row r="13" spans="1:17" ht="13.8">
      <c r="A13" s="18" t="s">
        <v>29</v>
      </c>
      <c r="B13" s="2" t="s">
        <v>30</v>
      </c>
      <c r="C13" s="3">
        <v>90</v>
      </c>
      <c r="D13" s="4" t="s">
        <v>6</v>
      </c>
      <c r="E13" s="47">
        <v>0.11688599999999999</v>
      </c>
      <c r="F13" s="50">
        <v>24</v>
      </c>
      <c r="G13" s="7">
        <v>21.18</v>
      </c>
      <c r="H13" s="28"/>
      <c r="I13" s="19">
        <f t="shared" si="0"/>
        <v>0</v>
      </c>
      <c r="L13" s="43" t="str">
        <f>IFERROR(IF($R$2*D13=0, "-", $R$2*D13), "-")</f>
        <v>-</v>
      </c>
      <c r="M13" s="43" t="str">
        <f t="shared" si="1"/>
        <v>-</v>
      </c>
      <c r="N13" s="44" t="str">
        <f>IF(H13&gt;0,H13*D13, "-")</f>
        <v>-</v>
      </c>
      <c r="O13" s="45" t="str">
        <f t="shared" si="2"/>
        <v>-</v>
      </c>
      <c r="P13" s="36"/>
      <c r="Q13" s="45" t="str">
        <f t="shared" si="3"/>
        <v>-</v>
      </c>
    </row>
    <row r="14" spans="1:17" ht="13.8">
      <c r="A14" s="18" t="s">
        <v>31</v>
      </c>
      <c r="B14" s="2" t="s">
        <v>32</v>
      </c>
      <c r="C14" s="4" t="s">
        <v>33</v>
      </c>
      <c r="D14" s="4" t="s">
        <v>28</v>
      </c>
      <c r="E14" s="47">
        <v>0.2972244</v>
      </c>
      <c r="F14" s="50">
        <v>12</v>
      </c>
      <c r="G14" s="7">
        <v>22.830000000000002</v>
      </c>
      <c r="H14" s="28"/>
      <c r="I14" s="19">
        <f t="shared" si="0"/>
        <v>0</v>
      </c>
      <c r="L14" s="43" t="str">
        <f>IFERROR(IF($R$2*D14=0, "-", $R$2*D14), "-")</f>
        <v>-</v>
      </c>
      <c r="M14" s="43" t="str">
        <f t="shared" si="1"/>
        <v>-</v>
      </c>
      <c r="N14" s="44" t="str">
        <f>IF(H14&gt;0,H14*D14, "-")</f>
        <v>-</v>
      </c>
      <c r="O14" s="45" t="str">
        <f t="shared" si="2"/>
        <v>-</v>
      </c>
      <c r="P14" s="36"/>
      <c r="Q14" s="45" t="str">
        <f t="shared" si="3"/>
        <v>-</v>
      </c>
    </row>
    <row r="15" spans="1:17" ht="13.8">
      <c r="A15" s="18" t="s">
        <v>35</v>
      </c>
      <c r="B15" s="2" t="s">
        <v>36</v>
      </c>
      <c r="C15" s="3">
        <v>150</v>
      </c>
      <c r="D15" s="4" t="s">
        <v>28</v>
      </c>
      <c r="E15" s="47">
        <v>0.2471304</v>
      </c>
      <c r="F15" s="50">
        <v>12</v>
      </c>
      <c r="G15" s="7">
        <v>16.785</v>
      </c>
      <c r="H15" s="28"/>
      <c r="I15" s="19">
        <f t="shared" si="0"/>
        <v>0</v>
      </c>
      <c r="L15" s="43" t="str">
        <f>IFERROR(IF($R$2*D15=0, "-", $R$2*D15), "-")</f>
        <v>-</v>
      </c>
      <c r="M15" s="43" t="str">
        <f t="shared" si="1"/>
        <v>-</v>
      </c>
      <c r="N15" s="44" t="str">
        <f>IF(H15&gt;0,H15*D15, "-")</f>
        <v>-</v>
      </c>
      <c r="O15" s="45" t="str">
        <f t="shared" si="2"/>
        <v>-</v>
      </c>
      <c r="P15" s="36"/>
      <c r="Q15" s="45" t="str">
        <f t="shared" si="3"/>
        <v>-</v>
      </c>
    </row>
    <row r="16" spans="1:17" ht="13.8">
      <c r="A16" s="18" t="s">
        <v>37</v>
      </c>
      <c r="B16" s="2" t="s">
        <v>38</v>
      </c>
      <c r="C16" s="3">
        <v>129</v>
      </c>
      <c r="D16" s="4" t="s">
        <v>28</v>
      </c>
      <c r="E16" s="47">
        <v>0.1903572</v>
      </c>
      <c r="F16" s="50">
        <v>18</v>
      </c>
      <c r="G16" s="7">
        <v>20.055</v>
      </c>
      <c r="H16" s="28"/>
      <c r="I16" s="19">
        <f t="shared" si="0"/>
        <v>0</v>
      </c>
      <c r="L16" s="43" t="str">
        <f>IFERROR(IF($R$2*D16=0, "-", $R$2*D16), "-")</f>
        <v>-</v>
      </c>
      <c r="M16" s="43" t="str">
        <f t="shared" si="1"/>
        <v>-</v>
      </c>
      <c r="N16" s="44" t="str">
        <f>IF(H16&gt;0,H16*D16, "-")</f>
        <v>-</v>
      </c>
      <c r="O16" s="45" t="str">
        <f t="shared" si="2"/>
        <v>-</v>
      </c>
      <c r="P16" s="36"/>
      <c r="Q16" s="45" t="str">
        <f t="shared" si="3"/>
        <v>-</v>
      </c>
    </row>
    <row r="17" spans="1:17" ht="13.8">
      <c r="A17" s="18" t="s">
        <v>39</v>
      </c>
      <c r="B17" s="2" t="s">
        <v>40</v>
      </c>
      <c r="C17" s="3">
        <v>387</v>
      </c>
      <c r="D17" s="4" t="s">
        <v>28</v>
      </c>
      <c r="E17" s="47">
        <v>0.50094000000000005</v>
      </c>
      <c r="F17" s="50">
        <v>12</v>
      </c>
      <c r="G17" s="7">
        <v>34.814999999999998</v>
      </c>
      <c r="H17" s="28"/>
      <c r="I17" s="19">
        <f t="shared" si="0"/>
        <v>0</v>
      </c>
      <c r="L17" s="43" t="str">
        <f>IFERROR(IF($R$2*D17=0, "-", $R$2*D17), "-")</f>
        <v>-</v>
      </c>
      <c r="M17" s="43" t="str">
        <f t="shared" si="1"/>
        <v>-</v>
      </c>
      <c r="N17" s="44" t="str">
        <f>IF(H17&gt;0,H17*D17, "-")</f>
        <v>-</v>
      </c>
      <c r="O17" s="45" t="str">
        <f t="shared" si="2"/>
        <v>-</v>
      </c>
      <c r="P17" s="36"/>
      <c r="Q17" s="45" t="str">
        <f t="shared" si="3"/>
        <v>-</v>
      </c>
    </row>
    <row r="18" spans="1:17" ht="13.8">
      <c r="A18" s="18" t="s">
        <v>42</v>
      </c>
      <c r="B18" s="2" t="s">
        <v>43</v>
      </c>
      <c r="C18" s="3">
        <v>60</v>
      </c>
      <c r="D18" s="4" t="s">
        <v>41</v>
      </c>
      <c r="E18" s="47">
        <v>7.7924000000000007E-2</v>
      </c>
      <c r="F18" s="50">
        <v>24</v>
      </c>
      <c r="G18" s="7">
        <v>7.38</v>
      </c>
      <c r="H18" s="28"/>
      <c r="I18" s="19">
        <f t="shared" si="0"/>
        <v>0</v>
      </c>
      <c r="L18" s="43" t="str">
        <f>IFERROR(IF($R$2*D18=0, "-", $R$2*D18), "-")</f>
        <v>-</v>
      </c>
      <c r="M18" s="43" t="str">
        <f t="shared" si="1"/>
        <v>-</v>
      </c>
      <c r="N18" s="44" t="str">
        <f>IF(H18&gt;0,H18*D18, "-")</f>
        <v>-</v>
      </c>
      <c r="O18" s="45" t="str">
        <f t="shared" si="2"/>
        <v>-</v>
      </c>
      <c r="P18" s="36"/>
      <c r="Q18" s="45" t="str">
        <f t="shared" si="3"/>
        <v>-</v>
      </c>
    </row>
    <row r="19" spans="1:17" ht="13.8">
      <c r="A19" s="18" t="s">
        <v>44</v>
      </c>
      <c r="B19" s="2" t="s">
        <v>45</v>
      </c>
      <c r="C19" s="3">
        <v>120</v>
      </c>
      <c r="D19" s="4" t="s">
        <v>41</v>
      </c>
      <c r="E19" s="47">
        <v>0.14137639999999999</v>
      </c>
      <c r="F19" s="50">
        <v>24</v>
      </c>
      <c r="G19" s="7">
        <v>12.450000000000001</v>
      </c>
      <c r="H19" s="28"/>
      <c r="I19" s="19">
        <f t="shared" si="0"/>
        <v>0</v>
      </c>
      <c r="L19" s="43" t="str">
        <f>IFERROR(IF($R$2*D19=0, "-", $R$2*D19), "-")</f>
        <v>-</v>
      </c>
      <c r="M19" s="43" t="str">
        <f t="shared" si="1"/>
        <v>-</v>
      </c>
      <c r="N19" s="44" t="str">
        <f>IF(H19&gt;0,H19*D19, "-")</f>
        <v>-</v>
      </c>
      <c r="O19" s="45" t="str">
        <f t="shared" si="2"/>
        <v>-</v>
      </c>
      <c r="P19" s="36"/>
      <c r="Q19" s="45" t="str">
        <f t="shared" si="3"/>
        <v>-</v>
      </c>
    </row>
    <row r="20" spans="1:17" ht="13.8">
      <c r="A20" s="18" t="s">
        <v>46</v>
      </c>
      <c r="B20" s="2" t="s">
        <v>47</v>
      </c>
      <c r="C20" s="3">
        <v>60</v>
      </c>
      <c r="D20" s="4" t="s">
        <v>34</v>
      </c>
      <c r="E20" s="47">
        <v>6.679199999999999E-2</v>
      </c>
      <c r="F20" s="50">
        <v>72</v>
      </c>
      <c r="G20" s="7">
        <v>8.6850000000000005</v>
      </c>
      <c r="H20" s="28"/>
      <c r="I20" s="19">
        <f t="shared" si="0"/>
        <v>0</v>
      </c>
      <c r="K20"/>
      <c r="L20" s="43" t="str">
        <f>IFERROR(IF($R$2*D20=0, "-", $R$2*D20), "-")</f>
        <v>-</v>
      </c>
      <c r="M20" s="43" t="str">
        <f t="shared" si="1"/>
        <v>-</v>
      </c>
      <c r="N20" s="44" t="str">
        <f>IF(H20&gt;0,H20*D20, "-")</f>
        <v>-</v>
      </c>
      <c r="O20" s="45" t="str">
        <f t="shared" si="2"/>
        <v>-</v>
      </c>
      <c r="P20" s="36"/>
      <c r="Q20" s="45" t="str">
        <f t="shared" si="3"/>
        <v>-</v>
      </c>
    </row>
    <row r="21" spans="1:17" ht="13.8">
      <c r="A21" s="18" t="s">
        <v>48</v>
      </c>
      <c r="B21" s="2" t="s">
        <v>49</v>
      </c>
      <c r="C21" s="3">
        <v>120</v>
      </c>
      <c r="D21" s="4" t="s">
        <v>34</v>
      </c>
      <c r="E21" s="47">
        <v>0.14471600000000001</v>
      </c>
      <c r="F21" s="50">
        <v>24</v>
      </c>
      <c r="G21" s="7">
        <v>18.765000000000001</v>
      </c>
      <c r="H21" s="28"/>
      <c r="I21" s="19">
        <f t="shared" si="0"/>
        <v>0</v>
      </c>
      <c r="L21" s="43" t="str">
        <f>IFERROR(IF($R$2*D21=0, "-", $R$2*D21), "-")</f>
        <v>-</v>
      </c>
      <c r="M21" s="43" t="str">
        <f t="shared" si="1"/>
        <v>-</v>
      </c>
      <c r="N21" s="44" t="str">
        <f>IF(H21&gt;0,H21*D21, "-")</f>
        <v>-</v>
      </c>
      <c r="O21" s="45" t="str">
        <f t="shared" si="2"/>
        <v>-</v>
      </c>
      <c r="P21" s="36"/>
      <c r="Q21" s="45" t="str">
        <f t="shared" si="3"/>
        <v>-</v>
      </c>
    </row>
    <row r="22" spans="1:17" ht="13.8">
      <c r="A22" s="18" t="s">
        <v>50</v>
      </c>
      <c r="B22" s="2" t="s">
        <v>51</v>
      </c>
      <c r="C22" s="3">
        <v>60</v>
      </c>
      <c r="D22" s="4" t="s">
        <v>28</v>
      </c>
      <c r="E22" s="47">
        <v>0.1179992</v>
      </c>
      <c r="F22" s="50">
        <v>18</v>
      </c>
      <c r="G22" s="7">
        <v>14.684999999999999</v>
      </c>
      <c r="H22" s="28"/>
      <c r="I22" s="19">
        <f t="shared" si="0"/>
        <v>0</v>
      </c>
      <c r="L22" s="43" t="str">
        <f>IFERROR(IF($R$2*D22=0, "-", $R$2*D22), "-")</f>
        <v>-</v>
      </c>
      <c r="M22" s="43" t="str">
        <f t="shared" si="1"/>
        <v>-</v>
      </c>
      <c r="N22" s="44" t="str">
        <f>IF(H22&gt;0,H22*D22, "-")</f>
        <v>-</v>
      </c>
      <c r="O22" s="45" t="str">
        <f t="shared" si="2"/>
        <v>-</v>
      </c>
      <c r="P22" s="36"/>
      <c r="Q22" s="45" t="str">
        <f t="shared" si="3"/>
        <v>-</v>
      </c>
    </row>
    <row r="23" spans="1:17" ht="13.8">
      <c r="A23" s="18" t="s">
        <v>52</v>
      </c>
      <c r="B23" s="26" t="s">
        <v>79</v>
      </c>
      <c r="C23" s="3">
        <v>60</v>
      </c>
      <c r="D23" s="4" t="s">
        <v>34</v>
      </c>
      <c r="E23" s="47">
        <v>9.4621999999999998E-2</v>
      </c>
      <c r="F23" s="50">
        <v>72</v>
      </c>
      <c r="G23" s="7">
        <v>12.975000000000001</v>
      </c>
      <c r="H23" s="28"/>
      <c r="I23" s="19">
        <f t="shared" si="0"/>
        <v>0</v>
      </c>
      <c r="L23" s="43" t="str">
        <f>IFERROR(IF($R$2*D23=0, "-", $R$2*D23), "-")</f>
        <v>-</v>
      </c>
      <c r="M23" s="43" t="str">
        <f t="shared" si="1"/>
        <v>-</v>
      </c>
      <c r="N23" s="44" t="str">
        <f>IF(H23&gt;0,H23*D23, "-")</f>
        <v>-</v>
      </c>
      <c r="O23" s="45" t="str">
        <f t="shared" si="2"/>
        <v>-</v>
      </c>
      <c r="P23" s="36"/>
      <c r="Q23" s="45" t="str">
        <f t="shared" si="3"/>
        <v>-</v>
      </c>
    </row>
    <row r="24" spans="1:17" ht="13.8">
      <c r="A24" s="18" t="s">
        <v>53</v>
      </c>
      <c r="B24" s="2" t="s">
        <v>54</v>
      </c>
      <c r="C24" s="3">
        <v>60</v>
      </c>
      <c r="D24" s="4" t="s">
        <v>34</v>
      </c>
      <c r="E24" s="47">
        <v>5.6773199999999996E-2</v>
      </c>
      <c r="F24" s="50">
        <v>24</v>
      </c>
      <c r="G24" s="7">
        <v>7.3949999999999996</v>
      </c>
      <c r="H24" s="28"/>
      <c r="I24" s="19">
        <f t="shared" si="0"/>
        <v>0</v>
      </c>
      <c r="L24" s="43" t="str">
        <f>IFERROR(IF($R$2*D24=0, "-", $R$2*D24), "-")</f>
        <v>-</v>
      </c>
      <c r="M24" s="43" t="str">
        <f t="shared" si="1"/>
        <v>-</v>
      </c>
      <c r="N24" s="44" t="str">
        <f>IF(H24&gt;0,H24*D24, "-")</f>
        <v>-</v>
      </c>
      <c r="O24" s="45" t="str">
        <f t="shared" si="2"/>
        <v>-</v>
      </c>
      <c r="P24" s="36"/>
      <c r="Q24" s="45" t="str">
        <f t="shared" si="3"/>
        <v>-</v>
      </c>
    </row>
    <row r="25" spans="1:17" ht="13.8">
      <c r="A25" s="18" t="s">
        <v>55</v>
      </c>
      <c r="B25" s="2" t="s">
        <v>56</v>
      </c>
      <c r="C25" s="3">
        <v>60</v>
      </c>
      <c r="D25" s="4" t="s">
        <v>34</v>
      </c>
      <c r="E25" s="47">
        <v>0.10464079999999999</v>
      </c>
      <c r="F25" s="50">
        <v>24</v>
      </c>
      <c r="G25" s="7">
        <v>12.899999999999999</v>
      </c>
      <c r="H25" s="28"/>
      <c r="I25" s="19">
        <f t="shared" si="0"/>
        <v>0</v>
      </c>
      <c r="L25" s="43" t="str">
        <f>IFERROR(IF($R$2*D25=0, "-", $R$2*D25), "-")</f>
        <v>-</v>
      </c>
      <c r="M25" s="43" t="str">
        <f t="shared" si="1"/>
        <v>-</v>
      </c>
      <c r="N25" s="44" t="str">
        <f>IF(H25&gt;0,H25*D25, "-")</f>
        <v>-</v>
      </c>
      <c r="O25" s="45" t="str">
        <f t="shared" si="2"/>
        <v>-</v>
      </c>
      <c r="P25" s="36"/>
      <c r="Q25" s="45" t="str">
        <f t="shared" si="3"/>
        <v>-</v>
      </c>
    </row>
    <row r="26" spans="1:17" ht="13.8">
      <c r="A26" s="18" t="s">
        <v>57</v>
      </c>
      <c r="B26" s="2" t="s">
        <v>58</v>
      </c>
      <c r="C26" s="3">
        <v>60</v>
      </c>
      <c r="D26" s="4" t="s">
        <v>34</v>
      </c>
      <c r="E26" s="47">
        <v>7.1244799999999997E-2</v>
      </c>
      <c r="F26" s="50">
        <v>24</v>
      </c>
      <c r="G26" s="7">
        <v>33.450000000000003</v>
      </c>
      <c r="H26" s="28"/>
      <c r="I26" s="19">
        <f t="shared" si="0"/>
        <v>0</v>
      </c>
      <c r="L26" s="43" t="str">
        <f>IFERROR(IF($R$2*D26=0, "-", $R$2*D26), "-")</f>
        <v>-</v>
      </c>
      <c r="M26" s="43" t="str">
        <f t="shared" si="1"/>
        <v>-</v>
      </c>
      <c r="N26" s="44" t="str">
        <f>IF(H26&gt;0,H26*D26, "-")</f>
        <v>-</v>
      </c>
      <c r="O26" s="45" t="str">
        <f t="shared" si="2"/>
        <v>-</v>
      </c>
      <c r="P26" s="36"/>
      <c r="Q26" s="45" t="str">
        <f t="shared" si="3"/>
        <v>-</v>
      </c>
    </row>
    <row r="27" spans="1:17" ht="13.8">
      <c r="A27" s="18" t="s">
        <v>59</v>
      </c>
      <c r="B27" s="2" t="s">
        <v>60</v>
      </c>
      <c r="C27" s="3">
        <v>200</v>
      </c>
      <c r="D27" s="4" t="s">
        <v>28</v>
      </c>
      <c r="E27" s="47">
        <v>0.30501680000000003</v>
      </c>
      <c r="F27" s="50">
        <v>12</v>
      </c>
      <c r="G27" s="7">
        <v>19.785</v>
      </c>
      <c r="H27" s="28"/>
      <c r="I27" s="19">
        <f t="shared" si="0"/>
        <v>0</v>
      </c>
      <c r="L27" s="43" t="str">
        <f>IFERROR(IF($R$2*D27=0, "-", $R$2*D27), "-")</f>
        <v>-</v>
      </c>
      <c r="M27" s="43" t="str">
        <f t="shared" si="1"/>
        <v>-</v>
      </c>
      <c r="N27" s="44" t="str">
        <f>IF(H27&gt;0,H27*D27, "-")</f>
        <v>-</v>
      </c>
      <c r="O27" s="45" t="str">
        <f t="shared" si="2"/>
        <v>-</v>
      </c>
      <c r="P27" s="36"/>
      <c r="Q27" s="45" t="str">
        <f t="shared" si="3"/>
        <v>-</v>
      </c>
    </row>
    <row r="28" spans="1:17" ht="13.8">
      <c r="A28" s="18" t="s">
        <v>61</v>
      </c>
      <c r="B28" s="2" t="s">
        <v>62</v>
      </c>
      <c r="C28" s="3">
        <v>90</v>
      </c>
      <c r="D28" s="4" t="s">
        <v>6</v>
      </c>
      <c r="E28" s="47">
        <v>7.5697600000000004E-2</v>
      </c>
      <c r="F28" s="50">
        <v>24</v>
      </c>
      <c r="G28" s="7">
        <v>16.02</v>
      </c>
      <c r="H28" s="28"/>
      <c r="I28" s="19">
        <f t="shared" si="0"/>
        <v>0</v>
      </c>
      <c r="L28" s="43" t="str">
        <f>IFERROR(IF($R$2*D28=0, "-", $R$2*D28), "-")</f>
        <v>-</v>
      </c>
      <c r="M28" s="43" t="str">
        <f t="shared" si="1"/>
        <v>-</v>
      </c>
      <c r="N28" s="44" t="str">
        <f>IF(H28&gt;0,H28*D28, "-")</f>
        <v>-</v>
      </c>
      <c r="O28" s="45" t="str">
        <f t="shared" si="2"/>
        <v>-</v>
      </c>
      <c r="P28" s="36"/>
      <c r="Q28" s="45" t="str">
        <f t="shared" si="3"/>
        <v>-</v>
      </c>
    </row>
    <row r="29" spans="1:17" ht="13.8">
      <c r="A29" s="18" t="s">
        <v>63</v>
      </c>
      <c r="B29" s="2" t="s">
        <v>64</v>
      </c>
      <c r="C29" s="3">
        <v>120</v>
      </c>
      <c r="D29" s="4" t="s">
        <v>34</v>
      </c>
      <c r="E29" s="47">
        <v>0.11465959999999999</v>
      </c>
      <c r="F29" s="50">
        <v>24</v>
      </c>
      <c r="G29" s="7">
        <v>27.48</v>
      </c>
      <c r="H29" s="28"/>
      <c r="I29" s="19">
        <f t="shared" si="0"/>
        <v>0</v>
      </c>
      <c r="L29" s="43" t="str">
        <f>IFERROR(IF($R$2*D29=0, "-", $R$2*D29), "-")</f>
        <v>-</v>
      </c>
      <c r="M29" s="43" t="str">
        <f t="shared" si="1"/>
        <v>-</v>
      </c>
      <c r="N29" s="44" t="str">
        <f>IF(H29&gt;0,H29*D29, "-")</f>
        <v>-</v>
      </c>
      <c r="O29" s="45" t="str">
        <f t="shared" si="2"/>
        <v>-</v>
      </c>
      <c r="P29" s="36"/>
      <c r="Q29" s="45" t="str">
        <f t="shared" si="3"/>
        <v>-</v>
      </c>
    </row>
    <row r="30" spans="1:17" ht="13.8">
      <c r="A30" s="18" t="s">
        <v>65</v>
      </c>
      <c r="B30" s="2" t="s">
        <v>66</v>
      </c>
      <c r="C30" s="3">
        <v>150</v>
      </c>
      <c r="D30" s="4" t="s">
        <v>34</v>
      </c>
      <c r="E30" s="47">
        <v>0.16697999999999999</v>
      </c>
      <c r="F30" s="50">
        <v>12</v>
      </c>
      <c r="G30" s="7">
        <v>34.454999999999998</v>
      </c>
      <c r="H30" s="28"/>
      <c r="I30" s="19">
        <f t="shared" si="0"/>
        <v>0</v>
      </c>
      <c r="L30" s="43" t="str">
        <f>IFERROR(IF($R$2*D30=0, "-", $R$2*D30), "-")</f>
        <v>-</v>
      </c>
      <c r="M30" s="43" t="str">
        <f t="shared" si="1"/>
        <v>-</v>
      </c>
      <c r="N30" s="44" t="str">
        <f>IF(H30&gt;0,H30*D30, "-")</f>
        <v>-</v>
      </c>
      <c r="O30" s="45" t="str">
        <f t="shared" si="2"/>
        <v>-</v>
      </c>
      <c r="P30" s="36"/>
      <c r="Q30" s="45" t="str">
        <f t="shared" si="3"/>
        <v>-</v>
      </c>
    </row>
    <row r="31" spans="1:17" ht="13.8">
      <c r="A31" s="18" t="s">
        <v>67</v>
      </c>
      <c r="B31" s="2" t="s">
        <v>68</v>
      </c>
      <c r="C31" s="3">
        <v>400</v>
      </c>
      <c r="D31" s="4" t="s">
        <v>28</v>
      </c>
      <c r="E31" s="47">
        <v>0.55548679999999995</v>
      </c>
      <c r="F31" s="50">
        <v>6</v>
      </c>
      <c r="G31" s="7">
        <v>32.849999999999994</v>
      </c>
      <c r="H31" s="28"/>
      <c r="I31" s="19">
        <f t="shared" si="0"/>
        <v>0</v>
      </c>
      <c r="L31" s="43" t="str">
        <f>IFERROR(IF($R$2*D31=0, "-", $R$2*D31), "-")</f>
        <v>-</v>
      </c>
      <c r="M31" s="43" t="str">
        <f t="shared" si="1"/>
        <v>-</v>
      </c>
      <c r="N31" s="44" t="str">
        <f>IF(H31&gt;0,H31*D31, "-")</f>
        <v>-</v>
      </c>
      <c r="O31" s="45" t="str">
        <f t="shared" si="2"/>
        <v>-</v>
      </c>
      <c r="P31" s="36"/>
      <c r="Q31" s="45" t="str">
        <f t="shared" si="3"/>
        <v>-</v>
      </c>
    </row>
    <row r="32" spans="1:17" ht="13.8">
      <c r="A32" s="18" t="s">
        <v>69</v>
      </c>
      <c r="B32" s="2" t="s">
        <v>70</v>
      </c>
      <c r="C32" s="3">
        <v>90</v>
      </c>
      <c r="D32" s="4" t="s">
        <v>6</v>
      </c>
      <c r="E32" s="47">
        <v>9.5735199999999993E-2</v>
      </c>
      <c r="F32" s="50">
        <v>24</v>
      </c>
      <c r="G32" s="7">
        <v>10.574999999999999</v>
      </c>
      <c r="H32" s="28"/>
      <c r="I32" s="19">
        <f t="shared" si="0"/>
        <v>0</v>
      </c>
      <c r="L32" s="43" t="str">
        <f>IFERROR(IF($R$2*D32=0, "-", $R$2*D32), "-")</f>
        <v>-</v>
      </c>
      <c r="M32" s="43" t="str">
        <f t="shared" si="1"/>
        <v>-</v>
      </c>
      <c r="N32" s="44" t="str">
        <f>IF(H32&gt;0,H32*D32, "-")</f>
        <v>-</v>
      </c>
      <c r="O32" s="45" t="str">
        <f t="shared" si="2"/>
        <v>-</v>
      </c>
      <c r="P32" s="36"/>
      <c r="Q32" s="45" t="str">
        <f t="shared" si="3"/>
        <v>-</v>
      </c>
    </row>
    <row r="33" spans="1:17" ht="13.8">
      <c r="A33" s="18" t="s">
        <v>71</v>
      </c>
      <c r="B33" s="2" t="s">
        <v>72</v>
      </c>
      <c r="C33" s="3">
        <v>180</v>
      </c>
      <c r="D33" s="4" t="s">
        <v>6</v>
      </c>
      <c r="E33" s="47">
        <v>0.17365919999999999</v>
      </c>
      <c r="F33" s="50">
        <v>12</v>
      </c>
      <c r="G33" s="7">
        <v>18.899999999999999</v>
      </c>
      <c r="H33" s="28"/>
      <c r="I33" s="19">
        <f t="shared" si="0"/>
        <v>0</v>
      </c>
      <c r="L33" s="43" t="str">
        <f>IFERROR(IF($R$2*D33=0, "-", $R$2*D33), "-")</f>
        <v>-</v>
      </c>
      <c r="M33" s="43" t="str">
        <f t="shared" si="1"/>
        <v>-</v>
      </c>
      <c r="N33" s="44" t="str">
        <f>IF(H33&gt;0,H33*D33, "-")</f>
        <v>-</v>
      </c>
      <c r="O33" s="45" t="str">
        <f t="shared" si="2"/>
        <v>-</v>
      </c>
      <c r="P33" s="36"/>
      <c r="Q33" s="45" t="str">
        <f t="shared" si="3"/>
        <v>-</v>
      </c>
    </row>
    <row r="34" spans="1:17" ht="14.4" thickBot="1">
      <c r="A34" s="20" t="s">
        <v>73</v>
      </c>
      <c r="B34" s="21" t="s">
        <v>74</v>
      </c>
      <c r="C34" s="22">
        <v>210</v>
      </c>
      <c r="D34" s="23" t="s">
        <v>6</v>
      </c>
      <c r="E34" s="48">
        <v>0.22264</v>
      </c>
      <c r="F34" s="51">
        <v>12</v>
      </c>
      <c r="G34" s="24">
        <v>20.549999999999997</v>
      </c>
      <c r="H34" s="29"/>
      <c r="I34" s="25">
        <f t="shared" si="0"/>
        <v>0</v>
      </c>
      <c r="L34" s="43" t="str">
        <f>IFERROR(IF($R$2*D34=0, "-", $R$2*D34), "-")</f>
        <v>-</v>
      </c>
      <c r="M34" s="43" t="str">
        <f t="shared" si="1"/>
        <v>-</v>
      </c>
      <c r="N34" s="44" t="str">
        <f>IF(H34&gt;0,H34*D34, "-")</f>
        <v>-</v>
      </c>
      <c r="O34" s="45" t="str">
        <f t="shared" si="2"/>
        <v>-</v>
      </c>
      <c r="P34" s="36"/>
      <c r="Q34" s="45" t="str">
        <f t="shared" si="3"/>
        <v>-</v>
      </c>
    </row>
  </sheetData>
  <sheetProtection algorithmName="SHA-512" hashValue="IbREwX7Nwx5ebwe1/l6v28VPh5238iy8j9ddwdR5gi5Fea3cAZKWTjfYDFXPSjmnQP4eGRrnRaB2ovOUdOVekQ==" saltValue="BrI6lGCFf0KhsQeXq9c9Fw==" spinCount="100000" sheet="1" formatCells="0" formatColumns="0" formatRows="0" insertColumns="0" insertRows="0" insertHyperlinks="0" deleteColumns="0" deleteRows="0" sort="0" autoFilter="0" pivotTables="0"/>
  <autoFilter ref="A2:I2" xr:uid="{00000000-0001-0000-0000-000000000000}"/>
  <mergeCells count="2">
    <mergeCell ref="A1:I1"/>
    <mergeCell ref="M1:M2"/>
  </mergeCells>
  <conditionalFormatting sqref="Q1">
    <cfRule type="expression" dxfId="0" priority="1">
      <formula>"&gt;0"</formula>
    </cfRule>
  </conditionalFormatting>
  <dataValidations count="1">
    <dataValidation type="custom" allowBlank="1" showInputMessage="1" showErrorMessage="1" prompt="Order quantity must be a multiple of Sales per Unit Case (See Column F)." sqref="H3:H34" xr:uid="{6F81C613-B5FF-403D-AA28-D73C183EC3FB}">
      <formula1>MOD(H3,F3)=0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(Womensense)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Пошта dsn.group - RE: Ukraine NF DSN Group - WS Womensense brand - Product</dc:title>
  <dc:creator>Acer</dc:creator>
  <cp:lastModifiedBy>Денис Хомик</cp:lastModifiedBy>
  <dcterms:created xsi:type="dcterms:W3CDTF">2025-05-12T09:35:40Z</dcterms:created>
  <dcterms:modified xsi:type="dcterms:W3CDTF">2026-02-18T11:49:30Z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2025-04-25T00:00:00Z</vt:filetime>
  </property>
  <property fmtid="{D5CDD505-2E9C-101B-9397-08002B2CF9AE}" pid="3" name="Creator">
    <vt:lpwstr>Mozilla/5.0 (Windows NT 10.0; Win64; x64) AppleWebKit/537.36 (KHTML, like Gecko) Chrome/132.0.0.0 Safari/537.36 OPR/117.0.0.0</vt:lpwstr>
  </property>
  <property fmtid="{D5CDD505-2E9C-101B-9397-08002B2CF9AE}" pid="4" name="LastSaved">
    <vt:filetime>2025-05-12T00:00:00Z</vt:filetime>
  </property>
  <property fmtid="{D5CDD505-2E9C-101B-9397-08002B2CF9AE}" pid="5" name="Producer">
    <vt:lpwstr>Skia/PDF m132</vt:lpwstr>
  </property>
</Properties>
</file>