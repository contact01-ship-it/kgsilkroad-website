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cer\Desktop\Prices\Rainbow Light\Продаж\"/>
    </mc:Choice>
  </mc:AlternateContent>
  <xr:revisionPtr revIDLastSave="0" documentId="13_ncr:1_{1DE6CED1-E92C-4037-AC5B-73E5CDE732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INBOW LIGHT" sheetId="4" r:id="rId1"/>
  </sheets>
  <definedNames>
    <definedName name="_xlnm._FilterDatabase" localSheetId="0" hidden="1">'RAINBOW LIGHT'!$A$2:$J$2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4" l="1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I29" i="4"/>
  <c r="J29" i="4"/>
  <c r="I30" i="4"/>
  <c r="J30" i="4"/>
  <c r="I31" i="4"/>
  <c r="J31" i="4"/>
  <c r="I32" i="4"/>
  <c r="J32" i="4"/>
  <c r="I33" i="4"/>
  <c r="J33" i="4"/>
  <c r="I34" i="4"/>
  <c r="J34" i="4"/>
  <c r="I35" i="4"/>
  <c r="J35" i="4"/>
  <c r="I36" i="4"/>
  <c r="J36" i="4"/>
  <c r="I37" i="4"/>
  <c r="J37" i="4"/>
  <c r="I38" i="4"/>
  <c r="J38" i="4"/>
  <c r="I39" i="4"/>
  <c r="J39" i="4"/>
  <c r="I40" i="4"/>
  <c r="J40" i="4"/>
  <c r="I41" i="4"/>
  <c r="J41" i="4"/>
  <c r="I42" i="4"/>
  <c r="J42" i="4"/>
  <c r="I43" i="4"/>
  <c r="J43" i="4"/>
  <c r="I44" i="4"/>
  <c r="J44" i="4"/>
  <c r="I45" i="4"/>
  <c r="J45" i="4"/>
  <c r="I46" i="4"/>
  <c r="J46" i="4"/>
  <c r="I47" i="4"/>
  <c r="J47" i="4"/>
  <c r="I48" i="4"/>
  <c r="J48" i="4"/>
  <c r="I49" i="4"/>
  <c r="J49" i="4"/>
  <c r="I50" i="4"/>
  <c r="J50" i="4"/>
  <c r="I51" i="4"/>
  <c r="J51" i="4"/>
  <c r="I52" i="4"/>
  <c r="J52" i="4"/>
  <c r="I53" i="4"/>
  <c r="J53" i="4"/>
  <c r="I54" i="4"/>
  <c r="J54" i="4"/>
  <c r="I55" i="4"/>
  <c r="J55" i="4"/>
  <c r="I56" i="4"/>
  <c r="J56" i="4"/>
  <c r="I57" i="4"/>
  <c r="J57" i="4"/>
  <c r="I58" i="4"/>
  <c r="J58" i="4"/>
  <c r="I59" i="4"/>
  <c r="J59" i="4"/>
  <c r="I60" i="4"/>
  <c r="J60" i="4"/>
  <c r="I61" i="4"/>
  <c r="J61" i="4"/>
  <c r="I62" i="4"/>
  <c r="J62" i="4"/>
  <c r="J3" i="4"/>
  <c r="I3" i="4"/>
  <c r="K2" i="4" l="1"/>
</calcChain>
</file>

<file path=xl/sharedStrings.xml><?xml version="1.0" encoding="utf-8"?>
<sst xmlns="http://schemas.openxmlformats.org/spreadsheetml/2006/main" count="192" uniqueCount="108">
  <si>
    <t>PRODUCT #</t>
  </si>
  <si>
    <t>PRODUCT DESCRIPTION</t>
  </si>
  <si>
    <t>SIZE</t>
  </si>
  <si>
    <t>FORM</t>
  </si>
  <si>
    <t>WHLSLE</t>
  </si>
  <si>
    <t xml:space="preserve"> UPC</t>
  </si>
  <si>
    <t>Capsules</t>
  </si>
  <si>
    <t>Gummies</t>
  </si>
  <si>
    <t>Chewables</t>
  </si>
  <si>
    <t>Tablets</t>
  </si>
  <si>
    <t>RL20412</t>
  </si>
  <si>
    <t>Women's One</t>
  </si>
  <si>
    <t>RL20414</t>
  </si>
  <si>
    <t>RL20416</t>
  </si>
  <si>
    <t>RL20422</t>
  </si>
  <si>
    <t>Women's One 50+</t>
  </si>
  <si>
    <t>RL20424</t>
  </si>
  <si>
    <t>RL11243</t>
  </si>
  <si>
    <t>Menopause One Multi</t>
  </si>
  <si>
    <t>RL80001</t>
  </si>
  <si>
    <t>Certified Organics Women's</t>
  </si>
  <si>
    <t>RL20148</t>
  </si>
  <si>
    <t>Women's Multi</t>
  </si>
  <si>
    <t>RL20427</t>
  </si>
  <si>
    <t>Prenatal One</t>
  </si>
  <si>
    <t>RL20429</t>
  </si>
  <si>
    <t>RL20431</t>
  </si>
  <si>
    <t>RL11332</t>
  </si>
  <si>
    <t>Prenatal DHA Smart Essentials</t>
  </si>
  <si>
    <t>Softgels</t>
  </si>
  <si>
    <t>RL20183</t>
  </si>
  <si>
    <t>Prenatal Mini Multi</t>
  </si>
  <si>
    <t>RL78161</t>
  </si>
  <si>
    <t>Postnatal Multi</t>
  </si>
  <si>
    <t>RL20312</t>
  </si>
  <si>
    <t>35+ Mom and Baby Pre &amp; Postnatal</t>
  </si>
  <si>
    <t>RL20390</t>
  </si>
  <si>
    <t>Men's One</t>
  </si>
  <si>
    <t>RL20392</t>
  </si>
  <si>
    <t>RL20394</t>
  </si>
  <si>
    <t>RL20403</t>
  </si>
  <si>
    <t>Men's One 50+</t>
  </si>
  <si>
    <t>RL20405</t>
  </si>
  <si>
    <t>RL80011</t>
  </si>
  <si>
    <t>Certified Organics Men's</t>
  </si>
  <si>
    <t>RL10693</t>
  </si>
  <si>
    <t>Performance Energy for Men</t>
  </si>
  <si>
    <t>RL10695</t>
  </si>
  <si>
    <t>RL20150</t>
  </si>
  <si>
    <t>Men's Multi Blueberry</t>
  </si>
  <si>
    <t>RL12053</t>
  </si>
  <si>
    <t>Kids Sunny Gummies D3 400 IU</t>
  </si>
  <si>
    <t>RL20437</t>
  </si>
  <si>
    <t>Kids Sunny D3 1000 IU</t>
  </si>
  <si>
    <t>RL10544</t>
  </si>
  <si>
    <t>Kid’s One Multi Fruit Punch Chewable</t>
  </si>
  <si>
    <t>RL11202</t>
  </si>
  <si>
    <t>Active Health Teen Multivitamin Tablets</t>
  </si>
  <si>
    <t>RL10982</t>
  </si>
  <si>
    <t>RL10992</t>
  </si>
  <si>
    <t xml:space="preserve">Active Adult 50+ Multi </t>
  </si>
  <si>
    <t>RL11342</t>
  </si>
  <si>
    <t>50+ Mini-Tablets Multi</t>
  </si>
  <si>
    <t>RL11343</t>
  </si>
  <si>
    <t>RL11601</t>
  </si>
  <si>
    <t>Counter Attack Blister cards</t>
  </si>
  <si>
    <t>RL20132</t>
  </si>
  <si>
    <t>Counter Attack</t>
  </si>
  <si>
    <t>RL10031</t>
  </si>
  <si>
    <t>Complete B Complex</t>
  </si>
  <si>
    <t>RL20398</t>
  </si>
  <si>
    <t>Vitamin C</t>
  </si>
  <si>
    <t>RL12033</t>
  </si>
  <si>
    <t>Gummy Vitamin C Slices</t>
  </si>
  <si>
    <t>RL10311</t>
  </si>
  <si>
    <t>Super C 1,000 MG</t>
  </si>
  <si>
    <t>RL12062</t>
  </si>
  <si>
    <t>Sunny Gummies D3 1,000 IU</t>
  </si>
  <si>
    <t>RL12064</t>
  </si>
  <si>
    <t>RL20439</t>
  </si>
  <si>
    <t>Vitamin D3 2000 IU</t>
  </si>
  <si>
    <t>RL12141</t>
  </si>
  <si>
    <t>Berry D-Licious D3 2,500 IU</t>
  </si>
  <si>
    <t>RL20211</t>
  </si>
  <si>
    <t>Calcium Citrate Mini's</t>
  </si>
  <si>
    <t>RL10951</t>
  </si>
  <si>
    <t>Calcium Real Food Nutrients (Food-Based Calcium)</t>
  </si>
  <si>
    <t>RL10952</t>
  </si>
  <si>
    <t>RL10101</t>
  </si>
  <si>
    <t>Magnesium Calcium Plus</t>
  </si>
  <si>
    <t>RL10102</t>
  </si>
  <si>
    <t>RL20061</t>
  </si>
  <si>
    <t>Complete Iron Mini</t>
  </si>
  <si>
    <t>RL35101</t>
  </si>
  <si>
    <t>All-Zyme Advanced Enzyme System</t>
  </si>
  <si>
    <t>RL35102</t>
  </si>
  <si>
    <t>RL12121</t>
  </si>
  <si>
    <t>Probiolicious Probiotics</t>
  </si>
  <si>
    <t>RL27031</t>
  </si>
  <si>
    <t>Naturally Derived Berberine</t>
  </si>
  <si>
    <t>RL25613</t>
  </si>
  <si>
    <t>Mushroom Complex</t>
  </si>
  <si>
    <t>Purchase Price 15% OFF
(Total 432 qty~)</t>
    <phoneticPr fontId="5" type="noConversion"/>
  </si>
  <si>
    <t>Order</t>
  </si>
  <si>
    <t>Total</t>
  </si>
  <si>
    <t>Total with discount</t>
  </si>
  <si>
    <t>26.06.2025</t>
  </si>
  <si>
    <r>
      <rPr>
        <b/>
        <sz val="9"/>
        <color rgb="FFFF0000"/>
        <rFont val="Calibri"/>
        <family val="2"/>
        <charset val="204"/>
        <scheme val="minor"/>
      </rPr>
      <t>Importantly!</t>
    </r>
    <r>
      <rPr>
        <sz val="9"/>
        <color theme="1"/>
        <rFont val="Calibri"/>
        <family val="2"/>
        <scheme val="min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</si>
</sst>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&quot;$&quot;#,##0.00;[Red]&quot;$&quot;#,##0.00"/>
  </numFmts>
  <fonts count="1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165" fontId="0" fillId="0" borderId="2" xfId="0" applyNumberFormat="1" applyBorder="1" applyAlignment="1">
      <alignment horizontal="center" vertical="center"/>
    </xf>
    <xf numFmtId="164" fontId="0" fillId="0" borderId="2" xfId="1" applyFont="1" applyBorder="1" applyAlignment="1">
      <alignment vertical="center"/>
    </xf>
    <xf numFmtId="164" fontId="0" fillId="0" borderId="2" xfId="1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64" fontId="4" fillId="0" borderId="2" xfId="0" applyNumberFormat="1" applyFont="1" applyBorder="1"/>
    <xf numFmtId="164" fontId="0" fillId="0" borderId="2" xfId="0" applyNumberFormat="1" applyBorder="1" applyAlignment="1">
      <alignment vertical="center"/>
    </xf>
    <xf numFmtId="0" fontId="0" fillId="0" borderId="0" xfId="0" applyAlignment="1">
      <alignment wrapText="1"/>
    </xf>
    <xf numFmtId="0" fontId="4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4" fillId="0" borderId="2" xfId="0" applyFont="1" applyBorder="1" applyAlignment="1">
      <alignment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64" fontId="0" fillId="0" borderId="6" xfId="1" applyFont="1" applyBorder="1" applyAlignment="1">
      <alignment vertical="center"/>
    </xf>
    <xf numFmtId="164" fontId="0" fillId="0" borderId="7" xfId="1" applyFont="1" applyBorder="1" applyAlignment="1">
      <alignment vertical="center"/>
    </xf>
    <xf numFmtId="2" fontId="0" fillId="0" borderId="8" xfId="0" applyNumberFormat="1" applyBorder="1" applyAlignment="1">
      <alignment horizontal="center" vertical="center"/>
    </xf>
    <xf numFmtId="164" fontId="0" fillId="0" borderId="9" xfId="1" applyFont="1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4" fillId="0" borderId="11" xfId="0" applyFont="1" applyBorder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164" fontId="0" fillId="0" borderId="11" xfId="1" applyFont="1" applyFill="1" applyBorder="1" applyAlignment="1">
      <alignment vertical="center"/>
    </xf>
    <xf numFmtId="164" fontId="0" fillId="0" borderId="11" xfId="1" applyFont="1" applyBorder="1" applyAlignment="1">
      <alignment vertical="center"/>
    </xf>
    <xf numFmtId="164" fontId="0" fillId="0" borderId="12" xfId="1" applyFont="1" applyBorder="1" applyAlignment="1">
      <alignment vertical="center"/>
    </xf>
    <xf numFmtId="164" fontId="6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0" xfId="0" quotePrefix="1" applyFont="1" applyAlignment="1">
      <alignment horizontal="center" vertical="center"/>
    </xf>
    <xf numFmtId="0" fontId="9" fillId="0" borderId="13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/>
    </xf>
    <xf numFmtId="0" fontId="0" fillId="0" borderId="6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</cellXfs>
  <cellStyles count="2">
    <cellStyle name="Грошовий" xfId="1" builtinId="4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419099</xdr:colOff>
      <xdr:row>0</xdr:row>
      <xdr:rowOff>68580</xdr:rowOff>
    </xdr:from>
    <xdr:to>
      <xdr:col>6</xdr:col>
      <xdr:colOff>88582</xdr:colOff>
      <xdr:row>0</xdr:row>
      <xdr:rowOff>960120</xdr:rowOff>
    </xdr:to>
    <xdr:pic>
      <xdr:nvPicPr>
        <xdr:cNvPr id="4" name="Рисунок 3" descr="Vitamin cho nam Rainbow Light Men's One Multivitamin 180 Tablets - Wowmart  VN | 100% hàng ngoại nhập">
          <a:extLst>
            <a:ext uri="{FF2B5EF4-FFF2-40B4-BE49-F238E27FC236}">
              <a16:creationId xmlns:a16="http://schemas.microsoft.com/office/drawing/2014/main" id="{7A2C1B41-2B85-6AF3-425A-09E38F5B3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3439" y="68580"/>
          <a:ext cx="2786063" cy="891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2"/>
  <sheetViews>
    <sheetView tabSelected="1" workbookViewId="0">
      <pane ySplit="2" topLeftCell="A3" activePane="bottomLeft" state="frozen"/>
      <selection pane="bottomLeft" activeCell="K1048569" sqref="K1048569"/>
    </sheetView>
  </sheetViews>
  <sheetFormatPr defaultColWidth="11.59765625" defaultRowHeight="15.6"/>
  <cols>
    <col min="2" max="2" width="44.09765625" bestFit="1" customWidth="1"/>
    <col min="3" max="3" width="8.09765625" bestFit="1" customWidth="1"/>
    <col min="4" max="4" width="9.8984375" bestFit="1" customWidth="1"/>
    <col min="5" max="5" width="11.8984375" bestFit="1" customWidth="1"/>
    <col min="6" max="6" width="11" bestFit="1" customWidth="1"/>
    <col min="7" max="7" width="13.296875" customWidth="1"/>
    <col min="8" max="8" width="11.59765625" style="47"/>
    <col min="9" max="10" width="11" bestFit="1" customWidth="1"/>
  </cols>
  <sheetData>
    <row r="1" spans="1:11" ht="81" customHeight="1" thickBot="1">
      <c r="A1" s="42" t="s">
        <v>107</v>
      </c>
      <c r="B1" s="43"/>
      <c r="C1" s="43"/>
      <c r="D1" s="43"/>
      <c r="E1" s="43"/>
      <c r="F1" s="43"/>
      <c r="G1" s="43"/>
      <c r="H1" s="43"/>
      <c r="I1" s="43"/>
      <c r="J1" s="43"/>
      <c r="K1" s="41" t="s">
        <v>106</v>
      </c>
    </row>
    <row r="2" spans="1:11" s="9" customFormat="1" ht="45" customHeight="1" thickBot="1">
      <c r="A2" s="39" t="s">
        <v>0</v>
      </c>
      <c r="B2" s="11" t="s">
        <v>1</v>
      </c>
      <c r="C2" s="12" t="s">
        <v>2</v>
      </c>
      <c r="D2" s="12" t="s">
        <v>3</v>
      </c>
      <c r="E2" s="12" t="s">
        <v>5</v>
      </c>
      <c r="F2" s="13" t="s">
        <v>4</v>
      </c>
      <c r="G2" s="13" t="s">
        <v>102</v>
      </c>
      <c r="H2" s="40" t="s">
        <v>103</v>
      </c>
      <c r="I2" s="13" t="s">
        <v>104</v>
      </c>
      <c r="J2" s="13" t="s">
        <v>105</v>
      </c>
      <c r="K2" s="38">
        <f>SUM(J3:J62)</f>
        <v>0</v>
      </c>
    </row>
    <row r="3" spans="1:11">
      <c r="A3" s="19" t="s">
        <v>10</v>
      </c>
      <c r="B3" s="20" t="s">
        <v>11</v>
      </c>
      <c r="C3" s="21">
        <v>30</v>
      </c>
      <c r="D3" s="22" t="s">
        <v>9</v>
      </c>
      <c r="E3" s="23">
        <v>21888217045</v>
      </c>
      <c r="F3" s="24">
        <v>9.75</v>
      </c>
      <c r="G3" s="24">
        <v>8.2874999999999996</v>
      </c>
      <c r="H3" s="44"/>
      <c r="I3" s="24">
        <f>H3*F3</f>
        <v>0</v>
      </c>
      <c r="J3" s="25">
        <f>IF(H3&gt;431,H3*G3,H3*F3)</f>
        <v>0</v>
      </c>
    </row>
    <row r="4" spans="1:11">
      <c r="A4" s="26" t="s">
        <v>12</v>
      </c>
      <c r="B4" s="14" t="s">
        <v>11</v>
      </c>
      <c r="C4" s="4">
        <v>60</v>
      </c>
      <c r="D4" s="1" t="s">
        <v>9</v>
      </c>
      <c r="E4" s="6">
        <v>21888217038</v>
      </c>
      <c r="F4" s="2">
        <v>16.900000000000002</v>
      </c>
      <c r="G4" s="2">
        <v>14.364999999999998</v>
      </c>
      <c r="H4" s="45"/>
      <c r="I4" s="2">
        <f t="shared" ref="I4:I62" si="0">H4*F4</f>
        <v>0</v>
      </c>
      <c r="J4" s="27">
        <f t="shared" ref="J4:J62" si="1">IF(H4&gt;431,H4*G4,H4*F4)</f>
        <v>0</v>
      </c>
    </row>
    <row r="5" spans="1:11">
      <c r="A5" s="28" t="s">
        <v>13</v>
      </c>
      <c r="B5" s="14" t="s">
        <v>11</v>
      </c>
      <c r="C5" s="4">
        <v>120</v>
      </c>
      <c r="D5" s="1" t="s">
        <v>9</v>
      </c>
      <c r="E5" s="6">
        <v>21888217052</v>
      </c>
      <c r="F5" s="2">
        <v>29.25</v>
      </c>
      <c r="G5" s="2">
        <v>24.862500000000001</v>
      </c>
      <c r="H5" s="45"/>
      <c r="I5" s="2">
        <f t="shared" si="0"/>
        <v>0</v>
      </c>
      <c r="J5" s="27">
        <f t="shared" si="1"/>
        <v>0</v>
      </c>
    </row>
    <row r="6" spans="1:11">
      <c r="A6" s="28" t="s">
        <v>14</v>
      </c>
      <c r="B6" s="14" t="s">
        <v>15</v>
      </c>
      <c r="C6" s="4">
        <v>60</v>
      </c>
      <c r="D6" s="1" t="s">
        <v>9</v>
      </c>
      <c r="E6" s="6">
        <v>21888204229</v>
      </c>
      <c r="F6" s="3">
        <v>16.900000000000002</v>
      </c>
      <c r="G6" s="3">
        <v>14.364999999999998</v>
      </c>
      <c r="H6" s="45"/>
      <c r="I6" s="2">
        <f t="shared" si="0"/>
        <v>0</v>
      </c>
      <c r="J6" s="27">
        <f t="shared" si="1"/>
        <v>0</v>
      </c>
    </row>
    <row r="7" spans="1:11">
      <c r="A7" s="28" t="s">
        <v>16</v>
      </c>
      <c r="B7" s="14" t="s">
        <v>15</v>
      </c>
      <c r="C7" s="4">
        <v>120</v>
      </c>
      <c r="D7" s="1" t="s">
        <v>9</v>
      </c>
      <c r="E7" s="6">
        <v>21888204243</v>
      </c>
      <c r="F7" s="3">
        <v>29.25</v>
      </c>
      <c r="G7" s="3">
        <v>24.862500000000001</v>
      </c>
      <c r="H7" s="45"/>
      <c r="I7" s="2">
        <f t="shared" si="0"/>
        <v>0</v>
      </c>
      <c r="J7" s="27">
        <f t="shared" si="1"/>
        <v>0</v>
      </c>
    </row>
    <row r="8" spans="1:11">
      <c r="A8" s="28" t="s">
        <v>17</v>
      </c>
      <c r="B8" s="14" t="s">
        <v>18</v>
      </c>
      <c r="C8" s="4">
        <v>90</v>
      </c>
      <c r="D8" s="1" t="s">
        <v>9</v>
      </c>
      <c r="E8" s="6">
        <v>21888112432</v>
      </c>
      <c r="F8" s="3">
        <v>25.506000000000004</v>
      </c>
      <c r="G8" s="3">
        <v>21.680099999999999</v>
      </c>
      <c r="H8" s="45"/>
      <c r="I8" s="2">
        <f t="shared" si="0"/>
        <v>0</v>
      </c>
      <c r="J8" s="27">
        <f t="shared" si="1"/>
        <v>0</v>
      </c>
    </row>
    <row r="9" spans="1:11">
      <c r="A9" s="28" t="s">
        <v>19</v>
      </c>
      <c r="B9" s="14" t="s">
        <v>20</v>
      </c>
      <c r="C9" s="4">
        <v>120</v>
      </c>
      <c r="D9" s="1" t="s">
        <v>6</v>
      </c>
      <c r="E9" s="6">
        <v>21888800018</v>
      </c>
      <c r="F9" s="3">
        <v>31.200000000000003</v>
      </c>
      <c r="G9" s="3">
        <v>26.52</v>
      </c>
      <c r="H9" s="45"/>
      <c r="I9" s="2">
        <f t="shared" si="0"/>
        <v>0</v>
      </c>
      <c r="J9" s="27">
        <f t="shared" si="1"/>
        <v>0</v>
      </c>
    </row>
    <row r="10" spans="1:11">
      <c r="A10" s="28" t="s">
        <v>21</v>
      </c>
      <c r="B10" s="14" t="s">
        <v>22</v>
      </c>
      <c r="C10" s="4">
        <v>120</v>
      </c>
      <c r="D10" s="1" t="s">
        <v>7</v>
      </c>
      <c r="E10" s="6">
        <v>21888201488</v>
      </c>
      <c r="F10" s="3">
        <v>23.387</v>
      </c>
      <c r="G10" s="3">
        <v>19.878949999999996</v>
      </c>
      <c r="H10" s="45"/>
      <c r="I10" s="2">
        <f t="shared" si="0"/>
        <v>0</v>
      </c>
      <c r="J10" s="27">
        <f t="shared" si="1"/>
        <v>0</v>
      </c>
    </row>
    <row r="11" spans="1:11">
      <c r="A11" s="29" t="s">
        <v>23</v>
      </c>
      <c r="B11" s="15" t="s">
        <v>24</v>
      </c>
      <c r="C11" s="10">
        <v>30</v>
      </c>
      <c r="D11" s="5" t="s">
        <v>9</v>
      </c>
      <c r="E11" s="16">
        <v>21888217243</v>
      </c>
      <c r="F11" s="3">
        <v>9.75</v>
      </c>
      <c r="G11" s="3">
        <v>8.2874999999999996</v>
      </c>
      <c r="H11" s="45"/>
      <c r="I11" s="2">
        <f t="shared" si="0"/>
        <v>0</v>
      </c>
      <c r="J11" s="27">
        <f t="shared" si="1"/>
        <v>0</v>
      </c>
    </row>
    <row r="12" spans="1:11">
      <c r="A12" s="29" t="s">
        <v>25</v>
      </c>
      <c r="B12" s="15" t="s">
        <v>24</v>
      </c>
      <c r="C12" s="10">
        <v>60</v>
      </c>
      <c r="D12" s="5" t="s">
        <v>9</v>
      </c>
      <c r="E12" s="16">
        <v>21888217236</v>
      </c>
      <c r="F12" s="3">
        <v>16.900000000000002</v>
      </c>
      <c r="G12" s="3">
        <v>14.364999999999998</v>
      </c>
      <c r="H12" s="45"/>
      <c r="I12" s="2">
        <f t="shared" si="0"/>
        <v>0</v>
      </c>
      <c r="J12" s="27">
        <f t="shared" si="1"/>
        <v>0</v>
      </c>
    </row>
    <row r="13" spans="1:11">
      <c r="A13" s="29" t="s">
        <v>26</v>
      </c>
      <c r="B13" s="15" t="s">
        <v>24</v>
      </c>
      <c r="C13" s="10">
        <v>120</v>
      </c>
      <c r="D13" s="5" t="s">
        <v>9</v>
      </c>
      <c r="E13" s="16">
        <v>21888217250</v>
      </c>
      <c r="F13" s="3">
        <v>29.25</v>
      </c>
      <c r="G13" s="3">
        <v>24.862500000000001</v>
      </c>
      <c r="H13" s="45"/>
      <c r="I13" s="2">
        <f t="shared" si="0"/>
        <v>0</v>
      </c>
      <c r="J13" s="27">
        <f t="shared" si="1"/>
        <v>0</v>
      </c>
    </row>
    <row r="14" spans="1:11">
      <c r="A14" s="29" t="s">
        <v>27</v>
      </c>
      <c r="B14" s="15" t="s">
        <v>28</v>
      </c>
      <c r="C14" s="10">
        <v>60</v>
      </c>
      <c r="D14" s="5" t="s">
        <v>29</v>
      </c>
      <c r="E14" s="16">
        <v>21888113323</v>
      </c>
      <c r="F14" s="3">
        <v>25.727</v>
      </c>
      <c r="G14" s="3">
        <v>21.86795</v>
      </c>
      <c r="H14" s="45"/>
      <c r="I14" s="2">
        <f t="shared" si="0"/>
        <v>0</v>
      </c>
      <c r="J14" s="27">
        <f t="shared" si="1"/>
        <v>0</v>
      </c>
    </row>
    <row r="15" spans="1:11">
      <c r="A15" s="29" t="s">
        <v>30</v>
      </c>
      <c r="B15" s="15" t="s">
        <v>31</v>
      </c>
      <c r="C15" s="10">
        <v>180</v>
      </c>
      <c r="D15" s="5" t="s">
        <v>9</v>
      </c>
      <c r="E15" s="16">
        <v>21888201839</v>
      </c>
      <c r="F15" s="3">
        <v>32.5</v>
      </c>
      <c r="G15" s="3">
        <v>27.625</v>
      </c>
      <c r="H15" s="45"/>
      <c r="I15" s="2">
        <f t="shared" si="0"/>
        <v>0</v>
      </c>
      <c r="J15" s="27">
        <f t="shared" si="1"/>
        <v>0</v>
      </c>
    </row>
    <row r="16" spans="1:11">
      <c r="A16" s="29" t="s">
        <v>32</v>
      </c>
      <c r="B16" s="15" t="s">
        <v>33</v>
      </c>
      <c r="C16" s="10">
        <v>120</v>
      </c>
      <c r="D16" s="5" t="s">
        <v>6</v>
      </c>
      <c r="E16" s="16">
        <v>21888781614</v>
      </c>
      <c r="F16" s="3">
        <v>32.5</v>
      </c>
      <c r="G16" s="3">
        <v>27.625</v>
      </c>
      <c r="H16" s="45"/>
      <c r="I16" s="2">
        <f t="shared" si="0"/>
        <v>0</v>
      </c>
      <c r="J16" s="27">
        <f t="shared" si="1"/>
        <v>0</v>
      </c>
    </row>
    <row r="17" spans="1:10">
      <c r="A17" s="29" t="s">
        <v>34</v>
      </c>
      <c r="B17" s="15" t="s">
        <v>35</v>
      </c>
      <c r="C17" s="10">
        <v>60</v>
      </c>
      <c r="D17" s="5" t="s">
        <v>9</v>
      </c>
      <c r="E17" s="16">
        <v>21888203123</v>
      </c>
      <c r="F17" s="3">
        <v>45.5</v>
      </c>
      <c r="G17" s="3">
        <v>38.675000000000004</v>
      </c>
      <c r="H17" s="45"/>
      <c r="I17" s="2">
        <f t="shared" si="0"/>
        <v>0</v>
      </c>
      <c r="J17" s="27">
        <f t="shared" si="1"/>
        <v>0</v>
      </c>
    </row>
    <row r="18" spans="1:10">
      <c r="A18" s="29" t="s">
        <v>36</v>
      </c>
      <c r="B18" s="15" t="s">
        <v>37</v>
      </c>
      <c r="C18" s="10">
        <v>30</v>
      </c>
      <c r="D18" s="5" t="s">
        <v>9</v>
      </c>
      <c r="E18" s="16">
        <v>21888217144</v>
      </c>
      <c r="F18" s="3">
        <v>9.75</v>
      </c>
      <c r="G18" s="3">
        <v>8.2874999999999996</v>
      </c>
      <c r="H18" s="45"/>
      <c r="I18" s="2">
        <f t="shared" si="0"/>
        <v>0</v>
      </c>
      <c r="J18" s="27">
        <f t="shared" si="1"/>
        <v>0</v>
      </c>
    </row>
    <row r="19" spans="1:10">
      <c r="A19" s="29" t="s">
        <v>38</v>
      </c>
      <c r="B19" s="15" t="s">
        <v>37</v>
      </c>
      <c r="C19" s="10">
        <v>60</v>
      </c>
      <c r="D19" s="5" t="s">
        <v>9</v>
      </c>
      <c r="E19" s="16">
        <v>21888217137</v>
      </c>
      <c r="F19" s="3">
        <v>16.900000000000002</v>
      </c>
      <c r="G19" s="3">
        <v>14.364999999999998</v>
      </c>
      <c r="H19" s="45"/>
      <c r="I19" s="2">
        <f t="shared" si="0"/>
        <v>0</v>
      </c>
      <c r="J19" s="27">
        <f t="shared" si="1"/>
        <v>0</v>
      </c>
    </row>
    <row r="20" spans="1:10">
      <c r="A20" s="29" t="s">
        <v>39</v>
      </c>
      <c r="B20" s="15" t="s">
        <v>37</v>
      </c>
      <c r="C20" s="10">
        <v>120</v>
      </c>
      <c r="D20" s="5" t="s">
        <v>9</v>
      </c>
      <c r="E20" s="16">
        <v>21888217151</v>
      </c>
      <c r="F20" s="3">
        <v>29.25</v>
      </c>
      <c r="G20" s="3">
        <v>24.862500000000001</v>
      </c>
      <c r="H20" s="45"/>
      <c r="I20" s="2">
        <f t="shared" si="0"/>
        <v>0</v>
      </c>
      <c r="J20" s="27">
        <f t="shared" si="1"/>
        <v>0</v>
      </c>
    </row>
    <row r="21" spans="1:10">
      <c r="A21" s="29" t="s">
        <v>40</v>
      </c>
      <c r="B21" s="15" t="s">
        <v>41</v>
      </c>
      <c r="C21" s="10">
        <v>60</v>
      </c>
      <c r="D21" s="5" t="s">
        <v>9</v>
      </c>
      <c r="E21" s="16">
        <v>21888204038</v>
      </c>
      <c r="F21" s="3">
        <v>16.900000000000002</v>
      </c>
      <c r="G21" s="3">
        <v>14.364999999999998</v>
      </c>
      <c r="H21" s="45"/>
      <c r="I21" s="2">
        <f t="shared" si="0"/>
        <v>0</v>
      </c>
      <c r="J21" s="27">
        <f t="shared" si="1"/>
        <v>0</v>
      </c>
    </row>
    <row r="22" spans="1:10">
      <c r="A22" s="29" t="s">
        <v>42</v>
      </c>
      <c r="B22" s="15" t="s">
        <v>41</v>
      </c>
      <c r="C22" s="10">
        <v>120</v>
      </c>
      <c r="D22" s="5" t="s">
        <v>9</v>
      </c>
      <c r="E22" s="16">
        <v>21888204052</v>
      </c>
      <c r="F22" s="3">
        <v>29.25</v>
      </c>
      <c r="G22" s="3">
        <v>24.862500000000001</v>
      </c>
      <c r="H22" s="45"/>
      <c r="I22" s="2">
        <f t="shared" si="0"/>
        <v>0</v>
      </c>
      <c r="J22" s="27">
        <f t="shared" si="1"/>
        <v>0</v>
      </c>
    </row>
    <row r="23" spans="1:10">
      <c r="A23" s="29" t="s">
        <v>43</v>
      </c>
      <c r="B23" s="15" t="s">
        <v>44</v>
      </c>
      <c r="C23" s="10">
        <v>120</v>
      </c>
      <c r="D23" s="5" t="s">
        <v>6</v>
      </c>
      <c r="E23" s="16">
        <v>21888800117</v>
      </c>
      <c r="F23" s="3">
        <v>31.200000000000003</v>
      </c>
      <c r="G23" s="3">
        <v>26.52</v>
      </c>
      <c r="H23" s="45"/>
      <c r="I23" s="2">
        <f t="shared" si="0"/>
        <v>0</v>
      </c>
      <c r="J23" s="27">
        <f t="shared" si="1"/>
        <v>0</v>
      </c>
    </row>
    <row r="24" spans="1:10">
      <c r="A24" s="29" t="s">
        <v>45</v>
      </c>
      <c r="B24" s="15" t="s">
        <v>46</v>
      </c>
      <c r="C24" s="10">
        <v>90</v>
      </c>
      <c r="D24" s="5" t="s">
        <v>9</v>
      </c>
      <c r="E24" s="16">
        <v>21888106936</v>
      </c>
      <c r="F24" s="3">
        <v>31.200000000000003</v>
      </c>
      <c r="G24" s="3">
        <v>26.52</v>
      </c>
      <c r="H24" s="45"/>
      <c r="I24" s="2">
        <f t="shared" si="0"/>
        <v>0</v>
      </c>
      <c r="J24" s="27">
        <f t="shared" si="1"/>
        <v>0</v>
      </c>
    </row>
    <row r="25" spans="1:10">
      <c r="A25" s="29" t="s">
        <v>47</v>
      </c>
      <c r="B25" s="15" t="s">
        <v>46</v>
      </c>
      <c r="C25" s="10">
        <v>180</v>
      </c>
      <c r="D25" s="5" t="s">
        <v>9</v>
      </c>
      <c r="E25" s="16">
        <v>21888106950</v>
      </c>
      <c r="F25" s="3">
        <v>52</v>
      </c>
      <c r="G25" s="3">
        <v>44.2</v>
      </c>
      <c r="H25" s="45"/>
      <c r="I25" s="2">
        <f t="shared" si="0"/>
        <v>0</v>
      </c>
      <c r="J25" s="27">
        <f t="shared" si="1"/>
        <v>0</v>
      </c>
    </row>
    <row r="26" spans="1:10">
      <c r="A26" s="29" t="s">
        <v>48</v>
      </c>
      <c r="B26" s="15" t="s">
        <v>49</v>
      </c>
      <c r="C26" s="10">
        <v>120</v>
      </c>
      <c r="D26" s="5" t="s">
        <v>7</v>
      </c>
      <c r="E26" s="16">
        <v>21888201501</v>
      </c>
      <c r="F26" s="3">
        <v>23.387</v>
      </c>
      <c r="G26" s="3">
        <v>19.878949999999996</v>
      </c>
      <c r="H26" s="45"/>
      <c r="I26" s="2">
        <f t="shared" si="0"/>
        <v>0</v>
      </c>
      <c r="J26" s="27">
        <f t="shared" si="1"/>
        <v>0</v>
      </c>
    </row>
    <row r="27" spans="1:10">
      <c r="A27" s="28" t="s">
        <v>50</v>
      </c>
      <c r="B27" s="14" t="s">
        <v>51</v>
      </c>
      <c r="C27" s="4">
        <v>60</v>
      </c>
      <c r="D27" s="1" t="s">
        <v>7</v>
      </c>
      <c r="E27" s="6">
        <v>21888120536</v>
      </c>
      <c r="F27" s="3">
        <v>10.127000000000001</v>
      </c>
      <c r="G27" s="3">
        <v>8.6079500000000007</v>
      </c>
      <c r="H27" s="45"/>
      <c r="I27" s="2">
        <f t="shared" si="0"/>
        <v>0</v>
      </c>
      <c r="J27" s="27">
        <f t="shared" si="1"/>
        <v>0</v>
      </c>
    </row>
    <row r="28" spans="1:10">
      <c r="A28" s="28" t="s">
        <v>52</v>
      </c>
      <c r="B28" s="14" t="s">
        <v>53</v>
      </c>
      <c r="C28" s="4">
        <v>60</v>
      </c>
      <c r="D28" s="1" t="s">
        <v>7</v>
      </c>
      <c r="E28" s="6">
        <v>21888204373</v>
      </c>
      <c r="F28" s="3">
        <v>10.907000000000002</v>
      </c>
      <c r="G28" s="3">
        <v>9.2709500000000009</v>
      </c>
      <c r="H28" s="45"/>
      <c r="I28" s="2">
        <f t="shared" si="0"/>
        <v>0</v>
      </c>
      <c r="J28" s="27">
        <f t="shared" si="1"/>
        <v>0</v>
      </c>
    </row>
    <row r="29" spans="1:10">
      <c r="A29" s="28" t="s">
        <v>54</v>
      </c>
      <c r="B29" s="14" t="s">
        <v>55</v>
      </c>
      <c r="C29" s="4">
        <v>120</v>
      </c>
      <c r="D29" s="1" t="s">
        <v>8</v>
      </c>
      <c r="E29" s="6">
        <v>21888105441</v>
      </c>
      <c r="F29" s="3">
        <v>23.400000000000002</v>
      </c>
      <c r="G29" s="3">
        <v>19.89</v>
      </c>
      <c r="H29" s="45"/>
      <c r="I29" s="2">
        <f t="shared" si="0"/>
        <v>0</v>
      </c>
      <c r="J29" s="27">
        <f t="shared" si="1"/>
        <v>0</v>
      </c>
    </row>
    <row r="30" spans="1:10">
      <c r="A30" s="28" t="s">
        <v>56</v>
      </c>
      <c r="B30" s="14" t="s">
        <v>57</v>
      </c>
      <c r="C30" s="6">
        <v>90</v>
      </c>
      <c r="D30" s="1" t="s">
        <v>9</v>
      </c>
      <c r="E30" s="17">
        <v>21888112029</v>
      </c>
      <c r="F30" s="7">
        <v>31.200000000000003</v>
      </c>
      <c r="G30" s="7">
        <v>26.52</v>
      </c>
      <c r="H30" s="45"/>
      <c r="I30" s="2">
        <f t="shared" si="0"/>
        <v>0</v>
      </c>
      <c r="J30" s="27">
        <f t="shared" si="1"/>
        <v>0</v>
      </c>
    </row>
    <row r="31" spans="1:10">
      <c r="A31" s="28" t="s">
        <v>58</v>
      </c>
      <c r="B31" s="14" t="s">
        <v>55</v>
      </c>
      <c r="C31" s="4">
        <v>90</v>
      </c>
      <c r="D31" s="1" t="s">
        <v>8</v>
      </c>
      <c r="E31" s="6">
        <v>21888109821</v>
      </c>
      <c r="F31" s="3">
        <v>21.45</v>
      </c>
      <c r="G31" s="3">
        <v>18.232500000000002</v>
      </c>
      <c r="H31" s="45"/>
      <c r="I31" s="2">
        <f t="shared" si="0"/>
        <v>0</v>
      </c>
      <c r="J31" s="27">
        <f t="shared" si="1"/>
        <v>0</v>
      </c>
    </row>
    <row r="32" spans="1:10">
      <c r="A32" s="29" t="s">
        <v>59</v>
      </c>
      <c r="B32" s="18" t="s">
        <v>60</v>
      </c>
      <c r="C32" s="16">
        <v>90</v>
      </c>
      <c r="D32" s="5" t="s">
        <v>9</v>
      </c>
      <c r="E32" s="17">
        <v>21888109920</v>
      </c>
      <c r="F32" s="7">
        <v>32.5</v>
      </c>
      <c r="G32" s="7">
        <v>27.625</v>
      </c>
      <c r="H32" s="45"/>
      <c r="I32" s="2">
        <f t="shared" si="0"/>
        <v>0</v>
      </c>
      <c r="J32" s="27">
        <f t="shared" si="1"/>
        <v>0</v>
      </c>
    </row>
    <row r="33" spans="1:10">
      <c r="A33" s="29" t="s">
        <v>61</v>
      </c>
      <c r="B33" s="18" t="s">
        <v>62</v>
      </c>
      <c r="C33" s="10">
        <v>90</v>
      </c>
      <c r="D33" s="10" t="s">
        <v>9</v>
      </c>
      <c r="E33" s="16">
        <v>21888113422</v>
      </c>
      <c r="F33" s="8">
        <v>16.900000000000002</v>
      </c>
      <c r="G33" s="8">
        <v>14.364999999999998</v>
      </c>
      <c r="H33" s="45"/>
      <c r="I33" s="2">
        <f t="shared" si="0"/>
        <v>0</v>
      </c>
      <c r="J33" s="27">
        <f t="shared" si="1"/>
        <v>0</v>
      </c>
    </row>
    <row r="34" spans="1:10">
      <c r="A34" s="29" t="s">
        <v>63</v>
      </c>
      <c r="B34" s="18" t="s">
        <v>62</v>
      </c>
      <c r="C34" s="10">
        <v>180</v>
      </c>
      <c r="D34" s="10" t="s">
        <v>9</v>
      </c>
      <c r="E34" s="16">
        <v>21888113439</v>
      </c>
      <c r="F34" s="8">
        <v>32.5</v>
      </c>
      <c r="G34" s="8">
        <v>27.625</v>
      </c>
      <c r="H34" s="45"/>
      <c r="I34" s="2">
        <f t="shared" si="0"/>
        <v>0</v>
      </c>
      <c r="J34" s="27">
        <f t="shared" si="1"/>
        <v>0</v>
      </c>
    </row>
    <row r="35" spans="1:10">
      <c r="A35" s="29" t="s">
        <v>14</v>
      </c>
      <c r="B35" s="18" t="s">
        <v>15</v>
      </c>
      <c r="C35" s="10">
        <v>60</v>
      </c>
      <c r="D35" s="10" t="s">
        <v>9</v>
      </c>
      <c r="E35" s="16">
        <v>21888204229</v>
      </c>
      <c r="F35" s="8">
        <v>16.900000000000002</v>
      </c>
      <c r="G35" s="8">
        <v>14.364999999999998</v>
      </c>
      <c r="H35" s="45"/>
      <c r="I35" s="2">
        <f t="shared" si="0"/>
        <v>0</v>
      </c>
      <c r="J35" s="27">
        <f t="shared" si="1"/>
        <v>0</v>
      </c>
    </row>
    <row r="36" spans="1:10">
      <c r="A36" s="29" t="s">
        <v>16</v>
      </c>
      <c r="B36" s="18" t="s">
        <v>15</v>
      </c>
      <c r="C36" s="10">
        <v>120</v>
      </c>
      <c r="D36" s="10" t="s">
        <v>9</v>
      </c>
      <c r="E36" s="16">
        <v>21888204243</v>
      </c>
      <c r="F36" s="8">
        <v>29.25</v>
      </c>
      <c r="G36" s="8">
        <v>24.862500000000001</v>
      </c>
      <c r="H36" s="45"/>
      <c r="I36" s="2">
        <f t="shared" si="0"/>
        <v>0</v>
      </c>
      <c r="J36" s="27">
        <f t="shared" si="1"/>
        <v>0</v>
      </c>
    </row>
    <row r="37" spans="1:10">
      <c r="A37" s="29" t="s">
        <v>40</v>
      </c>
      <c r="B37" s="18" t="s">
        <v>41</v>
      </c>
      <c r="C37" s="10">
        <v>60</v>
      </c>
      <c r="D37" s="10" t="s">
        <v>9</v>
      </c>
      <c r="E37" s="16">
        <v>21888204038</v>
      </c>
      <c r="F37" s="8">
        <v>16.900000000000002</v>
      </c>
      <c r="G37" s="8">
        <v>14.364999999999998</v>
      </c>
      <c r="H37" s="45"/>
      <c r="I37" s="2">
        <f t="shared" si="0"/>
        <v>0</v>
      </c>
      <c r="J37" s="27">
        <f t="shared" si="1"/>
        <v>0</v>
      </c>
    </row>
    <row r="38" spans="1:10">
      <c r="A38" s="29" t="s">
        <v>42</v>
      </c>
      <c r="B38" s="18" t="s">
        <v>41</v>
      </c>
      <c r="C38" s="10">
        <v>120</v>
      </c>
      <c r="D38" s="10" t="s">
        <v>9</v>
      </c>
      <c r="E38" s="16">
        <v>21888204052</v>
      </c>
      <c r="F38" s="8">
        <v>29.25</v>
      </c>
      <c r="G38" s="8">
        <v>24.862500000000001</v>
      </c>
      <c r="H38" s="45"/>
      <c r="I38" s="2">
        <f t="shared" si="0"/>
        <v>0</v>
      </c>
      <c r="J38" s="27">
        <f t="shared" si="1"/>
        <v>0</v>
      </c>
    </row>
    <row r="39" spans="1:10">
      <c r="A39" s="29" t="s">
        <v>64</v>
      </c>
      <c r="B39" s="14" t="s">
        <v>65</v>
      </c>
      <c r="C39" s="10">
        <v>30</v>
      </c>
      <c r="D39" s="5" t="s">
        <v>9</v>
      </c>
      <c r="E39" s="16">
        <v>21888116010</v>
      </c>
      <c r="F39" s="3">
        <v>14.026999999999999</v>
      </c>
      <c r="G39" s="3">
        <v>11.922949999999998</v>
      </c>
      <c r="H39" s="45"/>
      <c r="I39" s="2">
        <f t="shared" si="0"/>
        <v>0</v>
      </c>
      <c r="J39" s="27">
        <f t="shared" si="1"/>
        <v>0</v>
      </c>
    </row>
    <row r="40" spans="1:10">
      <c r="A40" s="29" t="s">
        <v>66</v>
      </c>
      <c r="B40" s="14" t="s">
        <v>67</v>
      </c>
      <c r="C40" s="10">
        <v>90</v>
      </c>
      <c r="D40" s="5" t="s">
        <v>9</v>
      </c>
      <c r="E40" s="16">
        <v>21888201327</v>
      </c>
      <c r="F40" s="3">
        <v>38.987000000000002</v>
      </c>
      <c r="G40" s="3">
        <v>33.138950000000001</v>
      </c>
      <c r="H40" s="45"/>
      <c r="I40" s="2">
        <f t="shared" si="0"/>
        <v>0</v>
      </c>
      <c r="J40" s="27">
        <f t="shared" si="1"/>
        <v>0</v>
      </c>
    </row>
    <row r="41" spans="1:10">
      <c r="A41" s="29" t="s">
        <v>68</v>
      </c>
      <c r="B41" s="14" t="s">
        <v>69</v>
      </c>
      <c r="C41" s="10">
        <v>90</v>
      </c>
      <c r="D41" s="5" t="s">
        <v>9</v>
      </c>
      <c r="E41" s="16">
        <v>21888100316</v>
      </c>
      <c r="F41" s="3">
        <v>19.5</v>
      </c>
      <c r="G41" s="3">
        <v>16.574999999999999</v>
      </c>
      <c r="H41" s="45"/>
      <c r="I41" s="2">
        <f t="shared" si="0"/>
        <v>0</v>
      </c>
      <c r="J41" s="27">
        <f t="shared" si="1"/>
        <v>0</v>
      </c>
    </row>
    <row r="42" spans="1:10">
      <c r="A42" s="29" t="s">
        <v>70</v>
      </c>
      <c r="B42" s="14" t="s">
        <v>71</v>
      </c>
      <c r="C42" s="10">
        <v>60</v>
      </c>
      <c r="D42" s="5" t="s">
        <v>7</v>
      </c>
      <c r="E42" s="16">
        <v>21888203987</v>
      </c>
      <c r="F42" s="3">
        <v>10.907000000000002</v>
      </c>
      <c r="G42" s="3">
        <v>9.2709500000000009</v>
      </c>
      <c r="H42" s="45"/>
      <c r="I42" s="2">
        <f t="shared" si="0"/>
        <v>0</v>
      </c>
      <c r="J42" s="27">
        <f t="shared" si="1"/>
        <v>0</v>
      </c>
    </row>
    <row r="43" spans="1:10">
      <c r="A43" s="29" t="s">
        <v>72</v>
      </c>
      <c r="B43" s="14" t="s">
        <v>73</v>
      </c>
      <c r="C43" s="10">
        <v>90</v>
      </c>
      <c r="D43" s="5" t="s">
        <v>7</v>
      </c>
      <c r="E43" s="16">
        <v>21888120338</v>
      </c>
      <c r="F43" s="3">
        <v>15.587000000000002</v>
      </c>
      <c r="G43" s="3">
        <v>13.248950000000001</v>
      </c>
      <c r="H43" s="45"/>
      <c r="I43" s="2">
        <f t="shared" si="0"/>
        <v>0</v>
      </c>
      <c r="J43" s="27">
        <f t="shared" si="1"/>
        <v>0</v>
      </c>
    </row>
    <row r="44" spans="1:10">
      <c r="A44" s="29" t="s">
        <v>74</v>
      </c>
      <c r="B44" s="14" t="s">
        <v>75</v>
      </c>
      <c r="C44" s="10">
        <v>60</v>
      </c>
      <c r="D44" s="5" t="s">
        <v>9</v>
      </c>
      <c r="E44" s="16">
        <v>21888103119</v>
      </c>
      <c r="F44" s="3">
        <v>10.4</v>
      </c>
      <c r="G44" s="3">
        <v>8.84</v>
      </c>
      <c r="H44" s="45"/>
      <c r="I44" s="2">
        <f t="shared" si="0"/>
        <v>0</v>
      </c>
      <c r="J44" s="27">
        <f t="shared" si="1"/>
        <v>0</v>
      </c>
    </row>
    <row r="45" spans="1:10">
      <c r="A45" s="29" t="s">
        <v>50</v>
      </c>
      <c r="B45" s="14" t="s">
        <v>51</v>
      </c>
      <c r="C45" s="10">
        <v>60</v>
      </c>
      <c r="D45" s="5" t="s">
        <v>7</v>
      </c>
      <c r="E45" s="16">
        <v>21888120536</v>
      </c>
      <c r="F45" s="3">
        <v>10.127000000000001</v>
      </c>
      <c r="G45" s="3">
        <v>8.6079500000000007</v>
      </c>
      <c r="H45" s="45"/>
      <c r="I45" s="2">
        <f t="shared" si="0"/>
        <v>0</v>
      </c>
      <c r="J45" s="27">
        <f t="shared" si="1"/>
        <v>0</v>
      </c>
    </row>
    <row r="46" spans="1:10">
      <c r="A46" s="29" t="s">
        <v>76</v>
      </c>
      <c r="B46" s="14" t="s">
        <v>77</v>
      </c>
      <c r="C46" s="10">
        <v>50</v>
      </c>
      <c r="D46" s="5" t="s">
        <v>7</v>
      </c>
      <c r="E46" s="16">
        <v>21888120628</v>
      </c>
      <c r="F46" s="3">
        <v>11.309999999999999</v>
      </c>
      <c r="G46" s="3">
        <v>9.6135000000000002</v>
      </c>
      <c r="H46" s="45"/>
      <c r="I46" s="2">
        <f t="shared" si="0"/>
        <v>0</v>
      </c>
      <c r="J46" s="27">
        <f t="shared" si="1"/>
        <v>0</v>
      </c>
    </row>
    <row r="47" spans="1:10">
      <c r="A47" s="29" t="s">
        <v>78</v>
      </c>
      <c r="B47" s="14" t="s">
        <v>77</v>
      </c>
      <c r="C47" s="10">
        <v>100</v>
      </c>
      <c r="D47" s="5" t="s">
        <v>7</v>
      </c>
      <c r="E47" s="16">
        <v>21888120642</v>
      </c>
      <c r="F47" s="3">
        <v>15.587000000000002</v>
      </c>
      <c r="G47" s="3">
        <v>13.248950000000001</v>
      </c>
      <c r="H47" s="45"/>
      <c r="I47" s="2">
        <f t="shared" si="0"/>
        <v>0</v>
      </c>
      <c r="J47" s="27">
        <f t="shared" si="1"/>
        <v>0</v>
      </c>
    </row>
    <row r="48" spans="1:10">
      <c r="A48" s="29" t="s">
        <v>79</v>
      </c>
      <c r="B48" s="14" t="s">
        <v>80</v>
      </c>
      <c r="C48" s="10">
        <v>120</v>
      </c>
      <c r="D48" s="5" t="s">
        <v>7</v>
      </c>
      <c r="E48" s="16">
        <v>21888204397</v>
      </c>
      <c r="F48" s="3">
        <v>19.487000000000002</v>
      </c>
      <c r="G48" s="3">
        <v>16.563950000000002</v>
      </c>
      <c r="H48" s="45"/>
      <c r="I48" s="2">
        <f t="shared" si="0"/>
        <v>0</v>
      </c>
      <c r="J48" s="27">
        <f t="shared" si="1"/>
        <v>0</v>
      </c>
    </row>
    <row r="49" spans="1:10">
      <c r="A49" s="29" t="s">
        <v>81</v>
      </c>
      <c r="B49" s="14" t="s">
        <v>82</v>
      </c>
      <c r="C49" s="10">
        <v>50</v>
      </c>
      <c r="D49" s="5" t="s">
        <v>7</v>
      </c>
      <c r="E49" s="16">
        <v>21888121410</v>
      </c>
      <c r="F49" s="3">
        <v>12.467000000000001</v>
      </c>
      <c r="G49" s="3">
        <v>10.596950000000001</v>
      </c>
      <c r="H49" s="45"/>
      <c r="I49" s="2">
        <f t="shared" si="0"/>
        <v>0</v>
      </c>
      <c r="J49" s="27">
        <f t="shared" si="1"/>
        <v>0</v>
      </c>
    </row>
    <row r="50" spans="1:10">
      <c r="A50" s="29" t="s">
        <v>83</v>
      </c>
      <c r="B50" s="14" t="s">
        <v>84</v>
      </c>
      <c r="C50" s="10">
        <v>120</v>
      </c>
      <c r="D50" s="5" t="s">
        <v>9</v>
      </c>
      <c r="E50" s="16">
        <v>21888202119</v>
      </c>
      <c r="F50" s="3">
        <v>15.587000000000002</v>
      </c>
      <c r="G50" s="3">
        <v>13.248950000000001</v>
      </c>
      <c r="H50" s="45"/>
      <c r="I50" s="2">
        <f t="shared" si="0"/>
        <v>0</v>
      </c>
      <c r="J50" s="27">
        <f t="shared" si="1"/>
        <v>0</v>
      </c>
    </row>
    <row r="51" spans="1:10">
      <c r="A51" s="29" t="s">
        <v>85</v>
      </c>
      <c r="B51" s="14" t="s">
        <v>86</v>
      </c>
      <c r="C51" s="10">
        <v>90</v>
      </c>
      <c r="D51" s="5" t="s">
        <v>9</v>
      </c>
      <c r="E51" s="16">
        <v>21888109517</v>
      </c>
      <c r="F51" s="3">
        <v>12.987</v>
      </c>
      <c r="G51" s="3">
        <v>11.038950000000002</v>
      </c>
      <c r="H51" s="45"/>
      <c r="I51" s="2">
        <f t="shared" si="0"/>
        <v>0</v>
      </c>
      <c r="J51" s="27">
        <f t="shared" si="1"/>
        <v>0</v>
      </c>
    </row>
    <row r="52" spans="1:10">
      <c r="A52" s="29" t="s">
        <v>87</v>
      </c>
      <c r="B52" s="14" t="s">
        <v>86</v>
      </c>
      <c r="C52" s="10">
        <v>180</v>
      </c>
      <c r="D52" s="5" t="s">
        <v>9</v>
      </c>
      <c r="E52" s="16">
        <v>21888109524</v>
      </c>
      <c r="F52" s="3">
        <v>24.686999999999998</v>
      </c>
      <c r="G52" s="3">
        <v>20.983949999999997</v>
      </c>
      <c r="H52" s="45"/>
      <c r="I52" s="2">
        <f t="shared" si="0"/>
        <v>0</v>
      </c>
      <c r="J52" s="27">
        <f t="shared" si="1"/>
        <v>0</v>
      </c>
    </row>
    <row r="53" spans="1:10">
      <c r="A53" s="29" t="s">
        <v>88</v>
      </c>
      <c r="B53" s="14" t="s">
        <v>89</v>
      </c>
      <c r="C53" s="10">
        <v>90</v>
      </c>
      <c r="D53" s="5" t="s">
        <v>9</v>
      </c>
      <c r="E53" s="16">
        <v>21888101016</v>
      </c>
      <c r="F53" s="3">
        <v>12.987</v>
      </c>
      <c r="G53" s="3">
        <v>11.038950000000002</v>
      </c>
      <c r="H53" s="45"/>
      <c r="I53" s="2">
        <f t="shared" si="0"/>
        <v>0</v>
      </c>
      <c r="J53" s="27">
        <f t="shared" si="1"/>
        <v>0</v>
      </c>
    </row>
    <row r="54" spans="1:10">
      <c r="A54" s="29" t="s">
        <v>90</v>
      </c>
      <c r="B54" s="15" t="s">
        <v>89</v>
      </c>
      <c r="C54" s="10">
        <v>180</v>
      </c>
      <c r="D54" s="5" t="s">
        <v>9</v>
      </c>
      <c r="E54" s="16">
        <v>21888101023</v>
      </c>
      <c r="F54" s="3">
        <v>24.036999999999999</v>
      </c>
      <c r="G54" s="3">
        <v>20.431449999999998</v>
      </c>
      <c r="H54" s="45"/>
      <c r="I54" s="2">
        <f t="shared" si="0"/>
        <v>0</v>
      </c>
      <c r="J54" s="27">
        <f t="shared" si="1"/>
        <v>0</v>
      </c>
    </row>
    <row r="55" spans="1:10">
      <c r="A55" s="29" t="s">
        <v>91</v>
      </c>
      <c r="B55" s="15" t="s">
        <v>92</v>
      </c>
      <c r="C55" s="10">
        <v>60</v>
      </c>
      <c r="D55" s="5" t="s">
        <v>9</v>
      </c>
      <c r="E55" s="16">
        <v>21888200610</v>
      </c>
      <c r="F55" s="3">
        <v>12.038</v>
      </c>
      <c r="G55" s="3">
        <v>10.2323</v>
      </c>
      <c r="H55" s="45"/>
      <c r="I55" s="2">
        <f t="shared" si="0"/>
        <v>0</v>
      </c>
      <c r="J55" s="27">
        <f t="shared" si="1"/>
        <v>0</v>
      </c>
    </row>
    <row r="56" spans="1:10">
      <c r="A56" s="29" t="s">
        <v>93</v>
      </c>
      <c r="B56" s="14" t="s">
        <v>94</v>
      </c>
      <c r="C56" s="10">
        <v>90</v>
      </c>
      <c r="D56" s="5" t="s">
        <v>6</v>
      </c>
      <c r="E56" s="16">
        <v>21888351015</v>
      </c>
      <c r="F56" s="3">
        <v>17.875</v>
      </c>
      <c r="G56" s="3">
        <v>15.19375</v>
      </c>
      <c r="H56" s="45"/>
      <c r="I56" s="2">
        <f t="shared" si="0"/>
        <v>0</v>
      </c>
      <c r="J56" s="27">
        <f t="shared" si="1"/>
        <v>0</v>
      </c>
    </row>
    <row r="57" spans="1:10">
      <c r="A57" s="29" t="s">
        <v>95</v>
      </c>
      <c r="B57" s="14" t="s">
        <v>94</v>
      </c>
      <c r="C57" s="10">
        <v>180</v>
      </c>
      <c r="D57" s="5" t="s">
        <v>6</v>
      </c>
      <c r="E57" s="16">
        <v>21888351022</v>
      </c>
      <c r="F57" s="3">
        <v>24.739000000000001</v>
      </c>
      <c r="G57" s="3">
        <v>21.02815</v>
      </c>
      <c r="H57" s="45"/>
      <c r="I57" s="2">
        <f t="shared" si="0"/>
        <v>0</v>
      </c>
      <c r="J57" s="27">
        <f t="shared" si="1"/>
        <v>0</v>
      </c>
    </row>
    <row r="58" spans="1:10">
      <c r="A58" s="29" t="s">
        <v>96</v>
      </c>
      <c r="B58" s="14" t="s">
        <v>97</v>
      </c>
      <c r="C58" s="10">
        <v>50</v>
      </c>
      <c r="D58" s="5" t="s">
        <v>7</v>
      </c>
      <c r="E58" s="16">
        <v>21888121212</v>
      </c>
      <c r="F58" s="3">
        <v>17.927</v>
      </c>
      <c r="G58" s="3">
        <v>15.23795</v>
      </c>
      <c r="H58" s="45"/>
      <c r="I58" s="2">
        <f t="shared" si="0"/>
        <v>0</v>
      </c>
      <c r="J58" s="27">
        <f t="shared" si="1"/>
        <v>0</v>
      </c>
    </row>
    <row r="59" spans="1:10">
      <c r="A59" s="29" t="s">
        <v>98</v>
      </c>
      <c r="B59" s="14" t="s">
        <v>99</v>
      </c>
      <c r="C59" s="10">
        <v>60</v>
      </c>
      <c r="D59" s="5" t="s">
        <v>6</v>
      </c>
      <c r="E59" s="16">
        <v>850068584031</v>
      </c>
      <c r="F59" s="3">
        <v>19.487000000000002</v>
      </c>
      <c r="G59" s="3">
        <v>16.563950000000002</v>
      </c>
      <c r="H59" s="45"/>
      <c r="I59" s="2">
        <f t="shared" si="0"/>
        <v>0</v>
      </c>
      <c r="J59" s="27">
        <f t="shared" si="1"/>
        <v>0</v>
      </c>
    </row>
    <row r="60" spans="1:10">
      <c r="A60" s="29" t="s">
        <v>64</v>
      </c>
      <c r="B60" s="14" t="s">
        <v>65</v>
      </c>
      <c r="C60" s="10">
        <v>30</v>
      </c>
      <c r="D60" s="5" t="s">
        <v>9</v>
      </c>
      <c r="E60" s="16">
        <v>21888116010</v>
      </c>
      <c r="F60" s="3">
        <v>14.026999999999999</v>
      </c>
      <c r="G60" s="3">
        <v>11.922949999999998</v>
      </c>
      <c r="H60" s="45"/>
      <c r="I60" s="2">
        <f t="shared" si="0"/>
        <v>0</v>
      </c>
      <c r="J60" s="27">
        <f t="shared" si="1"/>
        <v>0</v>
      </c>
    </row>
    <row r="61" spans="1:10">
      <c r="A61" s="29" t="s">
        <v>66</v>
      </c>
      <c r="B61" s="14" t="s">
        <v>67</v>
      </c>
      <c r="C61" s="10">
        <v>90</v>
      </c>
      <c r="D61" s="5" t="s">
        <v>9</v>
      </c>
      <c r="E61" s="16">
        <v>21888201327</v>
      </c>
      <c r="F61" s="3">
        <v>38.987000000000002</v>
      </c>
      <c r="G61" s="3">
        <v>33.138950000000001</v>
      </c>
      <c r="H61" s="45"/>
      <c r="I61" s="2">
        <f t="shared" si="0"/>
        <v>0</v>
      </c>
      <c r="J61" s="27">
        <f t="shared" si="1"/>
        <v>0</v>
      </c>
    </row>
    <row r="62" spans="1:10" ht="16.2" thickBot="1">
      <c r="A62" s="30" t="s">
        <v>100</v>
      </c>
      <c r="B62" s="31" t="s">
        <v>101</v>
      </c>
      <c r="C62" s="32">
        <v>60</v>
      </c>
      <c r="D62" s="33" t="s">
        <v>6</v>
      </c>
      <c r="E62" s="34">
        <v>850068584048</v>
      </c>
      <c r="F62" s="35">
        <v>19.487000000000002</v>
      </c>
      <c r="G62" s="35">
        <v>16.563950000000002</v>
      </c>
      <c r="H62" s="46"/>
      <c r="I62" s="36">
        <f t="shared" si="0"/>
        <v>0</v>
      </c>
      <c r="J62" s="37">
        <f t="shared" si="1"/>
        <v>0</v>
      </c>
    </row>
  </sheetData>
  <sheetProtection algorithmName="SHA-512" hashValue="bLVn7pL3y7fghCJl8u97qriGMcfXHTQjqMAd6NYIejdB6DG8ZNM75camkEaFwOdgc9zjPOWhP4sw/cRC8fo81A==" saltValue="juZXXukCbxVxhhUSU1e33w==" spinCount="100000" sheet="1" formatCells="0" formatColumns="0" formatRows="0" insertColumns="0" insertRows="0" insertHyperlinks="0" deleteColumns="0" deleteRows="0" sort="0" autoFilter="0" pivotTables="0"/>
  <autoFilter ref="A2:J2" xr:uid="{00000000-0001-0000-0200-000000000000}"/>
  <mergeCells count="1">
    <mergeCell ref="A1:J1"/>
  </mergeCells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RAINBOW LIGHT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Tkachuk Valia</cp:lastModifiedBy>
  <dcterms:created xsi:type="dcterms:W3CDTF">2025-05-30T14:35:39Z</dcterms:created>
  <dcterms:modified xsi:type="dcterms:W3CDTF">2025-06-26T11:30:38Z</dcterms:modified>
</cp:coreProperties>
</file>