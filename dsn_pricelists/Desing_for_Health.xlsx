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Acer\Desktop\Prices\DFH\Продаж\"/>
    </mc:Choice>
  </mc:AlternateContent>
  <xr:revisionPtr revIDLastSave="0" documentId="13_ncr:1_{BDACF2FC-9966-4248-AF50-E85B30BBC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Designs for Health®)" sheetId="1" r:id="rId1"/>
  </sheets>
  <definedNames>
    <definedName name="_xlnm._FilterDatabase" localSheetId="0" hidden="1">'DSN GROUP (Designs for Health®)'!$A$2:$J$2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N4" i="1"/>
  <c r="O4" i="1"/>
  <c r="P4" i="1"/>
  <c r="R4" i="1" s="1"/>
  <c r="M5" i="1"/>
  <c r="N5" i="1"/>
  <c r="O5" i="1"/>
  <c r="P5" i="1"/>
  <c r="R5" i="1" s="1"/>
  <c r="M6" i="1"/>
  <c r="N6" i="1"/>
  <c r="O6" i="1"/>
  <c r="P6" i="1"/>
  <c r="R6" i="1" s="1"/>
  <c r="M7" i="1"/>
  <c r="N7" i="1"/>
  <c r="O7" i="1"/>
  <c r="P7" i="1"/>
  <c r="R7" i="1" s="1"/>
  <c r="M8" i="1"/>
  <c r="N8" i="1"/>
  <c r="O8" i="1"/>
  <c r="P8" i="1"/>
  <c r="R8" i="1" s="1"/>
  <c r="M9" i="1"/>
  <c r="N9" i="1"/>
  <c r="O9" i="1"/>
  <c r="P9" i="1"/>
  <c r="R9" i="1" s="1"/>
  <c r="M10" i="1"/>
  <c r="N10" i="1"/>
  <c r="O10" i="1"/>
  <c r="P10" i="1"/>
  <c r="R10" i="1" s="1"/>
  <c r="M11" i="1"/>
  <c r="N11" i="1"/>
  <c r="O11" i="1"/>
  <c r="P11" i="1"/>
  <c r="R11" i="1" s="1"/>
  <c r="M12" i="1"/>
  <c r="N12" i="1"/>
  <c r="O12" i="1"/>
  <c r="P12" i="1"/>
  <c r="R12" i="1" s="1"/>
  <c r="M13" i="1"/>
  <c r="N13" i="1"/>
  <c r="O13" i="1"/>
  <c r="P13" i="1"/>
  <c r="R13" i="1" s="1"/>
  <c r="M14" i="1"/>
  <c r="N14" i="1"/>
  <c r="O14" i="1"/>
  <c r="P14" i="1"/>
  <c r="R14" i="1" s="1"/>
  <c r="M15" i="1"/>
  <c r="N15" i="1"/>
  <c r="O15" i="1"/>
  <c r="P15" i="1"/>
  <c r="R15" i="1" s="1"/>
  <c r="M16" i="1"/>
  <c r="N16" i="1"/>
  <c r="O16" i="1"/>
  <c r="P16" i="1"/>
  <c r="R16" i="1" s="1"/>
  <c r="M17" i="1"/>
  <c r="N17" i="1"/>
  <c r="O17" i="1"/>
  <c r="P17" i="1"/>
  <c r="R17" i="1" s="1"/>
  <c r="M18" i="1"/>
  <c r="N18" i="1"/>
  <c r="O18" i="1"/>
  <c r="P18" i="1"/>
  <c r="R18" i="1" s="1"/>
  <c r="M19" i="1"/>
  <c r="N19" i="1"/>
  <c r="O19" i="1"/>
  <c r="P19" i="1"/>
  <c r="R19" i="1"/>
  <c r="M20" i="1"/>
  <c r="N20" i="1"/>
  <c r="O20" i="1"/>
  <c r="P20" i="1"/>
  <c r="R20" i="1" s="1"/>
  <c r="M21" i="1"/>
  <c r="N21" i="1"/>
  <c r="O21" i="1"/>
  <c r="P21" i="1"/>
  <c r="R21" i="1" s="1"/>
  <c r="M22" i="1"/>
  <c r="N22" i="1"/>
  <c r="O22" i="1"/>
  <c r="P22" i="1"/>
  <c r="R22" i="1" s="1"/>
  <c r="M23" i="1"/>
  <c r="N23" i="1"/>
  <c r="O23" i="1"/>
  <c r="P23" i="1"/>
  <c r="R23" i="1" s="1"/>
  <c r="M24" i="1"/>
  <c r="N24" i="1"/>
  <c r="O24" i="1"/>
  <c r="P24" i="1"/>
  <c r="R24" i="1"/>
  <c r="M25" i="1"/>
  <c r="N25" i="1"/>
  <c r="O25" i="1"/>
  <c r="P25" i="1"/>
  <c r="R25" i="1" s="1"/>
  <c r="M26" i="1"/>
  <c r="N26" i="1"/>
  <c r="O26" i="1"/>
  <c r="P26" i="1"/>
  <c r="R26" i="1" s="1"/>
  <c r="M27" i="1"/>
  <c r="N27" i="1"/>
  <c r="O27" i="1"/>
  <c r="P27" i="1"/>
  <c r="R27" i="1" s="1"/>
  <c r="M28" i="1"/>
  <c r="N28" i="1"/>
  <c r="O28" i="1"/>
  <c r="P28" i="1"/>
  <c r="R28" i="1" s="1"/>
  <c r="M29" i="1"/>
  <c r="N29" i="1"/>
  <c r="O29" i="1"/>
  <c r="P29" i="1"/>
  <c r="R29" i="1"/>
  <c r="M30" i="1"/>
  <c r="N30" i="1"/>
  <c r="O30" i="1"/>
  <c r="P30" i="1"/>
  <c r="R30" i="1" s="1"/>
  <c r="M31" i="1"/>
  <c r="N31" i="1"/>
  <c r="O31" i="1"/>
  <c r="P31" i="1"/>
  <c r="R31" i="1" s="1"/>
  <c r="M32" i="1"/>
  <c r="N32" i="1"/>
  <c r="O32" i="1"/>
  <c r="P32" i="1"/>
  <c r="R32" i="1" s="1"/>
  <c r="M33" i="1"/>
  <c r="N33" i="1"/>
  <c r="O33" i="1"/>
  <c r="P33" i="1"/>
  <c r="R33" i="1" s="1"/>
  <c r="M34" i="1"/>
  <c r="N34" i="1"/>
  <c r="O34" i="1"/>
  <c r="P34" i="1"/>
  <c r="R34" i="1" s="1"/>
  <c r="M35" i="1"/>
  <c r="N35" i="1"/>
  <c r="O35" i="1"/>
  <c r="P35" i="1"/>
  <c r="R35" i="1"/>
  <c r="M36" i="1"/>
  <c r="N36" i="1"/>
  <c r="O36" i="1"/>
  <c r="P36" i="1"/>
  <c r="R36" i="1" s="1"/>
  <c r="M37" i="1"/>
  <c r="N37" i="1"/>
  <c r="O37" i="1"/>
  <c r="P37" i="1"/>
  <c r="R37" i="1"/>
  <c r="M38" i="1"/>
  <c r="N38" i="1"/>
  <c r="O38" i="1"/>
  <c r="P38" i="1"/>
  <c r="R38" i="1" s="1"/>
  <c r="M39" i="1"/>
  <c r="N39" i="1"/>
  <c r="O39" i="1"/>
  <c r="P39" i="1"/>
  <c r="R39" i="1" s="1"/>
  <c r="M40" i="1"/>
  <c r="N40" i="1"/>
  <c r="O40" i="1"/>
  <c r="P40" i="1"/>
  <c r="R40" i="1" s="1"/>
  <c r="M41" i="1"/>
  <c r="N41" i="1"/>
  <c r="O41" i="1"/>
  <c r="P41" i="1"/>
  <c r="R41" i="1" s="1"/>
  <c r="M42" i="1"/>
  <c r="N42" i="1"/>
  <c r="O42" i="1"/>
  <c r="P42" i="1"/>
  <c r="R42" i="1" s="1"/>
  <c r="M43" i="1"/>
  <c r="N43" i="1"/>
  <c r="O43" i="1"/>
  <c r="P43" i="1"/>
  <c r="R43" i="1" s="1"/>
  <c r="M44" i="1"/>
  <c r="N44" i="1"/>
  <c r="O44" i="1"/>
  <c r="P44" i="1"/>
  <c r="R44" i="1" s="1"/>
  <c r="M45" i="1"/>
  <c r="N45" i="1"/>
  <c r="O45" i="1"/>
  <c r="P45" i="1"/>
  <c r="R45" i="1" s="1"/>
  <c r="M46" i="1"/>
  <c r="N46" i="1"/>
  <c r="O46" i="1"/>
  <c r="P46" i="1"/>
  <c r="R46" i="1" s="1"/>
  <c r="M47" i="1"/>
  <c r="N47" i="1"/>
  <c r="O47" i="1"/>
  <c r="P47" i="1"/>
  <c r="R47" i="1"/>
  <c r="M48" i="1"/>
  <c r="N48" i="1"/>
  <c r="O48" i="1"/>
  <c r="P48" i="1"/>
  <c r="R48" i="1"/>
  <c r="M49" i="1"/>
  <c r="N49" i="1"/>
  <c r="O49" i="1"/>
  <c r="P49" i="1"/>
  <c r="R49" i="1" s="1"/>
  <c r="M50" i="1"/>
  <c r="N50" i="1"/>
  <c r="O50" i="1"/>
  <c r="P50" i="1"/>
  <c r="R50" i="1" s="1"/>
  <c r="M51" i="1"/>
  <c r="N51" i="1"/>
  <c r="O51" i="1"/>
  <c r="P51" i="1"/>
  <c r="R51" i="1"/>
  <c r="M52" i="1"/>
  <c r="N52" i="1"/>
  <c r="O52" i="1"/>
  <c r="P52" i="1"/>
  <c r="R52" i="1" s="1"/>
  <c r="M53" i="1"/>
  <c r="N53" i="1"/>
  <c r="O53" i="1"/>
  <c r="P53" i="1"/>
  <c r="R53" i="1" s="1"/>
  <c r="M54" i="1"/>
  <c r="N54" i="1"/>
  <c r="O54" i="1"/>
  <c r="P54" i="1"/>
  <c r="R54" i="1" s="1"/>
  <c r="M55" i="1"/>
  <c r="N55" i="1"/>
  <c r="O55" i="1"/>
  <c r="P55" i="1"/>
  <c r="R55" i="1" s="1"/>
  <c r="M56" i="1"/>
  <c r="N56" i="1"/>
  <c r="O56" i="1"/>
  <c r="P56" i="1"/>
  <c r="R56" i="1"/>
  <c r="M57" i="1"/>
  <c r="N57" i="1"/>
  <c r="O57" i="1"/>
  <c r="P57" i="1"/>
  <c r="R57" i="1" s="1"/>
  <c r="M58" i="1"/>
  <c r="N58" i="1"/>
  <c r="O58" i="1"/>
  <c r="P58" i="1"/>
  <c r="R58" i="1" s="1"/>
  <c r="M59" i="1"/>
  <c r="N59" i="1"/>
  <c r="O59" i="1"/>
  <c r="P59" i="1"/>
  <c r="R59" i="1" s="1"/>
  <c r="M60" i="1"/>
  <c r="N60" i="1"/>
  <c r="O60" i="1"/>
  <c r="P60" i="1"/>
  <c r="R60" i="1" s="1"/>
  <c r="M61" i="1"/>
  <c r="N61" i="1"/>
  <c r="O61" i="1"/>
  <c r="P61" i="1"/>
  <c r="R61" i="1" s="1"/>
  <c r="M62" i="1"/>
  <c r="N62" i="1"/>
  <c r="O62" i="1"/>
  <c r="P62" i="1"/>
  <c r="R62" i="1" s="1"/>
  <c r="M63" i="1"/>
  <c r="N63" i="1"/>
  <c r="O63" i="1"/>
  <c r="P63" i="1"/>
  <c r="R63" i="1" s="1"/>
  <c r="M64" i="1"/>
  <c r="N64" i="1"/>
  <c r="O64" i="1"/>
  <c r="P64" i="1"/>
  <c r="R64" i="1" s="1"/>
  <c r="M65" i="1"/>
  <c r="N65" i="1"/>
  <c r="O65" i="1"/>
  <c r="P65" i="1"/>
  <c r="R65" i="1" s="1"/>
  <c r="M66" i="1"/>
  <c r="N66" i="1"/>
  <c r="O66" i="1"/>
  <c r="P66" i="1"/>
  <c r="R66" i="1" s="1"/>
  <c r="M67" i="1"/>
  <c r="N67" i="1"/>
  <c r="O67" i="1"/>
  <c r="P67" i="1"/>
  <c r="R67" i="1" s="1"/>
  <c r="M68" i="1"/>
  <c r="N68" i="1"/>
  <c r="O68" i="1"/>
  <c r="P68" i="1"/>
  <c r="R68" i="1" s="1"/>
  <c r="M69" i="1"/>
  <c r="N69" i="1"/>
  <c r="O69" i="1"/>
  <c r="P69" i="1"/>
  <c r="R69" i="1" s="1"/>
  <c r="M70" i="1"/>
  <c r="N70" i="1"/>
  <c r="O70" i="1"/>
  <c r="P70" i="1"/>
  <c r="R70" i="1" s="1"/>
  <c r="M71" i="1"/>
  <c r="N71" i="1"/>
  <c r="O71" i="1"/>
  <c r="P71" i="1"/>
  <c r="R71" i="1" s="1"/>
  <c r="M72" i="1"/>
  <c r="N72" i="1"/>
  <c r="O72" i="1"/>
  <c r="P72" i="1"/>
  <c r="R72" i="1" s="1"/>
  <c r="M73" i="1"/>
  <c r="N73" i="1"/>
  <c r="O73" i="1"/>
  <c r="P73" i="1"/>
  <c r="R73" i="1" s="1"/>
  <c r="M74" i="1"/>
  <c r="N74" i="1"/>
  <c r="O74" i="1"/>
  <c r="P74" i="1"/>
  <c r="R74" i="1" s="1"/>
  <c r="M75" i="1"/>
  <c r="N75" i="1"/>
  <c r="O75" i="1"/>
  <c r="P75" i="1"/>
  <c r="R75" i="1" s="1"/>
  <c r="M76" i="1"/>
  <c r="N76" i="1"/>
  <c r="O76" i="1"/>
  <c r="P76" i="1"/>
  <c r="R76" i="1" s="1"/>
  <c r="M77" i="1"/>
  <c r="N77" i="1"/>
  <c r="O77" i="1"/>
  <c r="P77" i="1"/>
  <c r="R77" i="1" s="1"/>
  <c r="M78" i="1"/>
  <c r="N78" i="1"/>
  <c r="O78" i="1"/>
  <c r="P78" i="1"/>
  <c r="R78" i="1" s="1"/>
  <c r="M79" i="1"/>
  <c r="N79" i="1"/>
  <c r="O79" i="1"/>
  <c r="P79" i="1"/>
  <c r="R79" i="1" s="1"/>
  <c r="M80" i="1"/>
  <c r="N80" i="1"/>
  <c r="O80" i="1"/>
  <c r="P80" i="1"/>
  <c r="R80" i="1" s="1"/>
  <c r="M81" i="1"/>
  <c r="N81" i="1"/>
  <c r="O81" i="1"/>
  <c r="P81" i="1"/>
  <c r="R81" i="1" s="1"/>
  <c r="M82" i="1"/>
  <c r="N82" i="1"/>
  <c r="O82" i="1"/>
  <c r="P82" i="1"/>
  <c r="R82" i="1" s="1"/>
  <c r="M83" i="1"/>
  <c r="N83" i="1"/>
  <c r="O83" i="1"/>
  <c r="P83" i="1"/>
  <c r="R83" i="1"/>
  <c r="M84" i="1"/>
  <c r="N84" i="1"/>
  <c r="O84" i="1"/>
  <c r="P84" i="1"/>
  <c r="R84" i="1" s="1"/>
  <c r="M85" i="1"/>
  <c r="N85" i="1"/>
  <c r="O85" i="1"/>
  <c r="P85" i="1"/>
  <c r="R85" i="1" s="1"/>
  <c r="M86" i="1"/>
  <c r="N86" i="1"/>
  <c r="O86" i="1"/>
  <c r="P86" i="1"/>
  <c r="R86" i="1" s="1"/>
  <c r="M87" i="1"/>
  <c r="N87" i="1"/>
  <c r="O87" i="1"/>
  <c r="P87" i="1"/>
  <c r="R87" i="1" s="1"/>
  <c r="M88" i="1"/>
  <c r="N88" i="1"/>
  <c r="O88" i="1"/>
  <c r="P88" i="1"/>
  <c r="R88" i="1" s="1"/>
  <c r="M89" i="1"/>
  <c r="N89" i="1"/>
  <c r="O89" i="1"/>
  <c r="P89" i="1"/>
  <c r="R89" i="1" s="1"/>
  <c r="M90" i="1"/>
  <c r="N90" i="1"/>
  <c r="O90" i="1"/>
  <c r="P90" i="1"/>
  <c r="R90" i="1" s="1"/>
  <c r="M91" i="1"/>
  <c r="N91" i="1"/>
  <c r="O91" i="1"/>
  <c r="P91" i="1"/>
  <c r="R91" i="1" s="1"/>
  <c r="M92" i="1"/>
  <c r="N92" i="1"/>
  <c r="O92" i="1"/>
  <c r="P92" i="1"/>
  <c r="R92" i="1" s="1"/>
  <c r="M93" i="1"/>
  <c r="N93" i="1"/>
  <c r="O93" i="1"/>
  <c r="P93" i="1"/>
  <c r="R93" i="1"/>
  <c r="M94" i="1"/>
  <c r="N94" i="1"/>
  <c r="O94" i="1"/>
  <c r="P94" i="1"/>
  <c r="R94" i="1" s="1"/>
  <c r="M95" i="1"/>
  <c r="N95" i="1"/>
  <c r="O95" i="1"/>
  <c r="P95" i="1"/>
  <c r="R95" i="1"/>
  <c r="M96" i="1"/>
  <c r="N96" i="1"/>
  <c r="O96" i="1"/>
  <c r="P96" i="1"/>
  <c r="R96" i="1" s="1"/>
  <c r="M97" i="1"/>
  <c r="N97" i="1"/>
  <c r="O97" i="1"/>
  <c r="P97" i="1"/>
  <c r="R97" i="1" s="1"/>
  <c r="M98" i="1"/>
  <c r="N98" i="1"/>
  <c r="O98" i="1"/>
  <c r="P98" i="1"/>
  <c r="R98" i="1" s="1"/>
  <c r="M99" i="1"/>
  <c r="N99" i="1"/>
  <c r="O99" i="1"/>
  <c r="P99" i="1"/>
  <c r="R99" i="1" s="1"/>
  <c r="M100" i="1"/>
  <c r="N100" i="1"/>
  <c r="O100" i="1"/>
  <c r="P100" i="1"/>
  <c r="R100" i="1" s="1"/>
  <c r="M101" i="1"/>
  <c r="N101" i="1"/>
  <c r="O101" i="1"/>
  <c r="P101" i="1"/>
  <c r="R101" i="1"/>
  <c r="M102" i="1"/>
  <c r="N102" i="1"/>
  <c r="O102" i="1"/>
  <c r="P102" i="1"/>
  <c r="R102" i="1" s="1"/>
  <c r="M103" i="1"/>
  <c r="N103" i="1"/>
  <c r="O103" i="1"/>
  <c r="P103" i="1"/>
  <c r="R103" i="1" s="1"/>
  <c r="M104" i="1"/>
  <c r="N104" i="1"/>
  <c r="O104" i="1"/>
  <c r="P104" i="1"/>
  <c r="R104" i="1"/>
  <c r="M105" i="1"/>
  <c r="N105" i="1"/>
  <c r="O105" i="1"/>
  <c r="P105" i="1"/>
  <c r="R105" i="1" s="1"/>
  <c r="M106" i="1"/>
  <c r="N106" i="1"/>
  <c r="O106" i="1"/>
  <c r="P106" i="1"/>
  <c r="R106" i="1" s="1"/>
  <c r="M107" i="1"/>
  <c r="N107" i="1"/>
  <c r="O107" i="1"/>
  <c r="P107" i="1"/>
  <c r="R107" i="1"/>
  <c r="M108" i="1"/>
  <c r="N108" i="1"/>
  <c r="O108" i="1"/>
  <c r="P108" i="1"/>
  <c r="R108" i="1" s="1"/>
  <c r="M109" i="1"/>
  <c r="N109" i="1"/>
  <c r="O109" i="1"/>
  <c r="P109" i="1"/>
  <c r="R109" i="1" s="1"/>
  <c r="M110" i="1"/>
  <c r="N110" i="1"/>
  <c r="O110" i="1"/>
  <c r="P110" i="1"/>
  <c r="R110" i="1" s="1"/>
  <c r="M111" i="1"/>
  <c r="N111" i="1"/>
  <c r="O111" i="1"/>
  <c r="P111" i="1"/>
  <c r="R111" i="1"/>
  <c r="M112" i="1"/>
  <c r="N112" i="1"/>
  <c r="O112" i="1"/>
  <c r="P112" i="1"/>
  <c r="R112" i="1" s="1"/>
  <c r="M113" i="1"/>
  <c r="N113" i="1"/>
  <c r="O113" i="1"/>
  <c r="P113" i="1"/>
  <c r="R113" i="1" s="1"/>
  <c r="M114" i="1"/>
  <c r="N114" i="1"/>
  <c r="O114" i="1"/>
  <c r="P114" i="1"/>
  <c r="R114" i="1" s="1"/>
  <c r="M115" i="1"/>
  <c r="N115" i="1"/>
  <c r="O115" i="1"/>
  <c r="P115" i="1"/>
  <c r="R115" i="1" s="1"/>
  <c r="M116" i="1"/>
  <c r="N116" i="1"/>
  <c r="O116" i="1"/>
  <c r="P116" i="1"/>
  <c r="R116" i="1" s="1"/>
  <c r="M117" i="1"/>
  <c r="N117" i="1"/>
  <c r="O117" i="1"/>
  <c r="P117" i="1"/>
  <c r="R117" i="1" s="1"/>
  <c r="M118" i="1"/>
  <c r="N118" i="1"/>
  <c r="O118" i="1"/>
  <c r="P118" i="1"/>
  <c r="R118" i="1" s="1"/>
  <c r="M119" i="1"/>
  <c r="N119" i="1"/>
  <c r="O119" i="1"/>
  <c r="P119" i="1"/>
  <c r="R119" i="1" s="1"/>
  <c r="M120" i="1"/>
  <c r="N120" i="1"/>
  <c r="O120" i="1"/>
  <c r="P120" i="1"/>
  <c r="R120" i="1"/>
  <c r="M121" i="1"/>
  <c r="N121" i="1"/>
  <c r="O121" i="1"/>
  <c r="P121" i="1"/>
  <c r="R121" i="1" s="1"/>
  <c r="M122" i="1"/>
  <c r="N122" i="1"/>
  <c r="O122" i="1"/>
  <c r="P122" i="1"/>
  <c r="R122" i="1" s="1"/>
  <c r="M123" i="1"/>
  <c r="N123" i="1"/>
  <c r="O123" i="1"/>
  <c r="P123" i="1"/>
  <c r="R123" i="1" s="1"/>
  <c r="M124" i="1"/>
  <c r="N124" i="1"/>
  <c r="O124" i="1"/>
  <c r="P124" i="1"/>
  <c r="R124" i="1" s="1"/>
  <c r="M125" i="1"/>
  <c r="N125" i="1"/>
  <c r="O125" i="1"/>
  <c r="P125" i="1"/>
  <c r="R125" i="1" s="1"/>
  <c r="M126" i="1"/>
  <c r="N126" i="1"/>
  <c r="O126" i="1"/>
  <c r="P126" i="1"/>
  <c r="R126" i="1" s="1"/>
  <c r="M127" i="1"/>
  <c r="N127" i="1"/>
  <c r="O127" i="1"/>
  <c r="P127" i="1"/>
  <c r="R127" i="1" s="1"/>
  <c r="M128" i="1"/>
  <c r="N128" i="1"/>
  <c r="O128" i="1"/>
  <c r="P128" i="1"/>
  <c r="R128" i="1" s="1"/>
  <c r="M129" i="1"/>
  <c r="N129" i="1"/>
  <c r="O129" i="1"/>
  <c r="P129" i="1"/>
  <c r="R129" i="1" s="1"/>
  <c r="M130" i="1"/>
  <c r="N130" i="1"/>
  <c r="O130" i="1"/>
  <c r="P130" i="1"/>
  <c r="R130" i="1" s="1"/>
  <c r="M131" i="1"/>
  <c r="N131" i="1"/>
  <c r="O131" i="1"/>
  <c r="P131" i="1"/>
  <c r="R131" i="1" s="1"/>
  <c r="M132" i="1"/>
  <c r="N132" i="1"/>
  <c r="O132" i="1"/>
  <c r="P132" i="1"/>
  <c r="R132" i="1" s="1"/>
  <c r="M133" i="1"/>
  <c r="N133" i="1"/>
  <c r="O133" i="1"/>
  <c r="P133" i="1"/>
  <c r="R133" i="1"/>
  <c r="M134" i="1"/>
  <c r="N134" i="1"/>
  <c r="O134" i="1"/>
  <c r="P134" i="1"/>
  <c r="R134" i="1" s="1"/>
  <c r="M135" i="1"/>
  <c r="N135" i="1"/>
  <c r="O135" i="1"/>
  <c r="P135" i="1"/>
  <c r="R135" i="1" s="1"/>
  <c r="M136" i="1"/>
  <c r="N136" i="1"/>
  <c r="O136" i="1"/>
  <c r="P136" i="1"/>
  <c r="R136" i="1" s="1"/>
  <c r="M137" i="1"/>
  <c r="N137" i="1"/>
  <c r="O137" i="1"/>
  <c r="P137" i="1"/>
  <c r="R137" i="1" s="1"/>
  <c r="M138" i="1"/>
  <c r="N138" i="1"/>
  <c r="O138" i="1"/>
  <c r="P138" i="1"/>
  <c r="R138" i="1" s="1"/>
  <c r="M139" i="1"/>
  <c r="N139" i="1"/>
  <c r="O139" i="1"/>
  <c r="P139" i="1"/>
  <c r="R139" i="1" s="1"/>
  <c r="M140" i="1"/>
  <c r="N140" i="1"/>
  <c r="O140" i="1"/>
  <c r="P140" i="1"/>
  <c r="R140" i="1" s="1"/>
  <c r="M141" i="1"/>
  <c r="N141" i="1"/>
  <c r="O141" i="1"/>
  <c r="P141" i="1"/>
  <c r="R141" i="1" s="1"/>
  <c r="M142" i="1"/>
  <c r="N142" i="1"/>
  <c r="O142" i="1"/>
  <c r="P142" i="1"/>
  <c r="R142" i="1" s="1"/>
  <c r="M143" i="1"/>
  <c r="N143" i="1"/>
  <c r="O143" i="1"/>
  <c r="P143" i="1"/>
  <c r="R143" i="1" s="1"/>
  <c r="M144" i="1"/>
  <c r="N144" i="1"/>
  <c r="O144" i="1"/>
  <c r="P144" i="1"/>
  <c r="R144" i="1" s="1"/>
  <c r="M145" i="1"/>
  <c r="N145" i="1"/>
  <c r="O145" i="1"/>
  <c r="P145" i="1"/>
  <c r="R145" i="1" s="1"/>
  <c r="M146" i="1"/>
  <c r="N146" i="1"/>
  <c r="O146" i="1"/>
  <c r="P146" i="1"/>
  <c r="R146" i="1" s="1"/>
  <c r="M147" i="1"/>
  <c r="N147" i="1"/>
  <c r="O147" i="1"/>
  <c r="P147" i="1"/>
  <c r="R147" i="1"/>
  <c r="M148" i="1"/>
  <c r="N148" i="1"/>
  <c r="O148" i="1"/>
  <c r="P148" i="1"/>
  <c r="R148" i="1" s="1"/>
  <c r="M149" i="1"/>
  <c r="N149" i="1"/>
  <c r="O149" i="1"/>
  <c r="P149" i="1"/>
  <c r="R149" i="1"/>
  <c r="M150" i="1"/>
  <c r="N150" i="1"/>
  <c r="O150" i="1"/>
  <c r="P150" i="1"/>
  <c r="R150" i="1" s="1"/>
  <c r="M151" i="1"/>
  <c r="N151" i="1"/>
  <c r="O151" i="1"/>
  <c r="P151" i="1"/>
  <c r="R151" i="1" s="1"/>
  <c r="M152" i="1"/>
  <c r="N152" i="1"/>
  <c r="O152" i="1"/>
  <c r="P152" i="1"/>
  <c r="R152" i="1"/>
  <c r="M153" i="1"/>
  <c r="N153" i="1"/>
  <c r="O153" i="1"/>
  <c r="P153" i="1"/>
  <c r="R153" i="1" s="1"/>
  <c r="M154" i="1"/>
  <c r="N154" i="1"/>
  <c r="O154" i="1"/>
  <c r="P154" i="1"/>
  <c r="R154" i="1" s="1"/>
  <c r="M155" i="1"/>
  <c r="N155" i="1"/>
  <c r="O155" i="1"/>
  <c r="P155" i="1"/>
  <c r="R155" i="1" s="1"/>
  <c r="M156" i="1"/>
  <c r="N156" i="1"/>
  <c r="O156" i="1"/>
  <c r="P156" i="1"/>
  <c r="R156" i="1" s="1"/>
  <c r="M157" i="1"/>
  <c r="N157" i="1"/>
  <c r="O157" i="1"/>
  <c r="P157" i="1"/>
  <c r="R157" i="1"/>
  <c r="M158" i="1"/>
  <c r="N158" i="1"/>
  <c r="O158" i="1"/>
  <c r="P158" i="1"/>
  <c r="R158" i="1" s="1"/>
  <c r="M159" i="1"/>
  <c r="N159" i="1"/>
  <c r="O159" i="1"/>
  <c r="P159" i="1"/>
  <c r="R159" i="1" s="1"/>
  <c r="M160" i="1"/>
  <c r="N160" i="1"/>
  <c r="O160" i="1"/>
  <c r="P160" i="1"/>
  <c r="R160" i="1" s="1"/>
  <c r="M161" i="1"/>
  <c r="N161" i="1"/>
  <c r="O161" i="1"/>
  <c r="P161" i="1"/>
  <c r="R161" i="1" s="1"/>
  <c r="M162" i="1"/>
  <c r="N162" i="1"/>
  <c r="O162" i="1"/>
  <c r="P162" i="1"/>
  <c r="R162" i="1" s="1"/>
  <c r="M163" i="1"/>
  <c r="N163" i="1"/>
  <c r="O163" i="1"/>
  <c r="P163" i="1"/>
  <c r="R163" i="1"/>
  <c r="M164" i="1"/>
  <c r="N164" i="1"/>
  <c r="O164" i="1"/>
  <c r="P164" i="1"/>
  <c r="R164" i="1" s="1"/>
  <c r="M165" i="1"/>
  <c r="N165" i="1"/>
  <c r="O165" i="1"/>
  <c r="P165" i="1"/>
  <c r="R165" i="1"/>
  <c r="M166" i="1"/>
  <c r="N166" i="1"/>
  <c r="O166" i="1"/>
  <c r="P166" i="1"/>
  <c r="R166" i="1" s="1"/>
  <c r="M167" i="1"/>
  <c r="N167" i="1"/>
  <c r="O167" i="1"/>
  <c r="P167" i="1"/>
  <c r="R167" i="1" s="1"/>
  <c r="M168" i="1"/>
  <c r="N168" i="1"/>
  <c r="O168" i="1"/>
  <c r="P168" i="1"/>
  <c r="R168" i="1" s="1"/>
  <c r="M169" i="1"/>
  <c r="N169" i="1"/>
  <c r="O169" i="1"/>
  <c r="P169" i="1"/>
  <c r="R169" i="1" s="1"/>
  <c r="M170" i="1"/>
  <c r="N170" i="1"/>
  <c r="O170" i="1"/>
  <c r="P170" i="1"/>
  <c r="R170" i="1" s="1"/>
  <c r="M171" i="1"/>
  <c r="N171" i="1"/>
  <c r="O171" i="1"/>
  <c r="P171" i="1"/>
  <c r="R171" i="1" s="1"/>
  <c r="M172" i="1"/>
  <c r="N172" i="1"/>
  <c r="O172" i="1"/>
  <c r="P172" i="1"/>
  <c r="R172" i="1" s="1"/>
  <c r="M173" i="1"/>
  <c r="N173" i="1"/>
  <c r="O173" i="1"/>
  <c r="P173" i="1"/>
  <c r="R173" i="1" s="1"/>
  <c r="M174" i="1"/>
  <c r="N174" i="1"/>
  <c r="O174" i="1"/>
  <c r="P174" i="1"/>
  <c r="R174" i="1" s="1"/>
  <c r="M175" i="1"/>
  <c r="N175" i="1"/>
  <c r="O175" i="1"/>
  <c r="P175" i="1"/>
  <c r="R175" i="1"/>
  <c r="M176" i="1"/>
  <c r="N176" i="1"/>
  <c r="O176" i="1"/>
  <c r="P176" i="1"/>
  <c r="R176" i="1"/>
  <c r="M177" i="1"/>
  <c r="N177" i="1"/>
  <c r="O177" i="1"/>
  <c r="P177" i="1"/>
  <c r="R177" i="1" s="1"/>
  <c r="M178" i="1"/>
  <c r="N178" i="1"/>
  <c r="O178" i="1"/>
  <c r="P178" i="1"/>
  <c r="R178" i="1" s="1"/>
  <c r="M179" i="1"/>
  <c r="N179" i="1"/>
  <c r="O179" i="1"/>
  <c r="P179" i="1"/>
  <c r="R179" i="1"/>
  <c r="M180" i="1"/>
  <c r="N180" i="1"/>
  <c r="O180" i="1"/>
  <c r="P180" i="1"/>
  <c r="R180" i="1" s="1"/>
  <c r="M181" i="1"/>
  <c r="N181" i="1"/>
  <c r="O181" i="1"/>
  <c r="P181" i="1"/>
  <c r="R181" i="1" s="1"/>
  <c r="M182" i="1"/>
  <c r="N182" i="1"/>
  <c r="O182" i="1"/>
  <c r="P182" i="1"/>
  <c r="R182" i="1" s="1"/>
  <c r="M183" i="1"/>
  <c r="N183" i="1"/>
  <c r="O183" i="1"/>
  <c r="P183" i="1"/>
  <c r="R183" i="1" s="1"/>
  <c r="M184" i="1"/>
  <c r="N184" i="1"/>
  <c r="O184" i="1"/>
  <c r="P184" i="1"/>
  <c r="R184" i="1"/>
  <c r="M185" i="1"/>
  <c r="N185" i="1"/>
  <c r="O185" i="1"/>
  <c r="P185" i="1"/>
  <c r="R185" i="1" s="1"/>
  <c r="M186" i="1"/>
  <c r="N186" i="1"/>
  <c r="O186" i="1"/>
  <c r="P186" i="1"/>
  <c r="R186" i="1" s="1"/>
  <c r="M187" i="1"/>
  <c r="N187" i="1"/>
  <c r="O187" i="1"/>
  <c r="P187" i="1"/>
  <c r="R187" i="1" s="1"/>
  <c r="M188" i="1"/>
  <c r="N188" i="1"/>
  <c r="O188" i="1"/>
  <c r="P188" i="1"/>
  <c r="R188" i="1" s="1"/>
  <c r="M189" i="1"/>
  <c r="N189" i="1"/>
  <c r="O189" i="1"/>
  <c r="P189" i="1"/>
  <c r="R189" i="1" s="1"/>
  <c r="M190" i="1"/>
  <c r="N190" i="1"/>
  <c r="O190" i="1"/>
  <c r="P190" i="1"/>
  <c r="R190" i="1" s="1"/>
  <c r="M191" i="1"/>
  <c r="N191" i="1"/>
  <c r="O191" i="1"/>
  <c r="P191" i="1"/>
  <c r="R191" i="1"/>
  <c r="M192" i="1"/>
  <c r="N192" i="1"/>
  <c r="O192" i="1"/>
  <c r="P192" i="1"/>
  <c r="R192" i="1" s="1"/>
  <c r="M193" i="1"/>
  <c r="N193" i="1"/>
  <c r="O193" i="1"/>
  <c r="P193" i="1"/>
  <c r="R193" i="1" s="1"/>
  <c r="M194" i="1"/>
  <c r="N194" i="1"/>
  <c r="O194" i="1"/>
  <c r="P194" i="1"/>
  <c r="R194" i="1" s="1"/>
  <c r="M195" i="1"/>
  <c r="N195" i="1"/>
  <c r="O195" i="1"/>
  <c r="P195" i="1"/>
  <c r="R195" i="1" s="1"/>
  <c r="M196" i="1"/>
  <c r="N196" i="1"/>
  <c r="O196" i="1"/>
  <c r="P196" i="1"/>
  <c r="R196" i="1" s="1"/>
  <c r="M197" i="1"/>
  <c r="N197" i="1"/>
  <c r="O197" i="1"/>
  <c r="P197" i="1"/>
  <c r="R197" i="1" s="1"/>
  <c r="M198" i="1"/>
  <c r="N198" i="1"/>
  <c r="O198" i="1"/>
  <c r="P198" i="1"/>
  <c r="R198" i="1" s="1"/>
  <c r="M199" i="1"/>
  <c r="N199" i="1"/>
  <c r="O199" i="1"/>
  <c r="P199" i="1"/>
  <c r="R199" i="1" s="1"/>
  <c r="M200" i="1"/>
  <c r="N200" i="1"/>
  <c r="O200" i="1"/>
  <c r="P200" i="1"/>
  <c r="R200" i="1" s="1"/>
  <c r="M201" i="1"/>
  <c r="N201" i="1"/>
  <c r="O201" i="1"/>
  <c r="P201" i="1"/>
  <c r="R201" i="1" s="1"/>
  <c r="M202" i="1"/>
  <c r="N202" i="1"/>
  <c r="O202" i="1"/>
  <c r="P202" i="1"/>
  <c r="R202" i="1" s="1"/>
  <c r="M203" i="1"/>
  <c r="N203" i="1"/>
  <c r="O203" i="1"/>
  <c r="P203" i="1"/>
  <c r="R203" i="1" s="1"/>
  <c r="M204" i="1"/>
  <c r="N204" i="1"/>
  <c r="O204" i="1"/>
  <c r="P204" i="1"/>
  <c r="R204" i="1" s="1"/>
  <c r="M205" i="1"/>
  <c r="N205" i="1"/>
  <c r="O205" i="1"/>
  <c r="P205" i="1"/>
  <c r="R205" i="1" s="1"/>
  <c r="M206" i="1"/>
  <c r="N206" i="1"/>
  <c r="O206" i="1"/>
  <c r="P206" i="1"/>
  <c r="R206" i="1" s="1"/>
  <c r="M207" i="1"/>
  <c r="N207" i="1"/>
  <c r="O207" i="1"/>
  <c r="P207" i="1"/>
  <c r="R207" i="1" s="1"/>
  <c r="M208" i="1"/>
  <c r="N208" i="1"/>
  <c r="O208" i="1"/>
  <c r="P208" i="1"/>
  <c r="R208" i="1" s="1"/>
  <c r="M209" i="1"/>
  <c r="N209" i="1"/>
  <c r="O209" i="1"/>
  <c r="P209" i="1"/>
  <c r="R209" i="1" s="1"/>
  <c r="M210" i="1"/>
  <c r="N210" i="1"/>
  <c r="O210" i="1"/>
  <c r="P210" i="1"/>
  <c r="R210" i="1" s="1"/>
  <c r="M211" i="1"/>
  <c r="N211" i="1"/>
  <c r="O211" i="1"/>
  <c r="P211" i="1"/>
  <c r="R211" i="1"/>
  <c r="M212" i="1"/>
  <c r="N212" i="1"/>
  <c r="O212" i="1"/>
  <c r="P212" i="1"/>
  <c r="R212" i="1" s="1"/>
  <c r="M213" i="1"/>
  <c r="N213" i="1"/>
  <c r="O213" i="1"/>
  <c r="P213" i="1"/>
  <c r="R213" i="1" s="1"/>
  <c r="M214" i="1"/>
  <c r="N214" i="1"/>
  <c r="O214" i="1"/>
  <c r="P214" i="1"/>
  <c r="R214" i="1" s="1"/>
  <c r="M215" i="1"/>
  <c r="N215" i="1"/>
  <c r="O215" i="1"/>
  <c r="P215" i="1"/>
  <c r="R215" i="1" s="1"/>
  <c r="M216" i="1"/>
  <c r="N216" i="1"/>
  <c r="O216" i="1"/>
  <c r="P216" i="1"/>
  <c r="R216" i="1" s="1"/>
  <c r="M217" i="1"/>
  <c r="N217" i="1"/>
  <c r="O217" i="1"/>
  <c r="P217" i="1"/>
  <c r="R217" i="1" s="1"/>
  <c r="M218" i="1"/>
  <c r="N218" i="1"/>
  <c r="O218" i="1"/>
  <c r="P218" i="1"/>
  <c r="R218" i="1" s="1"/>
  <c r="M219" i="1"/>
  <c r="N219" i="1"/>
  <c r="O219" i="1"/>
  <c r="P219" i="1"/>
  <c r="R219" i="1" s="1"/>
  <c r="M220" i="1"/>
  <c r="N220" i="1"/>
  <c r="O220" i="1"/>
  <c r="P220" i="1"/>
  <c r="R220" i="1" s="1"/>
  <c r="M221" i="1"/>
  <c r="N221" i="1"/>
  <c r="O221" i="1"/>
  <c r="P221" i="1"/>
  <c r="R221" i="1"/>
  <c r="M222" i="1"/>
  <c r="N222" i="1"/>
  <c r="O222" i="1"/>
  <c r="P222" i="1"/>
  <c r="R222" i="1" s="1"/>
  <c r="M223" i="1"/>
  <c r="N223" i="1"/>
  <c r="O223" i="1"/>
  <c r="P223" i="1"/>
  <c r="R223" i="1"/>
  <c r="M224" i="1"/>
  <c r="N224" i="1"/>
  <c r="O224" i="1"/>
  <c r="P224" i="1"/>
  <c r="R224" i="1" s="1"/>
  <c r="M225" i="1"/>
  <c r="N225" i="1"/>
  <c r="O225" i="1"/>
  <c r="P225" i="1"/>
  <c r="R225" i="1" s="1"/>
  <c r="M226" i="1"/>
  <c r="N226" i="1"/>
  <c r="O226" i="1"/>
  <c r="P226" i="1"/>
  <c r="R226" i="1" s="1"/>
  <c r="M227" i="1"/>
  <c r="N227" i="1"/>
  <c r="O227" i="1"/>
  <c r="P227" i="1"/>
  <c r="R227" i="1" s="1"/>
  <c r="M228" i="1"/>
  <c r="N228" i="1"/>
  <c r="O228" i="1"/>
  <c r="P228" i="1"/>
  <c r="R228" i="1" s="1"/>
  <c r="M229" i="1"/>
  <c r="N229" i="1"/>
  <c r="O229" i="1"/>
  <c r="P229" i="1"/>
  <c r="R229" i="1"/>
  <c r="M230" i="1"/>
  <c r="N230" i="1"/>
  <c r="O230" i="1"/>
  <c r="P230" i="1"/>
  <c r="R230" i="1" s="1"/>
  <c r="M231" i="1"/>
  <c r="N231" i="1"/>
  <c r="O231" i="1"/>
  <c r="P231" i="1"/>
  <c r="R231" i="1" s="1"/>
  <c r="M232" i="1"/>
  <c r="N232" i="1"/>
  <c r="O232" i="1"/>
  <c r="P232" i="1"/>
  <c r="R232" i="1" s="1"/>
  <c r="M233" i="1"/>
  <c r="N233" i="1"/>
  <c r="O233" i="1"/>
  <c r="P233" i="1"/>
  <c r="R233" i="1" s="1"/>
  <c r="M234" i="1"/>
  <c r="N234" i="1"/>
  <c r="O234" i="1"/>
  <c r="P234" i="1"/>
  <c r="R234" i="1" s="1"/>
  <c r="M235" i="1"/>
  <c r="N235" i="1"/>
  <c r="O235" i="1"/>
  <c r="P235" i="1"/>
  <c r="R235" i="1" s="1"/>
  <c r="M236" i="1"/>
  <c r="N236" i="1"/>
  <c r="O236" i="1"/>
  <c r="P236" i="1"/>
  <c r="R236" i="1" s="1"/>
  <c r="M237" i="1"/>
  <c r="N237" i="1"/>
  <c r="O237" i="1"/>
  <c r="P237" i="1"/>
  <c r="R237" i="1" s="1"/>
  <c r="M238" i="1"/>
  <c r="N238" i="1"/>
  <c r="O238" i="1"/>
  <c r="P238" i="1"/>
  <c r="R238" i="1" s="1"/>
  <c r="M239" i="1"/>
  <c r="N239" i="1"/>
  <c r="O239" i="1"/>
  <c r="P239" i="1"/>
  <c r="R239" i="1" s="1"/>
  <c r="M240" i="1"/>
  <c r="N240" i="1"/>
  <c r="O240" i="1"/>
  <c r="P240" i="1"/>
  <c r="R240" i="1" s="1"/>
  <c r="M241" i="1"/>
  <c r="N241" i="1"/>
  <c r="O241" i="1"/>
  <c r="P241" i="1"/>
  <c r="R241" i="1" s="1"/>
  <c r="M242" i="1"/>
  <c r="N242" i="1"/>
  <c r="O242" i="1"/>
  <c r="P242" i="1"/>
  <c r="R242" i="1" s="1"/>
  <c r="M243" i="1"/>
  <c r="N243" i="1"/>
  <c r="O243" i="1"/>
  <c r="P243" i="1"/>
  <c r="R243" i="1"/>
  <c r="M244" i="1"/>
  <c r="N244" i="1"/>
  <c r="O244" i="1"/>
  <c r="P244" i="1"/>
  <c r="R244" i="1" s="1"/>
  <c r="M245" i="1"/>
  <c r="N245" i="1"/>
  <c r="O245" i="1"/>
  <c r="P245" i="1"/>
  <c r="R245" i="1"/>
  <c r="M246" i="1"/>
  <c r="N246" i="1"/>
  <c r="O246" i="1"/>
  <c r="P246" i="1"/>
  <c r="R246" i="1" s="1"/>
  <c r="M247" i="1"/>
  <c r="N247" i="1"/>
  <c r="O247" i="1"/>
  <c r="P247" i="1"/>
  <c r="R247" i="1" s="1"/>
  <c r="M248" i="1"/>
  <c r="N248" i="1"/>
  <c r="O248" i="1"/>
  <c r="P248" i="1"/>
  <c r="R248" i="1" s="1"/>
  <c r="M249" i="1"/>
  <c r="N249" i="1"/>
  <c r="O249" i="1"/>
  <c r="P249" i="1"/>
  <c r="R249" i="1" s="1"/>
  <c r="M250" i="1"/>
  <c r="N250" i="1"/>
  <c r="O250" i="1"/>
  <c r="P250" i="1"/>
  <c r="R250" i="1" s="1"/>
  <c r="M251" i="1"/>
  <c r="N251" i="1"/>
  <c r="O251" i="1"/>
  <c r="P251" i="1"/>
  <c r="R251" i="1" s="1"/>
  <c r="M252" i="1"/>
  <c r="N252" i="1"/>
  <c r="O252" i="1"/>
  <c r="P252" i="1"/>
  <c r="R252" i="1" s="1"/>
  <c r="M253" i="1"/>
  <c r="N253" i="1"/>
  <c r="O253" i="1"/>
  <c r="P253" i="1"/>
  <c r="R253" i="1"/>
  <c r="M254" i="1"/>
  <c r="N254" i="1"/>
  <c r="O254" i="1"/>
  <c r="P254" i="1"/>
  <c r="R254" i="1" s="1"/>
  <c r="M255" i="1"/>
  <c r="N255" i="1"/>
  <c r="O255" i="1"/>
  <c r="P255" i="1"/>
  <c r="R255" i="1" s="1"/>
  <c r="M256" i="1"/>
  <c r="N256" i="1"/>
  <c r="O256" i="1"/>
  <c r="P256" i="1"/>
  <c r="R256" i="1" s="1"/>
  <c r="M257" i="1"/>
  <c r="N257" i="1"/>
  <c r="O257" i="1"/>
  <c r="P257" i="1"/>
  <c r="R257" i="1" s="1"/>
  <c r="M258" i="1"/>
  <c r="N258" i="1"/>
  <c r="O258" i="1"/>
  <c r="P258" i="1"/>
  <c r="R258" i="1" s="1"/>
  <c r="M259" i="1"/>
  <c r="N259" i="1"/>
  <c r="O259" i="1"/>
  <c r="P259" i="1"/>
  <c r="R259" i="1" s="1"/>
  <c r="M260" i="1"/>
  <c r="N260" i="1"/>
  <c r="O260" i="1"/>
  <c r="P260" i="1"/>
  <c r="R260" i="1" s="1"/>
  <c r="M261" i="1"/>
  <c r="N261" i="1"/>
  <c r="O261" i="1"/>
  <c r="P261" i="1"/>
  <c r="R261" i="1"/>
  <c r="M262" i="1"/>
  <c r="N262" i="1"/>
  <c r="O262" i="1"/>
  <c r="P262" i="1"/>
  <c r="R262" i="1" s="1"/>
  <c r="M263" i="1"/>
  <c r="N263" i="1"/>
  <c r="O263" i="1"/>
  <c r="P263" i="1"/>
  <c r="R263" i="1" s="1"/>
  <c r="M264" i="1"/>
  <c r="N264" i="1"/>
  <c r="O264" i="1"/>
  <c r="P264" i="1"/>
  <c r="R264" i="1" s="1"/>
  <c r="M265" i="1"/>
  <c r="N265" i="1"/>
  <c r="O265" i="1"/>
  <c r="P265" i="1"/>
  <c r="R265" i="1" s="1"/>
  <c r="M266" i="1"/>
  <c r="N266" i="1"/>
  <c r="O266" i="1"/>
  <c r="P266" i="1"/>
  <c r="R266" i="1" s="1"/>
  <c r="M267" i="1"/>
  <c r="N267" i="1"/>
  <c r="O267" i="1"/>
  <c r="P267" i="1"/>
  <c r="R267" i="1" s="1"/>
  <c r="M268" i="1"/>
  <c r="N268" i="1"/>
  <c r="O268" i="1"/>
  <c r="P268" i="1"/>
  <c r="R268" i="1" s="1"/>
  <c r="M269" i="1"/>
  <c r="N269" i="1"/>
  <c r="O269" i="1"/>
  <c r="P269" i="1"/>
  <c r="R269" i="1"/>
  <c r="M270" i="1"/>
  <c r="N270" i="1"/>
  <c r="O270" i="1"/>
  <c r="P270" i="1"/>
  <c r="R270" i="1" s="1"/>
  <c r="M271" i="1"/>
  <c r="N271" i="1"/>
  <c r="O271" i="1"/>
  <c r="P271" i="1"/>
  <c r="R271" i="1" s="1"/>
  <c r="M272" i="1"/>
  <c r="N272" i="1"/>
  <c r="O272" i="1"/>
  <c r="P272" i="1"/>
  <c r="R272" i="1" s="1"/>
  <c r="M273" i="1"/>
  <c r="N273" i="1"/>
  <c r="O273" i="1"/>
  <c r="P273" i="1"/>
  <c r="R273" i="1" s="1"/>
  <c r="M274" i="1"/>
  <c r="N274" i="1"/>
  <c r="O274" i="1"/>
  <c r="P274" i="1"/>
  <c r="R274" i="1" s="1"/>
  <c r="M275" i="1"/>
  <c r="N275" i="1"/>
  <c r="O275" i="1"/>
  <c r="P275" i="1"/>
  <c r="R275" i="1" s="1"/>
  <c r="M276" i="1"/>
  <c r="N276" i="1"/>
  <c r="O276" i="1"/>
  <c r="P276" i="1"/>
  <c r="R276" i="1"/>
  <c r="M277" i="1"/>
  <c r="N277" i="1"/>
  <c r="O277" i="1"/>
  <c r="P277" i="1"/>
  <c r="R277" i="1"/>
  <c r="M278" i="1"/>
  <c r="N278" i="1"/>
  <c r="O278" i="1"/>
  <c r="P278" i="1"/>
  <c r="R278" i="1" s="1"/>
  <c r="M279" i="1"/>
  <c r="N279" i="1"/>
  <c r="O279" i="1"/>
  <c r="P279" i="1"/>
  <c r="R279" i="1" s="1"/>
  <c r="M280" i="1"/>
  <c r="N280" i="1"/>
  <c r="O280" i="1"/>
  <c r="P280" i="1"/>
  <c r="R280" i="1" s="1"/>
  <c r="M281" i="1"/>
  <c r="N281" i="1"/>
  <c r="O281" i="1"/>
  <c r="P281" i="1"/>
  <c r="R281" i="1" s="1"/>
  <c r="M282" i="1"/>
  <c r="N282" i="1"/>
  <c r="O282" i="1"/>
  <c r="P282" i="1"/>
  <c r="R282" i="1" s="1"/>
  <c r="M283" i="1"/>
  <c r="N283" i="1"/>
  <c r="O283" i="1"/>
  <c r="P283" i="1"/>
  <c r="R283" i="1" s="1"/>
  <c r="M284" i="1"/>
  <c r="N284" i="1"/>
  <c r="O284" i="1"/>
  <c r="P284" i="1"/>
  <c r="R284" i="1" s="1"/>
  <c r="M285" i="1"/>
  <c r="N285" i="1"/>
  <c r="O285" i="1"/>
  <c r="P285" i="1"/>
  <c r="R285" i="1" s="1"/>
  <c r="M286" i="1"/>
  <c r="N286" i="1"/>
  <c r="O286" i="1"/>
  <c r="P286" i="1"/>
  <c r="R286" i="1" s="1"/>
  <c r="M287" i="1"/>
  <c r="N287" i="1"/>
  <c r="O287" i="1"/>
  <c r="P287" i="1"/>
  <c r="R287" i="1" s="1"/>
  <c r="M288" i="1"/>
  <c r="N288" i="1"/>
  <c r="O288" i="1"/>
  <c r="P288" i="1"/>
  <c r="R288" i="1" s="1"/>
  <c r="M289" i="1"/>
  <c r="N289" i="1"/>
  <c r="O289" i="1"/>
  <c r="P289" i="1"/>
  <c r="R289" i="1" s="1"/>
  <c r="M290" i="1"/>
  <c r="N290" i="1"/>
  <c r="O290" i="1"/>
  <c r="P290" i="1"/>
  <c r="R290" i="1" s="1"/>
  <c r="M291" i="1"/>
  <c r="N291" i="1"/>
  <c r="O291" i="1"/>
  <c r="P291" i="1"/>
  <c r="R291" i="1"/>
  <c r="M292" i="1"/>
  <c r="N292" i="1"/>
  <c r="O292" i="1"/>
  <c r="P292" i="1"/>
  <c r="R292" i="1"/>
  <c r="M293" i="1"/>
  <c r="N293" i="1"/>
  <c r="O293" i="1"/>
  <c r="P293" i="1"/>
  <c r="R293" i="1"/>
  <c r="M294" i="1"/>
  <c r="N294" i="1"/>
  <c r="O294" i="1"/>
  <c r="P294" i="1"/>
  <c r="R294" i="1" s="1"/>
  <c r="M295" i="1"/>
  <c r="N295" i="1"/>
  <c r="O295" i="1"/>
  <c r="P295" i="1"/>
  <c r="R295" i="1" s="1"/>
  <c r="M296" i="1"/>
  <c r="N296" i="1"/>
  <c r="O296" i="1"/>
  <c r="P296" i="1"/>
  <c r="R296" i="1" s="1"/>
  <c r="M297" i="1"/>
  <c r="N297" i="1"/>
  <c r="O297" i="1"/>
  <c r="P297" i="1"/>
  <c r="R297" i="1" s="1"/>
  <c r="M298" i="1"/>
  <c r="N298" i="1"/>
  <c r="O298" i="1"/>
  <c r="P298" i="1"/>
  <c r="R298" i="1" s="1"/>
  <c r="M299" i="1"/>
  <c r="N299" i="1"/>
  <c r="O299" i="1"/>
  <c r="P299" i="1"/>
  <c r="R299" i="1" s="1"/>
  <c r="M300" i="1"/>
  <c r="N300" i="1"/>
  <c r="O300" i="1"/>
  <c r="P300" i="1"/>
  <c r="R300" i="1" s="1"/>
  <c r="M301" i="1"/>
  <c r="N301" i="1"/>
  <c r="O301" i="1"/>
  <c r="P301" i="1"/>
  <c r="R301" i="1"/>
  <c r="M302" i="1"/>
  <c r="N302" i="1"/>
  <c r="O302" i="1"/>
  <c r="P302" i="1"/>
  <c r="R302" i="1" s="1"/>
  <c r="M303" i="1"/>
  <c r="N303" i="1"/>
  <c r="O303" i="1"/>
  <c r="P303" i="1"/>
  <c r="R303" i="1" s="1"/>
  <c r="M304" i="1"/>
  <c r="N304" i="1"/>
  <c r="O304" i="1"/>
  <c r="P304" i="1"/>
  <c r="R304" i="1" s="1"/>
  <c r="M305" i="1"/>
  <c r="N305" i="1"/>
  <c r="O305" i="1"/>
  <c r="P305" i="1"/>
  <c r="R305" i="1" s="1"/>
  <c r="M306" i="1"/>
  <c r="N306" i="1"/>
  <c r="O306" i="1"/>
  <c r="P306" i="1"/>
  <c r="R306" i="1" s="1"/>
  <c r="M307" i="1"/>
  <c r="N307" i="1"/>
  <c r="O307" i="1"/>
  <c r="P307" i="1"/>
  <c r="R307" i="1"/>
  <c r="M308" i="1"/>
  <c r="N308" i="1"/>
  <c r="O308" i="1"/>
  <c r="P308" i="1"/>
  <c r="R308" i="1"/>
  <c r="M309" i="1"/>
  <c r="N309" i="1"/>
  <c r="O309" i="1"/>
  <c r="P309" i="1"/>
  <c r="R309" i="1" s="1"/>
  <c r="M310" i="1"/>
  <c r="N310" i="1"/>
  <c r="O310" i="1"/>
  <c r="P310" i="1"/>
  <c r="R310" i="1" s="1"/>
  <c r="M311" i="1"/>
  <c r="N311" i="1"/>
  <c r="O311" i="1"/>
  <c r="P311" i="1"/>
  <c r="R311" i="1"/>
  <c r="M312" i="1"/>
  <c r="N312" i="1"/>
  <c r="O312" i="1"/>
  <c r="P312" i="1"/>
  <c r="R312" i="1" s="1"/>
  <c r="M313" i="1"/>
  <c r="N313" i="1"/>
  <c r="O313" i="1"/>
  <c r="P313" i="1"/>
  <c r="R313" i="1" s="1"/>
  <c r="M314" i="1"/>
  <c r="N314" i="1"/>
  <c r="O314" i="1"/>
  <c r="P314" i="1"/>
  <c r="R314" i="1" s="1"/>
  <c r="M315" i="1"/>
  <c r="N315" i="1"/>
  <c r="O315" i="1"/>
  <c r="P315" i="1"/>
  <c r="R315" i="1" s="1"/>
  <c r="M316" i="1"/>
  <c r="N316" i="1"/>
  <c r="O316" i="1"/>
  <c r="P316" i="1"/>
  <c r="R316" i="1" s="1"/>
  <c r="M317" i="1"/>
  <c r="N317" i="1"/>
  <c r="O317" i="1"/>
  <c r="P317" i="1"/>
  <c r="R317" i="1" s="1"/>
  <c r="M318" i="1"/>
  <c r="N318" i="1"/>
  <c r="O318" i="1"/>
  <c r="P318" i="1"/>
  <c r="R318" i="1" s="1"/>
  <c r="M319" i="1"/>
  <c r="N319" i="1"/>
  <c r="O319" i="1"/>
  <c r="P319" i="1"/>
  <c r="R319" i="1" s="1"/>
  <c r="M320" i="1"/>
  <c r="N320" i="1"/>
  <c r="O320" i="1"/>
  <c r="P320" i="1"/>
  <c r="R320" i="1" s="1"/>
  <c r="M321" i="1"/>
  <c r="N321" i="1"/>
  <c r="O321" i="1"/>
  <c r="P321" i="1"/>
  <c r="R321" i="1" s="1"/>
  <c r="M322" i="1"/>
  <c r="N322" i="1"/>
  <c r="O322" i="1"/>
  <c r="P322" i="1"/>
  <c r="R322" i="1" s="1"/>
  <c r="M323" i="1"/>
  <c r="N323" i="1"/>
  <c r="O323" i="1"/>
  <c r="P323" i="1"/>
  <c r="R323" i="1"/>
  <c r="M324" i="1"/>
  <c r="N324" i="1"/>
  <c r="O324" i="1"/>
  <c r="P324" i="1"/>
  <c r="R324" i="1" s="1"/>
  <c r="M325" i="1"/>
  <c r="N325" i="1"/>
  <c r="O325" i="1"/>
  <c r="P325" i="1"/>
  <c r="R325" i="1"/>
  <c r="M326" i="1"/>
  <c r="N326" i="1"/>
  <c r="O326" i="1"/>
  <c r="P326" i="1"/>
  <c r="R326" i="1" s="1"/>
  <c r="M327" i="1"/>
  <c r="N327" i="1"/>
  <c r="O327" i="1"/>
  <c r="P327" i="1"/>
  <c r="R327" i="1"/>
  <c r="M328" i="1"/>
  <c r="N328" i="1"/>
  <c r="O328" i="1"/>
  <c r="P328" i="1"/>
  <c r="R328" i="1" s="1"/>
  <c r="M329" i="1"/>
  <c r="N329" i="1"/>
  <c r="O329" i="1"/>
  <c r="P329" i="1"/>
  <c r="R329" i="1" s="1"/>
  <c r="M330" i="1"/>
  <c r="N330" i="1"/>
  <c r="O330" i="1"/>
  <c r="P330" i="1"/>
  <c r="R330" i="1" s="1"/>
  <c r="M331" i="1"/>
  <c r="N331" i="1"/>
  <c r="O331" i="1"/>
  <c r="P331" i="1"/>
  <c r="R331" i="1" s="1"/>
  <c r="M332" i="1"/>
  <c r="N332" i="1"/>
  <c r="O332" i="1"/>
  <c r="P332" i="1"/>
  <c r="R332" i="1" s="1"/>
  <c r="M333" i="1"/>
  <c r="N333" i="1"/>
  <c r="O333" i="1"/>
  <c r="P333" i="1"/>
  <c r="R333" i="1" s="1"/>
  <c r="M334" i="1"/>
  <c r="N334" i="1"/>
  <c r="O334" i="1"/>
  <c r="P334" i="1"/>
  <c r="R334" i="1" s="1"/>
  <c r="M335" i="1"/>
  <c r="N335" i="1"/>
  <c r="O335" i="1"/>
  <c r="P335" i="1"/>
  <c r="R335" i="1" s="1"/>
  <c r="M336" i="1"/>
  <c r="N336" i="1"/>
  <c r="O336" i="1"/>
  <c r="P336" i="1"/>
  <c r="R336" i="1" s="1"/>
  <c r="M337" i="1"/>
  <c r="N337" i="1"/>
  <c r="O337" i="1"/>
  <c r="P337" i="1"/>
  <c r="R337" i="1" s="1"/>
  <c r="M338" i="1"/>
  <c r="N338" i="1"/>
  <c r="O338" i="1"/>
  <c r="P338" i="1"/>
  <c r="R338" i="1" s="1"/>
  <c r="M339" i="1"/>
  <c r="N339" i="1"/>
  <c r="O339" i="1"/>
  <c r="P339" i="1"/>
  <c r="R339" i="1" s="1"/>
  <c r="M340" i="1"/>
  <c r="N340" i="1"/>
  <c r="O340" i="1"/>
  <c r="P340" i="1"/>
  <c r="R340" i="1"/>
  <c r="M341" i="1"/>
  <c r="N341" i="1"/>
  <c r="O341" i="1"/>
  <c r="P341" i="1"/>
  <c r="R341" i="1" s="1"/>
  <c r="M342" i="1"/>
  <c r="N342" i="1"/>
  <c r="O342" i="1"/>
  <c r="P342" i="1"/>
  <c r="R342" i="1" s="1"/>
  <c r="M343" i="1"/>
  <c r="N343" i="1"/>
  <c r="O343" i="1"/>
  <c r="P343" i="1"/>
  <c r="R343" i="1"/>
  <c r="M344" i="1"/>
  <c r="N344" i="1"/>
  <c r="O344" i="1"/>
  <c r="P344" i="1"/>
  <c r="R344" i="1" s="1"/>
  <c r="M345" i="1"/>
  <c r="N345" i="1"/>
  <c r="O345" i="1"/>
  <c r="P345" i="1"/>
  <c r="R345" i="1" s="1"/>
  <c r="M346" i="1"/>
  <c r="N346" i="1"/>
  <c r="O346" i="1"/>
  <c r="P346" i="1"/>
  <c r="R346" i="1" s="1"/>
  <c r="M347" i="1"/>
  <c r="N347" i="1"/>
  <c r="O347" i="1"/>
  <c r="P347" i="1"/>
  <c r="R347" i="1" s="1"/>
  <c r="M348" i="1"/>
  <c r="N348" i="1"/>
  <c r="O348" i="1"/>
  <c r="P348" i="1"/>
  <c r="R348" i="1" s="1"/>
  <c r="M349" i="1"/>
  <c r="N349" i="1"/>
  <c r="O349" i="1"/>
  <c r="P349" i="1"/>
  <c r="R349" i="1" s="1"/>
  <c r="M350" i="1"/>
  <c r="N350" i="1"/>
  <c r="O350" i="1"/>
  <c r="P350" i="1"/>
  <c r="R350" i="1" s="1"/>
  <c r="M351" i="1"/>
  <c r="N351" i="1"/>
  <c r="O351" i="1"/>
  <c r="P351" i="1"/>
  <c r="R351" i="1" s="1"/>
  <c r="M352" i="1"/>
  <c r="N352" i="1"/>
  <c r="O352" i="1"/>
  <c r="P352" i="1"/>
  <c r="R352" i="1" s="1"/>
  <c r="M353" i="1"/>
  <c r="N353" i="1"/>
  <c r="O353" i="1"/>
  <c r="P353" i="1"/>
  <c r="R353" i="1" s="1"/>
  <c r="M354" i="1"/>
  <c r="N354" i="1"/>
  <c r="O354" i="1"/>
  <c r="P354" i="1"/>
  <c r="R354" i="1" s="1"/>
  <c r="M355" i="1"/>
  <c r="N355" i="1"/>
  <c r="O355" i="1"/>
  <c r="P355" i="1"/>
  <c r="R355" i="1"/>
  <c r="M356" i="1"/>
  <c r="N356" i="1"/>
  <c r="O356" i="1"/>
  <c r="P356" i="1"/>
  <c r="R356" i="1" s="1"/>
  <c r="M357" i="1"/>
  <c r="N357" i="1"/>
  <c r="O357" i="1"/>
  <c r="P357" i="1"/>
  <c r="R357" i="1" s="1"/>
  <c r="M358" i="1"/>
  <c r="N358" i="1"/>
  <c r="O358" i="1"/>
  <c r="P358" i="1"/>
  <c r="R358" i="1" s="1"/>
  <c r="M359" i="1"/>
  <c r="N359" i="1"/>
  <c r="O359" i="1"/>
  <c r="P359" i="1"/>
  <c r="R359" i="1" s="1"/>
  <c r="M360" i="1"/>
  <c r="N360" i="1"/>
  <c r="O360" i="1"/>
  <c r="P360" i="1"/>
  <c r="R360" i="1" s="1"/>
  <c r="M361" i="1"/>
  <c r="N361" i="1"/>
  <c r="O361" i="1"/>
  <c r="P361" i="1"/>
  <c r="R361" i="1" s="1"/>
  <c r="M362" i="1"/>
  <c r="N362" i="1"/>
  <c r="O362" i="1"/>
  <c r="P362" i="1"/>
  <c r="R362" i="1" s="1"/>
  <c r="M363" i="1"/>
  <c r="N363" i="1"/>
  <c r="O363" i="1"/>
  <c r="P363" i="1"/>
  <c r="R363" i="1" s="1"/>
  <c r="M364" i="1"/>
  <c r="N364" i="1"/>
  <c r="O364" i="1"/>
  <c r="P364" i="1"/>
  <c r="R364" i="1" s="1"/>
  <c r="M365" i="1"/>
  <c r="N365" i="1"/>
  <c r="O365" i="1"/>
  <c r="P365" i="1"/>
  <c r="R365" i="1"/>
  <c r="M366" i="1"/>
  <c r="N366" i="1"/>
  <c r="O366" i="1"/>
  <c r="P366" i="1"/>
  <c r="R366" i="1" s="1"/>
  <c r="M367" i="1"/>
  <c r="N367" i="1"/>
  <c r="O367" i="1"/>
  <c r="P367" i="1"/>
  <c r="R367" i="1" s="1"/>
  <c r="M368" i="1"/>
  <c r="N368" i="1"/>
  <c r="O368" i="1"/>
  <c r="P368" i="1"/>
  <c r="R368" i="1" s="1"/>
  <c r="M369" i="1"/>
  <c r="N369" i="1"/>
  <c r="O369" i="1"/>
  <c r="P369" i="1"/>
  <c r="R369" i="1" s="1"/>
  <c r="M370" i="1"/>
  <c r="N370" i="1"/>
  <c r="O370" i="1"/>
  <c r="P370" i="1"/>
  <c r="R370" i="1" s="1"/>
  <c r="M371" i="1"/>
  <c r="N371" i="1"/>
  <c r="O371" i="1"/>
  <c r="P371" i="1"/>
  <c r="R371" i="1" s="1"/>
  <c r="M372" i="1"/>
  <c r="N372" i="1"/>
  <c r="O372" i="1"/>
  <c r="P372" i="1"/>
  <c r="R372" i="1" s="1"/>
  <c r="M373" i="1"/>
  <c r="N373" i="1"/>
  <c r="O373" i="1"/>
  <c r="P373" i="1"/>
  <c r="R373" i="1" s="1"/>
  <c r="M374" i="1"/>
  <c r="N374" i="1"/>
  <c r="O374" i="1"/>
  <c r="P374" i="1"/>
  <c r="R374" i="1" s="1"/>
  <c r="M375" i="1"/>
  <c r="N375" i="1"/>
  <c r="O375" i="1"/>
  <c r="P375" i="1"/>
  <c r="R375" i="1"/>
  <c r="M376" i="1"/>
  <c r="N376" i="1"/>
  <c r="O376" i="1"/>
  <c r="P376" i="1"/>
  <c r="R376" i="1" s="1"/>
  <c r="M377" i="1"/>
  <c r="N377" i="1"/>
  <c r="O377" i="1"/>
  <c r="P377" i="1"/>
  <c r="R377" i="1" s="1"/>
  <c r="O3" i="1"/>
  <c r="P3" i="1" s="1"/>
  <c r="M3" i="1"/>
  <c r="O2" i="1" l="1"/>
  <c r="P2" i="1"/>
  <c r="N3" i="1" l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" i="1"/>
  <c r="R3" i="1" s="1"/>
  <c r="R1" i="1" s="1"/>
  <c r="K2" i="1" l="1"/>
</calcChain>
</file>

<file path=xl/sharedStrings.xml><?xml version="1.0" encoding="utf-8"?>
<sst xmlns="http://schemas.openxmlformats.org/spreadsheetml/2006/main" count="1460" uniqueCount="1155">
  <si>
    <t>SKU</t>
  </si>
  <si>
    <t>Product Name</t>
  </si>
  <si>
    <t xml:space="preserve">UPC </t>
  </si>
  <si>
    <t>AAS120</t>
  </si>
  <si>
    <t>Amino Acid Synergy</t>
  </si>
  <si>
    <t>879452001824</t>
  </si>
  <si>
    <t>AASPDR</t>
  </si>
  <si>
    <t>Amino Acid Supreme™</t>
  </si>
  <si>
    <t>879452004870</t>
  </si>
  <si>
    <t>ACN180</t>
  </si>
  <si>
    <t>Acnutrol™ capsules</t>
  </si>
  <si>
    <t>879452003644</t>
  </si>
  <si>
    <t>ADC120</t>
  </si>
  <si>
    <t>Adrenal Complex</t>
  </si>
  <si>
    <t>879452001435</t>
  </si>
  <si>
    <t>ADC240</t>
  </si>
  <si>
    <t>879452004108</t>
  </si>
  <si>
    <t>ADK060</t>
  </si>
  <si>
    <t>ADK-Evail™</t>
  </si>
  <si>
    <t>879452006102</t>
  </si>
  <si>
    <t>ADP090</t>
  </si>
  <si>
    <t>Adrenotone™</t>
  </si>
  <si>
    <t>879452001442</t>
  </si>
  <si>
    <t>ADP180</t>
  </si>
  <si>
    <t>879452002913</t>
  </si>
  <si>
    <t>AGZ060</t>
  </si>
  <si>
    <t>AllerGzyme™</t>
  </si>
  <si>
    <t>879452001459</t>
  </si>
  <si>
    <t>AHP060</t>
  </si>
  <si>
    <t>Arterosil® HP</t>
  </si>
  <si>
    <t>879452006966</t>
  </si>
  <si>
    <t>ALC090</t>
  </si>
  <si>
    <t>Acetyl L-Carnitine</t>
  </si>
  <si>
    <t>879452001473</t>
  </si>
  <si>
    <t>ALLS60</t>
  </si>
  <si>
    <t>Allicillin™</t>
  </si>
  <si>
    <t>879452001497</t>
  </si>
  <si>
    <t>ALO060</t>
  </si>
  <si>
    <t>Aloe/200x™</t>
  </si>
  <si>
    <t>879452003910</t>
  </si>
  <si>
    <t>AMT090</t>
  </si>
  <si>
    <t>Amino-D-Tox™</t>
  </si>
  <si>
    <t>879452003583</t>
  </si>
  <si>
    <t>AMT180</t>
  </si>
  <si>
    <t>879452001510</t>
  </si>
  <si>
    <t>ANT150</t>
  </si>
  <si>
    <t>Annatto-E® 150</t>
  </si>
  <si>
    <t>879452005242</t>
  </si>
  <si>
    <t>ANT15L</t>
  </si>
  <si>
    <t>879452005310</t>
  </si>
  <si>
    <t>ANT300</t>
  </si>
  <si>
    <t>Annatto-E® 300</t>
  </si>
  <si>
    <t>879452005259</t>
  </si>
  <si>
    <t>ANT30L</t>
  </si>
  <si>
    <t>879452005327</t>
  </si>
  <si>
    <t>ANTEG6</t>
  </si>
  <si>
    <t>Annatto-E/GG</t>
  </si>
  <si>
    <t>879452005556</t>
  </si>
  <si>
    <t>ANTS60</t>
  </si>
  <si>
    <t>Annatto-E® Synergy (formerly Annatto Tocotrienols)</t>
  </si>
  <si>
    <t>879452004252</t>
  </si>
  <si>
    <t>ARBLLM</t>
  </si>
  <si>
    <t>879452005471</t>
  </si>
  <si>
    <t>ARBUNF</t>
  </si>
  <si>
    <t>879452005495</t>
  </si>
  <si>
    <t>ARG120</t>
  </si>
  <si>
    <t>L-Arginine</t>
  </si>
  <si>
    <t>879452001541</t>
  </si>
  <si>
    <t>ARS120</t>
  </si>
  <si>
    <t>ArthroSoothe™</t>
  </si>
  <si>
    <t>879452005860</t>
  </si>
  <si>
    <t>ARSSUP</t>
  </si>
  <si>
    <t>ArthroSoothe™ Supreme</t>
  </si>
  <si>
    <t>879452006775</t>
  </si>
  <si>
    <t>AST060</t>
  </si>
  <si>
    <t>Astaxanthin</t>
  </si>
  <si>
    <t>879452003958</t>
  </si>
  <si>
    <t>ATG300</t>
  </si>
  <si>
    <t>Annatto-GG™ 300</t>
  </si>
  <si>
    <t>879452007116</t>
  </si>
  <si>
    <t>B12090</t>
  </si>
  <si>
    <t>Ultra B12-Folate</t>
  </si>
  <si>
    <t>879452000339</t>
  </si>
  <si>
    <t>BCA270</t>
  </si>
  <si>
    <t>BCAA Powder with L-Glutamine</t>
  </si>
  <si>
    <t>879452004344</t>
  </si>
  <si>
    <t>BER060</t>
  </si>
  <si>
    <t>Berberine Synergy™</t>
  </si>
  <si>
    <t>879452003934</t>
  </si>
  <si>
    <t>BEV060</t>
  </si>
  <si>
    <t>Berberine-Evail™</t>
  </si>
  <si>
    <t>879452004535</t>
  </si>
  <si>
    <t>BFZIMM</t>
  </si>
  <si>
    <t>BioFizz® Immune</t>
  </si>
  <si>
    <t>879452005761</t>
  </si>
  <si>
    <t>BHC120</t>
  </si>
  <si>
    <t>Betaine HCl</t>
  </si>
  <si>
    <t>879452000162</t>
  </si>
  <si>
    <t>BPT090</t>
  </si>
  <si>
    <t>BroccoProtect™</t>
  </si>
  <si>
    <t>879452002753</t>
  </si>
  <si>
    <t>BRF060</t>
  </si>
  <si>
    <t>BRF 45™</t>
  </si>
  <si>
    <t>879452007758</t>
  </si>
  <si>
    <t>BRV060</t>
  </si>
  <si>
    <t>BergaVin™ 60 capsules</t>
  </si>
  <si>
    <t>879452006447</t>
  </si>
  <si>
    <t>BSP060</t>
  </si>
  <si>
    <t>B-Supreme</t>
  </si>
  <si>
    <t>879452001190</t>
  </si>
  <si>
    <t>BSP120</t>
  </si>
  <si>
    <t>879452002180</t>
  </si>
  <si>
    <t>BVC120</t>
  </si>
  <si>
    <t>Brain Vitale™</t>
  </si>
  <si>
    <t>879452002951</t>
  </si>
  <si>
    <t>BVCN60</t>
  </si>
  <si>
    <t>879452001275</t>
  </si>
  <si>
    <t>C3C060</t>
  </si>
  <si>
    <t>C3 Curcumin Complex</t>
  </si>
  <si>
    <t>879452001213</t>
  </si>
  <si>
    <t>CAC090</t>
  </si>
  <si>
    <t>CatecholaCalm™</t>
  </si>
  <si>
    <t>879452001268</t>
  </si>
  <si>
    <t>CAM011</t>
  </si>
  <si>
    <t>Cal/Mag 1:1</t>
  </si>
  <si>
    <t>879452002760</t>
  </si>
  <si>
    <t>CAM021</t>
  </si>
  <si>
    <t>Cal/Mag 2:1</t>
  </si>
  <si>
    <t>879452002777</t>
  </si>
  <si>
    <t>CBF144</t>
  </si>
  <si>
    <t>C+BioFizz®</t>
  </si>
  <si>
    <t>879452003514</t>
  </si>
  <si>
    <t>CCM120</t>
  </si>
  <si>
    <t>DFH Complete Multi™ with Copper</t>
  </si>
  <si>
    <t>879452003279</t>
  </si>
  <si>
    <t>CDG060</t>
  </si>
  <si>
    <t>Calcium D-Glucarate</t>
  </si>
  <si>
    <t>879452003859</t>
  </si>
  <si>
    <t>CE4060</t>
  </si>
  <si>
    <t>Curcum-Evail® 400</t>
  </si>
  <si>
    <t>879452004481</t>
  </si>
  <si>
    <t>CE4120</t>
  </si>
  <si>
    <t>879452004719</t>
  </si>
  <si>
    <t>CGNMCT</t>
  </si>
  <si>
    <t>Collagen + MCT</t>
  </si>
  <si>
    <t>879452007420</t>
  </si>
  <si>
    <t>CGNR60</t>
  </si>
  <si>
    <t>CellGuard-NR 60 Capsules</t>
  </si>
  <si>
    <t>879452006812</t>
  </si>
  <si>
    <t>CHR090</t>
  </si>
  <si>
    <t>Chromium Synergy™</t>
  </si>
  <si>
    <t>879452000100</t>
  </si>
  <si>
    <t>CLA090</t>
  </si>
  <si>
    <t>CLA</t>
  </si>
  <si>
    <t>879452000155</t>
  </si>
  <si>
    <t>CMC120</t>
  </si>
  <si>
    <t>Calcium Malate</t>
  </si>
  <si>
    <t>879452001220</t>
  </si>
  <si>
    <t>CMF120</t>
  </si>
  <si>
    <t>DFH Complete Multi™</t>
  </si>
  <si>
    <t>879452001589</t>
  </si>
  <si>
    <t>CMI090</t>
  </si>
  <si>
    <t>Complete Mineral Complex</t>
  </si>
  <si>
    <t>879452002036</t>
  </si>
  <si>
    <t>CMU120</t>
  </si>
  <si>
    <t>DFH Complete Multi™ with Copper &amp; Iron</t>
  </si>
  <si>
    <t>879452000117</t>
  </si>
  <si>
    <t>COG060</t>
  </si>
  <si>
    <t>CogniAid™</t>
  </si>
  <si>
    <t>879452004054</t>
  </si>
  <si>
    <t>COQ100</t>
  </si>
  <si>
    <t>CoQnol™ 100mg</t>
  </si>
  <si>
    <t>879452003071</t>
  </si>
  <si>
    <t>COQ200</t>
  </si>
  <si>
    <t>COQ200 200mg</t>
  </si>
  <si>
    <t>879452005600</t>
  </si>
  <si>
    <t>CPB060</t>
  </si>
  <si>
    <t>Charcoal Plus Binder</t>
  </si>
  <si>
    <t>879452007109</t>
  </si>
  <si>
    <t>CRTNMH</t>
  </si>
  <si>
    <t>Creatine Monohydrate Powder</t>
  </si>
  <si>
    <t>879452007284</t>
  </si>
  <si>
    <t>CRV120</t>
  </si>
  <si>
    <t>CraveArrest™</t>
  </si>
  <si>
    <t>879452002630</t>
  </si>
  <si>
    <t>CRX060</t>
  </si>
  <si>
    <t>Colon Rx™</t>
  </si>
  <si>
    <t>879452003378</t>
  </si>
  <si>
    <t>CSC120</t>
  </si>
  <si>
    <t>Carnitine Synergy™</t>
  </si>
  <si>
    <t>879452001305</t>
  </si>
  <si>
    <t>DAT060</t>
  </si>
  <si>
    <t>Detox Antiox™</t>
  </si>
  <si>
    <t>879452000421</t>
  </si>
  <si>
    <t>DETSUP</t>
  </si>
  <si>
    <t>Detoxification Support Packets</t>
  </si>
  <si>
    <t>879452001718</t>
  </si>
  <si>
    <t>DEU060</t>
  </si>
  <si>
    <t>D Evail™ 10K</t>
  </si>
  <si>
    <t>879452006171</t>
  </si>
  <si>
    <t>DGL090</t>
  </si>
  <si>
    <t>DGL Synergy™</t>
  </si>
  <si>
    <t>879452004221</t>
  </si>
  <si>
    <t>DHE180</t>
  </si>
  <si>
    <t>DHEA</t>
  </si>
  <si>
    <t>879452002302</t>
  </si>
  <si>
    <t>DHEA60</t>
  </si>
  <si>
    <t>879452001176</t>
  </si>
  <si>
    <t>DIG060</t>
  </si>
  <si>
    <t>Digestzymes™</t>
  </si>
  <si>
    <t>879452005051</t>
  </si>
  <si>
    <t>DIG090</t>
  </si>
  <si>
    <t>879452000124</t>
  </si>
  <si>
    <t>DIG180</t>
  </si>
  <si>
    <t>879452001886</t>
  </si>
  <si>
    <t>DIM060</t>
  </si>
  <si>
    <t>DIM-Evail™</t>
  </si>
  <si>
    <t>879452001237</t>
  </si>
  <si>
    <t>DIM120</t>
  </si>
  <si>
    <t>879452002968</t>
  </si>
  <si>
    <t>DPB060</t>
  </si>
  <si>
    <t>DopaBoost™</t>
  </si>
  <si>
    <t>879452002708</t>
  </si>
  <si>
    <t>DSU060</t>
  </si>
  <si>
    <t>D-Evail™ Supreme</t>
  </si>
  <si>
    <t>879452006164</t>
  </si>
  <si>
    <t>EGC060</t>
  </si>
  <si>
    <t>EGCg</t>
  </si>
  <si>
    <t>879452000292</t>
  </si>
  <si>
    <t>ELPHYD</t>
  </si>
  <si>
    <t xml:space="preserve">ElectroPure Hydration™ </t>
  </si>
  <si>
    <t>879452007697</t>
  </si>
  <si>
    <t>ELS240</t>
  </si>
  <si>
    <t>Electrolyte Synergy™</t>
  </si>
  <si>
    <t>879452004245</t>
  </si>
  <si>
    <t>EMD1OZ</t>
  </si>
  <si>
    <t>Hi-Po Emulsi-D3™</t>
  </si>
  <si>
    <t>879452002548</t>
  </si>
  <si>
    <t>EMDK2Z</t>
  </si>
  <si>
    <t>Emulsi-D3 Synergy™</t>
  </si>
  <si>
    <t>879452003286</t>
  </si>
  <si>
    <t>END120</t>
  </si>
  <si>
    <t>EndoTrim™</t>
  </si>
  <si>
    <t>879452001183</t>
  </si>
  <si>
    <t>ESSGRN</t>
  </si>
  <si>
    <t>EssentiaGreens™</t>
  </si>
  <si>
    <t>879452002715</t>
  </si>
  <si>
    <t>FEC120</t>
  </si>
  <si>
    <t>Ferrochel® Iron Chelate</t>
  </si>
  <si>
    <t>879452001398</t>
  </si>
  <si>
    <t>FGB120</t>
  </si>
  <si>
    <t>FemGuard+Balance™</t>
  </si>
  <si>
    <t>879452000810</t>
  </si>
  <si>
    <t>FGHF60</t>
  </si>
  <si>
    <t>FemGuard-HF™</t>
  </si>
  <si>
    <t>879452006935</t>
  </si>
  <si>
    <t>FLM060</t>
  </si>
  <si>
    <t>FloraMyces™</t>
  </si>
  <si>
    <t>879452001947</t>
  </si>
  <si>
    <t>FOR090</t>
  </si>
  <si>
    <t>Foresterol™</t>
  </si>
  <si>
    <t>879452000315</t>
  </si>
  <si>
    <t>GCT4OZ</t>
  </si>
  <si>
    <t>Ginger-Tussin™ Organic Syrup</t>
  </si>
  <si>
    <t>879452001329</t>
  </si>
  <si>
    <t>GHM060</t>
  </si>
  <si>
    <t>GastroMend-HP™</t>
  </si>
  <si>
    <t>879452000025</t>
  </si>
  <si>
    <t>GHM120</t>
  </si>
  <si>
    <t>879452005563</t>
  </si>
  <si>
    <t>GIR225</t>
  </si>
  <si>
    <t>GI Revive®</t>
  </si>
  <si>
    <t>879452001428</t>
  </si>
  <si>
    <t>GIX060</t>
  </si>
  <si>
    <t>GI Microb-X™</t>
  </si>
  <si>
    <t>879452001794</t>
  </si>
  <si>
    <t>GIX120</t>
  </si>
  <si>
    <t>879452004740</t>
  </si>
  <si>
    <t>GLA060</t>
  </si>
  <si>
    <t>GLA (Gamma-Linolenic Acid)</t>
  </si>
  <si>
    <t>879452000056</t>
  </si>
  <si>
    <t>GLC120</t>
  </si>
  <si>
    <t>Glucosamine Chondroitin</t>
  </si>
  <si>
    <t>879452006515</t>
  </si>
  <si>
    <t>GLT050</t>
  </si>
  <si>
    <t>L-Glutathione Power™</t>
  </si>
  <si>
    <t>879452000308</t>
  </si>
  <si>
    <t>GLY180</t>
  </si>
  <si>
    <t>Glycine Powder</t>
  </si>
  <si>
    <t>879452004559</t>
  </si>
  <si>
    <t>GPC2OZ</t>
  </si>
  <si>
    <t>GPC Liquid Glycerophosphocholine</t>
  </si>
  <si>
    <t>879452003330</t>
  </si>
  <si>
    <t>GRV210</t>
  </si>
  <si>
    <t>879452001909</t>
  </si>
  <si>
    <t>GSH120</t>
  </si>
  <si>
    <t>GlucoSupreme™ Herbal</t>
  </si>
  <si>
    <t>879452002425</t>
  </si>
  <si>
    <t>HEP120</t>
  </si>
  <si>
    <t>Hepatatone Plus™</t>
  </si>
  <si>
    <t>879452003521</t>
  </si>
  <si>
    <t>HGD060</t>
  </si>
  <si>
    <t>HistaGest-DAO™</t>
  </si>
  <si>
    <t>879452006898</t>
  </si>
  <si>
    <t>HIPOEA</t>
  </si>
  <si>
    <t>Hi-Po Emulsi-A™</t>
  </si>
  <si>
    <t>879452005778</t>
  </si>
  <si>
    <t>HIS120</t>
  </si>
  <si>
    <t>HistaEze™</t>
  </si>
  <si>
    <t>879452002678</t>
  </si>
  <si>
    <t>HSN060</t>
  </si>
  <si>
    <t>H-S-N Radiance™</t>
  </si>
  <si>
    <t>879452007826</t>
  </si>
  <si>
    <t>HTN120</t>
  </si>
  <si>
    <t>HTN Supreme™</t>
  </si>
  <si>
    <t>879452000742</t>
  </si>
  <si>
    <t>HTP090</t>
  </si>
  <si>
    <t>5-HTP Synergy™</t>
  </si>
  <si>
    <t>879452000759</t>
  </si>
  <si>
    <t>HTU060</t>
  </si>
  <si>
    <t>5-HTP Supreme™</t>
  </si>
  <si>
    <t>879452000773</t>
  </si>
  <si>
    <t>HYS060</t>
  </si>
  <si>
    <t>Homocysteine Supreme™</t>
  </si>
  <si>
    <t>879452006676</t>
  </si>
  <si>
    <t>HYS120</t>
  </si>
  <si>
    <t>879452006683</t>
  </si>
  <si>
    <t>IBL4OZ</t>
  </si>
  <si>
    <t>Organic ImmunoBerry™ Liquid</t>
  </si>
  <si>
    <t>879452002166</t>
  </si>
  <si>
    <t>IBS060</t>
  </si>
  <si>
    <t>IBSynergy™</t>
  </si>
  <si>
    <t>879452002128</t>
  </si>
  <si>
    <t>IGGCAP</t>
  </si>
  <si>
    <t>IgGI Shield™ 120 Capsules</t>
  </si>
  <si>
    <t>879452008038</t>
  </si>
  <si>
    <t>IGGSHL</t>
  </si>
  <si>
    <t>IgGI Shield™ 105 grams</t>
  </si>
  <si>
    <t>879452006669</t>
  </si>
  <si>
    <t>IMM120</t>
  </si>
  <si>
    <t>ImmunoMod-A™</t>
  </si>
  <si>
    <t>879452003972</t>
  </si>
  <si>
    <t>IMP120</t>
  </si>
  <si>
    <t>Immunitone Plus™</t>
  </si>
  <si>
    <t>879452000681</t>
  </si>
  <si>
    <t>INF060</t>
  </si>
  <si>
    <t>Inflammatone™</t>
  </si>
  <si>
    <t>879452002289</t>
  </si>
  <si>
    <t>INF120</t>
  </si>
  <si>
    <t>879452001343</t>
  </si>
  <si>
    <t>INF240</t>
  </si>
  <si>
    <t>879452000674</t>
  </si>
  <si>
    <t>INO120</t>
  </si>
  <si>
    <t>Inositol</t>
  </si>
  <si>
    <t>879452000667</t>
  </si>
  <si>
    <t>INO250</t>
  </si>
  <si>
    <t>Inositol Powder</t>
  </si>
  <si>
    <t>879452002074</t>
  </si>
  <si>
    <t>INSC60</t>
  </si>
  <si>
    <t>Insomnitol™ Chewables</t>
  </si>
  <si>
    <t>879452004313</t>
  </si>
  <si>
    <t>INSM60</t>
  </si>
  <si>
    <t>Insomnitol™ Capsules</t>
  </si>
  <si>
    <t>879452002814</t>
  </si>
  <si>
    <t>IOD120</t>
  </si>
  <si>
    <t>Iodine Synergy™</t>
  </si>
  <si>
    <t>879452001411</t>
  </si>
  <si>
    <t>ISPK30</t>
  </si>
  <si>
    <t>Immune Support Packets</t>
  </si>
  <si>
    <t>879452002883</t>
  </si>
  <si>
    <t>KID060</t>
  </si>
  <si>
    <t>Kidney Korrect™</t>
  </si>
  <si>
    <t>879452003460</t>
  </si>
  <si>
    <t>KPC120</t>
  </si>
  <si>
    <t>K+2 Potassium</t>
  </si>
  <si>
    <t>879452000087</t>
  </si>
  <si>
    <t>LAS060</t>
  </si>
  <si>
    <t>Lipoic Acid Supreme</t>
  </si>
  <si>
    <t>879452000285</t>
  </si>
  <si>
    <t>LGC090</t>
  </si>
  <si>
    <t>LV-GB Complex™</t>
  </si>
  <si>
    <t>879452000629</t>
  </si>
  <si>
    <t>LGL120</t>
  </si>
  <si>
    <t>L-Glutamine</t>
  </si>
  <si>
    <t>879452000766</t>
  </si>
  <si>
    <t>LGL250</t>
  </si>
  <si>
    <t>L-Glutamine Powder</t>
  </si>
  <si>
    <t>879452000780</t>
  </si>
  <si>
    <t>LGL500</t>
  </si>
  <si>
    <t>879452000711</t>
  </si>
  <si>
    <t>LPOBSP</t>
  </si>
  <si>
    <t>Liposomal B Supreme</t>
  </si>
  <si>
    <t>879452005211</t>
  </si>
  <si>
    <t>LPOCAT</t>
  </si>
  <si>
    <t>Liposomal Cat's Claw</t>
  </si>
  <si>
    <t>879452005204</t>
  </si>
  <si>
    <t>LPODSP</t>
  </si>
  <si>
    <t>Liposomal D Supreme</t>
  </si>
  <si>
    <t>879452005228</t>
  </si>
  <si>
    <t>LPOGLT</t>
  </si>
  <si>
    <t>Liposomal Glutathione</t>
  </si>
  <si>
    <t>879452004894</t>
  </si>
  <si>
    <t>LPONEU</t>
  </si>
  <si>
    <t>Liposomal NeuroCalm™</t>
  </si>
  <si>
    <t>879452005235</t>
  </si>
  <si>
    <t>LPONMN</t>
  </si>
  <si>
    <t>Liposomal NMN Synergy 1.7 fl oz (50 ml) liquid. Nonreturnable item.</t>
  </si>
  <si>
    <t>879452006225</t>
  </si>
  <si>
    <t>LPOVTC</t>
  </si>
  <si>
    <t>Liposomal Vitamin C</t>
  </si>
  <si>
    <t>879452004887</t>
  </si>
  <si>
    <t>LPT060</t>
  </si>
  <si>
    <t>Lipotrienols RYR™</t>
  </si>
  <si>
    <t>879452002272</t>
  </si>
  <si>
    <t>LSC120</t>
  </si>
  <si>
    <t>Lithium Synergy</t>
  </si>
  <si>
    <t>879452002463</t>
  </si>
  <si>
    <t>LSF060</t>
  </si>
  <si>
    <t>LibidoStim-F™</t>
  </si>
  <si>
    <t>879452001404</t>
  </si>
  <si>
    <t>LSM060</t>
  </si>
  <si>
    <t>LibidoStim-M™</t>
  </si>
  <si>
    <t>879452001350</t>
  </si>
  <si>
    <t>LYS120</t>
  </si>
  <si>
    <t>L-Lysine</t>
  </si>
  <si>
    <t>879452000179</t>
  </si>
  <si>
    <t>MAG120</t>
  </si>
  <si>
    <t>Magnesium Chelate</t>
  </si>
  <si>
    <t>879452004450</t>
  </si>
  <si>
    <t>MCNR60</t>
  </si>
  <si>
    <t>Mito-NR™</t>
  </si>
  <si>
    <t>879452006805</t>
  </si>
  <si>
    <t>MCP150</t>
  </si>
  <si>
    <t>Magnesium Glycinate Powder</t>
  </si>
  <si>
    <t>879452004276</t>
  </si>
  <si>
    <t>MEL060</t>
  </si>
  <si>
    <t>Melatonin</t>
  </si>
  <si>
    <t>879452000582</t>
  </si>
  <si>
    <t>MELSR6</t>
  </si>
  <si>
    <t>Melatonin SRT™</t>
  </si>
  <si>
    <t>879452004283</t>
  </si>
  <si>
    <t>MGC060</t>
  </si>
  <si>
    <t>Magnesium Glycinate Complex</t>
  </si>
  <si>
    <t>879452005068</t>
  </si>
  <si>
    <t>MGC120</t>
  </si>
  <si>
    <t>879452001169</t>
  </si>
  <si>
    <t>MGC240</t>
  </si>
  <si>
    <t>879452002944</t>
  </si>
  <si>
    <t>MGD8OZ</t>
  </si>
  <si>
    <t>879452002432</t>
  </si>
  <si>
    <t>MGL240</t>
  </si>
  <si>
    <t>MagCitrate Powder</t>
  </si>
  <si>
    <t>879452003231</t>
  </si>
  <si>
    <t>MHN120</t>
  </si>
  <si>
    <t>Mitochondrial NRG™</t>
  </si>
  <si>
    <t>879452002807</t>
  </si>
  <si>
    <t>MIG090</t>
  </si>
  <si>
    <t>Migranol™</t>
  </si>
  <si>
    <t>879452001145</t>
  </si>
  <si>
    <t>MIT060</t>
  </si>
  <si>
    <t>Mito-PQQ™</t>
  </si>
  <si>
    <t>879452003590</t>
  </si>
  <si>
    <t>MLA120</t>
  </si>
  <si>
    <t>Monolaurin-Avail™</t>
  </si>
  <si>
    <t>879452004832</t>
  </si>
  <si>
    <t>MLK090</t>
  </si>
  <si>
    <t>Milk Thistle</t>
  </si>
  <si>
    <t>879452000551</t>
  </si>
  <si>
    <t>MMC120</t>
  </si>
  <si>
    <t>Magnesium Malate</t>
  </si>
  <si>
    <t>879452000995</t>
  </si>
  <si>
    <t>MMC240</t>
  </si>
  <si>
    <t>879452002937</t>
  </si>
  <si>
    <t>MOD030</t>
  </si>
  <si>
    <t>Mood-Stasis™</t>
  </si>
  <si>
    <t>879452004504</t>
  </si>
  <si>
    <t>MSC180</t>
  </si>
  <si>
    <t>Metabolic Synergy™</t>
  </si>
  <si>
    <t>879452007857</t>
  </si>
  <si>
    <t>MSC360</t>
  </si>
  <si>
    <t>879452003002</t>
  </si>
  <si>
    <t>MTH060</t>
  </si>
  <si>
    <t>L-5-MTHF 8500 MCG</t>
  </si>
  <si>
    <t>879452003989</t>
  </si>
  <si>
    <t>MTH120</t>
  </si>
  <si>
    <t>L-5-MTHF 1700MCG</t>
  </si>
  <si>
    <t>879452002784</t>
  </si>
  <si>
    <t>MXS060</t>
  </si>
  <si>
    <t>Metal-X-Synergy™</t>
  </si>
  <si>
    <t>879452003606</t>
  </si>
  <si>
    <t>MYOSTM</t>
  </si>
  <si>
    <t>MyoStim™</t>
  </si>
  <si>
    <t>879452006317</t>
  </si>
  <si>
    <t>MYS120</t>
  </si>
  <si>
    <t>MyoSedate™</t>
  </si>
  <si>
    <t>879452000148</t>
  </si>
  <si>
    <t>NAC120</t>
  </si>
  <si>
    <t>N-Acetyl-Cysteine</t>
  </si>
  <si>
    <t>879452001152</t>
  </si>
  <si>
    <t>NCRT60</t>
  </si>
  <si>
    <t>Niacin CRT™</t>
  </si>
  <si>
    <t>879452002081</t>
  </si>
  <si>
    <t>NEU180</t>
  </si>
  <si>
    <t>Neurolink™</t>
  </si>
  <si>
    <t>879452000476</t>
  </si>
  <si>
    <t>NEUCLM</t>
  </si>
  <si>
    <t>NeuroCalm™</t>
  </si>
  <si>
    <t>879452002869</t>
  </si>
  <si>
    <t>NEUMAG</t>
  </si>
  <si>
    <t>879452003354</t>
  </si>
  <si>
    <t>NEURNW</t>
  </si>
  <si>
    <t>NeuroRenew™</t>
  </si>
  <si>
    <t>879452005099</t>
  </si>
  <si>
    <t>NOSTRIP</t>
  </si>
  <si>
    <t>Nitric Oxide Test Strips 50ct</t>
  </si>
  <si>
    <t>879452007765</t>
  </si>
  <si>
    <t>NOXSYN</t>
  </si>
  <si>
    <t>NOx Synergy™</t>
  </si>
  <si>
    <t>879452007789</t>
  </si>
  <si>
    <t>NTS120</t>
  </si>
  <si>
    <t>Natto-Serrazime™</t>
  </si>
  <si>
    <t>879452000506</t>
  </si>
  <si>
    <t>OALHPO</t>
  </si>
  <si>
    <t>OmegAvail™ Hi-Po Liquid</t>
  </si>
  <si>
    <t>879452006621</t>
  </si>
  <si>
    <t>OAM8OZ</t>
  </si>
  <si>
    <t>OmegAvail™ Liquid</t>
  </si>
  <si>
    <t>879452002418</t>
  </si>
  <si>
    <t>OCB060</t>
  </si>
  <si>
    <t>OcuForce™ Blue 60 Capsules</t>
  </si>
  <si>
    <t>879452006300</t>
  </si>
  <si>
    <t>OCF060</t>
  </si>
  <si>
    <t>OcuForce™</t>
  </si>
  <si>
    <t>879452000483</t>
  </si>
  <si>
    <t>ODHA60</t>
  </si>
  <si>
    <t>OmegAvail™ Ultra DHA</t>
  </si>
  <si>
    <t>879452003743</t>
  </si>
  <si>
    <t>OLE090</t>
  </si>
  <si>
    <t>Olive Leaf Extract</t>
  </si>
  <si>
    <t>879452000490</t>
  </si>
  <si>
    <t>OPO060</t>
  </si>
  <si>
    <t>OmegAvail™ Hi-Po</t>
  </si>
  <si>
    <t>879452002821</t>
  </si>
  <si>
    <t>OPO120</t>
  </si>
  <si>
    <t>879452004788</t>
  </si>
  <si>
    <t>OPTCHC</t>
  </si>
  <si>
    <t>879452007062</t>
  </si>
  <si>
    <t>OPTVAN</t>
  </si>
  <si>
    <t>879452007055</t>
  </si>
  <si>
    <t>ORG060</t>
  </si>
  <si>
    <t>Oil of Oregano</t>
  </si>
  <si>
    <t>879452001138</t>
  </si>
  <si>
    <t>ORG120</t>
  </si>
  <si>
    <t>879452004153</t>
  </si>
  <si>
    <t>ORS180</t>
  </si>
  <si>
    <t>Organ Synergy™ 180 Capsules</t>
  </si>
  <si>
    <t>879452006454</t>
  </si>
  <si>
    <t>ORSPDR</t>
  </si>
  <si>
    <t>Organ Synergy™ Powder</t>
  </si>
  <si>
    <t>879452006881</t>
  </si>
  <si>
    <t>OSS180</t>
  </si>
  <si>
    <t>OsteoForce™ Supreme</t>
  </si>
  <si>
    <t>879452003484</t>
  </si>
  <si>
    <t>OST120</t>
  </si>
  <si>
    <t>OsteoForce™</t>
  </si>
  <si>
    <t>879452000094</t>
  </si>
  <si>
    <t>OST240</t>
  </si>
  <si>
    <t>879452002920</t>
  </si>
  <si>
    <t>OTB120</t>
  </si>
  <si>
    <t>Osteoben®</t>
  </si>
  <si>
    <t>879452005501</t>
  </si>
  <si>
    <t>OV1000</t>
  </si>
  <si>
    <t>OmegAvail™ TG1000</t>
  </si>
  <si>
    <t>879452004191</t>
  </si>
  <si>
    <t>OVS060</t>
  </si>
  <si>
    <t>OmegAvail™ Synergy</t>
  </si>
  <si>
    <t>879452003903</t>
  </si>
  <si>
    <t>OVS180</t>
  </si>
  <si>
    <t>879452002838</t>
  </si>
  <si>
    <t>OVU120</t>
  </si>
  <si>
    <t>OmegAvail™ Ultra</t>
  </si>
  <si>
    <t>879452002401</t>
  </si>
  <si>
    <t>OVU240</t>
  </si>
  <si>
    <t>879452003033</t>
  </si>
  <si>
    <t>PaleoCleanse Plus™ Strawberry Vanilla Detox Program</t>
  </si>
  <si>
    <t>879452004757</t>
  </si>
  <si>
    <t>PaleoCleanse Plus™ Chocolate 14 Day Detox Program</t>
  </si>
  <si>
    <t>879452006478</t>
  </si>
  <si>
    <t>P5P120</t>
  </si>
  <si>
    <t>P-5-P</t>
  </si>
  <si>
    <t>879452003101</t>
  </si>
  <si>
    <t>PAFRST</t>
  </si>
  <si>
    <t>PaleoFiber® RS</t>
  </si>
  <si>
    <t>879452005198</t>
  </si>
  <si>
    <t>PAFUNF</t>
  </si>
  <si>
    <t>PaleoFiber®</t>
  </si>
  <si>
    <t>879452001978</t>
  </si>
  <si>
    <t>PBDF20</t>
  </si>
  <si>
    <t>Probiophage DF™</t>
  </si>
  <si>
    <t>879452004429</t>
  </si>
  <si>
    <t>PBDF60</t>
  </si>
  <si>
    <t>879452004160</t>
  </si>
  <si>
    <t>PBM050</t>
  </si>
  <si>
    <t>ProbioMed™ 50</t>
  </si>
  <si>
    <t>879452005105</t>
  </si>
  <si>
    <t>PBM100</t>
  </si>
  <si>
    <t>ProbioMed™ 100</t>
  </si>
  <si>
    <t>879452005112</t>
  </si>
  <si>
    <t>PBM250</t>
  </si>
  <si>
    <t>ProbioMed™ 250</t>
  </si>
  <si>
    <t>879452005082</t>
  </si>
  <si>
    <t>PBMINF</t>
  </si>
  <si>
    <t>ProbioMed™ Infant</t>
  </si>
  <si>
    <t>879452006096</t>
  </si>
  <si>
    <t>PBMKID</t>
  </si>
  <si>
    <t>ProbioMed Kids</t>
  </si>
  <si>
    <t>879452006089</t>
  </si>
  <si>
    <t>PBMW30</t>
  </si>
  <si>
    <t>ProbioMed™ Women</t>
  </si>
  <si>
    <t>879452006829</t>
  </si>
  <si>
    <t>PBP14D</t>
  </si>
  <si>
    <t>879452004139</t>
  </si>
  <si>
    <t>PBP21D</t>
  </si>
  <si>
    <t>879452004184</t>
  </si>
  <si>
    <t>PBS060</t>
  </si>
  <si>
    <t>ProbioSpore™</t>
  </si>
  <si>
    <t>879452005525</t>
  </si>
  <si>
    <t>PBSLEM</t>
  </si>
  <si>
    <t>879452006850</t>
  </si>
  <si>
    <t>PBSSPM</t>
  </si>
  <si>
    <t>879452006492</t>
  </si>
  <si>
    <t>PCRT60</t>
  </si>
  <si>
    <t>Pregnenolone CRT™</t>
  </si>
  <si>
    <t>879452002203</t>
  </si>
  <si>
    <t>PCS180</t>
  </si>
  <si>
    <t>Phosphatidylcholine softgels</t>
  </si>
  <si>
    <t>879452002050</t>
  </si>
  <si>
    <t>PEAVAN</t>
  </si>
  <si>
    <t>879452003132</t>
  </si>
  <si>
    <t>PEF090</t>
  </si>
  <si>
    <t>Plant Enzyme Digestive Formula</t>
  </si>
  <si>
    <t>879452000636</t>
  </si>
  <si>
    <t>PERM60</t>
  </si>
  <si>
    <t>Periommune™</t>
  </si>
  <si>
    <t>879452007024</t>
  </si>
  <si>
    <t>PGAB60</t>
  </si>
  <si>
    <t>PharmaGABA®</t>
  </si>
  <si>
    <t>879452002890</t>
  </si>
  <si>
    <t>PGRLLM</t>
  </si>
  <si>
    <t>879452002012</t>
  </si>
  <si>
    <t>PGRUNF</t>
  </si>
  <si>
    <t>879452000452</t>
  </si>
  <si>
    <t>PHB090</t>
  </si>
  <si>
    <t>PhytoBiome™</t>
  </si>
  <si>
    <t>879452006645</t>
  </si>
  <si>
    <t>PHS060</t>
  </si>
  <si>
    <t>PS 150 Phosphatidylserine</t>
  </si>
  <si>
    <t>879452000643</t>
  </si>
  <si>
    <t>PLM120</t>
  </si>
  <si>
    <t>Primal Multi™</t>
  </si>
  <si>
    <t>879452004948</t>
  </si>
  <si>
    <t>PPCLNS</t>
  </si>
  <si>
    <t>879452007635</t>
  </si>
  <si>
    <t>PPCPCH</t>
  </si>
  <si>
    <t>879452006065</t>
  </si>
  <si>
    <t>PPCPLS</t>
  </si>
  <si>
    <t>879452007666</t>
  </si>
  <si>
    <t>PPGMNT</t>
  </si>
  <si>
    <t>PerioPull™</t>
  </si>
  <si>
    <t>879452006980</t>
  </si>
  <si>
    <t>PPMCHC</t>
  </si>
  <si>
    <t>879452004733</t>
  </si>
  <si>
    <t>PPMKIT</t>
  </si>
  <si>
    <t>Plant Protein Meal Plus</t>
  </si>
  <si>
    <t>879452007628</t>
  </si>
  <si>
    <t>PPMLCH</t>
  </si>
  <si>
    <t>Plant Protein Meal</t>
  </si>
  <si>
    <t>879452007659</t>
  </si>
  <si>
    <t>PPMLVN</t>
  </si>
  <si>
    <t>879452007642</t>
  </si>
  <si>
    <t>PPMVAN</t>
  </si>
  <si>
    <t>879452004726</t>
  </si>
  <si>
    <t>PPPBVN</t>
  </si>
  <si>
    <t>879452005464</t>
  </si>
  <si>
    <t>PPPCHC</t>
  </si>
  <si>
    <t>879452004115</t>
  </si>
  <si>
    <t>PPPUNF</t>
  </si>
  <si>
    <t>879452004511</t>
  </si>
  <si>
    <t>PPPVAN</t>
  </si>
  <si>
    <t>879452004122</t>
  </si>
  <si>
    <t>PPS120</t>
  </si>
  <si>
    <t>Performance/ProFormance Peptides</t>
  </si>
  <si>
    <t>879452007970</t>
  </si>
  <si>
    <t>PPSBAR</t>
  </si>
  <si>
    <t>standard Performance Peptides Bar</t>
  </si>
  <si>
    <t>879452008106</t>
  </si>
  <si>
    <t>PRBM60</t>
  </si>
  <si>
    <t>PrebioMed™ XOS</t>
  </si>
  <si>
    <t>879452005181</t>
  </si>
  <si>
    <t>PRE120</t>
  </si>
  <si>
    <t>Prenatal Pro™</t>
  </si>
  <si>
    <t>879452002623</t>
  </si>
  <si>
    <t>PREKIT</t>
  </si>
  <si>
    <t>879452008007</t>
  </si>
  <si>
    <t>PRO060</t>
  </si>
  <si>
    <t>Probiotic Synergy™ spheres</t>
  </si>
  <si>
    <t>879452000216</t>
  </si>
  <si>
    <t>PROS60</t>
  </si>
  <si>
    <t>Probiotic Supreme DF™</t>
  </si>
  <si>
    <t>879452002159</t>
  </si>
  <si>
    <t>PRS060</t>
  </si>
  <si>
    <t>Prostate Supreme™</t>
  </si>
  <si>
    <t>879452000193</t>
  </si>
  <si>
    <t>PRS120</t>
  </si>
  <si>
    <t>879452004030</t>
  </si>
  <si>
    <t>PRST60</t>
  </si>
  <si>
    <t>Prostect™</t>
  </si>
  <si>
    <t>879452004917</t>
  </si>
  <si>
    <t>PRTNRG</t>
  </si>
  <si>
    <t>PreTrain NRG™</t>
  </si>
  <si>
    <t>879452004818</t>
  </si>
  <si>
    <t>PRV120</t>
  </si>
  <si>
    <t>Pulmonary Revive™</t>
  </si>
  <si>
    <t>879452003705</t>
  </si>
  <si>
    <t>PTZ060</t>
  </si>
  <si>
    <t>Carb-Lipo Control™</t>
  </si>
  <si>
    <t>879452004801</t>
  </si>
  <si>
    <t>PZM090</t>
  </si>
  <si>
    <t>Pancreatic Enzymes Plus</t>
  </si>
  <si>
    <t>879452004986</t>
  </si>
  <si>
    <t>QEN100</t>
  </si>
  <si>
    <t>Q-Evail® 100</t>
  </si>
  <si>
    <t>879452004375</t>
  </si>
  <si>
    <t>QEN200</t>
  </si>
  <si>
    <t>Q-Evail® 200</t>
  </si>
  <si>
    <t>879452004368</t>
  </si>
  <si>
    <t>QUA100</t>
  </si>
  <si>
    <t>Quercetin-Ascorbate</t>
  </si>
  <si>
    <t>879452000926</t>
  </si>
  <si>
    <t>QUN090</t>
  </si>
  <si>
    <t>Quercetin + Nettles</t>
  </si>
  <si>
    <t>879452000957</t>
  </si>
  <si>
    <t>RIB150</t>
  </si>
  <si>
    <t>D-Ribose</t>
  </si>
  <si>
    <t>879452000896</t>
  </si>
  <si>
    <t>RLA060</t>
  </si>
  <si>
    <t>Stabilized R-Lipoic Acid Supreme</t>
  </si>
  <si>
    <t>879452001992</t>
  </si>
  <si>
    <t>RVS060</t>
  </si>
  <si>
    <t>Resveratrol Supreme</t>
  </si>
  <si>
    <t>879452001800</t>
  </si>
  <si>
    <t>RYO180</t>
  </si>
  <si>
    <t>Red Yeast Rice</t>
  </si>
  <si>
    <t>879452002487</t>
  </si>
  <si>
    <t>RYR120</t>
  </si>
  <si>
    <t>RYR Synergy™</t>
  </si>
  <si>
    <t>879452002517</t>
  </si>
  <si>
    <t>SAG060</t>
  </si>
  <si>
    <t>S-Acetyl Glutathione Synergy</t>
  </si>
  <si>
    <t>879452003941</t>
  </si>
  <si>
    <t>SAM030</t>
  </si>
  <si>
    <t>SAMe</t>
  </si>
  <si>
    <t>879452003781</t>
  </si>
  <si>
    <t>SAM090</t>
  </si>
  <si>
    <t>879452003774</t>
  </si>
  <si>
    <t>SEN120</t>
  </si>
  <si>
    <t>Sensitol™</t>
  </si>
  <si>
    <t>879452004474</t>
  </si>
  <si>
    <t>SLF1OZ</t>
  </si>
  <si>
    <t>Super Liquid Folate</t>
  </si>
  <si>
    <t>879452000513</t>
  </si>
  <si>
    <t>SNS060</t>
  </si>
  <si>
    <t>Senolytic Synergy</t>
  </si>
  <si>
    <t>879452006508</t>
  </si>
  <si>
    <t>SPM060</t>
  </si>
  <si>
    <t>SPM Supreme</t>
  </si>
  <si>
    <t>879452005518</t>
  </si>
  <si>
    <t>STA090</t>
  </si>
  <si>
    <t>StressArrest™</t>
  </si>
  <si>
    <t>879452000445</t>
  </si>
  <si>
    <t>STC090</t>
  </si>
  <si>
    <t>Stellar C™</t>
  </si>
  <si>
    <t>879452000971</t>
  </si>
  <si>
    <t>SVL16Z</t>
  </si>
  <si>
    <t>Silvercillin™ Liquid</t>
  </si>
  <si>
    <t>879452003262</t>
  </si>
  <si>
    <t>SVS4OZ</t>
  </si>
  <si>
    <t>Silvercillin™ Spray</t>
  </si>
  <si>
    <t>879452003255</t>
  </si>
  <si>
    <t>TAU120</t>
  </si>
  <si>
    <t>Taurine</t>
  </si>
  <si>
    <t>879452000414</t>
  </si>
  <si>
    <t>TAUPDR</t>
  </si>
  <si>
    <t>Taurine + Glycine Powder</t>
  </si>
  <si>
    <t>879452007833</t>
  </si>
  <si>
    <t>TBS060</t>
  </si>
  <si>
    <t>Tri-Butyrin Supreme™</t>
  </si>
  <si>
    <t>879452005747</t>
  </si>
  <si>
    <t>TDE060</t>
  </si>
  <si>
    <t>Twice Daily Essential Packets</t>
  </si>
  <si>
    <t>879452001701</t>
  </si>
  <si>
    <t>TDM060</t>
  </si>
  <si>
    <t>Twice Daily Multi™</t>
  </si>
  <si>
    <t>879452000940</t>
  </si>
  <si>
    <t>TDM120</t>
  </si>
  <si>
    <t>879452000919</t>
  </si>
  <si>
    <t>TDM240</t>
  </si>
  <si>
    <t>879452000841</t>
  </si>
  <si>
    <t>TEG060</t>
  </si>
  <si>
    <t>Tegricel® Colostrum</t>
  </si>
  <si>
    <t>879452001008</t>
  </si>
  <si>
    <t>TGD030</t>
  </si>
  <si>
    <t>TriGandha™</t>
  </si>
  <si>
    <t>879452005570</t>
  </si>
  <si>
    <t>THM060</t>
  </si>
  <si>
    <t>Thermo-EFx™</t>
  </si>
  <si>
    <t>879452003798</t>
  </si>
  <si>
    <t>THS120</t>
  </si>
  <si>
    <t>Thyroid Synergy™</t>
  </si>
  <si>
    <t>879452000933</t>
  </si>
  <si>
    <t>TRIC60</t>
  </si>
  <si>
    <t>Tricobalamin™ lozenges</t>
  </si>
  <si>
    <t>879452004924</t>
  </si>
  <si>
    <t>TRIF60</t>
  </si>
  <si>
    <t>Trifolamin™ lozenges</t>
  </si>
  <si>
    <t>879452004542</t>
  </si>
  <si>
    <t>TRK060</t>
  </si>
  <si>
    <t>Tri-K™</t>
  </si>
  <si>
    <t>879452001961</t>
  </si>
  <si>
    <t>TRMGDY</t>
  </si>
  <si>
    <t>TriMag Supreme™</t>
  </si>
  <si>
    <t>879452006201</t>
  </si>
  <si>
    <t>TRMGNT</t>
  </si>
  <si>
    <t>TriMag Supreme™ Night Powder</t>
  </si>
  <si>
    <t>879452006218</t>
  </si>
  <si>
    <t>TYM060</t>
  </si>
  <si>
    <t>Thyrommune™ 60 Capsules</t>
  </si>
  <si>
    <t>879452006652</t>
  </si>
  <si>
    <t>TYR120</t>
  </si>
  <si>
    <t>L-Tyrosine</t>
  </si>
  <si>
    <t>879452003828</t>
  </si>
  <si>
    <t>UAFS90</t>
  </si>
  <si>
    <t>Ultimate Antiox Full Spectrum</t>
  </si>
  <si>
    <t>879452002258</t>
  </si>
  <si>
    <t>UTIC30</t>
  </si>
  <si>
    <t>UT Intensive™ Chewables</t>
  </si>
  <si>
    <t>879452004795</t>
  </si>
  <si>
    <t>UTS060</t>
  </si>
  <si>
    <t>UT Synergy™</t>
  </si>
  <si>
    <t>879452000377</t>
  </si>
  <si>
    <t>V6B4OZ</t>
  </si>
  <si>
    <t>Vitamin B-6 Liquid</t>
  </si>
  <si>
    <t>879452001015</t>
  </si>
  <si>
    <t>VB1260</t>
  </si>
  <si>
    <t>Vitamin B12 Lozenges</t>
  </si>
  <si>
    <t>879452003804</t>
  </si>
  <si>
    <t>VCB240</t>
  </si>
  <si>
    <t>Vitamin C Buffered Powder</t>
  </si>
  <si>
    <t>879452001626</t>
  </si>
  <si>
    <t>VDS030</t>
  </si>
  <si>
    <t>Vitamin D Supreme</t>
  </si>
  <si>
    <t>879452005136</t>
  </si>
  <si>
    <t>VDS060</t>
  </si>
  <si>
    <t>879452001916</t>
  </si>
  <si>
    <t>VDS180</t>
  </si>
  <si>
    <t>879452002999</t>
  </si>
  <si>
    <t>VFT120</t>
  </si>
  <si>
    <t>Vessel Forte™</t>
  </si>
  <si>
    <t>879452003491</t>
  </si>
  <si>
    <t>VID120</t>
  </si>
  <si>
    <t>Vitamin D Synergy</t>
  </si>
  <si>
    <t>879452000889</t>
  </si>
  <si>
    <t>VSC060</t>
  </si>
  <si>
    <t>Vascanox HP®</t>
  </si>
  <si>
    <t>879452007550</t>
  </si>
  <si>
    <t>WBC390</t>
  </si>
  <si>
    <t>Whole Body Collagen®</t>
  </si>
  <si>
    <t>879452005143</t>
  </si>
  <si>
    <t>WBCBOX</t>
  </si>
  <si>
    <t>Whole Body Collagen® Stick Pack</t>
  </si>
  <si>
    <t>WBTYCN</t>
  </si>
  <si>
    <t>Whole Beauty Collagen™</t>
  </si>
  <si>
    <t>879452007376</t>
  </si>
  <si>
    <t>WCC900</t>
  </si>
  <si>
    <t>879452002531</t>
  </si>
  <si>
    <t>WCP900</t>
  </si>
  <si>
    <t>879452002043</t>
  </si>
  <si>
    <t>WCV900</t>
  </si>
  <si>
    <t>879452001817</t>
  </si>
  <si>
    <t>WLS060</t>
  </si>
  <si>
    <t>Weight Loss Support Packets</t>
  </si>
  <si>
    <t>879452001732</t>
  </si>
  <si>
    <t>WTDE60</t>
  </si>
  <si>
    <t>Women's Twice Daily Essential Packets</t>
  </si>
  <si>
    <t>879452001770</t>
  </si>
  <si>
    <t>XOS060</t>
  </si>
  <si>
    <t>XanthOmega™ Krill Oil</t>
  </si>
  <si>
    <t>879452001336</t>
  </si>
  <si>
    <t>ZNP090</t>
  </si>
  <si>
    <t>Zinc Supreme™</t>
  </si>
  <si>
    <t>879452000964</t>
  </si>
  <si>
    <t>FXCO12</t>
  </si>
  <si>
    <t>Fx Bar Bold Beauty Collagen™</t>
  </si>
  <si>
    <t>879452007468</t>
  </si>
  <si>
    <t>FXCWH12</t>
  </si>
  <si>
    <t>Fx Bar Yes Whey!!!™ Chocolate</t>
  </si>
  <si>
    <t>879452007802</t>
  </si>
  <si>
    <t>FXPBW12</t>
  </si>
  <si>
    <t>Fx Bar Yes Whey!!!™ Peanut Butter</t>
  </si>
  <si>
    <t>879452008014</t>
  </si>
  <si>
    <t>FXBB12</t>
  </si>
  <si>
    <t>Fx Bar Bone Broth Chocolate Crunch™</t>
  </si>
  <si>
    <t>879452007451</t>
  </si>
  <si>
    <t>FXIM12</t>
  </si>
  <si>
    <t>Fx Bar Cocommune™</t>
  </si>
  <si>
    <t>879452007437</t>
  </si>
  <si>
    <t>FXJO12</t>
  </si>
  <si>
    <t>Fx Bar Peanut Butter Joint Power™</t>
  </si>
  <si>
    <t>879452007444</t>
  </si>
  <si>
    <t>FXMG12</t>
  </si>
  <si>
    <t>Fx Bar Plant Powered Magnesium™</t>
  </si>
  <si>
    <t>879452007475</t>
  </si>
  <si>
    <t>FXDE15</t>
  </si>
  <si>
    <t>Fx Chocolate® Defend</t>
  </si>
  <si>
    <t>879452005648</t>
  </si>
  <si>
    <t>FXDE30</t>
  </si>
  <si>
    <t>879452006362</t>
  </si>
  <si>
    <t>FXDR15</t>
  </si>
  <si>
    <t>Fx Chocolate® Dream</t>
  </si>
  <si>
    <t>879452005808</t>
  </si>
  <si>
    <t>FXDR30</t>
  </si>
  <si>
    <t>879452006355</t>
  </si>
  <si>
    <t>FXEX15</t>
  </si>
  <si>
    <t>Fx Chocolate® Exhale</t>
  </si>
  <si>
    <t>879452005624</t>
  </si>
  <si>
    <t>FXEX30</t>
  </si>
  <si>
    <t>879452005631</t>
  </si>
  <si>
    <t>FXSN15</t>
  </si>
  <si>
    <t>Fx Chocolate® Sunshine</t>
  </si>
  <si>
    <t>879452005792</t>
  </si>
  <si>
    <t>FXSN30</t>
  </si>
  <si>
    <t>879452006379</t>
  </si>
  <si>
    <t>AASORN-DS</t>
  </si>
  <si>
    <t>Amino Complex (Orange)</t>
  </si>
  <si>
    <t>879452006638</t>
  </si>
  <si>
    <t>AASPDR-DS</t>
  </si>
  <si>
    <t>879452006157</t>
  </si>
  <si>
    <t>ADP090-DS</t>
  </si>
  <si>
    <t>879452005976</t>
  </si>
  <si>
    <t>BHC120-DS</t>
  </si>
  <si>
    <t>879452007260</t>
  </si>
  <si>
    <t>CE4060-DS</t>
  </si>
  <si>
    <t>Curcum-Evail® 400 -</t>
  </si>
  <si>
    <t>879452007147</t>
  </si>
  <si>
    <t>CRTNMH-DS</t>
  </si>
  <si>
    <t>Creatine Monohydrate</t>
  </si>
  <si>
    <t>879452007307</t>
  </si>
  <si>
    <t>DSN060-DS</t>
  </si>
  <si>
    <t>Vitamin D3 Pro</t>
  </si>
  <si>
    <t>879452006690</t>
  </si>
  <si>
    <t>ELPHYD-DS</t>
  </si>
  <si>
    <t>Hydration Packs</t>
  </si>
  <si>
    <t>879452007710</t>
  </si>
  <si>
    <t>ELS240-DS</t>
  </si>
  <si>
    <t>Hydration Complex</t>
  </si>
  <si>
    <t>879452005846</t>
  </si>
  <si>
    <t>GPC2OZ-DS</t>
  </si>
  <si>
    <t>GPC Liquid</t>
  </si>
  <si>
    <t>879452005877</t>
  </si>
  <si>
    <t>HIWCHC-DS</t>
  </si>
  <si>
    <t>Hydrolyzed ISO-Whey Protein Chocolate</t>
  </si>
  <si>
    <t>879452006331</t>
  </si>
  <si>
    <t>HIWCML-DS</t>
  </si>
  <si>
    <t>Hydrolyzed ISO-Whey Protein Caramel Macchiato</t>
  </si>
  <si>
    <t>879452007185</t>
  </si>
  <si>
    <t>INSM60-DS</t>
  </si>
  <si>
    <t>Sleep Complex</t>
  </si>
  <si>
    <t>879452005983</t>
  </si>
  <si>
    <t>LGL500-DS</t>
  </si>
  <si>
    <t>879452005839</t>
  </si>
  <si>
    <t>MGC120-DS</t>
  </si>
  <si>
    <t>Magnesium Bisglycinate</t>
  </si>
  <si>
    <t>879452006560</t>
  </si>
  <si>
    <t>MHN120-DS</t>
  </si>
  <si>
    <t>Mito NRG Complex</t>
  </si>
  <si>
    <t>879452006003</t>
  </si>
  <si>
    <t>NEUMAG-DS</t>
  </si>
  <si>
    <t>Neuromag™ Sport</t>
  </si>
  <si>
    <t>879452005952</t>
  </si>
  <si>
    <t>OPO060-DS</t>
  </si>
  <si>
    <t>Omega 3 Hi-Po</t>
  </si>
  <si>
    <t>879452007222</t>
  </si>
  <si>
    <t>PFP030-DS</t>
  </si>
  <si>
    <t>Power Pack</t>
  </si>
  <si>
    <t>879452006973</t>
  </si>
  <si>
    <t>PLM120-DS</t>
  </si>
  <si>
    <t>Multi + Phyto</t>
  </si>
  <si>
    <t>879452007239</t>
  </si>
  <si>
    <t>PPPCHC-DS</t>
  </si>
  <si>
    <t>Grass Fed Beef Protein Chocolate</t>
  </si>
  <si>
    <t>879452007178</t>
  </si>
  <si>
    <t>PPPVAN-DS</t>
  </si>
  <si>
    <t>Grass Fed Beef Protein Vanilla</t>
  </si>
  <si>
    <t>879452007192</t>
  </si>
  <si>
    <t>PPS120-DS</t>
  </si>
  <si>
    <t>Pro-Formance Peptides™</t>
  </si>
  <si>
    <t>879452007987</t>
  </si>
  <si>
    <t>PRTNRG-DS</t>
  </si>
  <si>
    <t>Workout Complex</t>
  </si>
  <si>
    <t>879452007215</t>
  </si>
  <si>
    <t>WBC390-DS</t>
  </si>
  <si>
    <t>Collagen Complex™</t>
  </si>
  <si>
    <t>879452007154</t>
  </si>
  <si>
    <t>ZNP090-DS</t>
  </si>
  <si>
    <t>Zinc+</t>
  </si>
  <si>
    <t>879452005969</t>
  </si>
  <si>
    <t>ESSCHC</t>
  </si>
  <si>
    <t>EssentiaGreens™ and Reds - chocolate</t>
  </si>
  <si>
    <t>ESSUNF</t>
  </si>
  <si>
    <t>ESSSBK</t>
  </si>
  <si>
    <t>ACN180-DFB</t>
  </si>
  <si>
    <t>ANT15L-DFB</t>
  </si>
  <si>
    <t>FGB120-DFB</t>
  </si>
  <si>
    <t>HSN060-DFB</t>
  </si>
  <si>
    <t>LPOVTC-DFB</t>
  </si>
  <si>
    <t>OPO060-DFB</t>
  </si>
  <si>
    <t>PBS060-DFB</t>
  </si>
  <si>
    <t>PLM120-DFB</t>
  </si>
  <si>
    <t>SEN120-DFB</t>
  </si>
  <si>
    <t>WBTYCN-DFB</t>
  </si>
  <si>
    <t>Clear the Chaos™</t>
  </si>
  <si>
    <t xml:space="preserve">The Capital E™ </t>
  </si>
  <si>
    <t>Balance Her Out™</t>
  </si>
  <si>
    <t>The Big Glow™</t>
  </si>
  <si>
    <t xml:space="preserve">Hit the Lights™ </t>
  </si>
  <si>
    <t>Calm the Storm™</t>
  </si>
  <si>
    <t xml:space="preserve">Perfect Equilibrium™ </t>
  </si>
  <si>
    <t xml:space="preserve">The Foundation of You™ </t>
  </si>
  <si>
    <t xml:space="preserve">Control Freak™ </t>
  </si>
  <si>
    <t xml:space="preserve">Beyond Brilliance™ </t>
  </si>
  <si>
    <t>879452007864</t>
  </si>
  <si>
    <t>879452007871</t>
  </si>
  <si>
    <t>879452007888</t>
  </si>
  <si>
    <t>879452007956</t>
  </si>
  <si>
    <t>879452007895</t>
  </si>
  <si>
    <t>879452007901</t>
  </si>
  <si>
    <t>879452007918</t>
  </si>
  <si>
    <t>879452007925</t>
  </si>
  <si>
    <t>879452007932</t>
  </si>
  <si>
    <t>879452007949</t>
  </si>
  <si>
    <t>120 capsules</t>
  </si>
  <si>
    <t>180 capsules</t>
  </si>
  <si>
    <t>240 capsules</t>
  </si>
  <si>
    <t>60 capsules</t>
  </si>
  <si>
    <t>90 capsules</t>
  </si>
  <si>
    <t>30 softgels</t>
  </si>
  <si>
    <t>60 softgels</t>
  </si>
  <si>
    <t>Arthroben® lemon lime</t>
  </si>
  <si>
    <t>420 g</t>
  </si>
  <si>
    <t>330 g</t>
  </si>
  <si>
    <t>Arthroben® unflavored</t>
  </si>
  <si>
    <t>210 capsules</t>
  </si>
  <si>
    <t>30 capsules</t>
  </si>
  <si>
    <t>360 capsules</t>
  </si>
  <si>
    <t>270 g</t>
  </si>
  <si>
    <t>120 g</t>
  </si>
  <si>
    <t>360 g</t>
  </si>
  <si>
    <t>144 g</t>
  </si>
  <si>
    <t>390 g</t>
  </si>
  <si>
    <t>450 g</t>
  </si>
  <si>
    <t>60 packets</t>
  </si>
  <si>
    <t>180 softgels</t>
  </si>
  <si>
    <t>14 stick packs</t>
  </si>
  <si>
    <t>240 g</t>
  </si>
  <si>
    <t>59 mL</t>
  </si>
  <si>
    <t>30 mL</t>
  </si>
  <si>
    <t>285 g</t>
  </si>
  <si>
    <t>310 g</t>
  </si>
  <si>
    <t>EssentiaGreens™ and Reds - unflavored</t>
  </si>
  <si>
    <t>EssentiaGreens™ and Reds - strawberry kiwi</t>
  </si>
  <si>
    <t>118 mL</t>
  </si>
  <si>
    <t>225 g</t>
  </si>
  <si>
    <t>50 g</t>
  </si>
  <si>
    <t>180 g</t>
  </si>
  <si>
    <t>60 tablets</t>
  </si>
  <si>
    <t>105 g</t>
  </si>
  <si>
    <t>250 g</t>
  </si>
  <si>
    <t>30 packets</t>
  </si>
  <si>
    <t>500 g</t>
  </si>
  <si>
    <t>50 mL</t>
  </si>
  <si>
    <t>120 mL</t>
  </si>
  <si>
    <t>120 tablets</t>
  </si>
  <si>
    <t>150 g</t>
  </si>
  <si>
    <t>MagneGel™ (topical)</t>
  </si>
  <si>
    <t>8 oz</t>
  </si>
  <si>
    <t>14 packets</t>
  </si>
  <si>
    <t>NeuroMag™</t>
  </si>
  <si>
    <t>50 test strips</t>
  </si>
  <si>
    <t>237 mL</t>
  </si>
  <si>
    <t>120 softgels</t>
  </si>
  <si>
    <t>Phytotein™ chocolate</t>
  </si>
  <si>
    <t>Phytotein™ vanilla</t>
  </si>
  <si>
    <t>510 g</t>
  </si>
  <si>
    <t>480 g</t>
  </si>
  <si>
    <t>240 softgels</t>
  </si>
  <si>
    <t>PPP14D</t>
  </si>
  <si>
    <t>PPC14D</t>
  </si>
  <si>
    <t xml:space="preserve">28 powder packets, 28 capsule packets </t>
  </si>
  <si>
    <t>300 g</t>
  </si>
  <si>
    <t>30 tablets</t>
  </si>
  <si>
    <t>Plant Protein Cleanse Plus Detox Program 14 day berry vanilla</t>
  </si>
  <si>
    <t>Plant Protein Cleanse Plus Detox Program 21 day berry vanilla</t>
  </si>
  <si>
    <t xml:space="preserve">42 powder packets, 42 capsule packets </t>
  </si>
  <si>
    <t>113 g</t>
  </si>
  <si>
    <t>PerioBiotic™ Silver toothpaste</t>
  </si>
  <si>
    <t>PurePea™ vanilla</t>
  </si>
  <si>
    <t>PaleoGreens® lemon lime</t>
  </si>
  <si>
    <t>PaleoGreens® unflavored</t>
  </si>
  <si>
    <t>714 g</t>
  </si>
  <si>
    <t>Plant Protein Cleanse berry vanilla</t>
  </si>
  <si>
    <t xml:space="preserve">PaleoCleanse Plus™ chocolate  </t>
  </si>
  <si>
    <t>525 g</t>
  </si>
  <si>
    <t>PaleoCleanse Plus™ Strawberry Vanilla</t>
  </si>
  <si>
    <t>540 g</t>
  </si>
  <si>
    <t>810 g</t>
  </si>
  <si>
    <t>555 g</t>
  </si>
  <si>
    <t>Plant Protein Cleanse Plus™</t>
  </si>
  <si>
    <t>PaleoMeal® chocolate</t>
  </si>
  <si>
    <t>PaleoMeal® vanilla</t>
  </si>
  <si>
    <t>585 g</t>
  </si>
  <si>
    <t>PurePaleo™ chocolate</t>
  </si>
  <si>
    <t>PurePaleo™ unflavored</t>
  </si>
  <si>
    <t>PurePaleo™ vanilla</t>
  </si>
  <si>
    <t>12 bars</t>
  </si>
  <si>
    <t>60 softgels, 120 capsules, 120 capsules</t>
  </si>
  <si>
    <t>Prenatal Pro™ Essential Bundle ( OmegAvail™ Hi-Po, Prenatal Pro™, OsteoForce™)</t>
  </si>
  <si>
    <t>100 g</t>
  </si>
  <si>
    <t>473 mL</t>
  </si>
  <si>
    <t>60 lozenges</t>
  </si>
  <si>
    <t>900 g</t>
  </si>
  <si>
    <t>10 13 g packets</t>
  </si>
  <si>
    <t>WheyCool™ chocolate</t>
  </si>
  <si>
    <t>WheyCool™ unflavored</t>
  </si>
  <si>
    <t>WheyCool™ vanilla</t>
  </si>
  <si>
    <t>Size</t>
  </si>
  <si>
    <t>Price</t>
  </si>
  <si>
    <t>Order</t>
  </si>
  <si>
    <t>Total</t>
  </si>
  <si>
    <t>10.06.2025</t>
  </si>
  <si>
    <r>
      <rPr>
        <b/>
        <sz val="9"/>
        <color rgb="FFFF0000"/>
        <rFont val="Aptos Narrow"/>
        <family val="2"/>
      </rPr>
      <t>Importantly!</t>
    </r>
    <r>
      <rPr>
        <sz val="9"/>
        <rFont val="Aptos Narrow"/>
        <family val="2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</si>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</sst>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&quot;$&quot;#,##0.00"/>
    <numFmt numFmtId="166" formatCode="_-[$$-1009]* #,##0.00_-;\-[$$-1009]* #,##0.00_-;_-[$$-1009]* &quot;-&quot;??_-;_-@_-"/>
    <numFmt numFmtId="167" formatCode="_-[$$-409]* #,##0.00_ ;_-[$$-409]* \-#,##0.00\ ;_-[$$-409]* &quot;-&quot;??_ ;_-@_ "/>
    <numFmt numFmtId="168" formatCode="[$$-409]#,##0.00"/>
  </numFmts>
  <fonts count="12" x14ac:knownFonts="1">
    <font>
      <sz val="11"/>
      <name val="Aptos Narrow"/>
    </font>
    <font>
      <sz val="12"/>
      <name val="Calibri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8"/>
      <name val="Aptos Narrow"/>
      <family val="2"/>
    </font>
    <font>
      <b/>
      <sz val="11"/>
      <color theme="0"/>
      <name val="Aptos Narrow"/>
      <family val="2"/>
    </font>
    <font>
      <sz val="9"/>
      <name val="Aptos Narrow"/>
      <family val="2"/>
    </font>
    <font>
      <b/>
      <sz val="9"/>
      <color rgb="FFFF0000"/>
      <name val="Aptos Narrow"/>
      <family val="2"/>
    </font>
    <font>
      <b/>
      <sz val="11"/>
      <color theme="1"/>
      <name val="Aptos Narrow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1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49" fontId="3" fillId="0" borderId="1" xfId="0" applyNumberFormat="1" applyFont="1" applyBorder="1"/>
    <xf numFmtId="165" fontId="3" fillId="0" borderId="1" xfId="0" applyNumberFormat="1" applyFont="1" applyBorder="1" applyAlignment="1">
      <alignment horizontal="center"/>
    </xf>
    <xf numFmtId="1" fontId="0" fillId="0" borderId="1" xfId="0" applyNumberFormat="1" applyBorder="1"/>
    <xf numFmtId="0" fontId="4" fillId="0" borderId="0" xfId="0" quotePrefix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166" fontId="6" fillId="2" borderId="2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7" fillId="0" borderId="3" xfId="0" applyFont="1" applyBorder="1" applyAlignment="1">
      <alignment horizontal="left" wrapText="1"/>
    </xf>
    <xf numFmtId="0" fontId="7" fillId="0" borderId="3" xfId="0" applyFont="1" applyBorder="1" applyAlignment="1">
      <alignment horizontal="left"/>
    </xf>
    <xf numFmtId="2" fontId="0" fillId="0" borderId="1" xfId="0" applyNumberFormat="1" applyBorder="1" applyAlignment="1">
      <alignment horizontal="center"/>
    </xf>
    <xf numFmtId="14" fontId="9" fillId="3" borderId="4" xfId="0" applyNumberFormat="1" applyFont="1" applyFill="1" applyBorder="1" applyAlignment="1">
      <alignment horizontal="center" vertical="center" wrapText="1"/>
    </xf>
    <xf numFmtId="14" fontId="9" fillId="3" borderId="5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67" fontId="10" fillId="3" borderId="4" xfId="0" applyNumberFormat="1" applyFont="1" applyFill="1" applyBorder="1" applyAlignment="1" applyProtection="1">
      <alignment horizontal="center" vertical="center" wrapText="1" readingOrder="1"/>
      <protection hidden="1"/>
    </xf>
    <xf numFmtId="168" fontId="9" fillId="3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 applyProtection="1">
      <alignment horizontal="center" vertical="center" wrapText="1" readingOrder="1"/>
      <protection locked="0"/>
    </xf>
    <xf numFmtId="14" fontId="9" fillId="3" borderId="6" xfId="0" applyNumberFormat="1" applyFont="1" applyFill="1" applyBorder="1" applyAlignment="1">
      <alignment horizontal="center" vertical="center" wrapText="1"/>
    </xf>
    <xf numFmtId="4" fontId="9" fillId="4" borderId="6" xfId="0" applyNumberFormat="1" applyFont="1" applyFill="1" applyBorder="1" applyAlignment="1">
      <alignment horizontal="center" vertical="center"/>
    </xf>
    <xf numFmtId="167" fontId="10" fillId="4" borderId="4" xfId="0" applyNumberFormat="1" applyFont="1" applyFill="1" applyBorder="1" applyAlignment="1" applyProtection="1">
      <alignment horizontal="center" vertical="center" wrapText="1" readingOrder="1"/>
      <protection hidden="1"/>
    </xf>
    <xf numFmtId="167" fontId="10" fillId="0" borderId="0" xfId="0" applyNumberFormat="1" applyFont="1" applyAlignment="1" applyProtection="1">
      <alignment vertical="center" wrapText="1" readingOrder="1"/>
      <protection hidden="1"/>
    </xf>
    <xf numFmtId="0" fontId="9" fillId="5" borderId="4" xfId="0" applyFont="1" applyFill="1" applyBorder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</cellXfs>
  <cellStyles count="4">
    <cellStyle name="Comma 2" xfId="3" xr:uid="{00000000-0005-0000-0000-000000000000}"/>
    <cellStyle name="Normal 2" xfId="1" xr:uid="{00000000-0005-0000-0000-000001000000}"/>
    <cellStyle name="Percent 2" xfId="2" xr:uid="{00000000-0005-0000-0000-000002000000}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224590</xdr:colOff>
      <xdr:row>0</xdr:row>
      <xdr:rowOff>266701</xdr:rowOff>
    </xdr:from>
    <xdr:to>
      <xdr:col>9</xdr:col>
      <xdr:colOff>22859</xdr:colOff>
      <xdr:row>0</xdr:row>
      <xdr:rowOff>762001</xdr:rowOff>
    </xdr:to>
    <xdr:pic>
      <xdr:nvPicPr>
        <xdr:cNvPr id="2" name="Рисунок 1" descr="Designs For Health - MediAdvice Pharmacy Earlwood">
          <a:extLst>
            <a:ext uri="{FF2B5EF4-FFF2-40B4-BE49-F238E27FC236}">
              <a16:creationId xmlns:a16="http://schemas.microsoft.com/office/drawing/2014/main" id="{18A97993-7333-652E-4B76-03E0FC188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6730" y="266701"/>
          <a:ext cx="3128209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7"/>
  <sheetViews>
    <sheetView tabSelected="1" zoomScale="90" zoomScaleNormal="90" workbookViewId="0">
      <pane ySplit="2" topLeftCell="A3" activePane="bottomLeft" state="frozen"/>
      <selection pane="bottomLeft" activeCell="I3" sqref="I3"/>
    </sheetView>
  </sheetViews>
  <sheetFormatPr defaultRowHeight="14.4" x14ac:dyDescent="0.3"/>
  <cols>
    <col min="1" max="1" width="12.21875" bestFit="1" customWidth="1"/>
    <col min="2" max="2" width="22.109375" customWidth="1"/>
    <col min="3" max="3" width="48.6640625" customWidth="1"/>
    <col min="4" max="4" width="15.109375" customWidth="1"/>
    <col min="5" max="5" width="15.109375" hidden="1" customWidth="1"/>
    <col min="6" max="6" width="9" customWidth="1"/>
    <col min="7" max="7" width="15.109375" hidden="1" customWidth="1"/>
    <col min="8" max="8" width="11.109375" customWidth="1"/>
    <col min="9" max="9" width="13.33203125" style="15" customWidth="1"/>
    <col min="10" max="10" width="12.21875" customWidth="1"/>
    <col min="11" max="11" width="13.44140625" customWidth="1"/>
    <col min="12" max="12" width="4.44140625" customWidth="1"/>
    <col min="14" max="14" width="12.6640625" bestFit="1" customWidth="1"/>
    <col min="16" max="16" width="11" bestFit="1" customWidth="1"/>
    <col min="17" max="17" width="3.5546875" customWidth="1"/>
    <col min="18" max="18" width="12" bestFit="1" customWidth="1"/>
  </cols>
  <sheetData>
    <row r="1" spans="1:18" ht="75" customHeight="1" thickBot="1" x14ac:dyDescent="0.35">
      <c r="A1" s="16" t="s">
        <v>1149</v>
      </c>
      <c r="B1" s="17"/>
      <c r="C1" s="17"/>
      <c r="D1" s="17"/>
      <c r="E1" s="17"/>
      <c r="F1" s="17"/>
      <c r="G1" s="17"/>
      <c r="H1" s="17"/>
      <c r="I1" s="17"/>
      <c r="J1" s="17"/>
      <c r="K1" s="10" t="s">
        <v>1148</v>
      </c>
      <c r="M1" s="19" t="s">
        <v>1151</v>
      </c>
      <c r="N1" s="20" t="s">
        <v>1152</v>
      </c>
      <c r="O1" s="21" t="s">
        <v>1150</v>
      </c>
      <c r="P1" s="22" t="s">
        <v>1153</v>
      </c>
      <c r="R1" s="23" t="str">
        <f>IFERROR(IF(SUM(R3:R277)=0, "-", K2+P2), "-")</f>
        <v>-</v>
      </c>
    </row>
    <row r="2" spans="1:18" s="1" customFormat="1" ht="28.2" customHeight="1" thickBot="1" x14ac:dyDescent="0.35">
      <c r="A2" s="11" t="s">
        <v>0</v>
      </c>
      <c r="B2" s="11" t="s">
        <v>1144</v>
      </c>
      <c r="C2" s="11" t="s">
        <v>1</v>
      </c>
      <c r="D2" s="11" t="s">
        <v>2</v>
      </c>
      <c r="E2" s="11"/>
      <c r="F2" s="11" t="s">
        <v>1150</v>
      </c>
      <c r="G2" s="11"/>
      <c r="H2" s="11" t="s">
        <v>1145</v>
      </c>
      <c r="I2" s="12" t="s">
        <v>1146</v>
      </c>
      <c r="J2" s="11" t="s">
        <v>1147</v>
      </c>
      <c r="K2" s="13">
        <f>SUM(J3:J377)</f>
        <v>0</v>
      </c>
      <c r="M2" s="24"/>
      <c r="N2" s="25"/>
      <c r="O2" s="26" t="str">
        <f>IF(SUM(O3:O277)=0, "-", SUM(O3:O277))</f>
        <v>-</v>
      </c>
      <c r="P2" s="27" t="str">
        <f>IF(SUM(P3:P277)=0, "-", SUM(P3:P277))</f>
        <v>-</v>
      </c>
      <c r="Q2" s="28"/>
      <c r="R2" s="29" t="s">
        <v>1154</v>
      </c>
    </row>
    <row r="3" spans="1:18" x14ac:dyDescent="0.3">
      <c r="A3" s="2" t="s">
        <v>3</v>
      </c>
      <c r="B3" s="3" t="s">
        <v>1050</v>
      </c>
      <c r="C3" s="2" t="s">
        <v>4</v>
      </c>
      <c r="D3" s="2" t="s">
        <v>5</v>
      </c>
      <c r="E3" s="2"/>
      <c r="F3" s="18">
        <v>0</v>
      </c>
      <c r="G3" s="2"/>
      <c r="H3" s="8">
        <v>30.6</v>
      </c>
      <c r="I3" s="14"/>
      <c r="J3" s="8">
        <f>I3*H3</f>
        <v>0</v>
      </c>
      <c r="M3" s="30" t="str">
        <f>IFERROR(IF($M$2*F3=0, "-", $M$2*F3), "-")</f>
        <v>-</v>
      </c>
      <c r="N3" s="30" t="str">
        <f>IF(I3&gt;0,H3+F3*I3/$O$2*$P$2/I3,"-")</f>
        <v>-</v>
      </c>
      <c r="O3" s="31" t="str">
        <f>IF(I3&gt;0,I3*F3*1.113, "-")</f>
        <v>-</v>
      </c>
      <c r="P3" s="32" t="str">
        <f>IFERROR(IF($M$2&gt;0, $M$2*O3, "-"), "-")</f>
        <v>-</v>
      </c>
      <c r="R3" s="32" t="str">
        <f>IFERROR(IF(P3+J3=0, "-", IF(P3&gt;0, P3+J3, "-")), "-")</f>
        <v>-</v>
      </c>
    </row>
    <row r="4" spans="1:18" x14ac:dyDescent="0.3">
      <c r="A4" s="2" t="s">
        <v>6</v>
      </c>
      <c r="B4" s="3" t="s">
        <v>1066</v>
      </c>
      <c r="C4" s="2" t="s">
        <v>7</v>
      </c>
      <c r="D4" s="2" t="s">
        <v>8</v>
      </c>
      <c r="E4" s="2"/>
      <c r="F4" s="18">
        <v>0</v>
      </c>
      <c r="G4" s="2"/>
      <c r="H4" s="8">
        <v>53.64</v>
      </c>
      <c r="I4" s="14"/>
      <c r="J4" s="8">
        <f t="shared" ref="J4:J67" si="0">I4*H4</f>
        <v>0</v>
      </c>
      <c r="M4" s="30" t="str">
        <f t="shared" ref="M4:M67" si="1">IFERROR(IF($M$2*F4=0, "-", $M$2*F4), "-")</f>
        <v>-</v>
      </c>
      <c r="N4" s="30" t="str">
        <f t="shared" ref="N4:N67" si="2">IF(I4&gt;0,H4+F4*I4/$O$2*$P$2/I4,"-")</f>
        <v>-</v>
      </c>
      <c r="O4" s="31" t="str">
        <f t="shared" ref="O4:O67" si="3">IF(I4&gt;0,I4*F4*1.113, "-")</f>
        <v>-</v>
      </c>
      <c r="P4" s="32" t="str">
        <f t="shared" ref="P4:P67" si="4">IFERROR(IF($M$2&gt;0, $M$2*O4, "-"), "-")</f>
        <v>-</v>
      </c>
      <c r="R4" s="32" t="str">
        <f t="shared" ref="R4:R67" si="5">IFERROR(IF(P4+J4=0, "-", IF(P4&gt;0, P4+J4, "-")), "-")</f>
        <v>-</v>
      </c>
    </row>
    <row r="5" spans="1:18" x14ac:dyDescent="0.3">
      <c r="A5" s="2" t="s">
        <v>9</v>
      </c>
      <c r="B5" s="3" t="s">
        <v>1051</v>
      </c>
      <c r="C5" s="2" t="s">
        <v>10</v>
      </c>
      <c r="D5" s="2" t="s">
        <v>11</v>
      </c>
      <c r="E5" s="2"/>
      <c r="F5" s="18">
        <v>0</v>
      </c>
      <c r="G5" s="2"/>
      <c r="H5" s="8">
        <v>48.6</v>
      </c>
      <c r="I5" s="14"/>
      <c r="J5" s="8">
        <f t="shared" si="0"/>
        <v>0</v>
      </c>
      <c r="M5" s="30" t="str">
        <f t="shared" si="1"/>
        <v>-</v>
      </c>
      <c r="N5" s="30" t="str">
        <f t="shared" si="2"/>
        <v>-</v>
      </c>
      <c r="O5" s="31" t="str">
        <f t="shared" si="3"/>
        <v>-</v>
      </c>
      <c r="P5" s="32" t="str">
        <f t="shared" si="4"/>
        <v>-</v>
      </c>
      <c r="R5" s="32" t="str">
        <f t="shared" si="5"/>
        <v>-</v>
      </c>
    </row>
    <row r="6" spans="1:18" x14ac:dyDescent="0.3">
      <c r="A6" s="2" t="s">
        <v>12</v>
      </c>
      <c r="B6" s="3" t="s">
        <v>1050</v>
      </c>
      <c r="C6" s="2" t="s">
        <v>13</v>
      </c>
      <c r="D6" s="2" t="s">
        <v>14</v>
      </c>
      <c r="E6" s="2"/>
      <c r="F6" s="18">
        <v>0</v>
      </c>
      <c r="G6" s="2"/>
      <c r="H6" s="8">
        <v>31.680000000000003</v>
      </c>
      <c r="I6" s="14"/>
      <c r="J6" s="8">
        <f t="shared" si="0"/>
        <v>0</v>
      </c>
      <c r="M6" s="30" t="str">
        <f t="shared" si="1"/>
        <v>-</v>
      </c>
      <c r="N6" s="30" t="str">
        <f t="shared" si="2"/>
        <v>-</v>
      </c>
      <c r="O6" s="31" t="str">
        <f t="shared" si="3"/>
        <v>-</v>
      </c>
      <c r="P6" s="32" t="str">
        <f t="shared" si="4"/>
        <v>-</v>
      </c>
      <c r="R6" s="32" t="str">
        <f t="shared" si="5"/>
        <v>-</v>
      </c>
    </row>
    <row r="7" spans="1:18" x14ac:dyDescent="0.3">
      <c r="A7" s="2" t="s">
        <v>15</v>
      </c>
      <c r="B7" s="3" t="s">
        <v>1052</v>
      </c>
      <c r="C7" s="3" t="s">
        <v>13</v>
      </c>
      <c r="D7" s="2" t="s">
        <v>16</v>
      </c>
      <c r="E7" s="2"/>
      <c r="F7" s="18">
        <v>0</v>
      </c>
      <c r="G7" s="2"/>
      <c r="H7" s="8">
        <v>59.040000000000006</v>
      </c>
      <c r="I7" s="14"/>
      <c r="J7" s="8">
        <f t="shared" si="0"/>
        <v>0</v>
      </c>
      <c r="M7" s="30" t="str">
        <f t="shared" si="1"/>
        <v>-</v>
      </c>
      <c r="N7" s="30" t="str">
        <f t="shared" si="2"/>
        <v>-</v>
      </c>
      <c r="O7" s="31" t="str">
        <f t="shared" si="3"/>
        <v>-</v>
      </c>
      <c r="P7" s="32" t="str">
        <f t="shared" si="4"/>
        <v>-</v>
      </c>
      <c r="R7" s="32" t="str">
        <f t="shared" si="5"/>
        <v>-</v>
      </c>
    </row>
    <row r="8" spans="1:18" x14ac:dyDescent="0.3">
      <c r="A8" s="2" t="s">
        <v>17</v>
      </c>
      <c r="B8" s="3" t="s">
        <v>1053</v>
      </c>
      <c r="C8" s="2" t="s">
        <v>18</v>
      </c>
      <c r="D8" s="2" t="s">
        <v>19</v>
      </c>
      <c r="E8" s="2"/>
      <c r="F8" s="18">
        <v>0.1</v>
      </c>
      <c r="G8" s="2"/>
      <c r="H8" s="8">
        <v>27.720000000000002</v>
      </c>
      <c r="I8" s="14"/>
      <c r="J8" s="8">
        <f t="shared" si="0"/>
        <v>0</v>
      </c>
      <c r="M8" s="30" t="str">
        <f t="shared" si="1"/>
        <v>-</v>
      </c>
      <c r="N8" s="30" t="str">
        <f t="shared" si="2"/>
        <v>-</v>
      </c>
      <c r="O8" s="31" t="str">
        <f t="shared" si="3"/>
        <v>-</v>
      </c>
      <c r="P8" s="32" t="str">
        <f t="shared" si="4"/>
        <v>-</v>
      </c>
      <c r="R8" s="32" t="str">
        <f t="shared" si="5"/>
        <v>-</v>
      </c>
    </row>
    <row r="9" spans="1:18" x14ac:dyDescent="0.3">
      <c r="A9" s="2" t="s">
        <v>20</v>
      </c>
      <c r="B9" s="3" t="s">
        <v>1054</v>
      </c>
      <c r="C9" s="2" t="s">
        <v>21</v>
      </c>
      <c r="D9" s="2" t="s">
        <v>22</v>
      </c>
      <c r="E9" s="2"/>
      <c r="F9" s="18">
        <v>0</v>
      </c>
      <c r="G9" s="2"/>
      <c r="H9" s="8">
        <v>21.96</v>
      </c>
      <c r="I9" s="14"/>
      <c r="J9" s="8">
        <f t="shared" si="0"/>
        <v>0</v>
      </c>
      <c r="M9" s="30" t="str">
        <f t="shared" si="1"/>
        <v>-</v>
      </c>
      <c r="N9" s="30" t="str">
        <f t="shared" si="2"/>
        <v>-</v>
      </c>
      <c r="O9" s="31" t="str">
        <f t="shared" si="3"/>
        <v>-</v>
      </c>
      <c r="P9" s="32" t="str">
        <f t="shared" si="4"/>
        <v>-</v>
      </c>
      <c r="R9" s="32" t="str">
        <f t="shared" si="5"/>
        <v>-</v>
      </c>
    </row>
    <row r="10" spans="1:18" x14ac:dyDescent="0.3">
      <c r="A10" s="2" t="s">
        <v>23</v>
      </c>
      <c r="B10" s="3" t="s">
        <v>1051</v>
      </c>
      <c r="C10" s="2" t="s">
        <v>21</v>
      </c>
      <c r="D10" s="2" t="s">
        <v>24</v>
      </c>
      <c r="E10" s="2"/>
      <c r="F10" s="18">
        <v>0</v>
      </c>
      <c r="G10" s="2"/>
      <c r="H10" s="8">
        <v>41.760000000000005</v>
      </c>
      <c r="I10" s="14"/>
      <c r="J10" s="8">
        <f t="shared" si="0"/>
        <v>0</v>
      </c>
      <c r="M10" s="30" t="str">
        <f t="shared" si="1"/>
        <v>-</v>
      </c>
      <c r="N10" s="30" t="str">
        <f t="shared" si="2"/>
        <v>-</v>
      </c>
      <c r="O10" s="31" t="str">
        <f t="shared" si="3"/>
        <v>-</v>
      </c>
      <c r="P10" s="32" t="str">
        <f t="shared" si="4"/>
        <v>-</v>
      </c>
      <c r="R10" s="32" t="str">
        <f t="shared" si="5"/>
        <v>-</v>
      </c>
    </row>
    <row r="11" spans="1:18" x14ac:dyDescent="0.3">
      <c r="A11" s="2" t="s">
        <v>25</v>
      </c>
      <c r="B11" s="3" t="s">
        <v>1053</v>
      </c>
      <c r="C11" s="2" t="s">
        <v>26</v>
      </c>
      <c r="D11" s="2" t="s">
        <v>27</v>
      </c>
      <c r="E11" s="2"/>
      <c r="F11" s="18">
        <v>0</v>
      </c>
      <c r="G11" s="2"/>
      <c r="H11" s="8">
        <v>32.04</v>
      </c>
      <c r="I11" s="14"/>
      <c r="J11" s="8">
        <f t="shared" si="0"/>
        <v>0</v>
      </c>
      <c r="M11" s="30" t="str">
        <f t="shared" si="1"/>
        <v>-</v>
      </c>
      <c r="N11" s="30" t="str">
        <f t="shared" si="2"/>
        <v>-</v>
      </c>
      <c r="O11" s="31" t="str">
        <f t="shared" si="3"/>
        <v>-</v>
      </c>
      <c r="P11" s="32" t="str">
        <f t="shared" si="4"/>
        <v>-</v>
      </c>
      <c r="R11" s="32" t="str">
        <f t="shared" si="5"/>
        <v>-</v>
      </c>
    </row>
    <row r="12" spans="1:18" x14ac:dyDescent="0.3">
      <c r="A12" s="2" t="s">
        <v>28</v>
      </c>
      <c r="B12" s="3" t="s">
        <v>1053</v>
      </c>
      <c r="C12" s="2" t="s">
        <v>29</v>
      </c>
      <c r="D12" s="2" t="s">
        <v>30</v>
      </c>
      <c r="E12" s="2"/>
      <c r="F12" s="18">
        <v>0</v>
      </c>
      <c r="G12" s="2"/>
      <c r="H12" s="8">
        <v>87.10560000000001</v>
      </c>
      <c r="I12" s="14"/>
      <c r="J12" s="8">
        <f t="shared" si="0"/>
        <v>0</v>
      </c>
      <c r="M12" s="30" t="str">
        <f t="shared" si="1"/>
        <v>-</v>
      </c>
      <c r="N12" s="30" t="str">
        <f t="shared" si="2"/>
        <v>-</v>
      </c>
      <c r="O12" s="31" t="str">
        <f t="shared" si="3"/>
        <v>-</v>
      </c>
      <c r="P12" s="32" t="str">
        <f t="shared" si="4"/>
        <v>-</v>
      </c>
      <c r="R12" s="32" t="str">
        <f t="shared" si="5"/>
        <v>-</v>
      </c>
    </row>
    <row r="13" spans="1:18" x14ac:dyDescent="0.3">
      <c r="A13" s="2" t="s">
        <v>31</v>
      </c>
      <c r="B13" s="3" t="s">
        <v>1054</v>
      </c>
      <c r="C13" s="2" t="s">
        <v>32</v>
      </c>
      <c r="D13" s="2" t="s">
        <v>33</v>
      </c>
      <c r="E13" s="2"/>
      <c r="F13" s="18">
        <v>0</v>
      </c>
      <c r="G13" s="2"/>
      <c r="H13" s="8">
        <v>30.96</v>
      </c>
      <c r="I13" s="14"/>
      <c r="J13" s="8">
        <f t="shared" si="0"/>
        <v>0</v>
      </c>
      <c r="M13" s="30" t="str">
        <f t="shared" si="1"/>
        <v>-</v>
      </c>
      <c r="N13" s="30" t="str">
        <f t="shared" si="2"/>
        <v>-</v>
      </c>
      <c r="O13" s="31" t="str">
        <f t="shared" si="3"/>
        <v>-</v>
      </c>
      <c r="P13" s="32" t="str">
        <f t="shared" si="4"/>
        <v>-</v>
      </c>
      <c r="R13" s="32" t="str">
        <f t="shared" si="5"/>
        <v>-</v>
      </c>
    </row>
    <row r="14" spans="1:18" x14ac:dyDescent="0.3">
      <c r="A14" s="2" t="s">
        <v>34</v>
      </c>
      <c r="B14" s="3" t="s">
        <v>1053</v>
      </c>
      <c r="C14" s="2" t="s">
        <v>35</v>
      </c>
      <c r="D14" s="2" t="s">
        <v>36</v>
      </c>
      <c r="E14" s="2"/>
      <c r="F14" s="18">
        <v>0</v>
      </c>
      <c r="G14" s="2"/>
      <c r="H14" s="8">
        <v>28.8</v>
      </c>
      <c r="I14" s="14"/>
      <c r="J14" s="8">
        <f t="shared" si="0"/>
        <v>0</v>
      </c>
      <c r="M14" s="30" t="str">
        <f t="shared" si="1"/>
        <v>-</v>
      </c>
      <c r="N14" s="30" t="str">
        <f t="shared" si="2"/>
        <v>-</v>
      </c>
      <c r="O14" s="31" t="str">
        <f t="shared" si="3"/>
        <v>-</v>
      </c>
      <c r="P14" s="32" t="str">
        <f t="shared" si="4"/>
        <v>-</v>
      </c>
      <c r="R14" s="32" t="str">
        <f t="shared" si="5"/>
        <v>-</v>
      </c>
    </row>
    <row r="15" spans="1:18" x14ac:dyDescent="0.3">
      <c r="A15" s="2" t="s">
        <v>37</v>
      </c>
      <c r="B15" s="3" t="s">
        <v>1053</v>
      </c>
      <c r="C15" s="2" t="s">
        <v>38</v>
      </c>
      <c r="D15" s="2" t="s">
        <v>39</v>
      </c>
      <c r="E15" s="2"/>
      <c r="F15" s="18">
        <v>0</v>
      </c>
      <c r="G15" s="2"/>
      <c r="H15" s="8">
        <v>35.28</v>
      </c>
      <c r="I15" s="14"/>
      <c r="J15" s="8">
        <f t="shared" si="0"/>
        <v>0</v>
      </c>
      <c r="M15" s="30" t="str">
        <f t="shared" si="1"/>
        <v>-</v>
      </c>
      <c r="N15" s="30" t="str">
        <f t="shared" si="2"/>
        <v>-</v>
      </c>
      <c r="O15" s="31" t="str">
        <f t="shared" si="3"/>
        <v>-</v>
      </c>
      <c r="P15" s="32" t="str">
        <f t="shared" si="4"/>
        <v>-</v>
      </c>
      <c r="R15" s="32" t="str">
        <f t="shared" si="5"/>
        <v>-</v>
      </c>
    </row>
    <row r="16" spans="1:18" x14ac:dyDescent="0.3">
      <c r="A16" s="2" t="s">
        <v>40</v>
      </c>
      <c r="B16" s="3" t="s">
        <v>1054</v>
      </c>
      <c r="C16" s="2" t="s">
        <v>41</v>
      </c>
      <c r="D16" s="2" t="s">
        <v>42</v>
      </c>
      <c r="E16" s="2"/>
      <c r="F16" s="18">
        <v>0</v>
      </c>
      <c r="G16" s="2"/>
      <c r="H16" s="8">
        <v>30.96</v>
      </c>
      <c r="I16" s="14"/>
      <c r="J16" s="8">
        <f t="shared" si="0"/>
        <v>0</v>
      </c>
      <c r="M16" s="30" t="str">
        <f t="shared" si="1"/>
        <v>-</v>
      </c>
      <c r="N16" s="30" t="str">
        <f t="shared" si="2"/>
        <v>-</v>
      </c>
      <c r="O16" s="31" t="str">
        <f t="shared" si="3"/>
        <v>-</v>
      </c>
      <c r="P16" s="32" t="str">
        <f t="shared" si="4"/>
        <v>-</v>
      </c>
      <c r="R16" s="32" t="str">
        <f t="shared" si="5"/>
        <v>-</v>
      </c>
    </row>
    <row r="17" spans="1:18" x14ac:dyDescent="0.3">
      <c r="A17" s="2" t="s">
        <v>43</v>
      </c>
      <c r="B17" s="3" t="s">
        <v>1051</v>
      </c>
      <c r="C17" s="2" t="s">
        <v>41</v>
      </c>
      <c r="D17" s="2" t="s">
        <v>44</v>
      </c>
      <c r="E17" s="2"/>
      <c r="F17" s="18">
        <v>0</v>
      </c>
      <c r="G17" s="2"/>
      <c r="H17" s="8">
        <v>55.800000000000004</v>
      </c>
      <c r="I17" s="14"/>
      <c r="J17" s="8">
        <f t="shared" si="0"/>
        <v>0</v>
      </c>
      <c r="M17" s="30" t="str">
        <f t="shared" si="1"/>
        <v>-</v>
      </c>
      <c r="N17" s="30" t="str">
        <f t="shared" si="2"/>
        <v>-</v>
      </c>
      <c r="O17" s="31" t="str">
        <f t="shared" si="3"/>
        <v>-</v>
      </c>
      <c r="P17" s="32" t="str">
        <f t="shared" si="4"/>
        <v>-</v>
      </c>
      <c r="R17" s="32" t="str">
        <f t="shared" si="5"/>
        <v>-</v>
      </c>
    </row>
    <row r="18" spans="1:18" x14ac:dyDescent="0.3">
      <c r="A18" s="2" t="s">
        <v>45</v>
      </c>
      <c r="B18" s="3" t="s">
        <v>1055</v>
      </c>
      <c r="C18" s="2" t="s">
        <v>46</v>
      </c>
      <c r="D18" s="2" t="s">
        <v>47</v>
      </c>
      <c r="E18" s="2"/>
      <c r="F18" s="18">
        <v>0</v>
      </c>
      <c r="G18" s="2"/>
      <c r="H18" s="8">
        <v>19.440000000000001</v>
      </c>
      <c r="I18" s="14"/>
      <c r="J18" s="8">
        <f t="shared" si="0"/>
        <v>0</v>
      </c>
      <c r="M18" s="30" t="str">
        <f t="shared" si="1"/>
        <v>-</v>
      </c>
      <c r="N18" s="30" t="str">
        <f t="shared" si="2"/>
        <v>-</v>
      </c>
      <c r="O18" s="31" t="str">
        <f t="shared" si="3"/>
        <v>-</v>
      </c>
      <c r="P18" s="32" t="str">
        <f t="shared" si="4"/>
        <v>-</v>
      </c>
      <c r="R18" s="32" t="str">
        <f t="shared" si="5"/>
        <v>-</v>
      </c>
    </row>
    <row r="19" spans="1:18" x14ac:dyDescent="0.3">
      <c r="A19" s="2" t="s">
        <v>48</v>
      </c>
      <c r="B19" s="3" t="s">
        <v>1056</v>
      </c>
      <c r="C19" s="2" t="s">
        <v>46</v>
      </c>
      <c r="D19" s="2" t="s">
        <v>49</v>
      </c>
      <c r="E19" s="2"/>
      <c r="F19" s="18">
        <v>0</v>
      </c>
      <c r="G19" s="2"/>
      <c r="H19" s="8">
        <v>33.480000000000004</v>
      </c>
      <c r="I19" s="14"/>
      <c r="J19" s="8">
        <f t="shared" si="0"/>
        <v>0</v>
      </c>
      <c r="M19" s="30" t="str">
        <f t="shared" si="1"/>
        <v>-</v>
      </c>
      <c r="N19" s="30" t="str">
        <f t="shared" si="2"/>
        <v>-</v>
      </c>
      <c r="O19" s="31" t="str">
        <f t="shared" si="3"/>
        <v>-</v>
      </c>
      <c r="P19" s="32" t="str">
        <f t="shared" si="4"/>
        <v>-</v>
      </c>
      <c r="R19" s="32" t="str">
        <f t="shared" si="5"/>
        <v>-</v>
      </c>
    </row>
    <row r="20" spans="1:18" x14ac:dyDescent="0.3">
      <c r="A20" s="2" t="s">
        <v>50</v>
      </c>
      <c r="B20" s="3" t="s">
        <v>1055</v>
      </c>
      <c r="C20" s="2" t="s">
        <v>51</v>
      </c>
      <c r="D20" s="2" t="s">
        <v>52</v>
      </c>
      <c r="E20" s="2"/>
      <c r="F20" s="18">
        <v>0</v>
      </c>
      <c r="G20" s="2"/>
      <c r="H20" s="8">
        <v>31.680000000000003</v>
      </c>
      <c r="I20" s="14"/>
      <c r="J20" s="8">
        <f t="shared" si="0"/>
        <v>0</v>
      </c>
      <c r="M20" s="30" t="str">
        <f t="shared" si="1"/>
        <v>-</v>
      </c>
      <c r="N20" s="30" t="str">
        <f t="shared" si="2"/>
        <v>-</v>
      </c>
      <c r="O20" s="31" t="str">
        <f t="shared" si="3"/>
        <v>-</v>
      </c>
      <c r="P20" s="32" t="str">
        <f t="shared" si="4"/>
        <v>-</v>
      </c>
      <c r="R20" s="32" t="str">
        <f t="shared" si="5"/>
        <v>-</v>
      </c>
    </row>
    <row r="21" spans="1:18" x14ac:dyDescent="0.3">
      <c r="A21" s="2" t="s">
        <v>53</v>
      </c>
      <c r="B21" s="3" t="s">
        <v>1056</v>
      </c>
      <c r="C21" s="2" t="s">
        <v>51</v>
      </c>
      <c r="D21" s="2" t="s">
        <v>54</v>
      </c>
      <c r="E21" s="2"/>
      <c r="F21" s="18">
        <v>0.14000000000000001</v>
      </c>
      <c r="G21" s="2"/>
      <c r="H21" s="8">
        <v>57.960000000000008</v>
      </c>
      <c r="I21" s="14"/>
      <c r="J21" s="8">
        <f t="shared" si="0"/>
        <v>0</v>
      </c>
      <c r="M21" s="30" t="str">
        <f t="shared" si="1"/>
        <v>-</v>
      </c>
      <c r="N21" s="30" t="str">
        <f t="shared" si="2"/>
        <v>-</v>
      </c>
      <c r="O21" s="31" t="str">
        <f t="shared" si="3"/>
        <v>-</v>
      </c>
      <c r="P21" s="32" t="str">
        <f t="shared" si="4"/>
        <v>-</v>
      </c>
      <c r="R21" s="32" t="str">
        <f t="shared" si="5"/>
        <v>-</v>
      </c>
    </row>
    <row r="22" spans="1:18" x14ac:dyDescent="0.3">
      <c r="A22" s="2" t="s">
        <v>55</v>
      </c>
      <c r="B22" s="3" t="s">
        <v>1056</v>
      </c>
      <c r="C22" s="2" t="s">
        <v>56</v>
      </c>
      <c r="D22" s="2" t="s">
        <v>57</v>
      </c>
      <c r="E22" s="2"/>
      <c r="F22" s="18">
        <v>0</v>
      </c>
      <c r="G22" s="2"/>
      <c r="H22" s="8">
        <v>56.52</v>
      </c>
      <c r="I22" s="14"/>
      <c r="J22" s="8">
        <f t="shared" si="0"/>
        <v>0</v>
      </c>
      <c r="M22" s="30" t="str">
        <f t="shared" si="1"/>
        <v>-</v>
      </c>
      <c r="N22" s="30" t="str">
        <f t="shared" si="2"/>
        <v>-</v>
      </c>
      <c r="O22" s="31" t="str">
        <f t="shared" si="3"/>
        <v>-</v>
      </c>
      <c r="P22" s="32" t="str">
        <f t="shared" si="4"/>
        <v>-</v>
      </c>
      <c r="R22" s="32" t="str">
        <f t="shared" si="5"/>
        <v>-</v>
      </c>
    </row>
    <row r="23" spans="1:18" x14ac:dyDescent="0.3">
      <c r="A23" s="2" t="s">
        <v>58</v>
      </c>
      <c r="B23" s="3" t="s">
        <v>1056</v>
      </c>
      <c r="C23" s="2" t="s">
        <v>59</v>
      </c>
      <c r="D23" s="2" t="s">
        <v>60</v>
      </c>
      <c r="E23" s="2"/>
      <c r="F23" s="18">
        <v>0</v>
      </c>
      <c r="G23" s="2"/>
      <c r="H23" s="8">
        <v>42.480000000000004</v>
      </c>
      <c r="I23" s="14"/>
      <c r="J23" s="8">
        <f t="shared" si="0"/>
        <v>0</v>
      </c>
      <c r="M23" s="30" t="str">
        <f t="shared" si="1"/>
        <v>-</v>
      </c>
      <c r="N23" s="30" t="str">
        <f t="shared" si="2"/>
        <v>-</v>
      </c>
      <c r="O23" s="31" t="str">
        <f t="shared" si="3"/>
        <v>-</v>
      </c>
      <c r="P23" s="32" t="str">
        <f t="shared" si="4"/>
        <v>-</v>
      </c>
      <c r="R23" s="32" t="str">
        <f t="shared" si="5"/>
        <v>-</v>
      </c>
    </row>
    <row r="24" spans="1:18" x14ac:dyDescent="0.3">
      <c r="A24" s="2" t="s">
        <v>61</v>
      </c>
      <c r="B24" s="3" t="s">
        <v>1058</v>
      </c>
      <c r="C24" s="3" t="s">
        <v>1057</v>
      </c>
      <c r="D24" s="2" t="s">
        <v>62</v>
      </c>
      <c r="E24" s="2"/>
      <c r="F24" s="18">
        <v>0</v>
      </c>
      <c r="G24" s="2"/>
      <c r="H24" s="8">
        <v>63.72</v>
      </c>
      <c r="I24" s="14"/>
      <c r="J24" s="8">
        <f t="shared" si="0"/>
        <v>0</v>
      </c>
      <c r="M24" s="30" t="str">
        <f t="shared" si="1"/>
        <v>-</v>
      </c>
      <c r="N24" s="30" t="str">
        <f t="shared" si="2"/>
        <v>-</v>
      </c>
      <c r="O24" s="31" t="str">
        <f t="shared" si="3"/>
        <v>-</v>
      </c>
      <c r="P24" s="32" t="str">
        <f t="shared" si="4"/>
        <v>-</v>
      </c>
      <c r="R24" s="32" t="str">
        <f t="shared" si="5"/>
        <v>-</v>
      </c>
    </row>
    <row r="25" spans="1:18" x14ac:dyDescent="0.3">
      <c r="A25" s="2" t="s">
        <v>63</v>
      </c>
      <c r="B25" s="3" t="s">
        <v>1059</v>
      </c>
      <c r="C25" s="3" t="s">
        <v>1060</v>
      </c>
      <c r="D25" s="2" t="s">
        <v>64</v>
      </c>
      <c r="E25" s="2"/>
      <c r="F25" s="18">
        <v>0</v>
      </c>
      <c r="G25" s="2"/>
      <c r="H25" s="8">
        <v>63.72</v>
      </c>
      <c r="I25" s="14"/>
      <c r="J25" s="8">
        <f t="shared" si="0"/>
        <v>0</v>
      </c>
      <c r="M25" s="30" t="str">
        <f t="shared" si="1"/>
        <v>-</v>
      </c>
      <c r="N25" s="30" t="str">
        <f t="shared" si="2"/>
        <v>-</v>
      </c>
      <c r="O25" s="31" t="str">
        <f t="shared" si="3"/>
        <v>-</v>
      </c>
      <c r="P25" s="32" t="str">
        <f t="shared" si="4"/>
        <v>-</v>
      </c>
      <c r="R25" s="32" t="str">
        <f t="shared" si="5"/>
        <v>-</v>
      </c>
    </row>
    <row r="26" spans="1:18" x14ac:dyDescent="0.3">
      <c r="A26" s="2" t="s">
        <v>65</v>
      </c>
      <c r="B26" s="3" t="s">
        <v>1050</v>
      </c>
      <c r="C26" s="2" t="s">
        <v>66</v>
      </c>
      <c r="D26" s="2" t="s">
        <v>67</v>
      </c>
      <c r="E26" s="2"/>
      <c r="F26" s="18">
        <v>0</v>
      </c>
      <c r="G26" s="2"/>
      <c r="H26" s="8">
        <v>26.985599999999998</v>
      </c>
      <c r="I26" s="14"/>
      <c r="J26" s="8">
        <f t="shared" si="0"/>
        <v>0</v>
      </c>
      <c r="M26" s="30" t="str">
        <f t="shared" si="1"/>
        <v>-</v>
      </c>
      <c r="N26" s="30" t="str">
        <f t="shared" si="2"/>
        <v>-</v>
      </c>
      <c r="O26" s="31" t="str">
        <f t="shared" si="3"/>
        <v>-</v>
      </c>
      <c r="P26" s="32" t="str">
        <f t="shared" si="4"/>
        <v>-</v>
      </c>
      <c r="R26" s="32" t="str">
        <f t="shared" si="5"/>
        <v>-</v>
      </c>
    </row>
    <row r="27" spans="1:18" x14ac:dyDescent="0.3">
      <c r="A27" s="2" t="s">
        <v>68</v>
      </c>
      <c r="B27" s="3" t="s">
        <v>1050</v>
      </c>
      <c r="C27" s="2" t="s">
        <v>69</v>
      </c>
      <c r="D27" s="2" t="s">
        <v>70</v>
      </c>
      <c r="E27" s="2"/>
      <c r="F27" s="18">
        <v>0</v>
      </c>
      <c r="G27" s="2"/>
      <c r="H27" s="8">
        <v>38.160000000000004</v>
      </c>
      <c r="I27" s="14"/>
      <c r="J27" s="8">
        <f t="shared" si="0"/>
        <v>0</v>
      </c>
      <c r="M27" s="30" t="str">
        <f t="shared" si="1"/>
        <v>-</v>
      </c>
      <c r="N27" s="30" t="str">
        <f t="shared" si="2"/>
        <v>-</v>
      </c>
      <c r="O27" s="31" t="str">
        <f t="shared" si="3"/>
        <v>-</v>
      </c>
      <c r="P27" s="32" t="str">
        <f t="shared" si="4"/>
        <v>-</v>
      </c>
      <c r="R27" s="32" t="str">
        <f t="shared" si="5"/>
        <v>-</v>
      </c>
    </row>
    <row r="28" spans="1:18" x14ac:dyDescent="0.3">
      <c r="A28" s="2" t="s">
        <v>71</v>
      </c>
      <c r="B28" s="3" t="s">
        <v>1050</v>
      </c>
      <c r="C28" s="2" t="s">
        <v>72</v>
      </c>
      <c r="D28" s="2" t="s">
        <v>73</v>
      </c>
      <c r="E28" s="2"/>
      <c r="F28" s="18">
        <v>0</v>
      </c>
      <c r="G28" s="2"/>
      <c r="H28" s="8">
        <v>57.24</v>
      </c>
      <c r="I28" s="14"/>
      <c r="J28" s="8">
        <f t="shared" si="0"/>
        <v>0</v>
      </c>
      <c r="M28" s="30" t="str">
        <f t="shared" si="1"/>
        <v>-</v>
      </c>
      <c r="N28" s="30" t="str">
        <f t="shared" si="2"/>
        <v>-</v>
      </c>
      <c r="O28" s="31" t="str">
        <f t="shared" si="3"/>
        <v>-</v>
      </c>
      <c r="P28" s="32" t="str">
        <f t="shared" si="4"/>
        <v>-</v>
      </c>
      <c r="R28" s="32" t="str">
        <f t="shared" si="5"/>
        <v>-</v>
      </c>
    </row>
    <row r="29" spans="1:18" x14ac:dyDescent="0.3">
      <c r="A29" s="2" t="s">
        <v>74</v>
      </c>
      <c r="B29" s="3" t="s">
        <v>1056</v>
      </c>
      <c r="C29" s="2" t="s">
        <v>75</v>
      </c>
      <c r="D29" s="2" t="s">
        <v>76</v>
      </c>
      <c r="E29" s="2"/>
      <c r="F29" s="18">
        <v>0</v>
      </c>
      <c r="G29" s="2"/>
      <c r="H29" s="8">
        <v>48.6</v>
      </c>
      <c r="I29" s="14"/>
      <c r="J29" s="8">
        <f t="shared" si="0"/>
        <v>0</v>
      </c>
      <c r="M29" s="30" t="str">
        <f t="shared" si="1"/>
        <v>-</v>
      </c>
      <c r="N29" s="30" t="str">
        <f t="shared" si="2"/>
        <v>-</v>
      </c>
      <c r="O29" s="31" t="str">
        <f t="shared" si="3"/>
        <v>-</v>
      </c>
      <c r="P29" s="32" t="str">
        <f t="shared" si="4"/>
        <v>-</v>
      </c>
      <c r="R29" s="32" t="str">
        <f t="shared" si="5"/>
        <v>-</v>
      </c>
    </row>
    <row r="30" spans="1:18" x14ac:dyDescent="0.3">
      <c r="A30" s="2" t="s">
        <v>77</v>
      </c>
      <c r="B30" s="3" t="s">
        <v>1056</v>
      </c>
      <c r="C30" s="2" t="s">
        <v>78</v>
      </c>
      <c r="D30" s="2" t="s">
        <v>79</v>
      </c>
      <c r="E30" s="2"/>
      <c r="F30" s="18">
        <v>0</v>
      </c>
      <c r="G30" s="2"/>
      <c r="H30" s="8">
        <v>42.84</v>
      </c>
      <c r="I30" s="14"/>
      <c r="J30" s="8">
        <f t="shared" si="0"/>
        <v>0</v>
      </c>
      <c r="M30" s="30" t="str">
        <f t="shared" si="1"/>
        <v>-</v>
      </c>
      <c r="N30" s="30" t="str">
        <f t="shared" si="2"/>
        <v>-</v>
      </c>
      <c r="O30" s="31" t="str">
        <f t="shared" si="3"/>
        <v>-</v>
      </c>
      <c r="P30" s="32" t="str">
        <f t="shared" si="4"/>
        <v>-</v>
      </c>
      <c r="R30" s="32" t="str">
        <f t="shared" si="5"/>
        <v>-</v>
      </c>
    </row>
    <row r="31" spans="1:18" x14ac:dyDescent="0.3">
      <c r="A31" s="2" t="s">
        <v>80</v>
      </c>
      <c r="B31" s="3" t="s">
        <v>1054</v>
      </c>
      <c r="C31" s="2" t="s">
        <v>81</v>
      </c>
      <c r="D31" s="2" t="s">
        <v>82</v>
      </c>
      <c r="E31" s="2"/>
      <c r="F31" s="18">
        <v>0</v>
      </c>
      <c r="G31" s="2"/>
      <c r="H31" s="8">
        <v>28.080000000000002</v>
      </c>
      <c r="I31" s="14"/>
      <c r="J31" s="8">
        <f t="shared" si="0"/>
        <v>0</v>
      </c>
      <c r="M31" s="30" t="str">
        <f t="shared" si="1"/>
        <v>-</v>
      </c>
      <c r="N31" s="30" t="str">
        <f t="shared" si="2"/>
        <v>-</v>
      </c>
      <c r="O31" s="31" t="str">
        <f t="shared" si="3"/>
        <v>-</v>
      </c>
      <c r="P31" s="32" t="str">
        <f t="shared" si="4"/>
        <v>-</v>
      </c>
      <c r="R31" s="32" t="str">
        <f t="shared" si="5"/>
        <v>-</v>
      </c>
    </row>
    <row r="32" spans="1:18" x14ac:dyDescent="0.3">
      <c r="A32" s="2" t="s">
        <v>83</v>
      </c>
      <c r="B32" s="3" t="s">
        <v>1064</v>
      </c>
      <c r="C32" s="3" t="s">
        <v>84</v>
      </c>
      <c r="D32" s="2" t="s">
        <v>85</v>
      </c>
      <c r="E32" s="2"/>
      <c r="F32" s="18">
        <v>0</v>
      </c>
      <c r="G32" s="2"/>
      <c r="H32" s="8">
        <v>46.080000000000005</v>
      </c>
      <c r="I32" s="14"/>
      <c r="J32" s="8">
        <f t="shared" si="0"/>
        <v>0</v>
      </c>
      <c r="M32" s="30" t="str">
        <f t="shared" si="1"/>
        <v>-</v>
      </c>
      <c r="N32" s="30" t="str">
        <f t="shared" si="2"/>
        <v>-</v>
      </c>
      <c r="O32" s="31" t="str">
        <f t="shared" si="3"/>
        <v>-</v>
      </c>
      <c r="P32" s="32" t="str">
        <f t="shared" si="4"/>
        <v>-</v>
      </c>
      <c r="R32" s="32" t="str">
        <f t="shared" si="5"/>
        <v>-</v>
      </c>
    </row>
    <row r="33" spans="1:18" x14ac:dyDescent="0.3">
      <c r="A33" s="2" t="s">
        <v>86</v>
      </c>
      <c r="B33" s="3" t="s">
        <v>1053</v>
      </c>
      <c r="C33" s="2" t="s">
        <v>87</v>
      </c>
      <c r="D33" s="2" t="s">
        <v>88</v>
      </c>
      <c r="E33" s="2"/>
      <c r="F33" s="18">
        <v>0.19</v>
      </c>
      <c r="G33" s="2"/>
      <c r="H33" s="8">
        <v>34.560000000000009</v>
      </c>
      <c r="I33" s="14"/>
      <c r="J33" s="8">
        <f t="shared" si="0"/>
        <v>0</v>
      </c>
      <c r="M33" s="30" t="str">
        <f t="shared" si="1"/>
        <v>-</v>
      </c>
      <c r="N33" s="30" t="str">
        <f t="shared" si="2"/>
        <v>-</v>
      </c>
      <c r="O33" s="31" t="str">
        <f t="shared" si="3"/>
        <v>-</v>
      </c>
      <c r="P33" s="32" t="str">
        <f t="shared" si="4"/>
        <v>-</v>
      </c>
      <c r="R33" s="32" t="str">
        <f t="shared" si="5"/>
        <v>-</v>
      </c>
    </row>
    <row r="34" spans="1:18" x14ac:dyDescent="0.3">
      <c r="A34" s="2" t="s">
        <v>89</v>
      </c>
      <c r="B34" s="3" t="s">
        <v>1053</v>
      </c>
      <c r="C34" s="2" t="s">
        <v>90</v>
      </c>
      <c r="D34" s="2" t="s">
        <v>91</v>
      </c>
      <c r="E34" s="2"/>
      <c r="F34" s="18">
        <v>0</v>
      </c>
      <c r="G34" s="2"/>
      <c r="H34" s="8">
        <v>36.360000000000007</v>
      </c>
      <c r="I34" s="14"/>
      <c r="J34" s="8">
        <f t="shared" si="0"/>
        <v>0</v>
      </c>
      <c r="M34" s="30" t="str">
        <f t="shared" si="1"/>
        <v>-</v>
      </c>
      <c r="N34" s="30" t="str">
        <f t="shared" si="2"/>
        <v>-</v>
      </c>
      <c r="O34" s="31" t="str">
        <f t="shared" si="3"/>
        <v>-</v>
      </c>
      <c r="P34" s="32" t="str">
        <f t="shared" si="4"/>
        <v>-</v>
      </c>
      <c r="R34" s="32" t="str">
        <f t="shared" si="5"/>
        <v>-</v>
      </c>
    </row>
    <row r="35" spans="1:18" x14ac:dyDescent="0.3">
      <c r="A35" s="2" t="s">
        <v>92</v>
      </c>
      <c r="B35" s="3" t="s">
        <v>1065</v>
      </c>
      <c r="C35" s="2" t="s">
        <v>93</v>
      </c>
      <c r="D35" s="2" t="s">
        <v>94</v>
      </c>
      <c r="E35" s="2"/>
      <c r="F35" s="18">
        <v>0</v>
      </c>
      <c r="G35" s="2"/>
      <c r="H35" s="8">
        <v>52.905600000000007</v>
      </c>
      <c r="I35" s="14"/>
      <c r="J35" s="8">
        <f t="shared" si="0"/>
        <v>0</v>
      </c>
      <c r="M35" s="30" t="str">
        <f t="shared" si="1"/>
        <v>-</v>
      </c>
      <c r="N35" s="30" t="str">
        <f t="shared" si="2"/>
        <v>-</v>
      </c>
      <c r="O35" s="31" t="str">
        <f t="shared" si="3"/>
        <v>-</v>
      </c>
      <c r="P35" s="32" t="str">
        <f t="shared" si="4"/>
        <v>-</v>
      </c>
      <c r="R35" s="32" t="str">
        <f t="shared" si="5"/>
        <v>-</v>
      </c>
    </row>
    <row r="36" spans="1:18" x14ac:dyDescent="0.3">
      <c r="A36" s="2" t="s">
        <v>95</v>
      </c>
      <c r="B36" s="3" t="s">
        <v>1050</v>
      </c>
      <c r="C36" s="2" t="s">
        <v>96</v>
      </c>
      <c r="D36" s="2" t="s">
        <v>97</v>
      </c>
      <c r="E36" s="2"/>
      <c r="F36" s="18">
        <v>0</v>
      </c>
      <c r="G36" s="2"/>
      <c r="H36" s="8">
        <v>25.2</v>
      </c>
      <c r="I36" s="14"/>
      <c r="J36" s="8">
        <f t="shared" si="0"/>
        <v>0</v>
      </c>
      <c r="M36" s="30" t="str">
        <f t="shared" si="1"/>
        <v>-</v>
      </c>
      <c r="N36" s="30" t="str">
        <f t="shared" si="2"/>
        <v>-</v>
      </c>
      <c r="O36" s="31" t="str">
        <f t="shared" si="3"/>
        <v>-</v>
      </c>
      <c r="P36" s="32" t="str">
        <f t="shared" si="4"/>
        <v>-</v>
      </c>
      <c r="R36" s="32" t="str">
        <f t="shared" si="5"/>
        <v>-</v>
      </c>
    </row>
    <row r="37" spans="1:18" x14ac:dyDescent="0.3">
      <c r="A37" s="2" t="s">
        <v>98</v>
      </c>
      <c r="B37" s="3" t="s">
        <v>1054</v>
      </c>
      <c r="C37" s="2" t="s">
        <v>99</v>
      </c>
      <c r="D37" s="2" t="s">
        <v>100</v>
      </c>
      <c r="E37" s="2"/>
      <c r="F37" s="18">
        <v>0</v>
      </c>
      <c r="G37" s="2"/>
      <c r="H37" s="8">
        <v>66.240000000000009</v>
      </c>
      <c r="I37" s="14"/>
      <c r="J37" s="8">
        <f t="shared" si="0"/>
        <v>0</v>
      </c>
      <c r="M37" s="30" t="str">
        <f t="shared" si="1"/>
        <v>-</v>
      </c>
      <c r="N37" s="30" t="str">
        <f t="shared" si="2"/>
        <v>-</v>
      </c>
      <c r="O37" s="31" t="str">
        <f t="shared" si="3"/>
        <v>-</v>
      </c>
      <c r="P37" s="32" t="str">
        <f t="shared" si="4"/>
        <v>-</v>
      </c>
      <c r="R37" s="32" t="str">
        <f t="shared" si="5"/>
        <v>-</v>
      </c>
    </row>
    <row r="38" spans="1:18" x14ac:dyDescent="0.3">
      <c r="A38" s="2" t="s">
        <v>101</v>
      </c>
      <c r="B38" s="3" t="s">
        <v>1053</v>
      </c>
      <c r="C38" s="2" t="s">
        <v>102</v>
      </c>
      <c r="D38" s="2" t="s">
        <v>103</v>
      </c>
      <c r="E38" s="2"/>
      <c r="F38" s="18">
        <v>0</v>
      </c>
      <c r="G38" s="2"/>
      <c r="H38" s="8">
        <v>43.847999999999999</v>
      </c>
      <c r="I38" s="14"/>
      <c r="J38" s="8">
        <f t="shared" si="0"/>
        <v>0</v>
      </c>
      <c r="M38" s="30" t="str">
        <f t="shared" si="1"/>
        <v>-</v>
      </c>
      <c r="N38" s="30" t="str">
        <f t="shared" si="2"/>
        <v>-</v>
      </c>
      <c r="O38" s="31" t="str">
        <f t="shared" si="3"/>
        <v>-</v>
      </c>
      <c r="P38" s="32" t="str">
        <f t="shared" si="4"/>
        <v>-</v>
      </c>
      <c r="R38" s="32" t="str">
        <f t="shared" si="5"/>
        <v>-</v>
      </c>
    </row>
    <row r="39" spans="1:18" x14ac:dyDescent="0.3">
      <c r="A39" s="2" t="s">
        <v>104</v>
      </c>
      <c r="B39" s="3" t="s">
        <v>1053</v>
      </c>
      <c r="C39" s="2" t="s">
        <v>105</v>
      </c>
      <c r="D39" s="2" t="s">
        <v>106</v>
      </c>
      <c r="E39" s="2"/>
      <c r="F39" s="18">
        <v>0</v>
      </c>
      <c r="G39" s="2"/>
      <c r="H39" s="8">
        <v>34.560000000000009</v>
      </c>
      <c r="I39" s="14"/>
      <c r="J39" s="8">
        <f t="shared" si="0"/>
        <v>0</v>
      </c>
      <c r="M39" s="30" t="str">
        <f t="shared" si="1"/>
        <v>-</v>
      </c>
      <c r="N39" s="30" t="str">
        <f t="shared" si="2"/>
        <v>-</v>
      </c>
      <c r="O39" s="31" t="str">
        <f t="shared" si="3"/>
        <v>-</v>
      </c>
      <c r="P39" s="32" t="str">
        <f t="shared" si="4"/>
        <v>-</v>
      </c>
      <c r="R39" s="32" t="str">
        <f t="shared" si="5"/>
        <v>-</v>
      </c>
    </row>
    <row r="40" spans="1:18" x14ac:dyDescent="0.3">
      <c r="A40" s="2" t="s">
        <v>107</v>
      </c>
      <c r="B40" s="3" t="s">
        <v>1053</v>
      </c>
      <c r="C40" s="2" t="s">
        <v>108</v>
      </c>
      <c r="D40" s="2" t="s">
        <v>109</v>
      </c>
      <c r="E40" s="2"/>
      <c r="F40" s="18">
        <v>0.19</v>
      </c>
      <c r="G40" s="2"/>
      <c r="H40" s="8">
        <v>19.080000000000002</v>
      </c>
      <c r="I40" s="14"/>
      <c r="J40" s="8">
        <f t="shared" si="0"/>
        <v>0</v>
      </c>
      <c r="M40" s="30" t="str">
        <f t="shared" si="1"/>
        <v>-</v>
      </c>
      <c r="N40" s="30" t="str">
        <f t="shared" si="2"/>
        <v>-</v>
      </c>
      <c r="O40" s="31" t="str">
        <f t="shared" si="3"/>
        <v>-</v>
      </c>
      <c r="P40" s="32" t="str">
        <f t="shared" si="4"/>
        <v>-</v>
      </c>
      <c r="R40" s="32" t="str">
        <f t="shared" si="5"/>
        <v>-</v>
      </c>
    </row>
    <row r="41" spans="1:18" x14ac:dyDescent="0.3">
      <c r="A41" s="2" t="s">
        <v>110</v>
      </c>
      <c r="B41" s="3" t="s">
        <v>1050</v>
      </c>
      <c r="C41" s="2" t="s">
        <v>108</v>
      </c>
      <c r="D41" s="2" t="s">
        <v>111</v>
      </c>
      <c r="E41" s="2"/>
      <c r="F41" s="18">
        <v>0</v>
      </c>
      <c r="G41" s="2"/>
      <c r="H41" s="8">
        <v>33.480000000000004</v>
      </c>
      <c r="I41" s="14"/>
      <c r="J41" s="8">
        <f t="shared" si="0"/>
        <v>0</v>
      </c>
      <c r="M41" s="30" t="str">
        <f t="shared" si="1"/>
        <v>-</v>
      </c>
      <c r="N41" s="30" t="str">
        <f t="shared" si="2"/>
        <v>-</v>
      </c>
      <c r="O41" s="31" t="str">
        <f t="shared" si="3"/>
        <v>-</v>
      </c>
      <c r="P41" s="32" t="str">
        <f t="shared" si="4"/>
        <v>-</v>
      </c>
      <c r="R41" s="32" t="str">
        <f t="shared" si="5"/>
        <v>-</v>
      </c>
    </row>
    <row r="42" spans="1:18" x14ac:dyDescent="0.3">
      <c r="A42" s="2" t="s">
        <v>112</v>
      </c>
      <c r="B42" s="3" t="s">
        <v>1050</v>
      </c>
      <c r="C42" s="2" t="s">
        <v>113</v>
      </c>
      <c r="D42" s="2" t="s">
        <v>114</v>
      </c>
      <c r="E42" s="2"/>
      <c r="F42" s="18">
        <v>0</v>
      </c>
      <c r="G42" s="2"/>
      <c r="H42" s="8">
        <v>98.640000000000015</v>
      </c>
      <c r="I42" s="14"/>
      <c r="J42" s="8">
        <f t="shared" si="0"/>
        <v>0</v>
      </c>
      <c r="M42" s="30" t="str">
        <f t="shared" si="1"/>
        <v>-</v>
      </c>
      <c r="N42" s="30" t="str">
        <f t="shared" si="2"/>
        <v>-</v>
      </c>
      <c r="O42" s="31" t="str">
        <f t="shared" si="3"/>
        <v>-</v>
      </c>
      <c r="P42" s="32" t="str">
        <f t="shared" si="4"/>
        <v>-</v>
      </c>
      <c r="R42" s="32" t="str">
        <f t="shared" si="5"/>
        <v>-</v>
      </c>
    </row>
    <row r="43" spans="1:18" x14ac:dyDescent="0.3">
      <c r="A43" s="2" t="s">
        <v>115</v>
      </c>
      <c r="B43" s="3" t="s">
        <v>1053</v>
      </c>
      <c r="C43" s="2" t="s">
        <v>113</v>
      </c>
      <c r="D43" s="2" t="s">
        <v>116</v>
      </c>
      <c r="E43" s="2"/>
      <c r="F43" s="18">
        <v>0</v>
      </c>
      <c r="G43" s="2"/>
      <c r="H43" s="8">
        <v>56.160000000000004</v>
      </c>
      <c r="I43" s="14"/>
      <c r="J43" s="8">
        <f t="shared" si="0"/>
        <v>0</v>
      </c>
      <c r="M43" s="30" t="str">
        <f t="shared" si="1"/>
        <v>-</v>
      </c>
      <c r="N43" s="30" t="str">
        <f t="shared" si="2"/>
        <v>-</v>
      </c>
      <c r="O43" s="31" t="str">
        <f t="shared" si="3"/>
        <v>-</v>
      </c>
      <c r="P43" s="32" t="str">
        <f t="shared" si="4"/>
        <v>-</v>
      </c>
      <c r="R43" s="32" t="str">
        <f t="shared" si="5"/>
        <v>-</v>
      </c>
    </row>
    <row r="44" spans="1:18" x14ac:dyDescent="0.3">
      <c r="A44" s="2" t="s">
        <v>117</v>
      </c>
      <c r="B44" s="3" t="s">
        <v>1053</v>
      </c>
      <c r="C44" s="2" t="s">
        <v>118</v>
      </c>
      <c r="D44" s="2" t="s">
        <v>119</v>
      </c>
      <c r="E44" s="2"/>
      <c r="F44" s="18">
        <v>0</v>
      </c>
      <c r="G44" s="2"/>
      <c r="H44" s="8">
        <v>37.440000000000005</v>
      </c>
      <c r="I44" s="14"/>
      <c r="J44" s="8">
        <f t="shared" si="0"/>
        <v>0</v>
      </c>
      <c r="M44" s="30" t="str">
        <f t="shared" si="1"/>
        <v>-</v>
      </c>
      <c r="N44" s="30" t="str">
        <f t="shared" si="2"/>
        <v>-</v>
      </c>
      <c r="O44" s="31" t="str">
        <f t="shared" si="3"/>
        <v>-</v>
      </c>
      <c r="P44" s="32" t="str">
        <f t="shared" si="4"/>
        <v>-</v>
      </c>
      <c r="R44" s="32" t="str">
        <f t="shared" si="5"/>
        <v>-</v>
      </c>
    </row>
    <row r="45" spans="1:18" x14ac:dyDescent="0.3">
      <c r="A45" s="2" t="s">
        <v>120</v>
      </c>
      <c r="B45" s="3" t="s">
        <v>1054</v>
      </c>
      <c r="C45" s="2" t="s">
        <v>121</v>
      </c>
      <c r="D45" s="2" t="s">
        <v>122</v>
      </c>
      <c r="E45" s="2"/>
      <c r="F45" s="18">
        <v>0</v>
      </c>
      <c r="G45" s="2"/>
      <c r="H45" s="8">
        <v>38.145600000000002</v>
      </c>
      <c r="I45" s="14"/>
      <c r="J45" s="8">
        <f t="shared" si="0"/>
        <v>0</v>
      </c>
      <c r="M45" s="30" t="str">
        <f t="shared" si="1"/>
        <v>-</v>
      </c>
      <c r="N45" s="30" t="str">
        <f t="shared" si="2"/>
        <v>-</v>
      </c>
      <c r="O45" s="31" t="str">
        <f t="shared" si="3"/>
        <v>-</v>
      </c>
      <c r="P45" s="32" t="str">
        <f t="shared" si="4"/>
        <v>-</v>
      </c>
      <c r="R45" s="32" t="str">
        <f t="shared" si="5"/>
        <v>-</v>
      </c>
    </row>
    <row r="46" spans="1:18" x14ac:dyDescent="0.3">
      <c r="A46" s="2" t="s">
        <v>123</v>
      </c>
      <c r="B46" s="3" t="s">
        <v>1051</v>
      </c>
      <c r="C46" s="2" t="s">
        <v>124</v>
      </c>
      <c r="D46" s="2" t="s">
        <v>125</v>
      </c>
      <c r="E46" s="2"/>
      <c r="F46" s="18">
        <v>0</v>
      </c>
      <c r="G46" s="2"/>
      <c r="H46" s="8">
        <v>34.560000000000009</v>
      </c>
      <c r="I46" s="14"/>
      <c r="J46" s="8">
        <f t="shared" si="0"/>
        <v>0</v>
      </c>
      <c r="M46" s="30" t="str">
        <f t="shared" si="1"/>
        <v>-</v>
      </c>
      <c r="N46" s="30" t="str">
        <f t="shared" si="2"/>
        <v>-</v>
      </c>
      <c r="O46" s="31" t="str">
        <f t="shared" si="3"/>
        <v>-</v>
      </c>
      <c r="P46" s="32" t="str">
        <f t="shared" si="4"/>
        <v>-</v>
      </c>
      <c r="R46" s="32" t="str">
        <f t="shared" si="5"/>
        <v>-</v>
      </c>
    </row>
    <row r="47" spans="1:18" x14ac:dyDescent="0.3">
      <c r="A47" s="2" t="s">
        <v>126</v>
      </c>
      <c r="B47" s="3" t="s">
        <v>1051</v>
      </c>
      <c r="C47" s="2" t="s">
        <v>127</v>
      </c>
      <c r="D47" s="2" t="s">
        <v>128</v>
      </c>
      <c r="E47" s="2"/>
      <c r="F47" s="18">
        <v>0</v>
      </c>
      <c r="G47" s="2"/>
      <c r="H47" s="8">
        <v>33.840000000000003</v>
      </c>
      <c r="I47" s="14"/>
      <c r="J47" s="8">
        <f t="shared" si="0"/>
        <v>0</v>
      </c>
      <c r="M47" s="30" t="str">
        <f t="shared" si="1"/>
        <v>-</v>
      </c>
      <c r="N47" s="30" t="str">
        <f t="shared" si="2"/>
        <v>-</v>
      </c>
      <c r="O47" s="31" t="str">
        <f t="shared" si="3"/>
        <v>-</v>
      </c>
      <c r="P47" s="32" t="str">
        <f t="shared" si="4"/>
        <v>-</v>
      </c>
      <c r="R47" s="32" t="str">
        <f t="shared" si="5"/>
        <v>-</v>
      </c>
    </row>
    <row r="48" spans="1:18" x14ac:dyDescent="0.3">
      <c r="A48" s="2" t="s">
        <v>129</v>
      </c>
      <c r="B48" s="3" t="s">
        <v>1067</v>
      </c>
      <c r="C48" s="2" t="s">
        <v>130</v>
      </c>
      <c r="D48" s="2" t="s">
        <v>131</v>
      </c>
      <c r="E48" s="2"/>
      <c r="F48" s="18">
        <v>0</v>
      </c>
      <c r="G48" s="2"/>
      <c r="H48" s="8">
        <v>27.720000000000002</v>
      </c>
      <c r="I48" s="14"/>
      <c r="J48" s="8">
        <f t="shared" si="0"/>
        <v>0</v>
      </c>
      <c r="M48" s="30" t="str">
        <f t="shared" si="1"/>
        <v>-</v>
      </c>
      <c r="N48" s="30" t="str">
        <f t="shared" si="2"/>
        <v>-</v>
      </c>
      <c r="O48" s="31" t="str">
        <f t="shared" si="3"/>
        <v>-</v>
      </c>
      <c r="P48" s="32" t="str">
        <f t="shared" si="4"/>
        <v>-</v>
      </c>
      <c r="R48" s="32" t="str">
        <f t="shared" si="5"/>
        <v>-</v>
      </c>
    </row>
    <row r="49" spans="1:18" x14ac:dyDescent="0.3">
      <c r="A49" s="2" t="s">
        <v>132</v>
      </c>
      <c r="B49" s="3" t="s">
        <v>1050</v>
      </c>
      <c r="C49" s="2" t="s">
        <v>133</v>
      </c>
      <c r="D49" s="2" t="s">
        <v>134</v>
      </c>
      <c r="E49" s="2"/>
      <c r="F49" s="18">
        <v>0</v>
      </c>
      <c r="G49" s="2"/>
      <c r="H49" s="8">
        <v>47.160000000000004</v>
      </c>
      <c r="I49" s="14"/>
      <c r="J49" s="8">
        <f t="shared" si="0"/>
        <v>0</v>
      </c>
      <c r="M49" s="30" t="str">
        <f t="shared" si="1"/>
        <v>-</v>
      </c>
      <c r="N49" s="30" t="str">
        <f t="shared" si="2"/>
        <v>-</v>
      </c>
      <c r="O49" s="31" t="str">
        <f t="shared" si="3"/>
        <v>-</v>
      </c>
      <c r="P49" s="32" t="str">
        <f t="shared" si="4"/>
        <v>-</v>
      </c>
      <c r="R49" s="32" t="str">
        <f t="shared" si="5"/>
        <v>-</v>
      </c>
    </row>
    <row r="50" spans="1:18" x14ac:dyDescent="0.3">
      <c r="A50" s="2" t="s">
        <v>135</v>
      </c>
      <c r="B50" s="3" t="s">
        <v>1053</v>
      </c>
      <c r="C50" s="2" t="s">
        <v>136</v>
      </c>
      <c r="D50" s="2" t="s">
        <v>137</v>
      </c>
      <c r="E50" s="2"/>
      <c r="F50" s="18">
        <v>0</v>
      </c>
      <c r="G50" s="2"/>
      <c r="H50" s="8">
        <v>29.16</v>
      </c>
      <c r="I50" s="14"/>
      <c r="J50" s="8">
        <f t="shared" si="0"/>
        <v>0</v>
      </c>
      <c r="M50" s="30" t="str">
        <f t="shared" si="1"/>
        <v>-</v>
      </c>
      <c r="N50" s="30" t="str">
        <f t="shared" si="2"/>
        <v>-</v>
      </c>
      <c r="O50" s="31" t="str">
        <f t="shared" si="3"/>
        <v>-</v>
      </c>
      <c r="P50" s="32" t="str">
        <f t="shared" si="4"/>
        <v>-</v>
      </c>
      <c r="R50" s="32" t="str">
        <f t="shared" si="5"/>
        <v>-</v>
      </c>
    </row>
    <row r="51" spans="1:18" x14ac:dyDescent="0.3">
      <c r="A51" s="2" t="s">
        <v>138</v>
      </c>
      <c r="B51" s="3" t="s">
        <v>1053</v>
      </c>
      <c r="C51" s="2" t="s">
        <v>139</v>
      </c>
      <c r="D51" s="2" t="s">
        <v>140</v>
      </c>
      <c r="E51" s="2"/>
      <c r="F51" s="18">
        <v>0</v>
      </c>
      <c r="G51" s="2"/>
      <c r="H51" s="8">
        <v>40.680000000000007</v>
      </c>
      <c r="I51" s="14"/>
      <c r="J51" s="8">
        <f t="shared" si="0"/>
        <v>0</v>
      </c>
      <c r="M51" s="30" t="str">
        <f t="shared" si="1"/>
        <v>-</v>
      </c>
      <c r="N51" s="30" t="str">
        <f t="shared" si="2"/>
        <v>-</v>
      </c>
      <c r="O51" s="31" t="str">
        <f t="shared" si="3"/>
        <v>-</v>
      </c>
      <c r="P51" s="32" t="str">
        <f t="shared" si="4"/>
        <v>-</v>
      </c>
      <c r="R51" s="32" t="str">
        <f t="shared" si="5"/>
        <v>-</v>
      </c>
    </row>
    <row r="52" spans="1:18" x14ac:dyDescent="0.3">
      <c r="A52" s="2" t="s">
        <v>141</v>
      </c>
      <c r="B52" s="3" t="s">
        <v>1050</v>
      </c>
      <c r="C52" s="2" t="s">
        <v>139</v>
      </c>
      <c r="D52" s="2" t="s">
        <v>142</v>
      </c>
      <c r="E52" s="2"/>
      <c r="F52" s="18">
        <v>0.43</v>
      </c>
      <c r="G52" s="2"/>
      <c r="H52" s="8">
        <v>74.88000000000001</v>
      </c>
      <c r="I52" s="14"/>
      <c r="J52" s="8">
        <f t="shared" si="0"/>
        <v>0</v>
      </c>
      <c r="M52" s="30" t="str">
        <f t="shared" si="1"/>
        <v>-</v>
      </c>
      <c r="N52" s="30" t="str">
        <f t="shared" si="2"/>
        <v>-</v>
      </c>
      <c r="O52" s="31" t="str">
        <f t="shared" si="3"/>
        <v>-</v>
      </c>
      <c r="P52" s="32" t="str">
        <f t="shared" si="4"/>
        <v>-</v>
      </c>
      <c r="R52" s="32" t="str">
        <f t="shared" si="5"/>
        <v>-</v>
      </c>
    </row>
    <row r="53" spans="1:18" x14ac:dyDescent="0.3">
      <c r="A53" s="2" t="s">
        <v>143</v>
      </c>
      <c r="B53" s="3" t="s">
        <v>1068</v>
      </c>
      <c r="C53" s="2" t="s">
        <v>144</v>
      </c>
      <c r="D53" s="2" t="s">
        <v>145</v>
      </c>
      <c r="E53" s="2"/>
      <c r="F53" s="18">
        <v>0</v>
      </c>
      <c r="G53" s="2"/>
      <c r="H53" s="8">
        <v>33.825599999999994</v>
      </c>
      <c r="I53" s="14"/>
      <c r="J53" s="8">
        <f t="shared" si="0"/>
        <v>0</v>
      </c>
      <c r="M53" s="30" t="str">
        <f t="shared" si="1"/>
        <v>-</v>
      </c>
      <c r="N53" s="30" t="str">
        <f t="shared" si="2"/>
        <v>-</v>
      </c>
      <c r="O53" s="31" t="str">
        <f t="shared" si="3"/>
        <v>-</v>
      </c>
      <c r="P53" s="32" t="str">
        <f t="shared" si="4"/>
        <v>-</v>
      </c>
      <c r="R53" s="32" t="str">
        <f t="shared" si="5"/>
        <v>-</v>
      </c>
    </row>
    <row r="54" spans="1:18" x14ac:dyDescent="0.3">
      <c r="A54" s="2" t="s">
        <v>146</v>
      </c>
      <c r="B54" s="3" t="s">
        <v>1053</v>
      </c>
      <c r="C54" s="2" t="s">
        <v>147</v>
      </c>
      <c r="D54" s="2" t="s">
        <v>148</v>
      </c>
      <c r="E54" s="2"/>
      <c r="F54" s="18">
        <v>0</v>
      </c>
      <c r="G54" s="2"/>
      <c r="H54" s="8">
        <v>69.48</v>
      </c>
      <c r="I54" s="14"/>
      <c r="J54" s="8">
        <f t="shared" si="0"/>
        <v>0</v>
      </c>
      <c r="M54" s="30" t="str">
        <f t="shared" si="1"/>
        <v>-</v>
      </c>
      <c r="N54" s="30" t="str">
        <f t="shared" si="2"/>
        <v>-</v>
      </c>
      <c r="O54" s="31" t="str">
        <f t="shared" si="3"/>
        <v>-</v>
      </c>
      <c r="P54" s="32" t="str">
        <f t="shared" si="4"/>
        <v>-</v>
      </c>
      <c r="R54" s="32" t="str">
        <f t="shared" si="5"/>
        <v>-</v>
      </c>
    </row>
    <row r="55" spans="1:18" x14ac:dyDescent="0.3">
      <c r="A55" s="2" t="s">
        <v>149</v>
      </c>
      <c r="B55" s="3" t="s">
        <v>1054</v>
      </c>
      <c r="C55" s="2" t="s">
        <v>150</v>
      </c>
      <c r="D55" s="2" t="s">
        <v>151</v>
      </c>
      <c r="E55" s="2"/>
      <c r="F55" s="18">
        <v>0</v>
      </c>
      <c r="G55" s="2"/>
      <c r="H55" s="8">
        <v>16.2</v>
      </c>
      <c r="I55" s="14"/>
      <c r="J55" s="8">
        <f t="shared" si="0"/>
        <v>0</v>
      </c>
      <c r="M55" s="30" t="str">
        <f t="shared" si="1"/>
        <v>-</v>
      </c>
      <c r="N55" s="30" t="str">
        <f t="shared" si="2"/>
        <v>-</v>
      </c>
      <c r="O55" s="31" t="str">
        <f t="shared" si="3"/>
        <v>-</v>
      </c>
      <c r="P55" s="32" t="str">
        <f t="shared" si="4"/>
        <v>-</v>
      </c>
      <c r="R55" s="32" t="str">
        <f t="shared" si="5"/>
        <v>-</v>
      </c>
    </row>
    <row r="56" spans="1:18" x14ac:dyDescent="0.3">
      <c r="A56" s="2" t="s">
        <v>152</v>
      </c>
      <c r="B56" s="3" t="s">
        <v>1054</v>
      </c>
      <c r="C56" s="2" t="s">
        <v>153</v>
      </c>
      <c r="D56" s="2" t="s">
        <v>154</v>
      </c>
      <c r="E56" s="2"/>
      <c r="F56" s="18">
        <v>0</v>
      </c>
      <c r="G56" s="2"/>
      <c r="H56" s="8">
        <v>29.505600000000001</v>
      </c>
      <c r="I56" s="14"/>
      <c r="J56" s="8">
        <f t="shared" si="0"/>
        <v>0</v>
      </c>
      <c r="M56" s="30" t="str">
        <f t="shared" si="1"/>
        <v>-</v>
      </c>
      <c r="N56" s="30" t="str">
        <f t="shared" si="2"/>
        <v>-</v>
      </c>
      <c r="O56" s="31" t="str">
        <f t="shared" si="3"/>
        <v>-</v>
      </c>
      <c r="P56" s="32" t="str">
        <f t="shared" si="4"/>
        <v>-</v>
      </c>
      <c r="R56" s="32" t="str">
        <f t="shared" si="5"/>
        <v>-</v>
      </c>
    </row>
    <row r="57" spans="1:18" x14ac:dyDescent="0.3">
      <c r="A57" s="2" t="s">
        <v>155</v>
      </c>
      <c r="B57" s="3" t="s">
        <v>1050</v>
      </c>
      <c r="C57" s="2" t="s">
        <v>156</v>
      </c>
      <c r="D57" s="2" t="s">
        <v>157</v>
      </c>
      <c r="E57" s="2"/>
      <c r="F57" s="18">
        <v>0</v>
      </c>
      <c r="G57" s="2"/>
      <c r="H57" s="8">
        <v>24.840000000000003</v>
      </c>
      <c r="I57" s="14"/>
      <c r="J57" s="8">
        <f t="shared" si="0"/>
        <v>0</v>
      </c>
      <c r="M57" s="30" t="str">
        <f t="shared" si="1"/>
        <v>-</v>
      </c>
      <c r="N57" s="30" t="str">
        <f t="shared" si="2"/>
        <v>-</v>
      </c>
      <c r="O57" s="31" t="str">
        <f t="shared" si="3"/>
        <v>-</v>
      </c>
      <c r="P57" s="32" t="str">
        <f t="shared" si="4"/>
        <v>-</v>
      </c>
      <c r="R57" s="32" t="str">
        <f t="shared" si="5"/>
        <v>-</v>
      </c>
    </row>
    <row r="58" spans="1:18" x14ac:dyDescent="0.3">
      <c r="A58" s="2" t="s">
        <v>158</v>
      </c>
      <c r="B58" s="3" t="s">
        <v>1050</v>
      </c>
      <c r="C58" s="2" t="s">
        <v>159</v>
      </c>
      <c r="D58" s="2" t="s">
        <v>160</v>
      </c>
      <c r="E58" s="2"/>
      <c r="F58" s="18">
        <v>0</v>
      </c>
      <c r="G58" s="2"/>
      <c r="H58" s="8">
        <v>42.825600000000001</v>
      </c>
      <c r="I58" s="14"/>
      <c r="J58" s="8">
        <f t="shared" si="0"/>
        <v>0</v>
      </c>
      <c r="M58" s="30" t="str">
        <f t="shared" si="1"/>
        <v>-</v>
      </c>
      <c r="N58" s="30" t="str">
        <f t="shared" si="2"/>
        <v>-</v>
      </c>
      <c r="O58" s="31" t="str">
        <f t="shared" si="3"/>
        <v>-</v>
      </c>
      <c r="P58" s="32" t="str">
        <f t="shared" si="4"/>
        <v>-</v>
      </c>
      <c r="R58" s="32" t="str">
        <f t="shared" si="5"/>
        <v>-</v>
      </c>
    </row>
    <row r="59" spans="1:18" x14ac:dyDescent="0.3">
      <c r="A59" s="2" t="s">
        <v>161</v>
      </c>
      <c r="B59" s="3" t="s">
        <v>1054</v>
      </c>
      <c r="C59" s="2" t="s">
        <v>162</v>
      </c>
      <c r="D59" s="2" t="s">
        <v>163</v>
      </c>
      <c r="E59" s="2"/>
      <c r="F59" s="18">
        <v>0.28000000000000003</v>
      </c>
      <c r="G59" s="2"/>
      <c r="H59" s="8">
        <v>18.360000000000003</v>
      </c>
      <c r="I59" s="14"/>
      <c r="J59" s="8">
        <f t="shared" si="0"/>
        <v>0</v>
      </c>
      <c r="M59" s="30" t="str">
        <f t="shared" si="1"/>
        <v>-</v>
      </c>
      <c r="N59" s="30" t="str">
        <f t="shared" si="2"/>
        <v>-</v>
      </c>
      <c r="O59" s="31" t="str">
        <f t="shared" si="3"/>
        <v>-</v>
      </c>
      <c r="P59" s="32" t="str">
        <f t="shared" si="4"/>
        <v>-</v>
      </c>
      <c r="R59" s="32" t="str">
        <f t="shared" si="5"/>
        <v>-</v>
      </c>
    </row>
    <row r="60" spans="1:18" x14ac:dyDescent="0.3">
      <c r="A60" s="2" t="s">
        <v>164</v>
      </c>
      <c r="B60" s="3" t="s">
        <v>1050</v>
      </c>
      <c r="C60" s="2" t="s">
        <v>165</v>
      </c>
      <c r="D60" s="2" t="s">
        <v>166</v>
      </c>
      <c r="E60" s="2"/>
      <c r="F60" s="18">
        <v>0</v>
      </c>
      <c r="G60" s="2"/>
      <c r="H60" s="8">
        <v>47.160000000000004</v>
      </c>
      <c r="I60" s="14"/>
      <c r="J60" s="8">
        <f t="shared" si="0"/>
        <v>0</v>
      </c>
      <c r="M60" s="30" t="str">
        <f t="shared" si="1"/>
        <v>-</v>
      </c>
      <c r="N60" s="30" t="str">
        <f t="shared" si="2"/>
        <v>-</v>
      </c>
      <c r="O60" s="31" t="str">
        <f t="shared" si="3"/>
        <v>-</v>
      </c>
      <c r="P60" s="32" t="str">
        <f t="shared" si="4"/>
        <v>-</v>
      </c>
      <c r="R60" s="32" t="str">
        <f t="shared" si="5"/>
        <v>-</v>
      </c>
    </row>
    <row r="61" spans="1:18" x14ac:dyDescent="0.3">
      <c r="A61" s="2" t="s">
        <v>167</v>
      </c>
      <c r="B61" s="3" t="s">
        <v>1053</v>
      </c>
      <c r="C61" s="2" t="s">
        <v>168</v>
      </c>
      <c r="D61" s="2" t="s">
        <v>169</v>
      </c>
      <c r="E61" s="2"/>
      <c r="F61" s="18">
        <v>0</v>
      </c>
      <c r="G61" s="2"/>
      <c r="H61" s="8">
        <v>52.2</v>
      </c>
      <c r="I61" s="14"/>
      <c r="J61" s="8">
        <f t="shared" si="0"/>
        <v>0</v>
      </c>
      <c r="M61" s="30" t="str">
        <f t="shared" si="1"/>
        <v>-</v>
      </c>
      <c r="N61" s="30" t="str">
        <f t="shared" si="2"/>
        <v>-</v>
      </c>
      <c r="O61" s="31" t="str">
        <f t="shared" si="3"/>
        <v>-</v>
      </c>
      <c r="P61" s="32" t="str">
        <f t="shared" si="4"/>
        <v>-</v>
      </c>
      <c r="R61" s="32" t="str">
        <f t="shared" si="5"/>
        <v>-</v>
      </c>
    </row>
    <row r="62" spans="1:18" x14ac:dyDescent="0.3">
      <c r="A62" s="2" t="s">
        <v>170</v>
      </c>
      <c r="B62" s="3" t="s">
        <v>1056</v>
      </c>
      <c r="C62" s="2" t="s">
        <v>171</v>
      </c>
      <c r="D62" s="2" t="s">
        <v>172</v>
      </c>
      <c r="E62" s="2"/>
      <c r="F62" s="18">
        <v>0.14000000000000001</v>
      </c>
      <c r="G62" s="2"/>
      <c r="H62" s="8">
        <v>36</v>
      </c>
      <c r="I62" s="14"/>
      <c r="J62" s="8">
        <f t="shared" si="0"/>
        <v>0</v>
      </c>
      <c r="M62" s="30" t="str">
        <f t="shared" si="1"/>
        <v>-</v>
      </c>
      <c r="N62" s="30" t="str">
        <f t="shared" si="2"/>
        <v>-</v>
      </c>
      <c r="O62" s="31" t="str">
        <f t="shared" si="3"/>
        <v>-</v>
      </c>
      <c r="P62" s="32" t="str">
        <f t="shared" si="4"/>
        <v>-</v>
      </c>
      <c r="R62" s="32" t="str">
        <f t="shared" si="5"/>
        <v>-</v>
      </c>
    </row>
    <row r="63" spans="1:18" x14ac:dyDescent="0.3">
      <c r="A63" s="2" t="s">
        <v>173</v>
      </c>
      <c r="B63" s="3" t="s">
        <v>1056</v>
      </c>
      <c r="C63" s="2" t="s">
        <v>174</v>
      </c>
      <c r="D63" s="2" t="s">
        <v>175</v>
      </c>
      <c r="E63" s="2"/>
      <c r="F63" s="18">
        <v>0</v>
      </c>
      <c r="G63" s="2"/>
      <c r="H63" s="8">
        <v>55.800000000000004</v>
      </c>
      <c r="I63" s="14"/>
      <c r="J63" s="8">
        <f t="shared" si="0"/>
        <v>0</v>
      </c>
      <c r="M63" s="30" t="str">
        <f t="shared" si="1"/>
        <v>-</v>
      </c>
      <c r="N63" s="30" t="str">
        <f t="shared" si="2"/>
        <v>-</v>
      </c>
      <c r="O63" s="31" t="str">
        <f t="shared" si="3"/>
        <v>-</v>
      </c>
      <c r="P63" s="32" t="str">
        <f t="shared" si="4"/>
        <v>-</v>
      </c>
      <c r="R63" s="32" t="str">
        <f t="shared" si="5"/>
        <v>-</v>
      </c>
    </row>
    <row r="64" spans="1:18" x14ac:dyDescent="0.3">
      <c r="A64" s="2" t="s">
        <v>176</v>
      </c>
      <c r="B64" s="3" t="s">
        <v>1053</v>
      </c>
      <c r="C64" s="2" t="s">
        <v>177</v>
      </c>
      <c r="D64" s="2" t="s">
        <v>178</v>
      </c>
      <c r="E64" s="2"/>
      <c r="F64" s="18">
        <v>0</v>
      </c>
      <c r="G64" s="2"/>
      <c r="H64" s="8">
        <v>28.44</v>
      </c>
      <c r="I64" s="14"/>
      <c r="J64" s="8">
        <f t="shared" si="0"/>
        <v>0</v>
      </c>
      <c r="M64" s="30" t="str">
        <f t="shared" si="1"/>
        <v>-</v>
      </c>
      <c r="N64" s="30" t="str">
        <f t="shared" si="2"/>
        <v>-</v>
      </c>
      <c r="O64" s="31" t="str">
        <f t="shared" si="3"/>
        <v>-</v>
      </c>
      <c r="P64" s="32" t="str">
        <f t="shared" si="4"/>
        <v>-</v>
      </c>
      <c r="R64" s="32" t="str">
        <f t="shared" si="5"/>
        <v>-</v>
      </c>
    </row>
    <row r="65" spans="1:18" x14ac:dyDescent="0.3">
      <c r="A65" s="2" t="s">
        <v>179</v>
      </c>
      <c r="B65" s="3" t="s">
        <v>1069</v>
      </c>
      <c r="C65" s="2" t="s">
        <v>180</v>
      </c>
      <c r="D65" s="2" t="s">
        <v>181</v>
      </c>
      <c r="E65" s="2"/>
      <c r="F65" s="18">
        <v>0</v>
      </c>
      <c r="G65" s="2"/>
      <c r="H65" s="8">
        <v>22.896000000000001</v>
      </c>
      <c r="I65" s="14"/>
      <c r="J65" s="8">
        <f t="shared" si="0"/>
        <v>0</v>
      </c>
      <c r="M65" s="30" t="str">
        <f t="shared" si="1"/>
        <v>-</v>
      </c>
      <c r="N65" s="30" t="str">
        <f t="shared" si="2"/>
        <v>-</v>
      </c>
      <c r="O65" s="31" t="str">
        <f t="shared" si="3"/>
        <v>-</v>
      </c>
      <c r="P65" s="32" t="str">
        <f t="shared" si="4"/>
        <v>-</v>
      </c>
      <c r="R65" s="32" t="str">
        <f t="shared" si="5"/>
        <v>-</v>
      </c>
    </row>
    <row r="66" spans="1:18" x14ac:dyDescent="0.3">
      <c r="A66" s="2" t="s">
        <v>182</v>
      </c>
      <c r="B66" s="3" t="s">
        <v>1050</v>
      </c>
      <c r="C66" s="2" t="s">
        <v>183</v>
      </c>
      <c r="D66" s="2" t="s">
        <v>184</v>
      </c>
      <c r="E66" s="2"/>
      <c r="F66" s="18">
        <v>0</v>
      </c>
      <c r="G66" s="2"/>
      <c r="H66" s="8">
        <v>49.320000000000007</v>
      </c>
      <c r="I66" s="14"/>
      <c r="J66" s="8">
        <f t="shared" si="0"/>
        <v>0</v>
      </c>
      <c r="M66" s="30" t="str">
        <f t="shared" si="1"/>
        <v>-</v>
      </c>
      <c r="N66" s="30" t="str">
        <f t="shared" si="2"/>
        <v>-</v>
      </c>
      <c r="O66" s="31" t="str">
        <f t="shared" si="3"/>
        <v>-</v>
      </c>
      <c r="P66" s="32" t="str">
        <f t="shared" si="4"/>
        <v>-</v>
      </c>
      <c r="R66" s="32" t="str">
        <f t="shared" si="5"/>
        <v>-</v>
      </c>
    </row>
    <row r="67" spans="1:18" x14ac:dyDescent="0.3">
      <c r="A67" s="2" t="s">
        <v>185</v>
      </c>
      <c r="B67" s="3" t="s">
        <v>1053</v>
      </c>
      <c r="C67" s="2" t="s">
        <v>186</v>
      </c>
      <c r="D67" s="2" t="s">
        <v>187</v>
      </c>
      <c r="E67" s="2"/>
      <c r="F67" s="18">
        <v>0</v>
      </c>
      <c r="G67" s="2"/>
      <c r="H67" s="8">
        <v>21.6</v>
      </c>
      <c r="I67" s="14"/>
      <c r="J67" s="8">
        <f t="shared" si="0"/>
        <v>0</v>
      </c>
      <c r="M67" s="30" t="str">
        <f t="shared" si="1"/>
        <v>-</v>
      </c>
      <c r="N67" s="30" t="str">
        <f t="shared" si="2"/>
        <v>-</v>
      </c>
      <c r="O67" s="31" t="str">
        <f t="shared" si="3"/>
        <v>-</v>
      </c>
      <c r="P67" s="32" t="str">
        <f t="shared" si="4"/>
        <v>-</v>
      </c>
      <c r="R67" s="32" t="str">
        <f t="shared" si="5"/>
        <v>-</v>
      </c>
    </row>
    <row r="68" spans="1:18" x14ac:dyDescent="0.3">
      <c r="A68" s="2" t="s">
        <v>188</v>
      </c>
      <c r="B68" s="3" t="s">
        <v>1050</v>
      </c>
      <c r="C68" s="2" t="s">
        <v>189</v>
      </c>
      <c r="D68" s="2" t="s">
        <v>190</v>
      </c>
      <c r="E68" s="2"/>
      <c r="F68" s="18">
        <v>0</v>
      </c>
      <c r="G68" s="2"/>
      <c r="H68" s="8">
        <v>55.080000000000005</v>
      </c>
      <c r="I68" s="14"/>
      <c r="J68" s="8">
        <f t="shared" ref="J68:J131" si="6">I68*H68</f>
        <v>0</v>
      </c>
      <c r="M68" s="30" t="str">
        <f t="shared" ref="M68:M131" si="7">IFERROR(IF($M$2*F68=0, "-", $M$2*F68), "-")</f>
        <v>-</v>
      </c>
      <c r="N68" s="30" t="str">
        <f t="shared" ref="N68:N131" si="8">IF(I68&gt;0,H68+F68*I68/$O$2*$P$2/I68,"-")</f>
        <v>-</v>
      </c>
      <c r="O68" s="31" t="str">
        <f t="shared" ref="O68:O131" si="9">IF(I68&gt;0,I68*F68*1.113, "-")</f>
        <v>-</v>
      </c>
      <c r="P68" s="32" t="str">
        <f t="shared" ref="P68:P131" si="10">IFERROR(IF($M$2&gt;0, $M$2*O68, "-"), "-")</f>
        <v>-</v>
      </c>
      <c r="R68" s="32" t="str">
        <f t="shared" ref="R68:R131" si="11">IFERROR(IF(P68+J68=0, "-", IF(P68&gt;0, P68+J68, "-")), "-")</f>
        <v>-</v>
      </c>
    </row>
    <row r="69" spans="1:18" x14ac:dyDescent="0.3">
      <c r="A69" s="2" t="s">
        <v>191</v>
      </c>
      <c r="B69" s="3" t="s">
        <v>1053</v>
      </c>
      <c r="C69" s="2" t="s">
        <v>192</v>
      </c>
      <c r="D69" s="2" t="s">
        <v>193</v>
      </c>
      <c r="E69" s="2"/>
      <c r="F69" s="18">
        <v>0</v>
      </c>
      <c r="G69" s="2"/>
      <c r="H69" s="8">
        <v>20.880000000000003</v>
      </c>
      <c r="I69" s="14"/>
      <c r="J69" s="8">
        <f t="shared" si="6"/>
        <v>0</v>
      </c>
      <c r="M69" s="30" t="str">
        <f t="shared" si="7"/>
        <v>-</v>
      </c>
      <c r="N69" s="30" t="str">
        <f t="shared" si="8"/>
        <v>-</v>
      </c>
      <c r="O69" s="31" t="str">
        <f t="shared" si="9"/>
        <v>-</v>
      </c>
      <c r="P69" s="32" t="str">
        <f t="shared" si="10"/>
        <v>-</v>
      </c>
      <c r="R69" s="32" t="str">
        <f t="shared" si="11"/>
        <v>-</v>
      </c>
    </row>
    <row r="70" spans="1:18" x14ac:dyDescent="0.3">
      <c r="A70" s="2" t="s">
        <v>194</v>
      </c>
      <c r="B70" s="3" t="s">
        <v>1070</v>
      </c>
      <c r="C70" s="2" t="s">
        <v>195</v>
      </c>
      <c r="D70" s="2" t="s">
        <v>196</v>
      </c>
      <c r="E70" s="2"/>
      <c r="F70" s="18">
        <v>0</v>
      </c>
      <c r="G70" s="2"/>
      <c r="H70" s="8">
        <v>105.48</v>
      </c>
      <c r="I70" s="14"/>
      <c r="J70" s="8">
        <f t="shared" si="6"/>
        <v>0</v>
      </c>
      <c r="M70" s="30" t="str">
        <f t="shared" si="7"/>
        <v>-</v>
      </c>
      <c r="N70" s="30" t="str">
        <f t="shared" si="8"/>
        <v>-</v>
      </c>
      <c r="O70" s="31" t="str">
        <f t="shared" si="9"/>
        <v>-</v>
      </c>
      <c r="P70" s="32" t="str">
        <f t="shared" si="10"/>
        <v>-</v>
      </c>
      <c r="R70" s="32" t="str">
        <f t="shared" si="11"/>
        <v>-</v>
      </c>
    </row>
    <row r="71" spans="1:18" x14ac:dyDescent="0.3">
      <c r="A71" s="2" t="s">
        <v>197</v>
      </c>
      <c r="B71" s="3" t="s">
        <v>1053</v>
      </c>
      <c r="C71" s="2" t="s">
        <v>198</v>
      </c>
      <c r="D71" s="2" t="s">
        <v>199</v>
      </c>
      <c r="E71" s="2"/>
      <c r="F71" s="18">
        <v>0</v>
      </c>
      <c r="G71" s="2"/>
      <c r="H71" s="8">
        <v>30.96</v>
      </c>
      <c r="I71" s="14"/>
      <c r="J71" s="8">
        <f t="shared" si="6"/>
        <v>0</v>
      </c>
      <c r="M71" s="30" t="str">
        <f t="shared" si="7"/>
        <v>-</v>
      </c>
      <c r="N71" s="30" t="str">
        <f t="shared" si="8"/>
        <v>-</v>
      </c>
      <c r="O71" s="31" t="str">
        <f t="shared" si="9"/>
        <v>-</v>
      </c>
      <c r="P71" s="32" t="str">
        <f t="shared" si="10"/>
        <v>-</v>
      </c>
      <c r="R71" s="32" t="str">
        <f t="shared" si="11"/>
        <v>-</v>
      </c>
    </row>
    <row r="72" spans="1:18" x14ac:dyDescent="0.3">
      <c r="A72" s="2" t="s">
        <v>200</v>
      </c>
      <c r="B72" s="3" t="s">
        <v>1054</v>
      </c>
      <c r="C72" s="2" t="s">
        <v>201</v>
      </c>
      <c r="D72" s="2" t="s">
        <v>202</v>
      </c>
      <c r="E72" s="2"/>
      <c r="F72" s="18">
        <v>0</v>
      </c>
      <c r="G72" s="2"/>
      <c r="H72" s="8">
        <v>25.92</v>
      </c>
      <c r="I72" s="14"/>
      <c r="J72" s="8">
        <f t="shared" si="6"/>
        <v>0</v>
      </c>
      <c r="M72" s="30" t="str">
        <f t="shared" si="7"/>
        <v>-</v>
      </c>
      <c r="N72" s="30" t="str">
        <f t="shared" si="8"/>
        <v>-</v>
      </c>
      <c r="O72" s="31" t="str">
        <f t="shared" si="9"/>
        <v>-</v>
      </c>
      <c r="P72" s="32" t="str">
        <f t="shared" si="10"/>
        <v>-</v>
      </c>
      <c r="R72" s="32" t="str">
        <f t="shared" si="11"/>
        <v>-</v>
      </c>
    </row>
    <row r="73" spans="1:18" x14ac:dyDescent="0.3">
      <c r="A73" s="2" t="s">
        <v>203</v>
      </c>
      <c r="B73" s="3" t="s">
        <v>1051</v>
      </c>
      <c r="C73" s="2" t="s">
        <v>204</v>
      </c>
      <c r="D73" s="2" t="s">
        <v>205</v>
      </c>
      <c r="E73" s="2"/>
      <c r="F73" s="18">
        <v>0</v>
      </c>
      <c r="G73" s="2"/>
      <c r="H73" s="8">
        <v>23.040000000000003</v>
      </c>
      <c r="I73" s="14"/>
      <c r="J73" s="8">
        <f t="shared" si="6"/>
        <v>0</v>
      </c>
      <c r="M73" s="30" t="str">
        <f t="shared" si="7"/>
        <v>-</v>
      </c>
      <c r="N73" s="30" t="str">
        <f t="shared" si="8"/>
        <v>-</v>
      </c>
      <c r="O73" s="31" t="str">
        <f t="shared" si="9"/>
        <v>-</v>
      </c>
      <c r="P73" s="32" t="str">
        <f t="shared" si="10"/>
        <v>-</v>
      </c>
      <c r="R73" s="32" t="str">
        <f t="shared" si="11"/>
        <v>-</v>
      </c>
    </row>
    <row r="74" spans="1:18" x14ac:dyDescent="0.3">
      <c r="A74" s="2" t="s">
        <v>206</v>
      </c>
      <c r="B74" s="3" t="s">
        <v>1053</v>
      </c>
      <c r="C74" s="2" t="s">
        <v>204</v>
      </c>
      <c r="D74" s="2" t="s">
        <v>207</v>
      </c>
      <c r="E74" s="2"/>
      <c r="F74" s="18">
        <v>0</v>
      </c>
      <c r="G74" s="2"/>
      <c r="H74" s="8">
        <v>12.96</v>
      </c>
      <c r="I74" s="14"/>
      <c r="J74" s="8">
        <f t="shared" si="6"/>
        <v>0</v>
      </c>
      <c r="M74" s="30" t="str">
        <f t="shared" si="7"/>
        <v>-</v>
      </c>
      <c r="N74" s="30" t="str">
        <f t="shared" si="8"/>
        <v>-</v>
      </c>
      <c r="O74" s="31" t="str">
        <f t="shared" si="9"/>
        <v>-</v>
      </c>
      <c r="P74" s="32" t="str">
        <f t="shared" si="10"/>
        <v>-</v>
      </c>
      <c r="R74" s="32" t="str">
        <f t="shared" si="11"/>
        <v>-</v>
      </c>
    </row>
    <row r="75" spans="1:18" x14ac:dyDescent="0.3">
      <c r="A75" s="2" t="s">
        <v>208</v>
      </c>
      <c r="B75" s="3" t="s">
        <v>1053</v>
      </c>
      <c r="C75" s="2" t="s">
        <v>209</v>
      </c>
      <c r="D75" s="2" t="s">
        <v>210</v>
      </c>
      <c r="E75" s="2"/>
      <c r="F75" s="18">
        <v>0</v>
      </c>
      <c r="G75" s="2"/>
      <c r="H75" s="8">
        <v>20.880000000000003</v>
      </c>
      <c r="I75" s="14"/>
      <c r="J75" s="8">
        <f t="shared" si="6"/>
        <v>0</v>
      </c>
      <c r="M75" s="30" t="str">
        <f t="shared" si="7"/>
        <v>-</v>
      </c>
      <c r="N75" s="30" t="str">
        <f t="shared" si="8"/>
        <v>-</v>
      </c>
      <c r="O75" s="31" t="str">
        <f t="shared" si="9"/>
        <v>-</v>
      </c>
      <c r="P75" s="32" t="str">
        <f t="shared" si="10"/>
        <v>-</v>
      </c>
      <c r="R75" s="32" t="str">
        <f t="shared" si="11"/>
        <v>-</v>
      </c>
    </row>
    <row r="76" spans="1:18" x14ac:dyDescent="0.3">
      <c r="A76" s="2" t="s">
        <v>211</v>
      </c>
      <c r="B76" s="3" t="s">
        <v>1054</v>
      </c>
      <c r="C76" s="2" t="s">
        <v>209</v>
      </c>
      <c r="D76" s="2" t="s">
        <v>212</v>
      </c>
      <c r="E76" s="2"/>
      <c r="F76" s="18">
        <v>0.21</v>
      </c>
      <c r="G76" s="2"/>
      <c r="H76" s="8">
        <v>28.8</v>
      </c>
      <c r="I76" s="14"/>
      <c r="J76" s="8">
        <f t="shared" si="6"/>
        <v>0</v>
      </c>
      <c r="M76" s="30" t="str">
        <f t="shared" si="7"/>
        <v>-</v>
      </c>
      <c r="N76" s="30" t="str">
        <f t="shared" si="8"/>
        <v>-</v>
      </c>
      <c r="O76" s="31" t="str">
        <f t="shared" si="9"/>
        <v>-</v>
      </c>
      <c r="P76" s="32" t="str">
        <f t="shared" si="10"/>
        <v>-</v>
      </c>
      <c r="R76" s="32" t="str">
        <f t="shared" si="11"/>
        <v>-</v>
      </c>
    </row>
    <row r="77" spans="1:18" x14ac:dyDescent="0.3">
      <c r="A77" s="2" t="s">
        <v>213</v>
      </c>
      <c r="B77" s="3" t="s">
        <v>1051</v>
      </c>
      <c r="C77" s="2" t="s">
        <v>209</v>
      </c>
      <c r="D77" s="2" t="s">
        <v>214</v>
      </c>
      <c r="E77" s="2"/>
      <c r="F77" s="18">
        <v>0.15</v>
      </c>
      <c r="G77" s="2"/>
      <c r="H77" s="8">
        <v>51.480000000000004</v>
      </c>
      <c r="I77" s="14"/>
      <c r="J77" s="8">
        <f t="shared" si="6"/>
        <v>0</v>
      </c>
      <c r="M77" s="30" t="str">
        <f t="shared" si="7"/>
        <v>-</v>
      </c>
      <c r="N77" s="30" t="str">
        <f t="shared" si="8"/>
        <v>-</v>
      </c>
      <c r="O77" s="31" t="str">
        <f t="shared" si="9"/>
        <v>-</v>
      </c>
      <c r="P77" s="32" t="str">
        <f t="shared" si="10"/>
        <v>-</v>
      </c>
      <c r="R77" s="32" t="str">
        <f t="shared" si="11"/>
        <v>-</v>
      </c>
    </row>
    <row r="78" spans="1:18" x14ac:dyDescent="0.3">
      <c r="A78" s="2" t="s">
        <v>215</v>
      </c>
      <c r="B78" s="3" t="s">
        <v>1053</v>
      </c>
      <c r="C78" s="2" t="s">
        <v>216</v>
      </c>
      <c r="D78" s="2" t="s">
        <v>217</v>
      </c>
      <c r="E78" s="2"/>
      <c r="F78" s="18">
        <v>0.13</v>
      </c>
      <c r="G78" s="2"/>
      <c r="H78" s="8">
        <v>25.92</v>
      </c>
      <c r="I78" s="14"/>
      <c r="J78" s="8">
        <f t="shared" si="6"/>
        <v>0</v>
      </c>
      <c r="M78" s="30" t="str">
        <f t="shared" si="7"/>
        <v>-</v>
      </c>
      <c r="N78" s="30" t="str">
        <f t="shared" si="8"/>
        <v>-</v>
      </c>
      <c r="O78" s="31" t="str">
        <f t="shared" si="9"/>
        <v>-</v>
      </c>
      <c r="P78" s="32" t="str">
        <f t="shared" si="10"/>
        <v>-</v>
      </c>
      <c r="R78" s="32" t="str">
        <f t="shared" si="11"/>
        <v>-</v>
      </c>
    </row>
    <row r="79" spans="1:18" x14ac:dyDescent="0.3">
      <c r="A79" s="2" t="s">
        <v>218</v>
      </c>
      <c r="B79" s="3" t="s">
        <v>1050</v>
      </c>
      <c r="C79" s="2" t="s">
        <v>216</v>
      </c>
      <c r="D79" s="2" t="s">
        <v>219</v>
      </c>
      <c r="E79" s="2"/>
      <c r="F79" s="18">
        <v>0.2</v>
      </c>
      <c r="G79" s="2"/>
      <c r="H79" s="8">
        <v>46.440000000000005</v>
      </c>
      <c r="I79" s="14"/>
      <c r="J79" s="8">
        <f t="shared" si="6"/>
        <v>0</v>
      </c>
      <c r="M79" s="30" t="str">
        <f t="shared" si="7"/>
        <v>-</v>
      </c>
      <c r="N79" s="30" t="str">
        <f t="shared" si="8"/>
        <v>-</v>
      </c>
      <c r="O79" s="31" t="str">
        <f t="shared" si="9"/>
        <v>-</v>
      </c>
      <c r="P79" s="32" t="str">
        <f t="shared" si="10"/>
        <v>-</v>
      </c>
      <c r="R79" s="32" t="str">
        <f t="shared" si="11"/>
        <v>-</v>
      </c>
    </row>
    <row r="80" spans="1:18" x14ac:dyDescent="0.3">
      <c r="A80" s="2" t="s">
        <v>220</v>
      </c>
      <c r="B80" s="3" t="s">
        <v>1053</v>
      </c>
      <c r="C80" s="2" t="s">
        <v>221</v>
      </c>
      <c r="D80" s="2" t="s">
        <v>222</v>
      </c>
      <c r="E80" s="2"/>
      <c r="F80" s="18">
        <v>0</v>
      </c>
      <c r="G80" s="2"/>
      <c r="H80" s="8">
        <v>28.080000000000002</v>
      </c>
      <c r="I80" s="14"/>
      <c r="J80" s="8">
        <f t="shared" si="6"/>
        <v>0</v>
      </c>
      <c r="M80" s="30" t="str">
        <f t="shared" si="7"/>
        <v>-</v>
      </c>
      <c r="N80" s="30" t="str">
        <f t="shared" si="8"/>
        <v>-</v>
      </c>
      <c r="O80" s="31" t="str">
        <f t="shared" si="9"/>
        <v>-</v>
      </c>
      <c r="P80" s="32" t="str">
        <f t="shared" si="10"/>
        <v>-</v>
      </c>
      <c r="R80" s="32" t="str">
        <f t="shared" si="11"/>
        <v>-</v>
      </c>
    </row>
    <row r="81" spans="1:18" x14ac:dyDescent="0.3">
      <c r="A81" s="2" t="s">
        <v>223</v>
      </c>
      <c r="B81" s="3" t="s">
        <v>1053</v>
      </c>
      <c r="C81" s="2" t="s">
        <v>224</v>
      </c>
      <c r="D81" s="2" t="s">
        <v>225</v>
      </c>
      <c r="E81" s="2"/>
      <c r="F81" s="18">
        <v>0</v>
      </c>
      <c r="G81" s="2"/>
      <c r="H81" s="8">
        <v>28.080000000000002</v>
      </c>
      <c r="I81" s="14"/>
      <c r="J81" s="8">
        <f t="shared" si="6"/>
        <v>0</v>
      </c>
      <c r="M81" s="30" t="str">
        <f t="shared" si="7"/>
        <v>-</v>
      </c>
      <c r="N81" s="30" t="str">
        <f t="shared" si="8"/>
        <v>-</v>
      </c>
      <c r="O81" s="31" t="str">
        <f t="shared" si="9"/>
        <v>-</v>
      </c>
      <c r="P81" s="32" t="str">
        <f t="shared" si="10"/>
        <v>-</v>
      </c>
      <c r="R81" s="32" t="str">
        <f t="shared" si="11"/>
        <v>-</v>
      </c>
    </row>
    <row r="82" spans="1:18" x14ac:dyDescent="0.3">
      <c r="A82" s="2" t="s">
        <v>226</v>
      </c>
      <c r="B82" s="3" t="s">
        <v>1053</v>
      </c>
      <c r="C82" s="2" t="s">
        <v>227</v>
      </c>
      <c r="D82" s="2" t="s">
        <v>228</v>
      </c>
      <c r="E82" s="2"/>
      <c r="F82" s="18">
        <v>0</v>
      </c>
      <c r="G82" s="2"/>
      <c r="H82" s="8">
        <v>19.8</v>
      </c>
      <c r="I82" s="14"/>
      <c r="J82" s="8">
        <f t="shared" si="6"/>
        <v>0</v>
      </c>
      <c r="M82" s="30" t="str">
        <f t="shared" si="7"/>
        <v>-</v>
      </c>
      <c r="N82" s="30" t="str">
        <f t="shared" si="8"/>
        <v>-</v>
      </c>
      <c r="O82" s="31" t="str">
        <f t="shared" si="9"/>
        <v>-</v>
      </c>
      <c r="P82" s="32" t="str">
        <f t="shared" si="10"/>
        <v>-</v>
      </c>
      <c r="R82" s="32" t="str">
        <f t="shared" si="11"/>
        <v>-</v>
      </c>
    </row>
    <row r="83" spans="1:18" x14ac:dyDescent="0.3">
      <c r="A83" s="2" t="s">
        <v>229</v>
      </c>
      <c r="B83" s="3" t="s">
        <v>1072</v>
      </c>
      <c r="C83" s="2" t="s">
        <v>230</v>
      </c>
      <c r="D83" s="2" t="s">
        <v>231</v>
      </c>
      <c r="E83" s="2"/>
      <c r="F83" s="18">
        <v>0</v>
      </c>
      <c r="G83" s="2"/>
      <c r="H83" s="8">
        <v>20.160000000000004</v>
      </c>
      <c r="I83" s="14"/>
      <c r="J83" s="8">
        <f t="shared" si="6"/>
        <v>0</v>
      </c>
      <c r="M83" s="30" t="str">
        <f t="shared" si="7"/>
        <v>-</v>
      </c>
      <c r="N83" s="30" t="str">
        <f t="shared" si="8"/>
        <v>-</v>
      </c>
      <c r="O83" s="31" t="str">
        <f t="shared" si="9"/>
        <v>-</v>
      </c>
      <c r="P83" s="32" t="str">
        <f t="shared" si="10"/>
        <v>-</v>
      </c>
      <c r="R83" s="32" t="str">
        <f t="shared" si="11"/>
        <v>-</v>
      </c>
    </row>
    <row r="84" spans="1:18" x14ac:dyDescent="0.3">
      <c r="A84" s="2" t="s">
        <v>232</v>
      </c>
      <c r="B84" s="3" t="s">
        <v>1073</v>
      </c>
      <c r="C84" s="2" t="s">
        <v>233</v>
      </c>
      <c r="D84" s="2" t="s">
        <v>234</v>
      </c>
      <c r="E84" s="2"/>
      <c r="F84" s="18">
        <v>0</v>
      </c>
      <c r="G84" s="2"/>
      <c r="H84" s="8">
        <v>32.76</v>
      </c>
      <c r="I84" s="14"/>
      <c r="J84" s="8">
        <f t="shared" si="6"/>
        <v>0</v>
      </c>
      <c r="M84" s="30" t="str">
        <f t="shared" si="7"/>
        <v>-</v>
      </c>
      <c r="N84" s="30" t="str">
        <f t="shared" si="8"/>
        <v>-</v>
      </c>
      <c r="O84" s="31" t="str">
        <f t="shared" si="9"/>
        <v>-</v>
      </c>
      <c r="P84" s="32" t="str">
        <f t="shared" si="10"/>
        <v>-</v>
      </c>
      <c r="R84" s="32" t="str">
        <f t="shared" si="11"/>
        <v>-</v>
      </c>
    </row>
    <row r="85" spans="1:18" x14ac:dyDescent="0.3">
      <c r="A85" s="2" t="s">
        <v>235</v>
      </c>
      <c r="B85" s="3" t="s">
        <v>1075</v>
      </c>
      <c r="C85" s="2" t="s">
        <v>236</v>
      </c>
      <c r="D85" s="2" t="s">
        <v>237</v>
      </c>
      <c r="E85" s="2"/>
      <c r="F85" s="18">
        <v>0</v>
      </c>
      <c r="G85" s="2"/>
      <c r="H85" s="8">
        <v>20.145600000000002</v>
      </c>
      <c r="I85" s="14"/>
      <c r="J85" s="8">
        <f t="shared" si="6"/>
        <v>0</v>
      </c>
      <c r="M85" s="30" t="str">
        <f t="shared" si="7"/>
        <v>-</v>
      </c>
      <c r="N85" s="30" t="str">
        <f t="shared" si="8"/>
        <v>-</v>
      </c>
      <c r="O85" s="31" t="str">
        <f t="shared" si="9"/>
        <v>-</v>
      </c>
      <c r="P85" s="32" t="str">
        <f t="shared" si="10"/>
        <v>-</v>
      </c>
      <c r="R85" s="32" t="str">
        <f t="shared" si="11"/>
        <v>-</v>
      </c>
    </row>
    <row r="86" spans="1:18" x14ac:dyDescent="0.3">
      <c r="A86" s="2" t="s">
        <v>238</v>
      </c>
      <c r="B86" s="3" t="s">
        <v>1074</v>
      </c>
      <c r="C86" s="2" t="s">
        <v>239</v>
      </c>
      <c r="D86" s="2" t="s">
        <v>240</v>
      </c>
      <c r="E86" s="2"/>
      <c r="F86" s="18">
        <v>0</v>
      </c>
      <c r="G86" s="2"/>
      <c r="H86" s="8">
        <v>27.360000000000003</v>
      </c>
      <c r="I86" s="14"/>
      <c r="J86" s="8">
        <f t="shared" si="6"/>
        <v>0</v>
      </c>
      <c r="M86" s="30" t="str">
        <f t="shared" si="7"/>
        <v>-</v>
      </c>
      <c r="N86" s="30" t="str">
        <f t="shared" si="8"/>
        <v>-</v>
      </c>
      <c r="O86" s="31" t="str">
        <f t="shared" si="9"/>
        <v>-</v>
      </c>
      <c r="P86" s="32" t="str">
        <f t="shared" si="10"/>
        <v>-</v>
      </c>
      <c r="R86" s="32" t="str">
        <f t="shared" si="11"/>
        <v>-</v>
      </c>
    </row>
    <row r="87" spans="1:18" x14ac:dyDescent="0.3">
      <c r="A87" s="2" t="s">
        <v>241</v>
      </c>
      <c r="B87" s="3" t="s">
        <v>1050</v>
      </c>
      <c r="C87" s="2" t="s">
        <v>242</v>
      </c>
      <c r="D87" s="2" t="s">
        <v>243</v>
      </c>
      <c r="E87" s="2"/>
      <c r="F87" s="18">
        <v>0</v>
      </c>
      <c r="G87" s="2"/>
      <c r="H87" s="8">
        <v>50.760000000000005</v>
      </c>
      <c r="I87" s="14"/>
      <c r="J87" s="8">
        <f t="shared" si="6"/>
        <v>0</v>
      </c>
      <c r="M87" s="30" t="str">
        <f t="shared" si="7"/>
        <v>-</v>
      </c>
      <c r="N87" s="30" t="str">
        <f t="shared" si="8"/>
        <v>-</v>
      </c>
      <c r="O87" s="31" t="str">
        <f t="shared" si="9"/>
        <v>-</v>
      </c>
      <c r="P87" s="32" t="str">
        <f t="shared" si="10"/>
        <v>-</v>
      </c>
      <c r="R87" s="32" t="str">
        <f t="shared" si="11"/>
        <v>-</v>
      </c>
    </row>
    <row r="88" spans="1:18" x14ac:dyDescent="0.3">
      <c r="A88" s="2" t="s">
        <v>244</v>
      </c>
      <c r="B88" s="3" t="s">
        <v>1076</v>
      </c>
      <c r="C88" s="2" t="s">
        <v>245</v>
      </c>
      <c r="D88" s="2" t="s">
        <v>246</v>
      </c>
      <c r="E88" s="2"/>
      <c r="F88" s="18">
        <v>0</v>
      </c>
      <c r="G88" s="2"/>
      <c r="H88" s="8">
        <v>52.185600000000008</v>
      </c>
      <c r="I88" s="14"/>
      <c r="J88" s="8">
        <f t="shared" si="6"/>
        <v>0</v>
      </c>
      <c r="M88" s="30" t="str">
        <f t="shared" si="7"/>
        <v>-</v>
      </c>
      <c r="N88" s="30" t="str">
        <f t="shared" si="8"/>
        <v>-</v>
      </c>
      <c r="O88" s="31" t="str">
        <f t="shared" si="9"/>
        <v>-</v>
      </c>
      <c r="P88" s="32" t="str">
        <f t="shared" si="10"/>
        <v>-</v>
      </c>
      <c r="R88" s="32" t="str">
        <f t="shared" si="11"/>
        <v>-</v>
      </c>
    </row>
    <row r="89" spans="1:18" x14ac:dyDescent="0.3">
      <c r="A89" s="2" t="s">
        <v>1016</v>
      </c>
      <c r="B89" s="3" t="s">
        <v>1073</v>
      </c>
      <c r="C89" s="3" t="s">
        <v>1017</v>
      </c>
      <c r="D89" s="4">
        <v>879452008113</v>
      </c>
      <c r="E89" s="4"/>
      <c r="F89" s="18">
        <v>0.31</v>
      </c>
      <c r="G89" s="4"/>
      <c r="H89" s="8">
        <v>43.2</v>
      </c>
      <c r="I89" s="14"/>
      <c r="J89" s="8">
        <f t="shared" si="6"/>
        <v>0</v>
      </c>
      <c r="M89" s="30" t="str">
        <f t="shared" si="7"/>
        <v>-</v>
      </c>
      <c r="N89" s="30" t="str">
        <f t="shared" si="8"/>
        <v>-</v>
      </c>
      <c r="O89" s="31" t="str">
        <f t="shared" si="9"/>
        <v>-</v>
      </c>
      <c r="P89" s="32" t="str">
        <f t="shared" si="10"/>
        <v>-</v>
      </c>
      <c r="R89" s="32" t="str">
        <f t="shared" si="11"/>
        <v>-</v>
      </c>
    </row>
    <row r="90" spans="1:18" x14ac:dyDescent="0.3">
      <c r="A90" s="2" t="s">
        <v>1018</v>
      </c>
      <c r="B90" s="3" t="s">
        <v>1064</v>
      </c>
      <c r="C90" s="3" t="s">
        <v>1078</v>
      </c>
      <c r="D90" s="4">
        <v>879452008083</v>
      </c>
      <c r="E90" s="4"/>
      <c r="F90" s="18">
        <v>0.78</v>
      </c>
      <c r="G90" s="4"/>
      <c r="H90" s="8">
        <v>43.2</v>
      </c>
      <c r="I90" s="14"/>
      <c r="J90" s="8">
        <f t="shared" si="6"/>
        <v>0</v>
      </c>
      <c r="M90" s="30" t="str">
        <f t="shared" si="7"/>
        <v>-</v>
      </c>
      <c r="N90" s="30" t="str">
        <f t="shared" si="8"/>
        <v>-</v>
      </c>
      <c r="O90" s="31" t="str">
        <f t="shared" si="9"/>
        <v>-</v>
      </c>
      <c r="P90" s="32" t="str">
        <f t="shared" si="10"/>
        <v>-</v>
      </c>
      <c r="R90" s="32" t="str">
        <f t="shared" si="11"/>
        <v>-</v>
      </c>
    </row>
    <row r="91" spans="1:18" x14ac:dyDescent="0.3">
      <c r="A91" s="3" t="s">
        <v>1019</v>
      </c>
      <c r="B91" s="3" t="s">
        <v>1077</v>
      </c>
      <c r="C91" s="3" t="s">
        <v>1079</v>
      </c>
      <c r="D91" s="4">
        <v>879452008076</v>
      </c>
      <c r="E91" s="4"/>
      <c r="F91" s="18">
        <v>0.4</v>
      </c>
      <c r="G91" s="4"/>
      <c r="H91" s="8">
        <v>43.2</v>
      </c>
      <c r="I91" s="14"/>
      <c r="J91" s="8">
        <f t="shared" si="6"/>
        <v>0</v>
      </c>
      <c r="M91" s="30" t="str">
        <f t="shared" si="7"/>
        <v>-</v>
      </c>
      <c r="N91" s="30" t="str">
        <f t="shared" si="8"/>
        <v>-</v>
      </c>
      <c r="O91" s="31" t="str">
        <f t="shared" si="9"/>
        <v>-</v>
      </c>
      <c r="P91" s="32" t="str">
        <f t="shared" si="10"/>
        <v>-</v>
      </c>
      <c r="R91" s="32" t="str">
        <f t="shared" si="11"/>
        <v>-</v>
      </c>
    </row>
    <row r="92" spans="1:18" x14ac:dyDescent="0.3">
      <c r="A92" s="2" t="s">
        <v>247</v>
      </c>
      <c r="B92" s="3" t="s">
        <v>1050</v>
      </c>
      <c r="C92" s="2" t="s">
        <v>248</v>
      </c>
      <c r="D92" s="2" t="s">
        <v>249</v>
      </c>
      <c r="E92" s="2"/>
      <c r="F92" s="18">
        <v>0.19</v>
      </c>
      <c r="G92" s="2"/>
      <c r="H92" s="8">
        <v>14.040000000000001</v>
      </c>
      <c r="I92" s="14"/>
      <c r="J92" s="8">
        <f t="shared" si="6"/>
        <v>0</v>
      </c>
      <c r="M92" s="30" t="str">
        <f t="shared" si="7"/>
        <v>-</v>
      </c>
      <c r="N92" s="30" t="str">
        <f t="shared" si="8"/>
        <v>-</v>
      </c>
      <c r="O92" s="31" t="str">
        <f t="shared" si="9"/>
        <v>-</v>
      </c>
      <c r="P92" s="32" t="str">
        <f t="shared" si="10"/>
        <v>-</v>
      </c>
      <c r="R92" s="32" t="str">
        <f t="shared" si="11"/>
        <v>-</v>
      </c>
    </row>
    <row r="93" spans="1:18" x14ac:dyDescent="0.3">
      <c r="A93" s="2" t="s">
        <v>250</v>
      </c>
      <c r="B93" s="3" t="s">
        <v>1050</v>
      </c>
      <c r="C93" s="2" t="s">
        <v>251</v>
      </c>
      <c r="D93" s="2" t="s">
        <v>252</v>
      </c>
      <c r="E93" s="2"/>
      <c r="F93" s="18">
        <v>0.11</v>
      </c>
      <c r="G93" s="2"/>
      <c r="H93" s="8">
        <v>42.134400000000007</v>
      </c>
      <c r="I93" s="14"/>
      <c r="J93" s="8">
        <f t="shared" si="6"/>
        <v>0</v>
      </c>
      <c r="M93" s="30" t="str">
        <f t="shared" si="7"/>
        <v>-</v>
      </c>
      <c r="N93" s="30" t="str">
        <f t="shared" si="8"/>
        <v>-</v>
      </c>
      <c r="O93" s="31" t="str">
        <f t="shared" si="9"/>
        <v>-</v>
      </c>
      <c r="P93" s="32" t="str">
        <f t="shared" si="10"/>
        <v>-</v>
      </c>
      <c r="R93" s="32" t="str">
        <f t="shared" si="11"/>
        <v>-</v>
      </c>
    </row>
    <row r="94" spans="1:18" x14ac:dyDescent="0.3">
      <c r="A94" s="2" t="s">
        <v>253</v>
      </c>
      <c r="B94" s="3" t="s">
        <v>1053</v>
      </c>
      <c r="C94" s="2" t="s">
        <v>254</v>
      </c>
      <c r="D94" s="2" t="s">
        <v>255</v>
      </c>
      <c r="E94" s="2"/>
      <c r="F94" s="18">
        <v>0</v>
      </c>
      <c r="G94" s="2"/>
      <c r="H94" s="8">
        <v>34.92</v>
      </c>
      <c r="I94" s="14"/>
      <c r="J94" s="8">
        <f t="shared" si="6"/>
        <v>0</v>
      </c>
      <c r="M94" s="30" t="str">
        <f t="shared" si="7"/>
        <v>-</v>
      </c>
      <c r="N94" s="30" t="str">
        <f t="shared" si="8"/>
        <v>-</v>
      </c>
      <c r="O94" s="31" t="str">
        <f t="shared" si="9"/>
        <v>-</v>
      </c>
      <c r="P94" s="32" t="str">
        <f t="shared" si="10"/>
        <v>-</v>
      </c>
      <c r="R94" s="32" t="str">
        <f t="shared" si="11"/>
        <v>-</v>
      </c>
    </row>
    <row r="95" spans="1:18" x14ac:dyDescent="0.3">
      <c r="A95" s="2" t="s">
        <v>256</v>
      </c>
      <c r="B95" s="3" t="s">
        <v>1053</v>
      </c>
      <c r="C95" s="2" t="s">
        <v>257</v>
      </c>
      <c r="D95" s="2" t="s">
        <v>258</v>
      </c>
      <c r="E95" s="2"/>
      <c r="F95" s="18">
        <v>0.13</v>
      </c>
      <c r="G95" s="2"/>
      <c r="H95" s="8">
        <v>34.200000000000003</v>
      </c>
      <c r="I95" s="14"/>
      <c r="J95" s="8">
        <f t="shared" si="6"/>
        <v>0</v>
      </c>
      <c r="M95" s="30" t="str">
        <f t="shared" si="7"/>
        <v>-</v>
      </c>
      <c r="N95" s="30" t="str">
        <f t="shared" si="8"/>
        <v>-</v>
      </c>
      <c r="O95" s="31" t="str">
        <f t="shared" si="9"/>
        <v>-</v>
      </c>
      <c r="P95" s="32" t="str">
        <f t="shared" si="10"/>
        <v>-</v>
      </c>
      <c r="R95" s="32" t="str">
        <f t="shared" si="11"/>
        <v>-</v>
      </c>
    </row>
    <row r="96" spans="1:18" x14ac:dyDescent="0.3">
      <c r="A96" s="2" t="s">
        <v>259</v>
      </c>
      <c r="B96" s="3" t="s">
        <v>1054</v>
      </c>
      <c r="C96" s="2" t="s">
        <v>260</v>
      </c>
      <c r="D96" s="2" t="s">
        <v>261</v>
      </c>
      <c r="E96" s="2"/>
      <c r="F96" s="18">
        <v>0</v>
      </c>
      <c r="G96" s="2"/>
      <c r="H96" s="8">
        <v>36.720000000000006</v>
      </c>
      <c r="I96" s="14"/>
      <c r="J96" s="8">
        <f t="shared" si="6"/>
        <v>0</v>
      </c>
      <c r="M96" s="30" t="str">
        <f t="shared" si="7"/>
        <v>-</v>
      </c>
      <c r="N96" s="30" t="str">
        <f t="shared" si="8"/>
        <v>-</v>
      </c>
      <c r="O96" s="31" t="str">
        <f t="shared" si="9"/>
        <v>-</v>
      </c>
      <c r="P96" s="32" t="str">
        <f t="shared" si="10"/>
        <v>-</v>
      </c>
      <c r="R96" s="32" t="str">
        <f t="shared" si="11"/>
        <v>-</v>
      </c>
    </row>
    <row r="97" spans="1:18" x14ac:dyDescent="0.3">
      <c r="A97" s="3" t="s">
        <v>262</v>
      </c>
      <c r="B97" s="3" t="s">
        <v>1080</v>
      </c>
      <c r="C97" s="2" t="s">
        <v>263</v>
      </c>
      <c r="D97" s="2" t="s">
        <v>264</v>
      </c>
      <c r="E97" s="2"/>
      <c r="F97" s="18">
        <v>0</v>
      </c>
      <c r="G97" s="2"/>
      <c r="H97" s="8">
        <v>18.705600000000004</v>
      </c>
      <c r="I97" s="14"/>
      <c r="J97" s="8">
        <f t="shared" si="6"/>
        <v>0</v>
      </c>
      <c r="M97" s="30" t="str">
        <f t="shared" si="7"/>
        <v>-</v>
      </c>
      <c r="N97" s="30" t="str">
        <f t="shared" si="8"/>
        <v>-</v>
      </c>
      <c r="O97" s="31" t="str">
        <f t="shared" si="9"/>
        <v>-</v>
      </c>
      <c r="P97" s="32" t="str">
        <f t="shared" si="10"/>
        <v>-</v>
      </c>
      <c r="R97" s="32" t="str">
        <f t="shared" si="11"/>
        <v>-</v>
      </c>
    </row>
    <row r="98" spans="1:18" x14ac:dyDescent="0.3">
      <c r="A98" s="2" t="s">
        <v>265</v>
      </c>
      <c r="B98" s="3" t="s">
        <v>1053</v>
      </c>
      <c r="C98" s="2" t="s">
        <v>266</v>
      </c>
      <c r="D98" s="2" t="s">
        <v>267</v>
      </c>
      <c r="E98" s="2"/>
      <c r="F98" s="18">
        <v>0</v>
      </c>
      <c r="G98" s="2"/>
      <c r="H98" s="8">
        <v>41.4</v>
      </c>
      <c r="I98" s="14"/>
      <c r="J98" s="8">
        <f t="shared" si="6"/>
        <v>0</v>
      </c>
      <c r="M98" s="30" t="str">
        <f t="shared" si="7"/>
        <v>-</v>
      </c>
      <c r="N98" s="30" t="str">
        <f t="shared" si="8"/>
        <v>-</v>
      </c>
      <c r="O98" s="31" t="str">
        <f t="shared" si="9"/>
        <v>-</v>
      </c>
      <c r="P98" s="32" t="str">
        <f t="shared" si="10"/>
        <v>-</v>
      </c>
      <c r="R98" s="32" t="str">
        <f t="shared" si="11"/>
        <v>-</v>
      </c>
    </row>
    <row r="99" spans="1:18" x14ac:dyDescent="0.3">
      <c r="A99" s="2" t="s">
        <v>268</v>
      </c>
      <c r="B99" s="3" t="s">
        <v>1050</v>
      </c>
      <c r="C99" s="2" t="s">
        <v>266</v>
      </c>
      <c r="D99" s="2" t="s">
        <v>269</v>
      </c>
      <c r="E99" s="2"/>
      <c r="F99" s="18">
        <v>0.15</v>
      </c>
      <c r="G99" s="2"/>
      <c r="H99" s="8">
        <v>72.360000000000014</v>
      </c>
      <c r="I99" s="14"/>
      <c r="J99" s="8">
        <f t="shared" si="6"/>
        <v>0</v>
      </c>
      <c r="M99" s="30" t="str">
        <f t="shared" si="7"/>
        <v>-</v>
      </c>
      <c r="N99" s="30" t="str">
        <f t="shared" si="8"/>
        <v>-</v>
      </c>
      <c r="O99" s="31" t="str">
        <f t="shared" si="9"/>
        <v>-</v>
      </c>
      <c r="P99" s="32" t="str">
        <f t="shared" si="10"/>
        <v>-</v>
      </c>
      <c r="R99" s="32" t="str">
        <f t="shared" si="11"/>
        <v>-</v>
      </c>
    </row>
    <row r="100" spans="1:18" x14ac:dyDescent="0.3">
      <c r="A100" s="2" t="s">
        <v>270</v>
      </c>
      <c r="B100" s="3" t="s">
        <v>1081</v>
      </c>
      <c r="C100" s="2" t="s">
        <v>271</v>
      </c>
      <c r="D100" s="2" t="s">
        <v>272</v>
      </c>
      <c r="E100" s="2"/>
      <c r="F100" s="18">
        <v>0.28999999999999998</v>
      </c>
      <c r="G100" s="2"/>
      <c r="H100" s="8">
        <v>57.6</v>
      </c>
      <c r="I100" s="14"/>
      <c r="J100" s="8">
        <f t="shared" si="6"/>
        <v>0</v>
      </c>
      <c r="M100" s="30" t="str">
        <f t="shared" si="7"/>
        <v>-</v>
      </c>
      <c r="N100" s="30" t="str">
        <f t="shared" si="8"/>
        <v>-</v>
      </c>
      <c r="O100" s="31" t="str">
        <f t="shared" si="9"/>
        <v>-</v>
      </c>
      <c r="P100" s="32" t="str">
        <f t="shared" si="10"/>
        <v>-</v>
      </c>
      <c r="R100" s="32" t="str">
        <f t="shared" si="11"/>
        <v>-</v>
      </c>
    </row>
    <row r="101" spans="1:18" x14ac:dyDescent="0.3">
      <c r="A101" s="2" t="s">
        <v>273</v>
      </c>
      <c r="B101" s="3" t="s">
        <v>1053</v>
      </c>
      <c r="C101" s="2" t="s">
        <v>274</v>
      </c>
      <c r="D101" s="2" t="s">
        <v>275</v>
      </c>
      <c r="E101" s="2"/>
      <c r="F101" s="18">
        <v>0</v>
      </c>
      <c r="G101" s="2"/>
      <c r="H101" s="8">
        <v>40.320000000000007</v>
      </c>
      <c r="I101" s="14"/>
      <c r="J101" s="8">
        <f t="shared" si="6"/>
        <v>0</v>
      </c>
      <c r="M101" s="30" t="str">
        <f t="shared" si="7"/>
        <v>-</v>
      </c>
      <c r="N101" s="30" t="str">
        <f t="shared" si="8"/>
        <v>-</v>
      </c>
      <c r="O101" s="31" t="str">
        <f t="shared" si="9"/>
        <v>-</v>
      </c>
      <c r="P101" s="32" t="str">
        <f t="shared" si="10"/>
        <v>-</v>
      </c>
      <c r="R101" s="32" t="str">
        <f t="shared" si="11"/>
        <v>-</v>
      </c>
    </row>
    <row r="102" spans="1:18" x14ac:dyDescent="0.3">
      <c r="A102" s="2" t="s">
        <v>276</v>
      </c>
      <c r="B102" s="3" t="s">
        <v>1050</v>
      </c>
      <c r="C102" s="2" t="s">
        <v>274</v>
      </c>
      <c r="D102" s="2" t="s">
        <v>277</v>
      </c>
      <c r="E102" s="2"/>
      <c r="F102" s="18">
        <v>0</v>
      </c>
      <c r="G102" s="2"/>
      <c r="H102" s="8">
        <v>72</v>
      </c>
      <c r="I102" s="14"/>
      <c r="J102" s="8">
        <f t="shared" si="6"/>
        <v>0</v>
      </c>
      <c r="M102" s="30" t="str">
        <f t="shared" si="7"/>
        <v>-</v>
      </c>
      <c r="N102" s="30" t="str">
        <f t="shared" si="8"/>
        <v>-</v>
      </c>
      <c r="O102" s="31" t="str">
        <f t="shared" si="9"/>
        <v>-</v>
      </c>
      <c r="P102" s="32" t="str">
        <f t="shared" si="10"/>
        <v>-</v>
      </c>
      <c r="R102" s="32" t="str">
        <f t="shared" si="11"/>
        <v>-</v>
      </c>
    </row>
    <row r="103" spans="1:18" x14ac:dyDescent="0.3">
      <c r="A103" s="2" t="s">
        <v>278</v>
      </c>
      <c r="B103" s="3" t="s">
        <v>1053</v>
      </c>
      <c r="C103" s="2" t="s">
        <v>279</v>
      </c>
      <c r="D103" s="2" t="s">
        <v>280</v>
      </c>
      <c r="E103" s="2"/>
      <c r="F103" s="18">
        <v>0</v>
      </c>
      <c r="G103" s="2"/>
      <c r="H103" s="8">
        <v>31.680000000000003</v>
      </c>
      <c r="I103" s="14"/>
      <c r="J103" s="8">
        <f t="shared" si="6"/>
        <v>0</v>
      </c>
      <c r="M103" s="30" t="str">
        <f t="shared" si="7"/>
        <v>-</v>
      </c>
      <c r="N103" s="30" t="str">
        <f t="shared" si="8"/>
        <v>-</v>
      </c>
      <c r="O103" s="31" t="str">
        <f t="shared" si="9"/>
        <v>-</v>
      </c>
      <c r="P103" s="32" t="str">
        <f t="shared" si="10"/>
        <v>-</v>
      </c>
      <c r="R103" s="32" t="str">
        <f t="shared" si="11"/>
        <v>-</v>
      </c>
    </row>
    <row r="104" spans="1:18" x14ac:dyDescent="0.3">
      <c r="A104" s="2" t="s">
        <v>281</v>
      </c>
      <c r="B104" s="3" t="s">
        <v>1050</v>
      </c>
      <c r="C104" s="2" t="s">
        <v>282</v>
      </c>
      <c r="D104" s="2" t="s">
        <v>283</v>
      </c>
      <c r="E104" s="2"/>
      <c r="F104" s="18">
        <v>0</v>
      </c>
      <c r="G104" s="2"/>
      <c r="H104" s="8">
        <v>36.720000000000006</v>
      </c>
      <c r="I104" s="14"/>
      <c r="J104" s="8">
        <f t="shared" si="6"/>
        <v>0</v>
      </c>
      <c r="M104" s="30" t="str">
        <f t="shared" si="7"/>
        <v>-</v>
      </c>
      <c r="N104" s="30" t="str">
        <f t="shared" si="8"/>
        <v>-</v>
      </c>
      <c r="O104" s="31" t="str">
        <f t="shared" si="9"/>
        <v>-</v>
      </c>
      <c r="P104" s="32" t="str">
        <f t="shared" si="10"/>
        <v>-</v>
      </c>
      <c r="R104" s="32" t="str">
        <f t="shared" si="11"/>
        <v>-</v>
      </c>
    </row>
    <row r="105" spans="1:18" x14ac:dyDescent="0.3">
      <c r="A105" s="2" t="s">
        <v>284</v>
      </c>
      <c r="B105" s="3" t="s">
        <v>1082</v>
      </c>
      <c r="C105" s="2" t="s">
        <v>285</v>
      </c>
      <c r="D105" s="2" t="s">
        <v>286</v>
      </c>
      <c r="E105" s="2"/>
      <c r="F105" s="18">
        <v>0</v>
      </c>
      <c r="G105" s="2"/>
      <c r="H105" s="8">
        <v>87.48</v>
      </c>
      <c r="I105" s="14"/>
      <c r="J105" s="8">
        <f t="shared" si="6"/>
        <v>0</v>
      </c>
      <c r="M105" s="30" t="str">
        <f t="shared" si="7"/>
        <v>-</v>
      </c>
      <c r="N105" s="30" t="str">
        <f t="shared" si="8"/>
        <v>-</v>
      </c>
      <c r="O105" s="31" t="str">
        <f t="shared" si="9"/>
        <v>-</v>
      </c>
      <c r="P105" s="32" t="str">
        <f t="shared" si="10"/>
        <v>-</v>
      </c>
      <c r="R105" s="32" t="str">
        <f t="shared" si="11"/>
        <v>-</v>
      </c>
    </row>
    <row r="106" spans="1:18" x14ac:dyDescent="0.3">
      <c r="A106" s="2" t="s">
        <v>287</v>
      </c>
      <c r="B106" s="3" t="s">
        <v>1083</v>
      </c>
      <c r="C106" s="2" t="s">
        <v>288</v>
      </c>
      <c r="D106" s="2" t="s">
        <v>289</v>
      </c>
      <c r="E106" s="2"/>
      <c r="F106" s="18">
        <v>0</v>
      </c>
      <c r="G106" s="2"/>
      <c r="H106" s="8">
        <v>19.440000000000001</v>
      </c>
      <c r="I106" s="14"/>
      <c r="J106" s="8">
        <f t="shared" si="6"/>
        <v>0</v>
      </c>
      <c r="M106" s="30" t="str">
        <f t="shared" si="7"/>
        <v>-</v>
      </c>
      <c r="N106" s="30" t="str">
        <f t="shared" si="8"/>
        <v>-</v>
      </c>
      <c r="O106" s="31" t="str">
        <f t="shared" si="9"/>
        <v>-</v>
      </c>
      <c r="P106" s="32" t="str">
        <f t="shared" si="10"/>
        <v>-</v>
      </c>
      <c r="R106" s="32" t="str">
        <f t="shared" si="11"/>
        <v>-</v>
      </c>
    </row>
    <row r="107" spans="1:18" x14ac:dyDescent="0.3">
      <c r="A107" s="2" t="s">
        <v>290</v>
      </c>
      <c r="B107" s="3" t="s">
        <v>1074</v>
      </c>
      <c r="C107" s="2" t="s">
        <v>291</v>
      </c>
      <c r="D107" s="2" t="s">
        <v>292</v>
      </c>
      <c r="E107" s="2"/>
      <c r="F107" s="18">
        <v>0</v>
      </c>
      <c r="G107" s="2"/>
      <c r="H107" s="8">
        <v>56.88</v>
      </c>
      <c r="I107" s="14"/>
      <c r="J107" s="8">
        <f t="shared" si="6"/>
        <v>0</v>
      </c>
      <c r="M107" s="30" t="str">
        <f t="shared" si="7"/>
        <v>-</v>
      </c>
      <c r="N107" s="30" t="str">
        <f t="shared" si="8"/>
        <v>-</v>
      </c>
      <c r="O107" s="31" t="str">
        <f t="shared" si="9"/>
        <v>-</v>
      </c>
      <c r="P107" s="32" t="str">
        <f t="shared" si="10"/>
        <v>-</v>
      </c>
      <c r="R107" s="32" t="str">
        <f t="shared" si="11"/>
        <v>-</v>
      </c>
    </row>
    <row r="108" spans="1:18" x14ac:dyDescent="0.3">
      <c r="A108" s="2" t="s">
        <v>293</v>
      </c>
      <c r="B108" s="3" t="s">
        <v>1061</v>
      </c>
      <c r="C108" s="2" t="s">
        <v>271</v>
      </c>
      <c r="D108" s="2" t="s">
        <v>294</v>
      </c>
      <c r="E108" s="2"/>
      <c r="F108" s="18">
        <v>0.24</v>
      </c>
      <c r="G108" s="2"/>
      <c r="H108" s="8">
        <v>64.08</v>
      </c>
      <c r="I108" s="14"/>
      <c r="J108" s="8">
        <f t="shared" si="6"/>
        <v>0</v>
      </c>
      <c r="M108" s="30" t="str">
        <f t="shared" si="7"/>
        <v>-</v>
      </c>
      <c r="N108" s="30" t="str">
        <f t="shared" si="8"/>
        <v>-</v>
      </c>
      <c r="O108" s="31" t="str">
        <f t="shared" si="9"/>
        <v>-</v>
      </c>
      <c r="P108" s="32" t="str">
        <f t="shared" si="10"/>
        <v>-</v>
      </c>
      <c r="R108" s="32" t="str">
        <f t="shared" si="11"/>
        <v>-</v>
      </c>
    </row>
    <row r="109" spans="1:18" x14ac:dyDescent="0.3">
      <c r="A109" s="2" t="s">
        <v>295</v>
      </c>
      <c r="B109" s="3" t="s">
        <v>1050</v>
      </c>
      <c r="C109" s="2" t="s">
        <v>296</v>
      </c>
      <c r="D109" s="2" t="s">
        <v>297</v>
      </c>
      <c r="E109" s="2"/>
      <c r="F109" s="18">
        <v>0</v>
      </c>
      <c r="G109" s="2"/>
      <c r="H109" s="8">
        <v>50.760000000000005</v>
      </c>
      <c r="I109" s="14"/>
      <c r="J109" s="8">
        <f t="shared" si="6"/>
        <v>0</v>
      </c>
      <c r="M109" s="30" t="str">
        <f t="shared" si="7"/>
        <v>-</v>
      </c>
      <c r="N109" s="30" t="str">
        <f t="shared" si="8"/>
        <v>-</v>
      </c>
      <c r="O109" s="31" t="str">
        <f t="shared" si="9"/>
        <v>-</v>
      </c>
      <c r="P109" s="32" t="str">
        <f t="shared" si="10"/>
        <v>-</v>
      </c>
      <c r="R109" s="32" t="str">
        <f t="shared" si="11"/>
        <v>-</v>
      </c>
    </row>
    <row r="110" spans="1:18" x14ac:dyDescent="0.3">
      <c r="A110" s="2" t="s">
        <v>298</v>
      </c>
      <c r="B110" s="3" t="s">
        <v>1050</v>
      </c>
      <c r="C110" s="2" t="s">
        <v>299</v>
      </c>
      <c r="D110" s="2" t="s">
        <v>300</v>
      </c>
      <c r="E110" s="2"/>
      <c r="F110" s="18">
        <v>0</v>
      </c>
      <c r="G110" s="2"/>
      <c r="H110" s="8">
        <v>43.2</v>
      </c>
      <c r="I110" s="14"/>
      <c r="J110" s="8">
        <f t="shared" si="6"/>
        <v>0</v>
      </c>
      <c r="M110" s="30" t="str">
        <f t="shared" si="7"/>
        <v>-</v>
      </c>
      <c r="N110" s="30" t="str">
        <f t="shared" si="8"/>
        <v>-</v>
      </c>
      <c r="O110" s="31" t="str">
        <f t="shared" si="9"/>
        <v>-</v>
      </c>
      <c r="P110" s="32" t="str">
        <f t="shared" si="10"/>
        <v>-</v>
      </c>
      <c r="R110" s="32" t="str">
        <f t="shared" si="11"/>
        <v>-</v>
      </c>
    </row>
    <row r="111" spans="1:18" x14ac:dyDescent="0.3">
      <c r="A111" s="2" t="s">
        <v>301</v>
      </c>
      <c r="B111" s="3" t="s">
        <v>1084</v>
      </c>
      <c r="C111" s="2" t="s">
        <v>302</v>
      </c>
      <c r="D111" s="2" t="s">
        <v>303</v>
      </c>
      <c r="E111" s="2"/>
      <c r="F111" s="18">
        <v>0</v>
      </c>
      <c r="G111" s="2"/>
      <c r="H111" s="8">
        <v>46.080000000000005</v>
      </c>
      <c r="I111" s="14"/>
      <c r="J111" s="8">
        <f t="shared" si="6"/>
        <v>0</v>
      </c>
      <c r="M111" s="30" t="str">
        <f t="shared" si="7"/>
        <v>-</v>
      </c>
      <c r="N111" s="30" t="str">
        <f t="shared" si="8"/>
        <v>-</v>
      </c>
      <c r="O111" s="31" t="str">
        <f t="shared" si="9"/>
        <v>-</v>
      </c>
      <c r="P111" s="32" t="str">
        <f t="shared" si="10"/>
        <v>-</v>
      </c>
      <c r="R111" s="32" t="str">
        <f t="shared" si="11"/>
        <v>-</v>
      </c>
    </row>
    <row r="112" spans="1:18" x14ac:dyDescent="0.3">
      <c r="A112" s="2" t="s">
        <v>304</v>
      </c>
      <c r="B112" s="3" t="s">
        <v>1075</v>
      </c>
      <c r="C112" s="2" t="s">
        <v>305</v>
      </c>
      <c r="D112" s="2" t="s">
        <v>306</v>
      </c>
      <c r="E112" s="2"/>
      <c r="F112" s="18">
        <v>0</v>
      </c>
      <c r="G112" s="2"/>
      <c r="H112" s="8">
        <v>22.32</v>
      </c>
      <c r="I112" s="14"/>
      <c r="J112" s="8">
        <f t="shared" si="6"/>
        <v>0</v>
      </c>
      <c r="M112" s="30" t="str">
        <f t="shared" si="7"/>
        <v>-</v>
      </c>
      <c r="N112" s="30" t="str">
        <f t="shared" si="8"/>
        <v>-</v>
      </c>
      <c r="O112" s="31" t="str">
        <f t="shared" si="9"/>
        <v>-</v>
      </c>
      <c r="P112" s="32" t="str">
        <f t="shared" si="10"/>
        <v>-</v>
      </c>
      <c r="R112" s="32" t="str">
        <f t="shared" si="11"/>
        <v>-</v>
      </c>
    </row>
    <row r="113" spans="1:18" x14ac:dyDescent="0.3">
      <c r="A113" s="2" t="s">
        <v>307</v>
      </c>
      <c r="B113" s="3" t="s">
        <v>1050</v>
      </c>
      <c r="C113" s="2" t="s">
        <v>308</v>
      </c>
      <c r="D113" s="2" t="s">
        <v>309</v>
      </c>
      <c r="E113" s="2"/>
      <c r="F113" s="18">
        <v>0</v>
      </c>
      <c r="G113" s="2"/>
      <c r="H113" s="8">
        <v>45.720000000000006</v>
      </c>
      <c r="I113" s="14"/>
      <c r="J113" s="8">
        <f t="shared" si="6"/>
        <v>0</v>
      </c>
      <c r="M113" s="30" t="str">
        <f t="shared" si="7"/>
        <v>-</v>
      </c>
      <c r="N113" s="30" t="str">
        <f t="shared" si="8"/>
        <v>-</v>
      </c>
      <c r="O113" s="31" t="str">
        <f t="shared" si="9"/>
        <v>-</v>
      </c>
      <c r="P113" s="32" t="str">
        <f t="shared" si="10"/>
        <v>-</v>
      </c>
      <c r="R113" s="32" t="str">
        <f t="shared" si="11"/>
        <v>-</v>
      </c>
    </row>
    <row r="114" spans="1:18" x14ac:dyDescent="0.3">
      <c r="A114" s="2" t="s">
        <v>310</v>
      </c>
      <c r="B114" s="3" t="s">
        <v>1053</v>
      </c>
      <c r="C114" s="2" t="s">
        <v>311</v>
      </c>
      <c r="D114" s="2" t="s">
        <v>312</v>
      </c>
      <c r="E114" s="2"/>
      <c r="F114" s="18">
        <v>0</v>
      </c>
      <c r="G114" s="2"/>
      <c r="H114" s="8">
        <v>39.6</v>
      </c>
      <c r="I114" s="14"/>
      <c r="J114" s="8">
        <f t="shared" si="6"/>
        <v>0</v>
      </c>
      <c r="M114" s="30" t="str">
        <f t="shared" si="7"/>
        <v>-</v>
      </c>
      <c r="N114" s="30" t="str">
        <f t="shared" si="8"/>
        <v>-</v>
      </c>
      <c r="O114" s="31" t="str">
        <f t="shared" si="9"/>
        <v>-</v>
      </c>
      <c r="P114" s="32" t="str">
        <f t="shared" si="10"/>
        <v>-</v>
      </c>
      <c r="R114" s="32" t="str">
        <f t="shared" si="11"/>
        <v>-</v>
      </c>
    </row>
    <row r="115" spans="1:18" x14ac:dyDescent="0.3">
      <c r="A115" s="2" t="s">
        <v>313</v>
      </c>
      <c r="B115" s="3" t="s">
        <v>1050</v>
      </c>
      <c r="C115" s="2" t="s">
        <v>314</v>
      </c>
      <c r="D115" s="2" t="s">
        <v>315</v>
      </c>
      <c r="E115" s="2"/>
      <c r="F115" s="18">
        <v>0</v>
      </c>
      <c r="G115" s="2"/>
      <c r="H115" s="8">
        <v>50.760000000000005</v>
      </c>
      <c r="I115" s="14"/>
      <c r="J115" s="8">
        <f t="shared" si="6"/>
        <v>0</v>
      </c>
      <c r="M115" s="30" t="str">
        <f t="shared" si="7"/>
        <v>-</v>
      </c>
      <c r="N115" s="30" t="str">
        <f t="shared" si="8"/>
        <v>-</v>
      </c>
      <c r="O115" s="31" t="str">
        <f t="shared" si="9"/>
        <v>-</v>
      </c>
      <c r="P115" s="32" t="str">
        <f t="shared" si="10"/>
        <v>-</v>
      </c>
      <c r="R115" s="32" t="str">
        <f t="shared" si="11"/>
        <v>-</v>
      </c>
    </row>
    <row r="116" spans="1:18" x14ac:dyDescent="0.3">
      <c r="A116" s="2" t="s">
        <v>316</v>
      </c>
      <c r="B116" s="3" t="s">
        <v>1054</v>
      </c>
      <c r="C116" s="2" t="s">
        <v>317</v>
      </c>
      <c r="D116" s="2" t="s">
        <v>318</v>
      </c>
      <c r="E116" s="2"/>
      <c r="F116" s="18">
        <v>0</v>
      </c>
      <c r="G116" s="2"/>
      <c r="H116" s="8">
        <v>26.64</v>
      </c>
      <c r="I116" s="14"/>
      <c r="J116" s="8">
        <f t="shared" si="6"/>
        <v>0</v>
      </c>
      <c r="M116" s="30" t="str">
        <f t="shared" si="7"/>
        <v>-</v>
      </c>
      <c r="N116" s="30" t="str">
        <f t="shared" si="8"/>
        <v>-</v>
      </c>
      <c r="O116" s="31" t="str">
        <f t="shared" si="9"/>
        <v>-</v>
      </c>
      <c r="P116" s="32" t="str">
        <f t="shared" si="10"/>
        <v>-</v>
      </c>
      <c r="R116" s="32" t="str">
        <f t="shared" si="11"/>
        <v>-</v>
      </c>
    </row>
    <row r="117" spans="1:18" x14ac:dyDescent="0.3">
      <c r="A117" s="2" t="s">
        <v>319</v>
      </c>
      <c r="B117" s="3" t="s">
        <v>1053</v>
      </c>
      <c r="C117" s="2" t="s">
        <v>320</v>
      </c>
      <c r="D117" s="2" t="s">
        <v>321</v>
      </c>
      <c r="E117" s="2"/>
      <c r="F117" s="18">
        <v>0</v>
      </c>
      <c r="G117" s="2"/>
      <c r="H117" s="8">
        <v>33.120000000000005</v>
      </c>
      <c r="I117" s="14"/>
      <c r="J117" s="8">
        <f t="shared" si="6"/>
        <v>0</v>
      </c>
      <c r="M117" s="30" t="str">
        <f t="shared" si="7"/>
        <v>-</v>
      </c>
      <c r="N117" s="30" t="str">
        <f t="shared" si="8"/>
        <v>-</v>
      </c>
      <c r="O117" s="31" t="str">
        <f t="shared" si="9"/>
        <v>-</v>
      </c>
      <c r="P117" s="32" t="str">
        <f t="shared" si="10"/>
        <v>-</v>
      </c>
      <c r="R117" s="32" t="str">
        <f t="shared" si="11"/>
        <v>-</v>
      </c>
    </row>
    <row r="118" spans="1:18" x14ac:dyDescent="0.3">
      <c r="A118" s="2" t="s">
        <v>322</v>
      </c>
      <c r="B118" s="3" t="s">
        <v>1053</v>
      </c>
      <c r="C118" s="2" t="s">
        <v>323</v>
      </c>
      <c r="D118" s="2" t="s">
        <v>324</v>
      </c>
      <c r="E118" s="2"/>
      <c r="F118" s="18">
        <v>0</v>
      </c>
      <c r="G118" s="2"/>
      <c r="H118" s="8">
        <v>21.96</v>
      </c>
      <c r="I118" s="14"/>
      <c r="J118" s="8">
        <f t="shared" si="6"/>
        <v>0</v>
      </c>
      <c r="M118" s="30" t="str">
        <f t="shared" si="7"/>
        <v>-</v>
      </c>
      <c r="N118" s="30" t="str">
        <f t="shared" si="8"/>
        <v>-</v>
      </c>
      <c r="O118" s="31" t="str">
        <f t="shared" si="9"/>
        <v>-</v>
      </c>
      <c r="P118" s="32" t="str">
        <f t="shared" si="10"/>
        <v>-</v>
      </c>
      <c r="R118" s="32" t="str">
        <f t="shared" si="11"/>
        <v>-</v>
      </c>
    </row>
    <row r="119" spans="1:18" x14ac:dyDescent="0.3">
      <c r="A119" s="2" t="s">
        <v>325</v>
      </c>
      <c r="B119" s="3" t="s">
        <v>1050</v>
      </c>
      <c r="C119" s="2" t="s">
        <v>323</v>
      </c>
      <c r="D119" s="2" t="s">
        <v>326</v>
      </c>
      <c r="E119" s="2"/>
      <c r="F119" s="18">
        <v>0</v>
      </c>
      <c r="G119" s="2"/>
      <c r="H119" s="8">
        <v>37.080000000000005</v>
      </c>
      <c r="I119" s="14"/>
      <c r="J119" s="8">
        <f t="shared" si="6"/>
        <v>0</v>
      </c>
      <c r="M119" s="30" t="str">
        <f t="shared" si="7"/>
        <v>-</v>
      </c>
      <c r="N119" s="30" t="str">
        <f t="shared" si="8"/>
        <v>-</v>
      </c>
      <c r="O119" s="31" t="str">
        <f t="shared" si="9"/>
        <v>-</v>
      </c>
      <c r="P119" s="32" t="str">
        <f t="shared" si="10"/>
        <v>-</v>
      </c>
      <c r="R119" s="32" t="str">
        <f t="shared" si="11"/>
        <v>-</v>
      </c>
    </row>
    <row r="120" spans="1:18" x14ac:dyDescent="0.3">
      <c r="A120" s="2" t="s">
        <v>327</v>
      </c>
      <c r="B120" s="3" t="s">
        <v>1080</v>
      </c>
      <c r="C120" s="2" t="s">
        <v>328</v>
      </c>
      <c r="D120" s="2" t="s">
        <v>329</v>
      </c>
      <c r="E120" s="2"/>
      <c r="F120" s="18">
        <v>0</v>
      </c>
      <c r="G120" s="2"/>
      <c r="H120" s="8">
        <v>36.360000000000007</v>
      </c>
      <c r="I120" s="14"/>
      <c r="J120" s="8">
        <f t="shared" si="6"/>
        <v>0</v>
      </c>
      <c r="M120" s="30" t="str">
        <f t="shared" si="7"/>
        <v>-</v>
      </c>
      <c r="N120" s="30" t="str">
        <f t="shared" si="8"/>
        <v>-</v>
      </c>
      <c r="O120" s="31" t="str">
        <f t="shared" si="9"/>
        <v>-</v>
      </c>
      <c r="P120" s="32" t="str">
        <f t="shared" si="10"/>
        <v>-</v>
      </c>
      <c r="R120" s="32" t="str">
        <f t="shared" si="11"/>
        <v>-</v>
      </c>
    </row>
    <row r="121" spans="1:18" x14ac:dyDescent="0.3">
      <c r="A121" s="2" t="s">
        <v>330</v>
      </c>
      <c r="B121" s="3" t="s">
        <v>1053</v>
      </c>
      <c r="C121" s="2" t="s">
        <v>331</v>
      </c>
      <c r="D121" s="2" t="s">
        <v>332</v>
      </c>
      <c r="E121" s="2"/>
      <c r="F121" s="18">
        <v>0</v>
      </c>
      <c r="G121" s="2"/>
      <c r="H121" s="8">
        <v>59.760000000000005</v>
      </c>
      <c r="I121" s="14"/>
      <c r="J121" s="8">
        <f t="shared" si="6"/>
        <v>0</v>
      </c>
      <c r="M121" s="30" t="str">
        <f t="shared" si="7"/>
        <v>-</v>
      </c>
      <c r="N121" s="30" t="str">
        <f t="shared" si="8"/>
        <v>-</v>
      </c>
      <c r="O121" s="31" t="str">
        <f t="shared" si="9"/>
        <v>-</v>
      </c>
      <c r="P121" s="32" t="str">
        <f t="shared" si="10"/>
        <v>-</v>
      </c>
      <c r="R121" s="32" t="str">
        <f t="shared" si="11"/>
        <v>-</v>
      </c>
    </row>
    <row r="122" spans="1:18" x14ac:dyDescent="0.3">
      <c r="A122" s="2" t="s">
        <v>333</v>
      </c>
      <c r="B122" s="3" t="s">
        <v>1050</v>
      </c>
      <c r="C122" s="2" t="s">
        <v>334</v>
      </c>
      <c r="D122" s="2" t="s">
        <v>335</v>
      </c>
      <c r="E122" s="2"/>
      <c r="F122" s="18">
        <v>0</v>
      </c>
      <c r="G122" s="2"/>
      <c r="H122" s="8">
        <v>46.728000000000009</v>
      </c>
      <c r="I122" s="14"/>
      <c r="J122" s="8">
        <f t="shared" si="6"/>
        <v>0</v>
      </c>
      <c r="M122" s="30" t="str">
        <f t="shared" si="7"/>
        <v>-</v>
      </c>
      <c r="N122" s="30" t="str">
        <f t="shared" si="8"/>
        <v>-</v>
      </c>
      <c r="O122" s="31" t="str">
        <f t="shared" si="9"/>
        <v>-</v>
      </c>
      <c r="P122" s="32" t="str">
        <f t="shared" si="10"/>
        <v>-</v>
      </c>
      <c r="R122" s="32" t="str">
        <f t="shared" si="11"/>
        <v>-</v>
      </c>
    </row>
    <row r="123" spans="1:18" x14ac:dyDescent="0.3">
      <c r="A123" s="2" t="s">
        <v>336</v>
      </c>
      <c r="B123" s="3" t="s">
        <v>1085</v>
      </c>
      <c r="C123" s="2" t="s">
        <v>337</v>
      </c>
      <c r="D123" s="2" t="s">
        <v>338</v>
      </c>
      <c r="E123" s="2"/>
      <c r="F123" s="18">
        <v>0</v>
      </c>
      <c r="G123" s="2"/>
      <c r="H123" s="8">
        <v>53.64</v>
      </c>
      <c r="I123" s="14"/>
      <c r="J123" s="8">
        <f t="shared" si="6"/>
        <v>0</v>
      </c>
      <c r="M123" s="30" t="str">
        <f t="shared" si="7"/>
        <v>-</v>
      </c>
      <c r="N123" s="30" t="str">
        <f t="shared" si="8"/>
        <v>-</v>
      </c>
      <c r="O123" s="31" t="str">
        <f t="shared" si="9"/>
        <v>-</v>
      </c>
      <c r="P123" s="32" t="str">
        <f t="shared" si="10"/>
        <v>-</v>
      </c>
      <c r="R123" s="32" t="str">
        <f t="shared" si="11"/>
        <v>-</v>
      </c>
    </row>
    <row r="124" spans="1:18" x14ac:dyDescent="0.3">
      <c r="A124" s="2" t="s">
        <v>339</v>
      </c>
      <c r="B124" s="3" t="s">
        <v>1050</v>
      </c>
      <c r="C124" s="2" t="s">
        <v>340</v>
      </c>
      <c r="D124" s="2" t="s">
        <v>341</v>
      </c>
      <c r="E124" s="2"/>
      <c r="F124" s="18">
        <v>0</v>
      </c>
      <c r="G124" s="2"/>
      <c r="H124" s="8">
        <v>52.2</v>
      </c>
      <c r="I124" s="14"/>
      <c r="J124" s="8">
        <f t="shared" si="6"/>
        <v>0</v>
      </c>
      <c r="M124" s="30" t="str">
        <f t="shared" si="7"/>
        <v>-</v>
      </c>
      <c r="N124" s="30" t="str">
        <f t="shared" si="8"/>
        <v>-</v>
      </c>
      <c r="O124" s="31" t="str">
        <f t="shared" si="9"/>
        <v>-</v>
      </c>
      <c r="P124" s="32" t="str">
        <f t="shared" si="10"/>
        <v>-</v>
      </c>
      <c r="R124" s="32" t="str">
        <f t="shared" si="11"/>
        <v>-</v>
      </c>
    </row>
    <row r="125" spans="1:18" x14ac:dyDescent="0.3">
      <c r="A125" s="2" t="s">
        <v>342</v>
      </c>
      <c r="B125" s="3" t="s">
        <v>1050</v>
      </c>
      <c r="C125" s="2" t="s">
        <v>343</v>
      </c>
      <c r="D125" s="2" t="s">
        <v>344</v>
      </c>
      <c r="E125" s="2"/>
      <c r="F125" s="18">
        <v>0</v>
      </c>
      <c r="G125" s="2"/>
      <c r="H125" s="8">
        <v>35.64</v>
      </c>
      <c r="I125" s="14"/>
      <c r="J125" s="8">
        <f t="shared" si="6"/>
        <v>0</v>
      </c>
      <c r="M125" s="30" t="str">
        <f t="shared" si="7"/>
        <v>-</v>
      </c>
      <c r="N125" s="30" t="str">
        <f t="shared" si="8"/>
        <v>-</v>
      </c>
      <c r="O125" s="31" t="str">
        <f t="shared" si="9"/>
        <v>-</v>
      </c>
      <c r="P125" s="32" t="str">
        <f t="shared" si="10"/>
        <v>-</v>
      </c>
      <c r="R125" s="32" t="str">
        <f t="shared" si="11"/>
        <v>-</v>
      </c>
    </row>
    <row r="126" spans="1:18" x14ac:dyDescent="0.3">
      <c r="A126" s="2" t="s">
        <v>345</v>
      </c>
      <c r="B126" s="3" t="s">
        <v>1053</v>
      </c>
      <c r="C126" s="2" t="s">
        <v>346</v>
      </c>
      <c r="D126" s="2" t="s">
        <v>347</v>
      </c>
      <c r="E126" s="2"/>
      <c r="F126" s="18">
        <v>0.18</v>
      </c>
      <c r="G126" s="2"/>
      <c r="H126" s="8">
        <v>26.64</v>
      </c>
      <c r="I126" s="14"/>
      <c r="J126" s="8">
        <f t="shared" si="6"/>
        <v>0</v>
      </c>
      <c r="M126" s="30" t="str">
        <f t="shared" si="7"/>
        <v>-</v>
      </c>
      <c r="N126" s="30" t="str">
        <f t="shared" si="8"/>
        <v>-</v>
      </c>
      <c r="O126" s="31" t="str">
        <f t="shared" si="9"/>
        <v>-</v>
      </c>
      <c r="P126" s="32" t="str">
        <f t="shared" si="10"/>
        <v>-</v>
      </c>
      <c r="R126" s="32" t="str">
        <f t="shared" si="11"/>
        <v>-</v>
      </c>
    </row>
    <row r="127" spans="1:18" x14ac:dyDescent="0.3">
      <c r="A127" s="2" t="s">
        <v>348</v>
      </c>
      <c r="B127" s="3" t="s">
        <v>1050</v>
      </c>
      <c r="C127" s="2" t="s">
        <v>346</v>
      </c>
      <c r="D127" s="2" t="s">
        <v>349</v>
      </c>
      <c r="E127" s="2"/>
      <c r="F127" s="18">
        <v>0.31</v>
      </c>
      <c r="G127" s="2"/>
      <c r="H127" s="8">
        <v>48.960000000000008</v>
      </c>
      <c r="I127" s="14"/>
      <c r="J127" s="8">
        <f t="shared" si="6"/>
        <v>0</v>
      </c>
      <c r="M127" s="30" t="str">
        <f t="shared" si="7"/>
        <v>-</v>
      </c>
      <c r="N127" s="30" t="str">
        <f t="shared" si="8"/>
        <v>-</v>
      </c>
      <c r="O127" s="31" t="str">
        <f t="shared" si="9"/>
        <v>-</v>
      </c>
      <c r="P127" s="32" t="str">
        <f t="shared" si="10"/>
        <v>-</v>
      </c>
      <c r="R127" s="32" t="str">
        <f t="shared" si="11"/>
        <v>-</v>
      </c>
    </row>
    <row r="128" spans="1:18" x14ac:dyDescent="0.3">
      <c r="A128" s="2" t="s">
        <v>350</v>
      </c>
      <c r="B128" s="3" t="s">
        <v>1052</v>
      </c>
      <c r="C128" s="2" t="s">
        <v>346</v>
      </c>
      <c r="D128" s="2" t="s">
        <v>351</v>
      </c>
      <c r="E128" s="2"/>
      <c r="F128" s="18">
        <v>0.24</v>
      </c>
      <c r="G128" s="2"/>
      <c r="H128" s="8">
        <v>88.920000000000016</v>
      </c>
      <c r="I128" s="14"/>
      <c r="J128" s="8">
        <f t="shared" si="6"/>
        <v>0</v>
      </c>
      <c r="M128" s="30" t="str">
        <f t="shared" si="7"/>
        <v>-</v>
      </c>
      <c r="N128" s="30" t="str">
        <f t="shared" si="8"/>
        <v>-</v>
      </c>
      <c r="O128" s="31" t="str">
        <f t="shared" si="9"/>
        <v>-</v>
      </c>
      <c r="P128" s="32" t="str">
        <f t="shared" si="10"/>
        <v>-</v>
      </c>
      <c r="R128" s="32" t="str">
        <f t="shared" si="11"/>
        <v>-</v>
      </c>
    </row>
    <row r="129" spans="1:18" x14ac:dyDescent="0.3">
      <c r="A129" s="2" t="s">
        <v>352</v>
      </c>
      <c r="B129" s="3" t="s">
        <v>1050</v>
      </c>
      <c r="C129" s="2" t="s">
        <v>353</v>
      </c>
      <c r="D129" s="2" t="s">
        <v>354</v>
      </c>
      <c r="E129" s="2"/>
      <c r="F129" s="18">
        <v>0</v>
      </c>
      <c r="G129" s="2"/>
      <c r="H129" s="8">
        <v>28.44</v>
      </c>
      <c r="I129" s="14"/>
      <c r="J129" s="8">
        <f t="shared" si="6"/>
        <v>0</v>
      </c>
      <c r="M129" s="30" t="str">
        <f t="shared" si="7"/>
        <v>-</v>
      </c>
      <c r="N129" s="30" t="str">
        <f t="shared" si="8"/>
        <v>-</v>
      </c>
      <c r="O129" s="31" t="str">
        <f t="shared" si="9"/>
        <v>-</v>
      </c>
      <c r="P129" s="32" t="str">
        <f t="shared" si="10"/>
        <v>-</v>
      </c>
      <c r="R129" s="32" t="str">
        <f t="shared" si="11"/>
        <v>-</v>
      </c>
    </row>
    <row r="130" spans="1:18" x14ac:dyDescent="0.3">
      <c r="A130" s="2" t="s">
        <v>355</v>
      </c>
      <c r="B130" s="3" t="s">
        <v>1086</v>
      </c>
      <c r="C130" s="2" t="s">
        <v>356</v>
      </c>
      <c r="D130" s="2" t="s">
        <v>357</v>
      </c>
      <c r="E130" s="2"/>
      <c r="F130" s="18">
        <v>0</v>
      </c>
      <c r="G130" s="2"/>
      <c r="H130" s="8">
        <v>42.480000000000004</v>
      </c>
      <c r="I130" s="14"/>
      <c r="J130" s="8">
        <f t="shared" si="6"/>
        <v>0</v>
      </c>
      <c r="M130" s="30" t="str">
        <f t="shared" si="7"/>
        <v>-</v>
      </c>
      <c r="N130" s="30" t="str">
        <f t="shared" si="8"/>
        <v>-</v>
      </c>
      <c r="O130" s="31" t="str">
        <f t="shared" si="9"/>
        <v>-</v>
      </c>
      <c r="P130" s="32" t="str">
        <f t="shared" si="10"/>
        <v>-</v>
      </c>
      <c r="R130" s="32" t="str">
        <f t="shared" si="11"/>
        <v>-</v>
      </c>
    </row>
    <row r="131" spans="1:18" x14ac:dyDescent="0.3">
      <c r="A131" s="2" t="s">
        <v>358</v>
      </c>
      <c r="B131" s="3" t="s">
        <v>1084</v>
      </c>
      <c r="C131" s="2" t="s">
        <v>359</v>
      </c>
      <c r="D131" s="2" t="s">
        <v>360</v>
      </c>
      <c r="E131" s="2"/>
      <c r="F131" s="18">
        <v>0</v>
      </c>
      <c r="G131" s="2"/>
      <c r="H131" s="8">
        <v>28.44</v>
      </c>
      <c r="I131" s="14"/>
      <c r="J131" s="8">
        <f t="shared" si="6"/>
        <v>0</v>
      </c>
      <c r="M131" s="30" t="str">
        <f t="shared" si="7"/>
        <v>-</v>
      </c>
      <c r="N131" s="30" t="str">
        <f t="shared" si="8"/>
        <v>-</v>
      </c>
      <c r="O131" s="31" t="str">
        <f t="shared" si="9"/>
        <v>-</v>
      </c>
      <c r="P131" s="32" t="str">
        <f t="shared" si="10"/>
        <v>-</v>
      </c>
      <c r="R131" s="32" t="str">
        <f t="shared" si="11"/>
        <v>-</v>
      </c>
    </row>
    <row r="132" spans="1:18" x14ac:dyDescent="0.3">
      <c r="A132" s="2" t="s">
        <v>361</v>
      </c>
      <c r="B132" s="3" t="s">
        <v>1053</v>
      </c>
      <c r="C132" s="2" t="s">
        <v>362</v>
      </c>
      <c r="D132" s="2" t="s">
        <v>363</v>
      </c>
      <c r="E132" s="2"/>
      <c r="F132" s="18">
        <v>0.19</v>
      </c>
      <c r="G132" s="2"/>
      <c r="H132" s="8">
        <v>34.92</v>
      </c>
      <c r="I132" s="14"/>
      <c r="J132" s="8">
        <f t="shared" ref="J132:J195" si="12">I132*H132</f>
        <v>0</v>
      </c>
      <c r="M132" s="30" t="str">
        <f t="shared" ref="M132:M195" si="13">IFERROR(IF($M$2*F132=0, "-", $M$2*F132), "-")</f>
        <v>-</v>
      </c>
      <c r="N132" s="30" t="str">
        <f t="shared" ref="N132:N195" si="14">IF(I132&gt;0,H132+F132*I132/$O$2*$P$2/I132,"-")</f>
        <v>-</v>
      </c>
      <c r="O132" s="31" t="str">
        <f t="shared" ref="O132:O195" si="15">IF(I132&gt;0,I132*F132*1.113, "-")</f>
        <v>-</v>
      </c>
      <c r="P132" s="32" t="str">
        <f t="shared" ref="P132:P195" si="16">IFERROR(IF($M$2&gt;0, $M$2*O132, "-"), "-")</f>
        <v>-</v>
      </c>
      <c r="R132" s="32" t="str">
        <f t="shared" ref="R132:R195" si="17">IFERROR(IF(P132+J132=0, "-", IF(P132&gt;0, P132+J132, "-")), "-")</f>
        <v>-</v>
      </c>
    </row>
    <row r="133" spans="1:18" x14ac:dyDescent="0.3">
      <c r="A133" s="2" t="s">
        <v>364</v>
      </c>
      <c r="B133" s="3" t="s">
        <v>1050</v>
      </c>
      <c r="C133" s="2" t="s">
        <v>365</v>
      </c>
      <c r="D133" s="2" t="s">
        <v>366</v>
      </c>
      <c r="E133" s="2"/>
      <c r="F133" s="18">
        <v>0</v>
      </c>
      <c r="G133" s="2"/>
      <c r="H133" s="8">
        <v>20.880000000000003</v>
      </c>
      <c r="I133" s="14"/>
      <c r="J133" s="8">
        <f t="shared" si="12"/>
        <v>0</v>
      </c>
      <c r="M133" s="30" t="str">
        <f t="shared" si="13"/>
        <v>-</v>
      </c>
      <c r="N133" s="30" t="str">
        <f t="shared" si="14"/>
        <v>-</v>
      </c>
      <c r="O133" s="31" t="str">
        <f t="shared" si="15"/>
        <v>-</v>
      </c>
      <c r="P133" s="32" t="str">
        <f t="shared" si="16"/>
        <v>-</v>
      </c>
      <c r="R133" s="32" t="str">
        <f t="shared" si="17"/>
        <v>-</v>
      </c>
    </row>
    <row r="134" spans="1:18" x14ac:dyDescent="0.3">
      <c r="A134" s="2" t="s">
        <v>367</v>
      </c>
      <c r="B134" s="3" t="s">
        <v>1087</v>
      </c>
      <c r="C134" s="2" t="s">
        <v>368</v>
      </c>
      <c r="D134" s="2" t="s">
        <v>369</v>
      </c>
      <c r="E134" s="2"/>
      <c r="F134" s="18">
        <v>0</v>
      </c>
      <c r="G134" s="2"/>
      <c r="H134" s="8">
        <v>90</v>
      </c>
      <c r="I134" s="14"/>
      <c r="J134" s="8">
        <f t="shared" si="12"/>
        <v>0</v>
      </c>
      <c r="M134" s="30" t="str">
        <f t="shared" si="13"/>
        <v>-</v>
      </c>
      <c r="N134" s="30" t="str">
        <f t="shared" si="14"/>
        <v>-</v>
      </c>
      <c r="O134" s="31" t="str">
        <f t="shared" si="15"/>
        <v>-</v>
      </c>
      <c r="P134" s="32" t="str">
        <f t="shared" si="16"/>
        <v>-</v>
      </c>
      <c r="R134" s="32" t="str">
        <f t="shared" si="17"/>
        <v>-</v>
      </c>
    </row>
    <row r="135" spans="1:18" x14ac:dyDescent="0.3">
      <c r="A135" s="2" t="s">
        <v>370</v>
      </c>
      <c r="B135" s="3" t="s">
        <v>1053</v>
      </c>
      <c r="C135" s="2" t="s">
        <v>371</v>
      </c>
      <c r="D135" s="2" t="s">
        <v>372</v>
      </c>
      <c r="E135" s="2"/>
      <c r="F135" s="18">
        <v>0</v>
      </c>
      <c r="G135" s="2"/>
      <c r="H135" s="8">
        <v>56.88</v>
      </c>
      <c r="I135" s="14"/>
      <c r="J135" s="8">
        <f t="shared" si="12"/>
        <v>0</v>
      </c>
      <c r="M135" s="30" t="str">
        <f t="shared" si="13"/>
        <v>-</v>
      </c>
      <c r="N135" s="30" t="str">
        <f t="shared" si="14"/>
        <v>-</v>
      </c>
      <c r="O135" s="31" t="str">
        <f t="shared" si="15"/>
        <v>-</v>
      </c>
      <c r="P135" s="32" t="str">
        <f t="shared" si="16"/>
        <v>-</v>
      </c>
      <c r="R135" s="32" t="str">
        <f t="shared" si="17"/>
        <v>-</v>
      </c>
    </row>
    <row r="136" spans="1:18" x14ac:dyDescent="0.3">
      <c r="A136" s="2" t="s">
        <v>373</v>
      </c>
      <c r="B136" s="3" t="s">
        <v>1050</v>
      </c>
      <c r="C136" s="2" t="s">
        <v>374</v>
      </c>
      <c r="D136" s="2" t="s">
        <v>375</v>
      </c>
      <c r="E136" s="2"/>
      <c r="F136" s="18">
        <v>0</v>
      </c>
      <c r="G136" s="2"/>
      <c r="H136" s="8">
        <v>23.040000000000003</v>
      </c>
      <c r="I136" s="14"/>
      <c r="J136" s="8">
        <f t="shared" si="12"/>
        <v>0</v>
      </c>
      <c r="M136" s="30" t="str">
        <f t="shared" si="13"/>
        <v>-</v>
      </c>
      <c r="N136" s="30" t="str">
        <f t="shared" si="14"/>
        <v>-</v>
      </c>
      <c r="O136" s="31" t="str">
        <f t="shared" si="15"/>
        <v>-</v>
      </c>
      <c r="P136" s="32" t="str">
        <f t="shared" si="16"/>
        <v>-</v>
      </c>
      <c r="R136" s="32" t="str">
        <f t="shared" si="17"/>
        <v>-</v>
      </c>
    </row>
    <row r="137" spans="1:18" x14ac:dyDescent="0.3">
      <c r="A137" s="2" t="s">
        <v>376</v>
      </c>
      <c r="B137" s="3" t="s">
        <v>1053</v>
      </c>
      <c r="C137" s="2" t="s">
        <v>377</v>
      </c>
      <c r="D137" s="2" t="s">
        <v>378</v>
      </c>
      <c r="E137" s="2"/>
      <c r="F137" s="18">
        <v>0</v>
      </c>
      <c r="G137" s="2"/>
      <c r="H137" s="8">
        <v>27.720000000000002</v>
      </c>
      <c r="I137" s="14"/>
      <c r="J137" s="8">
        <f t="shared" si="12"/>
        <v>0</v>
      </c>
      <c r="M137" s="30" t="str">
        <f t="shared" si="13"/>
        <v>-</v>
      </c>
      <c r="N137" s="30" t="str">
        <f t="shared" si="14"/>
        <v>-</v>
      </c>
      <c r="O137" s="31" t="str">
        <f t="shared" si="15"/>
        <v>-</v>
      </c>
      <c r="P137" s="32" t="str">
        <f t="shared" si="16"/>
        <v>-</v>
      </c>
      <c r="R137" s="32" t="str">
        <f t="shared" si="17"/>
        <v>-</v>
      </c>
    </row>
    <row r="138" spans="1:18" x14ac:dyDescent="0.3">
      <c r="A138" s="2" t="s">
        <v>379</v>
      </c>
      <c r="B138" s="3" t="s">
        <v>1054</v>
      </c>
      <c r="C138" s="2" t="s">
        <v>380</v>
      </c>
      <c r="D138" s="2" t="s">
        <v>381</v>
      </c>
      <c r="E138" s="2"/>
      <c r="F138" s="18">
        <v>0</v>
      </c>
      <c r="G138" s="2"/>
      <c r="H138" s="8">
        <v>21.240000000000002</v>
      </c>
      <c r="I138" s="14"/>
      <c r="J138" s="8">
        <f t="shared" si="12"/>
        <v>0</v>
      </c>
      <c r="M138" s="30" t="str">
        <f t="shared" si="13"/>
        <v>-</v>
      </c>
      <c r="N138" s="30" t="str">
        <f t="shared" si="14"/>
        <v>-</v>
      </c>
      <c r="O138" s="31" t="str">
        <f t="shared" si="15"/>
        <v>-</v>
      </c>
      <c r="P138" s="32" t="str">
        <f t="shared" si="16"/>
        <v>-</v>
      </c>
      <c r="R138" s="32" t="str">
        <f t="shared" si="17"/>
        <v>-</v>
      </c>
    </row>
    <row r="139" spans="1:18" x14ac:dyDescent="0.3">
      <c r="A139" s="2" t="s">
        <v>382</v>
      </c>
      <c r="B139" s="3" t="s">
        <v>1050</v>
      </c>
      <c r="C139" s="2" t="s">
        <v>383</v>
      </c>
      <c r="D139" s="2" t="s">
        <v>384</v>
      </c>
      <c r="E139" s="2"/>
      <c r="F139" s="18">
        <v>0</v>
      </c>
      <c r="G139" s="2"/>
      <c r="H139" s="8">
        <v>30.240000000000002</v>
      </c>
      <c r="I139" s="14"/>
      <c r="J139" s="8">
        <f t="shared" si="12"/>
        <v>0</v>
      </c>
      <c r="M139" s="30" t="str">
        <f t="shared" si="13"/>
        <v>-</v>
      </c>
      <c r="N139" s="30" t="str">
        <f t="shared" si="14"/>
        <v>-</v>
      </c>
      <c r="O139" s="31" t="str">
        <f t="shared" si="15"/>
        <v>-</v>
      </c>
      <c r="P139" s="32" t="str">
        <f t="shared" si="16"/>
        <v>-</v>
      </c>
      <c r="R139" s="32" t="str">
        <f t="shared" si="17"/>
        <v>-</v>
      </c>
    </row>
    <row r="140" spans="1:18" x14ac:dyDescent="0.3">
      <c r="A140" s="2" t="s">
        <v>385</v>
      </c>
      <c r="B140" s="3" t="s">
        <v>1086</v>
      </c>
      <c r="C140" s="2" t="s">
        <v>386</v>
      </c>
      <c r="D140" s="2" t="s">
        <v>387</v>
      </c>
      <c r="E140" s="2"/>
      <c r="F140" s="18">
        <v>0</v>
      </c>
      <c r="G140" s="2"/>
      <c r="H140" s="8">
        <v>37.800000000000004</v>
      </c>
      <c r="I140" s="14"/>
      <c r="J140" s="8">
        <f t="shared" si="12"/>
        <v>0</v>
      </c>
      <c r="M140" s="30" t="str">
        <f t="shared" si="13"/>
        <v>-</v>
      </c>
      <c r="N140" s="30" t="str">
        <f t="shared" si="14"/>
        <v>-</v>
      </c>
      <c r="O140" s="31" t="str">
        <f t="shared" si="15"/>
        <v>-</v>
      </c>
      <c r="P140" s="32" t="str">
        <f t="shared" si="16"/>
        <v>-</v>
      </c>
      <c r="R140" s="32" t="str">
        <f t="shared" si="17"/>
        <v>-</v>
      </c>
    </row>
    <row r="141" spans="1:18" x14ac:dyDescent="0.3">
      <c r="A141" s="2" t="s">
        <v>388</v>
      </c>
      <c r="B141" s="3" t="s">
        <v>1088</v>
      </c>
      <c r="C141" s="2" t="s">
        <v>386</v>
      </c>
      <c r="D141" s="2" t="s">
        <v>389</v>
      </c>
      <c r="E141" s="2"/>
      <c r="F141" s="18">
        <v>0</v>
      </c>
      <c r="G141" s="2"/>
      <c r="H141" s="8">
        <v>69.84</v>
      </c>
      <c r="I141" s="14"/>
      <c r="J141" s="8">
        <f t="shared" si="12"/>
        <v>0</v>
      </c>
      <c r="M141" s="30" t="str">
        <f t="shared" si="13"/>
        <v>-</v>
      </c>
      <c r="N141" s="30" t="str">
        <f t="shared" si="14"/>
        <v>-</v>
      </c>
      <c r="O141" s="31" t="str">
        <f t="shared" si="15"/>
        <v>-</v>
      </c>
      <c r="P141" s="32" t="str">
        <f t="shared" si="16"/>
        <v>-</v>
      </c>
      <c r="R141" s="32" t="str">
        <f t="shared" si="17"/>
        <v>-</v>
      </c>
    </row>
    <row r="142" spans="1:18" x14ac:dyDescent="0.3">
      <c r="A142" s="3" t="s">
        <v>390</v>
      </c>
      <c r="B142" s="3" t="s">
        <v>1089</v>
      </c>
      <c r="C142" s="2" t="s">
        <v>391</v>
      </c>
      <c r="D142" s="2" t="s">
        <v>392</v>
      </c>
      <c r="E142" s="2"/>
      <c r="F142" s="18">
        <v>0</v>
      </c>
      <c r="G142" s="2"/>
      <c r="H142" s="8">
        <v>39.960000000000008</v>
      </c>
      <c r="I142" s="14"/>
      <c r="J142" s="8">
        <f t="shared" si="12"/>
        <v>0</v>
      </c>
      <c r="M142" s="30" t="str">
        <f t="shared" si="13"/>
        <v>-</v>
      </c>
      <c r="N142" s="30" t="str">
        <f t="shared" si="14"/>
        <v>-</v>
      </c>
      <c r="O142" s="31" t="str">
        <f t="shared" si="15"/>
        <v>-</v>
      </c>
      <c r="P142" s="32" t="str">
        <f t="shared" si="16"/>
        <v>-</v>
      </c>
      <c r="R142" s="32" t="str">
        <f t="shared" si="17"/>
        <v>-</v>
      </c>
    </row>
    <row r="143" spans="1:18" x14ac:dyDescent="0.3">
      <c r="A143" s="2" t="s">
        <v>393</v>
      </c>
      <c r="B143" s="3" t="s">
        <v>1089</v>
      </c>
      <c r="C143" s="2" t="s">
        <v>394</v>
      </c>
      <c r="D143" s="2" t="s">
        <v>395</v>
      </c>
      <c r="E143" s="2"/>
      <c r="F143" s="18">
        <v>0</v>
      </c>
      <c r="G143" s="2"/>
      <c r="H143" s="8">
        <v>39.24</v>
      </c>
      <c r="I143" s="14"/>
      <c r="J143" s="8">
        <f t="shared" si="12"/>
        <v>0</v>
      </c>
      <c r="M143" s="30" t="str">
        <f t="shared" si="13"/>
        <v>-</v>
      </c>
      <c r="N143" s="30" t="str">
        <f t="shared" si="14"/>
        <v>-</v>
      </c>
      <c r="O143" s="31" t="str">
        <f t="shared" si="15"/>
        <v>-</v>
      </c>
      <c r="P143" s="32" t="str">
        <f t="shared" si="16"/>
        <v>-</v>
      </c>
      <c r="R143" s="32" t="str">
        <f t="shared" si="17"/>
        <v>-</v>
      </c>
    </row>
    <row r="144" spans="1:18" x14ac:dyDescent="0.3">
      <c r="A144" s="2" t="s">
        <v>396</v>
      </c>
      <c r="B144" s="3" t="s">
        <v>1089</v>
      </c>
      <c r="C144" s="2" t="s">
        <v>397</v>
      </c>
      <c r="D144" s="2" t="s">
        <v>398</v>
      </c>
      <c r="E144" s="2"/>
      <c r="F144" s="18">
        <v>0</v>
      </c>
      <c r="G144" s="2"/>
      <c r="H144" s="8">
        <v>42.84</v>
      </c>
      <c r="I144" s="14"/>
      <c r="J144" s="8">
        <f t="shared" si="12"/>
        <v>0</v>
      </c>
      <c r="M144" s="30" t="str">
        <f t="shared" si="13"/>
        <v>-</v>
      </c>
      <c r="N144" s="30" t="str">
        <f t="shared" si="14"/>
        <v>-</v>
      </c>
      <c r="O144" s="31" t="str">
        <f t="shared" si="15"/>
        <v>-</v>
      </c>
      <c r="P144" s="32" t="str">
        <f t="shared" si="16"/>
        <v>-</v>
      </c>
      <c r="R144" s="32" t="str">
        <f t="shared" si="17"/>
        <v>-</v>
      </c>
    </row>
    <row r="145" spans="1:18" x14ac:dyDescent="0.3">
      <c r="A145" s="3" t="s">
        <v>399</v>
      </c>
      <c r="B145" s="3" t="s">
        <v>1089</v>
      </c>
      <c r="C145" s="2" t="s">
        <v>400</v>
      </c>
      <c r="D145" s="2" t="s">
        <v>401</v>
      </c>
      <c r="E145" s="2"/>
      <c r="F145" s="18">
        <v>0</v>
      </c>
      <c r="G145" s="2"/>
      <c r="H145" s="8">
        <v>36.360000000000007</v>
      </c>
      <c r="I145" s="14"/>
      <c r="J145" s="8">
        <f t="shared" si="12"/>
        <v>0</v>
      </c>
      <c r="M145" s="30" t="str">
        <f t="shared" si="13"/>
        <v>-</v>
      </c>
      <c r="N145" s="30" t="str">
        <f t="shared" si="14"/>
        <v>-</v>
      </c>
      <c r="O145" s="31" t="str">
        <f t="shared" si="15"/>
        <v>-</v>
      </c>
      <c r="P145" s="32" t="str">
        <f t="shared" si="16"/>
        <v>-</v>
      </c>
      <c r="R145" s="32" t="str">
        <f t="shared" si="17"/>
        <v>-</v>
      </c>
    </row>
    <row r="146" spans="1:18" x14ac:dyDescent="0.3">
      <c r="A146" s="2" t="s">
        <v>402</v>
      </c>
      <c r="B146" s="3" t="s">
        <v>1089</v>
      </c>
      <c r="C146" s="2" t="s">
        <v>403</v>
      </c>
      <c r="D146" s="2" t="s">
        <v>404</v>
      </c>
      <c r="E146" s="2"/>
      <c r="F146" s="18">
        <v>0</v>
      </c>
      <c r="G146" s="2"/>
      <c r="H146" s="8">
        <v>28.44</v>
      </c>
      <c r="I146" s="14"/>
      <c r="J146" s="8">
        <f t="shared" si="12"/>
        <v>0</v>
      </c>
      <c r="M146" s="30" t="str">
        <f t="shared" si="13"/>
        <v>-</v>
      </c>
      <c r="N146" s="30" t="str">
        <f t="shared" si="14"/>
        <v>-</v>
      </c>
      <c r="O146" s="31" t="str">
        <f t="shared" si="15"/>
        <v>-</v>
      </c>
      <c r="P146" s="32" t="str">
        <f t="shared" si="16"/>
        <v>-</v>
      </c>
      <c r="R146" s="32" t="str">
        <f t="shared" si="17"/>
        <v>-</v>
      </c>
    </row>
    <row r="147" spans="1:18" x14ac:dyDescent="0.3">
      <c r="A147" s="2" t="s">
        <v>405</v>
      </c>
      <c r="B147" s="3" t="s">
        <v>1089</v>
      </c>
      <c r="C147" s="2" t="s">
        <v>406</v>
      </c>
      <c r="D147" s="2" t="s">
        <v>407</v>
      </c>
      <c r="E147" s="2"/>
      <c r="F147" s="18">
        <v>0</v>
      </c>
      <c r="G147" s="2"/>
      <c r="H147" s="8">
        <v>55.080000000000005</v>
      </c>
      <c r="I147" s="14"/>
      <c r="J147" s="8">
        <f t="shared" si="12"/>
        <v>0</v>
      </c>
      <c r="M147" s="30" t="str">
        <f t="shared" si="13"/>
        <v>-</v>
      </c>
      <c r="N147" s="30" t="str">
        <f t="shared" si="14"/>
        <v>-</v>
      </c>
      <c r="O147" s="31" t="str">
        <f t="shared" si="15"/>
        <v>-</v>
      </c>
      <c r="P147" s="32" t="str">
        <f t="shared" si="16"/>
        <v>-</v>
      </c>
      <c r="R147" s="32" t="str">
        <f t="shared" si="17"/>
        <v>-</v>
      </c>
    </row>
    <row r="148" spans="1:18" x14ac:dyDescent="0.3">
      <c r="A148" s="2" t="s">
        <v>408</v>
      </c>
      <c r="B148" s="3" t="s">
        <v>1090</v>
      </c>
      <c r="C148" s="3" t="s">
        <v>409</v>
      </c>
      <c r="D148" s="2" t="s">
        <v>410</v>
      </c>
      <c r="E148" s="2"/>
      <c r="F148" s="18">
        <v>0</v>
      </c>
      <c r="G148" s="2"/>
      <c r="H148" s="8">
        <v>26.280000000000005</v>
      </c>
      <c r="I148" s="14"/>
      <c r="J148" s="8">
        <f t="shared" si="12"/>
        <v>0</v>
      </c>
      <c r="M148" s="30" t="str">
        <f t="shared" si="13"/>
        <v>-</v>
      </c>
      <c r="N148" s="30" t="str">
        <f t="shared" si="14"/>
        <v>-</v>
      </c>
      <c r="O148" s="31" t="str">
        <f t="shared" si="15"/>
        <v>-</v>
      </c>
      <c r="P148" s="32" t="str">
        <f t="shared" si="16"/>
        <v>-</v>
      </c>
      <c r="R148" s="32" t="str">
        <f t="shared" si="17"/>
        <v>-</v>
      </c>
    </row>
    <row r="149" spans="1:18" x14ac:dyDescent="0.3">
      <c r="A149" s="2" t="s">
        <v>411</v>
      </c>
      <c r="B149" s="3" t="s">
        <v>1053</v>
      </c>
      <c r="C149" s="2" t="s">
        <v>412</v>
      </c>
      <c r="D149" s="2" t="s">
        <v>413</v>
      </c>
      <c r="E149" s="2"/>
      <c r="F149" s="18">
        <v>0</v>
      </c>
      <c r="G149" s="2"/>
      <c r="H149" s="8">
        <v>44.64</v>
      </c>
      <c r="I149" s="14"/>
      <c r="J149" s="8">
        <f t="shared" si="12"/>
        <v>0</v>
      </c>
      <c r="M149" s="30" t="str">
        <f t="shared" si="13"/>
        <v>-</v>
      </c>
      <c r="N149" s="30" t="str">
        <f t="shared" si="14"/>
        <v>-</v>
      </c>
      <c r="O149" s="31" t="str">
        <f t="shared" si="15"/>
        <v>-</v>
      </c>
      <c r="P149" s="32" t="str">
        <f t="shared" si="16"/>
        <v>-</v>
      </c>
      <c r="R149" s="32" t="str">
        <f t="shared" si="17"/>
        <v>-</v>
      </c>
    </row>
    <row r="150" spans="1:18" x14ac:dyDescent="0.3">
      <c r="A150" s="2" t="s">
        <v>414</v>
      </c>
      <c r="B150" s="3" t="s">
        <v>1050</v>
      </c>
      <c r="C150" s="2" t="s">
        <v>415</v>
      </c>
      <c r="D150" s="2" t="s">
        <v>416</v>
      </c>
      <c r="E150" s="2"/>
      <c r="F150" s="18">
        <v>0</v>
      </c>
      <c r="G150" s="2"/>
      <c r="H150" s="8">
        <v>27.360000000000003</v>
      </c>
      <c r="I150" s="14"/>
      <c r="J150" s="8">
        <f t="shared" si="12"/>
        <v>0</v>
      </c>
      <c r="M150" s="30" t="str">
        <f t="shared" si="13"/>
        <v>-</v>
      </c>
      <c r="N150" s="30" t="str">
        <f t="shared" si="14"/>
        <v>-</v>
      </c>
      <c r="O150" s="31" t="str">
        <f t="shared" si="15"/>
        <v>-</v>
      </c>
      <c r="P150" s="32" t="str">
        <f t="shared" si="16"/>
        <v>-</v>
      </c>
      <c r="R150" s="32" t="str">
        <f t="shared" si="17"/>
        <v>-</v>
      </c>
    </row>
    <row r="151" spans="1:18" x14ac:dyDescent="0.3">
      <c r="A151" s="2" t="s">
        <v>417</v>
      </c>
      <c r="B151" s="3" t="s">
        <v>1053</v>
      </c>
      <c r="C151" s="2" t="s">
        <v>418</v>
      </c>
      <c r="D151" s="2" t="s">
        <v>419</v>
      </c>
      <c r="E151" s="2"/>
      <c r="F151" s="18">
        <v>0</v>
      </c>
      <c r="G151" s="2"/>
      <c r="H151" s="8">
        <v>49.680000000000007</v>
      </c>
      <c r="I151" s="14"/>
      <c r="J151" s="8">
        <f t="shared" si="12"/>
        <v>0</v>
      </c>
      <c r="M151" s="30" t="str">
        <f t="shared" si="13"/>
        <v>-</v>
      </c>
      <c r="N151" s="30" t="str">
        <f t="shared" si="14"/>
        <v>-</v>
      </c>
      <c r="O151" s="31" t="str">
        <f t="shared" si="15"/>
        <v>-</v>
      </c>
      <c r="P151" s="32" t="str">
        <f t="shared" si="16"/>
        <v>-</v>
      </c>
      <c r="R151" s="32" t="str">
        <f t="shared" si="17"/>
        <v>-</v>
      </c>
    </row>
    <row r="152" spans="1:18" x14ac:dyDescent="0.3">
      <c r="A152" s="2" t="s">
        <v>420</v>
      </c>
      <c r="B152" s="3" t="s">
        <v>1053</v>
      </c>
      <c r="C152" s="2" t="s">
        <v>421</v>
      </c>
      <c r="D152" s="2" t="s">
        <v>422</v>
      </c>
      <c r="E152" s="2"/>
      <c r="F152" s="18">
        <v>0</v>
      </c>
      <c r="G152" s="2"/>
      <c r="H152" s="8">
        <v>45.360000000000007</v>
      </c>
      <c r="I152" s="14"/>
      <c r="J152" s="8">
        <f t="shared" si="12"/>
        <v>0</v>
      </c>
      <c r="M152" s="30" t="str">
        <f t="shared" si="13"/>
        <v>-</v>
      </c>
      <c r="N152" s="30" t="str">
        <f t="shared" si="14"/>
        <v>-</v>
      </c>
      <c r="O152" s="31" t="str">
        <f t="shared" si="15"/>
        <v>-</v>
      </c>
      <c r="P152" s="32" t="str">
        <f t="shared" si="16"/>
        <v>-</v>
      </c>
      <c r="R152" s="32" t="str">
        <f t="shared" si="17"/>
        <v>-</v>
      </c>
    </row>
    <row r="153" spans="1:18" x14ac:dyDescent="0.3">
      <c r="A153" s="2" t="s">
        <v>423</v>
      </c>
      <c r="B153" s="3" t="s">
        <v>1050</v>
      </c>
      <c r="C153" s="2" t="s">
        <v>424</v>
      </c>
      <c r="D153" s="2" t="s">
        <v>425</v>
      </c>
      <c r="E153" s="2"/>
      <c r="F153" s="18">
        <v>0</v>
      </c>
      <c r="G153" s="2"/>
      <c r="H153" s="8">
        <v>24.840000000000003</v>
      </c>
      <c r="I153" s="14"/>
      <c r="J153" s="8">
        <f t="shared" si="12"/>
        <v>0</v>
      </c>
      <c r="M153" s="30" t="str">
        <f t="shared" si="13"/>
        <v>-</v>
      </c>
      <c r="N153" s="30" t="str">
        <f t="shared" si="14"/>
        <v>-</v>
      </c>
      <c r="O153" s="31" t="str">
        <f t="shared" si="15"/>
        <v>-</v>
      </c>
      <c r="P153" s="32" t="str">
        <f t="shared" si="16"/>
        <v>-</v>
      </c>
      <c r="R153" s="32" t="str">
        <f t="shared" si="17"/>
        <v>-</v>
      </c>
    </row>
    <row r="154" spans="1:18" x14ac:dyDescent="0.3">
      <c r="A154" s="2" t="s">
        <v>426</v>
      </c>
      <c r="B154" s="3" t="s">
        <v>1091</v>
      </c>
      <c r="C154" s="2" t="s">
        <v>427</v>
      </c>
      <c r="D154" s="2" t="s">
        <v>428</v>
      </c>
      <c r="E154" s="2"/>
      <c r="F154" s="18">
        <v>0</v>
      </c>
      <c r="G154" s="2"/>
      <c r="H154" s="8">
        <v>25.92</v>
      </c>
      <c r="I154" s="14"/>
      <c r="J154" s="8">
        <f t="shared" si="12"/>
        <v>0</v>
      </c>
      <c r="M154" s="30" t="str">
        <f t="shared" si="13"/>
        <v>-</v>
      </c>
      <c r="N154" s="30" t="str">
        <f t="shared" si="14"/>
        <v>-</v>
      </c>
      <c r="O154" s="31" t="str">
        <f t="shared" si="15"/>
        <v>-</v>
      </c>
      <c r="P154" s="32" t="str">
        <f t="shared" si="16"/>
        <v>-</v>
      </c>
      <c r="R154" s="32" t="str">
        <f t="shared" si="17"/>
        <v>-</v>
      </c>
    </row>
    <row r="155" spans="1:18" x14ac:dyDescent="0.3">
      <c r="A155" s="2" t="s">
        <v>429</v>
      </c>
      <c r="B155" s="3" t="s">
        <v>1053</v>
      </c>
      <c r="C155" s="2" t="s">
        <v>430</v>
      </c>
      <c r="D155" s="2" t="s">
        <v>431</v>
      </c>
      <c r="E155" s="2"/>
      <c r="F155" s="18">
        <v>0</v>
      </c>
      <c r="G155" s="2"/>
      <c r="H155" s="8">
        <v>70.920000000000016</v>
      </c>
      <c r="I155" s="14"/>
      <c r="J155" s="8">
        <f t="shared" si="12"/>
        <v>0</v>
      </c>
      <c r="M155" s="30" t="str">
        <f t="shared" si="13"/>
        <v>-</v>
      </c>
      <c r="N155" s="30" t="str">
        <f t="shared" si="14"/>
        <v>-</v>
      </c>
      <c r="O155" s="31" t="str">
        <f t="shared" si="15"/>
        <v>-</v>
      </c>
      <c r="P155" s="32" t="str">
        <f t="shared" si="16"/>
        <v>-</v>
      </c>
      <c r="R155" s="32" t="str">
        <f t="shared" si="17"/>
        <v>-</v>
      </c>
    </row>
    <row r="156" spans="1:18" x14ac:dyDescent="0.3">
      <c r="A156" s="2" t="s">
        <v>432</v>
      </c>
      <c r="B156" s="3" t="s">
        <v>1092</v>
      </c>
      <c r="C156" s="2" t="s">
        <v>433</v>
      </c>
      <c r="D156" s="2" t="s">
        <v>434</v>
      </c>
      <c r="E156" s="2"/>
      <c r="F156" s="18">
        <v>0</v>
      </c>
      <c r="G156" s="2"/>
      <c r="H156" s="8">
        <v>29.520000000000003</v>
      </c>
      <c r="I156" s="14"/>
      <c r="J156" s="8">
        <f t="shared" si="12"/>
        <v>0</v>
      </c>
      <c r="M156" s="30" t="str">
        <f t="shared" si="13"/>
        <v>-</v>
      </c>
      <c r="N156" s="30" t="str">
        <f t="shared" si="14"/>
        <v>-</v>
      </c>
      <c r="O156" s="31" t="str">
        <f t="shared" si="15"/>
        <v>-</v>
      </c>
      <c r="P156" s="32" t="str">
        <f t="shared" si="16"/>
        <v>-</v>
      </c>
      <c r="R156" s="32" t="str">
        <f t="shared" si="17"/>
        <v>-</v>
      </c>
    </row>
    <row r="157" spans="1:18" x14ac:dyDescent="0.3">
      <c r="A157" s="2" t="s">
        <v>435</v>
      </c>
      <c r="B157" s="3" t="s">
        <v>1053</v>
      </c>
      <c r="C157" s="2" t="s">
        <v>436</v>
      </c>
      <c r="D157" s="2" t="s">
        <v>437</v>
      </c>
      <c r="E157" s="2"/>
      <c r="F157" s="18">
        <v>0</v>
      </c>
      <c r="G157" s="2"/>
      <c r="H157" s="8">
        <v>12.585600000000001</v>
      </c>
      <c r="I157" s="14"/>
      <c r="J157" s="8">
        <f t="shared" si="12"/>
        <v>0</v>
      </c>
      <c r="M157" s="30" t="str">
        <f t="shared" si="13"/>
        <v>-</v>
      </c>
      <c r="N157" s="30" t="str">
        <f t="shared" si="14"/>
        <v>-</v>
      </c>
      <c r="O157" s="31" t="str">
        <f t="shared" si="15"/>
        <v>-</v>
      </c>
      <c r="P157" s="32" t="str">
        <f t="shared" si="16"/>
        <v>-</v>
      </c>
      <c r="R157" s="32" t="str">
        <f t="shared" si="17"/>
        <v>-</v>
      </c>
    </row>
    <row r="158" spans="1:18" x14ac:dyDescent="0.3">
      <c r="A158" s="2" t="s">
        <v>438</v>
      </c>
      <c r="B158" s="3" t="s">
        <v>1084</v>
      </c>
      <c r="C158" s="2" t="s">
        <v>439</v>
      </c>
      <c r="D158" s="2" t="s">
        <v>440</v>
      </c>
      <c r="E158" s="2"/>
      <c r="F158" s="18">
        <v>0</v>
      </c>
      <c r="G158" s="2"/>
      <c r="H158" s="8">
        <v>12.96</v>
      </c>
      <c r="I158" s="14"/>
      <c r="J158" s="8">
        <f t="shared" si="12"/>
        <v>0</v>
      </c>
      <c r="M158" s="30" t="str">
        <f t="shared" si="13"/>
        <v>-</v>
      </c>
      <c r="N158" s="30" t="str">
        <f t="shared" si="14"/>
        <v>-</v>
      </c>
      <c r="O158" s="31" t="str">
        <f t="shared" si="15"/>
        <v>-</v>
      </c>
      <c r="P158" s="32" t="str">
        <f t="shared" si="16"/>
        <v>-</v>
      </c>
      <c r="R158" s="32" t="str">
        <f t="shared" si="17"/>
        <v>-</v>
      </c>
    </row>
    <row r="159" spans="1:18" x14ac:dyDescent="0.3">
      <c r="A159" s="2" t="s">
        <v>441</v>
      </c>
      <c r="B159" s="3" t="s">
        <v>1053</v>
      </c>
      <c r="C159" s="2" t="s">
        <v>442</v>
      </c>
      <c r="D159" s="2" t="s">
        <v>443</v>
      </c>
      <c r="E159" s="2"/>
      <c r="F159" s="18">
        <v>0</v>
      </c>
      <c r="G159" s="2"/>
      <c r="H159" s="8">
        <v>14.4</v>
      </c>
      <c r="I159" s="14"/>
      <c r="J159" s="8">
        <f t="shared" si="12"/>
        <v>0</v>
      </c>
      <c r="M159" s="30" t="str">
        <f t="shared" si="13"/>
        <v>-</v>
      </c>
      <c r="N159" s="30" t="str">
        <f t="shared" si="14"/>
        <v>-</v>
      </c>
      <c r="O159" s="31" t="str">
        <f t="shared" si="15"/>
        <v>-</v>
      </c>
      <c r="P159" s="32" t="str">
        <f t="shared" si="16"/>
        <v>-</v>
      </c>
      <c r="R159" s="32" t="str">
        <f t="shared" si="17"/>
        <v>-</v>
      </c>
    </row>
    <row r="160" spans="1:18" x14ac:dyDescent="0.3">
      <c r="A160" s="2" t="s">
        <v>444</v>
      </c>
      <c r="B160" s="3" t="s">
        <v>1050</v>
      </c>
      <c r="C160" s="2" t="s">
        <v>442</v>
      </c>
      <c r="D160" s="2" t="s">
        <v>445</v>
      </c>
      <c r="E160" s="2"/>
      <c r="F160" s="18">
        <v>0.16</v>
      </c>
      <c r="G160" s="2"/>
      <c r="H160" s="8">
        <v>24.840000000000003</v>
      </c>
      <c r="I160" s="14"/>
      <c r="J160" s="8">
        <f t="shared" si="12"/>
        <v>0</v>
      </c>
      <c r="M160" s="30" t="str">
        <f t="shared" si="13"/>
        <v>-</v>
      </c>
      <c r="N160" s="30" t="str">
        <f t="shared" si="14"/>
        <v>-</v>
      </c>
      <c r="O160" s="31" t="str">
        <f t="shared" si="15"/>
        <v>-</v>
      </c>
      <c r="P160" s="32" t="str">
        <f t="shared" si="16"/>
        <v>-</v>
      </c>
      <c r="R160" s="32" t="str">
        <f t="shared" si="17"/>
        <v>-</v>
      </c>
    </row>
    <row r="161" spans="1:18" x14ac:dyDescent="0.3">
      <c r="A161" s="2" t="s">
        <v>446</v>
      </c>
      <c r="B161" s="3" t="s">
        <v>1052</v>
      </c>
      <c r="C161" s="2" t="s">
        <v>442</v>
      </c>
      <c r="D161" s="2" t="s">
        <v>447</v>
      </c>
      <c r="E161" s="2"/>
      <c r="F161" s="18">
        <v>0.3</v>
      </c>
      <c r="G161" s="2"/>
      <c r="H161" s="8">
        <v>44.28</v>
      </c>
      <c r="I161" s="14"/>
      <c r="J161" s="8">
        <f t="shared" si="12"/>
        <v>0</v>
      </c>
      <c r="M161" s="30" t="str">
        <f t="shared" si="13"/>
        <v>-</v>
      </c>
      <c r="N161" s="30" t="str">
        <f t="shared" si="14"/>
        <v>-</v>
      </c>
      <c r="O161" s="31" t="str">
        <f t="shared" si="15"/>
        <v>-</v>
      </c>
      <c r="P161" s="32" t="str">
        <f t="shared" si="16"/>
        <v>-</v>
      </c>
      <c r="R161" s="32" t="str">
        <f t="shared" si="17"/>
        <v>-</v>
      </c>
    </row>
    <row r="162" spans="1:18" x14ac:dyDescent="0.3">
      <c r="A162" s="2" t="s">
        <v>448</v>
      </c>
      <c r="B162" s="3" t="s">
        <v>1094</v>
      </c>
      <c r="C162" s="3" t="s">
        <v>1093</v>
      </c>
      <c r="D162" s="2" t="s">
        <v>449</v>
      </c>
      <c r="E162" s="2"/>
      <c r="F162" s="18">
        <v>0</v>
      </c>
      <c r="G162" s="2"/>
      <c r="H162" s="8">
        <v>18.345600000000001</v>
      </c>
      <c r="I162" s="14"/>
      <c r="J162" s="8">
        <f t="shared" si="12"/>
        <v>0</v>
      </c>
      <c r="M162" s="30" t="str">
        <f t="shared" si="13"/>
        <v>-</v>
      </c>
      <c r="N162" s="30" t="str">
        <f t="shared" si="14"/>
        <v>-</v>
      </c>
      <c r="O162" s="31" t="str">
        <f t="shared" si="15"/>
        <v>-</v>
      </c>
      <c r="P162" s="32" t="str">
        <f t="shared" si="16"/>
        <v>-</v>
      </c>
      <c r="R162" s="32" t="str">
        <f t="shared" si="17"/>
        <v>-</v>
      </c>
    </row>
    <row r="163" spans="1:18" x14ac:dyDescent="0.3">
      <c r="A163" s="2" t="s">
        <v>450</v>
      </c>
      <c r="B163" s="3" t="s">
        <v>1073</v>
      </c>
      <c r="C163" s="2" t="s">
        <v>451</v>
      </c>
      <c r="D163" s="2" t="s">
        <v>452</v>
      </c>
      <c r="E163" s="2"/>
      <c r="F163" s="18">
        <v>0</v>
      </c>
      <c r="G163" s="2"/>
      <c r="H163" s="8">
        <v>32.04</v>
      </c>
      <c r="I163" s="14"/>
      <c r="J163" s="8">
        <f t="shared" si="12"/>
        <v>0</v>
      </c>
      <c r="M163" s="30" t="str">
        <f t="shared" si="13"/>
        <v>-</v>
      </c>
      <c r="N163" s="30" t="str">
        <f t="shared" si="14"/>
        <v>-</v>
      </c>
      <c r="O163" s="31" t="str">
        <f t="shared" si="15"/>
        <v>-</v>
      </c>
      <c r="P163" s="32" t="str">
        <f t="shared" si="16"/>
        <v>-</v>
      </c>
      <c r="R163" s="32" t="str">
        <f t="shared" si="17"/>
        <v>-</v>
      </c>
    </row>
    <row r="164" spans="1:18" x14ac:dyDescent="0.3">
      <c r="A164" s="2" t="s">
        <v>453</v>
      </c>
      <c r="B164" s="3" t="s">
        <v>1050</v>
      </c>
      <c r="C164" s="2" t="s">
        <v>454</v>
      </c>
      <c r="D164" s="2" t="s">
        <v>455</v>
      </c>
      <c r="E164" s="2"/>
      <c r="F164" s="18">
        <v>0.14000000000000001</v>
      </c>
      <c r="G164" s="2"/>
      <c r="H164" s="8">
        <v>54</v>
      </c>
      <c r="I164" s="14"/>
      <c r="J164" s="8">
        <f t="shared" si="12"/>
        <v>0</v>
      </c>
      <c r="M164" s="30" t="str">
        <f t="shared" si="13"/>
        <v>-</v>
      </c>
      <c r="N164" s="30" t="str">
        <f t="shared" si="14"/>
        <v>-</v>
      </c>
      <c r="O164" s="31" t="str">
        <f t="shared" si="15"/>
        <v>-</v>
      </c>
      <c r="P164" s="32" t="str">
        <f t="shared" si="16"/>
        <v>-</v>
      </c>
      <c r="R164" s="32" t="str">
        <f t="shared" si="17"/>
        <v>-</v>
      </c>
    </row>
    <row r="165" spans="1:18" x14ac:dyDescent="0.3">
      <c r="A165" s="2" t="s">
        <v>456</v>
      </c>
      <c r="B165" s="3" t="s">
        <v>1054</v>
      </c>
      <c r="C165" s="2" t="s">
        <v>457</v>
      </c>
      <c r="D165" s="2" t="s">
        <v>458</v>
      </c>
      <c r="E165" s="2"/>
      <c r="F165" s="18">
        <v>0</v>
      </c>
      <c r="G165" s="2"/>
      <c r="H165" s="8">
        <v>25.560000000000002</v>
      </c>
      <c r="I165" s="14"/>
      <c r="J165" s="8">
        <f t="shared" si="12"/>
        <v>0</v>
      </c>
      <c r="M165" s="30" t="str">
        <f t="shared" si="13"/>
        <v>-</v>
      </c>
      <c r="N165" s="30" t="str">
        <f t="shared" si="14"/>
        <v>-</v>
      </c>
      <c r="O165" s="31" t="str">
        <f t="shared" si="15"/>
        <v>-</v>
      </c>
      <c r="P165" s="32" t="str">
        <f t="shared" si="16"/>
        <v>-</v>
      </c>
      <c r="R165" s="32" t="str">
        <f t="shared" si="17"/>
        <v>-</v>
      </c>
    </row>
    <row r="166" spans="1:18" x14ac:dyDescent="0.3">
      <c r="A166" s="2" t="s">
        <v>459</v>
      </c>
      <c r="B166" s="3" t="s">
        <v>1053</v>
      </c>
      <c r="C166" s="2" t="s">
        <v>460</v>
      </c>
      <c r="D166" s="2" t="s">
        <v>461</v>
      </c>
      <c r="E166" s="2"/>
      <c r="F166" s="18">
        <v>0</v>
      </c>
      <c r="G166" s="2"/>
      <c r="H166" s="8">
        <v>54.360000000000007</v>
      </c>
      <c r="I166" s="14"/>
      <c r="J166" s="8">
        <f t="shared" si="12"/>
        <v>0</v>
      </c>
      <c r="M166" s="30" t="str">
        <f t="shared" si="13"/>
        <v>-</v>
      </c>
      <c r="N166" s="30" t="str">
        <f t="shared" si="14"/>
        <v>-</v>
      </c>
      <c r="O166" s="31" t="str">
        <f t="shared" si="15"/>
        <v>-</v>
      </c>
      <c r="P166" s="32" t="str">
        <f t="shared" si="16"/>
        <v>-</v>
      </c>
      <c r="R166" s="32" t="str">
        <f t="shared" si="17"/>
        <v>-</v>
      </c>
    </row>
    <row r="167" spans="1:18" x14ac:dyDescent="0.3">
      <c r="A167" s="2" t="s">
        <v>462</v>
      </c>
      <c r="B167" s="3" t="s">
        <v>1050</v>
      </c>
      <c r="C167" s="2" t="s">
        <v>463</v>
      </c>
      <c r="D167" s="2" t="s">
        <v>464</v>
      </c>
      <c r="E167" s="2"/>
      <c r="F167" s="18">
        <v>0</v>
      </c>
      <c r="G167" s="2"/>
      <c r="H167" s="8">
        <v>32.76</v>
      </c>
      <c r="I167" s="14"/>
      <c r="J167" s="8">
        <f t="shared" si="12"/>
        <v>0</v>
      </c>
      <c r="M167" s="30" t="str">
        <f t="shared" si="13"/>
        <v>-</v>
      </c>
      <c r="N167" s="30" t="str">
        <f t="shared" si="14"/>
        <v>-</v>
      </c>
      <c r="O167" s="31" t="str">
        <f t="shared" si="15"/>
        <v>-</v>
      </c>
      <c r="P167" s="32" t="str">
        <f t="shared" si="16"/>
        <v>-</v>
      </c>
      <c r="R167" s="32" t="str">
        <f t="shared" si="17"/>
        <v>-</v>
      </c>
    </row>
    <row r="168" spans="1:18" x14ac:dyDescent="0.3">
      <c r="A168" s="2" t="s">
        <v>465</v>
      </c>
      <c r="B168" s="3" t="s">
        <v>1054</v>
      </c>
      <c r="C168" s="2" t="s">
        <v>466</v>
      </c>
      <c r="D168" s="2" t="s">
        <v>467</v>
      </c>
      <c r="E168" s="2"/>
      <c r="F168" s="18">
        <v>0</v>
      </c>
      <c r="G168" s="2"/>
      <c r="H168" s="8">
        <v>20.880000000000003</v>
      </c>
      <c r="I168" s="14"/>
      <c r="J168" s="8">
        <f t="shared" si="12"/>
        <v>0</v>
      </c>
      <c r="M168" s="30" t="str">
        <f t="shared" si="13"/>
        <v>-</v>
      </c>
      <c r="N168" s="30" t="str">
        <f t="shared" si="14"/>
        <v>-</v>
      </c>
      <c r="O168" s="31" t="str">
        <f t="shared" si="15"/>
        <v>-</v>
      </c>
      <c r="P168" s="32" t="str">
        <f t="shared" si="16"/>
        <v>-</v>
      </c>
      <c r="R168" s="32" t="str">
        <f t="shared" si="17"/>
        <v>-</v>
      </c>
    </row>
    <row r="169" spans="1:18" x14ac:dyDescent="0.3">
      <c r="A169" s="2" t="s">
        <v>468</v>
      </c>
      <c r="B169" s="3" t="s">
        <v>1050</v>
      </c>
      <c r="C169" s="2" t="s">
        <v>469</v>
      </c>
      <c r="D169" s="2" t="s">
        <v>470</v>
      </c>
      <c r="E169" s="2"/>
      <c r="F169" s="18">
        <v>0</v>
      </c>
      <c r="G169" s="2"/>
      <c r="H169" s="8">
        <v>19.080000000000002</v>
      </c>
      <c r="I169" s="14"/>
      <c r="J169" s="8">
        <f t="shared" si="12"/>
        <v>0</v>
      </c>
      <c r="M169" s="30" t="str">
        <f t="shared" si="13"/>
        <v>-</v>
      </c>
      <c r="N169" s="30" t="str">
        <f t="shared" si="14"/>
        <v>-</v>
      </c>
      <c r="O169" s="31" t="str">
        <f t="shared" si="15"/>
        <v>-</v>
      </c>
      <c r="P169" s="32" t="str">
        <f t="shared" si="16"/>
        <v>-</v>
      </c>
      <c r="R169" s="32" t="str">
        <f t="shared" si="17"/>
        <v>-</v>
      </c>
    </row>
    <row r="170" spans="1:18" x14ac:dyDescent="0.3">
      <c r="A170" s="2" t="s">
        <v>471</v>
      </c>
      <c r="B170" s="3" t="s">
        <v>1052</v>
      </c>
      <c r="C170" s="2" t="s">
        <v>469</v>
      </c>
      <c r="D170" s="2" t="s">
        <v>472</v>
      </c>
      <c r="E170" s="2"/>
      <c r="F170" s="18">
        <v>0.31</v>
      </c>
      <c r="G170" s="2"/>
      <c r="H170" s="8">
        <v>34.92</v>
      </c>
      <c r="I170" s="14"/>
      <c r="J170" s="8">
        <f t="shared" si="12"/>
        <v>0</v>
      </c>
      <c r="M170" s="30" t="str">
        <f t="shared" si="13"/>
        <v>-</v>
      </c>
      <c r="N170" s="30" t="str">
        <f t="shared" si="14"/>
        <v>-</v>
      </c>
      <c r="O170" s="31" t="str">
        <f t="shared" si="15"/>
        <v>-</v>
      </c>
      <c r="P170" s="32" t="str">
        <f t="shared" si="16"/>
        <v>-</v>
      </c>
      <c r="R170" s="32" t="str">
        <f t="shared" si="17"/>
        <v>-</v>
      </c>
    </row>
    <row r="171" spans="1:18" x14ac:dyDescent="0.3">
      <c r="A171" s="2" t="s">
        <v>473</v>
      </c>
      <c r="B171" s="3" t="s">
        <v>1062</v>
      </c>
      <c r="C171" s="2" t="s">
        <v>474</v>
      </c>
      <c r="D171" s="2" t="s">
        <v>475</v>
      </c>
      <c r="E171" s="2"/>
      <c r="F171" s="18">
        <v>0</v>
      </c>
      <c r="G171" s="2"/>
      <c r="H171" s="8">
        <v>48.24</v>
      </c>
      <c r="I171" s="14"/>
      <c r="J171" s="8">
        <f t="shared" si="12"/>
        <v>0</v>
      </c>
      <c r="M171" s="30" t="str">
        <f t="shared" si="13"/>
        <v>-</v>
      </c>
      <c r="N171" s="30" t="str">
        <f t="shared" si="14"/>
        <v>-</v>
      </c>
      <c r="O171" s="31" t="str">
        <f t="shared" si="15"/>
        <v>-</v>
      </c>
      <c r="P171" s="32" t="str">
        <f t="shared" si="16"/>
        <v>-</v>
      </c>
      <c r="R171" s="32" t="str">
        <f t="shared" si="17"/>
        <v>-</v>
      </c>
    </row>
    <row r="172" spans="1:18" x14ac:dyDescent="0.3">
      <c r="A172" s="2" t="s">
        <v>476</v>
      </c>
      <c r="B172" s="3" t="s">
        <v>1051</v>
      </c>
      <c r="C172" s="2" t="s">
        <v>477</v>
      </c>
      <c r="D172" s="2" t="s">
        <v>478</v>
      </c>
      <c r="E172" s="2"/>
      <c r="F172" s="18">
        <v>0</v>
      </c>
      <c r="G172" s="2"/>
      <c r="H172" s="8">
        <v>69.120000000000019</v>
      </c>
      <c r="I172" s="14"/>
      <c r="J172" s="8">
        <f t="shared" si="12"/>
        <v>0</v>
      </c>
      <c r="M172" s="30" t="str">
        <f t="shared" si="13"/>
        <v>-</v>
      </c>
      <c r="N172" s="30" t="str">
        <f t="shared" si="14"/>
        <v>-</v>
      </c>
      <c r="O172" s="31" t="str">
        <f t="shared" si="15"/>
        <v>-</v>
      </c>
      <c r="P172" s="32" t="str">
        <f t="shared" si="16"/>
        <v>-</v>
      </c>
      <c r="R172" s="32" t="str">
        <f t="shared" si="17"/>
        <v>-</v>
      </c>
    </row>
    <row r="173" spans="1:18" x14ac:dyDescent="0.3">
      <c r="A173" s="2" t="s">
        <v>479</v>
      </c>
      <c r="B173" s="3" t="s">
        <v>1063</v>
      </c>
      <c r="C173" s="2" t="s">
        <v>477</v>
      </c>
      <c r="D173" s="2" t="s">
        <v>480</v>
      </c>
      <c r="E173" s="2"/>
      <c r="F173" s="18">
        <v>0</v>
      </c>
      <c r="G173" s="2"/>
      <c r="H173" s="8">
        <v>106.2</v>
      </c>
      <c r="I173" s="14"/>
      <c r="J173" s="8">
        <f t="shared" si="12"/>
        <v>0</v>
      </c>
      <c r="M173" s="30" t="str">
        <f t="shared" si="13"/>
        <v>-</v>
      </c>
      <c r="N173" s="30" t="str">
        <f t="shared" si="14"/>
        <v>-</v>
      </c>
      <c r="O173" s="31" t="str">
        <f t="shared" si="15"/>
        <v>-</v>
      </c>
      <c r="P173" s="32" t="str">
        <f t="shared" si="16"/>
        <v>-</v>
      </c>
      <c r="R173" s="32" t="str">
        <f t="shared" si="17"/>
        <v>-</v>
      </c>
    </row>
    <row r="174" spans="1:18" x14ac:dyDescent="0.3">
      <c r="A174" s="2" t="s">
        <v>481</v>
      </c>
      <c r="B174" s="3" t="s">
        <v>1053</v>
      </c>
      <c r="C174" s="2" t="s">
        <v>482</v>
      </c>
      <c r="D174" s="2" t="s">
        <v>483</v>
      </c>
      <c r="E174" s="2"/>
      <c r="F174" s="18">
        <v>0</v>
      </c>
      <c r="G174" s="2"/>
      <c r="H174" s="8">
        <v>57.960000000000008</v>
      </c>
      <c r="I174" s="14"/>
      <c r="J174" s="8">
        <f t="shared" si="12"/>
        <v>0</v>
      </c>
      <c r="M174" s="30" t="str">
        <f t="shared" si="13"/>
        <v>-</v>
      </c>
      <c r="N174" s="30" t="str">
        <f t="shared" si="14"/>
        <v>-</v>
      </c>
      <c r="O174" s="31" t="str">
        <f t="shared" si="15"/>
        <v>-</v>
      </c>
      <c r="P174" s="32" t="str">
        <f t="shared" si="16"/>
        <v>-</v>
      </c>
      <c r="R174" s="32" t="str">
        <f t="shared" si="17"/>
        <v>-</v>
      </c>
    </row>
    <row r="175" spans="1:18" x14ac:dyDescent="0.3">
      <c r="A175" s="2" t="s">
        <v>484</v>
      </c>
      <c r="B175" s="3" t="s">
        <v>1050</v>
      </c>
      <c r="C175" s="2" t="s">
        <v>485</v>
      </c>
      <c r="D175" s="2" t="s">
        <v>486</v>
      </c>
      <c r="E175" s="2"/>
      <c r="F175" s="18">
        <v>0</v>
      </c>
      <c r="G175" s="2"/>
      <c r="H175" s="8">
        <v>36.360000000000007</v>
      </c>
      <c r="I175" s="14"/>
      <c r="J175" s="8">
        <f t="shared" si="12"/>
        <v>0</v>
      </c>
      <c r="M175" s="30" t="str">
        <f t="shared" si="13"/>
        <v>-</v>
      </c>
      <c r="N175" s="30" t="str">
        <f t="shared" si="14"/>
        <v>-</v>
      </c>
      <c r="O175" s="31" t="str">
        <f t="shared" si="15"/>
        <v>-</v>
      </c>
      <c r="P175" s="32" t="str">
        <f t="shared" si="16"/>
        <v>-</v>
      </c>
      <c r="R175" s="32" t="str">
        <f t="shared" si="17"/>
        <v>-</v>
      </c>
    </row>
    <row r="176" spans="1:18" x14ac:dyDescent="0.3">
      <c r="A176" s="2" t="s">
        <v>487</v>
      </c>
      <c r="B176" s="3" t="s">
        <v>1053</v>
      </c>
      <c r="C176" s="2" t="s">
        <v>488</v>
      </c>
      <c r="D176" s="2" t="s">
        <v>489</v>
      </c>
      <c r="E176" s="2"/>
      <c r="F176" s="18">
        <v>0</v>
      </c>
      <c r="G176" s="2"/>
      <c r="H176" s="8">
        <v>39.24</v>
      </c>
      <c r="I176" s="14"/>
      <c r="J176" s="8">
        <f t="shared" si="12"/>
        <v>0</v>
      </c>
      <c r="M176" s="30" t="str">
        <f t="shared" si="13"/>
        <v>-</v>
      </c>
      <c r="N176" s="30" t="str">
        <f t="shared" si="14"/>
        <v>-</v>
      </c>
      <c r="O176" s="31" t="str">
        <f t="shared" si="15"/>
        <v>-</v>
      </c>
      <c r="P176" s="32" t="str">
        <f t="shared" si="16"/>
        <v>-</v>
      </c>
      <c r="R176" s="32" t="str">
        <f t="shared" si="17"/>
        <v>-</v>
      </c>
    </row>
    <row r="177" spans="1:18" x14ac:dyDescent="0.3">
      <c r="A177" s="2" t="s">
        <v>490</v>
      </c>
      <c r="B177" s="3" t="s">
        <v>1095</v>
      </c>
      <c r="C177" s="2" t="s">
        <v>491</v>
      </c>
      <c r="D177" s="2" t="s">
        <v>492</v>
      </c>
      <c r="E177" s="2"/>
      <c r="F177" s="18">
        <v>0</v>
      </c>
      <c r="G177" s="2"/>
      <c r="H177" s="8">
        <v>38.865600000000001</v>
      </c>
      <c r="I177" s="14"/>
      <c r="J177" s="8">
        <f t="shared" si="12"/>
        <v>0</v>
      </c>
      <c r="M177" s="30" t="str">
        <f t="shared" si="13"/>
        <v>-</v>
      </c>
      <c r="N177" s="30" t="str">
        <f t="shared" si="14"/>
        <v>-</v>
      </c>
      <c r="O177" s="31" t="str">
        <f t="shared" si="15"/>
        <v>-</v>
      </c>
      <c r="P177" s="32" t="str">
        <f t="shared" si="16"/>
        <v>-</v>
      </c>
      <c r="R177" s="32" t="str">
        <f t="shared" si="17"/>
        <v>-</v>
      </c>
    </row>
    <row r="178" spans="1:18" x14ac:dyDescent="0.3">
      <c r="A178" s="2" t="s">
        <v>493</v>
      </c>
      <c r="B178" s="3" t="s">
        <v>1050</v>
      </c>
      <c r="C178" s="2" t="s">
        <v>494</v>
      </c>
      <c r="D178" s="2" t="s">
        <v>495</v>
      </c>
      <c r="E178" s="2"/>
      <c r="F178" s="18">
        <v>0</v>
      </c>
      <c r="G178" s="2"/>
      <c r="H178" s="8">
        <v>21.96</v>
      </c>
      <c r="I178" s="14"/>
      <c r="J178" s="8">
        <f t="shared" si="12"/>
        <v>0</v>
      </c>
      <c r="M178" s="30" t="str">
        <f t="shared" si="13"/>
        <v>-</v>
      </c>
      <c r="N178" s="30" t="str">
        <f t="shared" si="14"/>
        <v>-</v>
      </c>
      <c r="O178" s="31" t="str">
        <f t="shared" si="15"/>
        <v>-</v>
      </c>
      <c r="P178" s="32" t="str">
        <f t="shared" si="16"/>
        <v>-</v>
      </c>
      <c r="R178" s="32" t="str">
        <f t="shared" si="17"/>
        <v>-</v>
      </c>
    </row>
    <row r="179" spans="1:18" x14ac:dyDescent="0.3">
      <c r="A179" s="2" t="s">
        <v>496</v>
      </c>
      <c r="B179" s="3" t="s">
        <v>1050</v>
      </c>
      <c r="C179" s="2" t="s">
        <v>497</v>
      </c>
      <c r="D179" s="2" t="s">
        <v>498</v>
      </c>
      <c r="E179" s="2"/>
      <c r="F179" s="18">
        <v>0.18</v>
      </c>
      <c r="G179" s="2"/>
      <c r="H179" s="8">
        <v>31.680000000000003</v>
      </c>
      <c r="I179" s="14"/>
      <c r="J179" s="8">
        <f t="shared" si="12"/>
        <v>0</v>
      </c>
      <c r="M179" s="30" t="str">
        <f t="shared" si="13"/>
        <v>-</v>
      </c>
      <c r="N179" s="30" t="str">
        <f t="shared" si="14"/>
        <v>-</v>
      </c>
      <c r="O179" s="31" t="str">
        <f t="shared" si="15"/>
        <v>-</v>
      </c>
      <c r="P179" s="32" t="str">
        <f t="shared" si="16"/>
        <v>-</v>
      </c>
      <c r="R179" s="32" t="str">
        <f t="shared" si="17"/>
        <v>-</v>
      </c>
    </row>
    <row r="180" spans="1:18" x14ac:dyDescent="0.3">
      <c r="A180" s="2" t="s">
        <v>499</v>
      </c>
      <c r="B180" s="3" t="s">
        <v>1053</v>
      </c>
      <c r="C180" s="2" t="s">
        <v>500</v>
      </c>
      <c r="D180" s="2" t="s">
        <v>501</v>
      </c>
      <c r="E180" s="2"/>
      <c r="F180" s="18">
        <v>0</v>
      </c>
      <c r="G180" s="2"/>
      <c r="H180" s="8">
        <v>21.240000000000002</v>
      </c>
      <c r="I180" s="14"/>
      <c r="J180" s="8">
        <f t="shared" si="12"/>
        <v>0</v>
      </c>
      <c r="M180" s="30" t="str">
        <f t="shared" si="13"/>
        <v>-</v>
      </c>
      <c r="N180" s="30" t="str">
        <f t="shared" si="14"/>
        <v>-</v>
      </c>
      <c r="O180" s="31" t="str">
        <f t="shared" si="15"/>
        <v>-</v>
      </c>
      <c r="P180" s="32" t="str">
        <f t="shared" si="16"/>
        <v>-</v>
      </c>
      <c r="R180" s="32" t="str">
        <f t="shared" si="17"/>
        <v>-</v>
      </c>
    </row>
    <row r="181" spans="1:18" x14ac:dyDescent="0.3">
      <c r="A181" s="2" t="s">
        <v>502</v>
      </c>
      <c r="B181" s="3" t="s">
        <v>1051</v>
      </c>
      <c r="C181" s="2" t="s">
        <v>503</v>
      </c>
      <c r="D181" s="2" t="s">
        <v>504</v>
      </c>
      <c r="E181" s="2"/>
      <c r="F181" s="18">
        <v>0</v>
      </c>
      <c r="G181" s="2"/>
      <c r="H181" s="8">
        <v>46.440000000000005</v>
      </c>
      <c r="I181" s="14"/>
      <c r="J181" s="8">
        <f t="shared" si="12"/>
        <v>0</v>
      </c>
      <c r="M181" s="30" t="str">
        <f t="shared" si="13"/>
        <v>-</v>
      </c>
      <c r="N181" s="30" t="str">
        <f t="shared" si="14"/>
        <v>-</v>
      </c>
      <c r="O181" s="31" t="str">
        <f t="shared" si="15"/>
        <v>-</v>
      </c>
      <c r="P181" s="32" t="str">
        <f t="shared" si="16"/>
        <v>-</v>
      </c>
      <c r="R181" s="32" t="str">
        <f t="shared" si="17"/>
        <v>-</v>
      </c>
    </row>
    <row r="182" spans="1:18" x14ac:dyDescent="0.3">
      <c r="A182" s="2" t="s">
        <v>505</v>
      </c>
      <c r="B182" s="3" t="s">
        <v>1053</v>
      </c>
      <c r="C182" s="2" t="s">
        <v>506</v>
      </c>
      <c r="D182" s="2" t="s">
        <v>507</v>
      </c>
      <c r="E182" s="2"/>
      <c r="F182" s="18">
        <v>0.19</v>
      </c>
      <c r="G182" s="2"/>
      <c r="H182" s="8">
        <v>42.120000000000005</v>
      </c>
      <c r="I182" s="14"/>
      <c r="J182" s="8">
        <f t="shared" si="12"/>
        <v>0</v>
      </c>
      <c r="M182" s="30" t="str">
        <f t="shared" si="13"/>
        <v>-</v>
      </c>
      <c r="N182" s="30" t="str">
        <f t="shared" si="14"/>
        <v>-</v>
      </c>
      <c r="O182" s="31" t="str">
        <f t="shared" si="15"/>
        <v>-</v>
      </c>
      <c r="P182" s="32" t="str">
        <f t="shared" si="16"/>
        <v>-</v>
      </c>
      <c r="R182" s="32" t="str">
        <f t="shared" si="17"/>
        <v>-</v>
      </c>
    </row>
    <row r="183" spans="1:18" x14ac:dyDescent="0.3">
      <c r="A183" s="2" t="s">
        <v>508</v>
      </c>
      <c r="B183" s="2" t="s">
        <v>1054</v>
      </c>
      <c r="C183" s="3" t="s">
        <v>1096</v>
      </c>
      <c r="D183" s="2" t="s">
        <v>509</v>
      </c>
      <c r="E183" s="2"/>
      <c r="F183" s="18">
        <v>0.27</v>
      </c>
      <c r="G183" s="2"/>
      <c r="H183" s="8">
        <v>46.800000000000004</v>
      </c>
      <c r="I183" s="14"/>
      <c r="J183" s="8">
        <f t="shared" si="12"/>
        <v>0</v>
      </c>
      <c r="M183" s="30" t="str">
        <f t="shared" si="13"/>
        <v>-</v>
      </c>
      <c r="N183" s="30" t="str">
        <f t="shared" si="14"/>
        <v>-</v>
      </c>
      <c r="O183" s="31" t="str">
        <f t="shared" si="15"/>
        <v>-</v>
      </c>
      <c r="P183" s="32" t="str">
        <f t="shared" si="16"/>
        <v>-</v>
      </c>
      <c r="R183" s="32" t="str">
        <f t="shared" si="17"/>
        <v>-</v>
      </c>
    </row>
    <row r="184" spans="1:18" x14ac:dyDescent="0.3">
      <c r="A184" s="2" t="s">
        <v>510</v>
      </c>
      <c r="B184" s="3" t="s">
        <v>1050</v>
      </c>
      <c r="C184" s="2" t="s">
        <v>511</v>
      </c>
      <c r="D184" s="2" t="s">
        <v>512</v>
      </c>
      <c r="E184" s="2"/>
      <c r="F184" s="18">
        <v>0</v>
      </c>
      <c r="G184" s="2"/>
      <c r="H184" s="8">
        <v>52.92</v>
      </c>
      <c r="I184" s="14"/>
      <c r="J184" s="8">
        <f t="shared" si="12"/>
        <v>0</v>
      </c>
      <c r="M184" s="30" t="str">
        <f t="shared" si="13"/>
        <v>-</v>
      </c>
      <c r="N184" s="30" t="str">
        <f t="shared" si="14"/>
        <v>-</v>
      </c>
      <c r="O184" s="31" t="str">
        <f t="shared" si="15"/>
        <v>-</v>
      </c>
      <c r="P184" s="32" t="str">
        <f t="shared" si="16"/>
        <v>-</v>
      </c>
      <c r="R184" s="32" t="str">
        <f t="shared" si="17"/>
        <v>-</v>
      </c>
    </row>
    <row r="185" spans="1:18" x14ac:dyDescent="0.3">
      <c r="A185" s="2" t="s">
        <v>513</v>
      </c>
      <c r="B185" s="3" t="s">
        <v>1097</v>
      </c>
      <c r="C185" s="2" t="s">
        <v>514</v>
      </c>
      <c r="D185" s="2" t="s">
        <v>515</v>
      </c>
      <c r="E185" s="2"/>
      <c r="F185" s="18">
        <v>0</v>
      </c>
      <c r="G185" s="2"/>
      <c r="H185" s="8">
        <v>25.560000000000002</v>
      </c>
      <c r="I185" s="14"/>
      <c r="J185" s="8">
        <f t="shared" si="12"/>
        <v>0</v>
      </c>
      <c r="M185" s="30" t="str">
        <f t="shared" si="13"/>
        <v>-</v>
      </c>
      <c r="N185" s="30" t="str">
        <f t="shared" si="14"/>
        <v>-</v>
      </c>
      <c r="O185" s="31" t="str">
        <f t="shared" si="15"/>
        <v>-</v>
      </c>
      <c r="P185" s="32" t="str">
        <f t="shared" si="16"/>
        <v>-</v>
      </c>
      <c r="R185" s="32" t="str">
        <f t="shared" si="17"/>
        <v>-</v>
      </c>
    </row>
    <row r="186" spans="1:18" x14ac:dyDescent="0.3">
      <c r="A186" s="2" t="s">
        <v>516</v>
      </c>
      <c r="B186" s="3" t="s">
        <v>1064</v>
      </c>
      <c r="C186" s="2" t="s">
        <v>517</v>
      </c>
      <c r="D186" s="2" t="s">
        <v>518</v>
      </c>
      <c r="E186" s="2"/>
      <c r="F186" s="18">
        <v>0</v>
      </c>
      <c r="G186" s="2"/>
      <c r="H186" s="8">
        <v>59.760000000000005</v>
      </c>
      <c r="I186" s="14"/>
      <c r="J186" s="8">
        <f t="shared" si="12"/>
        <v>0</v>
      </c>
      <c r="M186" s="30" t="str">
        <f t="shared" si="13"/>
        <v>-</v>
      </c>
      <c r="N186" s="30" t="str">
        <f t="shared" si="14"/>
        <v>-</v>
      </c>
      <c r="O186" s="31" t="str">
        <f t="shared" si="15"/>
        <v>-</v>
      </c>
      <c r="P186" s="32" t="str">
        <f t="shared" si="16"/>
        <v>-</v>
      </c>
      <c r="R186" s="32" t="str">
        <f t="shared" si="17"/>
        <v>-</v>
      </c>
    </row>
    <row r="187" spans="1:18" x14ac:dyDescent="0.3">
      <c r="A187" s="3" t="s">
        <v>519</v>
      </c>
      <c r="B187" s="3" t="s">
        <v>1050</v>
      </c>
      <c r="C187" s="2" t="s">
        <v>520</v>
      </c>
      <c r="D187" s="2" t="s">
        <v>521</v>
      </c>
      <c r="E187" s="2"/>
      <c r="F187" s="18">
        <v>0</v>
      </c>
      <c r="G187" s="2"/>
      <c r="H187" s="8">
        <v>47.52</v>
      </c>
      <c r="I187" s="14"/>
      <c r="J187" s="8">
        <f t="shared" si="12"/>
        <v>0</v>
      </c>
      <c r="M187" s="30" t="str">
        <f t="shared" si="13"/>
        <v>-</v>
      </c>
      <c r="N187" s="30" t="str">
        <f t="shared" si="14"/>
        <v>-</v>
      </c>
      <c r="O187" s="31" t="str">
        <f t="shared" si="15"/>
        <v>-</v>
      </c>
      <c r="P187" s="32" t="str">
        <f t="shared" si="16"/>
        <v>-</v>
      </c>
      <c r="R187" s="32" t="str">
        <f t="shared" si="17"/>
        <v>-</v>
      </c>
    </row>
    <row r="188" spans="1:18" x14ac:dyDescent="0.3">
      <c r="A188" s="2" t="s">
        <v>522</v>
      </c>
      <c r="B188" s="3" t="s">
        <v>1098</v>
      </c>
      <c r="C188" s="2" t="s">
        <v>523</v>
      </c>
      <c r="D188" s="2" t="s">
        <v>524</v>
      </c>
      <c r="E188" s="2"/>
      <c r="F188" s="18">
        <v>0</v>
      </c>
      <c r="G188" s="2"/>
      <c r="H188" s="8">
        <v>47.145600000000009</v>
      </c>
      <c r="I188" s="14"/>
      <c r="J188" s="8">
        <f t="shared" si="12"/>
        <v>0</v>
      </c>
      <c r="M188" s="30" t="str">
        <f t="shared" si="13"/>
        <v>-</v>
      </c>
      <c r="N188" s="30" t="str">
        <f t="shared" si="14"/>
        <v>-</v>
      </c>
      <c r="O188" s="31" t="str">
        <f t="shared" si="15"/>
        <v>-</v>
      </c>
      <c r="P188" s="32" t="str">
        <f t="shared" si="16"/>
        <v>-</v>
      </c>
      <c r="R188" s="32" t="str">
        <f t="shared" si="17"/>
        <v>-</v>
      </c>
    </row>
    <row r="189" spans="1:18" x14ac:dyDescent="0.3">
      <c r="A189" s="2" t="s">
        <v>525</v>
      </c>
      <c r="B189" s="3" t="s">
        <v>1098</v>
      </c>
      <c r="C189" s="2" t="s">
        <v>526</v>
      </c>
      <c r="D189" s="2" t="s">
        <v>527</v>
      </c>
      <c r="E189" s="2"/>
      <c r="F189" s="18">
        <v>0</v>
      </c>
      <c r="G189" s="2"/>
      <c r="H189" s="8">
        <v>28.785599999999999</v>
      </c>
      <c r="I189" s="14"/>
      <c r="J189" s="8">
        <f t="shared" si="12"/>
        <v>0</v>
      </c>
      <c r="M189" s="30" t="str">
        <f t="shared" si="13"/>
        <v>-</v>
      </c>
      <c r="N189" s="30" t="str">
        <f t="shared" si="14"/>
        <v>-</v>
      </c>
      <c r="O189" s="31" t="str">
        <f t="shared" si="15"/>
        <v>-</v>
      </c>
      <c r="P189" s="32" t="str">
        <f t="shared" si="16"/>
        <v>-</v>
      </c>
      <c r="R189" s="32" t="str">
        <f t="shared" si="17"/>
        <v>-</v>
      </c>
    </row>
    <row r="190" spans="1:18" x14ac:dyDescent="0.3">
      <c r="A190" s="2" t="s">
        <v>528</v>
      </c>
      <c r="B190" s="3" t="s">
        <v>1053</v>
      </c>
      <c r="C190" s="2" t="s">
        <v>529</v>
      </c>
      <c r="D190" s="2" t="s">
        <v>530</v>
      </c>
      <c r="E190" s="2"/>
      <c r="F190" s="18">
        <v>0</v>
      </c>
      <c r="G190" s="2"/>
      <c r="H190" s="8">
        <v>54.720000000000006</v>
      </c>
      <c r="I190" s="14"/>
      <c r="J190" s="8">
        <f t="shared" si="12"/>
        <v>0</v>
      </c>
      <c r="M190" s="30" t="str">
        <f t="shared" si="13"/>
        <v>-</v>
      </c>
      <c r="N190" s="30" t="str">
        <f t="shared" si="14"/>
        <v>-</v>
      </c>
      <c r="O190" s="31" t="str">
        <f t="shared" si="15"/>
        <v>-</v>
      </c>
      <c r="P190" s="32" t="str">
        <f t="shared" si="16"/>
        <v>-</v>
      </c>
      <c r="R190" s="32" t="str">
        <f t="shared" si="17"/>
        <v>-</v>
      </c>
    </row>
    <row r="191" spans="1:18" x14ac:dyDescent="0.3">
      <c r="A191" s="2" t="s">
        <v>531</v>
      </c>
      <c r="B191" s="3" t="s">
        <v>1053</v>
      </c>
      <c r="C191" s="2" t="s">
        <v>532</v>
      </c>
      <c r="D191" s="2" t="s">
        <v>533</v>
      </c>
      <c r="E191" s="2"/>
      <c r="F191" s="18">
        <v>0</v>
      </c>
      <c r="G191" s="2"/>
      <c r="H191" s="8">
        <v>42.84</v>
      </c>
      <c r="I191" s="14"/>
      <c r="J191" s="8">
        <f t="shared" si="12"/>
        <v>0</v>
      </c>
      <c r="M191" s="30" t="str">
        <f t="shared" si="13"/>
        <v>-</v>
      </c>
      <c r="N191" s="30" t="str">
        <f t="shared" si="14"/>
        <v>-</v>
      </c>
      <c r="O191" s="31" t="str">
        <f t="shared" si="15"/>
        <v>-</v>
      </c>
      <c r="P191" s="32" t="str">
        <f t="shared" si="16"/>
        <v>-</v>
      </c>
      <c r="R191" s="32" t="str">
        <f t="shared" si="17"/>
        <v>-</v>
      </c>
    </row>
    <row r="192" spans="1:18" x14ac:dyDescent="0.3">
      <c r="A192" s="2" t="s">
        <v>534</v>
      </c>
      <c r="B192" s="3" t="s">
        <v>1056</v>
      </c>
      <c r="C192" s="2" t="s">
        <v>535</v>
      </c>
      <c r="D192" s="2" t="s">
        <v>536</v>
      </c>
      <c r="E192" s="2"/>
      <c r="F192" s="18">
        <v>0</v>
      </c>
      <c r="G192" s="2"/>
      <c r="H192" s="8">
        <v>38.880000000000003</v>
      </c>
      <c r="I192" s="14"/>
      <c r="J192" s="8">
        <f t="shared" si="12"/>
        <v>0</v>
      </c>
      <c r="M192" s="30" t="str">
        <f t="shared" si="13"/>
        <v>-</v>
      </c>
      <c r="N192" s="30" t="str">
        <f t="shared" si="14"/>
        <v>-</v>
      </c>
      <c r="O192" s="31" t="str">
        <f t="shared" si="15"/>
        <v>-</v>
      </c>
      <c r="P192" s="32" t="str">
        <f t="shared" si="16"/>
        <v>-</v>
      </c>
      <c r="R192" s="32" t="str">
        <f t="shared" si="17"/>
        <v>-</v>
      </c>
    </row>
    <row r="193" spans="1:18" x14ac:dyDescent="0.3">
      <c r="A193" s="2" t="s">
        <v>537</v>
      </c>
      <c r="B193" s="3" t="s">
        <v>1054</v>
      </c>
      <c r="C193" s="2" t="s">
        <v>538</v>
      </c>
      <c r="D193" s="2" t="s">
        <v>539</v>
      </c>
      <c r="E193" s="2"/>
      <c r="F193" s="18">
        <v>0</v>
      </c>
      <c r="G193" s="2"/>
      <c r="H193" s="8">
        <v>30.96</v>
      </c>
      <c r="I193" s="14"/>
      <c r="J193" s="8">
        <f t="shared" si="12"/>
        <v>0</v>
      </c>
      <c r="M193" s="30" t="str">
        <f t="shared" si="13"/>
        <v>-</v>
      </c>
      <c r="N193" s="30" t="str">
        <f t="shared" si="14"/>
        <v>-</v>
      </c>
      <c r="O193" s="31" t="str">
        <f t="shared" si="15"/>
        <v>-</v>
      </c>
      <c r="P193" s="32" t="str">
        <f t="shared" si="16"/>
        <v>-</v>
      </c>
      <c r="R193" s="32" t="str">
        <f t="shared" si="17"/>
        <v>-</v>
      </c>
    </row>
    <row r="194" spans="1:18" x14ac:dyDescent="0.3">
      <c r="A194" s="2" t="s">
        <v>540</v>
      </c>
      <c r="B194" s="3" t="s">
        <v>1056</v>
      </c>
      <c r="C194" s="2" t="s">
        <v>541</v>
      </c>
      <c r="D194" s="2" t="s">
        <v>542</v>
      </c>
      <c r="E194" s="2"/>
      <c r="F194" s="18">
        <v>0</v>
      </c>
      <c r="G194" s="2"/>
      <c r="H194" s="8">
        <v>29.16</v>
      </c>
      <c r="I194" s="14"/>
      <c r="J194" s="8">
        <f t="shared" si="12"/>
        <v>0</v>
      </c>
      <c r="M194" s="30" t="str">
        <f t="shared" si="13"/>
        <v>-</v>
      </c>
      <c r="N194" s="30" t="str">
        <f t="shared" si="14"/>
        <v>-</v>
      </c>
      <c r="O194" s="31" t="str">
        <f t="shared" si="15"/>
        <v>-</v>
      </c>
      <c r="P194" s="32" t="str">
        <f t="shared" si="16"/>
        <v>-</v>
      </c>
      <c r="R194" s="32" t="str">
        <f t="shared" si="17"/>
        <v>-</v>
      </c>
    </row>
    <row r="195" spans="1:18" x14ac:dyDescent="0.3">
      <c r="A195" s="2" t="s">
        <v>543</v>
      </c>
      <c r="B195" s="3" t="s">
        <v>1099</v>
      </c>
      <c r="C195" s="2" t="s">
        <v>541</v>
      </c>
      <c r="D195" s="2" t="s">
        <v>544</v>
      </c>
      <c r="E195" s="2"/>
      <c r="F195" s="18">
        <v>0.25</v>
      </c>
      <c r="G195" s="2"/>
      <c r="H195" s="8">
        <v>52.2</v>
      </c>
      <c r="I195" s="14"/>
      <c r="J195" s="8">
        <f t="shared" si="12"/>
        <v>0</v>
      </c>
      <c r="M195" s="30" t="str">
        <f t="shared" si="13"/>
        <v>-</v>
      </c>
      <c r="N195" s="30" t="str">
        <f t="shared" si="14"/>
        <v>-</v>
      </c>
      <c r="O195" s="31" t="str">
        <f t="shared" si="15"/>
        <v>-</v>
      </c>
      <c r="P195" s="32" t="str">
        <f t="shared" si="16"/>
        <v>-</v>
      </c>
      <c r="R195" s="32" t="str">
        <f t="shared" si="17"/>
        <v>-</v>
      </c>
    </row>
    <row r="196" spans="1:18" x14ac:dyDescent="0.3">
      <c r="A196" s="2" t="s">
        <v>545</v>
      </c>
      <c r="B196" s="3" t="s">
        <v>1102</v>
      </c>
      <c r="C196" s="3" t="s">
        <v>1100</v>
      </c>
      <c r="D196" s="2" t="s">
        <v>546</v>
      </c>
      <c r="E196" s="2"/>
      <c r="F196" s="18">
        <v>0</v>
      </c>
      <c r="G196" s="2"/>
      <c r="H196" s="8">
        <v>37.785600000000002</v>
      </c>
      <c r="I196" s="14"/>
      <c r="J196" s="8">
        <f t="shared" ref="J196:J259" si="18">I196*H196</f>
        <v>0</v>
      </c>
      <c r="M196" s="30" t="str">
        <f t="shared" ref="M196:M259" si="19">IFERROR(IF($M$2*F196=0, "-", $M$2*F196), "-")</f>
        <v>-</v>
      </c>
      <c r="N196" s="30" t="str">
        <f t="shared" ref="N196:N259" si="20">IF(I196&gt;0,H196+F196*I196/$O$2*$P$2/I196,"-")</f>
        <v>-</v>
      </c>
      <c r="O196" s="31" t="str">
        <f t="shared" ref="O196:O259" si="21">IF(I196&gt;0,I196*F196*1.113, "-")</f>
        <v>-</v>
      </c>
      <c r="P196" s="32" t="str">
        <f t="shared" ref="P196:P259" si="22">IFERROR(IF($M$2&gt;0, $M$2*O196, "-"), "-")</f>
        <v>-</v>
      </c>
      <c r="R196" s="32" t="str">
        <f t="shared" ref="R196:R259" si="23">IFERROR(IF(P196+J196=0, "-", IF(P196&gt;0, P196+J196, "-")), "-")</f>
        <v>-</v>
      </c>
    </row>
    <row r="197" spans="1:18" x14ac:dyDescent="0.3">
      <c r="A197" s="2" t="s">
        <v>547</v>
      </c>
      <c r="B197" s="3" t="s">
        <v>1102</v>
      </c>
      <c r="C197" s="3" t="s">
        <v>1101</v>
      </c>
      <c r="D197" s="2" t="s">
        <v>548</v>
      </c>
      <c r="E197" s="2"/>
      <c r="F197" s="18">
        <v>0</v>
      </c>
      <c r="G197" s="2"/>
      <c r="H197" s="8">
        <v>39.24</v>
      </c>
      <c r="I197" s="14"/>
      <c r="J197" s="8">
        <f t="shared" si="18"/>
        <v>0</v>
      </c>
      <c r="M197" s="30" t="str">
        <f t="shared" si="19"/>
        <v>-</v>
      </c>
      <c r="N197" s="30" t="str">
        <f t="shared" si="20"/>
        <v>-</v>
      </c>
      <c r="O197" s="31" t="str">
        <f t="shared" si="21"/>
        <v>-</v>
      </c>
      <c r="P197" s="32" t="str">
        <f t="shared" si="22"/>
        <v>-</v>
      </c>
      <c r="R197" s="32" t="str">
        <f t="shared" si="23"/>
        <v>-</v>
      </c>
    </row>
    <row r="198" spans="1:18" x14ac:dyDescent="0.3">
      <c r="A198" s="2" t="s">
        <v>549</v>
      </c>
      <c r="B198" s="3" t="s">
        <v>1056</v>
      </c>
      <c r="C198" s="2" t="s">
        <v>550</v>
      </c>
      <c r="D198" s="2" t="s">
        <v>551</v>
      </c>
      <c r="E198" s="2"/>
      <c r="F198" s="18">
        <v>0</v>
      </c>
      <c r="G198" s="2"/>
      <c r="H198" s="8">
        <v>14.4</v>
      </c>
      <c r="I198" s="14"/>
      <c r="J198" s="8">
        <f t="shared" si="18"/>
        <v>0</v>
      </c>
      <c r="M198" s="30" t="str">
        <f t="shared" si="19"/>
        <v>-</v>
      </c>
      <c r="N198" s="30" t="str">
        <f t="shared" si="20"/>
        <v>-</v>
      </c>
      <c r="O198" s="31" t="str">
        <f t="shared" si="21"/>
        <v>-</v>
      </c>
      <c r="P198" s="32" t="str">
        <f t="shared" si="22"/>
        <v>-</v>
      </c>
      <c r="R198" s="32" t="str">
        <f t="shared" si="23"/>
        <v>-</v>
      </c>
    </row>
    <row r="199" spans="1:18" x14ac:dyDescent="0.3">
      <c r="A199" s="2" t="s">
        <v>552</v>
      </c>
      <c r="B199" s="3" t="s">
        <v>1099</v>
      </c>
      <c r="C199" s="2" t="s">
        <v>550</v>
      </c>
      <c r="D199" s="2" t="s">
        <v>553</v>
      </c>
      <c r="E199" s="2"/>
      <c r="F199" s="18">
        <v>0</v>
      </c>
      <c r="G199" s="2"/>
      <c r="H199" s="8">
        <v>25.2</v>
      </c>
      <c r="I199" s="14"/>
      <c r="J199" s="8">
        <f t="shared" si="18"/>
        <v>0</v>
      </c>
      <c r="M199" s="30" t="str">
        <f t="shared" si="19"/>
        <v>-</v>
      </c>
      <c r="N199" s="30" t="str">
        <f t="shared" si="20"/>
        <v>-</v>
      </c>
      <c r="O199" s="31" t="str">
        <f t="shared" si="21"/>
        <v>-</v>
      </c>
      <c r="P199" s="32" t="str">
        <f t="shared" si="22"/>
        <v>-</v>
      </c>
      <c r="R199" s="32" t="str">
        <f t="shared" si="23"/>
        <v>-</v>
      </c>
    </row>
    <row r="200" spans="1:18" x14ac:dyDescent="0.3">
      <c r="A200" s="2" t="s">
        <v>554</v>
      </c>
      <c r="B200" s="3" t="s">
        <v>1051</v>
      </c>
      <c r="C200" s="2" t="s">
        <v>555</v>
      </c>
      <c r="D200" s="2" t="s">
        <v>556</v>
      </c>
      <c r="E200" s="2"/>
      <c r="F200" s="18">
        <v>0</v>
      </c>
      <c r="G200" s="2"/>
      <c r="H200" s="8">
        <v>39.24</v>
      </c>
      <c r="I200" s="14"/>
      <c r="J200" s="8">
        <f t="shared" si="18"/>
        <v>0</v>
      </c>
      <c r="M200" s="30" t="str">
        <f t="shared" si="19"/>
        <v>-</v>
      </c>
      <c r="N200" s="30" t="str">
        <f t="shared" si="20"/>
        <v>-</v>
      </c>
      <c r="O200" s="31" t="str">
        <f t="shared" si="21"/>
        <v>-</v>
      </c>
      <c r="P200" s="32" t="str">
        <f t="shared" si="22"/>
        <v>-</v>
      </c>
      <c r="R200" s="32" t="str">
        <f t="shared" si="23"/>
        <v>-</v>
      </c>
    </row>
    <row r="201" spans="1:18" x14ac:dyDescent="0.3">
      <c r="A201" s="2" t="s">
        <v>557</v>
      </c>
      <c r="B201" s="3" t="s">
        <v>1083</v>
      </c>
      <c r="C201" s="2" t="s">
        <v>558</v>
      </c>
      <c r="D201" s="2" t="s">
        <v>559</v>
      </c>
      <c r="E201" s="2"/>
      <c r="F201" s="18">
        <v>0</v>
      </c>
      <c r="G201" s="2"/>
      <c r="H201" s="8">
        <v>66.2256</v>
      </c>
      <c r="I201" s="14"/>
      <c r="J201" s="8">
        <f t="shared" si="18"/>
        <v>0</v>
      </c>
      <c r="M201" s="30" t="str">
        <f t="shared" si="19"/>
        <v>-</v>
      </c>
      <c r="N201" s="30" t="str">
        <f t="shared" si="20"/>
        <v>-</v>
      </c>
      <c r="O201" s="31" t="str">
        <f t="shared" si="21"/>
        <v>-</v>
      </c>
      <c r="P201" s="32" t="str">
        <f t="shared" si="22"/>
        <v>-</v>
      </c>
      <c r="R201" s="32" t="str">
        <f t="shared" si="23"/>
        <v>-</v>
      </c>
    </row>
    <row r="202" spans="1:18" x14ac:dyDescent="0.3">
      <c r="A202" s="2" t="s">
        <v>560</v>
      </c>
      <c r="B202" s="3" t="s">
        <v>1051</v>
      </c>
      <c r="C202" s="2" t="s">
        <v>561</v>
      </c>
      <c r="D202" s="2" t="s">
        <v>562</v>
      </c>
      <c r="E202" s="2"/>
      <c r="F202" s="18">
        <v>0</v>
      </c>
      <c r="G202" s="2"/>
      <c r="H202" s="8">
        <v>48.24</v>
      </c>
      <c r="I202" s="14"/>
      <c r="J202" s="8">
        <f t="shared" si="18"/>
        <v>0</v>
      </c>
      <c r="M202" s="30" t="str">
        <f t="shared" si="19"/>
        <v>-</v>
      </c>
      <c r="N202" s="30" t="str">
        <f t="shared" si="20"/>
        <v>-</v>
      </c>
      <c r="O202" s="31" t="str">
        <f t="shared" si="21"/>
        <v>-</v>
      </c>
      <c r="P202" s="32" t="str">
        <f t="shared" si="22"/>
        <v>-</v>
      </c>
      <c r="R202" s="32" t="str">
        <f t="shared" si="23"/>
        <v>-</v>
      </c>
    </row>
    <row r="203" spans="1:18" x14ac:dyDescent="0.3">
      <c r="A203" s="2" t="s">
        <v>563</v>
      </c>
      <c r="B203" s="3" t="s">
        <v>1050</v>
      </c>
      <c r="C203" s="2" t="s">
        <v>564</v>
      </c>
      <c r="D203" s="2" t="s">
        <v>565</v>
      </c>
      <c r="E203" s="2"/>
      <c r="F203" s="18">
        <v>0</v>
      </c>
      <c r="G203" s="2"/>
      <c r="H203" s="8">
        <v>29.880000000000003</v>
      </c>
      <c r="I203" s="14"/>
      <c r="J203" s="8">
        <f t="shared" si="18"/>
        <v>0</v>
      </c>
      <c r="M203" s="30" t="str">
        <f t="shared" si="19"/>
        <v>-</v>
      </c>
      <c r="N203" s="30" t="str">
        <f t="shared" si="20"/>
        <v>-</v>
      </c>
      <c r="O203" s="31" t="str">
        <f t="shared" si="21"/>
        <v>-</v>
      </c>
      <c r="P203" s="32" t="str">
        <f t="shared" si="22"/>
        <v>-</v>
      </c>
      <c r="R203" s="32" t="str">
        <f t="shared" si="23"/>
        <v>-</v>
      </c>
    </row>
    <row r="204" spans="1:18" x14ac:dyDescent="0.3">
      <c r="A204" s="2" t="s">
        <v>566</v>
      </c>
      <c r="B204" s="3" t="s">
        <v>1052</v>
      </c>
      <c r="C204" s="2" t="s">
        <v>564</v>
      </c>
      <c r="D204" s="2" t="s">
        <v>567</v>
      </c>
      <c r="E204" s="2"/>
      <c r="F204" s="18">
        <v>0</v>
      </c>
      <c r="G204" s="2"/>
      <c r="H204" s="8">
        <v>54</v>
      </c>
      <c r="I204" s="14"/>
      <c r="J204" s="8">
        <f t="shared" si="18"/>
        <v>0</v>
      </c>
      <c r="M204" s="30" t="str">
        <f t="shared" si="19"/>
        <v>-</v>
      </c>
      <c r="N204" s="30" t="str">
        <f t="shared" si="20"/>
        <v>-</v>
      </c>
      <c r="O204" s="31" t="str">
        <f t="shared" si="21"/>
        <v>-</v>
      </c>
      <c r="P204" s="32" t="str">
        <f t="shared" si="22"/>
        <v>-</v>
      </c>
      <c r="R204" s="32" t="str">
        <f t="shared" si="23"/>
        <v>-</v>
      </c>
    </row>
    <row r="205" spans="1:18" x14ac:dyDescent="0.3">
      <c r="A205" s="2" t="s">
        <v>568</v>
      </c>
      <c r="B205" s="3" t="s">
        <v>1050</v>
      </c>
      <c r="C205" s="2" t="s">
        <v>569</v>
      </c>
      <c r="D205" s="2" t="s">
        <v>570</v>
      </c>
      <c r="E205" s="2"/>
      <c r="F205" s="18">
        <v>0</v>
      </c>
      <c r="G205" s="2"/>
      <c r="H205" s="8">
        <v>42.480000000000004</v>
      </c>
      <c r="I205" s="14"/>
      <c r="J205" s="8">
        <f t="shared" si="18"/>
        <v>0</v>
      </c>
      <c r="M205" s="30" t="str">
        <f t="shared" si="19"/>
        <v>-</v>
      </c>
      <c r="N205" s="30" t="str">
        <f t="shared" si="20"/>
        <v>-</v>
      </c>
      <c r="O205" s="31" t="str">
        <f t="shared" si="21"/>
        <v>-</v>
      </c>
      <c r="P205" s="32" t="str">
        <f t="shared" si="22"/>
        <v>-</v>
      </c>
      <c r="R205" s="32" t="str">
        <f t="shared" si="23"/>
        <v>-</v>
      </c>
    </row>
    <row r="206" spans="1:18" x14ac:dyDescent="0.3">
      <c r="A206" s="2" t="s">
        <v>571</v>
      </c>
      <c r="B206" s="3" t="s">
        <v>1056</v>
      </c>
      <c r="C206" s="2" t="s">
        <v>572</v>
      </c>
      <c r="D206" s="2" t="s">
        <v>573</v>
      </c>
      <c r="E206" s="2"/>
      <c r="F206" s="18">
        <v>0.28999999999999998</v>
      </c>
      <c r="G206" s="2"/>
      <c r="H206" s="8">
        <v>39.960000000000008</v>
      </c>
      <c r="I206" s="14"/>
      <c r="J206" s="8">
        <f t="shared" si="18"/>
        <v>0</v>
      </c>
      <c r="M206" s="30" t="str">
        <f t="shared" si="19"/>
        <v>-</v>
      </c>
      <c r="N206" s="30" t="str">
        <f t="shared" si="20"/>
        <v>-</v>
      </c>
      <c r="O206" s="31" t="str">
        <f t="shared" si="21"/>
        <v>-</v>
      </c>
      <c r="P206" s="32" t="str">
        <f t="shared" si="22"/>
        <v>-</v>
      </c>
      <c r="R206" s="32" t="str">
        <f t="shared" si="23"/>
        <v>-</v>
      </c>
    </row>
    <row r="207" spans="1:18" x14ac:dyDescent="0.3">
      <c r="A207" s="2" t="s">
        <v>574</v>
      </c>
      <c r="B207" s="3" t="s">
        <v>1056</v>
      </c>
      <c r="C207" s="2" t="s">
        <v>575</v>
      </c>
      <c r="D207" s="2" t="s">
        <v>576</v>
      </c>
      <c r="E207" s="2"/>
      <c r="F207" s="18">
        <v>0</v>
      </c>
      <c r="G207" s="2"/>
      <c r="H207" s="8">
        <v>26.64</v>
      </c>
      <c r="I207" s="14"/>
      <c r="J207" s="8">
        <f t="shared" si="18"/>
        <v>0</v>
      </c>
      <c r="M207" s="30" t="str">
        <f t="shared" si="19"/>
        <v>-</v>
      </c>
      <c r="N207" s="30" t="str">
        <f t="shared" si="20"/>
        <v>-</v>
      </c>
      <c r="O207" s="31" t="str">
        <f t="shared" si="21"/>
        <v>-</v>
      </c>
      <c r="P207" s="32" t="str">
        <f t="shared" si="22"/>
        <v>-</v>
      </c>
      <c r="R207" s="32" t="str">
        <f t="shared" si="23"/>
        <v>-</v>
      </c>
    </row>
    <row r="208" spans="1:18" x14ac:dyDescent="0.3">
      <c r="A208" s="2" t="s">
        <v>577</v>
      </c>
      <c r="B208" s="3" t="s">
        <v>1071</v>
      </c>
      <c r="C208" s="2" t="s">
        <v>575</v>
      </c>
      <c r="D208" s="2" t="s">
        <v>578</v>
      </c>
      <c r="E208" s="2"/>
      <c r="F208" s="18">
        <v>0</v>
      </c>
      <c r="G208" s="2"/>
      <c r="H208" s="8">
        <v>63</v>
      </c>
      <c r="I208" s="14"/>
      <c r="J208" s="8">
        <f t="shared" si="18"/>
        <v>0</v>
      </c>
      <c r="M208" s="30" t="str">
        <f t="shared" si="19"/>
        <v>-</v>
      </c>
      <c r="N208" s="30" t="str">
        <f t="shared" si="20"/>
        <v>-</v>
      </c>
      <c r="O208" s="31" t="str">
        <f t="shared" si="21"/>
        <v>-</v>
      </c>
      <c r="P208" s="32" t="str">
        <f t="shared" si="22"/>
        <v>-</v>
      </c>
      <c r="R208" s="32" t="str">
        <f t="shared" si="23"/>
        <v>-</v>
      </c>
    </row>
    <row r="209" spans="1:18" x14ac:dyDescent="0.3">
      <c r="A209" s="2" t="s">
        <v>579</v>
      </c>
      <c r="B209" s="3" t="s">
        <v>1099</v>
      </c>
      <c r="C209" s="2" t="s">
        <v>580</v>
      </c>
      <c r="D209" s="2" t="s">
        <v>581</v>
      </c>
      <c r="E209" s="2"/>
      <c r="F209" s="18">
        <v>0</v>
      </c>
      <c r="G209" s="2"/>
      <c r="H209" s="8">
        <v>42.84</v>
      </c>
      <c r="I209" s="14"/>
      <c r="J209" s="8">
        <f t="shared" si="18"/>
        <v>0</v>
      </c>
      <c r="M209" s="30" t="str">
        <f t="shared" si="19"/>
        <v>-</v>
      </c>
      <c r="N209" s="30" t="str">
        <f t="shared" si="20"/>
        <v>-</v>
      </c>
      <c r="O209" s="31" t="str">
        <f t="shared" si="21"/>
        <v>-</v>
      </c>
      <c r="P209" s="32" t="str">
        <f t="shared" si="22"/>
        <v>-</v>
      </c>
      <c r="R209" s="32" t="str">
        <f t="shared" si="23"/>
        <v>-</v>
      </c>
    </row>
    <row r="210" spans="1:18" x14ac:dyDescent="0.3">
      <c r="A210" s="2" t="s">
        <v>582</v>
      </c>
      <c r="B210" s="3" t="s">
        <v>1104</v>
      </c>
      <c r="C210" s="2" t="s">
        <v>580</v>
      </c>
      <c r="D210" s="2" t="s">
        <v>583</v>
      </c>
      <c r="E210" s="2"/>
      <c r="F210" s="18">
        <v>0</v>
      </c>
      <c r="G210" s="2"/>
      <c r="H210" s="8">
        <v>76.320000000000007</v>
      </c>
      <c r="I210" s="14"/>
      <c r="J210" s="8">
        <f t="shared" si="18"/>
        <v>0</v>
      </c>
      <c r="M210" s="30" t="str">
        <f t="shared" si="19"/>
        <v>-</v>
      </c>
      <c r="N210" s="30" t="str">
        <f t="shared" si="20"/>
        <v>-</v>
      </c>
      <c r="O210" s="31" t="str">
        <f t="shared" si="21"/>
        <v>-</v>
      </c>
      <c r="P210" s="32" t="str">
        <f t="shared" si="22"/>
        <v>-</v>
      </c>
      <c r="R210" s="32" t="str">
        <f t="shared" si="23"/>
        <v>-</v>
      </c>
    </row>
    <row r="211" spans="1:18" x14ac:dyDescent="0.3">
      <c r="A211" s="3" t="s">
        <v>1105</v>
      </c>
      <c r="B211" s="3" t="s">
        <v>1107</v>
      </c>
      <c r="C211" s="3" t="s">
        <v>584</v>
      </c>
      <c r="D211" s="2" t="s">
        <v>585</v>
      </c>
      <c r="E211" s="2"/>
      <c r="F211" s="18">
        <v>0</v>
      </c>
      <c r="G211" s="2"/>
      <c r="H211" s="8">
        <v>158.22720000000001</v>
      </c>
      <c r="I211" s="14"/>
      <c r="J211" s="8">
        <f t="shared" si="18"/>
        <v>0</v>
      </c>
      <c r="M211" s="30" t="str">
        <f t="shared" si="19"/>
        <v>-</v>
      </c>
      <c r="N211" s="30" t="str">
        <f t="shared" si="20"/>
        <v>-</v>
      </c>
      <c r="O211" s="31" t="str">
        <f t="shared" si="21"/>
        <v>-</v>
      </c>
      <c r="P211" s="32" t="str">
        <f t="shared" si="22"/>
        <v>-</v>
      </c>
      <c r="R211" s="32" t="str">
        <f t="shared" si="23"/>
        <v>-</v>
      </c>
    </row>
    <row r="212" spans="1:18" x14ac:dyDescent="0.3">
      <c r="A212" s="3" t="s">
        <v>1106</v>
      </c>
      <c r="B212" s="3" t="s">
        <v>1107</v>
      </c>
      <c r="C212" s="2" t="s">
        <v>586</v>
      </c>
      <c r="D212" s="2" t="s">
        <v>587</v>
      </c>
      <c r="E212" s="2"/>
      <c r="F212" s="18">
        <v>0</v>
      </c>
      <c r="G212" s="2"/>
      <c r="H212" s="8">
        <v>158.22720000000001</v>
      </c>
      <c r="I212" s="14"/>
      <c r="J212" s="8">
        <f t="shared" si="18"/>
        <v>0</v>
      </c>
      <c r="M212" s="30" t="str">
        <f t="shared" si="19"/>
        <v>-</v>
      </c>
      <c r="N212" s="30" t="str">
        <f t="shared" si="20"/>
        <v>-</v>
      </c>
      <c r="O212" s="31" t="str">
        <f t="shared" si="21"/>
        <v>-</v>
      </c>
      <c r="P212" s="32" t="str">
        <f t="shared" si="22"/>
        <v>-</v>
      </c>
      <c r="R212" s="32" t="str">
        <f t="shared" si="23"/>
        <v>-</v>
      </c>
    </row>
    <row r="213" spans="1:18" x14ac:dyDescent="0.3">
      <c r="A213" s="2" t="s">
        <v>588</v>
      </c>
      <c r="B213" s="3" t="s">
        <v>1050</v>
      </c>
      <c r="C213" s="2" t="s">
        <v>589</v>
      </c>
      <c r="D213" s="2" t="s">
        <v>590</v>
      </c>
      <c r="E213" s="2"/>
      <c r="F213" s="18">
        <v>0</v>
      </c>
      <c r="G213" s="2"/>
      <c r="H213" s="8">
        <v>25.560000000000002</v>
      </c>
      <c r="I213" s="14"/>
      <c r="J213" s="8">
        <f t="shared" si="18"/>
        <v>0</v>
      </c>
      <c r="M213" s="30" t="str">
        <f t="shared" si="19"/>
        <v>-</v>
      </c>
      <c r="N213" s="30" t="str">
        <f t="shared" si="20"/>
        <v>-</v>
      </c>
      <c r="O213" s="31" t="str">
        <f t="shared" si="21"/>
        <v>-</v>
      </c>
      <c r="P213" s="32" t="str">
        <f t="shared" si="22"/>
        <v>-</v>
      </c>
      <c r="R213" s="32" t="str">
        <f t="shared" si="23"/>
        <v>-</v>
      </c>
    </row>
    <row r="214" spans="1:18" x14ac:dyDescent="0.3">
      <c r="A214" s="2" t="s">
        <v>591</v>
      </c>
      <c r="B214" s="3" t="s">
        <v>1108</v>
      </c>
      <c r="C214" s="2" t="s">
        <v>592</v>
      </c>
      <c r="D214" s="2" t="s">
        <v>593</v>
      </c>
      <c r="E214" s="2"/>
      <c r="F214" s="18">
        <v>0</v>
      </c>
      <c r="G214" s="2"/>
      <c r="H214" s="8">
        <v>42.120000000000005</v>
      </c>
      <c r="I214" s="14"/>
      <c r="J214" s="8">
        <f t="shared" si="18"/>
        <v>0</v>
      </c>
      <c r="M214" s="30" t="str">
        <f t="shared" si="19"/>
        <v>-</v>
      </c>
      <c r="N214" s="30" t="str">
        <f t="shared" si="20"/>
        <v>-</v>
      </c>
      <c r="O214" s="31" t="str">
        <f t="shared" si="21"/>
        <v>-</v>
      </c>
      <c r="P214" s="32" t="str">
        <f t="shared" si="22"/>
        <v>-</v>
      </c>
      <c r="R214" s="32" t="str">
        <f t="shared" si="23"/>
        <v>-</v>
      </c>
    </row>
    <row r="215" spans="1:18" x14ac:dyDescent="0.3">
      <c r="A215" s="2" t="s">
        <v>594</v>
      </c>
      <c r="B215" s="3" t="s">
        <v>1108</v>
      </c>
      <c r="C215" s="2" t="s">
        <v>595</v>
      </c>
      <c r="D215" s="2" t="s">
        <v>596</v>
      </c>
      <c r="E215" s="2"/>
      <c r="F215" s="18">
        <v>0</v>
      </c>
      <c r="G215" s="2"/>
      <c r="H215" s="8">
        <v>36</v>
      </c>
      <c r="I215" s="14"/>
      <c r="J215" s="8">
        <f t="shared" si="18"/>
        <v>0</v>
      </c>
      <c r="M215" s="30" t="str">
        <f t="shared" si="19"/>
        <v>-</v>
      </c>
      <c r="N215" s="30" t="str">
        <f t="shared" si="20"/>
        <v>-</v>
      </c>
      <c r="O215" s="31" t="str">
        <f t="shared" si="21"/>
        <v>-</v>
      </c>
      <c r="P215" s="32" t="str">
        <f t="shared" si="22"/>
        <v>-</v>
      </c>
      <c r="R215" s="32" t="str">
        <f t="shared" si="23"/>
        <v>-</v>
      </c>
    </row>
    <row r="216" spans="1:18" x14ac:dyDescent="0.3">
      <c r="A216" s="2" t="s">
        <v>597</v>
      </c>
      <c r="B216" s="3" t="s">
        <v>1050</v>
      </c>
      <c r="C216" s="2" t="s">
        <v>598</v>
      </c>
      <c r="D216" s="2" t="s">
        <v>599</v>
      </c>
      <c r="E216" s="2"/>
      <c r="F216" s="18">
        <v>0</v>
      </c>
      <c r="G216" s="2"/>
      <c r="H216" s="8">
        <v>76.320000000000007</v>
      </c>
      <c r="I216" s="14"/>
      <c r="J216" s="8">
        <f t="shared" si="18"/>
        <v>0</v>
      </c>
      <c r="M216" s="30" t="str">
        <f t="shared" si="19"/>
        <v>-</v>
      </c>
      <c r="N216" s="30" t="str">
        <f t="shared" si="20"/>
        <v>-</v>
      </c>
      <c r="O216" s="31" t="str">
        <f t="shared" si="21"/>
        <v>-</v>
      </c>
      <c r="P216" s="32" t="str">
        <f t="shared" si="22"/>
        <v>-</v>
      </c>
      <c r="R216" s="32" t="str">
        <f t="shared" si="23"/>
        <v>-</v>
      </c>
    </row>
    <row r="217" spans="1:18" x14ac:dyDescent="0.3">
      <c r="A217" s="2" t="s">
        <v>600</v>
      </c>
      <c r="B217" s="3" t="s">
        <v>1053</v>
      </c>
      <c r="C217" s="2" t="s">
        <v>598</v>
      </c>
      <c r="D217" s="2" t="s">
        <v>601</v>
      </c>
      <c r="E217" s="2"/>
      <c r="F217" s="18">
        <v>0</v>
      </c>
      <c r="G217" s="2"/>
      <c r="H217" s="8">
        <v>43.92</v>
      </c>
      <c r="I217" s="14"/>
      <c r="J217" s="8">
        <f t="shared" si="18"/>
        <v>0</v>
      </c>
      <c r="M217" s="30" t="str">
        <f t="shared" si="19"/>
        <v>-</v>
      </c>
      <c r="N217" s="30" t="str">
        <f t="shared" si="20"/>
        <v>-</v>
      </c>
      <c r="O217" s="31" t="str">
        <f t="shared" si="21"/>
        <v>-</v>
      </c>
      <c r="P217" s="32" t="str">
        <f t="shared" si="22"/>
        <v>-</v>
      </c>
      <c r="R217" s="32" t="str">
        <f t="shared" si="23"/>
        <v>-</v>
      </c>
    </row>
    <row r="218" spans="1:18" x14ac:dyDescent="0.3">
      <c r="A218" s="2" t="s">
        <v>602</v>
      </c>
      <c r="B218" s="3" t="s">
        <v>1062</v>
      </c>
      <c r="C218" s="2" t="s">
        <v>603</v>
      </c>
      <c r="D218" s="2" t="s">
        <v>604</v>
      </c>
      <c r="E218" s="2"/>
      <c r="F218" s="18">
        <v>0</v>
      </c>
      <c r="G218" s="2"/>
      <c r="H218" s="8">
        <v>38.160000000000004</v>
      </c>
      <c r="I218" s="14"/>
      <c r="J218" s="8">
        <f t="shared" si="18"/>
        <v>0</v>
      </c>
      <c r="M218" s="30" t="str">
        <f t="shared" si="19"/>
        <v>-</v>
      </c>
      <c r="N218" s="30" t="str">
        <f t="shared" si="20"/>
        <v>-</v>
      </c>
      <c r="O218" s="31" t="str">
        <f t="shared" si="21"/>
        <v>-</v>
      </c>
      <c r="P218" s="32" t="str">
        <f t="shared" si="22"/>
        <v>-</v>
      </c>
      <c r="R218" s="32" t="str">
        <f t="shared" si="23"/>
        <v>-</v>
      </c>
    </row>
    <row r="219" spans="1:18" x14ac:dyDescent="0.3">
      <c r="A219" s="2" t="s">
        <v>605</v>
      </c>
      <c r="B219" s="3" t="s">
        <v>1062</v>
      </c>
      <c r="C219" s="2" t="s">
        <v>606</v>
      </c>
      <c r="D219" s="2" t="s">
        <v>607</v>
      </c>
      <c r="E219" s="2"/>
      <c r="F219" s="18">
        <v>0</v>
      </c>
      <c r="G219" s="2"/>
      <c r="H219" s="8">
        <v>61.92</v>
      </c>
      <c r="I219" s="14"/>
      <c r="J219" s="8">
        <f t="shared" si="18"/>
        <v>0</v>
      </c>
      <c r="M219" s="30" t="str">
        <f t="shared" si="19"/>
        <v>-</v>
      </c>
      <c r="N219" s="30" t="str">
        <f t="shared" si="20"/>
        <v>-</v>
      </c>
      <c r="O219" s="31" t="str">
        <f t="shared" si="21"/>
        <v>-</v>
      </c>
      <c r="P219" s="32" t="str">
        <f t="shared" si="22"/>
        <v>-</v>
      </c>
      <c r="R219" s="32" t="str">
        <f t="shared" si="23"/>
        <v>-</v>
      </c>
    </row>
    <row r="220" spans="1:18" x14ac:dyDescent="0.3">
      <c r="A220" s="2" t="s">
        <v>608</v>
      </c>
      <c r="B220" s="3" t="s">
        <v>1062</v>
      </c>
      <c r="C220" s="2" t="s">
        <v>609</v>
      </c>
      <c r="D220" s="2" t="s">
        <v>610</v>
      </c>
      <c r="E220" s="2"/>
      <c r="F220" s="18">
        <v>0</v>
      </c>
      <c r="G220" s="2"/>
      <c r="H220" s="8">
        <v>75.960000000000008</v>
      </c>
      <c r="I220" s="14"/>
      <c r="J220" s="8">
        <f t="shared" si="18"/>
        <v>0</v>
      </c>
      <c r="M220" s="30" t="str">
        <f t="shared" si="19"/>
        <v>-</v>
      </c>
      <c r="N220" s="30" t="str">
        <f t="shared" si="20"/>
        <v>-</v>
      </c>
      <c r="O220" s="31" t="str">
        <f t="shared" si="21"/>
        <v>-</v>
      </c>
      <c r="P220" s="32" t="str">
        <f t="shared" si="22"/>
        <v>-</v>
      </c>
      <c r="R220" s="32" t="str">
        <f t="shared" si="23"/>
        <v>-</v>
      </c>
    </row>
    <row r="221" spans="1:18" x14ac:dyDescent="0.3">
      <c r="A221" s="2" t="s">
        <v>611</v>
      </c>
      <c r="B221" s="3" t="s">
        <v>1087</v>
      </c>
      <c r="C221" s="2" t="s">
        <v>612</v>
      </c>
      <c r="D221" s="2" t="s">
        <v>613</v>
      </c>
      <c r="E221" s="2"/>
      <c r="F221" s="18">
        <v>0</v>
      </c>
      <c r="G221" s="2"/>
      <c r="H221" s="8">
        <v>35.64</v>
      </c>
      <c r="I221" s="14"/>
      <c r="J221" s="8">
        <f t="shared" si="18"/>
        <v>0</v>
      </c>
      <c r="M221" s="30" t="str">
        <f t="shared" si="19"/>
        <v>-</v>
      </c>
      <c r="N221" s="30" t="str">
        <f t="shared" si="20"/>
        <v>-</v>
      </c>
      <c r="O221" s="31" t="str">
        <f t="shared" si="21"/>
        <v>-</v>
      </c>
      <c r="P221" s="32" t="str">
        <f t="shared" si="22"/>
        <v>-</v>
      </c>
      <c r="R221" s="32" t="str">
        <f t="shared" si="23"/>
        <v>-</v>
      </c>
    </row>
    <row r="222" spans="1:18" x14ac:dyDescent="0.3">
      <c r="A222" s="2" t="s">
        <v>614</v>
      </c>
      <c r="B222" s="3" t="s">
        <v>1109</v>
      </c>
      <c r="C222" s="2" t="s">
        <v>615</v>
      </c>
      <c r="D222" s="2" t="s">
        <v>616</v>
      </c>
      <c r="E222" s="2"/>
      <c r="F222" s="18">
        <v>0</v>
      </c>
      <c r="G222" s="2"/>
      <c r="H222" s="8">
        <v>29.520000000000003</v>
      </c>
      <c r="I222" s="14"/>
      <c r="J222" s="8">
        <f t="shared" si="18"/>
        <v>0</v>
      </c>
      <c r="M222" s="30" t="str">
        <f t="shared" si="19"/>
        <v>-</v>
      </c>
      <c r="N222" s="30" t="str">
        <f t="shared" si="20"/>
        <v>-</v>
      </c>
      <c r="O222" s="31" t="str">
        <f t="shared" si="21"/>
        <v>-</v>
      </c>
      <c r="P222" s="32" t="str">
        <f t="shared" si="22"/>
        <v>-</v>
      </c>
      <c r="R222" s="32" t="str">
        <f t="shared" si="23"/>
        <v>-</v>
      </c>
    </row>
    <row r="223" spans="1:18" x14ac:dyDescent="0.3">
      <c r="A223" s="2" t="s">
        <v>617</v>
      </c>
      <c r="B223" s="3" t="s">
        <v>1062</v>
      </c>
      <c r="C223" s="2" t="s">
        <v>618</v>
      </c>
      <c r="D223" s="2" t="s">
        <v>619</v>
      </c>
      <c r="E223" s="2"/>
      <c r="F223" s="18">
        <v>0</v>
      </c>
      <c r="G223" s="2"/>
      <c r="H223" s="8">
        <v>38.520000000000003</v>
      </c>
      <c r="I223" s="14"/>
      <c r="J223" s="8">
        <f t="shared" si="18"/>
        <v>0</v>
      </c>
      <c r="M223" s="30" t="str">
        <f t="shared" si="19"/>
        <v>-</v>
      </c>
      <c r="N223" s="30" t="str">
        <f t="shared" si="20"/>
        <v>-</v>
      </c>
      <c r="O223" s="31" t="str">
        <f t="shared" si="21"/>
        <v>-</v>
      </c>
      <c r="P223" s="32" t="str">
        <f t="shared" si="22"/>
        <v>-</v>
      </c>
      <c r="R223" s="32" t="str">
        <f t="shared" si="23"/>
        <v>-</v>
      </c>
    </row>
    <row r="224" spans="1:18" x14ac:dyDescent="0.3">
      <c r="A224" s="2" t="s">
        <v>620</v>
      </c>
      <c r="B224" s="3" t="s">
        <v>1107</v>
      </c>
      <c r="C224" s="3" t="s">
        <v>1110</v>
      </c>
      <c r="D224" s="2" t="s">
        <v>621</v>
      </c>
      <c r="E224" s="2"/>
      <c r="F224" s="18">
        <v>0</v>
      </c>
      <c r="G224" s="2"/>
      <c r="H224" s="8">
        <v>167.63040000000001</v>
      </c>
      <c r="I224" s="14"/>
      <c r="J224" s="8">
        <f t="shared" si="18"/>
        <v>0</v>
      </c>
      <c r="M224" s="30" t="str">
        <f t="shared" si="19"/>
        <v>-</v>
      </c>
      <c r="N224" s="30" t="str">
        <f t="shared" si="20"/>
        <v>-</v>
      </c>
      <c r="O224" s="31" t="str">
        <f t="shared" si="21"/>
        <v>-</v>
      </c>
      <c r="P224" s="32" t="str">
        <f t="shared" si="22"/>
        <v>-</v>
      </c>
      <c r="R224" s="32" t="str">
        <f t="shared" si="23"/>
        <v>-</v>
      </c>
    </row>
    <row r="225" spans="1:18" x14ac:dyDescent="0.3">
      <c r="A225" s="2" t="s">
        <v>622</v>
      </c>
      <c r="B225" s="3" t="s">
        <v>1112</v>
      </c>
      <c r="C225" s="3" t="s">
        <v>1111</v>
      </c>
      <c r="D225" s="2" t="s">
        <v>623</v>
      </c>
      <c r="E225" s="2"/>
      <c r="F225" s="18">
        <v>0</v>
      </c>
      <c r="G225" s="2"/>
      <c r="H225" s="8">
        <v>219.96</v>
      </c>
      <c r="I225" s="14"/>
      <c r="J225" s="8">
        <f t="shared" si="18"/>
        <v>0</v>
      </c>
      <c r="M225" s="30" t="str">
        <f t="shared" si="19"/>
        <v>-</v>
      </c>
      <c r="N225" s="30" t="str">
        <f t="shared" si="20"/>
        <v>-</v>
      </c>
      <c r="O225" s="31" t="str">
        <f t="shared" si="21"/>
        <v>-</v>
      </c>
      <c r="P225" s="32" t="str">
        <f t="shared" si="22"/>
        <v>-</v>
      </c>
      <c r="R225" s="32" t="str">
        <f t="shared" si="23"/>
        <v>-</v>
      </c>
    </row>
    <row r="226" spans="1:18" x14ac:dyDescent="0.3">
      <c r="A226" s="2" t="s">
        <v>624</v>
      </c>
      <c r="B226" s="3" t="s">
        <v>1053</v>
      </c>
      <c r="C226" s="2" t="s">
        <v>625</v>
      </c>
      <c r="D226" s="2" t="s">
        <v>626</v>
      </c>
      <c r="E226" s="2"/>
      <c r="F226" s="18">
        <v>0</v>
      </c>
      <c r="G226" s="2"/>
      <c r="H226" s="8">
        <v>46.080000000000005</v>
      </c>
      <c r="I226" s="14"/>
      <c r="J226" s="8">
        <f t="shared" si="18"/>
        <v>0</v>
      </c>
      <c r="M226" s="30" t="str">
        <f t="shared" si="19"/>
        <v>-</v>
      </c>
      <c r="N226" s="30" t="str">
        <f t="shared" si="20"/>
        <v>-</v>
      </c>
      <c r="O226" s="31" t="str">
        <f t="shared" si="21"/>
        <v>-</v>
      </c>
      <c r="P226" s="32" t="str">
        <f t="shared" si="22"/>
        <v>-</v>
      </c>
      <c r="R226" s="32" t="str">
        <f t="shared" si="23"/>
        <v>-</v>
      </c>
    </row>
    <row r="227" spans="1:18" x14ac:dyDescent="0.3">
      <c r="A227" s="2" t="s">
        <v>627</v>
      </c>
      <c r="B227" s="3" t="s">
        <v>1113</v>
      </c>
      <c r="C227" s="3" t="s">
        <v>1114</v>
      </c>
      <c r="D227" s="2" t="s">
        <v>628</v>
      </c>
      <c r="E227" s="2"/>
      <c r="F227" s="18">
        <v>0</v>
      </c>
      <c r="G227" s="2"/>
      <c r="H227" s="8">
        <v>13.32</v>
      </c>
      <c r="I227" s="14"/>
      <c r="J227" s="8">
        <f t="shared" si="18"/>
        <v>0</v>
      </c>
      <c r="M227" s="30" t="str">
        <f t="shared" si="19"/>
        <v>-</v>
      </c>
      <c r="N227" s="30" t="str">
        <f t="shared" si="20"/>
        <v>-</v>
      </c>
      <c r="O227" s="31" t="str">
        <f t="shared" si="21"/>
        <v>-</v>
      </c>
      <c r="P227" s="32" t="str">
        <f t="shared" si="22"/>
        <v>-</v>
      </c>
      <c r="R227" s="32" t="str">
        <f t="shared" si="23"/>
        <v>-</v>
      </c>
    </row>
    <row r="228" spans="1:18" x14ac:dyDescent="0.3">
      <c r="A228" s="2" t="s">
        <v>629</v>
      </c>
      <c r="B228" s="3" t="s">
        <v>1113</v>
      </c>
      <c r="C228" s="3" t="s">
        <v>1114</v>
      </c>
      <c r="D228" s="2" t="s">
        <v>630</v>
      </c>
      <c r="E228" s="2"/>
      <c r="F228" s="18">
        <v>0</v>
      </c>
      <c r="G228" s="2"/>
      <c r="H228" s="8">
        <v>13.32</v>
      </c>
      <c r="I228" s="14"/>
      <c r="J228" s="8">
        <f t="shared" si="18"/>
        <v>0</v>
      </c>
      <c r="M228" s="30" t="str">
        <f t="shared" si="19"/>
        <v>-</v>
      </c>
      <c r="N228" s="30" t="str">
        <f t="shared" si="20"/>
        <v>-</v>
      </c>
      <c r="O228" s="31" t="str">
        <f t="shared" si="21"/>
        <v>-</v>
      </c>
      <c r="P228" s="32" t="str">
        <f t="shared" si="22"/>
        <v>-</v>
      </c>
      <c r="R228" s="32" t="str">
        <f t="shared" si="23"/>
        <v>-</v>
      </c>
    </row>
    <row r="229" spans="1:18" x14ac:dyDescent="0.3">
      <c r="A229" s="2" t="s">
        <v>631</v>
      </c>
      <c r="B229" s="3" t="s">
        <v>1084</v>
      </c>
      <c r="C229" s="2" t="s">
        <v>632</v>
      </c>
      <c r="D229" s="2" t="s">
        <v>633</v>
      </c>
      <c r="E229" s="2"/>
      <c r="F229" s="18">
        <v>0</v>
      </c>
      <c r="G229" s="2"/>
      <c r="H229" s="8">
        <v>17.64</v>
      </c>
      <c r="I229" s="14"/>
      <c r="J229" s="8">
        <f t="shared" si="18"/>
        <v>0</v>
      </c>
      <c r="M229" s="30" t="str">
        <f t="shared" si="19"/>
        <v>-</v>
      </c>
      <c r="N229" s="30" t="str">
        <f t="shared" si="20"/>
        <v>-</v>
      </c>
      <c r="O229" s="31" t="str">
        <f t="shared" si="21"/>
        <v>-</v>
      </c>
      <c r="P229" s="32" t="str">
        <f t="shared" si="22"/>
        <v>-</v>
      </c>
      <c r="R229" s="32" t="str">
        <f t="shared" si="23"/>
        <v>-</v>
      </c>
    </row>
    <row r="230" spans="1:18" x14ac:dyDescent="0.3">
      <c r="A230" s="2" t="s">
        <v>634</v>
      </c>
      <c r="B230" s="3" t="s">
        <v>1071</v>
      </c>
      <c r="C230" s="2" t="s">
        <v>635</v>
      </c>
      <c r="D230" s="2" t="s">
        <v>636</v>
      </c>
      <c r="E230" s="2"/>
      <c r="F230" s="18">
        <v>0</v>
      </c>
      <c r="G230" s="2"/>
      <c r="H230" s="8">
        <v>45.705599999999997</v>
      </c>
      <c r="I230" s="14"/>
      <c r="J230" s="8">
        <f t="shared" si="18"/>
        <v>0</v>
      </c>
      <c r="M230" s="30" t="str">
        <f t="shared" si="19"/>
        <v>-</v>
      </c>
      <c r="N230" s="30" t="str">
        <f t="shared" si="20"/>
        <v>-</v>
      </c>
      <c r="O230" s="31" t="str">
        <f t="shared" si="21"/>
        <v>-</v>
      </c>
      <c r="P230" s="32" t="str">
        <f t="shared" si="22"/>
        <v>-</v>
      </c>
      <c r="R230" s="32" t="str">
        <f t="shared" si="23"/>
        <v>-</v>
      </c>
    </row>
    <row r="231" spans="1:18" x14ac:dyDescent="0.3">
      <c r="A231" s="2" t="s">
        <v>637</v>
      </c>
      <c r="B231" s="3" t="s">
        <v>1069</v>
      </c>
      <c r="C231" s="3" t="s">
        <v>1115</v>
      </c>
      <c r="D231" s="2" t="s">
        <v>638</v>
      </c>
      <c r="E231" s="2"/>
      <c r="F231" s="18">
        <v>0</v>
      </c>
      <c r="G231" s="2"/>
      <c r="H231" s="8">
        <v>36.360000000000007</v>
      </c>
      <c r="I231" s="14"/>
      <c r="J231" s="8">
        <f t="shared" si="18"/>
        <v>0</v>
      </c>
      <c r="M231" s="30" t="str">
        <f t="shared" si="19"/>
        <v>-</v>
      </c>
      <c r="N231" s="30" t="str">
        <f t="shared" si="20"/>
        <v>-</v>
      </c>
      <c r="O231" s="31" t="str">
        <f t="shared" si="21"/>
        <v>-</v>
      </c>
      <c r="P231" s="32" t="str">
        <f t="shared" si="22"/>
        <v>-</v>
      </c>
      <c r="R231" s="32" t="str">
        <f t="shared" si="23"/>
        <v>-</v>
      </c>
    </row>
    <row r="232" spans="1:18" x14ac:dyDescent="0.3">
      <c r="A232" s="2" t="s">
        <v>639</v>
      </c>
      <c r="B232" s="3" t="s">
        <v>1054</v>
      </c>
      <c r="C232" s="2" t="s">
        <v>640</v>
      </c>
      <c r="D232" s="2" t="s">
        <v>641</v>
      </c>
      <c r="E232" s="2"/>
      <c r="F232" s="18">
        <v>0</v>
      </c>
      <c r="G232" s="2"/>
      <c r="H232" s="8">
        <v>20.880000000000003</v>
      </c>
      <c r="I232" s="14"/>
      <c r="J232" s="8">
        <f t="shared" si="18"/>
        <v>0</v>
      </c>
      <c r="M232" s="30" t="str">
        <f t="shared" si="19"/>
        <v>-</v>
      </c>
      <c r="N232" s="30" t="str">
        <f t="shared" si="20"/>
        <v>-</v>
      </c>
      <c r="O232" s="31" t="str">
        <f t="shared" si="21"/>
        <v>-</v>
      </c>
      <c r="P232" s="32" t="str">
        <f t="shared" si="22"/>
        <v>-</v>
      </c>
      <c r="R232" s="32" t="str">
        <f t="shared" si="23"/>
        <v>-</v>
      </c>
    </row>
    <row r="233" spans="1:18" x14ac:dyDescent="0.3">
      <c r="A233" s="2" t="s">
        <v>642</v>
      </c>
      <c r="B233" s="3" t="s">
        <v>1053</v>
      </c>
      <c r="C233" s="2" t="s">
        <v>643</v>
      </c>
      <c r="D233" s="2" t="s">
        <v>644</v>
      </c>
      <c r="E233" s="2"/>
      <c r="F233" s="18">
        <v>0</v>
      </c>
      <c r="G233" s="2"/>
      <c r="H233" s="8">
        <v>37.080000000000005</v>
      </c>
      <c r="I233" s="14"/>
      <c r="J233" s="8">
        <f t="shared" si="18"/>
        <v>0</v>
      </c>
      <c r="M233" s="30" t="str">
        <f t="shared" si="19"/>
        <v>-</v>
      </c>
      <c r="N233" s="30" t="str">
        <f t="shared" si="20"/>
        <v>-</v>
      </c>
      <c r="O233" s="31" t="str">
        <f t="shared" si="21"/>
        <v>-</v>
      </c>
      <c r="P233" s="32" t="str">
        <f t="shared" si="22"/>
        <v>-</v>
      </c>
      <c r="R233" s="32" t="str">
        <f t="shared" si="23"/>
        <v>-</v>
      </c>
    </row>
    <row r="234" spans="1:18" x14ac:dyDescent="0.3">
      <c r="A234" s="2" t="s">
        <v>645</v>
      </c>
      <c r="B234" s="3" t="s">
        <v>1053</v>
      </c>
      <c r="C234" s="2" t="s">
        <v>646</v>
      </c>
      <c r="D234" s="2" t="s">
        <v>647</v>
      </c>
      <c r="E234" s="2"/>
      <c r="F234" s="18">
        <v>0.2</v>
      </c>
      <c r="G234" s="2"/>
      <c r="H234" s="8">
        <v>36.360000000000007</v>
      </c>
      <c r="I234" s="14"/>
      <c r="J234" s="8">
        <f t="shared" si="18"/>
        <v>0</v>
      </c>
      <c r="M234" s="30" t="str">
        <f t="shared" si="19"/>
        <v>-</v>
      </c>
      <c r="N234" s="30" t="str">
        <f t="shared" si="20"/>
        <v>-</v>
      </c>
      <c r="O234" s="31" t="str">
        <f t="shared" si="21"/>
        <v>-</v>
      </c>
      <c r="P234" s="32" t="str">
        <f t="shared" si="22"/>
        <v>-</v>
      </c>
      <c r="R234" s="32" t="str">
        <f t="shared" si="23"/>
        <v>-</v>
      </c>
    </row>
    <row r="235" spans="1:18" x14ac:dyDescent="0.3">
      <c r="A235" s="2" t="s">
        <v>648</v>
      </c>
      <c r="B235" s="3" t="s">
        <v>1064</v>
      </c>
      <c r="C235" s="3" t="s">
        <v>1116</v>
      </c>
      <c r="D235" s="2" t="s">
        <v>649</v>
      </c>
      <c r="E235" s="2"/>
      <c r="F235" s="18">
        <v>0</v>
      </c>
      <c r="G235" s="2"/>
      <c r="H235" s="8">
        <v>61.5456</v>
      </c>
      <c r="I235" s="14"/>
      <c r="J235" s="8">
        <f t="shared" si="18"/>
        <v>0</v>
      </c>
      <c r="M235" s="30" t="str">
        <f t="shared" si="19"/>
        <v>-</v>
      </c>
      <c r="N235" s="30" t="str">
        <f t="shared" si="20"/>
        <v>-</v>
      </c>
      <c r="O235" s="31" t="str">
        <f t="shared" si="21"/>
        <v>-</v>
      </c>
      <c r="P235" s="32" t="str">
        <f t="shared" si="22"/>
        <v>-</v>
      </c>
      <c r="R235" s="32" t="str">
        <f t="shared" si="23"/>
        <v>-</v>
      </c>
    </row>
    <row r="236" spans="1:18" x14ac:dyDescent="0.3">
      <c r="A236" s="2" t="s">
        <v>650</v>
      </c>
      <c r="B236" s="3" t="s">
        <v>1064</v>
      </c>
      <c r="C236" s="3" t="s">
        <v>1117</v>
      </c>
      <c r="D236" s="2" t="s">
        <v>651</v>
      </c>
      <c r="E236" s="2"/>
      <c r="F236" s="18">
        <v>0</v>
      </c>
      <c r="G236" s="2"/>
      <c r="H236" s="8">
        <v>61.5456</v>
      </c>
      <c r="I236" s="14"/>
      <c r="J236" s="8">
        <f t="shared" si="18"/>
        <v>0</v>
      </c>
      <c r="M236" s="30" t="str">
        <f t="shared" si="19"/>
        <v>-</v>
      </c>
      <c r="N236" s="30" t="str">
        <f t="shared" si="20"/>
        <v>-</v>
      </c>
      <c r="O236" s="31" t="str">
        <f t="shared" si="21"/>
        <v>-</v>
      </c>
      <c r="P236" s="32" t="str">
        <f t="shared" si="22"/>
        <v>-</v>
      </c>
      <c r="R236" s="32" t="str">
        <f t="shared" si="23"/>
        <v>-</v>
      </c>
    </row>
    <row r="237" spans="1:18" x14ac:dyDescent="0.3">
      <c r="A237" s="2" t="s">
        <v>652</v>
      </c>
      <c r="B237" s="3" t="s">
        <v>1054</v>
      </c>
      <c r="C237" s="2" t="s">
        <v>653</v>
      </c>
      <c r="D237" s="2" t="s">
        <v>654</v>
      </c>
      <c r="E237" s="2"/>
      <c r="F237" s="18">
        <v>0</v>
      </c>
      <c r="G237" s="2"/>
      <c r="H237" s="8">
        <v>43.560000000000009</v>
      </c>
      <c r="I237" s="14"/>
      <c r="J237" s="8">
        <f t="shared" si="18"/>
        <v>0</v>
      </c>
      <c r="M237" s="30" t="str">
        <f t="shared" si="19"/>
        <v>-</v>
      </c>
      <c r="N237" s="30" t="str">
        <f t="shared" si="20"/>
        <v>-</v>
      </c>
      <c r="O237" s="31" t="str">
        <f t="shared" si="21"/>
        <v>-</v>
      </c>
      <c r="P237" s="32" t="str">
        <f t="shared" si="22"/>
        <v>-</v>
      </c>
      <c r="R237" s="32" t="str">
        <f t="shared" si="23"/>
        <v>-</v>
      </c>
    </row>
    <row r="238" spans="1:18" x14ac:dyDescent="0.3">
      <c r="A238" s="2" t="s">
        <v>655</v>
      </c>
      <c r="B238" s="3" t="s">
        <v>1053</v>
      </c>
      <c r="C238" s="2" t="s">
        <v>656</v>
      </c>
      <c r="D238" s="2" t="s">
        <v>657</v>
      </c>
      <c r="E238" s="2"/>
      <c r="F238" s="18">
        <v>0.18</v>
      </c>
      <c r="G238" s="2"/>
      <c r="H238" s="8">
        <v>56.88</v>
      </c>
      <c r="I238" s="14"/>
      <c r="J238" s="8">
        <f t="shared" si="18"/>
        <v>0</v>
      </c>
      <c r="M238" s="30" t="str">
        <f t="shared" si="19"/>
        <v>-</v>
      </c>
      <c r="N238" s="30" t="str">
        <f t="shared" si="20"/>
        <v>-</v>
      </c>
      <c r="O238" s="31" t="str">
        <f t="shared" si="21"/>
        <v>-</v>
      </c>
      <c r="P238" s="32" t="str">
        <f t="shared" si="22"/>
        <v>-</v>
      </c>
      <c r="R238" s="32" t="str">
        <f t="shared" si="23"/>
        <v>-</v>
      </c>
    </row>
    <row r="239" spans="1:18" x14ac:dyDescent="0.3">
      <c r="A239" s="2" t="s">
        <v>658</v>
      </c>
      <c r="B239" s="3" t="s">
        <v>1050</v>
      </c>
      <c r="C239" s="2" t="s">
        <v>659</v>
      </c>
      <c r="D239" s="2" t="s">
        <v>660</v>
      </c>
      <c r="E239" s="2"/>
      <c r="F239" s="18">
        <v>0</v>
      </c>
      <c r="G239" s="2"/>
      <c r="H239" s="8">
        <v>45.720000000000006</v>
      </c>
      <c r="I239" s="14"/>
      <c r="J239" s="8">
        <f t="shared" si="18"/>
        <v>0</v>
      </c>
      <c r="M239" s="30" t="str">
        <f t="shared" si="19"/>
        <v>-</v>
      </c>
      <c r="N239" s="30" t="str">
        <f t="shared" si="20"/>
        <v>-</v>
      </c>
      <c r="O239" s="31" t="str">
        <f t="shared" si="21"/>
        <v>-</v>
      </c>
      <c r="P239" s="32" t="str">
        <f t="shared" si="22"/>
        <v>-</v>
      </c>
      <c r="R239" s="32" t="str">
        <f t="shared" si="23"/>
        <v>-</v>
      </c>
    </row>
    <row r="240" spans="1:18" x14ac:dyDescent="0.3">
      <c r="A240" s="2" t="s">
        <v>661</v>
      </c>
      <c r="B240" s="3" t="s">
        <v>1118</v>
      </c>
      <c r="C240" s="3" t="s">
        <v>1119</v>
      </c>
      <c r="D240" s="2" t="s">
        <v>662</v>
      </c>
      <c r="E240" s="2"/>
      <c r="F240" s="18">
        <v>0</v>
      </c>
      <c r="G240" s="2"/>
      <c r="H240" s="8">
        <v>70.2</v>
      </c>
      <c r="I240" s="14"/>
      <c r="J240" s="8">
        <f t="shared" si="18"/>
        <v>0</v>
      </c>
      <c r="M240" s="30" t="str">
        <f t="shared" si="19"/>
        <v>-</v>
      </c>
      <c r="N240" s="30" t="str">
        <f t="shared" si="20"/>
        <v>-</v>
      </c>
      <c r="O240" s="31" t="str">
        <f t="shared" si="21"/>
        <v>-</v>
      </c>
      <c r="P240" s="32" t="str">
        <f t="shared" si="22"/>
        <v>-</v>
      </c>
      <c r="R240" s="32" t="str">
        <f t="shared" si="23"/>
        <v>-</v>
      </c>
    </row>
    <row r="241" spans="1:18" x14ac:dyDescent="0.3">
      <c r="A241" s="2" t="s">
        <v>663</v>
      </c>
      <c r="B241" s="3" t="s">
        <v>1121</v>
      </c>
      <c r="C241" s="3" t="s">
        <v>1120</v>
      </c>
      <c r="D241" s="2" t="s">
        <v>664</v>
      </c>
      <c r="E241" s="2"/>
      <c r="F241" s="18">
        <v>0</v>
      </c>
      <c r="G241" s="2"/>
      <c r="H241" s="8">
        <v>65.88000000000001</v>
      </c>
      <c r="I241" s="14"/>
      <c r="J241" s="8">
        <f t="shared" si="18"/>
        <v>0</v>
      </c>
      <c r="M241" s="30" t="str">
        <f t="shared" si="19"/>
        <v>-</v>
      </c>
      <c r="N241" s="30" t="str">
        <f t="shared" si="20"/>
        <v>-</v>
      </c>
      <c r="O241" s="31" t="str">
        <f t="shared" si="21"/>
        <v>-</v>
      </c>
      <c r="P241" s="32" t="str">
        <f t="shared" si="22"/>
        <v>-</v>
      </c>
      <c r="R241" s="32" t="str">
        <f t="shared" si="23"/>
        <v>-</v>
      </c>
    </row>
    <row r="242" spans="1:18" x14ac:dyDescent="0.3">
      <c r="A242" s="3" t="s">
        <v>665</v>
      </c>
      <c r="B242" s="3" t="s">
        <v>1125</v>
      </c>
      <c r="C242" s="3" t="s">
        <v>1126</v>
      </c>
      <c r="D242" s="2" t="s">
        <v>666</v>
      </c>
      <c r="E242" s="2"/>
      <c r="F242" s="18">
        <v>0</v>
      </c>
      <c r="G242" s="2"/>
      <c r="H242" s="8">
        <v>70.2</v>
      </c>
      <c r="I242" s="14"/>
      <c r="J242" s="8">
        <f t="shared" si="18"/>
        <v>0</v>
      </c>
      <c r="M242" s="30" t="str">
        <f t="shared" si="19"/>
        <v>-</v>
      </c>
      <c r="N242" s="30" t="str">
        <f t="shared" si="20"/>
        <v>-</v>
      </c>
      <c r="O242" s="31" t="str">
        <f t="shared" si="21"/>
        <v>-</v>
      </c>
      <c r="P242" s="32" t="str">
        <f t="shared" si="22"/>
        <v>-</v>
      </c>
      <c r="R242" s="32" t="str">
        <f t="shared" si="23"/>
        <v>-</v>
      </c>
    </row>
    <row r="243" spans="1:18" x14ac:dyDescent="0.3">
      <c r="A243" s="2" t="s">
        <v>667</v>
      </c>
      <c r="B243" s="3" t="s">
        <v>1098</v>
      </c>
      <c r="C243" s="2" t="s">
        <v>668</v>
      </c>
      <c r="D243" s="2" t="s">
        <v>669</v>
      </c>
      <c r="E243" s="2"/>
      <c r="F243" s="18">
        <v>0</v>
      </c>
      <c r="G243" s="2"/>
      <c r="H243" s="8">
        <v>30.6</v>
      </c>
      <c r="I243" s="14"/>
      <c r="J243" s="8">
        <f t="shared" si="18"/>
        <v>0</v>
      </c>
      <c r="M243" s="30" t="str">
        <f t="shared" si="19"/>
        <v>-</v>
      </c>
      <c r="N243" s="30" t="str">
        <f t="shared" si="20"/>
        <v>-</v>
      </c>
      <c r="O243" s="31" t="str">
        <f t="shared" si="21"/>
        <v>-</v>
      </c>
      <c r="P243" s="32" t="str">
        <f t="shared" si="22"/>
        <v>-</v>
      </c>
      <c r="R243" s="32" t="str">
        <f t="shared" si="23"/>
        <v>-</v>
      </c>
    </row>
    <row r="244" spans="1:18" x14ac:dyDescent="0.3">
      <c r="A244" s="2" t="s">
        <v>670</v>
      </c>
      <c r="B244" s="3" t="s">
        <v>1102</v>
      </c>
      <c r="C244" s="3" t="s">
        <v>1127</v>
      </c>
      <c r="D244" s="2" t="s">
        <v>671</v>
      </c>
      <c r="E244" s="2"/>
      <c r="F244" s="18">
        <v>0</v>
      </c>
      <c r="G244" s="2"/>
      <c r="H244" s="8">
        <v>52.560000000000009</v>
      </c>
      <c r="I244" s="14"/>
      <c r="J244" s="8">
        <f t="shared" si="18"/>
        <v>0</v>
      </c>
      <c r="M244" s="30" t="str">
        <f t="shared" si="19"/>
        <v>-</v>
      </c>
      <c r="N244" s="30" t="str">
        <f t="shared" si="20"/>
        <v>-</v>
      </c>
      <c r="O244" s="31" t="str">
        <f t="shared" si="21"/>
        <v>-</v>
      </c>
      <c r="P244" s="32" t="str">
        <f t="shared" si="22"/>
        <v>-</v>
      </c>
      <c r="R244" s="32" t="str">
        <f t="shared" si="23"/>
        <v>-</v>
      </c>
    </row>
    <row r="245" spans="1:18" x14ac:dyDescent="0.3">
      <c r="A245" s="2" t="s">
        <v>672</v>
      </c>
      <c r="B245" s="3" t="s">
        <v>1107</v>
      </c>
      <c r="C245" s="2" t="s">
        <v>673</v>
      </c>
      <c r="D245" s="2" t="s">
        <v>674</v>
      </c>
      <c r="E245" s="2"/>
      <c r="F245" s="18">
        <v>0</v>
      </c>
      <c r="G245" s="2"/>
      <c r="H245" s="8">
        <v>140.74560000000002</v>
      </c>
      <c r="I245" s="14"/>
      <c r="J245" s="8">
        <f t="shared" si="18"/>
        <v>0</v>
      </c>
      <c r="M245" s="30" t="str">
        <f t="shared" si="19"/>
        <v>-</v>
      </c>
      <c r="N245" s="30" t="str">
        <f t="shared" si="20"/>
        <v>-</v>
      </c>
      <c r="O245" s="31" t="str">
        <f t="shared" si="21"/>
        <v>-</v>
      </c>
      <c r="P245" s="32" t="str">
        <f t="shared" si="22"/>
        <v>-</v>
      </c>
      <c r="R245" s="32" t="str">
        <f t="shared" si="23"/>
        <v>-</v>
      </c>
    </row>
    <row r="246" spans="1:18" x14ac:dyDescent="0.3">
      <c r="A246" s="2" t="s">
        <v>675</v>
      </c>
      <c r="B246" s="3" t="s">
        <v>1129</v>
      </c>
      <c r="C246" s="2" t="s">
        <v>676</v>
      </c>
      <c r="D246" s="2" t="s">
        <v>677</v>
      </c>
      <c r="E246" s="2"/>
      <c r="F246" s="18">
        <v>0</v>
      </c>
      <c r="G246" s="2"/>
      <c r="H246" s="8">
        <v>54.360000000000007</v>
      </c>
      <c r="I246" s="14"/>
      <c r="J246" s="8">
        <f t="shared" si="18"/>
        <v>0</v>
      </c>
      <c r="M246" s="30" t="str">
        <f t="shared" si="19"/>
        <v>-</v>
      </c>
      <c r="N246" s="30" t="str">
        <f t="shared" si="20"/>
        <v>-</v>
      </c>
      <c r="O246" s="31" t="str">
        <f t="shared" si="21"/>
        <v>-</v>
      </c>
      <c r="P246" s="32" t="str">
        <f t="shared" si="22"/>
        <v>-</v>
      </c>
      <c r="R246" s="32" t="str">
        <f t="shared" si="23"/>
        <v>-</v>
      </c>
    </row>
    <row r="247" spans="1:18" x14ac:dyDescent="0.3">
      <c r="A247" s="2" t="s">
        <v>678</v>
      </c>
      <c r="B247" s="3" t="s">
        <v>1123</v>
      </c>
      <c r="C247" s="2" t="s">
        <v>676</v>
      </c>
      <c r="D247" s="2" t="s">
        <v>679</v>
      </c>
      <c r="E247" s="2"/>
      <c r="F247" s="18">
        <v>0</v>
      </c>
      <c r="G247" s="2"/>
      <c r="H247" s="8">
        <v>54.360000000000007</v>
      </c>
      <c r="I247" s="14"/>
      <c r="J247" s="8">
        <f t="shared" si="18"/>
        <v>0</v>
      </c>
      <c r="M247" s="30" t="str">
        <f t="shared" si="19"/>
        <v>-</v>
      </c>
      <c r="N247" s="30" t="str">
        <f t="shared" si="20"/>
        <v>-</v>
      </c>
      <c r="O247" s="31" t="str">
        <f t="shared" si="21"/>
        <v>-</v>
      </c>
      <c r="P247" s="32" t="str">
        <f t="shared" si="22"/>
        <v>-</v>
      </c>
      <c r="R247" s="32" t="str">
        <f t="shared" si="23"/>
        <v>-</v>
      </c>
    </row>
    <row r="248" spans="1:18" x14ac:dyDescent="0.3">
      <c r="A248" s="2" t="s">
        <v>680</v>
      </c>
      <c r="B248" s="3" t="s">
        <v>1103</v>
      </c>
      <c r="C248" s="3" t="s">
        <v>1128</v>
      </c>
      <c r="D248" s="2" t="s">
        <v>681</v>
      </c>
      <c r="E248" s="2"/>
      <c r="F248" s="18">
        <v>0</v>
      </c>
      <c r="G248" s="2"/>
      <c r="H248" s="8">
        <v>52.560000000000009</v>
      </c>
      <c r="I248" s="14"/>
      <c r="J248" s="8">
        <f t="shared" si="18"/>
        <v>0</v>
      </c>
      <c r="M248" s="30" t="str">
        <f t="shared" si="19"/>
        <v>-</v>
      </c>
      <c r="N248" s="30" t="str">
        <f t="shared" si="20"/>
        <v>-</v>
      </c>
      <c r="O248" s="31" t="str">
        <f t="shared" si="21"/>
        <v>-</v>
      </c>
      <c r="P248" s="32" t="str">
        <f t="shared" si="22"/>
        <v>-</v>
      </c>
      <c r="R248" s="32" t="str">
        <f t="shared" si="23"/>
        <v>-</v>
      </c>
    </row>
    <row r="249" spans="1:18" x14ac:dyDescent="0.3">
      <c r="A249" s="2" t="s">
        <v>682</v>
      </c>
      <c r="B249" s="3" t="s">
        <v>1123</v>
      </c>
      <c r="C249" s="3" t="s">
        <v>1122</v>
      </c>
      <c r="D249" s="2" t="s">
        <v>683</v>
      </c>
      <c r="E249" s="2"/>
      <c r="F249" s="18">
        <v>0</v>
      </c>
      <c r="G249" s="2"/>
      <c r="H249" s="8">
        <v>65.88000000000001</v>
      </c>
      <c r="I249" s="14"/>
      <c r="J249" s="8">
        <f t="shared" si="18"/>
        <v>0</v>
      </c>
      <c r="M249" s="30" t="str">
        <f t="shared" si="19"/>
        <v>-</v>
      </c>
      <c r="N249" s="30" t="str">
        <f t="shared" si="20"/>
        <v>-</v>
      </c>
      <c r="O249" s="31" t="str">
        <f t="shared" si="21"/>
        <v>-</v>
      </c>
      <c r="P249" s="32" t="str">
        <f t="shared" si="22"/>
        <v>-</v>
      </c>
      <c r="R249" s="32" t="str">
        <f t="shared" si="23"/>
        <v>-</v>
      </c>
    </row>
    <row r="250" spans="1:18" x14ac:dyDescent="0.3">
      <c r="A250" s="2" t="s">
        <v>684</v>
      </c>
      <c r="B250" s="3" t="s">
        <v>1124</v>
      </c>
      <c r="C250" s="3" t="s">
        <v>1130</v>
      </c>
      <c r="D250" s="2" t="s">
        <v>685</v>
      </c>
      <c r="E250" s="2"/>
      <c r="F250" s="18">
        <v>1.02</v>
      </c>
      <c r="G250" s="2"/>
      <c r="H250" s="8">
        <v>64.785600000000017</v>
      </c>
      <c r="I250" s="14"/>
      <c r="J250" s="8">
        <f t="shared" si="18"/>
        <v>0</v>
      </c>
      <c r="M250" s="30" t="str">
        <f t="shared" si="19"/>
        <v>-</v>
      </c>
      <c r="N250" s="30" t="str">
        <f t="shared" si="20"/>
        <v>-</v>
      </c>
      <c r="O250" s="31" t="str">
        <f t="shared" si="21"/>
        <v>-</v>
      </c>
      <c r="P250" s="32" t="str">
        <f t="shared" si="22"/>
        <v>-</v>
      </c>
      <c r="R250" s="32" t="str">
        <f t="shared" si="23"/>
        <v>-</v>
      </c>
    </row>
    <row r="251" spans="1:18" x14ac:dyDescent="0.3">
      <c r="A251" s="2" t="s">
        <v>686</v>
      </c>
      <c r="B251" s="3" t="s">
        <v>1124</v>
      </c>
      <c r="C251" s="3" t="s">
        <v>1131</v>
      </c>
      <c r="D251" s="2" t="s">
        <v>687</v>
      </c>
      <c r="E251" s="2"/>
      <c r="F251" s="18">
        <v>0</v>
      </c>
      <c r="G251" s="2"/>
      <c r="H251" s="8">
        <v>64.785600000000017</v>
      </c>
      <c r="I251" s="14"/>
      <c r="J251" s="8">
        <f t="shared" si="18"/>
        <v>0</v>
      </c>
      <c r="M251" s="30" t="str">
        <f t="shared" si="19"/>
        <v>-</v>
      </c>
      <c r="N251" s="30" t="str">
        <f t="shared" si="20"/>
        <v>-</v>
      </c>
      <c r="O251" s="31" t="str">
        <f t="shared" si="21"/>
        <v>-</v>
      </c>
      <c r="P251" s="32" t="str">
        <f t="shared" si="22"/>
        <v>-</v>
      </c>
      <c r="R251" s="32" t="str">
        <f t="shared" si="23"/>
        <v>-</v>
      </c>
    </row>
    <row r="252" spans="1:18" x14ac:dyDescent="0.3">
      <c r="A252" s="2" t="s">
        <v>688</v>
      </c>
      <c r="B252" s="3" t="s">
        <v>1124</v>
      </c>
      <c r="C252" s="3" t="s">
        <v>1132</v>
      </c>
      <c r="D252" s="2" t="s">
        <v>689</v>
      </c>
      <c r="E252" s="2"/>
      <c r="F252" s="18">
        <v>1</v>
      </c>
      <c r="G252" s="2"/>
      <c r="H252" s="8">
        <v>64.785600000000017</v>
      </c>
      <c r="I252" s="14"/>
      <c r="J252" s="8">
        <f t="shared" si="18"/>
        <v>0</v>
      </c>
      <c r="M252" s="30" t="str">
        <f t="shared" si="19"/>
        <v>-</v>
      </c>
      <c r="N252" s="30" t="str">
        <f t="shared" si="20"/>
        <v>-</v>
      </c>
      <c r="O252" s="31" t="str">
        <f t="shared" si="21"/>
        <v>-</v>
      </c>
      <c r="P252" s="32" t="str">
        <f t="shared" si="22"/>
        <v>-</v>
      </c>
      <c r="R252" s="32" t="str">
        <f t="shared" si="23"/>
        <v>-</v>
      </c>
    </row>
    <row r="253" spans="1:18" x14ac:dyDescent="0.3">
      <c r="A253" s="2" t="s">
        <v>690</v>
      </c>
      <c r="B253" s="3" t="s">
        <v>1050</v>
      </c>
      <c r="C253" s="2" t="s">
        <v>691</v>
      </c>
      <c r="D253" s="2" t="s">
        <v>692</v>
      </c>
      <c r="E253" s="2"/>
      <c r="F253" s="18">
        <v>0</v>
      </c>
      <c r="G253" s="2"/>
      <c r="H253" s="8">
        <v>36</v>
      </c>
      <c r="I253" s="14"/>
      <c r="J253" s="8">
        <f t="shared" si="18"/>
        <v>0</v>
      </c>
      <c r="M253" s="30" t="str">
        <f t="shared" si="19"/>
        <v>-</v>
      </c>
      <c r="N253" s="30" t="str">
        <f t="shared" si="20"/>
        <v>-</v>
      </c>
      <c r="O253" s="31" t="str">
        <f t="shared" si="21"/>
        <v>-</v>
      </c>
      <c r="P253" s="32" t="str">
        <f t="shared" si="22"/>
        <v>-</v>
      </c>
      <c r="R253" s="32" t="str">
        <f t="shared" si="23"/>
        <v>-</v>
      </c>
    </row>
    <row r="254" spans="1:18" x14ac:dyDescent="0.3">
      <c r="A254" s="2" t="s">
        <v>693</v>
      </c>
      <c r="B254" s="3" t="s">
        <v>1133</v>
      </c>
      <c r="C254" s="2" t="s">
        <v>694</v>
      </c>
      <c r="D254" s="2" t="s">
        <v>695</v>
      </c>
      <c r="E254" s="2"/>
      <c r="F254" s="18">
        <v>0</v>
      </c>
      <c r="G254" s="2"/>
      <c r="H254" s="8">
        <v>38.865600000000001</v>
      </c>
      <c r="I254" s="14"/>
      <c r="J254" s="8">
        <f t="shared" si="18"/>
        <v>0</v>
      </c>
      <c r="M254" s="30" t="str">
        <f t="shared" si="19"/>
        <v>-</v>
      </c>
      <c r="N254" s="30" t="str">
        <f t="shared" si="20"/>
        <v>-</v>
      </c>
      <c r="O254" s="31" t="str">
        <f t="shared" si="21"/>
        <v>-</v>
      </c>
      <c r="P254" s="32" t="str">
        <f t="shared" si="22"/>
        <v>-</v>
      </c>
      <c r="R254" s="32" t="str">
        <f t="shared" si="23"/>
        <v>-</v>
      </c>
    </row>
    <row r="255" spans="1:18" x14ac:dyDescent="0.3">
      <c r="A255" s="2" t="s">
        <v>696</v>
      </c>
      <c r="B255" s="3" t="s">
        <v>1053</v>
      </c>
      <c r="C255" s="2" t="s">
        <v>697</v>
      </c>
      <c r="D255" s="2" t="s">
        <v>698</v>
      </c>
      <c r="E255" s="2"/>
      <c r="F255" s="18">
        <v>0</v>
      </c>
      <c r="G255" s="2"/>
      <c r="H255" s="8">
        <v>47.88</v>
      </c>
      <c r="I255" s="14"/>
      <c r="J255" s="8">
        <f t="shared" si="18"/>
        <v>0</v>
      </c>
      <c r="M255" s="30" t="str">
        <f t="shared" si="19"/>
        <v>-</v>
      </c>
      <c r="N255" s="30" t="str">
        <f t="shared" si="20"/>
        <v>-</v>
      </c>
      <c r="O255" s="31" t="str">
        <f t="shared" si="21"/>
        <v>-</v>
      </c>
      <c r="P255" s="32" t="str">
        <f t="shared" si="22"/>
        <v>-</v>
      </c>
      <c r="R255" s="32" t="str">
        <f t="shared" si="23"/>
        <v>-</v>
      </c>
    </row>
    <row r="256" spans="1:18" x14ac:dyDescent="0.3">
      <c r="A256" s="2" t="s">
        <v>699</v>
      </c>
      <c r="B256" s="3" t="s">
        <v>1050</v>
      </c>
      <c r="C256" s="2" t="s">
        <v>700</v>
      </c>
      <c r="D256" s="2" t="s">
        <v>701</v>
      </c>
      <c r="E256" s="2"/>
      <c r="F256" s="18">
        <v>0.13</v>
      </c>
      <c r="G256" s="2"/>
      <c r="H256" s="8">
        <v>34.92</v>
      </c>
      <c r="I256" s="14"/>
      <c r="J256" s="8">
        <f t="shared" si="18"/>
        <v>0</v>
      </c>
      <c r="M256" s="30" t="str">
        <f t="shared" si="19"/>
        <v>-</v>
      </c>
      <c r="N256" s="30" t="str">
        <f t="shared" si="20"/>
        <v>-</v>
      </c>
      <c r="O256" s="31" t="str">
        <f t="shared" si="21"/>
        <v>-</v>
      </c>
      <c r="P256" s="32" t="str">
        <f t="shared" si="22"/>
        <v>-</v>
      </c>
      <c r="R256" s="32" t="str">
        <f t="shared" si="23"/>
        <v>-</v>
      </c>
    </row>
    <row r="257" spans="1:18" x14ac:dyDescent="0.3">
      <c r="A257" s="2" t="s">
        <v>702</v>
      </c>
      <c r="B257" s="3" t="s">
        <v>1134</v>
      </c>
      <c r="C257" s="3" t="s">
        <v>1135</v>
      </c>
      <c r="D257" s="2" t="s">
        <v>703</v>
      </c>
      <c r="E257" s="2"/>
      <c r="F257" s="18">
        <v>0</v>
      </c>
      <c r="G257" s="2"/>
      <c r="H257" s="8">
        <v>75.960000000000008</v>
      </c>
      <c r="I257" s="14"/>
      <c r="J257" s="8">
        <f t="shared" si="18"/>
        <v>0</v>
      </c>
      <c r="M257" s="30" t="str">
        <f t="shared" si="19"/>
        <v>-</v>
      </c>
      <c r="N257" s="30" t="str">
        <f t="shared" si="20"/>
        <v>-</v>
      </c>
      <c r="O257" s="31" t="str">
        <f t="shared" si="21"/>
        <v>-</v>
      </c>
      <c r="P257" s="32" t="str">
        <f t="shared" si="22"/>
        <v>-</v>
      </c>
      <c r="R257" s="32" t="str">
        <f t="shared" si="23"/>
        <v>-</v>
      </c>
    </row>
    <row r="258" spans="1:18" x14ac:dyDescent="0.3">
      <c r="A258" s="2" t="s">
        <v>704</v>
      </c>
      <c r="B258" s="3" t="s">
        <v>1053</v>
      </c>
      <c r="C258" s="2" t="s">
        <v>705</v>
      </c>
      <c r="D258" s="2" t="s">
        <v>706</v>
      </c>
      <c r="E258" s="2"/>
      <c r="F258" s="18">
        <v>0</v>
      </c>
      <c r="G258" s="2"/>
      <c r="H258" s="8">
        <v>36</v>
      </c>
      <c r="I258" s="14"/>
      <c r="J258" s="8">
        <f t="shared" si="18"/>
        <v>0</v>
      </c>
      <c r="M258" s="30" t="str">
        <f t="shared" si="19"/>
        <v>-</v>
      </c>
      <c r="N258" s="30" t="str">
        <f t="shared" si="20"/>
        <v>-</v>
      </c>
      <c r="O258" s="31" t="str">
        <f t="shared" si="21"/>
        <v>-</v>
      </c>
      <c r="P258" s="32" t="str">
        <f t="shared" si="22"/>
        <v>-</v>
      </c>
      <c r="R258" s="32" t="str">
        <f t="shared" si="23"/>
        <v>-</v>
      </c>
    </row>
    <row r="259" spans="1:18" x14ac:dyDescent="0.3">
      <c r="A259" s="2" t="s">
        <v>707</v>
      </c>
      <c r="B259" s="3" t="s">
        <v>1053</v>
      </c>
      <c r="C259" s="2" t="s">
        <v>708</v>
      </c>
      <c r="D259" s="2" t="s">
        <v>709</v>
      </c>
      <c r="E259" s="2"/>
      <c r="F259" s="18">
        <v>0</v>
      </c>
      <c r="G259" s="2"/>
      <c r="H259" s="8">
        <v>65.52</v>
      </c>
      <c r="I259" s="14"/>
      <c r="J259" s="8">
        <f t="shared" si="18"/>
        <v>0</v>
      </c>
      <c r="M259" s="30" t="str">
        <f t="shared" si="19"/>
        <v>-</v>
      </c>
      <c r="N259" s="30" t="str">
        <f t="shared" si="20"/>
        <v>-</v>
      </c>
      <c r="O259" s="31" t="str">
        <f t="shared" si="21"/>
        <v>-</v>
      </c>
      <c r="P259" s="32" t="str">
        <f t="shared" si="22"/>
        <v>-</v>
      </c>
      <c r="R259" s="32" t="str">
        <f t="shared" si="23"/>
        <v>-</v>
      </c>
    </row>
    <row r="260" spans="1:18" x14ac:dyDescent="0.3">
      <c r="A260" s="2" t="s">
        <v>710</v>
      </c>
      <c r="B260" s="3" t="s">
        <v>1053</v>
      </c>
      <c r="C260" s="2" t="s">
        <v>711</v>
      </c>
      <c r="D260" s="2" t="s">
        <v>712</v>
      </c>
      <c r="E260" s="2"/>
      <c r="F260" s="18">
        <v>0</v>
      </c>
      <c r="G260" s="2"/>
      <c r="H260" s="8">
        <v>34.200000000000003</v>
      </c>
      <c r="I260" s="14"/>
      <c r="J260" s="8">
        <f t="shared" ref="J260:J323" si="24">I260*H260</f>
        <v>0</v>
      </c>
      <c r="M260" s="30" t="str">
        <f t="shared" ref="M260:M323" si="25">IFERROR(IF($M$2*F260=0, "-", $M$2*F260), "-")</f>
        <v>-</v>
      </c>
      <c r="N260" s="30" t="str">
        <f t="shared" ref="N260:N323" si="26">IF(I260&gt;0,H260+F260*I260/$O$2*$P$2/I260,"-")</f>
        <v>-</v>
      </c>
      <c r="O260" s="31" t="str">
        <f t="shared" ref="O260:O323" si="27">IF(I260&gt;0,I260*F260*1.113, "-")</f>
        <v>-</v>
      </c>
      <c r="P260" s="32" t="str">
        <f t="shared" ref="P260:P323" si="28">IFERROR(IF($M$2&gt;0, $M$2*O260, "-"), "-")</f>
        <v>-</v>
      </c>
      <c r="R260" s="32" t="str">
        <f t="shared" ref="R260:R323" si="29">IFERROR(IF(P260+J260=0, "-", IF(P260&gt;0, P260+J260, "-")), "-")</f>
        <v>-</v>
      </c>
    </row>
    <row r="261" spans="1:18" x14ac:dyDescent="0.3">
      <c r="A261" s="2" t="s">
        <v>713</v>
      </c>
      <c r="B261" s="3" t="s">
        <v>1050</v>
      </c>
      <c r="C261" s="2" t="s">
        <v>711</v>
      </c>
      <c r="D261" s="2" t="s">
        <v>714</v>
      </c>
      <c r="E261" s="2"/>
      <c r="F261" s="18">
        <v>0</v>
      </c>
      <c r="G261" s="2"/>
      <c r="H261" s="8">
        <v>61.92</v>
      </c>
      <c r="I261" s="14"/>
      <c r="J261" s="8">
        <f t="shared" si="24"/>
        <v>0</v>
      </c>
      <c r="M261" s="30" t="str">
        <f t="shared" si="25"/>
        <v>-</v>
      </c>
      <c r="N261" s="30" t="str">
        <f t="shared" si="26"/>
        <v>-</v>
      </c>
      <c r="O261" s="31" t="str">
        <f t="shared" si="27"/>
        <v>-</v>
      </c>
      <c r="P261" s="32" t="str">
        <f t="shared" si="28"/>
        <v>-</v>
      </c>
      <c r="R261" s="32" t="str">
        <f t="shared" si="29"/>
        <v>-</v>
      </c>
    </row>
    <row r="262" spans="1:18" x14ac:dyDescent="0.3">
      <c r="A262" s="2" t="s">
        <v>715</v>
      </c>
      <c r="B262" s="3" t="s">
        <v>1053</v>
      </c>
      <c r="C262" s="2" t="s">
        <v>716</v>
      </c>
      <c r="D262" s="2" t="s">
        <v>717</v>
      </c>
      <c r="E262" s="2"/>
      <c r="F262" s="18">
        <v>0</v>
      </c>
      <c r="G262" s="2"/>
      <c r="H262" s="8">
        <v>44.28</v>
      </c>
      <c r="I262" s="14"/>
      <c r="J262" s="8">
        <f t="shared" si="24"/>
        <v>0</v>
      </c>
      <c r="M262" s="30" t="str">
        <f t="shared" si="25"/>
        <v>-</v>
      </c>
      <c r="N262" s="30" t="str">
        <f t="shared" si="26"/>
        <v>-</v>
      </c>
      <c r="O262" s="31" t="str">
        <f t="shared" si="27"/>
        <v>-</v>
      </c>
      <c r="P262" s="32" t="str">
        <f t="shared" si="28"/>
        <v>-</v>
      </c>
      <c r="R262" s="32" t="str">
        <f t="shared" si="29"/>
        <v>-</v>
      </c>
    </row>
    <row r="263" spans="1:18" x14ac:dyDescent="0.3">
      <c r="A263" s="2" t="s">
        <v>718</v>
      </c>
      <c r="B263" s="3" t="s">
        <v>1083</v>
      </c>
      <c r="C263" s="2" t="s">
        <v>719</v>
      </c>
      <c r="D263" s="2" t="s">
        <v>720</v>
      </c>
      <c r="E263" s="2"/>
      <c r="F263" s="18">
        <v>0</v>
      </c>
      <c r="G263" s="2"/>
      <c r="H263" s="8">
        <v>51.480000000000004</v>
      </c>
      <c r="I263" s="14"/>
      <c r="J263" s="8">
        <f t="shared" si="24"/>
        <v>0</v>
      </c>
      <c r="M263" s="30" t="str">
        <f t="shared" si="25"/>
        <v>-</v>
      </c>
      <c r="N263" s="30" t="str">
        <f t="shared" si="26"/>
        <v>-</v>
      </c>
      <c r="O263" s="31" t="str">
        <f t="shared" si="27"/>
        <v>-</v>
      </c>
      <c r="P263" s="32" t="str">
        <f t="shared" si="28"/>
        <v>-</v>
      </c>
      <c r="R263" s="32" t="str">
        <f t="shared" si="29"/>
        <v>-</v>
      </c>
    </row>
    <row r="264" spans="1:18" x14ac:dyDescent="0.3">
      <c r="A264" s="2" t="s">
        <v>721</v>
      </c>
      <c r="B264" s="3" t="s">
        <v>1050</v>
      </c>
      <c r="C264" s="2" t="s">
        <v>722</v>
      </c>
      <c r="D264" s="2" t="s">
        <v>723</v>
      </c>
      <c r="E264" s="2"/>
      <c r="F264" s="18">
        <v>0</v>
      </c>
      <c r="G264" s="2"/>
      <c r="H264" s="8">
        <v>42.105600000000003</v>
      </c>
      <c r="I264" s="14"/>
      <c r="J264" s="8">
        <f t="shared" si="24"/>
        <v>0</v>
      </c>
      <c r="M264" s="30" t="str">
        <f t="shared" si="25"/>
        <v>-</v>
      </c>
      <c r="N264" s="30" t="str">
        <f t="shared" si="26"/>
        <v>-</v>
      </c>
      <c r="O264" s="31" t="str">
        <f t="shared" si="27"/>
        <v>-</v>
      </c>
      <c r="P264" s="32" t="str">
        <f t="shared" si="28"/>
        <v>-</v>
      </c>
      <c r="R264" s="32" t="str">
        <f t="shared" si="29"/>
        <v>-</v>
      </c>
    </row>
    <row r="265" spans="1:18" x14ac:dyDescent="0.3">
      <c r="A265" s="2" t="s">
        <v>724</v>
      </c>
      <c r="B265" s="3" t="s">
        <v>1053</v>
      </c>
      <c r="C265" s="2" t="s">
        <v>725</v>
      </c>
      <c r="D265" s="2" t="s">
        <v>726</v>
      </c>
      <c r="E265" s="2"/>
      <c r="F265" s="18">
        <v>0</v>
      </c>
      <c r="G265" s="2"/>
      <c r="H265" s="8">
        <v>40.320000000000007</v>
      </c>
      <c r="I265" s="14"/>
      <c r="J265" s="8">
        <f t="shared" si="24"/>
        <v>0</v>
      </c>
      <c r="M265" s="30" t="str">
        <f t="shared" si="25"/>
        <v>-</v>
      </c>
      <c r="N265" s="30" t="str">
        <f t="shared" si="26"/>
        <v>-</v>
      </c>
      <c r="O265" s="31" t="str">
        <f t="shared" si="27"/>
        <v>-</v>
      </c>
      <c r="P265" s="32" t="str">
        <f t="shared" si="28"/>
        <v>-</v>
      </c>
      <c r="R265" s="32" t="str">
        <f t="shared" si="29"/>
        <v>-</v>
      </c>
    </row>
    <row r="266" spans="1:18" x14ac:dyDescent="0.3">
      <c r="A266" s="2" t="s">
        <v>727</v>
      </c>
      <c r="B266" s="3" t="s">
        <v>1054</v>
      </c>
      <c r="C266" s="2" t="s">
        <v>728</v>
      </c>
      <c r="D266" s="2" t="s">
        <v>729</v>
      </c>
      <c r="E266" s="2"/>
      <c r="F266" s="18">
        <v>0</v>
      </c>
      <c r="G266" s="2"/>
      <c r="H266" s="8">
        <v>47.52</v>
      </c>
      <c r="I266" s="14"/>
      <c r="J266" s="8">
        <f t="shared" si="24"/>
        <v>0</v>
      </c>
      <c r="M266" s="30" t="str">
        <f t="shared" si="25"/>
        <v>-</v>
      </c>
      <c r="N266" s="30" t="str">
        <f t="shared" si="26"/>
        <v>-</v>
      </c>
      <c r="O266" s="31" t="str">
        <f t="shared" si="27"/>
        <v>-</v>
      </c>
      <c r="P266" s="32" t="str">
        <f t="shared" si="28"/>
        <v>-</v>
      </c>
      <c r="R266" s="32" t="str">
        <f t="shared" si="29"/>
        <v>-</v>
      </c>
    </row>
    <row r="267" spans="1:18" x14ac:dyDescent="0.3">
      <c r="A267" s="2" t="s">
        <v>730</v>
      </c>
      <c r="B267" s="3" t="s">
        <v>1056</v>
      </c>
      <c r="C267" s="2" t="s">
        <v>731</v>
      </c>
      <c r="D267" s="2" t="s">
        <v>732</v>
      </c>
      <c r="E267" s="2"/>
      <c r="F267" s="18">
        <v>0</v>
      </c>
      <c r="G267" s="2"/>
      <c r="H267" s="8">
        <v>48.960000000000008</v>
      </c>
      <c r="I267" s="14"/>
      <c r="J267" s="8">
        <f t="shared" si="24"/>
        <v>0</v>
      </c>
      <c r="M267" s="30" t="str">
        <f t="shared" si="25"/>
        <v>-</v>
      </c>
      <c r="N267" s="30" t="str">
        <f t="shared" si="26"/>
        <v>-</v>
      </c>
      <c r="O267" s="31" t="str">
        <f t="shared" si="27"/>
        <v>-</v>
      </c>
      <c r="P267" s="32" t="str">
        <f t="shared" si="28"/>
        <v>-</v>
      </c>
      <c r="R267" s="32" t="str">
        <f t="shared" si="29"/>
        <v>-</v>
      </c>
    </row>
    <row r="268" spans="1:18" x14ac:dyDescent="0.3">
      <c r="A268" s="2" t="s">
        <v>733</v>
      </c>
      <c r="B268" s="3" t="s">
        <v>1056</v>
      </c>
      <c r="C268" s="2" t="s">
        <v>734</v>
      </c>
      <c r="D268" s="2" t="s">
        <v>735</v>
      </c>
      <c r="E268" s="2"/>
      <c r="F268" s="18">
        <v>0</v>
      </c>
      <c r="G268" s="2"/>
      <c r="H268" s="8">
        <v>75.600000000000009</v>
      </c>
      <c r="I268" s="14"/>
      <c r="J268" s="8">
        <f t="shared" si="24"/>
        <v>0</v>
      </c>
      <c r="M268" s="30" t="str">
        <f t="shared" si="25"/>
        <v>-</v>
      </c>
      <c r="N268" s="30" t="str">
        <f t="shared" si="26"/>
        <v>-</v>
      </c>
      <c r="O268" s="31" t="str">
        <f t="shared" si="27"/>
        <v>-</v>
      </c>
      <c r="P268" s="32" t="str">
        <f t="shared" si="28"/>
        <v>-</v>
      </c>
      <c r="R268" s="32" t="str">
        <f t="shared" si="29"/>
        <v>-</v>
      </c>
    </row>
    <row r="269" spans="1:18" x14ac:dyDescent="0.3">
      <c r="A269" s="2" t="s">
        <v>736</v>
      </c>
      <c r="B269" s="3" t="s">
        <v>1136</v>
      </c>
      <c r="C269" s="2" t="s">
        <v>737</v>
      </c>
      <c r="D269" s="2" t="s">
        <v>738</v>
      </c>
      <c r="E269" s="2"/>
      <c r="F269" s="18">
        <v>0</v>
      </c>
      <c r="G269" s="2"/>
      <c r="H269" s="8">
        <v>46.080000000000005</v>
      </c>
      <c r="I269" s="14"/>
      <c r="J269" s="8">
        <f t="shared" si="24"/>
        <v>0</v>
      </c>
      <c r="M269" s="30" t="str">
        <f t="shared" si="25"/>
        <v>-</v>
      </c>
      <c r="N269" s="30" t="str">
        <f t="shared" si="26"/>
        <v>-</v>
      </c>
      <c r="O269" s="31" t="str">
        <f t="shared" si="27"/>
        <v>-</v>
      </c>
      <c r="P269" s="32" t="str">
        <f t="shared" si="28"/>
        <v>-</v>
      </c>
      <c r="R269" s="32" t="str">
        <f t="shared" si="29"/>
        <v>-</v>
      </c>
    </row>
    <row r="270" spans="1:18" x14ac:dyDescent="0.3">
      <c r="A270" s="2" t="s">
        <v>739</v>
      </c>
      <c r="B270" s="3" t="s">
        <v>1054</v>
      </c>
      <c r="C270" s="2" t="s">
        <v>740</v>
      </c>
      <c r="D270" s="2" t="s">
        <v>741</v>
      </c>
      <c r="E270" s="2"/>
      <c r="F270" s="18">
        <v>0.21</v>
      </c>
      <c r="G270" s="2"/>
      <c r="H270" s="8">
        <v>29.16</v>
      </c>
      <c r="I270" s="14"/>
      <c r="J270" s="8">
        <f t="shared" si="24"/>
        <v>0</v>
      </c>
      <c r="M270" s="30" t="str">
        <f t="shared" si="25"/>
        <v>-</v>
      </c>
      <c r="N270" s="30" t="str">
        <f t="shared" si="26"/>
        <v>-</v>
      </c>
      <c r="O270" s="31" t="str">
        <f t="shared" si="27"/>
        <v>-</v>
      </c>
      <c r="P270" s="32" t="str">
        <f t="shared" si="28"/>
        <v>-</v>
      </c>
      <c r="R270" s="32" t="str">
        <f t="shared" si="29"/>
        <v>-</v>
      </c>
    </row>
    <row r="271" spans="1:18" x14ac:dyDescent="0.3">
      <c r="A271" s="2" t="s">
        <v>742</v>
      </c>
      <c r="B271" s="3" t="s">
        <v>1092</v>
      </c>
      <c r="C271" s="2" t="s">
        <v>743</v>
      </c>
      <c r="D271" s="2" t="s">
        <v>744</v>
      </c>
      <c r="E271" s="2"/>
      <c r="F271" s="18">
        <v>0</v>
      </c>
      <c r="G271" s="2"/>
      <c r="H271" s="8">
        <v>30.240000000000002</v>
      </c>
      <c r="I271" s="14"/>
      <c r="J271" s="8">
        <f t="shared" si="24"/>
        <v>0</v>
      </c>
      <c r="M271" s="30" t="str">
        <f t="shared" si="25"/>
        <v>-</v>
      </c>
      <c r="N271" s="30" t="str">
        <f t="shared" si="26"/>
        <v>-</v>
      </c>
      <c r="O271" s="31" t="str">
        <f t="shared" si="27"/>
        <v>-</v>
      </c>
      <c r="P271" s="32" t="str">
        <f t="shared" si="28"/>
        <v>-</v>
      </c>
      <c r="R271" s="32" t="str">
        <f t="shared" si="29"/>
        <v>-</v>
      </c>
    </row>
    <row r="272" spans="1:18" x14ac:dyDescent="0.3">
      <c r="A272" s="2" t="s">
        <v>745</v>
      </c>
      <c r="B272" s="3" t="s">
        <v>1053</v>
      </c>
      <c r="C272" s="2" t="s">
        <v>746</v>
      </c>
      <c r="D272" s="2" t="s">
        <v>747</v>
      </c>
      <c r="E272" s="2"/>
      <c r="F272" s="18">
        <v>0</v>
      </c>
      <c r="G272" s="2"/>
      <c r="H272" s="8">
        <v>43.92</v>
      </c>
      <c r="I272" s="14"/>
      <c r="J272" s="8">
        <f t="shared" si="24"/>
        <v>0</v>
      </c>
      <c r="M272" s="30" t="str">
        <f t="shared" si="25"/>
        <v>-</v>
      </c>
      <c r="N272" s="30" t="str">
        <f t="shared" si="26"/>
        <v>-</v>
      </c>
      <c r="O272" s="31" t="str">
        <f t="shared" si="27"/>
        <v>-</v>
      </c>
      <c r="P272" s="32" t="str">
        <f t="shared" si="28"/>
        <v>-</v>
      </c>
      <c r="R272" s="32" t="str">
        <f t="shared" si="29"/>
        <v>-</v>
      </c>
    </row>
    <row r="273" spans="1:18" x14ac:dyDescent="0.3">
      <c r="A273" s="2" t="s">
        <v>748</v>
      </c>
      <c r="B273" s="3" t="s">
        <v>1053</v>
      </c>
      <c r="C273" s="2" t="s">
        <v>749</v>
      </c>
      <c r="D273" s="2" t="s">
        <v>750</v>
      </c>
      <c r="E273" s="2"/>
      <c r="F273" s="18">
        <v>0.19</v>
      </c>
      <c r="G273" s="2"/>
      <c r="H273" s="8">
        <v>43.92</v>
      </c>
      <c r="I273" s="14"/>
      <c r="J273" s="8">
        <f t="shared" si="24"/>
        <v>0</v>
      </c>
      <c r="M273" s="30" t="str">
        <f t="shared" si="25"/>
        <v>-</v>
      </c>
      <c r="N273" s="30" t="str">
        <f t="shared" si="26"/>
        <v>-</v>
      </c>
      <c r="O273" s="31" t="str">
        <f t="shared" si="27"/>
        <v>-</v>
      </c>
      <c r="P273" s="32" t="str">
        <f t="shared" si="28"/>
        <v>-</v>
      </c>
      <c r="R273" s="32" t="str">
        <f t="shared" si="29"/>
        <v>-</v>
      </c>
    </row>
    <row r="274" spans="1:18" x14ac:dyDescent="0.3">
      <c r="A274" s="2" t="s">
        <v>751</v>
      </c>
      <c r="B274" s="3" t="s">
        <v>1051</v>
      </c>
      <c r="C274" s="2" t="s">
        <v>752</v>
      </c>
      <c r="D274" s="2" t="s">
        <v>753</v>
      </c>
      <c r="E274" s="2"/>
      <c r="F274" s="18">
        <v>0</v>
      </c>
      <c r="G274" s="2"/>
      <c r="H274" s="8">
        <v>36.720000000000006</v>
      </c>
      <c r="I274" s="14"/>
      <c r="J274" s="8">
        <f t="shared" si="24"/>
        <v>0</v>
      </c>
      <c r="M274" s="30" t="str">
        <f t="shared" si="25"/>
        <v>-</v>
      </c>
      <c r="N274" s="30" t="str">
        <f t="shared" si="26"/>
        <v>-</v>
      </c>
      <c r="O274" s="31" t="str">
        <f t="shared" si="27"/>
        <v>-</v>
      </c>
      <c r="P274" s="32" t="str">
        <f t="shared" si="28"/>
        <v>-</v>
      </c>
      <c r="R274" s="32" t="str">
        <f t="shared" si="29"/>
        <v>-</v>
      </c>
    </row>
    <row r="275" spans="1:18" x14ac:dyDescent="0.3">
      <c r="A275" s="2" t="s">
        <v>754</v>
      </c>
      <c r="B275" s="3" t="s">
        <v>1050</v>
      </c>
      <c r="C275" s="2" t="s">
        <v>755</v>
      </c>
      <c r="D275" s="2" t="s">
        <v>756</v>
      </c>
      <c r="E275" s="2"/>
      <c r="F275" s="18">
        <v>0</v>
      </c>
      <c r="G275" s="2"/>
      <c r="H275" s="8">
        <v>45.720000000000006</v>
      </c>
      <c r="I275" s="14"/>
      <c r="J275" s="8">
        <f t="shared" si="24"/>
        <v>0</v>
      </c>
      <c r="M275" s="30" t="str">
        <f t="shared" si="25"/>
        <v>-</v>
      </c>
      <c r="N275" s="30" t="str">
        <f t="shared" si="26"/>
        <v>-</v>
      </c>
      <c r="O275" s="31" t="str">
        <f t="shared" si="27"/>
        <v>-</v>
      </c>
      <c r="P275" s="32" t="str">
        <f t="shared" si="28"/>
        <v>-</v>
      </c>
      <c r="R275" s="32" t="str">
        <f t="shared" si="29"/>
        <v>-</v>
      </c>
    </row>
    <row r="276" spans="1:18" x14ac:dyDescent="0.3">
      <c r="A276" s="2" t="s">
        <v>757</v>
      </c>
      <c r="B276" s="3" t="s">
        <v>1053</v>
      </c>
      <c r="C276" s="2" t="s">
        <v>758</v>
      </c>
      <c r="D276" s="2" t="s">
        <v>759</v>
      </c>
      <c r="E276" s="2"/>
      <c r="F276" s="18">
        <v>0</v>
      </c>
      <c r="G276" s="2"/>
      <c r="H276" s="8">
        <v>51.84</v>
      </c>
      <c r="I276" s="14"/>
      <c r="J276" s="8">
        <f t="shared" si="24"/>
        <v>0</v>
      </c>
      <c r="M276" s="30" t="str">
        <f t="shared" si="25"/>
        <v>-</v>
      </c>
      <c r="N276" s="30" t="str">
        <f t="shared" si="26"/>
        <v>-</v>
      </c>
      <c r="O276" s="31" t="str">
        <f t="shared" si="27"/>
        <v>-</v>
      </c>
      <c r="P276" s="32" t="str">
        <f t="shared" si="28"/>
        <v>-</v>
      </c>
      <c r="R276" s="32" t="str">
        <f t="shared" si="29"/>
        <v>-</v>
      </c>
    </row>
    <row r="277" spans="1:18" x14ac:dyDescent="0.3">
      <c r="A277" s="2" t="s">
        <v>760</v>
      </c>
      <c r="B277" s="3" t="s">
        <v>1062</v>
      </c>
      <c r="C277" s="2" t="s">
        <v>761</v>
      </c>
      <c r="D277" s="2" t="s">
        <v>762</v>
      </c>
      <c r="E277" s="2"/>
      <c r="F277" s="18">
        <v>0</v>
      </c>
      <c r="G277" s="2"/>
      <c r="H277" s="8">
        <v>38.520000000000003</v>
      </c>
      <c r="I277" s="14"/>
      <c r="J277" s="8">
        <f t="shared" si="24"/>
        <v>0</v>
      </c>
      <c r="M277" s="30" t="str">
        <f t="shared" si="25"/>
        <v>-</v>
      </c>
      <c r="N277" s="30" t="str">
        <f t="shared" si="26"/>
        <v>-</v>
      </c>
      <c r="O277" s="31" t="str">
        <f t="shared" si="27"/>
        <v>-</v>
      </c>
      <c r="P277" s="32" t="str">
        <f t="shared" si="28"/>
        <v>-</v>
      </c>
      <c r="R277" s="32" t="str">
        <f t="shared" si="29"/>
        <v>-</v>
      </c>
    </row>
    <row r="278" spans="1:18" x14ac:dyDescent="0.3">
      <c r="A278" s="2" t="s">
        <v>763</v>
      </c>
      <c r="B278" s="3" t="s">
        <v>1054</v>
      </c>
      <c r="C278" s="2" t="s">
        <v>761</v>
      </c>
      <c r="D278" s="2" t="s">
        <v>764</v>
      </c>
      <c r="E278" s="2"/>
      <c r="F278" s="18">
        <v>0</v>
      </c>
      <c r="G278" s="2"/>
      <c r="H278" s="8">
        <v>82.8</v>
      </c>
      <c r="I278" s="14"/>
      <c r="J278" s="8">
        <f t="shared" si="24"/>
        <v>0</v>
      </c>
      <c r="M278" s="30" t="str">
        <f t="shared" si="25"/>
        <v>-</v>
      </c>
      <c r="N278" s="30" t="str">
        <f t="shared" si="26"/>
        <v>-</v>
      </c>
      <c r="O278" s="31" t="str">
        <f t="shared" si="27"/>
        <v>-</v>
      </c>
      <c r="P278" s="32" t="str">
        <f t="shared" si="28"/>
        <v>-</v>
      </c>
      <c r="R278" s="32" t="str">
        <f t="shared" si="29"/>
        <v>-</v>
      </c>
    </row>
    <row r="279" spans="1:18" x14ac:dyDescent="0.3">
      <c r="A279" s="2" t="s">
        <v>765</v>
      </c>
      <c r="B279" s="3" t="s">
        <v>1050</v>
      </c>
      <c r="C279" s="2" t="s">
        <v>766</v>
      </c>
      <c r="D279" s="2" t="s">
        <v>767</v>
      </c>
      <c r="E279" s="2"/>
      <c r="F279" s="18">
        <v>0.17</v>
      </c>
      <c r="G279" s="2"/>
      <c r="H279" s="8">
        <v>48.960000000000008</v>
      </c>
      <c r="I279" s="14"/>
      <c r="J279" s="8">
        <f t="shared" si="24"/>
        <v>0</v>
      </c>
      <c r="M279" s="30" t="str">
        <f t="shared" si="25"/>
        <v>-</v>
      </c>
      <c r="N279" s="30" t="str">
        <f t="shared" si="26"/>
        <v>-</v>
      </c>
      <c r="O279" s="31" t="str">
        <f t="shared" si="27"/>
        <v>-</v>
      </c>
      <c r="P279" s="32" t="str">
        <f t="shared" si="28"/>
        <v>-</v>
      </c>
      <c r="R279" s="32" t="str">
        <f t="shared" si="29"/>
        <v>-</v>
      </c>
    </row>
    <row r="280" spans="1:18" x14ac:dyDescent="0.3">
      <c r="A280" s="2" t="s">
        <v>768</v>
      </c>
      <c r="B280" s="3" t="s">
        <v>1075</v>
      </c>
      <c r="C280" s="2" t="s">
        <v>769</v>
      </c>
      <c r="D280" s="2" t="s">
        <v>770</v>
      </c>
      <c r="E280" s="2"/>
      <c r="F280" s="18">
        <v>0</v>
      </c>
      <c r="G280" s="2"/>
      <c r="H280" s="8">
        <v>29.16</v>
      </c>
      <c r="I280" s="14"/>
      <c r="J280" s="8">
        <f t="shared" si="24"/>
        <v>0</v>
      </c>
      <c r="M280" s="30" t="str">
        <f t="shared" si="25"/>
        <v>-</v>
      </c>
      <c r="N280" s="30" t="str">
        <f t="shared" si="26"/>
        <v>-</v>
      </c>
      <c r="O280" s="31" t="str">
        <f t="shared" si="27"/>
        <v>-</v>
      </c>
      <c r="P280" s="32" t="str">
        <f t="shared" si="28"/>
        <v>-</v>
      </c>
      <c r="R280" s="32" t="str">
        <f t="shared" si="29"/>
        <v>-</v>
      </c>
    </row>
    <row r="281" spans="1:18" x14ac:dyDescent="0.3">
      <c r="A281" s="2" t="s">
        <v>771</v>
      </c>
      <c r="B281" s="3" t="s">
        <v>1053</v>
      </c>
      <c r="C281" s="2" t="s">
        <v>772</v>
      </c>
      <c r="D281" s="2" t="s">
        <v>773</v>
      </c>
      <c r="E281" s="2"/>
      <c r="F281" s="18">
        <v>0</v>
      </c>
      <c r="G281" s="2"/>
      <c r="H281" s="8">
        <v>57.24</v>
      </c>
      <c r="I281" s="14"/>
      <c r="J281" s="8">
        <f t="shared" si="24"/>
        <v>0</v>
      </c>
      <c r="M281" s="30" t="str">
        <f t="shared" si="25"/>
        <v>-</v>
      </c>
      <c r="N281" s="30" t="str">
        <f t="shared" si="26"/>
        <v>-</v>
      </c>
      <c r="O281" s="31" t="str">
        <f t="shared" si="27"/>
        <v>-</v>
      </c>
      <c r="P281" s="32" t="str">
        <f t="shared" si="28"/>
        <v>-</v>
      </c>
      <c r="R281" s="32" t="str">
        <f t="shared" si="29"/>
        <v>-</v>
      </c>
    </row>
    <row r="282" spans="1:18" x14ac:dyDescent="0.3">
      <c r="A282" s="2" t="s">
        <v>774</v>
      </c>
      <c r="B282" s="3" t="s">
        <v>1053</v>
      </c>
      <c r="C282" s="2" t="s">
        <v>775</v>
      </c>
      <c r="D282" s="2" t="s">
        <v>776</v>
      </c>
      <c r="E282" s="2"/>
      <c r="F282" s="18">
        <v>0.16</v>
      </c>
      <c r="G282" s="2"/>
      <c r="H282" s="8">
        <v>36.720000000000006</v>
      </c>
      <c r="I282" s="14"/>
      <c r="J282" s="8">
        <f t="shared" si="24"/>
        <v>0</v>
      </c>
      <c r="M282" s="30" t="str">
        <f t="shared" si="25"/>
        <v>-</v>
      </c>
      <c r="N282" s="30" t="str">
        <f t="shared" si="26"/>
        <v>-</v>
      </c>
      <c r="O282" s="31" t="str">
        <f t="shared" si="27"/>
        <v>-</v>
      </c>
      <c r="P282" s="32" t="str">
        <f t="shared" si="28"/>
        <v>-</v>
      </c>
      <c r="R282" s="32" t="str">
        <f t="shared" si="29"/>
        <v>-</v>
      </c>
    </row>
    <row r="283" spans="1:18" x14ac:dyDescent="0.3">
      <c r="A283" s="2" t="s">
        <v>777</v>
      </c>
      <c r="B283" s="3" t="s">
        <v>1054</v>
      </c>
      <c r="C283" s="2" t="s">
        <v>778</v>
      </c>
      <c r="D283" s="2" t="s">
        <v>779</v>
      </c>
      <c r="E283" s="2"/>
      <c r="F283" s="18">
        <v>0</v>
      </c>
      <c r="G283" s="2"/>
      <c r="H283" s="8">
        <v>21.6</v>
      </c>
      <c r="I283" s="14"/>
      <c r="J283" s="8">
        <f t="shared" si="24"/>
        <v>0</v>
      </c>
      <c r="M283" s="30" t="str">
        <f t="shared" si="25"/>
        <v>-</v>
      </c>
      <c r="N283" s="30" t="str">
        <f t="shared" si="26"/>
        <v>-</v>
      </c>
      <c r="O283" s="31" t="str">
        <f t="shared" si="27"/>
        <v>-</v>
      </c>
      <c r="P283" s="32" t="str">
        <f t="shared" si="28"/>
        <v>-</v>
      </c>
      <c r="R283" s="32" t="str">
        <f t="shared" si="29"/>
        <v>-</v>
      </c>
    </row>
    <row r="284" spans="1:18" x14ac:dyDescent="0.3">
      <c r="A284" s="2" t="s">
        <v>780</v>
      </c>
      <c r="B284" s="3" t="s">
        <v>1054</v>
      </c>
      <c r="C284" s="2" t="s">
        <v>781</v>
      </c>
      <c r="D284" s="2" t="s">
        <v>782</v>
      </c>
      <c r="E284" s="2"/>
      <c r="F284" s="18">
        <v>0.28000000000000003</v>
      </c>
      <c r="G284" s="2"/>
      <c r="H284" s="8">
        <v>25.92</v>
      </c>
      <c r="I284" s="14"/>
      <c r="J284" s="8">
        <f t="shared" si="24"/>
        <v>0</v>
      </c>
      <c r="M284" s="30" t="str">
        <f t="shared" si="25"/>
        <v>-</v>
      </c>
      <c r="N284" s="30" t="str">
        <f t="shared" si="26"/>
        <v>-</v>
      </c>
      <c r="O284" s="31" t="str">
        <f t="shared" si="27"/>
        <v>-</v>
      </c>
      <c r="P284" s="32" t="str">
        <f t="shared" si="28"/>
        <v>-</v>
      </c>
      <c r="R284" s="32" t="str">
        <f t="shared" si="29"/>
        <v>-</v>
      </c>
    </row>
    <row r="285" spans="1:18" x14ac:dyDescent="0.3">
      <c r="A285" s="2" t="s">
        <v>783</v>
      </c>
      <c r="B285" s="3" t="s">
        <v>1137</v>
      </c>
      <c r="C285" s="2" t="s">
        <v>784</v>
      </c>
      <c r="D285" s="2" t="s">
        <v>785</v>
      </c>
      <c r="E285" s="2"/>
      <c r="F285" s="18">
        <v>0</v>
      </c>
      <c r="G285" s="2"/>
      <c r="H285" s="8">
        <v>50.760000000000005</v>
      </c>
      <c r="I285" s="14"/>
      <c r="J285" s="8">
        <f t="shared" si="24"/>
        <v>0</v>
      </c>
      <c r="M285" s="30" t="str">
        <f t="shared" si="25"/>
        <v>-</v>
      </c>
      <c r="N285" s="30" t="str">
        <f t="shared" si="26"/>
        <v>-</v>
      </c>
      <c r="O285" s="31" t="str">
        <f t="shared" si="27"/>
        <v>-</v>
      </c>
      <c r="P285" s="32" t="str">
        <f t="shared" si="28"/>
        <v>-</v>
      </c>
      <c r="R285" s="32" t="str">
        <f t="shared" si="29"/>
        <v>-</v>
      </c>
    </row>
    <row r="286" spans="1:18" x14ac:dyDescent="0.3">
      <c r="A286" s="2" t="s">
        <v>786</v>
      </c>
      <c r="B286" s="3" t="s">
        <v>1080</v>
      </c>
      <c r="C286" s="2" t="s">
        <v>787</v>
      </c>
      <c r="D286" s="2" t="s">
        <v>788</v>
      </c>
      <c r="E286" s="2"/>
      <c r="F286" s="18">
        <v>0</v>
      </c>
      <c r="G286" s="2"/>
      <c r="H286" s="8">
        <v>20.52</v>
      </c>
      <c r="I286" s="14"/>
      <c r="J286" s="8">
        <f t="shared" si="24"/>
        <v>0</v>
      </c>
      <c r="M286" s="30" t="str">
        <f t="shared" si="25"/>
        <v>-</v>
      </c>
      <c r="N286" s="30" t="str">
        <f t="shared" si="26"/>
        <v>-</v>
      </c>
      <c r="O286" s="31" t="str">
        <f t="shared" si="27"/>
        <v>-</v>
      </c>
      <c r="P286" s="32" t="str">
        <f t="shared" si="28"/>
        <v>-</v>
      </c>
      <c r="R286" s="32" t="str">
        <f t="shared" si="29"/>
        <v>-</v>
      </c>
    </row>
    <row r="287" spans="1:18" x14ac:dyDescent="0.3">
      <c r="A287" s="2" t="s">
        <v>789</v>
      </c>
      <c r="B287" s="3" t="s">
        <v>1050</v>
      </c>
      <c r="C287" s="2" t="s">
        <v>790</v>
      </c>
      <c r="D287" s="2" t="s">
        <v>791</v>
      </c>
      <c r="E287" s="2"/>
      <c r="F287" s="18">
        <v>0</v>
      </c>
      <c r="G287" s="2"/>
      <c r="H287" s="8">
        <v>21.240000000000002</v>
      </c>
      <c r="I287" s="14"/>
      <c r="J287" s="8">
        <f t="shared" si="24"/>
        <v>0</v>
      </c>
      <c r="M287" s="30" t="str">
        <f t="shared" si="25"/>
        <v>-</v>
      </c>
      <c r="N287" s="30" t="str">
        <f t="shared" si="26"/>
        <v>-</v>
      </c>
      <c r="O287" s="31" t="str">
        <f t="shared" si="27"/>
        <v>-</v>
      </c>
      <c r="P287" s="32" t="str">
        <f t="shared" si="28"/>
        <v>-</v>
      </c>
      <c r="R287" s="32" t="str">
        <f t="shared" si="29"/>
        <v>-</v>
      </c>
    </row>
    <row r="288" spans="1:18" x14ac:dyDescent="0.3">
      <c r="A288" s="2" t="s">
        <v>792</v>
      </c>
      <c r="B288" s="3" t="s">
        <v>1086</v>
      </c>
      <c r="C288" s="2" t="s">
        <v>793</v>
      </c>
      <c r="D288" s="2" t="s">
        <v>794</v>
      </c>
      <c r="E288" s="2"/>
      <c r="F288" s="18">
        <v>0</v>
      </c>
      <c r="G288" s="2"/>
      <c r="H288" s="8">
        <v>25.92</v>
      </c>
      <c r="I288" s="14"/>
      <c r="J288" s="8">
        <f t="shared" si="24"/>
        <v>0</v>
      </c>
      <c r="M288" s="30" t="str">
        <f t="shared" si="25"/>
        <v>-</v>
      </c>
      <c r="N288" s="30" t="str">
        <f t="shared" si="26"/>
        <v>-</v>
      </c>
      <c r="O288" s="31" t="str">
        <f t="shared" si="27"/>
        <v>-</v>
      </c>
      <c r="P288" s="32" t="str">
        <f t="shared" si="28"/>
        <v>-</v>
      </c>
      <c r="R288" s="32" t="str">
        <f t="shared" si="29"/>
        <v>-</v>
      </c>
    </row>
    <row r="289" spans="1:18" x14ac:dyDescent="0.3">
      <c r="A289" s="2" t="s">
        <v>795</v>
      </c>
      <c r="B289" s="3" t="s">
        <v>1053</v>
      </c>
      <c r="C289" s="2" t="s">
        <v>796</v>
      </c>
      <c r="D289" s="2" t="s">
        <v>797</v>
      </c>
      <c r="E289" s="2"/>
      <c r="F289" s="18">
        <v>0</v>
      </c>
      <c r="G289" s="2"/>
      <c r="H289" s="8">
        <v>33.480000000000004</v>
      </c>
      <c r="I289" s="14"/>
      <c r="J289" s="8">
        <f t="shared" si="24"/>
        <v>0</v>
      </c>
      <c r="M289" s="30" t="str">
        <f t="shared" si="25"/>
        <v>-</v>
      </c>
      <c r="N289" s="30" t="str">
        <f t="shared" si="26"/>
        <v>-</v>
      </c>
      <c r="O289" s="31" t="str">
        <f t="shared" si="27"/>
        <v>-</v>
      </c>
      <c r="P289" s="32" t="str">
        <f t="shared" si="28"/>
        <v>-</v>
      </c>
      <c r="R289" s="32" t="str">
        <f t="shared" si="29"/>
        <v>-</v>
      </c>
    </row>
    <row r="290" spans="1:18" x14ac:dyDescent="0.3">
      <c r="A290" s="2" t="s">
        <v>798</v>
      </c>
      <c r="B290" s="3" t="s">
        <v>1053</v>
      </c>
      <c r="C290" s="2" t="s">
        <v>799</v>
      </c>
      <c r="D290" s="2" t="s">
        <v>800</v>
      </c>
      <c r="E290" s="2"/>
      <c r="F290" s="18">
        <v>0</v>
      </c>
      <c r="G290" s="2"/>
      <c r="H290" s="8">
        <v>75.960000000000008</v>
      </c>
      <c r="I290" s="14"/>
      <c r="J290" s="8">
        <f t="shared" si="24"/>
        <v>0</v>
      </c>
      <c r="M290" s="30" t="str">
        <f t="shared" si="25"/>
        <v>-</v>
      </c>
      <c r="N290" s="30" t="str">
        <f t="shared" si="26"/>
        <v>-</v>
      </c>
      <c r="O290" s="31" t="str">
        <f t="shared" si="27"/>
        <v>-</v>
      </c>
      <c r="P290" s="32" t="str">
        <f t="shared" si="28"/>
        <v>-</v>
      </c>
      <c r="R290" s="32" t="str">
        <f t="shared" si="29"/>
        <v>-</v>
      </c>
    </row>
    <row r="291" spans="1:18" x14ac:dyDescent="0.3">
      <c r="A291" s="2" t="s">
        <v>801</v>
      </c>
      <c r="B291" s="3" t="s">
        <v>1053</v>
      </c>
      <c r="C291" s="2" t="s">
        <v>802</v>
      </c>
      <c r="D291" s="2" t="s">
        <v>803</v>
      </c>
      <c r="E291" s="2"/>
      <c r="F291" s="18">
        <v>0</v>
      </c>
      <c r="G291" s="2"/>
      <c r="H291" s="8">
        <v>23.040000000000003</v>
      </c>
      <c r="I291" s="14"/>
      <c r="J291" s="8">
        <f t="shared" si="24"/>
        <v>0</v>
      </c>
      <c r="M291" s="30" t="str">
        <f t="shared" si="25"/>
        <v>-</v>
      </c>
      <c r="N291" s="30" t="str">
        <f t="shared" si="26"/>
        <v>-</v>
      </c>
      <c r="O291" s="31" t="str">
        <f t="shared" si="27"/>
        <v>-</v>
      </c>
      <c r="P291" s="32" t="str">
        <f t="shared" si="28"/>
        <v>-</v>
      </c>
      <c r="R291" s="32" t="str">
        <f t="shared" si="29"/>
        <v>-</v>
      </c>
    </row>
    <row r="292" spans="1:18" x14ac:dyDescent="0.3">
      <c r="A292" s="2" t="s">
        <v>804</v>
      </c>
      <c r="B292" s="3" t="s">
        <v>1050</v>
      </c>
      <c r="C292" s="2" t="s">
        <v>802</v>
      </c>
      <c r="D292" s="2" t="s">
        <v>805</v>
      </c>
      <c r="E292" s="2"/>
      <c r="F292" s="18">
        <v>0.25</v>
      </c>
      <c r="G292" s="2"/>
      <c r="H292" s="8">
        <v>39.960000000000008</v>
      </c>
      <c r="I292" s="14"/>
      <c r="J292" s="8">
        <f t="shared" si="24"/>
        <v>0</v>
      </c>
      <c r="M292" s="30" t="str">
        <f t="shared" si="25"/>
        <v>-</v>
      </c>
      <c r="N292" s="30" t="str">
        <f t="shared" si="26"/>
        <v>-</v>
      </c>
      <c r="O292" s="31" t="str">
        <f t="shared" si="27"/>
        <v>-</v>
      </c>
      <c r="P292" s="32" t="str">
        <f t="shared" si="28"/>
        <v>-</v>
      </c>
      <c r="R292" s="32" t="str">
        <f t="shared" si="29"/>
        <v>-</v>
      </c>
    </row>
    <row r="293" spans="1:18" x14ac:dyDescent="0.3">
      <c r="A293" s="2" t="s">
        <v>806</v>
      </c>
      <c r="B293" s="3" t="s">
        <v>1052</v>
      </c>
      <c r="C293" s="2" t="s">
        <v>802</v>
      </c>
      <c r="D293" s="2" t="s">
        <v>807</v>
      </c>
      <c r="E293" s="2"/>
      <c r="F293" s="18">
        <v>0.2</v>
      </c>
      <c r="G293" s="2"/>
      <c r="H293" s="8">
        <v>73.08</v>
      </c>
      <c r="I293" s="14"/>
      <c r="J293" s="8">
        <f t="shared" si="24"/>
        <v>0</v>
      </c>
      <c r="M293" s="30" t="str">
        <f t="shared" si="25"/>
        <v>-</v>
      </c>
      <c r="N293" s="30" t="str">
        <f t="shared" si="26"/>
        <v>-</v>
      </c>
      <c r="O293" s="31" t="str">
        <f t="shared" si="27"/>
        <v>-</v>
      </c>
      <c r="P293" s="32" t="str">
        <f t="shared" si="28"/>
        <v>-</v>
      </c>
      <c r="R293" s="32" t="str">
        <f t="shared" si="29"/>
        <v>-</v>
      </c>
    </row>
    <row r="294" spans="1:18" x14ac:dyDescent="0.3">
      <c r="A294" s="2" t="s">
        <v>808</v>
      </c>
      <c r="B294" s="3" t="s">
        <v>1053</v>
      </c>
      <c r="C294" s="2" t="s">
        <v>809</v>
      </c>
      <c r="D294" s="2" t="s">
        <v>810</v>
      </c>
      <c r="E294" s="2"/>
      <c r="F294" s="18">
        <v>0</v>
      </c>
      <c r="G294" s="2"/>
      <c r="H294" s="8">
        <v>28.080000000000002</v>
      </c>
      <c r="I294" s="14"/>
      <c r="J294" s="8">
        <f t="shared" si="24"/>
        <v>0</v>
      </c>
      <c r="M294" s="30" t="str">
        <f t="shared" si="25"/>
        <v>-</v>
      </c>
      <c r="N294" s="30" t="str">
        <f t="shared" si="26"/>
        <v>-</v>
      </c>
      <c r="O294" s="31" t="str">
        <f t="shared" si="27"/>
        <v>-</v>
      </c>
      <c r="P294" s="32" t="str">
        <f t="shared" si="28"/>
        <v>-</v>
      </c>
      <c r="R294" s="32" t="str">
        <f t="shared" si="29"/>
        <v>-</v>
      </c>
    </row>
    <row r="295" spans="1:18" x14ac:dyDescent="0.3">
      <c r="A295" s="2" t="s">
        <v>811</v>
      </c>
      <c r="B295" s="3" t="s">
        <v>1062</v>
      </c>
      <c r="C295" s="2" t="s">
        <v>812</v>
      </c>
      <c r="D295" s="2" t="s">
        <v>813</v>
      </c>
      <c r="E295" s="2"/>
      <c r="F295" s="18">
        <v>0</v>
      </c>
      <c r="G295" s="2"/>
      <c r="H295" s="8">
        <v>34.560000000000009</v>
      </c>
      <c r="I295" s="14"/>
      <c r="J295" s="8">
        <f t="shared" si="24"/>
        <v>0</v>
      </c>
      <c r="M295" s="30" t="str">
        <f t="shared" si="25"/>
        <v>-</v>
      </c>
      <c r="N295" s="30" t="str">
        <f t="shared" si="26"/>
        <v>-</v>
      </c>
      <c r="O295" s="31" t="str">
        <f t="shared" si="27"/>
        <v>-</v>
      </c>
      <c r="P295" s="32" t="str">
        <f t="shared" si="28"/>
        <v>-</v>
      </c>
      <c r="R295" s="32" t="str">
        <f t="shared" si="29"/>
        <v>-</v>
      </c>
    </row>
    <row r="296" spans="1:18" x14ac:dyDescent="0.3">
      <c r="A296" s="2" t="s">
        <v>814</v>
      </c>
      <c r="B296" s="3" t="s">
        <v>1053</v>
      </c>
      <c r="C296" s="2" t="s">
        <v>815</v>
      </c>
      <c r="D296" s="2" t="s">
        <v>816</v>
      </c>
      <c r="E296" s="2"/>
      <c r="F296" s="18">
        <v>0</v>
      </c>
      <c r="G296" s="2"/>
      <c r="H296" s="8">
        <v>29.520000000000003</v>
      </c>
      <c r="I296" s="14"/>
      <c r="J296" s="8">
        <f t="shared" si="24"/>
        <v>0</v>
      </c>
      <c r="M296" s="30" t="str">
        <f t="shared" si="25"/>
        <v>-</v>
      </c>
      <c r="N296" s="30" t="str">
        <f t="shared" si="26"/>
        <v>-</v>
      </c>
      <c r="O296" s="31" t="str">
        <f t="shared" si="27"/>
        <v>-</v>
      </c>
      <c r="P296" s="32" t="str">
        <f t="shared" si="28"/>
        <v>-</v>
      </c>
      <c r="R296" s="32" t="str">
        <f t="shared" si="29"/>
        <v>-</v>
      </c>
    </row>
    <row r="297" spans="1:18" x14ac:dyDescent="0.3">
      <c r="A297" s="2" t="s">
        <v>817</v>
      </c>
      <c r="B297" s="3" t="s">
        <v>1050</v>
      </c>
      <c r="C297" s="2" t="s">
        <v>818</v>
      </c>
      <c r="D297" s="2" t="s">
        <v>819</v>
      </c>
      <c r="E297" s="2"/>
      <c r="F297" s="18">
        <v>0.24</v>
      </c>
      <c r="G297" s="2"/>
      <c r="H297" s="8">
        <v>31.680000000000003</v>
      </c>
      <c r="I297" s="14"/>
      <c r="J297" s="8">
        <f t="shared" si="24"/>
        <v>0</v>
      </c>
      <c r="M297" s="30" t="str">
        <f t="shared" si="25"/>
        <v>-</v>
      </c>
      <c r="N297" s="30" t="str">
        <f t="shared" si="26"/>
        <v>-</v>
      </c>
      <c r="O297" s="31" t="str">
        <f t="shared" si="27"/>
        <v>-</v>
      </c>
      <c r="P297" s="32" t="str">
        <f t="shared" si="28"/>
        <v>-</v>
      </c>
      <c r="R297" s="32" t="str">
        <f t="shared" si="29"/>
        <v>-</v>
      </c>
    </row>
    <row r="298" spans="1:18" x14ac:dyDescent="0.3">
      <c r="A298" s="2" t="s">
        <v>820</v>
      </c>
      <c r="B298" s="3" t="s">
        <v>1138</v>
      </c>
      <c r="C298" s="2" t="s">
        <v>821</v>
      </c>
      <c r="D298" s="2" t="s">
        <v>822</v>
      </c>
      <c r="E298" s="2"/>
      <c r="F298" s="18">
        <v>0</v>
      </c>
      <c r="G298" s="2"/>
      <c r="H298" s="8">
        <v>30.6</v>
      </c>
      <c r="I298" s="14"/>
      <c r="J298" s="8">
        <f t="shared" si="24"/>
        <v>0</v>
      </c>
      <c r="M298" s="30" t="str">
        <f t="shared" si="25"/>
        <v>-</v>
      </c>
      <c r="N298" s="30" t="str">
        <f t="shared" si="26"/>
        <v>-</v>
      </c>
      <c r="O298" s="31" t="str">
        <f t="shared" si="27"/>
        <v>-</v>
      </c>
      <c r="P298" s="32" t="str">
        <f t="shared" si="28"/>
        <v>-</v>
      </c>
      <c r="R298" s="32" t="str">
        <f t="shared" si="29"/>
        <v>-</v>
      </c>
    </row>
    <row r="299" spans="1:18" x14ac:dyDescent="0.3">
      <c r="A299" s="2" t="s">
        <v>823</v>
      </c>
      <c r="B299" s="3" t="s">
        <v>1138</v>
      </c>
      <c r="C299" s="2" t="s">
        <v>824</v>
      </c>
      <c r="D299" s="2" t="s">
        <v>825</v>
      </c>
      <c r="E299" s="2"/>
      <c r="F299" s="18">
        <v>0</v>
      </c>
      <c r="G299" s="2"/>
      <c r="H299" s="8">
        <v>33.480000000000004</v>
      </c>
      <c r="I299" s="14"/>
      <c r="J299" s="8">
        <f t="shared" si="24"/>
        <v>0</v>
      </c>
      <c r="M299" s="30" t="str">
        <f t="shared" si="25"/>
        <v>-</v>
      </c>
      <c r="N299" s="30" t="str">
        <f t="shared" si="26"/>
        <v>-</v>
      </c>
      <c r="O299" s="31" t="str">
        <f t="shared" si="27"/>
        <v>-</v>
      </c>
      <c r="P299" s="32" t="str">
        <f t="shared" si="28"/>
        <v>-</v>
      </c>
      <c r="R299" s="32" t="str">
        <f t="shared" si="29"/>
        <v>-</v>
      </c>
    </row>
    <row r="300" spans="1:18" x14ac:dyDescent="0.3">
      <c r="A300" s="2" t="s">
        <v>826</v>
      </c>
      <c r="B300" s="3" t="s">
        <v>1053</v>
      </c>
      <c r="C300" s="2" t="s">
        <v>827</v>
      </c>
      <c r="D300" s="2" t="s">
        <v>828</v>
      </c>
      <c r="E300" s="2"/>
      <c r="F300" s="18">
        <v>0</v>
      </c>
      <c r="G300" s="2"/>
      <c r="H300" s="8">
        <v>29.520000000000003</v>
      </c>
      <c r="I300" s="14"/>
      <c r="J300" s="8">
        <f t="shared" si="24"/>
        <v>0</v>
      </c>
      <c r="M300" s="30" t="str">
        <f t="shared" si="25"/>
        <v>-</v>
      </c>
      <c r="N300" s="30" t="str">
        <f t="shared" si="26"/>
        <v>-</v>
      </c>
      <c r="O300" s="31" t="str">
        <f t="shared" si="27"/>
        <v>-</v>
      </c>
      <c r="P300" s="32" t="str">
        <f t="shared" si="28"/>
        <v>-</v>
      </c>
      <c r="R300" s="32" t="str">
        <f t="shared" si="29"/>
        <v>-</v>
      </c>
    </row>
    <row r="301" spans="1:18" x14ac:dyDescent="0.3">
      <c r="A301" s="2" t="s">
        <v>829</v>
      </c>
      <c r="B301" s="3" t="s">
        <v>1092</v>
      </c>
      <c r="C301" s="2" t="s">
        <v>830</v>
      </c>
      <c r="D301" s="2" t="s">
        <v>831</v>
      </c>
      <c r="E301" s="2"/>
      <c r="F301" s="18">
        <v>0</v>
      </c>
      <c r="G301" s="2"/>
      <c r="H301" s="8">
        <v>44.28</v>
      </c>
      <c r="I301" s="14"/>
      <c r="J301" s="8">
        <f t="shared" si="24"/>
        <v>0</v>
      </c>
      <c r="M301" s="30" t="str">
        <f t="shared" si="25"/>
        <v>-</v>
      </c>
      <c r="N301" s="30" t="str">
        <f t="shared" si="26"/>
        <v>-</v>
      </c>
      <c r="O301" s="31" t="str">
        <f t="shared" si="27"/>
        <v>-</v>
      </c>
      <c r="P301" s="32" t="str">
        <f t="shared" si="28"/>
        <v>-</v>
      </c>
      <c r="R301" s="32" t="str">
        <f t="shared" si="29"/>
        <v>-</v>
      </c>
    </row>
    <row r="302" spans="1:18" x14ac:dyDescent="0.3">
      <c r="A302" s="3" t="s">
        <v>832</v>
      </c>
      <c r="B302" s="3" t="s">
        <v>1083</v>
      </c>
      <c r="C302" s="2" t="s">
        <v>833</v>
      </c>
      <c r="D302" s="2" t="s">
        <v>834</v>
      </c>
      <c r="E302" s="2"/>
      <c r="F302" s="18">
        <v>0</v>
      </c>
      <c r="G302" s="2"/>
      <c r="H302" s="8">
        <v>44.28</v>
      </c>
      <c r="I302" s="14"/>
      <c r="J302" s="8">
        <f t="shared" si="24"/>
        <v>0</v>
      </c>
      <c r="M302" s="30" t="str">
        <f t="shared" si="25"/>
        <v>-</v>
      </c>
      <c r="N302" s="30" t="str">
        <f t="shared" si="26"/>
        <v>-</v>
      </c>
      <c r="O302" s="31" t="str">
        <f t="shared" si="27"/>
        <v>-</v>
      </c>
      <c r="P302" s="32" t="str">
        <f t="shared" si="28"/>
        <v>-</v>
      </c>
      <c r="R302" s="32" t="str">
        <f t="shared" si="29"/>
        <v>-</v>
      </c>
    </row>
    <row r="303" spans="1:18" x14ac:dyDescent="0.3">
      <c r="A303" s="2" t="s">
        <v>835</v>
      </c>
      <c r="B303" s="3" t="s">
        <v>1053</v>
      </c>
      <c r="C303" s="2" t="s">
        <v>836</v>
      </c>
      <c r="D303" s="2" t="s">
        <v>837</v>
      </c>
      <c r="E303" s="2"/>
      <c r="F303" s="18">
        <v>0</v>
      </c>
      <c r="G303" s="2"/>
      <c r="H303" s="8">
        <v>18</v>
      </c>
      <c r="I303" s="14"/>
      <c r="J303" s="8">
        <f t="shared" si="24"/>
        <v>0</v>
      </c>
      <c r="M303" s="30" t="str">
        <f t="shared" si="25"/>
        <v>-</v>
      </c>
      <c r="N303" s="30" t="str">
        <f t="shared" si="26"/>
        <v>-</v>
      </c>
      <c r="O303" s="31" t="str">
        <f t="shared" si="27"/>
        <v>-</v>
      </c>
      <c r="P303" s="32" t="str">
        <f t="shared" si="28"/>
        <v>-</v>
      </c>
      <c r="R303" s="32" t="str">
        <f t="shared" si="29"/>
        <v>-</v>
      </c>
    </row>
    <row r="304" spans="1:18" x14ac:dyDescent="0.3">
      <c r="A304" s="2" t="s">
        <v>838</v>
      </c>
      <c r="B304" s="3" t="s">
        <v>1050</v>
      </c>
      <c r="C304" s="2" t="s">
        <v>839</v>
      </c>
      <c r="D304" s="2" t="s">
        <v>840</v>
      </c>
      <c r="E304" s="2"/>
      <c r="F304" s="18">
        <v>0</v>
      </c>
      <c r="G304" s="2"/>
      <c r="H304" s="8">
        <v>26.280000000000005</v>
      </c>
      <c r="I304" s="14"/>
      <c r="J304" s="8">
        <f t="shared" si="24"/>
        <v>0</v>
      </c>
      <c r="M304" s="30" t="str">
        <f t="shared" si="25"/>
        <v>-</v>
      </c>
      <c r="N304" s="30" t="str">
        <f t="shared" si="26"/>
        <v>-</v>
      </c>
      <c r="O304" s="31" t="str">
        <f t="shared" si="27"/>
        <v>-</v>
      </c>
      <c r="P304" s="32" t="str">
        <f t="shared" si="28"/>
        <v>-</v>
      </c>
      <c r="R304" s="32" t="str">
        <f t="shared" si="29"/>
        <v>-</v>
      </c>
    </row>
    <row r="305" spans="1:18" x14ac:dyDescent="0.3">
      <c r="A305" s="2" t="s">
        <v>841</v>
      </c>
      <c r="B305" s="3" t="s">
        <v>1054</v>
      </c>
      <c r="C305" s="2" t="s">
        <v>842</v>
      </c>
      <c r="D305" s="2" t="s">
        <v>843</v>
      </c>
      <c r="E305" s="2"/>
      <c r="F305" s="18">
        <v>0</v>
      </c>
      <c r="G305" s="2"/>
      <c r="H305" s="8">
        <v>40.320000000000007</v>
      </c>
      <c r="I305" s="14"/>
      <c r="J305" s="8">
        <f t="shared" si="24"/>
        <v>0</v>
      </c>
      <c r="M305" s="30" t="str">
        <f t="shared" si="25"/>
        <v>-</v>
      </c>
      <c r="N305" s="30" t="str">
        <f t="shared" si="26"/>
        <v>-</v>
      </c>
      <c r="O305" s="31" t="str">
        <f t="shared" si="27"/>
        <v>-</v>
      </c>
      <c r="P305" s="32" t="str">
        <f t="shared" si="28"/>
        <v>-</v>
      </c>
      <c r="R305" s="32" t="str">
        <f t="shared" si="29"/>
        <v>-</v>
      </c>
    </row>
    <row r="306" spans="1:18" x14ac:dyDescent="0.3">
      <c r="A306" s="2" t="s">
        <v>844</v>
      </c>
      <c r="B306" s="3" t="s">
        <v>1109</v>
      </c>
      <c r="C306" s="2" t="s">
        <v>845</v>
      </c>
      <c r="D306" s="2" t="s">
        <v>846</v>
      </c>
      <c r="E306" s="2"/>
      <c r="F306" s="18">
        <v>0</v>
      </c>
      <c r="G306" s="2"/>
      <c r="H306" s="8">
        <v>32.76</v>
      </c>
      <c r="I306" s="14"/>
      <c r="J306" s="8">
        <f t="shared" si="24"/>
        <v>0</v>
      </c>
      <c r="M306" s="30" t="str">
        <f t="shared" si="25"/>
        <v>-</v>
      </c>
      <c r="N306" s="30" t="str">
        <f t="shared" si="26"/>
        <v>-</v>
      </c>
      <c r="O306" s="31" t="str">
        <f t="shared" si="27"/>
        <v>-</v>
      </c>
      <c r="P306" s="32" t="str">
        <f t="shared" si="28"/>
        <v>-</v>
      </c>
      <c r="R306" s="32" t="str">
        <f t="shared" si="29"/>
        <v>-</v>
      </c>
    </row>
    <row r="307" spans="1:18" x14ac:dyDescent="0.3">
      <c r="A307" s="2" t="s">
        <v>847</v>
      </c>
      <c r="B307" s="3" t="s">
        <v>1053</v>
      </c>
      <c r="C307" s="2" t="s">
        <v>848</v>
      </c>
      <c r="D307" s="2" t="s">
        <v>849</v>
      </c>
      <c r="E307" s="2"/>
      <c r="F307" s="18">
        <v>0</v>
      </c>
      <c r="G307" s="2"/>
      <c r="H307" s="8">
        <v>43.560000000000009</v>
      </c>
      <c r="I307" s="14"/>
      <c r="J307" s="8">
        <f t="shared" si="24"/>
        <v>0</v>
      </c>
      <c r="M307" s="30" t="str">
        <f t="shared" si="25"/>
        <v>-</v>
      </c>
      <c r="N307" s="30" t="str">
        <f t="shared" si="26"/>
        <v>-</v>
      </c>
      <c r="O307" s="31" t="str">
        <f t="shared" si="27"/>
        <v>-</v>
      </c>
      <c r="P307" s="32" t="str">
        <f t="shared" si="28"/>
        <v>-</v>
      </c>
      <c r="R307" s="32" t="str">
        <f t="shared" si="29"/>
        <v>-</v>
      </c>
    </row>
    <row r="308" spans="1:18" x14ac:dyDescent="0.3">
      <c r="A308" s="2" t="s">
        <v>850</v>
      </c>
      <c r="B308" s="3" t="s">
        <v>1080</v>
      </c>
      <c r="C308" s="2" t="s">
        <v>851</v>
      </c>
      <c r="D308" s="2" t="s">
        <v>852</v>
      </c>
      <c r="E308" s="2"/>
      <c r="F308" s="18">
        <v>0</v>
      </c>
      <c r="G308" s="2"/>
      <c r="H308" s="8">
        <v>20.52</v>
      </c>
      <c r="I308" s="14"/>
      <c r="J308" s="8">
        <f t="shared" si="24"/>
        <v>0</v>
      </c>
      <c r="M308" s="30" t="str">
        <f t="shared" si="25"/>
        <v>-</v>
      </c>
      <c r="N308" s="30" t="str">
        <f t="shared" si="26"/>
        <v>-</v>
      </c>
      <c r="O308" s="31" t="str">
        <f t="shared" si="27"/>
        <v>-</v>
      </c>
      <c r="P308" s="32" t="str">
        <f t="shared" si="28"/>
        <v>-</v>
      </c>
      <c r="R308" s="32" t="str">
        <f t="shared" si="29"/>
        <v>-</v>
      </c>
    </row>
    <row r="309" spans="1:18" x14ac:dyDescent="0.3">
      <c r="A309" s="2" t="s">
        <v>853</v>
      </c>
      <c r="B309" s="3" t="s">
        <v>1138</v>
      </c>
      <c r="C309" s="2" t="s">
        <v>854</v>
      </c>
      <c r="D309" s="2" t="s">
        <v>855</v>
      </c>
      <c r="E309" s="2"/>
      <c r="F309" s="18">
        <v>0.12</v>
      </c>
      <c r="G309" s="2"/>
      <c r="H309" s="8">
        <v>23.76</v>
      </c>
      <c r="I309" s="14"/>
      <c r="J309" s="8">
        <f t="shared" si="24"/>
        <v>0</v>
      </c>
      <c r="M309" s="30" t="str">
        <f t="shared" si="25"/>
        <v>-</v>
      </c>
      <c r="N309" s="30" t="str">
        <f t="shared" si="26"/>
        <v>-</v>
      </c>
      <c r="O309" s="31" t="str">
        <f t="shared" si="27"/>
        <v>-</v>
      </c>
      <c r="P309" s="32" t="str">
        <f t="shared" si="28"/>
        <v>-</v>
      </c>
      <c r="R309" s="32" t="str">
        <f t="shared" si="29"/>
        <v>-</v>
      </c>
    </row>
    <row r="310" spans="1:18" x14ac:dyDescent="0.3">
      <c r="A310" s="2" t="s">
        <v>856</v>
      </c>
      <c r="B310" s="3" t="s">
        <v>1073</v>
      </c>
      <c r="C310" s="2" t="s">
        <v>857</v>
      </c>
      <c r="D310" s="2" t="s">
        <v>858</v>
      </c>
      <c r="E310" s="2"/>
      <c r="F310" s="18">
        <v>0</v>
      </c>
      <c r="G310" s="2"/>
      <c r="H310" s="8">
        <v>32.76</v>
      </c>
      <c r="I310" s="14"/>
      <c r="J310" s="8">
        <f t="shared" si="24"/>
        <v>0</v>
      </c>
      <c r="M310" s="30" t="str">
        <f t="shared" si="25"/>
        <v>-</v>
      </c>
      <c r="N310" s="30" t="str">
        <f t="shared" si="26"/>
        <v>-</v>
      </c>
      <c r="O310" s="31" t="str">
        <f t="shared" si="27"/>
        <v>-</v>
      </c>
      <c r="P310" s="32" t="str">
        <f t="shared" si="28"/>
        <v>-</v>
      </c>
      <c r="R310" s="32" t="str">
        <f t="shared" si="29"/>
        <v>-</v>
      </c>
    </row>
    <row r="311" spans="1:18" x14ac:dyDescent="0.3">
      <c r="A311" s="2" t="s">
        <v>859</v>
      </c>
      <c r="B311" s="3" t="s">
        <v>1062</v>
      </c>
      <c r="C311" s="2" t="s">
        <v>860</v>
      </c>
      <c r="D311" s="2" t="s">
        <v>861</v>
      </c>
      <c r="E311" s="2"/>
      <c r="F311" s="18">
        <v>0</v>
      </c>
      <c r="G311" s="2"/>
      <c r="H311" s="8">
        <v>15.48</v>
      </c>
      <c r="I311" s="14"/>
      <c r="J311" s="8">
        <f t="shared" si="24"/>
        <v>0</v>
      </c>
      <c r="M311" s="30" t="str">
        <f t="shared" si="25"/>
        <v>-</v>
      </c>
      <c r="N311" s="30" t="str">
        <f t="shared" si="26"/>
        <v>-</v>
      </c>
      <c r="O311" s="31" t="str">
        <f t="shared" si="27"/>
        <v>-</v>
      </c>
      <c r="P311" s="32" t="str">
        <f t="shared" si="28"/>
        <v>-</v>
      </c>
      <c r="R311" s="32" t="str">
        <f t="shared" si="29"/>
        <v>-</v>
      </c>
    </row>
    <row r="312" spans="1:18" x14ac:dyDescent="0.3">
      <c r="A312" s="2" t="s">
        <v>862</v>
      </c>
      <c r="B312" s="3" t="s">
        <v>1053</v>
      </c>
      <c r="C312" s="2" t="s">
        <v>860</v>
      </c>
      <c r="D312" s="2" t="s">
        <v>863</v>
      </c>
      <c r="E312" s="2"/>
      <c r="F312" s="18">
        <v>0.12</v>
      </c>
      <c r="G312" s="2"/>
      <c r="H312" s="8">
        <v>25.2</v>
      </c>
      <c r="I312" s="14"/>
      <c r="J312" s="8">
        <f t="shared" si="24"/>
        <v>0</v>
      </c>
      <c r="M312" s="30" t="str">
        <f t="shared" si="25"/>
        <v>-</v>
      </c>
      <c r="N312" s="30" t="str">
        <f t="shared" si="26"/>
        <v>-</v>
      </c>
      <c r="O312" s="31" t="str">
        <f t="shared" si="27"/>
        <v>-</v>
      </c>
      <c r="P312" s="32" t="str">
        <f t="shared" si="28"/>
        <v>-</v>
      </c>
      <c r="R312" s="32" t="str">
        <f t="shared" si="29"/>
        <v>-</v>
      </c>
    </row>
    <row r="313" spans="1:18" x14ac:dyDescent="0.3">
      <c r="A313" s="2" t="s">
        <v>864</v>
      </c>
      <c r="B313" s="3" t="s">
        <v>1051</v>
      </c>
      <c r="C313" s="2" t="s">
        <v>860</v>
      </c>
      <c r="D313" s="2" t="s">
        <v>865</v>
      </c>
      <c r="E313" s="2"/>
      <c r="F313" s="18">
        <v>0.24</v>
      </c>
      <c r="G313" s="2"/>
      <c r="H313" s="8">
        <v>64.8</v>
      </c>
      <c r="I313" s="14"/>
      <c r="J313" s="8">
        <f t="shared" si="24"/>
        <v>0</v>
      </c>
      <c r="M313" s="30" t="str">
        <f t="shared" si="25"/>
        <v>-</v>
      </c>
      <c r="N313" s="30" t="str">
        <f t="shared" si="26"/>
        <v>-</v>
      </c>
      <c r="O313" s="31" t="str">
        <f t="shared" si="27"/>
        <v>-</v>
      </c>
      <c r="P313" s="32" t="str">
        <f t="shared" si="28"/>
        <v>-</v>
      </c>
      <c r="R313" s="32" t="str">
        <f t="shared" si="29"/>
        <v>-</v>
      </c>
    </row>
    <row r="314" spans="1:18" x14ac:dyDescent="0.3">
      <c r="A314" s="2" t="s">
        <v>866</v>
      </c>
      <c r="B314" s="3" t="s">
        <v>1050</v>
      </c>
      <c r="C314" s="2" t="s">
        <v>867</v>
      </c>
      <c r="D314" s="2" t="s">
        <v>868</v>
      </c>
      <c r="E314" s="2"/>
      <c r="F314" s="18">
        <v>0</v>
      </c>
      <c r="G314" s="2"/>
      <c r="H314" s="8">
        <v>41.760000000000005</v>
      </c>
      <c r="I314" s="14"/>
      <c r="J314" s="8">
        <f t="shared" si="24"/>
        <v>0</v>
      </c>
      <c r="M314" s="30" t="str">
        <f t="shared" si="25"/>
        <v>-</v>
      </c>
      <c r="N314" s="30" t="str">
        <f t="shared" si="26"/>
        <v>-</v>
      </c>
      <c r="O314" s="31" t="str">
        <f t="shared" si="27"/>
        <v>-</v>
      </c>
      <c r="P314" s="32" t="str">
        <f t="shared" si="28"/>
        <v>-</v>
      </c>
      <c r="R314" s="32" t="str">
        <f t="shared" si="29"/>
        <v>-</v>
      </c>
    </row>
    <row r="315" spans="1:18" x14ac:dyDescent="0.3">
      <c r="A315" s="2" t="s">
        <v>869</v>
      </c>
      <c r="B315" s="3" t="s">
        <v>1050</v>
      </c>
      <c r="C315" s="2" t="s">
        <v>870</v>
      </c>
      <c r="D315" s="2" t="s">
        <v>871</v>
      </c>
      <c r="E315" s="2"/>
      <c r="F315" s="18">
        <v>0</v>
      </c>
      <c r="G315" s="2"/>
      <c r="H315" s="8">
        <v>19.080000000000002</v>
      </c>
      <c r="I315" s="14"/>
      <c r="J315" s="8">
        <f t="shared" si="24"/>
        <v>0</v>
      </c>
      <c r="M315" s="30" t="str">
        <f t="shared" si="25"/>
        <v>-</v>
      </c>
      <c r="N315" s="30" t="str">
        <f t="shared" si="26"/>
        <v>-</v>
      </c>
      <c r="O315" s="31" t="str">
        <f t="shared" si="27"/>
        <v>-</v>
      </c>
      <c r="P315" s="32" t="str">
        <f t="shared" si="28"/>
        <v>-</v>
      </c>
      <c r="R315" s="32" t="str">
        <f t="shared" si="29"/>
        <v>-</v>
      </c>
    </row>
    <row r="316" spans="1:18" x14ac:dyDescent="0.3">
      <c r="A316" s="2" t="s">
        <v>872</v>
      </c>
      <c r="B316" s="3" t="s">
        <v>1053</v>
      </c>
      <c r="C316" s="2" t="s">
        <v>873</v>
      </c>
      <c r="D316" s="2" t="s">
        <v>874</v>
      </c>
      <c r="E316" s="2"/>
      <c r="F316" s="18">
        <v>0</v>
      </c>
      <c r="G316" s="2"/>
      <c r="H316" s="8">
        <v>51.120000000000005</v>
      </c>
      <c r="I316" s="14"/>
      <c r="J316" s="8">
        <f t="shared" si="24"/>
        <v>0</v>
      </c>
      <c r="M316" s="30" t="str">
        <f t="shared" si="25"/>
        <v>-</v>
      </c>
      <c r="N316" s="30" t="str">
        <f t="shared" si="26"/>
        <v>-</v>
      </c>
      <c r="O316" s="31" t="str">
        <f t="shared" si="27"/>
        <v>-</v>
      </c>
      <c r="P316" s="32" t="str">
        <f t="shared" si="28"/>
        <v>-</v>
      </c>
      <c r="R316" s="32" t="str">
        <f t="shared" si="29"/>
        <v>-</v>
      </c>
    </row>
    <row r="317" spans="1:18" x14ac:dyDescent="0.3">
      <c r="A317" s="2" t="s">
        <v>875</v>
      </c>
      <c r="B317" s="3" t="s">
        <v>1068</v>
      </c>
      <c r="C317" s="2" t="s">
        <v>876</v>
      </c>
      <c r="D317" s="2" t="s">
        <v>877</v>
      </c>
      <c r="E317" s="2"/>
      <c r="F317" s="18">
        <v>0.49</v>
      </c>
      <c r="G317" s="2"/>
      <c r="H317" s="8">
        <v>45.345600000000005</v>
      </c>
      <c r="I317" s="14"/>
      <c r="J317" s="8">
        <f t="shared" si="24"/>
        <v>0</v>
      </c>
      <c r="M317" s="30" t="str">
        <f t="shared" si="25"/>
        <v>-</v>
      </c>
      <c r="N317" s="30" t="str">
        <f t="shared" si="26"/>
        <v>-</v>
      </c>
      <c r="O317" s="31" t="str">
        <f t="shared" si="27"/>
        <v>-</v>
      </c>
      <c r="P317" s="32" t="str">
        <f t="shared" si="28"/>
        <v>-</v>
      </c>
      <c r="R317" s="32" t="str">
        <f t="shared" si="29"/>
        <v>-</v>
      </c>
    </row>
    <row r="318" spans="1:18" x14ac:dyDescent="0.3">
      <c r="A318" s="2" t="s">
        <v>878</v>
      </c>
      <c r="B318" s="3" t="s">
        <v>1140</v>
      </c>
      <c r="C318" s="2" t="s">
        <v>879</v>
      </c>
      <c r="D318" s="4">
        <v>879452008120</v>
      </c>
      <c r="E318" s="4"/>
      <c r="F318" s="18">
        <v>0</v>
      </c>
      <c r="G318" s="4"/>
      <c r="H318" s="8">
        <v>16.560000000000002</v>
      </c>
      <c r="I318" s="14"/>
      <c r="J318" s="8">
        <f t="shared" si="24"/>
        <v>0</v>
      </c>
      <c r="M318" s="30" t="str">
        <f t="shared" si="25"/>
        <v>-</v>
      </c>
      <c r="N318" s="30" t="str">
        <f t="shared" si="26"/>
        <v>-</v>
      </c>
      <c r="O318" s="31" t="str">
        <f t="shared" si="27"/>
        <v>-</v>
      </c>
      <c r="P318" s="32" t="str">
        <f t="shared" si="28"/>
        <v>-</v>
      </c>
      <c r="R318" s="32" t="str">
        <f t="shared" si="29"/>
        <v>-</v>
      </c>
    </row>
    <row r="319" spans="1:18" x14ac:dyDescent="0.3">
      <c r="A319" s="2" t="s">
        <v>880</v>
      </c>
      <c r="B319" s="3" t="s">
        <v>1083</v>
      </c>
      <c r="C319" s="2" t="s">
        <v>881</v>
      </c>
      <c r="D319" s="2" t="s">
        <v>882</v>
      </c>
      <c r="E319" s="2"/>
      <c r="F319" s="18">
        <v>0.24</v>
      </c>
      <c r="G319" s="2"/>
      <c r="H319" s="8">
        <v>33.480000000000004</v>
      </c>
      <c r="I319" s="14"/>
      <c r="J319" s="8">
        <f t="shared" si="24"/>
        <v>0</v>
      </c>
      <c r="M319" s="30" t="str">
        <f t="shared" si="25"/>
        <v>-</v>
      </c>
      <c r="N319" s="30" t="str">
        <f t="shared" si="26"/>
        <v>-</v>
      </c>
      <c r="O319" s="31" t="str">
        <f t="shared" si="27"/>
        <v>-</v>
      </c>
      <c r="P319" s="32" t="str">
        <f t="shared" si="28"/>
        <v>-</v>
      </c>
      <c r="R319" s="32" t="str">
        <f t="shared" si="29"/>
        <v>-</v>
      </c>
    </row>
    <row r="320" spans="1:18" x14ac:dyDescent="0.3">
      <c r="A320" s="2" t="s">
        <v>883</v>
      </c>
      <c r="B320" s="3" t="s">
        <v>1139</v>
      </c>
      <c r="C320" s="3" t="s">
        <v>1141</v>
      </c>
      <c r="D320" s="2" t="s">
        <v>884</v>
      </c>
      <c r="E320" s="2"/>
      <c r="F320" s="18">
        <v>0</v>
      </c>
      <c r="G320" s="2"/>
      <c r="H320" s="8">
        <v>80.640000000000015</v>
      </c>
      <c r="I320" s="14"/>
      <c r="J320" s="8">
        <f t="shared" si="24"/>
        <v>0</v>
      </c>
      <c r="M320" s="30" t="str">
        <f t="shared" si="25"/>
        <v>-</v>
      </c>
      <c r="N320" s="30" t="str">
        <f t="shared" si="26"/>
        <v>-</v>
      </c>
      <c r="O320" s="31" t="str">
        <f t="shared" si="27"/>
        <v>-</v>
      </c>
      <c r="P320" s="32" t="str">
        <f t="shared" si="28"/>
        <v>-</v>
      </c>
      <c r="R320" s="32" t="str">
        <f t="shared" si="29"/>
        <v>-</v>
      </c>
    </row>
    <row r="321" spans="1:18" x14ac:dyDescent="0.3">
      <c r="A321" s="2" t="s">
        <v>885</v>
      </c>
      <c r="B321" s="3" t="s">
        <v>1139</v>
      </c>
      <c r="C321" s="3" t="s">
        <v>1142</v>
      </c>
      <c r="D321" s="2" t="s">
        <v>886</v>
      </c>
      <c r="E321" s="2"/>
      <c r="F321" s="18">
        <v>0</v>
      </c>
      <c r="G321" s="2"/>
      <c r="H321" s="8">
        <v>80.640000000000015</v>
      </c>
      <c r="I321" s="14"/>
      <c r="J321" s="8">
        <f t="shared" si="24"/>
        <v>0</v>
      </c>
      <c r="M321" s="30" t="str">
        <f t="shared" si="25"/>
        <v>-</v>
      </c>
      <c r="N321" s="30" t="str">
        <f t="shared" si="26"/>
        <v>-</v>
      </c>
      <c r="O321" s="31" t="str">
        <f t="shared" si="27"/>
        <v>-</v>
      </c>
      <c r="P321" s="32" t="str">
        <f t="shared" si="28"/>
        <v>-</v>
      </c>
      <c r="R321" s="32" t="str">
        <f t="shared" si="29"/>
        <v>-</v>
      </c>
    </row>
    <row r="322" spans="1:18" x14ac:dyDescent="0.3">
      <c r="A322" s="2" t="s">
        <v>887</v>
      </c>
      <c r="B322" s="3" t="s">
        <v>1139</v>
      </c>
      <c r="C322" s="3" t="s">
        <v>1143</v>
      </c>
      <c r="D322" s="2" t="s">
        <v>888</v>
      </c>
      <c r="E322" s="2"/>
      <c r="F322" s="18">
        <v>0</v>
      </c>
      <c r="G322" s="2"/>
      <c r="H322" s="8">
        <v>80.640000000000015</v>
      </c>
      <c r="I322" s="14"/>
      <c r="J322" s="8">
        <f t="shared" si="24"/>
        <v>0</v>
      </c>
      <c r="M322" s="30" t="str">
        <f t="shared" si="25"/>
        <v>-</v>
      </c>
      <c r="N322" s="30" t="str">
        <f t="shared" si="26"/>
        <v>-</v>
      </c>
      <c r="O322" s="31" t="str">
        <f t="shared" si="27"/>
        <v>-</v>
      </c>
      <c r="P322" s="32" t="str">
        <f t="shared" si="28"/>
        <v>-</v>
      </c>
      <c r="R322" s="32" t="str">
        <f t="shared" si="29"/>
        <v>-</v>
      </c>
    </row>
    <row r="323" spans="1:18" x14ac:dyDescent="0.3">
      <c r="A323" s="2" t="s">
        <v>889</v>
      </c>
      <c r="B323" s="3" t="s">
        <v>1070</v>
      </c>
      <c r="C323" s="2" t="s">
        <v>890</v>
      </c>
      <c r="D323" s="2" t="s">
        <v>891</v>
      </c>
      <c r="E323" s="2"/>
      <c r="F323" s="18">
        <v>0</v>
      </c>
      <c r="G323" s="2"/>
      <c r="H323" s="8">
        <v>112.68</v>
      </c>
      <c r="I323" s="14"/>
      <c r="J323" s="8">
        <f t="shared" si="24"/>
        <v>0</v>
      </c>
      <c r="M323" s="30" t="str">
        <f t="shared" si="25"/>
        <v>-</v>
      </c>
      <c r="N323" s="30" t="str">
        <f t="shared" si="26"/>
        <v>-</v>
      </c>
      <c r="O323" s="31" t="str">
        <f t="shared" si="27"/>
        <v>-</v>
      </c>
      <c r="P323" s="32" t="str">
        <f t="shared" si="28"/>
        <v>-</v>
      </c>
      <c r="R323" s="32" t="str">
        <f t="shared" si="29"/>
        <v>-</v>
      </c>
    </row>
    <row r="324" spans="1:18" x14ac:dyDescent="0.3">
      <c r="A324" s="2" t="s">
        <v>892</v>
      </c>
      <c r="B324" s="3" t="s">
        <v>1053</v>
      </c>
      <c r="C324" s="2" t="s">
        <v>893</v>
      </c>
      <c r="D324" s="2" t="s">
        <v>894</v>
      </c>
      <c r="E324" s="2"/>
      <c r="F324" s="18">
        <v>0</v>
      </c>
      <c r="G324" s="2"/>
      <c r="H324" s="8">
        <v>103.32000000000001</v>
      </c>
      <c r="I324" s="14"/>
      <c r="J324" s="8">
        <f t="shared" ref="J324:J377" si="30">I324*H324</f>
        <v>0</v>
      </c>
      <c r="M324" s="30" t="str">
        <f t="shared" ref="M324:M377" si="31">IFERROR(IF($M$2*F324=0, "-", $M$2*F324), "-")</f>
        <v>-</v>
      </c>
      <c r="N324" s="30" t="str">
        <f t="shared" ref="N324:N377" si="32">IF(I324&gt;0,H324+F324*I324/$O$2*$P$2/I324,"-")</f>
        <v>-</v>
      </c>
      <c r="O324" s="31" t="str">
        <f t="shared" ref="O324:O377" si="33">IF(I324&gt;0,I324*F324*1.113, "-")</f>
        <v>-</v>
      </c>
      <c r="P324" s="32" t="str">
        <f t="shared" ref="P324:P377" si="34">IFERROR(IF($M$2&gt;0, $M$2*O324, "-"), "-")</f>
        <v>-</v>
      </c>
      <c r="R324" s="32" t="str">
        <f t="shared" ref="R324:R377" si="35">IFERROR(IF(P324+J324=0, "-", IF(P324&gt;0, P324+J324, "-")), "-")</f>
        <v>-</v>
      </c>
    </row>
    <row r="325" spans="1:18" x14ac:dyDescent="0.3">
      <c r="A325" s="2" t="s">
        <v>895</v>
      </c>
      <c r="B325" s="3" t="s">
        <v>1056</v>
      </c>
      <c r="C325" s="2" t="s">
        <v>896</v>
      </c>
      <c r="D325" s="2" t="s">
        <v>897</v>
      </c>
      <c r="E325" s="2"/>
      <c r="F325" s="18">
        <v>0</v>
      </c>
      <c r="G325" s="2"/>
      <c r="H325" s="8">
        <v>52.92</v>
      </c>
      <c r="I325" s="14"/>
      <c r="J325" s="8">
        <f t="shared" si="30"/>
        <v>0</v>
      </c>
      <c r="M325" s="30" t="str">
        <f t="shared" si="31"/>
        <v>-</v>
      </c>
      <c r="N325" s="30" t="str">
        <f t="shared" si="32"/>
        <v>-</v>
      </c>
      <c r="O325" s="31" t="str">
        <f t="shared" si="33"/>
        <v>-</v>
      </c>
      <c r="P325" s="32" t="str">
        <f t="shared" si="34"/>
        <v>-</v>
      </c>
      <c r="R325" s="32" t="str">
        <f t="shared" si="35"/>
        <v>-</v>
      </c>
    </row>
    <row r="326" spans="1:18" x14ac:dyDescent="0.3">
      <c r="A326" s="2" t="s">
        <v>898</v>
      </c>
      <c r="B326" s="3" t="s">
        <v>1054</v>
      </c>
      <c r="C326" s="2" t="s">
        <v>899</v>
      </c>
      <c r="D326" s="9" t="s">
        <v>900</v>
      </c>
      <c r="E326" s="9"/>
      <c r="F326" s="18">
        <v>0</v>
      </c>
      <c r="G326" s="9"/>
      <c r="H326" s="8">
        <v>14.760000000000002</v>
      </c>
      <c r="I326" s="14"/>
      <c r="J326" s="8">
        <f t="shared" si="30"/>
        <v>0</v>
      </c>
      <c r="M326" s="30" t="str">
        <f t="shared" si="31"/>
        <v>-</v>
      </c>
      <c r="N326" s="30" t="str">
        <f t="shared" si="32"/>
        <v>-</v>
      </c>
      <c r="O326" s="31" t="str">
        <f t="shared" si="33"/>
        <v>-</v>
      </c>
      <c r="P326" s="32" t="str">
        <f t="shared" si="34"/>
        <v>-</v>
      </c>
      <c r="R326" s="32" t="str">
        <f t="shared" si="35"/>
        <v>-</v>
      </c>
    </row>
    <row r="327" spans="1:18" x14ac:dyDescent="0.3">
      <c r="A327" s="5" t="s">
        <v>901</v>
      </c>
      <c r="B327" s="5"/>
      <c r="C327" s="5" t="s">
        <v>902</v>
      </c>
      <c r="D327" s="6" t="s">
        <v>903</v>
      </c>
      <c r="E327" s="6"/>
      <c r="F327" s="18">
        <v>0</v>
      </c>
      <c r="G327" s="6"/>
      <c r="H327" s="8">
        <v>38.865600000000001</v>
      </c>
      <c r="I327" s="14"/>
      <c r="J327" s="8">
        <f t="shared" si="30"/>
        <v>0</v>
      </c>
      <c r="M327" s="30" t="str">
        <f t="shared" si="31"/>
        <v>-</v>
      </c>
      <c r="N327" s="30" t="str">
        <f t="shared" si="32"/>
        <v>-</v>
      </c>
      <c r="O327" s="31" t="str">
        <f t="shared" si="33"/>
        <v>-</v>
      </c>
      <c r="P327" s="32" t="str">
        <f t="shared" si="34"/>
        <v>-</v>
      </c>
      <c r="R327" s="32" t="str">
        <f t="shared" si="35"/>
        <v>-</v>
      </c>
    </row>
    <row r="328" spans="1:18" x14ac:dyDescent="0.3">
      <c r="A328" s="5" t="s">
        <v>904</v>
      </c>
      <c r="B328" s="5"/>
      <c r="C328" s="5" t="s">
        <v>905</v>
      </c>
      <c r="D328" s="6" t="s">
        <v>906</v>
      </c>
      <c r="E328" s="6"/>
      <c r="F328" s="18">
        <v>0</v>
      </c>
      <c r="G328" s="6"/>
      <c r="H328" s="8">
        <v>38.865600000000001</v>
      </c>
      <c r="I328" s="14"/>
      <c r="J328" s="8">
        <f t="shared" si="30"/>
        <v>0</v>
      </c>
      <c r="M328" s="30" t="str">
        <f t="shared" si="31"/>
        <v>-</v>
      </c>
      <c r="N328" s="30" t="str">
        <f t="shared" si="32"/>
        <v>-</v>
      </c>
      <c r="O328" s="31" t="str">
        <f t="shared" si="33"/>
        <v>-</v>
      </c>
      <c r="P328" s="32" t="str">
        <f t="shared" si="34"/>
        <v>-</v>
      </c>
      <c r="R328" s="32" t="str">
        <f t="shared" si="35"/>
        <v>-</v>
      </c>
    </row>
    <row r="329" spans="1:18" x14ac:dyDescent="0.3">
      <c r="A329" s="5" t="s">
        <v>907</v>
      </c>
      <c r="B329" s="5"/>
      <c r="C329" s="5" t="s">
        <v>908</v>
      </c>
      <c r="D329" s="6" t="s">
        <v>909</v>
      </c>
      <c r="E329" s="6"/>
      <c r="F329" s="18">
        <v>0</v>
      </c>
      <c r="G329" s="6"/>
      <c r="H329" s="8">
        <v>38.865600000000001</v>
      </c>
      <c r="I329" s="14"/>
      <c r="J329" s="8">
        <f t="shared" si="30"/>
        <v>0</v>
      </c>
      <c r="M329" s="30" t="str">
        <f t="shared" si="31"/>
        <v>-</v>
      </c>
      <c r="N329" s="30" t="str">
        <f t="shared" si="32"/>
        <v>-</v>
      </c>
      <c r="O329" s="31" t="str">
        <f t="shared" si="33"/>
        <v>-</v>
      </c>
      <c r="P329" s="32" t="str">
        <f t="shared" si="34"/>
        <v>-</v>
      </c>
      <c r="R329" s="32" t="str">
        <f t="shared" si="35"/>
        <v>-</v>
      </c>
    </row>
    <row r="330" spans="1:18" x14ac:dyDescent="0.3">
      <c r="A330" s="5" t="s">
        <v>910</v>
      </c>
      <c r="B330" s="5"/>
      <c r="C330" s="5" t="s">
        <v>911</v>
      </c>
      <c r="D330" s="6" t="s">
        <v>912</v>
      </c>
      <c r="E330" s="6"/>
      <c r="F330" s="18">
        <v>0</v>
      </c>
      <c r="G330" s="6"/>
      <c r="H330" s="8">
        <v>38.865600000000001</v>
      </c>
      <c r="I330" s="14"/>
      <c r="J330" s="8">
        <f t="shared" si="30"/>
        <v>0</v>
      </c>
      <c r="M330" s="30" t="str">
        <f t="shared" si="31"/>
        <v>-</v>
      </c>
      <c r="N330" s="30" t="str">
        <f t="shared" si="32"/>
        <v>-</v>
      </c>
      <c r="O330" s="31" t="str">
        <f t="shared" si="33"/>
        <v>-</v>
      </c>
      <c r="P330" s="32" t="str">
        <f t="shared" si="34"/>
        <v>-</v>
      </c>
      <c r="R330" s="32" t="str">
        <f t="shared" si="35"/>
        <v>-</v>
      </c>
    </row>
    <row r="331" spans="1:18" x14ac:dyDescent="0.3">
      <c r="A331" s="5" t="s">
        <v>913</v>
      </c>
      <c r="B331" s="5"/>
      <c r="C331" s="5" t="s">
        <v>914</v>
      </c>
      <c r="D331" s="6" t="s">
        <v>915</v>
      </c>
      <c r="E331" s="6"/>
      <c r="F331" s="18">
        <v>0</v>
      </c>
      <c r="G331" s="6"/>
      <c r="H331" s="8">
        <v>38.865600000000001</v>
      </c>
      <c r="I331" s="14"/>
      <c r="J331" s="8">
        <f t="shared" si="30"/>
        <v>0</v>
      </c>
      <c r="M331" s="30" t="str">
        <f t="shared" si="31"/>
        <v>-</v>
      </c>
      <c r="N331" s="30" t="str">
        <f t="shared" si="32"/>
        <v>-</v>
      </c>
      <c r="O331" s="31" t="str">
        <f t="shared" si="33"/>
        <v>-</v>
      </c>
      <c r="P331" s="32" t="str">
        <f t="shared" si="34"/>
        <v>-</v>
      </c>
      <c r="R331" s="32" t="str">
        <f t="shared" si="35"/>
        <v>-</v>
      </c>
    </row>
    <row r="332" spans="1:18" x14ac:dyDescent="0.3">
      <c r="A332" s="5" t="s">
        <v>916</v>
      </c>
      <c r="B332" s="5"/>
      <c r="C332" s="5" t="s">
        <v>917</v>
      </c>
      <c r="D332" s="6" t="s">
        <v>918</v>
      </c>
      <c r="E332" s="6"/>
      <c r="F332" s="18">
        <v>0</v>
      </c>
      <c r="G332" s="6"/>
      <c r="H332" s="8">
        <v>38.865600000000001</v>
      </c>
      <c r="I332" s="14"/>
      <c r="J332" s="8">
        <f t="shared" si="30"/>
        <v>0</v>
      </c>
      <c r="M332" s="30" t="str">
        <f t="shared" si="31"/>
        <v>-</v>
      </c>
      <c r="N332" s="30" t="str">
        <f t="shared" si="32"/>
        <v>-</v>
      </c>
      <c r="O332" s="31" t="str">
        <f t="shared" si="33"/>
        <v>-</v>
      </c>
      <c r="P332" s="32" t="str">
        <f t="shared" si="34"/>
        <v>-</v>
      </c>
      <c r="R332" s="32" t="str">
        <f t="shared" si="35"/>
        <v>-</v>
      </c>
    </row>
    <row r="333" spans="1:18" x14ac:dyDescent="0.3">
      <c r="A333" s="5" t="s">
        <v>919</v>
      </c>
      <c r="B333" s="5"/>
      <c r="C333" s="5" t="s">
        <v>920</v>
      </c>
      <c r="D333" s="6" t="s">
        <v>921</v>
      </c>
      <c r="E333" s="6"/>
      <c r="F333" s="18">
        <v>0</v>
      </c>
      <c r="G333" s="6"/>
      <c r="H333" s="8">
        <v>38.865600000000001</v>
      </c>
      <c r="I333" s="14"/>
      <c r="J333" s="8">
        <f t="shared" si="30"/>
        <v>0</v>
      </c>
      <c r="M333" s="30" t="str">
        <f t="shared" si="31"/>
        <v>-</v>
      </c>
      <c r="N333" s="30" t="str">
        <f t="shared" si="32"/>
        <v>-</v>
      </c>
      <c r="O333" s="31" t="str">
        <f t="shared" si="33"/>
        <v>-</v>
      </c>
      <c r="P333" s="32" t="str">
        <f t="shared" si="34"/>
        <v>-</v>
      </c>
      <c r="R333" s="32" t="str">
        <f t="shared" si="35"/>
        <v>-</v>
      </c>
    </row>
    <row r="334" spans="1:18" x14ac:dyDescent="0.3">
      <c r="A334" s="5" t="s">
        <v>922</v>
      </c>
      <c r="B334" s="5"/>
      <c r="C334" s="5" t="s">
        <v>923</v>
      </c>
      <c r="D334" s="6" t="s">
        <v>924</v>
      </c>
      <c r="E334" s="6"/>
      <c r="F334" s="18">
        <v>0</v>
      </c>
      <c r="G334" s="6"/>
      <c r="H334" s="8">
        <v>17.280000000000005</v>
      </c>
      <c r="I334" s="14"/>
      <c r="J334" s="8">
        <f t="shared" si="30"/>
        <v>0</v>
      </c>
      <c r="M334" s="30" t="str">
        <f t="shared" si="31"/>
        <v>-</v>
      </c>
      <c r="N334" s="30" t="str">
        <f t="shared" si="32"/>
        <v>-</v>
      </c>
      <c r="O334" s="31" t="str">
        <f t="shared" si="33"/>
        <v>-</v>
      </c>
      <c r="P334" s="32" t="str">
        <f t="shared" si="34"/>
        <v>-</v>
      </c>
      <c r="R334" s="32" t="str">
        <f t="shared" si="35"/>
        <v>-</v>
      </c>
    </row>
    <row r="335" spans="1:18" x14ac:dyDescent="0.3">
      <c r="A335" s="5" t="s">
        <v>925</v>
      </c>
      <c r="B335" s="5"/>
      <c r="C335" s="5" t="s">
        <v>923</v>
      </c>
      <c r="D335" s="6" t="s">
        <v>926</v>
      </c>
      <c r="E335" s="6"/>
      <c r="F335" s="18">
        <v>0</v>
      </c>
      <c r="G335" s="6"/>
      <c r="H335" s="8">
        <v>30.225599999999996</v>
      </c>
      <c r="I335" s="14"/>
      <c r="J335" s="8">
        <f t="shared" si="30"/>
        <v>0</v>
      </c>
      <c r="M335" s="30" t="str">
        <f t="shared" si="31"/>
        <v>-</v>
      </c>
      <c r="N335" s="30" t="str">
        <f t="shared" si="32"/>
        <v>-</v>
      </c>
      <c r="O335" s="31" t="str">
        <f t="shared" si="33"/>
        <v>-</v>
      </c>
      <c r="P335" s="32" t="str">
        <f t="shared" si="34"/>
        <v>-</v>
      </c>
      <c r="R335" s="32" t="str">
        <f t="shared" si="35"/>
        <v>-</v>
      </c>
    </row>
    <row r="336" spans="1:18" x14ac:dyDescent="0.3">
      <c r="A336" s="5" t="s">
        <v>927</v>
      </c>
      <c r="B336" s="5"/>
      <c r="C336" s="5" t="s">
        <v>928</v>
      </c>
      <c r="D336" s="6" t="s">
        <v>929</v>
      </c>
      <c r="E336" s="6"/>
      <c r="F336" s="18">
        <v>0</v>
      </c>
      <c r="G336" s="6"/>
      <c r="H336" s="8">
        <v>17.280000000000005</v>
      </c>
      <c r="I336" s="14"/>
      <c r="J336" s="8">
        <f t="shared" si="30"/>
        <v>0</v>
      </c>
      <c r="M336" s="30" t="str">
        <f t="shared" si="31"/>
        <v>-</v>
      </c>
      <c r="N336" s="30" t="str">
        <f t="shared" si="32"/>
        <v>-</v>
      </c>
      <c r="O336" s="31" t="str">
        <f t="shared" si="33"/>
        <v>-</v>
      </c>
      <c r="P336" s="32" t="str">
        <f t="shared" si="34"/>
        <v>-</v>
      </c>
      <c r="R336" s="32" t="str">
        <f t="shared" si="35"/>
        <v>-</v>
      </c>
    </row>
    <row r="337" spans="1:18" x14ac:dyDescent="0.3">
      <c r="A337" s="5" t="s">
        <v>930</v>
      </c>
      <c r="B337" s="5"/>
      <c r="C337" s="5" t="s">
        <v>928</v>
      </c>
      <c r="D337" s="6" t="s">
        <v>931</v>
      </c>
      <c r="E337" s="6"/>
      <c r="F337" s="18">
        <v>0</v>
      </c>
      <c r="G337" s="6"/>
      <c r="H337" s="8">
        <v>30.225599999999996</v>
      </c>
      <c r="I337" s="14"/>
      <c r="J337" s="8">
        <f t="shared" si="30"/>
        <v>0</v>
      </c>
      <c r="M337" s="30" t="str">
        <f t="shared" si="31"/>
        <v>-</v>
      </c>
      <c r="N337" s="30" t="str">
        <f t="shared" si="32"/>
        <v>-</v>
      </c>
      <c r="O337" s="31" t="str">
        <f t="shared" si="33"/>
        <v>-</v>
      </c>
      <c r="P337" s="32" t="str">
        <f t="shared" si="34"/>
        <v>-</v>
      </c>
      <c r="R337" s="32" t="str">
        <f t="shared" si="35"/>
        <v>-</v>
      </c>
    </row>
    <row r="338" spans="1:18" x14ac:dyDescent="0.3">
      <c r="A338" s="5" t="s">
        <v>932</v>
      </c>
      <c r="B338" s="5"/>
      <c r="C338" s="5" t="s">
        <v>933</v>
      </c>
      <c r="D338" s="6" t="s">
        <v>934</v>
      </c>
      <c r="E338" s="6"/>
      <c r="F338" s="18">
        <v>0</v>
      </c>
      <c r="G338" s="6"/>
      <c r="H338" s="8">
        <v>17.280000000000005</v>
      </c>
      <c r="I338" s="14"/>
      <c r="J338" s="8">
        <f t="shared" si="30"/>
        <v>0</v>
      </c>
      <c r="M338" s="30" t="str">
        <f t="shared" si="31"/>
        <v>-</v>
      </c>
      <c r="N338" s="30" t="str">
        <f t="shared" si="32"/>
        <v>-</v>
      </c>
      <c r="O338" s="31" t="str">
        <f t="shared" si="33"/>
        <v>-</v>
      </c>
      <c r="P338" s="32" t="str">
        <f t="shared" si="34"/>
        <v>-</v>
      </c>
      <c r="R338" s="32" t="str">
        <f t="shared" si="35"/>
        <v>-</v>
      </c>
    </row>
    <row r="339" spans="1:18" x14ac:dyDescent="0.3">
      <c r="A339" s="5" t="s">
        <v>935</v>
      </c>
      <c r="B339" s="5"/>
      <c r="C339" s="5" t="s">
        <v>933</v>
      </c>
      <c r="D339" s="6" t="s">
        <v>936</v>
      </c>
      <c r="E339" s="6"/>
      <c r="F339" s="18">
        <v>0</v>
      </c>
      <c r="G339" s="6"/>
      <c r="H339" s="8">
        <v>30.225599999999996</v>
      </c>
      <c r="I339" s="14"/>
      <c r="J339" s="8">
        <f t="shared" si="30"/>
        <v>0</v>
      </c>
      <c r="M339" s="30" t="str">
        <f t="shared" si="31"/>
        <v>-</v>
      </c>
      <c r="N339" s="30" t="str">
        <f t="shared" si="32"/>
        <v>-</v>
      </c>
      <c r="O339" s="31" t="str">
        <f t="shared" si="33"/>
        <v>-</v>
      </c>
      <c r="P339" s="32" t="str">
        <f t="shared" si="34"/>
        <v>-</v>
      </c>
      <c r="R339" s="32" t="str">
        <f t="shared" si="35"/>
        <v>-</v>
      </c>
    </row>
    <row r="340" spans="1:18" x14ac:dyDescent="0.3">
      <c r="A340" s="5" t="s">
        <v>937</v>
      </c>
      <c r="B340" s="5"/>
      <c r="C340" s="5" t="s">
        <v>938</v>
      </c>
      <c r="D340" s="6" t="s">
        <v>939</v>
      </c>
      <c r="E340" s="6"/>
      <c r="F340" s="18">
        <v>0</v>
      </c>
      <c r="G340" s="6"/>
      <c r="H340" s="8">
        <v>17.280000000000005</v>
      </c>
      <c r="I340" s="14"/>
      <c r="J340" s="8">
        <f t="shared" si="30"/>
        <v>0</v>
      </c>
      <c r="M340" s="30" t="str">
        <f t="shared" si="31"/>
        <v>-</v>
      </c>
      <c r="N340" s="30" t="str">
        <f t="shared" si="32"/>
        <v>-</v>
      </c>
      <c r="O340" s="31" t="str">
        <f t="shared" si="33"/>
        <v>-</v>
      </c>
      <c r="P340" s="32" t="str">
        <f t="shared" si="34"/>
        <v>-</v>
      </c>
      <c r="R340" s="32" t="str">
        <f t="shared" si="35"/>
        <v>-</v>
      </c>
    </row>
    <row r="341" spans="1:18" x14ac:dyDescent="0.3">
      <c r="A341" s="5" t="s">
        <v>940</v>
      </c>
      <c r="B341" s="5"/>
      <c r="C341" s="5" t="s">
        <v>938</v>
      </c>
      <c r="D341" s="6" t="s">
        <v>941</v>
      </c>
      <c r="E341" s="6"/>
      <c r="F341" s="18">
        <v>0</v>
      </c>
      <c r="G341" s="6"/>
      <c r="H341" s="8">
        <v>30.225599999999996</v>
      </c>
      <c r="I341" s="14"/>
      <c r="J341" s="8">
        <f t="shared" si="30"/>
        <v>0</v>
      </c>
      <c r="M341" s="30" t="str">
        <f t="shared" si="31"/>
        <v>-</v>
      </c>
      <c r="N341" s="30" t="str">
        <f t="shared" si="32"/>
        <v>-</v>
      </c>
      <c r="O341" s="31" t="str">
        <f t="shared" si="33"/>
        <v>-</v>
      </c>
      <c r="P341" s="32" t="str">
        <f t="shared" si="34"/>
        <v>-</v>
      </c>
      <c r="R341" s="32" t="str">
        <f t="shared" si="35"/>
        <v>-</v>
      </c>
    </row>
    <row r="342" spans="1:18" x14ac:dyDescent="0.3">
      <c r="A342" s="2" t="s">
        <v>942</v>
      </c>
      <c r="B342" s="2"/>
      <c r="C342" s="2" t="s">
        <v>943</v>
      </c>
      <c r="D342" s="2" t="s">
        <v>944</v>
      </c>
      <c r="E342" s="2"/>
      <c r="F342" s="18">
        <v>0.48</v>
      </c>
      <c r="G342" s="2"/>
      <c r="H342" s="8">
        <v>54</v>
      </c>
      <c r="I342" s="14"/>
      <c r="J342" s="8">
        <f t="shared" si="30"/>
        <v>0</v>
      </c>
      <c r="M342" s="30" t="str">
        <f t="shared" si="31"/>
        <v>-</v>
      </c>
      <c r="N342" s="30" t="str">
        <f t="shared" si="32"/>
        <v>-</v>
      </c>
      <c r="O342" s="31" t="str">
        <f t="shared" si="33"/>
        <v>-</v>
      </c>
      <c r="P342" s="32" t="str">
        <f t="shared" si="34"/>
        <v>-</v>
      </c>
      <c r="R342" s="32" t="str">
        <f t="shared" si="35"/>
        <v>-</v>
      </c>
    </row>
    <row r="343" spans="1:18" x14ac:dyDescent="0.3">
      <c r="A343" s="2" t="s">
        <v>945</v>
      </c>
      <c r="B343" s="2"/>
      <c r="C343" s="2" t="s">
        <v>7</v>
      </c>
      <c r="D343" s="2" t="s">
        <v>946</v>
      </c>
      <c r="E343" s="2"/>
      <c r="F343" s="18">
        <v>0.48</v>
      </c>
      <c r="G343" s="2"/>
      <c r="H343" s="8">
        <v>54</v>
      </c>
      <c r="I343" s="14"/>
      <c r="J343" s="8">
        <f t="shared" si="30"/>
        <v>0</v>
      </c>
      <c r="M343" s="30" t="str">
        <f t="shared" si="31"/>
        <v>-</v>
      </c>
      <c r="N343" s="30" t="str">
        <f t="shared" si="32"/>
        <v>-</v>
      </c>
      <c r="O343" s="31" t="str">
        <f t="shared" si="33"/>
        <v>-</v>
      </c>
      <c r="P343" s="32" t="str">
        <f t="shared" si="34"/>
        <v>-</v>
      </c>
      <c r="R343" s="32" t="str">
        <f t="shared" si="35"/>
        <v>-</v>
      </c>
    </row>
    <row r="344" spans="1:18" x14ac:dyDescent="0.3">
      <c r="A344" s="2" t="s">
        <v>947</v>
      </c>
      <c r="B344" s="2"/>
      <c r="C344" s="2" t="s">
        <v>21</v>
      </c>
      <c r="D344" s="2" t="s">
        <v>948</v>
      </c>
      <c r="E344" s="2"/>
      <c r="F344" s="18">
        <v>0</v>
      </c>
      <c r="G344" s="2"/>
      <c r="H344" s="8">
        <v>24.480000000000004</v>
      </c>
      <c r="I344" s="14"/>
      <c r="J344" s="8">
        <f t="shared" si="30"/>
        <v>0</v>
      </c>
      <c r="M344" s="30" t="str">
        <f t="shared" si="31"/>
        <v>-</v>
      </c>
      <c r="N344" s="30" t="str">
        <f t="shared" si="32"/>
        <v>-</v>
      </c>
      <c r="O344" s="31" t="str">
        <f t="shared" si="33"/>
        <v>-</v>
      </c>
      <c r="P344" s="32" t="str">
        <f t="shared" si="34"/>
        <v>-</v>
      </c>
      <c r="R344" s="32" t="str">
        <f t="shared" si="35"/>
        <v>-</v>
      </c>
    </row>
    <row r="345" spans="1:18" x14ac:dyDescent="0.3">
      <c r="A345" s="2" t="s">
        <v>949</v>
      </c>
      <c r="B345" s="2"/>
      <c r="C345" s="2" t="s">
        <v>96</v>
      </c>
      <c r="D345" s="2" t="s">
        <v>950</v>
      </c>
      <c r="E345" s="2"/>
      <c r="F345" s="18">
        <v>0</v>
      </c>
      <c r="G345" s="2"/>
      <c r="H345" s="8">
        <v>25.92</v>
      </c>
      <c r="I345" s="14"/>
      <c r="J345" s="8">
        <f t="shared" si="30"/>
        <v>0</v>
      </c>
      <c r="M345" s="30" t="str">
        <f t="shared" si="31"/>
        <v>-</v>
      </c>
      <c r="N345" s="30" t="str">
        <f t="shared" si="32"/>
        <v>-</v>
      </c>
      <c r="O345" s="31" t="str">
        <f t="shared" si="33"/>
        <v>-</v>
      </c>
      <c r="P345" s="32" t="str">
        <f t="shared" si="34"/>
        <v>-</v>
      </c>
      <c r="R345" s="32" t="str">
        <f t="shared" si="35"/>
        <v>-</v>
      </c>
    </row>
    <row r="346" spans="1:18" x14ac:dyDescent="0.3">
      <c r="A346" s="2" t="s">
        <v>951</v>
      </c>
      <c r="B346" s="2"/>
      <c r="C346" s="2" t="s">
        <v>952</v>
      </c>
      <c r="D346" s="2" t="s">
        <v>953</v>
      </c>
      <c r="E346" s="2"/>
      <c r="F346" s="18">
        <v>0.22</v>
      </c>
      <c r="G346" s="2"/>
      <c r="H346" s="8">
        <v>46.440000000000005</v>
      </c>
      <c r="I346" s="14"/>
      <c r="J346" s="8">
        <f t="shared" si="30"/>
        <v>0</v>
      </c>
      <c r="M346" s="30" t="str">
        <f t="shared" si="31"/>
        <v>-</v>
      </c>
      <c r="N346" s="30" t="str">
        <f t="shared" si="32"/>
        <v>-</v>
      </c>
      <c r="O346" s="31" t="str">
        <f t="shared" si="33"/>
        <v>-</v>
      </c>
      <c r="P346" s="32" t="str">
        <f t="shared" si="34"/>
        <v>-</v>
      </c>
      <c r="R346" s="32" t="str">
        <f t="shared" si="35"/>
        <v>-</v>
      </c>
    </row>
    <row r="347" spans="1:18" x14ac:dyDescent="0.3">
      <c r="A347" s="2" t="s">
        <v>954</v>
      </c>
      <c r="B347" s="2"/>
      <c r="C347" s="2" t="s">
        <v>955</v>
      </c>
      <c r="D347" s="2" t="s">
        <v>956</v>
      </c>
      <c r="E347" s="2"/>
      <c r="F347" s="18">
        <v>0.57999999999999996</v>
      </c>
      <c r="G347" s="2"/>
      <c r="H347" s="8">
        <v>31.464000000000002</v>
      </c>
      <c r="I347" s="14"/>
      <c r="J347" s="8">
        <f t="shared" si="30"/>
        <v>0</v>
      </c>
      <c r="M347" s="30" t="str">
        <f t="shared" si="31"/>
        <v>-</v>
      </c>
      <c r="N347" s="30" t="str">
        <f t="shared" si="32"/>
        <v>-</v>
      </c>
      <c r="O347" s="31" t="str">
        <f t="shared" si="33"/>
        <v>-</v>
      </c>
      <c r="P347" s="32" t="str">
        <f t="shared" si="34"/>
        <v>-</v>
      </c>
      <c r="R347" s="32" t="str">
        <f t="shared" si="35"/>
        <v>-</v>
      </c>
    </row>
    <row r="348" spans="1:18" x14ac:dyDescent="0.3">
      <c r="A348" s="2" t="s">
        <v>957</v>
      </c>
      <c r="B348" s="2"/>
      <c r="C348" s="2" t="s">
        <v>958</v>
      </c>
      <c r="D348" s="2" t="s">
        <v>959</v>
      </c>
      <c r="E348" s="2"/>
      <c r="F348" s="18">
        <v>0.1</v>
      </c>
      <c r="G348" s="2"/>
      <c r="H348" s="8">
        <v>26.280000000000005</v>
      </c>
      <c r="I348" s="14"/>
      <c r="J348" s="8">
        <f t="shared" si="30"/>
        <v>0</v>
      </c>
      <c r="M348" s="30" t="str">
        <f t="shared" si="31"/>
        <v>-</v>
      </c>
      <c r="N348" s="30" t="str">
        <f t="shared" si="32"/>
        <v>-</v>
      </c>
      <c r="O348" s="31" t="str">
        <f t="shared" si="33"/>
        <v>-</v>
      </c>
      <c r="P348" s="32" t="str">
        <f t="shared" si="34"/>
        <v>-</v>
      </c>
      <c r="R348" s="32" t="str">
        <f t="shared" si="35"/>
        <v>-</v>
      </c>
    </row>
    <row r="349" spans="1:18" x14ac:dyDescent="0.3">
      <c r="A349" s="2" t="s">
        <v>960</v>
      </c>
      <c r="B349" s="2"/>
      <c r="C349" s="2" t="s">
        <v>961</v>
      </c>
      <c r="D349" s="2" t="s">
        <v>962</v>
      </c>
      <c r="E349" s="2"/>
      <c r="F349" s="18">
        <v>0.14000000000000001</v>
      </c>
      <c r="G349" s="2"/>
      <c r="H349" s="8">
        <v>20.160000000000004</v>
      </c>
      <c r="I349" s="14"/>
      <c r="J349" s="8">
        <f t="shared" si="30"/>
        <v>0</v>
      </c>
      <c r="M349" s="30" t="str">
        <f t="shared" si="31"/>
        <v>-</v>
      </c>
      <c r="N349" s="30" t="str">
        <f t="shared" si="32"/>
        <v>-</v>
      </c>
      <c r="O349" s="31" t="str">
        <f t="shared" si="33"/>
        <v>-</v>
      </c>
      <c r="P349" s="32" t="str">
        <f t="shared" si="34"/>
        <v>-</v>
      </c>
      <c r="R349" s="32" t="str">
        <f t="shared" si="35"/>
        <v>-</v>
      </c>
    </row>
    <row r="350" spans="1:18" x14ac:dyDescent="0.3">
      <c r="A350" s="2" t="s">
        <v>963</v>
      </c>
      <c r="B350" s="2"/>
      <c r="C350" s="2" t="s">
        <v>964</v>
      </c>
      <c r="D350" s="2" t="s">
        <v>965</v>
      </c>
      <c r="E350" s="2"/>
      <c r="F350" s="18">
        <v>0.3</v>
      </c>
      <c r="G350" s="2"/>
      <c r="H350" s="8">
        <v>36</v>
      </c>
      <c r="I350" s="14"/>
      <c r="J350" s="8">
        <f t="shared" si="30"/>
        <v>0</v>
      </c>
      <c r="M350" s="30" t="str">
        <f t="shared" si="31"/>
        <v>-</v>
      </c>
      <c r="N350" s="30" t="str">
        <f t="shared" si="32"/>
        <v>-</v>
      </c>
      <c r="O350" s="31" t="str">
        <f t="shared" si="33"/>
        <v>-</v>
      </c>
      <c r="P350" s="32" t="str">
        <f t="shared" si="34"/>
        <v>-</v>
      </c>
      <c r="R350" s="32" t="str">
        <f t="shared" si="35"/>
        <v>-</v>
      </c>
    </row>
    <row r="351" spans="1:18" x14ac:dyDescent="0.3">
      <c r="A351" s="2" t="s">
        <v>966</v>
      </c>
      <c r="B351" s="2"/>
      <c r="C351" s="2" t="s">
        <v>967</v>
      </c>
      <c r="D351" s="2" t="s">
        <v>968</v>
      </c>
      <c r="E351" s="2"/>
      <c r="F351" s="18">
        <v>0.14000000000000001</v>
      </c>
      <c r="G351" s="2"/>
      <c r="H351" s="8">
        <v>56.88</v>
      </c>
      <c r="I351" s="14"/>
      <c r="J351" s="8">
        <f t="shared" si="30"/>
        <v>0</v>
      </c>
      <c r="M351" s="30" t="str">
        <f t="shared" si="31"/>
        <v>-</v>
      </c>
      <c r="N351" s="30" t="str">
        <f t="shared" si="32"/>
        <v>-</v>
      </c>
      <c r="O351" s="31" t="str">
        <f t="shared" si="33"/>
        <v>-</v>
      </c>
      <c r="P351" s="32" t="str">
        <f t="shared" si="34"/>
        <v>-</v>
      </c>
      <c r="R351" s="32" t="str">
        <f t="shared" si="35"/>
        <v>-</v>
      </c>
    </row>
    <row r="352" spans="1:18" x14ac:dyDescent="0.3">
      <c r="A352" s="2" t="s">
        <v>969</v>
      </c>
      <c r="B352" s="2"/>
      <c r="C352" s="2" t="s">
        <v>970</v>
      </c>
      <c r="D352" s="2" t="s">
        <v>971</v>
      </c>
      <c r="E352" s="2"/>
      <c r="F352" s="18">
        <v>1.02</v>
      </c>
      <c r="G352" s="2"/>
      <c r="H352" s="8">
        <v>48.6</v>
      </c>
      <c r="I352" s="14"/>
      <c r="J352" s="8">
        <f t="shared" si="30"/>
        <v>0</v>
      </c>
      <c r="M352" s="30" t="str">
        <f t="shared" si="31"/>
        <v>-</v>
      </c>
      <c r="N352" s="30" t="str">
        <f t="shared" si="32"/>
        <v>-</v>
      </c>
      <c r="O352" s="31" t="str">
        <f t="shared" si="33"/>
        <v>-</v>
      </c>
      <c r="P352" s="32" t="str">
        <f t="shared" si="34"/>
        <v>-</v>
      </c>
      <c r="R352" s="32" t="str">
        <f t="shared" si="35"/>
        <v>-</v>
      </c>
    </row>
    <row r="353" spans="1:18" x14ac:dyDescent="0.3">
      <c r="A353" s="2" t="s">
        <v>972</v>
      </c>
      <c r="B353" s="2"/>
      <c r="C353" s="2" t="s">
        <v>973</v>
      </c>
      <c r="D353" s="2" t="s">
        <v>974</v>
      </c>
      <c r="E353" s="2"/>
      <c r="F353" s="18">
        <v>0</v>
      </c>
      <c r="G353" s="2"/>
      <c r="H353" s="8">
        <v>48.6</v>
      </c>
      <c r="I353" s="14"/>
      <c r="J353" s="8">
        <f t="shared" si="30"/>
        <v>0</v>
      </c>
      <c r="M353" s="30" t="str">
        <f t="shared" si="31"/>
        <v>-</v>
      </c>
      <c r="N353" s="30" t="str">
        <f t="shared" si="32"/>
        <v>-</v>
      </c>
      <c r="O353" s="31" t="str">
        <f t="shared" si="33"/>
        <v>-</v>
      </c>
      <c r="P353" s="32" t="str">
        <f t="shared" si="34"/>
        <v>-</v>
      </c>
      <c r="R353" s="32" t="str">
        <f t="shared" si="35"/>
        <v>-</v>
      </c>
    </row>
    <row r="354" spans="1:18" x14ac:dyDescent="0.3">
      <c r="A354" s="2" t="s">
        <v>975</v>
      </c>
      <c r="B354" s="2"/>
      <c r="C354" s="2" t="s">
        <v>976</v>
      </c>
      <c r="D354" s="2" t="s">
        <v>977</v>
      </c>
      <c r="E354" s="2"/>
      <c r="F354" s="18">
        <v>0.18</v>
      </c>
      <c r="G354" s="2"/>
      <c r="H354" s="8">
        <v>38.880000000000003</v>
      </c>
      <c r="I354" s="14"/>
      <c r="J354" s="8">
        <f t="shared" si="30"/>
        <v>0</v>
      </c>
      <c r="M354" s="30" t="str">
        <f t="shared" si="31"/>
        <v>-</v>
      </c>
      <c r="N354" s="30" t="str">
        <f t="shared" si="32"/>
        <v>-</v>
      </c>
      <c r="O354" s="31" t="str">
        <f t="shared" si="33"/>
        <v>-</v>
      </c>
      <c r="P354" s="32" t="str">
        <f t="shared" si="34"/>
        <v>-</v>
      </c>
      <c r="R354" s="32" t="str">
        <f t="shared" si="35"/>
        <v>-</v>
      </c>
    </row>
    <row r="355" spans="1:18" x14ac:dyDescent="0.3">
      <c r="A355" s="2" t="s">
        <v>978</v>
      </c>
      <c r="B355" s="2"/>
      <c r="C355" s="2" t="s">
        <v>386</v>
      </c>
      <c r="D355" s="2" t="s">
        <v>979</v>
      </c>
      <c r="E355" s="2"/>
      <c r="F355" s="18">
        <v>0.68</v>
      </c>
      <c r="G355" s="2"/>
      <c r="H355" s="8">
        <v>58.32</v>
      </c>
      <c r="I355" s="14"/>
      <c r="J355" s="8">
        <f t="shared" si="30"/>
        <v>0</v>
      </c>
      <c r="M355" s="30" t="str">
        <f t="shared" si="31"/>
        <v>-</v>
      </c>
      <c r="N355" s="30" t="str">
        <f t="shared" si="32"/>
        <v>-</v>
      </c>
      <c r="O355" s="31" t="str">
        <f t="shared" si="33"/>
        <v>-</v>
      </c>
      <c r="P355" s="32" t="str">
        <f t="shared" si="34"/>
        <v>-</v>
      </c>
      <c r="R355" s="32" t="str">
        <f t="shared" si="35"/>
        <v>-</v>
      </c>
    </row>
    <row r="356" spans="1:18" x14ac:dyDescent="0.3">
      <c r="A356" s="2" t="s">
        <v>980</v>
      </c>
      <c r="B356" s="2"/>
      <c r="C356" s="2" t="s">
        <v>981</v>
      </c>
      <c r="D356" s="2" t="s">
        <v>982</v>
      </c>
      <c r="E356" s="2"/>
      <c r="F356" s="18">
        <v>0.16</v>
      </c>
      <c r="G356" s="2"/>
      <c r="H356" s="8">
        <v>26.64</v>
      </c>
      <c r="I356" s="14"/>
      <c r="J356" s="8">
        <f t="shared" si="30"/>
        <v>0</v>
      </c>
      <c r="M356" s="30" t="str">
        <f t="shared" si="31"/>
        <v>-</v>
      </c>
      <c r="N356" s="30" t="str">
        <f t="shared" si="32"/>
        <v>-</v>
      </c>
      <c r="O356" s="31" t="str">
        <f t="shared" si="33"/>
        <v>-</v>
      </c>
      <c r="P356" s="32" t="str">
        <f t="shared" si="34"/>
        <v>-</v>
      </c>
      <c r="R356" s="32" t="str">
        <f t="shared" si="35"/>
        <v>-</v>
      </c>
    </row>
    <row r="357" spans="1:18" x14ac:dyDescent="0.3">
      <c r="A357" s="2" t="s">
        <v>983</v>
      </c>
      <c r="B357" s="2"/>
      <c r="C357" s="2" t="s">
        <v>984</v>
      </c>
      <c r="D357" s="2" t="s">
        <v>985</v>
      </c>
      <c r="E357" s="2"/>
      <c r="F357" s="18">
        <v>0.14000000000000001</v>
      </c>
      <c r="G357" s="2"/>
      <c r="H357" s="8">
        <v>56.52</v>
      </c>
      <c r="I357" s="14"/>
      <c r="J357" s="8">
        <f t="shared" si="30"/>
        <v>0</v>
      </c>
      <c r="M357" s="30" t="str">
        <f t="shared" si="31"/>
        <v>-</v>
      </c>
      <c r="N357" s="30" t="str">
        <f t="shared" si="32"/>
        <v>-</v>
      </c>
      <c r="O357" s="31" t="str">
        <f t="shared" si="33"/>
        <v>-</v>
      </c>
      <c r="P357" s="32" t="str">
        <f t="shared" si="34"/>
        <v>-</v>
      </c>
      <c r="R357" s="32" t="str">
        <f t="shared" si="35"/>
        <v>-</v>
      </c>
    </row>
    <row r="358" spans="1:18" x14ac:dyDescent="0.3">
      <c r="A358" s="2" t="s">
        <v>986</v>
      </c>
      <c r="B358" s="2"/>
      <c r="C358" s="2" t="s">
        <v>987</v>
      </c>
      <c r="D358" s="2" t="s">
        <v>988</v>
      </c>
      <c r="E358" s="2"/>
      <c r="F358" s="18">
        <v>0.27</v>
      </c>
      <c r="G358" s="2"/>
      <c r="H358" s="8">
        <v>46.800000000000004</v>
      </c>
      <c r="I358" s="14"/>
      <c r="J358" s="8">
        <f t="shared" si="30"/>
        <v>0</v>
      </c>
      <c r="M358" s="30" t="str">
        <f t="shared" si="31"/>
        <v>-</v>
      </c>
      <c r="N358" s="30" t="str">
        <f t="shared" si="32"/>
        <v>-</v>
      </c>
      <c r="O358" s="31" t="str">
        <f t="shared" si="33"/>
        <v>-</v>
      </c>
      <c r="P358" s="32" t="str">
        <f t="shared" si="34"/>
        <v>-</v>
      </c>
      <c r="R358" s="32" t="str">
        <f t="shared" si="35"/>
        <v>-</v>
      </c>
    </row>
    <row r="359" spans="1:18" x14ac:dyDescent="0.3">
      <c r="A359" s="2" t="s">
        <v>989</v>
      </c>
      <c r="B359" s="2"/>
      <c r="C359" s="2" t="s">
        <v>990</v>
      </c>
      <c r="D359" s="2" t="s">
        <v>991</v>
      </c>
      <c r="E359" s="2"/>
      <c r="F359" s="18">
        <v>0.28000000000000003</v>
      </c>
      <c r="G359" s="2"/>
      <c r="H359" s="8">
        <v>32.04</v>
      </c>
      <c r="I359" s="14"/>
      <c r="J359" s="8">
        <f t="shared" si="30"/>
        <v>0</v>
      </c>
      <c r="M359" s="30" t="str">
        <f t="shared" si="31"/>
        <v>-</v>
      </c>
      <c r="N359" s="30" t="str">
        <f t="shared" si="32"/>
        <v>-</v>
      </c>
      <c r="O359" s="31" t="str">
        <f t="shared" si="33"/>
        <v>-</v>
      </c>
      <c r="P359" s="32" t="str">
        <f t="shared" si="34"/>
        <v>-</v>
      </c>
      <c r="R359" s="32" t="str">
        <f t="shared" si="35"/>
        <v>-</v>
      </c>
    </row>
    <row r="360" spans="1:18" x14ac:dyDescent="0.3">
      <c r="A360" s="2" t="s">
        <v>992</v>
      </c>
      <c r="B360" s="2"/>
      <c r="C360" s="2" t="s">
        <v>993</v>
      </c>
      <c r="D360" s="2" t="s">
        <v>994</v>
      </c>
      <c r="E360" s="2"/>
      <c r="F360" s="18">
        <v>0.31</v>
      </c>
      <c r="G360" s="2"/>
      <c r="H360" s="8">
        <v>74.52000000000001</v>
      </c>
      <c r="I360" s="14"/>
      <c r="J360" s="8">
        <f t="shared" si="30"/>
        <v>0</v>
      </c>
      <c r="M360" s="30" t="str">
        <f t="shared" si="31"/>
        <v>-</v>
      </c>
      <c r="N360" s="30" t="str">
        <f t="shared" si="32"/>
        <v>-</v>
      </c>
      <c r="O360" s="31" t="str">
        <f t="shared" si="33"/>
        <v>-</v>
      </c>
      <c r="P360" s="32" t="str">
        <f t="shared" si="34"/>
        <v>-</v>
      </c>
      <c r="R360" s="32" t="str">
        <f t="shared" si="35"/>
        <v>-</v>
      </c>
    </row>
    <row r="361" spans="1:18" x14ac:dyDescent="0.3">
      <c r="A361" s="2" t="s">
        <v>995</v>
      </c>
      <c r="B361" s="2"/>
      <c r="C361" s="2" t="s">
        <v>996</v>
      </c>
      <c r="D361" s="2" t="s">
        <v>997</v>
      </c>
      <c r="E361" s="2"/>
      <c r="F361" s="18">
        <v>0</v>
      </c>
      <c r="G361" s="2"/>
      <c r="H361" s="8">
        <v>48.6</v>
      </c>
      <c r="I361" s="14"/>
      <c r="J361" s="8">
        <f t="shared" si="30"/>
        <v>0</v>
      </c>
      <c r="M361" s="30" t="str">
        <f t="shared" si="31"/>
        <v>-</v>
      </c>
      <c r="N361" s="30" t="str">
        <f t="shared" si="32"/>
        <v>-</v>
      </c>
      <c r="O361" s="31" t="str">
        <f t="shared" si="33"/>
        <v>-</v>
      </c>
      <c r="P361" s="32" t="str">
        <f t="shared" si="34"/>
        <v>-</v>
      </c>
      <c r="R361" s="32" t="str">
        <f t="shared" si="35"/>
        <v>-</v>
      </c>
    </row>
    <row r="362" spans="1:18" x14ac:dyDescent="0.3">
      <c r="A362" s="2" t="s">
        <v>998</v>
      </c>
      <c r="B362" s="2"/>
      <c r="C362" s="2" t="s">
        <v>999</v>
      </c>
      <c r="D362" s="2" t="s">
        <v>1000</v>
      </c>
      <c r="E362" s="2"/>
      <c r="F362" s="18">
        <v>1.02</v>
      </c>
      <c r="G362" s="2"/>
      <c r="H362" s="8">
        <v>66.240000000000009</v>
      </c>
      <c r="I362" s="14"/>
      <c r="J362" s="8">
        <f t="shared" si="30"/>
        <v>0</v>
      </c>
      <c r="M362" s="30" t="str">
        <f t="shared" si="31"/>
        <v>-</v>
      </c>
      <c r="N362" s="30" t="str">
        <f t="shared" si="32"/>
        <v>-</v>
      </c>
      <c r="O362" s="31" t="str">
        <f t="shared" si="33"/>
        <v>-</v>
      </c>
      <c r="P362" s="32" t="str">
        <f t="shared" si="34"/>
        <v>-</v>
      </c>
      <c r="R362" s="32" t="str">
        <f t="shared" si="35"/>
        <v>-</v>
      </c>
    </row>
    <row r="363" spans="1:18" x14ac:dyDescent="0.3">
      <c r="A363" s="2" t="s">
        <v>1001</v>
      </c>
      <c r="B363" s="2"/>
      <c r="C363" s="2" t="s">
        <v>1002</v>
      </c>
      <c r="D363" s="2" t="s">
        <v>1003</v>
      </c>
      <c r="E363" s="2"/>
      <c r="F363" s="18">
        <v>1</v>
      </c>
      <c r="G363" s="2"/>
      <c r="H363" s="8">
        <v>66.240000000000009</v>
      </c>
      <c r="I363" s="14"/>
      <c r="J363" s="8">
        <f t="shared" si="30"/>
        <v>0</v>
      </c>
      <c r="M363" s="30" t="str">
        <f t="shared" si="31"/>
        <v>-</v>
      </c>
      <c r="N363" s="30" t="str">
        <f t="shared" si="32"/>
        <v>-</v>
      </c>
      <c r="O363" s="31" t="str">
        <f t="shared" si="33"/>
        <v>-</v>
      </c>
      <c r="P363" s="32" t="str">
        <f t="shared" si="34"/>
        <v>-</v>
      </c>
      <c r="R363" s="32" t="str">
        <f t="shared" si="35"/>
        <v>-</v>
      </c>
    </row>
    <row r="364" spans="1:18" x14ac:dyDescent="0.3">
      <c r="A364" s="2" t="s">
        <v>1004</v>
      </c>
      <c r="B364" s="2"/>
      <c r="C364" s="2" t="s">
        <v>1005</v>
      </c>
      <c r="D364" s="2" t="s">
        <v>1006</v>
      </c>
      <c r="E364" s="2"/>
      <c r="F364" s="18">
        <v>0.13</v>
      </c>
      <c r="G364" s="2"/>
      <c r="H364" s="8">
        <v>40.780800000000006</v>
      </c>
      <c r="I364" s="14"/>
      <c r="J364" s="8">
        <f t="shared" si="30"/>
        <v>0</v>
      </c>
      <c r="M364" s="30" t="str">
        <f t="shared" si="31"/>
        <v>-</v>
      </c>
      <c r="N364" s="30" t="str">
        <f t="shared" si="32"/>
        <v>-</v>
      </c>
      <c r="O364" s="31" t="str">
        <f t="shared" si="33"/>
        <v>-</v>
      </c>
      <c r="P364" s="32" t="str">
        <f t="shared" si="34"/>
        <v>-</v>
      </c>
      <c r="R364" s="32" t="str">
        <f t="shared" si="35"/>
        <v>-</v>
      </c>
    </row>
    <row r="365" spans="1:18" x14ac:dyDescent="0.3">
      <c r="A365" s="2" t="s">
        <v>1007</v>
      </c>
      <c r="B365" s="2"/>
      <c r="C365" s="2" t="s">
        <v>1008</v>
      </c>
      <c r="D365" s="2" t="s">
        <v>1009</v>
      </c>
      <c r="E365" s="2"/>
      <c r="F365" s="18">
        <v>0.24</v>
      </c>
      <c r="G365" s="2"/>
      <c r="H365" s="8">
        <v>51.84</v>
      </c>
      <c r="I365" s="14"/>
      <c r="J365" s="8">
        <f t="shared" si="30"/>
        <v>0</v>
      </c>
      <c r="M365" s="30" t="str">
        <f t="shared" si="31"/>
        <v>-</v>
      </c>
      <c r="N365" s="30" t="str">
        <f t="shared" si="32"/>
        <v>-</v>
      </c>
      <c r="O365" s="31" t="str">
        <f t="shared" si="33"/>
        <v>-</v>
      </c>
      <c r="P365" s="32" t="str">
        <f t="shared" si="34"/>
        <v>-</v>
      </c>
      <c r="R365" s="32" t="str">
        <f t="shared" si="35"/>
        <v>-</v>
      </c>
    </row>
    <row r="366" spans="1:18" x14ac:dyDescent="0.3">
      <c r="A366" s="2" t="s">
        <v>1010</v>
      </c>
      <c r="B366" s="2"/>
      <c r="C366" s="2" t="s">
        <v>1011</v>
      </c>
      <c r="D366" s="2" t="s">
        <v>1012</v>
      </c>
      <c r="E366" s="2"/>
      <c r="F366" s="18">
        <v>0.49</v>
      </c>
      <c r="G366" s="2"/>
      <c r="H366" s="8">
        <v>47.88</v>
      </c>
      <c r="I366" s="14"/>
      <c r="J366" s="8">
        <f t="shared" si="30"/>
        <v>0</v>
      </c>
      <c r="M366" s="30" t="str">
        <f t="shared" si="31"/>
        <v>-</v>
      </c>
      <c r="N366" s="30" t="str">
        <f t="shared" si="32"/>
        <v>-</v>
      </c>
      <c r="O366" s="31" t="str">
        <f t="shared" si="33"/>
        <v>-</v>
      </c>
      <c r="P366" s="32" t="str">
        <f t="shared" si="34"/>
        <v>-</v>
      </c>
      <c r="R366" s="32" t="str">
        <f t="shared" si="35"/>
        <v>-</v>
      </c>
    </row>
    <row r="367" spans="1:18" x14ac:dyDescent="0.3">
      <c r="A367" s="2" t="s">
        <v>1013</v>
      </c>
      <c r="B367" s="2"/>
      <c r="C367" s="2" t="s">
        <v>1014</v>
      </c>
      <c r="D367" s="2" t="s">
        <v>1015</v>
      </c>
      <c r="E367" s="2"/>
      <c r="F367" s="18">
        <v>0.21</v>
      </c>
      <c r="G367" s="2"/>
      <c r="H367" s="8">
        <v>16.920000000000002</v>
      </c>
      <c r="I367" s="14"/>
      <c r="J367" s="8">
        <f t="shared" si="30"/>
        <v>0</v>
      </c>
      <c r="M367" s="30" t="str">
        <f t="shared" si="31"/>
        <v>-</v>
      </c>
      <c r="N367" s="30" t="str">
        <f t="shared" si="32"/>
        <v>-</v>
      </c>
      <c r="O367" s="31" t="str">
        <f t="shared" si="33"/>
        <v>-</v>
      </c>
      <c r="P367" s="32" t="str">
        <f t="shared" si="34"/>
        <v>-</v>
      </c>
      <c r="R367" s="32" t="str">
        <f t="shared" si="35"/>
        <v>-</v>
      </c>
    </row>
    <row r="368" spans="1:18" x14ac:dyDescent="0.3">
      <c r="A368" s="3" t="s">
        <v>1020</v>
      </c>
      <c r="B368" s="2"/>
      <c r="C368" s="2" t="s">
        <v>1030</v>
      </c>
      <c r="D368" s="7" t="s">
        <v>1040</v>
      </c>
      <c r="E368" s="7"/>
      <c r="F368" s="18">
        <v>0</v>
      </c>
      <c r="G368" s="7"/>
      <c r="H368" s="8">
        <v>51.436800000000005</v>
      </c>
      <c r="I368" s="14"/>
      <c r="J368" s="8">
        <f t="shared" si="30"/>
        <v>0</v>
      </c>
      <c r="M368" s="30" t="str">
        <f t="shared" si="31"/>
        <v>-</v>
      </c>
      <c r="N368" s="30" t="str">
        <f t="shared" si="32"/>
        <v>-</v>
      </c>
      <c r="O368" s="31" t="str">
        <f t="shared" si="33"/>
        <v>-</v>
      </c>
      <c r="P368" s="32" t="str">
        <f t="shared" si="34"/>
        <v>-</v>
      </c>
      <c r="R368" s="32" t="str">
        <f t="shared" si="35"/>
        <v>-</v>
      </c>
    </row>
    <row r="369" spans="1:18" x14ac:dyDescent="0.3">
      <c r="A369" s="2" t="s">
        <v>1021</v>
      </c>
      <c r="B369" s="2"/>
      <c r="C369" s="2" t="s">
        <v>1031</v>
      </c>
      <c r="D369" s="7" t="s">
        <v>1041</v>
      </c>
      <c r="E369" s="7"/>
      <c r="F369" s="18">
        <v>0</v>
      </c>
      <c r="G369" s="7"/>
      <c r="H369" s="8">
        <v>38.116800000000005</v>
      </c>
      <c r="I369" s="14"/>
      <c r="J369" s="8">
        <f t="shared" si="30"/>
        <v>0</v>
      </c>
      <c r="M369" s="30" t="str">
        <f t="shared" si="31"/>
        <v>-</v>
      </c>
      <c r="N369" s="30" t="str">
        <f t="shared" si="32"/>
        <v>-</v>
      </c>
      <c r="O369" s="31" t="str">
        <f t="shared" si="33"/>
        <v>-</v>
      </c>
      <c r="P369" s="32" t="str">
        <f t="shared" si="34"/>
        <v>-</v>
      </c>
      <c r="R369" s="32" t="str">
        <f t="shared" si="35"/>
        <v>-</v>
      </c>
    </row>
    <row r="370" spans="1:18" x14ac:dyDescent="0.3">
      <c r="A370" s="2" t="s">
        <v>1022</v>
      </c>
      <c r="B370" s="2"/>
      <c r="C370" s="2" t="s">
        <v>1032</v>
      </c>
      <c r="D370" s="7" t="s">
        <v>1042</v>
      </c>
      <c r="E370" s="7"/>
      <c r="F370" s="18">
        <v>0</v>
      </c>
      <c r="G370" s="7"/>
      <c r="H370" s="8">
        <v>45.244800000000005</v>
      </c>
      <c r="I370" s="14"/>
      <c r="J370" s="8">
        <f t="shared" si="30"/>
        <v>0</v>
      </c>
      <c r="M370" s="30" t="str">
        <f t="shared" si="31"/>
        <v>-</v>
      </c>
      <c r="N370" s="30" t="str">
        <f t="shared" si="32"/>
        <v>-</v>
      </c>
      <c r="O370" s="31" t="str">
        <f t="shared" si="33"/>
        <v>-</v>
      </c>
      <c r="P370" s="32" t="str">
        <f t="shared" si="34"/>
        <v>-</v>
      </c>
      <c r="R370" s="32" t="str">
        <f t="shared" si="35"/>
        <v>-</v>
      </c>
    </row>
    <row r="371" spans="1:18" x14ac:dyDescent="0.3">
      <c r="A371" s="2" t="s">
        <v>1023</v>
      </c>
      <c r="B371" s="2"/>
      <c r="C371" s="2" t="s">
        <v>1033</v>
      </c>
      <c r="D371" s="7" t="s">
        <v>1043</v>
      </c>
      <c r="E371" s="7"/>
      <c r="F371" s="18">
        <v>0</v>
      </c>
      <c r="G371" s="7"/>
      <c r="H371" s="8">
        <v>40.003200000000007</v>
      </c>
      <c r="I371" s="14"/>
      <c r="J371" s="8">
        <f t="shared" si="30"/>
        <v>0</v>
      </c>
      <c r="M371" s="30" t="str">
        <f t="shared" si="31"/>
        <v>-</v>
      </c>
      <c r="N371" s="30" t="str">
        <f t="shared" si="32"/>
        <v>-</v>
      </c>
      <c r="O371" s="31" t="str">
        <f t="shared" si="33"/>
        <v>-</v>
      </c>
      <c r="P371" s="32" t="str">
        <f t="shared" si="34"/>
        <v>-</v>
      </c>
      <c r="R371" s="32" t="str">
        <f t="shared" si="35"/>
        <v>-</v>
      </c>
    </row>
    <row r="372" spans="1:18" x14ac:dyDescent="0.3">
      <c r="A372" s="2" t="s">
        <v>1024</v>
      </c>
      <c r="B372" s="2"/>
      <c r="C372" s="2" t="s">
        <v>1034</v>
      </c>
      <c r="D372" s="7" t="s">
        <v>1044</v>
      </c>
      <c r="E372" s="7"/>
      <c r="F372" s="18">
        <v>0</v>
      </c>
      <c r="G372" s="7"/>
      <c r="H372" s="8">
        <v>28.382400000000001</v>
      </c>
      <c r="I372" s="14"/>
      <c r="J372" s="8">
        <f t="shared" si="30"/>
        <v>0</v>
      </c>
      <c r="M372" s="30" t="str">
        <f t="shared" si="31"/>
        <v>-</v>
      </c>
      <c r="N372" s="30" t="str">
        <f t="shared" si="32"/>
        <v>-</v>
      </c>
      <c r="O372" s="31" t="str">
        <f t="shared" si="33"/>
        <v>-</v>
      </c>
      <c r="P372" s="32" t="str">
        <f t="shared" si="34"/>
        <v>-</v>
      </c>
      <c r="R372" s="32" t="str">
        <f t="shared" si="35"/>
        <v>-</v>
      </c>
    </row>
    <row r="373" spans="1:18" x14ac:dyDescent="0.3">
      <c r="A373" s="2" t="s">
        <v>1025</v>
      </c>
      <c r="B373" s="2"/>
      <c r="C373" s="2" t="s">
        <v>1035</v>
      </c>
      <c r="D373" s="7" t="s">
        <v>1045</v>
      </c>
      <c r="E373" s="7"/>
      <c r="F373" s="18">
        <v>0</v>
      </c>
      <c r="G373" s="7"/>
      <c r="H373" s="8">
        <v>34.992000000000004</v>
      </c>
      <c r="I373" s="14"/>
      <c r="J373" s="8">
        <f t="shared" si="30"/>
        <v>0</v>
      </c>
      <c r="M373" s="30" t="str">
        <f t="shared" si="31"/>
        <v>-</v>
      </c>
      <c r="N373" s="30" t="str">
        <f t="shared" si="32"/>
        <v>-</v>
      </c>
      <c r="O373" s="31" t="str">
        <f t="shared" si="33"/>
        <v>-</v>
      </c>
      <c r="P373" s="32" t="str">
        <f t="shared" si="34"/>
        <v>-</v>
      </c>
      <c r="R373" s="32" t="str">
        <f t="shared" si="35"/>
        <v>-</v>
      </c>
    </row>
    <row r="374" spans="1:18" x14ac:dyDescent="0.3">
      <c r="A374" s="2" t="s">
        <v>1026</v>
      </c>
      <c r="B374" s="2"/>
      <c r="C374" s="2" t="s">
        <v>1036</v>
      </c>
      <c r="D374" s="7" t="s">
        <v>1046</v>
      </c>
      <c r="E374" s="7"/>
      <c r="F374" s="18">
        <v>0</v>
      </c>
      <c r="G374" s="7"/>
      <c r="H374" s="8">
        <v>46.080000000000005</v>
      </c>
      <c r="I374" s="14"/>
      <c r="J374" s="8">
        <f t="shared" si="30"/>
        <v>0</v>
      </c>
      <c r="M374" s="30" t="str">
        <f t="shared" si="31"/>
        <v>-</v>
      </c>
      <c r="N374" s="30" t="str">
        <f t="shared" si="32"/>
        <v>-</v>
      </c>
      <c r="O374" s="31" t="str">
        <f t="shared" si="33"/>
        <v>-</v>
      </c>
      <c r="P374" s="32" t="str">
        <f t="shared" si="34"/>
        <v>-</v>
      </c>
      <c r="R374" s="32" t="str">
        <f t="shared" si="35"/>
        <v>-</v>
      </c>
    </row>
    <row r="375" spans="1:18" x14ac:dyDescent="0.3">
      <c r="A375" s="2" t="s">
        <v>1027</v>
      </c>
      <c r="B375" s="2"/>
      <c r="C375" s="2" t="s">
        <v>1037</v>
      </c>
      <c r="D375" s="7" t="s">
        <v>1047</v>
      </c>
      <c r="E375" s="7"/>
      <c r="F375" s="18">
        <v>0</v>
      </c>
      <c r="G375" s="7"/>
      <c r="H375" s="8">
        <v>45.720000000000006</v>
      </c>
      <c r="I375" s="14"/>
      <c r="J375" s="8">
        <f t="shared" si="30"/>
        <v>0</v>
      </c>
      <c r="M375" s="30" t="str">
        <f t="shared" si="31"/>
        <v>-</v>
      </c>
      <c r="N375" s="30" t="str">
        <f t="shared" si="32"/>
        <v>-</v>
      </c>
      <c r="O375" s="31" t="str">
        <f t="shared" si="33"/>
        <v>-</v>
      </c>
      <c r="P375" s="32" t="str">
        <f t="shared" si="34"/>
        <v>-</v>
      </c>
      <c r="R375" s="32" t="str">
        <f t="shared" si="35"/>
        <v>-</v>
      </c>
    </row>
    <row r="376" spans="1:18" x14ac:dyDescent="0.3">
      <c r="A376" s="2" t="s">
        <v>1028</v>
      </c>
      <c r="B376" s="2"/>
      <c r="C376" s="2" t="s">
        <v>1038</v>
      </c>
      <c r="D376" s="7" t="s">
        <v>1048</v>
      </c>
      <c r="E376" s="7"/>
      <c r="F376" s="18">
        <v>0</v>
      </c>
      <c r="G376" s="7"/>
      <c r="H376" s="8">
        <v>48.960000000000008</v>
      </c>
      <c r="I376" s="14"/>
      <c r="J376" s="8">
        <f t="shared" si="30"/>
        <v>0</v>
      </c>
      <c r="M376" s="30" t="str">
        <f t="shared" si="31"/>
        <v>-</v>
      </c>
      <c r="N376" s="30" t="str">
        <f t="shared" si="32"/>
        <v>-</v>
      </c>
      <c r="O376" s="31" t="str">
        <f t="shared" si="33"/>
        <v>-</v>
      </c>
      <c r="P376" s="32" t="str">
        <f t="shared" si="34"/>
        <v>-</v>
      </c>
      <c r="R376" s="32" t="str">
        <f t="shared" si="35"/>
        <v>-</v>
      </c>
    </row>
    <row r="377" spans="1:18" x14ac:dyDescent="0.3">
      <c r="A377" s="2" t="s">
        <v>1029</v>
      </c>
      <c r="B377" s="2"/>
      <c r="C377" s="2" t="s">
        <v>1039</v>
      </c>
      <c r="D377" s="7" t="s">
        <v>1049</v>
      </c>
      <c r="E377" s="7"/>
      <c r="F377" s="18">
        <v>0</v>
      </c>
      <c r="G377" s="7"/>
      <c r="H377" s="8">
        <v>33.480000000000004</v>
      </c>
      <c r="I377" s="14"/>
      <c r="J377" s="8">
        <f t="shared" si="30"/>
        <v>0</v>
      </c>
      <c r="M377" s="30" t="str">
        <f t="shared" si="31"/>
        <v>-</v>
      </c>
      <c r="N377" s="30" t="str">
        <f t="shared" si="32"/>
        <v>-</v>
      </c>
      <c r="O377" s="31" t="str">
        <f t="shared" si="33"/>
        <v>-</v>
      </c>
      <c r="P377" s="32" t="str">
        <f t="shared" si="34"/>
        <v>-</v>
      </c>
      <c r="R377" s="32" t="str">
        <f t="shared" si="35"/>
        <v>-</v>
      </c>
    </row>
  </sheetData>
  <sheetProtection algorithmName="SHA-512" hashValue="EXg9clb2Wzh8vxAeiUlOBJyZv5/cJLyx1wKJpNHFesgZ5PAZSC1DquclD8xnGW4uVhsBuX2antsnN0XSxVYqtA==" saltValue="jKp/1p6LeptDGoyZLSQYMw==" spinCount="100000" sheet="1" formatCells="0" formatColumns="0" formatRows="0" insertColumns="0" insertRows="0" insertHyperlinks="0" deleteColumns="0" deleteRows="0" sort="0" autoFilter="0" pivotTables="0"/>
  <autoFilter ref="A2:J2" xr:uid="{00000000-0001-0000-0000-000000000000}"/>
  <mergeCells count="2">
    <mergeCell ref="A1:J1"/>
    <mergeCell ref="N1:N2"/>
  </mergeCells>
  <phoneticPr fontId="5" type="noConversion"/>
  <conditionalFormatting sqref="R1">
    <cfRule type="expression" dxfId="0" priority="1">
      <formula>"&gt;0"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7dab10-c079-4dcc-bafc-214775004b6d}" enabled="0" method="" siteId="{6d7dab10-c079-4dcc-bafc-214775004b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(Designs for Health®)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Tkachuk Valia</cp:lastModifiedBy>
  <cp:revision/>
  <dcterms:created xsi:type="dcterms:W3CDTF">2025-03-21T18:18:16Z</dcterms:created>
  <dcterms:modified xsi:type="dcterms:W3CDTF">2025-12-02T06:56:13Z</dcterms:modified>
  <cp:category/>
  <cp:contentStatus/>
</cp:coreProperties>
</file>