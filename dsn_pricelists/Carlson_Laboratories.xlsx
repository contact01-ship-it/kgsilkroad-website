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25"/>
  <workbookPr filterPrivacy="1"/>
  <xr:revisionPtr revIDLastSave="0" documentId="13_ncr:1_{C350FEB7-117C-4B7B-8A71-4274F9764E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SN GROUP (Carlson Labs)" sheetId="1" r:id="rId1"/>
  </sheets>
  <definedNames>
    <definedName name="_xlnm._FilterDatabase" localSheetId="0" hidden="1">'DSN GROUP (Carlson Labs)'!$A$2:$J$475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1" l="1"/>
  <c r="O2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3" i="1"/>
  <c r="M470" i="1"/>
  <c r="M468" i="1"/>
  <c r="M462" i="1"/>
  <c r="M460" i="1"/>
  <c r="M454" i="1"/>
  <c r="M452" i="1"/>
  <c r="M446" i="1"/>
  <c r="M444" i="1"/>
  <c r="M438" i="1"/>
  <c r="M436" i="1"/>
  <c r="M430" i="1"/>
  <c r="M428" i="1"/>
  <c r="M422" i="1"/>
  <c r="M420" i="1"/>
  <c r="M419" i="1"/>
  <c r="M414" i="1"/>
  <c r="M412" i="1"/>
  <c r="M411" i="1"/>
  <c r="M406" i="1"/>
  <c r="M404" i="1"/>
  <c r="M403" i="1"/>
  <c r="M398" i="1"/>
  <c r="M396" i="1"/>
  <c r="M395" i="1"/>
  <c r="M390" i="1"/>
  <c r="M388" i="1"/>
  <c r="M387" i="1"/>
  <c r="M380" i="1"/>
  <c r="M379" i="1"/>
  <c r="M372" i="1"/>
  <c r="M371" i="1"/>
  <c r="M364" i="1"/>
  <c r="M363" i="1"/>
  <c r="M356" i="1"/>
  <c r="M355" i="1"/>
  <c r="M348" i="1"/>
  <c r="M347" i="1"/>
  <c r="M340" i="1"/>
  <c r="M339" i="1"/>
  <c r="M332" i="1"/>
  <c r="M331" i="1"/>
  <c r="M326" i="1"/>
  <c r="M324" i="1"/>
  <c r="M318" i="1"/>
  <c r="M316" i="1"/>
  <c r="M310" i="1"/>
  <c r="M308" i="1"/>
  <c r="M302" i="1"/>
  <c r="M300" i="1"/>
  <c r="M294" i="1"/>
  <c r="M292" i="1"/>
  <c r="M286" i="1"/>
  <c r="M284" i="1"/>
  <c r="M276" i="1"/>
  <c r="M268" i="1"/>
  <c r="M260" i="1"/>
  <c r="M252" i="1"/>
  <c r="M246" i="1"/>
  <c r="M244" i="1"/>
  <c r="M238" i="1"/>
  <c r="M236" i="1"/>
  <c r="M230" i="1"/>
  <c r="M228" i="1"/>
  <c r="M220" i="1"/>
  <c r="M212" i="1"/>
  <c r="M204" i="1"/>
  <c r="M196" i="1"/>
  <c r="M188" i="1"/>
  <c r="M180" i="1"/>
  <c r="M172" i="1"/>
  <c r="M164" i="1"/>
  <c r="M156" i="1"/>
  <c r="M148" i="1"/>
  <c r="M140" i="1"/>
  <c r="M132" i="1"/>
  <c r="M124" i="1"/>
  <c r="M116" i="1"/>
  <c r="M108" i="1"/>
  <c r="M100" i="1"/>
  <c r="P475" i="1"/>
  <c r="N475" i="1"/>
  <c r="M475" i="1"/>
  <c r="P474" i="1"/>
  <c r="N474" i="1"/>
  <c r="M474" i="1"/>
  <c r="P473" i="1"/>
  <c r="N473" i="1"/>
  <c r="M473" i="1"/>
  <c r="P472" i="1"/>
  <c r="N472" i="1"/>
  <c r="M472" i="1"/>
  <c r="P471" i="1"/>
  <c r="N471" i="1"/>
  <c r="M471" i="1"/>
  <c r="P470" i="1"/>
  <c r="N470" i="1"/>
  <c r="P469" i="1"/>
  <c r="N469" i="1"/>
  <c r="M469" i="1"/>
  <c r="P468" i="1"/>
  <c r="N468" i="1"/>
  <c r="P467" i="1"/>
  <c r="N467" i="1"/>
  <c r="M467" i="1"/>
  <c r="P466" i="1"/>
  <c r="N466" i="1"/>
  <c r="M466" i="1"/>
  <c r="P465" i="1"/>
  <c r="N465" i="1"/>
  <c r="M465" i="1"/>
  <c r="P464" i="1"/>
  <c r="N464" i="1"/>
  <c r="M464" i="1"/>
  <c r="P463" i="1"/>
  <c r="N463" i="1"/>
  <c r="M463" i="1"/>
  <c r="P462" i="1"/>
  <c r="N462" i="1"/>
  <c r="P461" i="1"/>
  <c r="N461" i="1"/>
  <c r="M461" i="1"/>
  <c r="P460" i="1"/>
  <c r="N460" i="1"/>
  <c r="P459" i="1"/>
  <c r="N459" i="1"/>
  <c r="M459" i="1"/>
  <c r="P458" i="1"/>
  <c r="N458" i="1"/>
  <c r="M458" i="1"/>
  <c r="P457" i="1"/>
  <c r="N457" i="1"/>
  <c r="M457" i="1"/>
  <c r="P456" i="1"/>
  <c r="N456" i="1"/>
  <c r="M456" i="1"/>
  <c r="P455" i="1"/>
  <c r="N455" i="1"/>
  <c r="M455" i="1"/>
  <c r="P454" i="1"/>
  <c r="N454" i="1"/>
  <c r="P453" i="1"/>
  <c r="N453" i="1"/>
  <c r="M453" i="1"/>
  <c r="P452" i="1"/>
  <c r="N452" i="1"/>
  <c r="P451" i="1"/>
  <c r="N451" i="1"/>
  <c r="M451" i="1"/>
  <c r="P450" i="1"/>
  <c r="N450" i="1"/>
  <c r="M450" i="1"/>
  <c r="P449" i="1"/>
  <c r="N449" i="1"/>
  <c r="M449" i="1"/>
  <c r="P448" i="1"/>
  <c r="N448" i="1"/>
  <c r="M448" i="1"/>
  <c r="P447" i="1"/>
  <c r="N447" i="1"/>
  <c r="M447" i="1"/>
  <c r="P446" i="1"/>
  <c r="N446" i="1"/>
  <c r="P445" i="1"/>
  <c r="N445" i="1"/>
  <c r="M445" i="1"/>
  <c r="P444" i="1"/>
  <c r="R444" i="1" s="1"/>
  <c r="N444" i="1"/>
  <c r="P443" i="1"/>
  <c r="N443" i="1"/>
  <c r="M443" i="1"/>
  <c r="P442" i="1"/>
  <c r="N442" i="1"/>
  <c r="M442" i="1"/>
  <c r="P441" i="1"/>
  <c r="N441" i="1"/>
  <c r="M441" i="1"/>
  <c r="P440" i="1"/>
  <c r="N440" i="1"/>
  <c r="M440" i="1"/>
  <c r="P439" i="1"/>
  <c r="N439" i="1"/>
  <c r="M439" i="1"/>
  <c r="P438" i="1"/>
  <c r="N438" i="1"/>
  <c r="P437" i="1"/>
  <c r="R437" i="1" s="1"/>
  <c r="N437" i="1"/>
  <c r="M437" i="1"/>
  <c r="P436" i="1"/>
  <c r="N436" i="1"/>
  <c r="P435" i="1"/>
  <c r="N435" i="1"/>
  <c r="M435" i="1"/>
  <c r="P434" i="1"/>
  <c r="N434" i="1"/>
  <c r="M434" i="1"/>
  <c r="P433" i="1"/>
  <c r="N433" i="1"/>
  <c r="M433" i="1"/>
  <c r="P432" i="1"/>
  <c r="N432" i="1"/>
  <c r="M432" i="1"/>
  <c r="P431" i="1"/>
  <c r="N431" i="1"/>
  <c r="M431" i="1"/>
  <c r="P430" i="1"/>
  <c r="N430" i="1"/>
  <c r="P429" i="1"/>
  <c r="R429" i="1" s="1"/>
  <c r="N429" i="1"/>
  <c r="M429" i="1"/>
  <c r="P428" i="1"/>
  <c r="N428" i="1"/>
  <c r="P427" i="1"/>
  <c r="N427" i="1"/>
  <c r="M427" i="1"/>
  <c r="P426" i="1"/>
  <c r="N426" i="1"/>
  <c r="M426" i="1"/>
  <c r="P425" i="1"/>
  <c r="N425" i="1"/>
  <c r="M425" i="1"/>
  <c r="P424" i="1"/>
  <c r="N424" i="1"/>
  <c r="M424" i="1"/>
  <c r="P423" i="1"/>
  <c r="N423" i="1"/>
  <c r="M423" i="1"/>
  <c r="P422" i="1"/>
  <c r="N422" i="1"/>
  <c r="P421" i="1"/>
  <c r="N421" i="1"/>
  <c r="M421" i="1"/>
  <c r="P420" i="1"/>
  <c r="N420" i="1"/>
  <c r="P419" i="1"/>
  <c r="N419" i="1"/>
  <c r="P418" i="1"/>
  <c r="N418" i="1"/>
  <c r="M418" i="1"/>
  <c r="P417" i="1"/>
  <c r="N417" i="1"/>
  <c r="M417" i="1"/>
  <c r="P416" i="1"/>
  <c r="N416" i="1"/>
  <c r="M416" i="1"/>
  <c r="P415" i="1"/>
  <c r="N415" i="1"/>
  <c r="M415" i="1"/>
  <c r="P414" i="1"/>
  <c r="N414" i="1"/>
  <c r="P413" i="1"/>
  <c r="N413" i="1"/>
  <c r="M413" i="1"/>
  <c r="P412" i="1"/>
  <c r="N412" i="1"/>
  <c r="P411" i="1"/>
  <c r="N411" i="1"/>
  <c r="P410" i="1"/>
  <c r="N410" i="1"/>
  <c r="M410" i="1"/>
  <c r="P409" i="1"/>
  <c r="N409" i="1"/>
  <c r="M409" i="1"/>
  <c r="P408" i="1"/>
  <c r="N408" i="1"/>
  <c r="M408" i="1"/>
  <c r="P407" i="1"/>
  <c r="N407" i="1"/>
  <c r="M407" i="1"/>
  <c r="P406" i="1"/>
  <c r="N406" i="1"/>
  <c r="P405" i="1"/>
  <c r="N405" i="1"/>
  <c r="M405" i="1"/>
  <c r="P404" i="1"/>
  <c r="N404" i="1"/>
  <c r="P403" i="1"/>
  <c r="N403" i="1"/>
  <c r="P402" i="1"/>
  <c r="N402" i="1"/>
  <c r="M402" i="1"/>
  <c r="P401" i="1"/>
  <c r="N401" i="1"/>
  <c r="M401" i="1"/>
  <c r="P400" i="1"/>
  <c r="N400" i="1"/>
  <c r="M400" i="1"/>
  <c r="P399" i="1"/>
  <c r="N399" i="1"/>
  <c r="M399" i="1"/>
  <c r="P398" i="1"/>
  <c r="N398" i="1"/>
  <c r="P397" i="1"/>
  <c r="N397" i="1"/>
  <c r="M397" i="1"/>
  <c r="P396" i="1"/>
  <c r="N396" i="1"/>
  <c r="P395" i="1"/>
  <c r="N395" i="1"/>
  <c r="P394" i="1"/>
  <c r="N394" i="1"/>
  <c r="M394" i="1"/>
  <c r="P393" i="1"/>
  <c r="N393" i="1"/>
  <c r="M393" i="1"/>
  <c r="P392" i="1"/>
  <c r="N392" i="1"/>
  <c r="M392" i="1"/>
  <c r="P391" i="1"/>
  <c r="N391" i="1"/>
  <c r="M391" i="1"/>
  <c r="P390" i="1"/>
  <c r="N390" i="1"/>
  <c r="P389" i="1"/>
  <c r="N389" i="1"/>
  <c r="M389" i="1"/>
  <c r="P388" i="1"/>
  <c r="N388" i="1"/>
  <c r="P387" i="1"/>
  <c r="N387" i="1"/>
  <c r="P386" i="1"/>
  <c r="N386" i="1"/>
  <c r="M386" i="1"/>
  <c r="P385" i="1"/>
  <c r="N385" i="1"/>
  <c r="M385" i="1"/>
  <c r="P384" i="1"/>
  <c r="N384" i="1"/>
  <c r="M384" i="1"/>
  <c r="P383" i="1"/>
  <c r="N383" i="1"/>
  <c r="M383" i="1"/>
  <c r="P382" i="1"/>
  <c r="N382" i="1"/>
  <c r="M382" i="1"/>
  <c r="P381" i="1"/>
  <c r="N381" i="1"/>
  <c r="M381" i="1"/>
  <c r="P380" i="1"/>
  <c r="N380" i="1"/>
  <c r="P379" i="1"/>
  <c r="N379" i="1"/>
  <c r="P378" i="1"/>
  <c r="N378" i="1"/>
  <c r="M378" i="1"/>
  <c r="P377" i="1"/>
  <c r="N377" i="1"/>
  <c r="M377" i="1"/>
  <c r="P376" i="1"/>
  <c r="N376" i="1"/>
  <c r="M376" i="1"/>
  <c r="P375" i="1"/>
  <c r="N375" i="1"/>
  <c r="M375" i="1"/>
  <c r="P374" i="1"/>
  <c r="N374" i="1"/>
  <c r="M374" i="1"/>
  <c r="P373" i="1"/>
  <c r="N373" i="1"/>
  <c r="M373" i="1"/>
  <c r="P372" i="1"/>
  <c r="N372" i="1"/>
  <c r="P371" i="1"/>
  <c r="N371" i="1"/>
  <c r="P370" i="1"/>
  <c r="N370" i="1"/>
  <c r="M370" i="1"/>
  <c r="P369" i="1"/>
  <c r="N369" i="1"/>
  <c r="M369" i="1"/>
  <c r="P368" i="1"/>
  <c r="N368" i="1"/>
  <c r="M368" i="1"/>
  <c r="P367" i="1"/>
  <c r="N367" i="1"/>
  <c r="M367" i="1"/>
  <c r="P366" i="1"/>
  <c r="N366" i="1"/>
  <c r="M366" i="1"/>
  <c r="P365" i="1"/>
  <c r="N365" i="1"/>
  <c r="M365" i="1"/>
  <c r="P364" i="1"/>
  <c r="N364" i="1"/>
  <c r="P363" i="1"/>
  <c r="N363" i="1"/>
  <c r="P362" i="1"/>
  <c r="N362" i="1"/>
  <c r="M362" i="1"/>
  <c r="P361" i="1"/>
  <c r="R361" i="1" s="1"/>
  <c r="N361" i="1"/>
  <c r="M361" i="1"/>
  <c r="P360" i="1"/>
  <c r="N360" i="1"/>
  <c r="M360" i="1"/>
  <c r="P359" i="1"/>
  <c r="N359" i="1"/>
  <c r="M359" i="1"/>
  <c r="P358" i="1"/>
  <c r="N358" i="1"/>
  <c r="M358" i="1"/>
  <c r="P357" i="1"/>
  <c r="R357" i="1" s="1"/>
  <c r="N357" i="1"/>
  <c r="M357" i="1"/>
  <c r="P356" i="1"/>
  <c r="N356" i="1"/>
  <c r="P355" i="1"/>
  <c r="N355" i="1"/>
  <c r="P354" i="1"/>
  <c r="N354" i="1"/>
  <c r="M354" i="1"/>
  <c r="P353" i="1"/>
  <c r="R353" i="1" s="1"/>
  <c r="N353" i="1"/>
  <c r="M353" i="1"/>
  <c r="P352" i="1"/>
  <c r="N352" i="1"/>
  <c r="M352" i="1"/>
  <c r="P351" i="1"/>
  <c r="R351" i="1" s="1"/>
  <c r="N351" i="1"/>
  <c r="M351" i="1"/>
  <c r="P350" i="1"/>
  <c r="N350" i="1"/>
  <c r="M350" i="1"/>
  <c r="P349" i="1"/>
  <c r="R349" i="1" s="1"/>
  <c r="N349" i="1"/>
  <c r="M349" i="1"/>
  <c r="P348" i="1"/>
  <c r="N348" i="1"/>
  <c r="P347" i="1"/>
  <c r="N347" i="1"/>
  <c r="P346" i="1"/>
  <c r="N346" i="1"/>
  <c r="M346" i="1"/>
  <c r="P345" i="1"/>
  <c r="N345" i="1"/>
  <c r="M345" i="1"/>
  <c r="P344" i="1"/>
  <c r="N344" i="1"/>
  <c r="M344" i="1"/>
  <c r="P343" i="1"/>
  <c r="N343" i="1"/>
  <c r="M343" i="1"/>
  <c r="P342" i="1"/>
  <c r="N342" i="1"/>
  <c r="M342" i="1"/>
  <c r="P341" i="1"/>
  <c r="N341" i="1"/>
  <c r="M341" i="1"/>
  <c r="P340" i="1"/>
  <c r="R340" i="1" s="1"/>
  <c r="N340" i="1"/>
  <c r="P339" i="1"/>
  <c r="N339" i="1"/>
  <c r="P338" i="1"/>
  <c r="N338" i="1"/>
  <c r="M338" i="1"/>
  <c r="P337" i="1"/>
  <c r="N337" i="1"/>
  <c r="M337" i="1"/>
  <c r="P336" i="1"/>
  <c r="N336" i="1"/>
  <c r="M336" i="1"/>
  <c r="P335" i="1"/>
  <c r="N335" i="1"/>
  <c r="M335" i="1"/>
  <c r="P334" i="1"/>
  <c r="N334" i="1"/>
  <c r="M334" i="1"/>
  <c r="P333" i="1"/>
  <c r="N333" i="1"/>
  <c r="M333" i="1"/>
  <c r="P332" i="1"/>
  <c r="R332" i="1" s="1"/>
  <c r="N332" i="1"/>
  <c r="P331" i="1"/>
  <c r="N331" i="1"/>
  <c r="P330" i="1"/>
  <c r="N330" i="1"/>
  <c r="M330" i="1"/>
  <c r="P329" i="1"/>
  <c r="R329" i="1" s="1"/>
  <c r="N329" i="1"/>
  <c r="M329" i="1"/>
  <c r="P328" i="1"/>
  <c r="N328" i="1"/>
  <c r="M328" i="1"/>
  <c r="P327" i="1"/>
  <c r="N327" i="1"/>
  <c r="M327" i="1"/>
  <c r="P326" i="1"/>
  <c r="N326" i="1"/>
  <c r="P325" i="1"/>
  <c r="N325" i="1"/>
  <c r="M325" i="1"/>
  <c r="P324" i="1"/>
  <c r="N324" i="1"/>
  <c r="P323" i="1"/>
  <c r="N323" i="1"/>
  <c r="M323" i="1"/>
  <c r="P322" i="1"/>
  <c r="N322" i="1"/>
  <c r="M322" i="1"/>
  <c r="P321" i="1"/>
  <c r="N321" i="1"/>
  <c r="M321" i="1"/>
  <c r="P320" i="1"/>
  <c r="N320" i="1"/>
  <c r="M320" i="1"/>
  <c r="P319" i="1"/>
  <c r="N319" i="1"/>
  <c r="M319" i="1"/>
  <c r="P318" i="1"/>
  <c r="N318" i="1"/>
  <c r="P317" i="1"/>
  <c r="N317" i="1"/>
  <c r="M317" i="1"/>
  <c r="P316" i="1"/>
  <c r="N316" i="1"/>
  <c r="P315" i="1"/>
  <c r="N315" i="1"/>
  <c r="M315" i="1"/>
  <c r="P314" i="1"/>
  <c r="N314" i="1"/>
  <c r="M314" i="1"/>
  <c r="P313" i="1"/>
  <c r="N313" i="1"/>
  <c r="M313" i="1"/>
  <c r="P312" i="1"/>
  <c r="N312" i="1"/>
  <c r="M312" i="1"/>
  <c r="P311" i="1"/>
  <c r="N311" i="1"/>
  <c r="M311" i="1"/>
  <c r="P310" i="1"/>
  <c r="N310" i="1"/>
  <c r="P309" i="1"/>
  <c r="N309" i="1"/>
  <c r="M309" i="1"/>
  <c r="P308" i="1"/>
  <c r="N308" i="1"/>
  <c r="P307" i="1"/>
  <c r="N307" i="1"/>
  <c r="M307" i="1"/>
  <c r="P306" i="1"/>
  <c r="N306" i="1"/>
  <c r="M306" i="1"/>
  <c r="P305" i="1"/>
  <c r="N305" i="1"/>
  <c r="M305" i="1"/>
  <c r="P304" i="1"/>
  <c r="N304" i="1"/>
  <c r="M304" i="1"/>
  <c r="P303" i="1"/>
  <c r="N303" i="1"/>
  <c r="M303" i="1"/>
  <c r="P302" i="1"/>
  <c r="N302" i="1"/>
  <c r="P301" i="1"/>
  <c r="N301" i="1"/>
  <c r="M301" i="1"/>
  <c r="P300" i="1"/>
  <c r="N300" i="1"/>
  <c r="P299" i="1"/>
  <c r="N299" i="1"/>
  <c r="M299" i="1"/>
  <c r="P298" i="1"/>
  <c r="N298" i="1"/>
  <c r="M298" i="1"/>
  <c r="P297" i="1"/>
  <c r="N297" i="1"/>
  <c r="M297" i="1"/>
  <c r="P296" i="1"/>
  <c r="N296" i="1"/>
  <c r="M296" i="1"/>
  <c r="P295" i="1"/>
  <c r="N295" i="1"/>
  <c r="M295" i="1"/>
  <c r="P294" i="1"/>
  <c r="N294" i="1"/>
  <c r="P293" i="1"/>
  <c r="N293" i="1"/>
  <c r="M293" i="1"/>
  <c r="P292" i="1"/>
  <c r="N292" i="1"/>
  <c r="P291" i="1"/>
  <c r="N291" i="1"/>
  <c r="M291" i="1"/>
  <c r="P290" i="1"/>
  <c r="N290" i="1"/>
  <c r="M290" i="1"/>
  <c r="P289" i="1"/>
  <c r="N289" i="1"/>
  <c r="M289" i="1"/>
  <c r="P288" i="1"/>
  <c r="N288" i="1"/>
  <c r="M288" i="1"/>
  <c r="P287" i="1"/>
  <c r="N287" i="1"/>
  <c r="M287" i="1"/>
  <c r="P286" i="1"/>
  <c r="N286" i="1"/>
  <c r="P285" i="1"/>
  <c r="N285" i="1"/>
  <c r="M285" i="1"/>
  <c r="P284" i="1"/>
  <c r="N284" i="1"/>
  <c r="P283" i="1"/>
  <c r="N283" i="1"/>
  <c r="M283" i="1"/>
  <c r="P282" i="1"/>
  <c r="N282" i="1"/>
  <c r="M282" i="1"/>
  <c r="P281" i="1"/>
  <c r="N281" i="1"/>
  <c r="M281" i="1"/>
  <c r="P280" i="1"/>
  <c r="N280" i="1"/>
  <c r="M280" i="1"/>
  <c r="P279" i="1"/>
  <c r="N279" i="1"/>
  <c r="M279" i="1"/>
  <c r="P278" i="1"/>
  <c r="N278" i="1"/>
  <c r="M278" i="1"/>
  <c r="P277" i="1"/>
  <c r="N277" i="1"/>
  <c r="M277" i="1"/>
  <c r="P276" i="1"/>
  <c r="R276" i="1" s="1"/>
  <c r="N276" i="1"/>
  <c r="P275" i="1"/>
  <c r="N275" i="1"/>
  <c r="M275" i="1"/>
  <c r="P274" i="1"/>
  <c r="N274" i="1"/>
  <c r="M274" i="1"/>
  <c r="P273" i="1"/>
  <c r="N273" i="1"/>
  <c r="M273" i="1"/>
  <c r="P272" i="1"/>
  <c r="N272" i="1"/>
  <c r="M272" i="1"/>
  <c r="P271" i="1"/>
  <c r="N271" i="1"/>
  <c r="M271" i="1"/>
  <c r="P270" i="1"/>
  <c r="N270" i="1"/>
  <c r="M270" i="1"/>
  <c r="P269" i="1"/>
  <c r="N269" i="1"/>
  <c r="M269" i="1"/>
  <c r="P268" i="1"/>
  <c r="N268" i="1"/>
  <c r="P267" i="1"/>
  <c r="N267" i="1"/>
  <c r="M267" i="1"/>
  <c r="P266" i="1"/>
  <c r="N266" i="1"/>
  <c r="M266" i="1"/>
  <c r="P265" i="1"/>
  <c r="N265" i="1"/>
  <c r="M265" i="1"/>
  <c r="P264" i="1"/>
  <c r="N264" i="1"/>
  <c r="M264" i="1"/>
  <c r="P263" i="1"/>
  <c r="N263" i="1"/>
  <c r="M263" i="1"/>
  <c r="P262" i="1"/>
  <c r="N262" i="1"/>
  <c r="M262" i="1"/>
  <c r="P261" i="1"/>
  <c r="N261" i="1"/>
  <c r="M261" i="1"/>
  <c r="P260" i="1"/>
  <c r="R260" i="1" s="1"/>
  <c r="N260" i="1"/>
  <c r="P259" i="1"/>
  <c r="N259" i="1"/>
  <c r="M259" i="1"/>
  <c r="P258" i="1"/>
  <c r="N258" i="1"/>
  <c r="M258" i="1"/>
  <c r="P257" i="1"/>
  <c r="N257" i="1"/>
  <c r="M257" i="1"/>
  <c r="P256" i="1"/>
  <c r="N256" i="1"/>
  <c r="M256" i="1"/>
  <c r="P255" i="1"/>
  <c r="N255" i="1"/>
  <c r="M255" i="1"/>
  <c r="P254" i="1"/>
  <c r="N254" i="1"/>
  <c r="M254" i="1"/>
  <c r="P253" i="1"/>
  <c r="N253" i="1"/>
  <c r="M253" i="1"/>
  <c r="P252" i="1"/>
  <c r="N252" i="1"/>
  <c r="P251" i="1"/>
  <c r="N251" i="1"/>
  <c r="M251" i="1"/>
  <c r="P250" i="1"/>
  <c r="N250" i="1"/>
  <c r="M250" i="1"/>
  <c r="P249" i="1"/>
  <c r="N249" i="1"/>
  <c r="M249" i="1"/>
  <c r="P248" i="1"/>
  <c r="N248" i="1"/>
  <c r="M248" i="1"/>
  <c r="P247" i="1"/>
  <c r="N247" i="1"/>
  <c r="M247" i="1"/>
  <c r="P246" i="1"/>
  <c r="N246" i="1"/>
  <c r="P245" i="1"/>
  <c r="N245" i="1"/>
  <c r="M245" i="1"/>
  <c r="P244" i="1"/>
  <c r="N244" i="1"/>
  <c r="P243" i="1"/>
  <c r="N243" i="1"/>
  <c r="M243" i="1"/>
  <c r="P242" i="1"/>
  <c r="N242" i="1"/>
  <c r="M242" i="1"/>
  <c r="P241" i="1"/>
  <c r="N241" i="1"/>
  <c r="M241" i="1"/>
  <c r="P240" i="1"/>
  <c r="N240" i="1"/>
  <c r="M240" i="1"/>
  <c r="P239" i="1"/>
  <c r="N239" i="1"/>
  <c r="M239" i="1"/>
  <c r="P238" i="1"/>
  <c r="N238" i="1"/>
  <c r="P237" i="1"/>
  <c r="N237" i="1"/>
  <c r="M237" i="1"/>
  <c r="P236" i="1"/>
  <c r="N236" i="1"/>
  <c r="P235" i="1"/>
  <c r="N235" i="1"/>
  <c r="M235" i="1"/>
  <c r="P234" i="1"/>
  <c r="N234" i="1"/>
  <c r="M234" i="1"/>
  <c r="P233" i="1"/>
  <c r="N233" i="1"/>
  <c r="M233" i="1"/>
  <c r="P232" i="1"/>
  <c r="N232" i="1"/>
  <c r="M232" i="1"/>
  <c r="P231" i="1"/>
  <c r="N231" i="1"/>
  <c r="M231" i="1"/>
  <c r="P230" i="1"/>
  <c r="N230" i="1"/>
  <c r="P229" i="1"/>
  <c r="N229" i="1"/>
  <c r="M229" i="1"/>
  <c r="P228" i="1"/>
  <c r="N228" i="1"/>
  <c r="P227" i="1"/>
  <c r="N227" i="1"/>
  <c r="M227" i="1"/>
  <c r="P226" i="1"/>
  <c r="N226" i="1"/>
  <c r="M226" i="1"/>
  <c r="P225" i="1"/>
  <c r="N225" i="1"/>
  <c r="M225" i="1"/>
  <c r="P224" i="1"/>
  <c r="N224" i="1"/>
  <c r="M224" i="1"/>
  <c r="P223" i="1"/>
  <c r="N223" i="1"/>
  <c r="M223" i="1"/>
  <c r="P222" i="1"/>
  <c r="N222" i="1"/>
  <c r="M222" i="1"/>
  <c r="P221" i="1"/>
  <c r="N221" i="1"/>
  <c r="M221" i="1"/>
  <c r="P220" i="1"/>
  <c r="N220" i="1"/>
  <c r="P219" i="1"/>
  <c r="N219" i="1"/>
  <c r="M219" i="1"/>
  <c r="P218" i="1"/>
  <c r="N218" i="1"/>
  <c r="M218" i="1"/>
  <c r="P217" i="1"/>
  <c r="N217" i="1"/>
  <c r="M217" i="1"/>
  <c r="P216" i="1"/>
  <c r="N216" i="1"/>
  <c r="M216" i="1"/>
  <c r="P215" i="1"/>
  <c r="N215" i="1"/>
  <c r="M215" i="1"/>
  <c r="P214" i="1"/>
  <c r="N214" i="1"/>
  <c r="M214" i="1"/>
  <c r="P213" i="1"/>
  <c r="N213" i="1"/>
  <c r="M213" i="1"/>
  <c r="P212" i="1"/>
  <c r="N212" i="1"/>
  <c r="P211" i="1"/>
  <c r="N211" i="1"/>
  <c r="M211" i="1"/>
  <c r="P210" i="1"/>
  <c r="N210" i="1"/>
  <c r="M210" i="1"/>
  <c r="P209" i="1"/>
  <c r="N209" i="1"/>
  <c r="M209" i="1"/>
  <c r="P208" i="1"/>
  <c r="N208" i="1"/>
  <c r="M208" i="1"/>
  <c r="P207" i="1"/>
  <c r="N207" i="1"/>
  <c r="M207" i="1"/>
  <c r="P206" i="1"/>
  <c r="N206" i="1"/>
  <c r="M206" i="1"/>
  <c r="P205" i="1"/>
  <c r="N205" i="1"/>
  <c r="M205" i="1"/>
  <c r="P204" i="1"/>
  <c r="N204" i="1"/>
  <c r="P203" i="1"/>
  <c r="N203" i="1"/>
  <c r="M203" i="1"/>
  <c r="P202" i="1"/>
  <c r="N202" i="1"/>
  <c r="M202" i="1"/>
  <c r="P201" i="1"/>
  <c r="N201" i="1"/>
  <c r="M201" i="1"/>
  <c r="P200" i="1"/>
  <c r="N200" i="1"/>
  <c r="M200" i="1"/>
  <c r="P199" i="1"/>
  <c r="N199" i="1"/>
  <c r="M199" i="1"/>
  <c r="P198" i="1"/>
  <c r="N198" i="1"/>
  <c r="M198" i="1"/>
  <c r="P197" i="1"/>
  <c r="N197" i="1"/>
  <c r="M197" i="1"/>
  <c r="P196" i="1"/>
  <c r="N196" i="1"/>
  <c r="P195" i="1"/>
  <c r="N195" i="1"/>
  <c r="M195" i="1"/>
  <c r="P194" i="1"/>
  <c r="N194" i="1"/>
  <c r="M194" i="1"/>
  <c r="P193" i="1"/>
  <c r="N193" i="1"/>
  <c r="M193" i="1"/>
  <c r="P192" i="1"/>
  <c r="N192" i="1"/>
  <c r="M192" i="1"/>
  <c r="P191" i="1"/>
  <c r="N191" i="1"/>
  <c r="M191" i="1"/>
  <c r="P190" i="1"/>
  <c r="N190" i="1"/>
  <c r="M190" i="1"/>
  <c r="P189" i="1"/>
  <c r="N189" i="1"/>
  <c r="M189" i="1"/>
  <c r="P188" i="1"/>
  <c r="N188" i="1"/>
  <c r="P187" i="1"/>
  <c r="N187" i="1"/>
  <c r="M187" i="1"/>
  <c r="P186" i="1"/>
  <c r="N186" i="1"/>
  <c r="M186" i="1"/>
  <c r="P185" i="1"/>
  <c r="N185" i="1"/>
  <c r="M185" i="1"/>
  <c r="P184" i="1"/>
  <c r="N184" i="1"/>
  <c r="M184" i="1"/>
  <c r="P183" i="1"/>
  <c r="N183" i="1"/>
  <c r="M183" i="1"/>
  <c r="P182" i="1"/>
  <c r="N182" i="1"/>
  <c r="M182" i="1"/>
  <c r="P181" i="1"/>
  <c r="N181" i="1"/>
  <c r="M181" i="1"/>
  <c r="P180" i="1"/>
  <c r="N180" i="1"/>
  <c r="P179" i="1"/>
  <c r="N179" i="1"/>
  <c r="M179" i="1"/>
  <c r="P178" i="1"/>
  <c r="N178" i="1"/>
  <c r="M178" i="1"/>
  <c r="P177" i="1"/>
  <c r="N177" i="1"/>
  <c r="M177" i="1"/>
  <c r="P176" i="1"/>
  <c r="N176" i="1"/>
  <c r="M176" i="1"/>
  <c r="P175" i="1"/>
  <c r="N175" i="1"/>
  <c r="M175" i="1"/>
  <c r="P174" i="1"/>
  <c r="N174" i="1"/>
  <c r="M174" i="1"/>
  <c r="P173" i="1"/>
  <c r="N173" i="1"/>
  <c r="M173" i="1"/>
  <c r="P172" i="1"/>
  <c r="R172" i="1" s="1"/>
  <c r="N172" i="1"/>
  <c r="P171" i="1"/>
  <c r="N171" i="1"/>
  <c r="M171" i="1"/>
  <c r="P170" i="1"/>
  <c r="N170" i="1"/>
  <c r="M170" i="1"/>
  <c r="P169" i="1"/>
  <c r="N169" i="1"/>
  <c r="M169" i="1"/>
  <c r="P168" i="1"/>
  <c r="N168" i="1"/>
  <c r="M168" i="1"/>
  <c r="P167" i="1"/>
  <c r="N167" i="1"/>
  <c r="M167" i="1"/>
  <c r="P166" i="1"/>
  <c r="N166" i="1"/>
  <c r="M166" i="1"/>
  <c r="P165" i="1"/>
  <c r="N165" i="1"/>
  <c r="M165" i="1"/>
  <c r="P164" i="1"/>
  <c r="N164" i="1"/>
  <c r="P163" i="1"/>
  <c r="N163" i="1"/>
  <c r="M163" i="1"/>
  <c r="P162" i="1"/>
  <c r="N162" i="1"/>
  <c r="M162" i="1"/>
  <c r="P161" i="1"/>
  <c r="N161" i="1"/>
  <c r="M161" i="1"/>
  <c r="P160" i="1"/>
  <c r="N160" i="1"/>
  <c r="M160" i="1"/>
  <c r="P159" i="1"/>
  <c r="N159" i="1"/>
  <c r="M159" i="1"/>
  <c r="P158" i="1"/>
  <c r="N158" i="1"/>
  <c r="M158" i="1"/>
  <c r="P157" i="1"/>
  <c r="N157" i="1"/>
  <c r="M157" i="1"/>
  <c r="P156" i="1"/>
  <c r="R156" i="1" s="1"/>
  <c r="N156" i="1"/>
  <c r="P155" i="1"/>
  <c r="N155" i="1"/>
  <c r="M155" i="1"/>
  <c r="P154" i="1"/>
  <c r="N154" i="1"/>
  <c r="M154" i="1"/>
  <c r="P153" i="1"/>
  <c r="N153" i="1"/>
  <c r="M153" i="1"/>
  <c r="P152" i="1"/>
  <c r="N152" i="1"/>
  <c r="M152" i="1"/>
  <c r="P151" i="1"/>
  <c r="N151" i="1"/>
  <c r="M151" i="1"/>
  <c r="P150" i="1"/>
  <c r="N150" i="1"/>
  <c r="M150" i="1"/>
  <c r="P149" i="1"/>
  <c r="N149" i="1"/>
  <c r="M149" i="1"/>
  <c r="P148" i="1"/>
  <c r="N148" i="1"/>
  <c r="P147" i="1"/>
  <c r="R147" i="1" s="1"/>
  <c r="N147" i="1"/>
  <c r="M147" i="1"/>
  <c r="P146" i="1"/>
  <c r="N146" i="1"/>
  <c r="M146" i="1"/>
  <c r="P145" i="1"/>
  <c r="R145" i="1" s="1"/>
  <c r="N145" i="1"/>
  <c r="M145" i="1"/>
  <c r="P144" i="1"/>
  <c r="N144" i="1"/>
  <c r="M144" i="1"/>
  <c r="P143" i="1"/>
  <c r="R143" i="1" s="1"/>
  <c r="N143" i="1"/>
  <c r="M143" i="1"/>
  <c r="P142" i="1"/>
  <c r="N142" i="1"/>
  <c r="M142" i="1"/>
  <c r="P141" i="1"/>
  <c r="R141" i="1" s="1"/>
  <c r="N141" i="1"/>
  <c r="M141" i="1"/>
  <c r="P140" i="1"/>
  <c r="N140" i="1"/>
  <c r="P139" i="1"/>
  <c r="N139" i="1"/>
  <c r="M139" i="1"/>
  <c r="P138" i="1"/>
  <c r="N138" i="1"/>
  <c r="M138" i="1"/>
  <c r="P137" i="1"/>
  <c r="N137" i="1"/>
  <c r="M137" i="1"/>
  <c r="P136" i="1"/>
  <c r="N136" i="1"/>
  <c r="M136" i="1"/>
  <c r="P135" i="1"/>
  <c r="N135" i="1"/>
  <c r="M135" i="1"/>
  <c r="P134" i="1"/>
  <c r="N134" i="1"/>
  <c r="M134" i="1"/>
  <c r="P133" i="1"/>
  <c r="N133" i="1"/>
  <c r="M133" i="1"/>
  <c r="P132" i="1"/>
  <c r="N132" i="1"/>
  <c r="P131" i="1"/>
  <c r="R131" i="1" s="1"/>
  <c r="N131" i="1"/>
  <c r="M131" i="1"/>
  <c r="P130" i="1"/>
  <c r="N130" i="1"/>
  <c r="M130" i="1"/>
  <c r="P129" i="1"/>
  <c r="R129" i="1" s="1"/>
  <c r="N129" i="1"/>
  <c r="M129" i="1"/>
  <c r="P128" i="1"/>
  <c r="N128" i="1"/>
  <c r="M128" i="1"/>
  <c r="P127" i="1"/>
  <c r="R127" i="1" s="1"/>
  <c r="N127" i="1"/>
  <c r="M127" i="1"/>
  <c r="P126" i="1"/>
  <c r="N126" i="1"/>
  <c r="M126" i="1"/>
  <c r="P125" i="1"/>
  <c r="R125" i="1" s="1"/>
  <c r="N125" i="1"/>
  <c r="M125" i="1"/>
  <c r="P124" i="1"/>
  <c r="N124" i="1"/>
  <c r="P123" i="1"/>
  <c r="N123" i="1"/>
  <c r="M123" i="1"/>
  <c r="P122" i="1"/>
  <c r="N122" i="1"/>
  <c r="M122" i="1"/>
  <c r="P121" i="1"/>
  <c r="N121" i="1"/>
  <c r="M121" i="1"/>
  <c r="P120" i="1"/>
  <c r="N120" i="1"/>
  <c r="M120" i="1"/>
  <c r="P119" i="1"/>
  <c r="N119" i="1"/>
  <c r="M119" i="1"/>
  <c r="P118" i="1"/>
  <c r="N118" i="1"/>
  <c r="M118" i="1"/>
  <c r="P117" i="1"/>
  <c r="N117" i="1"/>
  <c r="M117" i="1"/>
  <c r="P116" i="1"/>
  <c r="N116" i="1"/>
  <c r="P115" i="1"/>
  <c r="N115" i="1"/>
  <c r="M115" i="1"/>
  <c r="P114" i="1"/>
  <c r="N114" i="1"/>
  <c r="M114" i="1"/>
  <c r="P113" i="1"/>
  <c r="N113" i="1"/>
  <c r="M113" i="1"/>
  <c r="P112" i="1"/>
  <c r="N112" i="1"/>
  <c r="M112" i="1"/>
  <c r="P111" i="1"/>
  <c r="N111" i="1"/>
  <c r="M111" i="1"/>
  <c r="P110" i="1"/>
  <c r="N110" i="1"/>
  <c r="M110" i="1"/>
  <c r="P109" i="1"/>
  <c r="N109" i="1"/>
  <c r="M109" i="1"/>
  <c r="P108" i="1"/>
  <c r="R108" i="1" s="1"/>
  <c r="N108" i="1"/>
  <c r="P107" i="1"/>
  <c r="N107" i="1"/>
  <c r="M107" i="1"/>
  <c r="P106" i="1"/>
  <c r="N106" i="1"/>
  <c r="M106" i="1"/>
  <c r="P105" i="1"/>
  <c r="N105" i="1"/>
  <c r="M105" i="1"/>
  <c r="P104" i="1"/>
  <c r="N104" i="1"/>
  <c r="M104" i="1"/>
  <c r="P103" i="1"/>
  <c r="N103" i="1"/>
  <c r="M103" i="1"/>
  <c r="P102" i="1"/>
  <c r="N102" i="1"/>
  <c r="M102" i="1"/>
  <c r="P101" i="1"/>
  <c r="N101" i="1"/>
  <c r="M101" i="1"/>
  <c r="P100" i="1"/>
  <c r="N100" i="1"/>
  <c r="P99" i="1"/>
  <c r="N99" i="1"/>
  <c r="M99" i="1"/>
  <c r="P98" i="1"/>
  <c r="N98" i="1"/>
  <c r="M98" i="1"/>
  <c r="P97" i="1"/>
  <c r="N97" i="1"/>
  <c r="M97" i="1"/>
  <c r="P96" i="1"/>
  <c r="N96" i="1"/>
  <c r="M96" i="1"/>
  <c r="P95" i="1"/>
  <c r="N95" i="1"/>
  <c r="M95" i="1"/>
  <c r="P94" i="1"/>
  <c r="N94" i="1"/>
  <c r="M94" i="1"/>
  <c r="P93" i="1"/>
  <c r="N93" i="1"/>
  <c r="M93" i="1"/>
  <c r="P92" i="1"/>
  <c r="N92" i="1"/>
  <c r="M92" i="1"/>
  <c r="P91" i="1"/>
  <c r="N91" i="1"/>
  <c r="M91" i="1"/>
  <c r="P90" i="1"/>
  <c r="N90" i="1"/>
  <c r="M90" i="1"/>
  <c r="P89" i="1"/>
  <c r="N89" i="1"/>
  <c r="M89" i="1"/>
  <c r="P88" i="1"/>
  <c r="N88" i="1"/>
  <c r="M88" i="1"/>
  <c r="P87" i="1"/>
  <c r="N87" i="1"/>
  <c r="M87" i="1"/>
  <c r="P86" i="1"/>
  <c r="N86" i="1"/>
  <c r="M86" i="1"/>
  <c r="P85" i="1"/>
  <c r="N85" i="1"/>
  <c r="M85" i="1"/>
  <c r="P84" i="1"/>
  <c r="N84" i="1"/>
  <c r="M84" i="1"/>
  <c r="P83" i="1"/>
  <c r="N83" i="1"/>
  <c r="M83" i="1"/>
  <c r="P82" i="1"/>
  <c r="N82" i="1"/>
  <c r="M82" i="1"/>
  <c r="P81" i="1"/>
  <c r="N81" i="1"/>
  <c r="M81" i="1"/>
  <c r="P80" i="1"/>
  <c r="N80" i="1"/>
  <c r="M80" i="1"/>
  <c r="P79" i="1"/>
  <c r="N79" i="1"/>
  <c r="M79" i="1"/>
  <c r="P78" i="1"/>
  <c r="N78" i="1"/>
  <c r="M78" i="1"/>
  <c r="P77" i="1"/>
  <c r="N77" i="1"/>
  <c r="M77" i="1"/>
  <c r="P76" i="1"/>
  <c r="N76" i="1"/>
  <c r="M76" i="1"/>
  <c r="P75" i="1"/>
  <c r="N75" i="1"/>
  <c r="M75" i="1"/>
  <c r="P74" i="1"/>
  <c r="N74" i="1"/>
  <c r="M74" i="1"/>
  <c r="P73" i="1"/>
  <c r="N73" i="1"/>
  <c r="M73" i="1"/>
  <c r="P72" i="1"/>
  <c r="N72" i="1"/>
  <c r="M72" i="1"/>
  <c r="P71" i="1"/>
  <c r="N71" i="1"/>
  <c r="M71" i="1"/>
  <c r="P70" i="1"/>
  <c r="N70" i="1"/>
  <c r="M70" i="1"/>
  <c r="P69" i="1"/>
  <c r="N69" i="1"/>
  <c r="M69" i="1"/>
  <c r="P68" i="1"/>
  <c r="N68" i="1"/>
  <c r="M68" i="1"/>
  <c r="P67" i="1"/>
  <c r="N67" i="1"/>
  <c r="M67" i="1"/>
  <c r="P66" i="1"/>
  <c r="N66" i="1"/>
  <c r="M66" i="1"/>
  <c r="P65" i="1"/>
  <c r="N65" i="1"/>
  <c r="M65" i="1"/>
  <c r="P64" i="1"/>
  <c r="N64" i="1"/>
  <c r="M64" i="1"/>
  <c r="P63" i="1"/>
  <c r="N63" i="1"/>
  <c r="M63" i="1"/>
  <c r="P62" i="1"/>
  <c r="N62" i="1"/>
  <c r="M62" i="1"/>
  <c r="P61" i="1"/>
  <c r="N61" i="1"/>
  <c r="M61" i="1"/>
  <c r="P60" i="1"/>
  <c r="N60" i="1"/>
  <c r="M60" i="1"/>
  <c r="P59" i="1"/>
  <c r="N59" i="1"/>
  <c r="M59" i="1"/>
  <c r="P58" i="1"/>
  <c r="N58" i="1"/>
  <c r="M58" i="1"/>
  <c r="P57" i="1"/>
  <c r="N57" i="1"/>
  <c r="M57" i="1"/>
  <c r="P56" i="1"/>
  <c r="N56" i="1"/>
  <c r="M56" i="1"/>
  <c r="P55" i="1"/>
  <c r="N55" i="1"/>
  <c r="M55" i="1"/>
  <c r="P54" i="1"/>
  <c r="N54" i="1"/>
  <c r="M54" i="1"/>
  <c r="P53" i="1"/>
  <c r="N53" i="1"/>
  <c r="M53" i="1"/>
  <c r="P52" i="1"/>
  <c r="N52" i="1"/>
  <c r="M52" i="1"/>
  <c r="P51" i="1"/>
  <c r="N51" i="1"/>
  <c r="M51" i="1"/>
  <c r="P50" i="1"/>
  <c r="N50" i="1"/>
  <c r="M50" i="1"/>
  <c r="P49" i="1"/>
  <c r="N49" i="1"/>
  <c r="M49" i="1"/>
  <c r="P48" i="1"/>
  <c r="N48" i="1"/>
  <c r="M48" i="1"/>
  <c r="P47" i="1"/>
  <c r="N47" i="1"/>
  <c r="M47" i="1"/>
  <c r="P46" i="1"/>
  <c r="N46" i="1"/>
  <c r="M46" i="1"/>
  <c r="P45" i="1"/>
  <c r="N45" i="1"/>
  <c r="M45" i="1"/>
  <c r="P44" i="1"/>
  <c r="N44" i="1"/>
  <c r="M44" i="1"/>
  <c r="P43" i="1"/>
  <c r="N43" i="1"/>
  <c r="M43" i="1"/>
  <c r="P42" i="1"/>
  <c r="N42" i="1"/>
  <c r="M42" i="1"/>
  <c r="P41" i="1"/>
  <c r="N41" i="1"/>
  <c r="M41" i="1"/>
  <c r="P40" i="1"/>
  <c r="N40" i="1"/>
  <c r="M40" i="1"/>
  <c r="P39" i="1"/>
  <c r="N39" i="1"/>
  <c r="M39" i="1"/>
  <c r="P38" i="1"/>
  <c r="N38" i="1"/>
  <c r="M38" i="1"/>
  <c r="P37" i="1"/>
  <c r="N37" i="1"/>
  <c r="M37" i="1"/>
  <c r="P36" i="1"/>
  <c r="R36" i="1" s="1"/>
  <c r="N36" i="1"/>
  <c r="M36" i="1"/>
  <c r="P35" i="1"/>
  <c r="N35" i="1"/>
  <c r="M35" i="1"/>
  <c r="P34" i="1"/>
  <c r="N34" i="1"/>
  <c r="M34" i="1"/>
  <c r="P33" i="1"/>
  <c r="N33" i="1"/>
  <c r="M33" i="1"/>
  <c r="P32" i="1"/>
  <c r="N32" i="1"/>
  <c r="M32" i="1"/>
  <c r="P31" i="1"/>
  <c r="N31" i="1"/>
  <c r="M31" i="1"/>
  <c r="P30" i="1"/>
  <c r="N30" i="1"/>
  <c r="M30" i="1"/>
  <c r="P29" i="1"/>
  <c r="N29" i="1"/>
  <c r="M29" i="1"/>
  <c r="P28" i="1"/>
  <c r="R28" i="1" s="1"/>
  <c r="N28" i="1"/>
  <c r="M28" i="1"/>
  <c r="P27" i="1"/>
  <c r="N27" i="1"/>
  <c r="M27" i="1"/>
  <c r="P26" i="1"/>
  <c r="N26" i="1"/>
  <c r="M26" i="1"/>
  <c r="P25" i="1"/>
  <c r="N25" i="1"/>
  <c r="M25" i="1"/>
  <c r="P24" i="1"/>
  <c r="N24" i="1"/>
  <c r="M24" i="1"/>
  <c r="P23" i="1"/>
  <c r="N23" i="1"/>
  <c r="M23" i="1"/>
  <c r="P22" i="1"/>
  <c r="N22" i="1"/>
  <c r="M22" i="1"/>
  <c r="P21" i="1"/>
  <c r="N21" i="1"/>
  <c r="M21" i="1"/>
  <c r="P20" i="1"/>
  <c r="N20" i="1"/>
  <c r="M20" i="1"/>
  <c r="P19" i="1"/>
  <c r="N19" i="1"/>
  <c r="M19" i="1"/>
  <c r="P18" i="1"/>
  <c r="N18" i="1"/>
  <c r="M18" i="1"/>
  <c r="P17" i="1"/>
  <c r="N17" i="1"/>
  <c r="M17" i="1"/>
  <c r="P16" i="1"/>
  <c r="N16" i="1"/>
  <c r="M16" i="1"/>
  <c r="P15" i="1"/>
  <c r="N15" i="1"/>
  <c r="M15" i="1"/>
  <c r="P14" i="1"/>
  <c r="N14" i="1"/>
  <c r="M14" i="1"/>
  <c r="P13" i="1"/>
  <c r="N13" i="1"/>
  <c r="M13" i="1"/>
  <c r="P12" i="1"/>
  <c r="N12" i="1"/>
  <c r="M12" i="1"/>
  <c r="P11" i="1"/>
  <c r="N11" i="1"/>
  <c r="M11" i="1"/>
  <c r="P10" i="1"/>
  <c r="N10" i="1"/>
  <c r="M10" i="1"/>
  <c r="P9" i="1"/>
  <c r="N9" i="1"/>
  <c r="M9" i="1"/>
  <c r="P8" i="1"/>
  <c r="N8" i="1"/>
  <c r="M8" i="1"/>
  <c r="P7" i="1"/>
  <c r="N7" i="1"/>
  <c r="M7" i="1"/>
  <c r="P6" i="1"/>
  <c r="N6" i="1"/>
  <c r="M6" i="1"/>
  <c r="P5" i="1"/>
  <c r="N5" i="1"/>
  <c r="M5" i="1"/>
  <c r="P4" i="1"/>
  <c r="N4" i="1"/>
  <c r="M4" i="1"/>
  <c r="P3" i="1"/>
  <c r="M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R307" i="1" s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R459" i="1" s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11" i="1"/>
  <c r="J3" i="1"/>
  <c r="J7" i="1"/>
  <c r="J8" i="1"/>
  <c r="J9" i="1"/>
  <c r="J10" i="1"/>
  <c r="J13" i="1"/>
  <c r="J4" i="1"/>
  <c r="J5" i="1"/>
  <c r="J6" i="1"/>
  <c r="J12" i="1"/>
  <c r="R381" i="1" l="1"/>
  <c r="R117" i="1"/>
  <c r="R121" i="1"/>
  <c r="R123" i="1"/>
  <c r="R97" i="1"/>
  <c r="R99" i="1"/>
  <c r="R157" i="1"/>
  <c r="R161" i="1"/>
  <c r="R163" i="1"/>
  <c r="R112" i="1"/>
  <c r="R176" i="1"/>
  <c r="R234" i="1"/>
  <c r="R344" i="1"/>
  <c r="R359" i="1"/>
  <c r="R376" i="1"/>
  <c r="R420" i="1"/>
  <c r="R452" i="1"/>
  <c r="R100" i="1"/>
  <c r="R104" i="1"/>
  <c r="R133" i="1"/>
  <c r="R135" i="1"/>
  <c r="R137" i="1"/>
  <c r="R139" i="1"/>
  <c r="R164" i="1"/>
  <c r="R168" i="1"/>
  <c r="R268" i="1"/>
  <c r="R272" i="1"/>
  <c r="R355" i="1"/>
  <c r="R431" i="1"/>
  <c r="R433" i="1"/>
  <c r="R435" i="1"/>
  <c r="R448" i="1"/>
  <c r="R119" i="1"/>
  <c r="R148" i="1"/>
  <c r="R152" i="1"/>
  <c r="R252" i="1"/>
  <c r="R256" i="1"/>
  <c r="R347" i="1"/>
  <c r="R423" i="1"/>
  <c r="R425" i="1"/>
  <c r="R427" i="1"/>
  <c r="R440" i="1"/>
  <c r="R455" i="1"/>
  <c r="R109" i="1"/>
  <c r="R111" i="1"/>
  <c r="R113" i="1"/>
  <c r="R115" i="1"/>
  <c r="R140" i="1"/>
  <c r="R144" i="1"/>
  <c r="R173" i="1"/>
  <c r="R175" i="1"/>
  <c r="R277" i="1"/>
  <c r="R279" i="1"/>
  <c r="R328" i="1"/>
  <c r="R341" i="1"/>
  <c r="R343" i="1"/>
  <c r="R345" i="1"/>
  <c r="R356" i="1"/>
  <c r="R360" i="1"/>
  <c r="R421" i="1"/>
  <c r="R436" i="1"/>
  <c r="R453" i="1"/>
  <c r="R160" i="1"/>
  <c r="R264" i="1"/>
  <c r="R336" i="1"/>
  <c r="R101" i="1"/>
  <c r="R103" i="1"/>
  <c r="R105" i="1"/>
  <c r="R107" i="1"/>
  <c r="R132" i="1"/>
  <c r="R136" i="1"/>
  <c r="R165" i="1"/>
  <c r="R167" i="1"/>
  <c r="R169" i="1"/>
  <c r="R171" i="1"/>
  <c r="R269" i="1"/>
  <c r="R271" i="1"/>
  <c r="R273" i="1"/>
  <c r="R275" i="1"/>
  <c r="R339" i="1"/>
  <c r="R419" i="1"/>
  <c r="R432" i="1"/>
  <c r="R447" i="1"/>
  <c r="R449" i="1"/>
  <c r="R451" i="1"/>
  <c r="R124" i="1"/>
  <c r="R128" i="1"/>
  <c r="R159" i="1"/>
  <c r="R261" i="1"/>
  <c r="R263" i="1"/>
  <c r="R265" i="1"/>
  <c r="R267" i="1"/>
  <c r="R288" i="1"/>
  <c r="R333" i="1"/>
  <c r="R335" i="1"/>
  <c r="R337" i="1"/>
  <c r="R348" i="1"/>
  <c r="R352" i="1"/>
  <c r="R428" i="1"/>
  <c r="R445" i="1"/>
  <c r="R32" i="1"/>
  <c r="R96" i="1"/>
  <c r="R116" i="1"/>
  <c r="R120" i="1"/>
  <c r="R149" i="1"/>
  <c r="R151" i="1"/>
  <c r="R153" i="1"/>
  <c r="R155" i="1"/>
  <c r="R253" i="1"/>
  <c r="R255" i="1"/>
  <c r="R257" i="1"/>
  <c r="R259" i="1"/>
  <c r="R331" i="1"/>
  <c r="R363" i="1"/>
  <c r="R424" i="1"/>
  <c r="R439" i="1"/>
  <c r="R441" i="1"/>
  <c r="R443" i="1"/>
  <c r="R456" i="1"/>
  <c r="R26" i="1"/>
  <c r="R241" i="1"/>
  <c r="R102" i="1"/>
  <c r="R142" i="1"/>
  <c r="R166" i="1"/>
  <c r="R170" i="1"/>
  <c r="R342" i="1"/>
  <c r="R346" i="1"/>
  <c r="R362" i="1"/>
  <c r="R27" i="1"/>
  <c r="R29" i="1"/>
  <c r="R31" i="1"/>
  <c r="R33" i="1"/>
  <c r="R35" i="1"/>
  <c r="R37" i="1"/>
  <c r="R39" i="1"/>
  <c r="R41" i="1"/>
  <c r="R43" i="1"/>
  <c r="R45" i="1"/>
  <c r="R47" i="1"/>
  <c r="R49" i="1"/>
  <c r="R51" i="1"/>
  <c r="R53" i="1"/>
  <c r="R55" i="1"/>
  <c r="R57" i="1"/>
  <c r="R59" i="1"/>
  <c r="R61" i="1"/>
  <c r="R63" i="1"/>
  <c r="R65" i="1"/>
  <c r="R67" i="1"/>
  <c r="R69" i="1"/>
  <c r="R71" i="1"/>
  <c r="R73" i="1"/>
  <c r="R75" i="1"/>
  <c r="R77" i="1"/>
  <c r="R79" i="1"/>
  <c r="R81" i="1"/>
  <c r="R83" i="1"/>
  <c r="R85" i="1"/>
  <c r="R87" i="1"/>
  <c r="R89" i="1"/>
  <c r="R91" i="1"/>
  <c r="R93" i="1"/>
  <c r="R95" i="1"/>
  <c r="R242" i="1"/>
  <c r="R244" i="1"/>
  <c r="R246" i="1"/>
  <c r="R248" i="1"/>
  <c r="R250" i="1"/>
  <c r="R309" i="1"/>
  <c r="R311" i="1"/>
  <c r="R313" i="1"/>
  <c r="R315" i="1"/>
  <c r="R317" i="1"/>
  <c r="R319" i="1"/>
  <c r="R321" i="1"/>
  <c r="R323" i="1"/>
  <c r="R325" i="1"/>
  <c r="R327" i="1"/>
  <c r="R382" i="1"/>
  <c r="R384" i="1"/>
  <c r="R386" i="1"/>
  <c r="R388" i="1"/>
  <c r="R390" i="1"/>
  <c r="R392" i="1"/>
  <c r="R394" i="1"/>
  <c r="R396" i="1"/>
  <c r="R398" i="1"/>
  <c r="R400" i="1"/>
  <c r="R402" i="1"/>
  <c r="R404" i="1"/>
  <c r="R406" i="1"/>
  <c r="R408" i="1"/>
  <c r="R410" i="1"/>
  <c r="R412" i="1"/>
  <c r="R414" i="1"/>
  <c r="R416" i="1"/>
  <c r="R418" i="1"/>
  <c r="R458" i="1"/>
  <c r="R442" i="1"/>
  <c r="R446" i="1"/>
  <c r="R177" i="1"/>
  <c r="R179" i="1"/>
  <c r="R181" i="1"/>
  <c r="R183" i="1"/>
  <c r="R185" i="1"/>
  <c r="R187" i="1"/>
  <c r="R189" i="1"/>
  <c r="R191" i="1"/>
  <c r="R193" i="1"/>
  <c r="R195" i="1"/>
  <c r="R197" i="1"/>
  <c r="R199" i="1"/>
  <c r="R201" i="1"/>
  <c r="R203" i="1"/>
  <c r="R205" i="1"/>
  <c r="R207" i="1"/>
  <c r="R209" i="1"/>
  <c r="R211" i="1"/>
  <c r="R213" i="1"/>
  <c r="R215" i="1"/>
  <c r="R217" i="1"/>
  <c r="R219" i="1"/>
  <c r="R221" i="1"/>
  <c r="R223" i="1"/>
  <c r="R225" i="1"/>
  <c r="R227" i="1"/>
  <c r="R229" i="1"/>
  <c r="R231" i="1"/>
  <c r="R233" i="1"/>
  <c r="R280" i="1"/>
  <c r="R282" i="1"/>
  <c r="R284" i="1"/>
  <c r="R286" i="1"/>
  <c r="R365" i="1"/>
  <c r="R367" i="1"/>
  <c r="R369" i="1"/>
  <c r="R371" i="1"/>
  <c r="R373" i="1"/>
  <c r="R375" i="1"/>
  <c r="R460" i="1"/>
  <c r="R462" i="1"/>
  <c r="R464" i="1"/>
  <c r="R466" i="1"/>
  <c r="R468" i="1"/>
  <c r="R470" i="1"/>
  <c r="R472" i="1"/>
  <c r="R474" i="1"/>
  <c r="R278" i="1"/>
  <c r="R422" i="1"/>
  <c r="R426" i="1"/>
  <c r="R430" i="1"/>
  <c r="R434" i="1"/>
  <c r="R438" i="1"/>
  <c r="R450" i="1"/>
  <c r="R454" i="1"/>
  <c r="R4" i="1"/>
  <c r="R6" i="1"/>
  <c r="R8" i="1"/>
  <c r="R10" i="1"/>
  <c r="R12" i="1"/>
  <c r="R14" i="1"/>
  <c r="R16" i="1"/>
  <c r="R18" i="1"/>
  <c r="R20" i="1"/>
  <c r="R22" i="1"/>
  <c r="R24" i="1"/>
  <c r="R235" i="1"/>
  <c r="R237" i="1"/>
  <c r="R239" i="1"/>
  <c r="R290" i="1"/>
  <c r="R292" i="1"/>
  <c r="R294" i="1"/>
  <c r="R296" i="1"/>
  <c r="R298" i="1"/>
  <c r="R300" i="1"/>
  <c r="R302" i="1"/>
  <c r="R304" i="1"/>
  <c r="R306" i="1"/>
  <c r="R377" i="1"/>
  <c r="R379" i="1"/>
  <c r="R254" i="1"/>
  <c r="R258" i="1"/>
  <c r="R262" i="1"/>
  <c r="R266" i="1"/>
  <c r="R270" i="1"/>
  <c r="R274" i="1"/>
  <c r="R30" i="1"/>
  <c r="R34" i="1"/>
  <c r="R38" i="1"/>
  <c r="R40" i="1"/>
  <c r="R42" i="1"/>
  <c r="R44" i="1"/>
  <c r="R46" i="1"/>
  <c r="R48" i="1"/>
  <c r="R50" i="1"/>
  <c r="R52" i="1"/>
  <c r="R54" i="1"/>
  <c r="R56" i="1"/>
  <c r="R58" i="1"/>
  <c r="R60" i="1"/>
  <c r="R62" i="1"/>
  <c r="R64" i="1"/>
  <c r="R66" i="1"/>
  <c r="R68" i="1"/>
  <c r="R70" i="1"/>
  <c r="R72" i="1"/>
  <c r="R74" i="1"/>
  <c r="R76" i="1"/>
  <c r="R78" i="1"/>
  <c r="R80" i="1"/>
  <c r="R82" i="1"/>
  <c r="R84" i="1"/>
  <c r="R86" i="1"/>
  <c r="R88" i="1"/>
  <c r="R90" i="1"/>
  <c r="R92" i="1"/>
  <c r="R94" i="1"/>
  <c r="R243" i="1"/>
  <c r="R245" i="1"/>
  <c r="R247" i="1"/>
  <c r="R249" i="1"/>
  <c r="R251" i="1"/>
  <c r="R308" i="1"/>
  <c r="R310" i="1"/>
  <c r="R312" i="1"/>
  <c r="R314" i="1"/>
  <c r="R316" i="1"/>
  <c r="R318" i="1"/>
  <c r="R320" i="1"/>
  <c r="R322" i="1"/>
  <c r="R324" i="1"/>
  <c r="R326" i="1"/>
  <c r="R383" i="1"/>
  <c r="R385" i="1"/>
  <c r="R387" i="1"/>
  <c r="R389" i="1"/>
  <c r="R391" i="1"/>
  <c r="R393" i="1"/>
  <c r="R395" i="1"/>
  <c r="R397" i="1"/>
  <c r="R399" i="1"/>
  <c r="R401" i="1"/>
  <c r="R403" i="1"/>
  <c r="R405" i="1"/>
  <c r="R407" i="1"/>
  <c r="R409" i="1"/>
  <c r="R411" i="1"/>
  <c r="R413" i="1"/>
  <c r="R415" i="1"/>
  <c r="R417" i="1"/>
  <c r="R457" i="1"/>
  <c r="R110" i="1"/>
  <c r="R114" i="1"/>
  <c r="R118" i="1"/>
  <c r="R122" i="1"/>
  <c r="R146" i="1"/>
  <c r="R150" i="1"/>
  <c r="R154" i="1"/>
  <c r="R158" i="1"/>
  <c r="R162" i="1"/>
  <c r="R174" i="1"/>
  <c r="R330" i="1"/>
  <c r="R334" i="1"/>
  <c r="R338" i="1"/>
  <c r="R178" i="1"/>
  <c r="R180" i="1"/>
  <c r="R182" i="1"/>
  <c r="R184" i="1"/>
  <c r="R186" i="1"/>
  <c r="R188" i="1"/>
  <c r="R190" i="1"/>
  <c r="R192" i="1"/>
  <c r="R194" i="1"/>
  <c r="R196" i="1"/>
  <c r="R198" i="1"/>
  <c r="R200" i="1"/>
  <c r="R202" i="1"/>
  <c r="R204" i="1"/>
  <c r="R206" i="1"/>
  <c r="R208" i="1"/>
  <c r="R210" i="1"/>
  <c r="R212" i="1"/>
  <c r="R214" i="1"/>
  <c r="R216" i="1"/>
  <c r="R218" i="1"/>
  <c r="R220" i="1"/>
  <c r="R222" i="1"/>
  <c r="R224" i="1"/>
  <c r="R226" i="1"/>
  <c r="R228" i="1"/>
  <c r="R230" i="1"/>
  <c r="R232" i="1"/>
  <c r="R281" i="1"/>
  <c r="R283" i="1"/>
  <c r="R285" i="1"/>
  <c r="R287" i="1"/>
  <c r="R364" i="1"/>
  <c r="R366" i="1"/>
  <c r="R368" i="1"/>
  <c r="R370" i="1"/>
  <c r="R372" i="1"/>
  <c r="R374" i="1"/>
  <c r="R461" i="1"/>
  <c r="R463" i="1"/>
  <c r="R465" i="1"/>
  <c r="R467" i="1"/>
  <c r="R469" i="1"/>
  <c r="R471" i="1"/>
  <c r="R473" i="1"/>
  <c r="R475" i="1"/>
  <c r="R98" i="1"/>
  <c r="R106" i="1"/>
  <c r="R126" i="1"/>
  <c r="R130" i="1"/>
  <c r="R134" i="1"/>
  <c r="R138" i="1"/>
  <c r="R350" i="1"/>
  <c r="R354" i="1"/>
  <c r="R358" i="1"/>
  <c r="R5" i="1"/>
  <c r="R7" i="1"/>
  <c r="R9" i="1"/>
  <c r="R11" i="1"/>
  <c r="R13" i="1"/>
  <c r="R15" i="1"/>
  <c r="R17" i="1"/>
  <c r="R19" i="1"/>
  <c r="R21" i="1"/>
  <c r="R23" i="1"/>
  <c r="R25" i="1"/>
  <c r="R236" i="1"/>
  <c r="R238" i="1"/>
  <c r="R240" i="1"/>
  <c r="R289" i="1"/>
  <c r="R291" i="1"/>
  <c r="R293" i="1"/>
  <c r="R295" i="1"/>
  <c r="R297" i="1"/>
  <c r="R299" i="1"/>
  <c r="R301" i="1"/>
  <c r="R303" i="1"/>
  <c r="R305" i="1"/>
  <c r="R378" i="1"/>
  <c r="R380" i="1"/>
  <c r="R3" i="1"/>
  <c r="K2" i="1"/>
  <c r="N3" i="1" l="1"/>
  <c r="R1" i="1"/>
</calcChain>
</file>

<file path=xl/sharedStrings.xml><?xml version="1.0" encoding="utf-8"?>
<sst xmlns="http://schemas.openxmlformats.org/spreadsheetml/2006/main" count="492" uniqueCount="479">
  <si>
    <t>Item code</t>
  </si>
  <si>
    <t>UPC Code</t>
  </si>
  <si>
    <t>Description</t>
  </si>
  <si>
    <t>Order</t>
  </si>
  <si>
    <t>Total</t>
  </si>
  <si>
    <t>WhatsApp → +380-9871-54085</t>
  </si>
  <si>
    <t>E-mail → info@dsn.group</t>
  </si>
  <si>
    <t>Instagram → https://www.instagram.com/dsngroup.official/</t>
  </si>
  <si>
    <t>USA → +13-322-093-910</t>
  </si>
  <si>
    <t>Poland → +48-459-568-603</t>
  </si>
  <si>
    <t>E-Gems 100IU 100 Soft Gels</t>
  </si>
  <si>
    <t>E-Gems 100IU 250 Soft Gels</t>
  </si>
  <si>
    <t>E-Gems 200IU 90 Soft Gels</t>
  </si>
  <si>
    <t>E-Gems 200IU 250 Soft Gels</t>
  </si>
  <si>
    <t>E-Gems 400IU 60 Soft Gels</t>
  </si>
  <si>
    <t>E-Gems 400IU 200 Soft Gels</t>
  </si>
  <si>
    <t>E-Gems 400IU 90 Soft Gels</t>
  </si>
  <si>
    <t>E-Gems 400 IU 140  Soft Gels</t>
  </si>
  <si>
    <t>E-Gems 800IU 100 Soft Gels</t>
  </si>
  <si>
    <t>E-Gems 800IU 200 Soft Gels</t>
  </si>
  <si>
    <t>E-Gems Plus 400IU 50 SG</t>
  </si>
  <si>
    <t>E-Gems Plus 400IU 100 SG</t>
  </si>
  <si>
    <t>E-Gems Plus 400IU 250 SG</t>
  </si>
  <si>
    <t>E-Gems Plus 400IU 140  SG</t>
  </si>
  <si>
    <t>Key E Cream Unscented 2 oz</t>
  </si>
  <si>
    <t>Key E Cream Unscented 4 oz</t>
  </si>
  <si>
    <t>Key E Ointment Unscented 2 oz</t>
  </si>
  <si>
    <t>Key E Ointment Unscented 4 oz</t>
  </si>
  <si>
    <t>ADE Cream Unscented 2oz</t>
  </si>
  <si>
    <t>ADE Cream Unscented 4oz</t>
  </si>
  <si>
    <t>Key-E Suppositories Box of 24</t>
  </si>
  <si>
    <t>Key-E Suppositories Box of 12</t>
  </si>
  <si>
    <t>E-Gem Lip Care 1 Tube</t>
  </si>
  <si>
    <t>E-Gem Lip Care Box of 12</t>
  </si>
  <si>
    <t>E-Gem Oil Drops 1/2 oz Bottle</t>
  </si>
  <si>
    <t>E-Gem Oil Drops 2oz Bottle</t>
  </si>
  <si>
    <t>E-Gems Elite 400IU 60 SG</t>
  </si>
  <si>
    <t>E-Gems Elite 400IU 120 SG</t>
  </si>
  <si>
    <t>E-Gems Elite 400IU 240 SG</t>
  </si>
  <si>
    <t>E-Gems Elite 1000IU 120 SG</t>
  </si>
  <si>
    <t>E-Gems Elite 1000 IU 60 SG</t>
  </si>
  <si>
    <t>Gamma E-Gems 120 Soft Gels</t>
  </si>
  <si>
    <t>Gamma E-Gems 60 Soft Gels</t>
  </si>
  <si>
    <t>Tocomin SupraBio 60 Soft Gels</t>
  </si>
  <si>
    <t>Tocomin SupraBio 120 Soft Gels</t>
  </si>
  <si>
    <t>Tocotrienols 30 Soft Gels</t>
  </si>
  <si>
    <t>Tocotrienols 90 Soft Gels</t>
  </si>
  <si>
    <t>Tocotrienols 180 Soft Gels</t>
  </si>
  <si>
    <t>Vitamin K2 MK-4 60 Capsules</t>
  </si>
  <si>
    <t>Vitamin K2 MK-4 180 Capsules</t>
  </si>
  <si>
    <t>Vitamin K2 MK-7 90 Soft Gels</t>
  </si>
  <si>
    <t>Vitamin K2 MK-7 180 Soft Gels</t>
  </si>
  <si>
    <t>Super Daily D + K 90 drops</t>
  </si>
  <si>
    <t>Super Daily K2 drops</t>
  </si>
  <si>
    <t>Kids Super Daily K2 drops</t>
  </si>
  <si>
    <t>K-Complete  45 Soft Gels</t>
  </si>
  <si>
    <t>K-Complete 90 Soft Gels</t>
  </si>
  <si>
    <t>Super Daily D3 + K2 drops</t>
  </si>
  <si>
    <t>Kids Super Daily D3 + K2 drops</t>
  </si>
  <si>
    <t>Vitamin D3 + K2  30 Capsules</t>
  </si>
  <si>
    <t>Vitamin D3 + K2   60 Capsules</t>
  </si>
  <si>
    <t>Vitamin D3 + K2   120 Capsules</t>
  </si>
  <si>
    <t>Vitamin K2 MK-7 90 mcg 60 SG</t>
  </si>
  <si>
    <t>Vitamin K2 MK-7 90 mcg 120 SG</t>
  </si>
  <si>
    <t>Vitamin K2 MK-7 180 mcg 90 SG</t>
  </si>
  <si>
    <t>Vitamin K2 MK-7 180mcg 180 SG</t>
  </si>
  <si>
    <t>Super Vitamin D3 + K2 45 Caps</t>
  </si>
  <si>
    <t>Super Vitamin D3 + K2 90 Caps</t>
  </si>
  <si>
    <t>Vit A Palmitate15000IU 120 SG</t>
  </si>
  <si>
    <t>Vit A Palmitate 15000IU 240 SG</t>
  </si>
  <si>
    <t>Vit A  10000IU 100 Soft Gels</t>
  </si>
  <si>
    <t>Vit A 10000IU 250 Soft Gels</t>
  </si>
  <si>
    <t>Vit A Soluble 10000IU 100 SG</t>
  </si>
  <si>
    <t>Vit A Soluble 10000IU 250 SG</t>
  </si>
  <si>
    <t>Vit A  25000IU 100 Soft Gels</t>
  </si>
  <si>
    <t>Vit A 25000IU 250 Soft Gels</t>
  </si>
  <si>
    <t>Baby Veg Super Daily D3 400IU</t>
  </si>
  <si>
    <t>Super Daily D3 5000 IU drops</t>
  </si>
  <si>
    <t>Vit A w/ Pectin 25000IU 100 SG</t>
  </si>
  <si>
    <t>Vit A w/Pectin 25000IU 300 SG</t>
  </si>
  <si>
    <t>Plant-BasedSuperDailyD3 2000IU</t>
  </si>
  <si>
    <t>Super Beta Carotene 50 SG</t>
  </si>
  <si>
    <t>Super Beta Carotene 100 SG</t>
  </si>
  <si>
    <t>Super Beta Carotene 250 SG</t>
  </si>
  <si>
    <t>Vitamins A-D3-K2 60 SG</t>
  </si>
  <si>
    <t>Vitamins A-D3-K2 120 SG</t>
  </si>
  <si>
    <t>Super Daily D3 6000IU drops</t>
  </si>
  <si>
    <t>Vit  A&amp;D 10000/400IU 100 SG</t>
  </si>
  <si>
    <t>Vit  A&amp;D 10000/400IU 300 SG</t>
  </si>
  <si>
    <t>Vit  A&amp;D 3000/50 mcg 100 SG</t>
  </si>
  <si>
    <t>Vit  A&amp;D 3000/50 mcg 300 SG</t>
  </si>
  <si>
    <t>Vit  A&amp;D 25000/1000IU 100 SG</t>
  </si>
  <si>
    <t>Vit  A&amp;D 25000/1000IU  250 SG</t>
  </si>
  <si>
    <t>Super Daily D3 for Baby 400IU</t>
  </si>
  <si>
    <t>Super Daily D3 for Kids 400IU</t>
  </si>
  <si>
    <t>Super Daily D3 for Kids 600IU</t>
  </si>
  <si>
    <t>Super Daily D3 1000IU 10.3 mL</t>
  </si>
  <si>
    <t>Super Daily D3 2000IU 10.3 ml</t>
  </si>
  <si>
    <t>Super Daily D3 4000IU 10.3 ml</t>
  </si>
  <si>
    <t>Super Daily D3 4000IU</t>
  </si>
  <si>
    <t>Super 1000 CLO Gems 100 SG</t>
  </si>
  <si>
    <t>Super 1000 CLO Gems 250 SG</t>
  </si>
  <si>
    <t>Norw Cod Liver Oil 100 SG</t>
  </si>
  <si>
    <t>Norw Cod Liver Oil 250 SG</t>
  </si>
  <si>
    <t>Cod Liver Oil Lemon 150 SG</t>
  </si>
  <si>
    <t>Cod Liver Oil Lemon 300 SG</t>
  </si>
  <si>
    <t>Cod Liver Oil Lemon150+30 SG</t>
  </si>
  <si>
    <t>Low A Cod Liver Oil 150 SG</t>
  </si>
  <si>
    <t>Low A Cod Liver Oil 300 SG</t>
  </si>
  <si>
    <t>Vitamin D 5000IU 120 Soft Gels</t>
  </si>
  <si>
    <t>Vitamin D 5000IU 360 Soft Gels</t>
  </si>
  <si>
    <t>Vitamin D 10,000IU 120 SG</t>
  </si>
  <si>
    <t>Vitamin D 10,000IU 360 SG</t>
  </si>
  <si>
    <t>Vitamin D 4000IU 120 Soft Gels</t>
  </si>
  <si>
    <t>Vitamin D 4000IU 360 Soft Gels</t>
  </si>
  <si>
    <t>Vit D 1000IU 60 Soft Gels</t>
  </si>
  <si>
    <t>Vit D 1000IU 100 Soft Gels</t>
  </si>
  <si>
    <t>Vit D 1000IU 250 Soft Gels</t>
  </si>
  <si>
    <t>Vit D 1000IU 360 Soft Gels</t>
  </si>
  <si>
    <t>Vitamin D 2000IU 120 Soft Gels</t>
  </si>
  <si>
    <t>Vitamin D 2000IU 360 Soft Gels</t>
  </si>
  <si>
    <t>Solar D Gems 2000IU 120 SG</t>
  </si>
  <si>
    <t>Solar D Gems 2000IU 360 SG</t>
  </si>
  <si>
    <t>Solar D Gems 4000IU 120 SG</t>
  </si>
  <si>
    <t>Solar D Gems 4000IU 360 SG</t>
  </si>
  <si>
    <t>Solar D Gems 6000IU 120 SG</t>
  </si>
  <si>
    <t>Solar D Gems 6000IU 360 SG</t>
  </si>
  <si>
    <t>Norw Salmon Oil 180 Soft Gels</t>
  </si>
  <si>
    <t>Norw Salmon Oil  50 Soft Gels</t>
  </si>
  <si>
    <t>Norw Salmon Oil 180+50 SG</t>
  </si>
  <si>
    <t>Norw Salmon Oil 300 Soft Gels</t>
  </si>
  <si>
    <t>Super Omega-3 Gems 50  SG</t>
  </si>
  <si>
    <t>Super Omega-3 Gems 100 SG</t>
  </si>
  <si>
    <t>Super Omega-3 Gems 250 SG</t>
  </si>
  <si>
    <t>Super Omega-3 Gems 300 SG</t>
  </si>
  <si>
    <t>Super Omega-3 Gems 100+30</t>
  </si>
  <si>
    <t>Super Omega-3 Gems 180 SG</t>
  </si>
  <si>
    <t>VFFO Lemon 200ml</t>
  </si>
  <si>
    <t>Kids VFFO Lemon 200ml</t>
  </si>
  <si>
    <t>Kids VFFO Lemon 500ml</t>
  </si>
  <si>
    <t>VFFO Lemon 500ml</t>
  </si>
  <si>
    <t>VFFO Lemon Display Box</t>
  </si>
  <si>
    <t>VFFO Lemon Pouch</t>
  </si>
  <si>
    <t>Super DHA Gems 60 Soft Gels</t>
  </si>
  <si>
    <t>Super DHA Gems 180 Soft Gels</t>
  </si>
  <si>
    <t>Super DHA Gems 240 Soft Gels</t>
  </si>
  <si>
    <t>Super DHA Gems 60+20 SG</t>
  </si>
  <si>
    <t>Mother's DHA 60 Soft Gels</t>
  </si>
  <si>
    <t>Mother's DHA 120 Soft Gels</t>
  </si>
  <si>
    <t>Kids Chewable DHA 60 Soft Gels</t>
  </si>
  <si>
    <t>Kids Chewable DHA 120 Soft Gel</t>
  </si>
  <si>
    <t>Kids Chewable DHA 180 Soft Gel</t>
  </si>
  <si>
    <t>Mom's DHA with Choline 60 SG</t>
  </si>
  <si>
    <t>Elite DHA Liquid 100 mL</t>
  </si>
  <si>
    <t>Teens Smart Catch 90 Soft Gels</t>
  </si>
  <si>
    <t>Teen Smart Catch 180 Soft Gels</t>
  </si>
  <si>
    <t>VFFO Lemon 120 Soft Gels</t>
  </si>
  <si>
    <t>VFFO Lemon 240 Soft Gels</t>
  </si>
  <si>
    <t>VFFO Lemon 120+30 Soft Gels</t>
  </si>
  <si>
    <t>VFFO Orange 120 Soft Gels</t>
  </si>
  <si>
    <t>VFFO Orange 240 Soft Gels</t>
  </si>
  <si>
    <t>VFFO Orange 120+30 Soft Gels</t>
  </si>
  <si>
    <t>VFFO Orange 200ml</t>
  </si>
  <si>
    <t>VFFO Kids Orange 200ml</t>
  </si>
  <si>
    <t>KIDS VFFO Orange Flavor 500ml</t>
  </si>
  <si>
    <t>VFFO Orange Flavor 500ml</t>
  </si>
  <si>
    <t>Elite EPA Gems 120 Soft Gels</t>
  </si>
  <si>
    <t>Elite EPA Gems 60 Soft Gels</t>
  </si>
  <si>
    <t>Elite DHA Gems  30 Soft Gels</t>
  </si>
  <si>
    <t>Elite DHA Gems  60 Soft Gels</t>
  </si>
  <si>
    <t>Elite DHA Gems  120 Soft Gels</t>
  </si>
  <si>
    <t>Med Omega Lemon Lime 100 mL</t>
  </si>
  <si>
    <t>Elite Omega-3 Gems 90 SG</t>
  </si>
  <si>
    <t>Elite Omega-3 Gems 180 SG</t>
  </si>
  <si>
    <t>Elite Omega-3 Gems 240 SG</t>
  </si>
  <si>
    <t>Elite Omega-3 Gems 90+30 SG</t>
  </si>
  <si>
    <t>Elite Omega-3 Gems 60 SG</t>
  </si>
  <si>
    <t>Maximum Omega 2000  60 SG</t>
  </si>
  <si>
    <t>Maximum Omega 2000 90 SG</t>
  </si>
  <si>
    <t>Maximum Omega 2000  180 SG</t>
  </si>
  <si>
    <t>Maximum Omega 2000  90+30 SG</t>
  </si>
  <si>
    <t>Omega Complete Gems 90 SG</t>
  </si>
  <si>
    <t>Omega Complete Gems 180 SG</t>
  </si>
  <si>
    <t>Elite Omega 3+D+K 60 Soft Gels</t>
  </si>
  <si>
    <t>Elite Omega 3+D+K 180 Soft Gel</t>
  </si>
  <si>
    <t>Elite Omega-3+D+K 60+30 SG</t>
  </si>
  <si>
    <t>MCT &amp; Omega-3  60 Soft Gels</t>
  </si>
  <si>
    <t>MCT &amp; Omega-3 120 Soft Gels</t>
  </si>
  <si>
    <t>MCT &amp; Omega-3  120+30 Soft Gel</t>
  </si>
  <si>
    <t>MCT &amp; Omega-3 200 mL</t>
  </si>
  <si>
    <t>MCT &amp; Omega-3 500 mL</t>
  </si>
  <si>
    <t>Vegetarian DHA 500 mg</t>
  </si>
  <si>
    <t>EcoSmart Omega-3 90 Soft Gels</t>
  </si>
  <si>
    <t>EcoSmart Omega-3 180 Soft Gels</t>
  </si>
  <si>
    <t>EcoSmartOmega-3 90+30 SG</t>
  </si>
  <si>
    <t>EcoSmart DHA 120 SG</t>
  </si>
  <si>
    <t>EcoSmart DHA 60 Soft Gels</t>
  </si>
  <si>
    <t>Salmon Oil Complete 60 SG</t>
  </si>
  <si>
    <t>Salmon Oil Complete 120 SG</t>
  </si>
  <si>
    <t>Salmon Oil Complete 240 SG</t>
  </si>
  <si>
    <t>Salmon Oil Complete 120+60 SG</t>
  </si>
  <si>
    <t>Teen's Max Catch Minis 30 SG</t>
  </si>
  <si>
    <t>Teen's Max Catch Minis 60 SG</t>
  </si>
  <si>
    <t>Maximum Omega Minis 60 SG</t>
  </si>
  <si>
    <t>Maximum Omega Minis 60+20 SG</t>
  </si>
  <si>
    <t>Maximum Omega Minis 120 SG</t>
  </si>
  <si>
    <t>Baby's DHA 60 mL</t>
  </si>
  <si>
    <t>Super DHA + Lutein 60 SG</t>
  </si>
  <si>
    <t>Super DHA + Lutein 120 SG</t>
  </si>
  <si>
    <t>Omega-3 60 Soft Gels</t>
  </si>
  <si>
    <t>Vegetarian DHA  60 mL</t>
  </si>
  <si>
    <t>Super DPA 200 mL</t>
  </si>
  <si>
    <t>VFFO Mixed Berry 200ml</t>
  </si>
  <si>
    <t>Kids VFFO Mixed Berry 200ml</t>
  </si>
  <si>
    <t>VFFO Mixed Berry 500ml</t>
  </si>
  <si>
    <t>KIDS VFFO  Mixed Berry 500ml</t>
  </si>
  <si>
    <t>VFFO Peach 200ml</t>
  </si>
  <si>
    <t>Kids VFFO Peach 200ml</t>
  </si>
  <si>
    <t>Omega-3 Plus D &amp; K 200 ml</t>
  </si>
  <si>
    <t>Tri-B  120 Tablets</t>
  </si>
  <si>
    <t>Tri-B  360 Tablets</t>
  </si>
  <si>
    <t>B Complex 90 Capsules</t>
  </si>
  <si>
    <t>B Complex 180 Capsules</t>
  </si>
  <si>
    <t>B-50 Gels 50 Soft Gels</t>
  </si>
  <si>
    <t>B-50 Gels 100 Soft Gels</t>
  </si>
  <si>
    <t>B-50 Gels 200 Soft Gels</t>
  </si>
  <si>
    <t>B-100 Gels 100 Soft Gels</t>
  </si>
  <si>
    <t>B-100 Gels 200 Soft Gels</t>
  </si>
  <si>
    <t>Caviar SPMs 60 Soft Gel</t>
  </si>
  <si>
    <t>Caviar SPMs 120 SG</t>
  </si>
  <si>
    <t>VFFO Lemon w/ Vitamin D 200ml</t>
  </si>
  <si>
    <t>Vitamin B-2 100 Tablets</t>
  </si>
  <si>
    <t>Vitamin B-2 250 Tablets</t>
  </si>
  <si>
    <t>Vitamin B-6 Liquid 4oz</t>
  </si>
  <si>
    <t>B-12 180 Tablets</t>
  </si>
  <si>
    <t>B-12 90 Tablets</t>
  </si>
  <si>
    <t>Biotin 5mg  50 Capsules</t>
  </si>
  <si>
    <t>Biotin 5mg  100  Capsules</t>
  </si>
  <si>
    <t>Vitamin D 2500 IU 150 SG</t>
  </si>
  <si>
    <t>Vitamin D 2500 IU 360 SG</t>
  </si>
  <si>
    <t>Folic Acid 400mcg 300 Tablets</t>
  </si>
  <si>
    <t>Folic Acid 800mcg 300 Tablets</t>
  </si>
  <si>
    <t>Folic Acid 800mcg 1000 Tablet</t>
  </si>
  <si>
    <t>Niacin 50mg 100 Tablets</t>
  </si>
  <si>
    <t>Niacin 50mg 300 Tablets</t>
  </si>
  <si>
    <t>Niacin-Time  50 Tablets</t>
  </si>
  <si>
    <t>Niacin-Time 100 Tablets</t>
  </si>
  <si>
    <t>Niacin-Time  250 Tablets</t>
  </si>
  <si>
    <t>C-Gel 60 Soft Gels</t>
  </si>
  <si>
    <t>C-Gel 100 Soft Gels</t>
  </si>
  <si>
    <t>C-Gel 250 Soft Gels</t>
  </si>
  <si>
    <t>Mild-C 500mg 100 Capsules</t>
  </si>
  <si>
    <t>Mild-C 500mg 250 Capsules</t>
  </si>
  <si>
    <t>Mild-C Powder 35oz/1000gr</t>
  </si>
  <si>
    <t>Mild-C Powder 6oz/170gr</t>
  </si>
  <si>
    <t>Carlson For Kids Chewable C</t>
  </si>
  <si>
    <t>Quercetin 500mg 60 Capsules</t>
  </si>
  <si>
    <t>Quercetin 500mg 120 Capsules</t>
  </si>
  <si>
    <t>Super-C-Complex 100 Tablets</t>
  </si>
  <si>
    <t>Super-C-Complex 250 Tablets</t>
  </si>
  <si>
    <t>Vit. C 1000 mg 100 Tablets</t>
  </si>
  <si>
    <t>Vit C 1000 mg 250 Tablets</t>
  </si>
  <si>
    <t>Vit. C Crystals Non GMO 35 oz</t>
  </si>
  <si>
    <t>Vit. C Crystals Non GMO 6 oz</t>
  </si>
  <si>
    <t>Super-1-Daily 180 Tablets</t>
  </si>
  <si>
    <t>Super-1-Daily 60 Tablets</t>
  </si>
  <si>
    <t>Super-1-Daily 120 Tablets</t>
  </si>
  <si>
    <t>Mini-Multi 90 Tablets</t>
  </si>
  <si>
    <t>Mini-Multi 180 Tablets</t>
  </si>
  <si>
    <t>Mini Multi  250 Tablets</t>
  </si>
  <si>
    <t>Cardio Complete 90 Tablets</t>
  </si>
  <si>
    <t>Cardio Complete 180 Tablets</t>
  </si>
  <si>
    <t>Women's Iron Restore 60 Caps</t>
  </si>
  <si>
    <t>Women's Iron Restore 180 Caps</t>
  </si>
  <si>
    <t>Prenatal Multi w/ DHA 120 SG</t>
  </si>
  <si>
    <t>Prenatal Multi w/ DHA 60 SG</t>
  </si>
  <si>
    <t>ACES + Zn 60 Soft Gels</t>
  </si>
  <si>
    <t>ACES + Zn 120 Soft Gels</t>
  </si>
  <si>
    <t>ACES + Zn 180 Soft Gels</t>
  </si>
  <si>
    <t>ACES + Zn 360 Soft Gels</t>
  </si>
  <si>
    <t>ACES 50 Soft Gels</t>
  </si>
  <si>
    <t>ACES 200 Soft Gels</t>
  </si>
  <si>
    <t>ACES 300 Soft Gels</t>
  </si>
  <si>
    <t>ACES 90 Soft Gels</t>
  </si>
  <si>
    <t>ACES + Omega 60 Soft Gels</t>
  </si>
  <si>
    <t>ACES + Omega 120 Soft Gels</t>
  </si>
  <si>
    <t>ACES + Omega 180 Soft Gels</t>
  </si>
  <si>
    <t>Blood Nutrients 180 Capsules</t>
  </si>
  <si>
    <t>Blood Nutrients 90 Capsules</t>
  </si>
  <si>
    <t>Blood Nutrients 40 Capsules</t>
  </si>
  <si>
    <t>Veg Prenatal DHA 500 mg</t>
  </si>
  <si>
    <t>Inflammation Balance 90 SG</t>
  </si>
  <si>
    <t>Inflammation Balance 180 SG</t>
  </si>
  <si>
    <t>Nutra-Support Diabetes 60 SG</t>
  </si>
  <si>
    <t>Nutra-Support Diabetes 120 SG</t>
  </si>
  <si>
    <t>Nutra-Support Diabetes 180 SG</t>
  </si>
  <si>
    <t>Nutra-Support Bone 100 SG</t>
  </si>
  <si>
    <t>Nutra-Support Bone 180 SG</t>
  </si>
  <si>
    <t>Totally Zen 30 Capsules</t>
  </si>
  <si>
    <t>Totally Zen 60 Capsules</t>
  </si>
  <si>
    <t>Totally Zen 120 Capsules</t>
  </si>
  <si>
    <t>Nutra-Support Prostate 60 SG</t>
  </si>
  <si>
    <t>Nutra-Support Prostate 120 SG</t>
  </si>
  <si>
    <t>Nutra-Support Prostate 90 SG</t>
  </si>
  <si>
    <t>Nutra-Support Joint 180 Tabs</t>
  </si>
  <si>
    <t>Nutra-Support Joint 60 Tabs</t>
  </si>
  <si>
    <t>Nutra-Support Joint 120 Tabs</t>
  </si>
  <si>
    <t>Enhanced Mobility  30 SG</t>
  </si>
  <si>
    <t>Enhanced Mobility  60 SG</t>
  </si>
  <si>
    <t>Enhanced Mobility  120 SG</t>
  </si>
  <si>
    <t>Glutathione Booster 60 Caps</t>
  </si>
  <si>
    <t>Glutathione Booster 180 Caps</t>
  </si>
  <si>
    <t>Chelated Minerals 90 SG</t>
  </si>
  <si>
    <t>Chelated Minerals 180 SG</t>
  </si>
  <si>
    <t>Chewable Calcium Citrate 120</t>
  </si>
  <si>
    <t>Kids Chewable Calcium 60 Tabs</t>
  </si>
  <si>
    <t>Kids Chewable Calcium 120 Tabs</t>
  </si>
  <si>
    <t>Cal-600 100 Soft Gels</t>
  </si>
  <si>
    <t>Cal-600 250 Soft Gels</t>
  </si>
  <si>
    <t>Cal-600 100+30 SG</t>
  </si>
  <si>
    <t>Calcium Magnesium Gels 100</t>
  </si>
  <si>
    <t>Calcium Magnesium Gels 250</t>
  </si>
  <si>
    <t>Magnesium Gels 100 SG</t>
  </si>
  <si>
    <t>Magnesium Gels 250 SG</t>
  </si>
  <si>
    <t>Magnesium 90 Capsules</t>
  </si>
  <si>
    <t>Magnesium 180 Capsules</t>
  </si>
  <si>
    <t>Potassium 100 Tablets</t>
  </si>
  <si>
    <t>Potassium 250 Tablets</t>
  </si>
  <si>
    <t>Selenium 60 Capsules</t>
  </si>
  <si>
    <t>Selenium 180 Capsules</t>
  </si>
  <si>
    <t>Zinc 100 Tablets</t>
  </si>
  <si>
    <t>Zinc 250 Tablets</t>
  </si>
  <si>
    <t>Kids Chewable Zinc 42 Tablets</t>
  </si>
  <si>
    <t>Kids Chewable Zinc 84 Tablets</t>
  </si>
  <si>
    <t>Kids Chewable Zinc 160 Tablets</t>
  </si>
  <si>
    <t>Zinc Ease 42 Lozenges</t>
  </si>
  <si>
    <t>Zinc Ease 84 Lozenges</t>
  </si>
  <si>
    <t>Zinc Ease 180 Lozenges</t>
  </si>
  <si>
    <t>Calcium Bisglycinate 60 Caps</t>
  </si>
  <si>
    <t>Calcium Bisglycinate 180 Caps</t>
  </si>
  <si>
    <t>Chelated Cal-Mag 60 Tablets</t>
  </si>
  <si>
    <t>Chelated Cal-Mag 180 Tablets</t>
  </si>
  <si>
    <t>Chromium 100 Tablets</t>
  </si>
  <si>
    <t>Chromium 300 Tablets</t>
  </si>
  <si>
    <t>Chelated Iron 100 Tablets</t>
  </si>
  <si>
    <t>Chelated Iron 250 Tablets</t>
  </si>
  <si>
    <t>Chewable Iron 30 Tablets</t>
  </si>
  <si>
    <t>Chewable Iron 60 Tablets</t>
  </si>
  <si>
    <t>Chewable Iron 30 mg 60 Tablets</t>
  </si>
  <si>
    <t>Chewable Iron 30 mg 120 Tabs</t>
  </si>
  <si>
    <t>Kids Chewable Iron 15 mg 30</t>
  </si>
  <si>
    <t>Kids Chewable Iron 15 mg 60</t>
  </si>
  <si>
    <t>Chelated Magnesium Glycinate</t>
  </si>
  <si>
    <t>Magnesium Glycinate 400 mg</t>
  </si>
  <si>
    <t>Chelated Manganese 100 Tablets</t>
  </si>
  <si>
    <t>Chelated Manganese 250 Tablets</t>
  </si>
  <si>
    <t>Moly-B 100 Tablets</t>
  </si>
  <si>
    <t>Moly-B 300 Tablets</t>
  </si>
  <si>
    <t>Chelated Zinc 100 Tablets</t>
  </si>
  <si>
    <t>Chelated Zinc 250 Tablets</t>
  </si>
  <si>
    <t>Magnesium Chews 40 Chews</t>
  </si>
  <si>
    <t>Maximum Omega 30 Blister Pack</t>
  </si>
  <si>
    <t>Serrapeptase 30 Capsules</t>
  </si>
  <si>
    <t>Serrapeptase 90 capsules</t>
  </si>
  <si>
    <t>Natural Digestive Enzymes 50</t>
  </si>
  <si>
    <t>Natural Digestive Enzymes 100</t>
  </si>
  <si>
    <t>Natural Digestive Enzymes 250</t>
  </si>
  <si>
    <t>L-Arginine 90 Capsules</t>
  </si>
  <si>
    <t>L-Arginine 180 Capsules</t>
  </si>
  <si>
    <t>L-Arginine Powder 100gms</t>
  </si>
  <si>
    <t>L-Arginine Powder 1000gms</t>
  </si>
  <si>
    <t>NAC N-Acetyl Cysteine 500mg</t>
  </si>
  <si>
    <t>L-Glutamine 90 Capsules</t>
  </si>
  <si>
    <t>L-Glutamine 300 Capsules</t>
  </si>
  <si>
    <t>L-Glutamine Powder 100gms</t>
  </si>
  <si>
    <t>L-Glutamine Powder 1000gms</t>
  </si>
  <si>
    <t>Glycine Powder 100gms</t>
  </si>
  <si>
    <t>Glycine Powder 500gms</t>
  </si>
  <si>
    <t>Pro-Rite 200 capsules</t>
  </si>
  <si>
    <t>L-Lysine 100 Capsules</t>
  </si>
  <si>
    <t>L-Lysine 300 Capsules</t>
  </si>
  <si>
    <t>L-Lysine Powder 100gms</t>
  </si>
  <si>
    <t>Taurine 100 Capsules</t>
  </si>
  <si>
    <t>Taurine 300 Capsules</t>
  </si>
  <si>
    <t>Taurine Powder 100gms</t>
  </si>
  <si>
    <t>DL-Phenylalanine 60 Capsules</t>
  </si>
  <si>
    <t>Acetyl L-Carnitine 60 Capsules</t>
  </si>
  <si>
    <t>Acetyl L-Carnitine 120 Capsule</t>
  </si>
  <si>
    <t>Acetyl L-Carnitine Powder</t>
  </si>
  <si>
    <t>Golden Aloe 60 Soft Gels</t>
  </si>
  <si>
    <t>Golden Aloe 180 Soft Gels</t>
  </si>
  <si>
    <t>Alpha Lipoic 30 Tablets</t>
  </si>
  <si>
    <t>Alpha Lipoic 90 Tablets</t>
  </si>
  <si>
    <t>Ceylon Cinnamon 45 Capsules</t>
  </si>
  <si>
    <t>Ceylon Cinnamon 90 Capsules</t>
  </si>
  <si>
    <t>Ceylon Cinnamon 180 Capsules</t>
  </si>
  <si>
    <t>Berberine 180 Capsules</t>
  </si>
  <si>
    <t>Co-Q-10 50mg 30 Soft Gels</t>
  </si>
  <si>
    <t>Co-Q-10 50mg 120 Soft Gels</t>
  </si>
  <si>
    <t>Co-Q-10 50mg 60 Soft Gels</t>
  </si>
  <si>
    <t>Co-Q-10 100mg 30 Soft Gels</t>
  </si>
  <si>
    <t>Co-Q-10 100mg 90 Soft Gels</t>
  </si>
  <si>
    <t>Co-Q-10 100mg 200 Soft Gels</t>
  </si>
  <si>
    <t>Co-Q-10 100mg 60 Soft Gels</t>
  </si>
  <si>
    <t>Co-Q-10 200mg 30 Soft Gels</t>
  </si>
  <si>
    <t>Co-Q-10 200mg 90 Soft Gels</t>
  </si>
  <si>
    <t>Co-Q-10 200mg 120  Soft Gels</t>
  </si>
  <si>
    <t>Co-Q-10 300mg 30 Soft Gels</t>
  </si>
  <si>
    <t>Co-Q-10 300mg 90 Soft Gels</t>
  </si>
  <si>
    <t>Co-QH Ubiquinol 30 Soft Gels</t>
  </si>
  <si>
    <t>Co-QH Ubiquinol 60 Soft Gels</t>
  </si>
  <si>
    <t>Hi Fiber 100 Capsules</t>
  </si>
  <si>
    <t>Hi Fiber 300 Capsules</t>
  </si>
  <si>
    <t>Healthy Mood 5-HTP Elite 60</t>
  </si>
  <si>
    <t>Healthy Mood 5-HTP Elite 120</t>
  </si>
  <si>
    <t>Lecithin 100 Soft Gels</t>
  </si>
  <si>
    <t>Lecithin 280 Soft Gels</t>
  </si>
  <si>
    <t>Mushroom Immune 50 Capsules</t>
  </si>
  <si>
    <t>Mushroom Immune 90 Capsules</t>
  </si>
  <si>
    <t>Lions Mane 60 Capsules</t>
  </si>
  <si>
    <t>Lions Mane 120 Capsules</t>
  </si>
  <si>
    <t>Lutein 6mg 60 Soft Gels</t>
  </si>
  <si>
    <t>Lutein 6mg 180 Soft Gels</t>
  </si>
  <si>
    <t>Lutein &amp; Greens 180 Capsules</t>
  </si>
  <si>
    <t>Lutein &amp; Greens 60 Capsules</t>
  </si>
  <si>
    <t>Lutein &amp; Greens 30 Capsules</t>
  </si>
  <si>
    <t>Right for The Macula 120 SG</t>
  </si>
  <si>
    <t>Right for The Macula 60 SG</t>
  </si>
  <si>
    <t>Lycopene 180 Soft Gels</t>
  </si>
  <si>
    <t>Lycopene 60 Soft Gels</t>
  </si>
  <si>
    <t>MSM-Sulfur 90 Capsules</t>
  </si>
  <si>
    <t>MSM-Sulfur 180 Capsules</t>
  </si>
  <si>
    <t>MSM-Sulfur 300 Capsules</t>
  </si>
  <si>
    <t>Melatonin 300mcg 100 Tablets</t>
  </si>
  <si>
    <t>Melatonin 30 Tablets</t>
  </si>
  <si>
    <t>Kid's Melatonin 30 Tablets</t>
  </si>
  <si>
    <t>Phosphatidyl Serine Non GMO</t>
  </si>
  <si>
    <t>Golden Primrose 50 Soft Gels</t>
  </si>
  <si>
    <t>Golden Primrose 90 Soft Gels</t>
  </si>
  <si>
    <t>Ribose Powder 500gr</t>
  </si>
  <si>
    <t>Ribose Box of 30 Packets</t>
  </si>
  <si>
    <t>Ribose Powder 100 grams</t>
  </si>
  <si>
    <t>Weight, kg</t>
  </si>
  <si>
    <t>FG-Super Omega-3 Gems</t>
  </si>
  <si>
    <t>Active B Complex 60 Capsules</t>
  </si>
  <si>
    <t>Active B Complex 120 Capsules</t>
  </si>
  <si>
    <t>Women's Omega Balance 90 SG</t>
  </si>
  <si>
    <t>Women's Omega Balance 180 SG</t>
  </si>
  <si>
    <t>Moistur-Eyes 90 SG</t>
  </si>
  <si>
    <t>Moistur-Eyes 180 SG</t>
  </si>
  <si>
    <t>Chewable Zinc 84 Tablets</t>
  </si>
  <si>
    <t>Chewable Zinc 160 Tablet</t>
  </si>
  <si>
    <t>Chelated Copper  100 Tablets</t>
  </si>
  <si>
    <t>Chelated Copper 250 Tablets</t>
  </si>
  <si>
    <t>Ribose Box of 15 packets</t>
  </si>
  <si>
    <t>Unіt Freight Cost</t>
  </si>
  <si>
    <t>unit, key</t>
  </si>
  <si>
    <t>Logistic Price</t>
  </si>
  <si>
    <t>Landed Cost</t>
  </si>
  <si>
    <t>Super D Omega-3 200 mL</t>
  </si>
  <si>
    <t>Multi + Omega-3</t>
  </si>
  <si>
    <t>Fish Oil Q 60 Soft Gels</t>
  </si>
  <si>
    <t>Fish Oil Q 120 Soft Gels</t>
  </si>
  <si>
    <t>EcoSmartDHA 500mg 60+20 SG</t>
  </si>
  <si>
    <t>B-Compleet-50 100 Tablets</t>
  </si>
  <si>
    <t>B-Compleet-50 250 Tablets</t>
  </si>
  <si>
    <t>Omega-3 + D 50 Soft Gels</t>
  </si>
  <si>
    <t>Omega-3 + D 110 Soft Gels</t>
  </si>
  <si>
    <t>Omega-3 + D 150 Soft Gels</t>
  </si>
  <si>
    <t>Super-2-Daily 60 SG</t>
  </si>
  <si>
    <t>Super-2-Daily 120 SG</t>
  </si>
  <si>
    <t>Super-2-Daily 180 SG</t>
  </si>
  <si>
    <t>Pro-Rite 90 Capsules</t>
  </si>
  <si>
    <t>Beef Liver 60 Capsules</t>
  </si>
  <si>
    <t>Beef Liver 180 Capsules</t>
  </si>
  <si>
    <t>Berberine 60 Capsules</t>
  </si>
  <si>
    <r>
      <rPr>
        <b/>
        <sz val="10"/>
        <color rgb="FFFF0000"/>
        <rFont val="Calibri"/>
        <family val="2"/>
        <charset val="204"/>
        <scheme val="minor"/>
      </rPr>
      <t>Importantly!</t>
    </r>
    <r>
      <rPr>
        <sz val="10"/>
        <color theme="1"/>
        <rFont val="Calibri"/>
        <family val="2"/>
        <charset val="204"/>
        <scheme val="minor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                                               </t>
    </r>
    <r>
      <rPr>
        <b/>
        <sz val="12"/>
        <color theme="1"/>
        <rFont val="Calibri"/>
        <family val="2"/>
        <charset val="204"/>
        <scheme val="minor"/>
      </rPr>
      <t xml:space="preserve">  MOQ- US$ 105,000 per Purchase Order</t>
    </r>
  </si>
  <si>
    <t>Price
(MOQ 
US$ - 105K)</t>
  </si>
  <si>
    <t>18.11.2025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</si>
</sst>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[$$-409]#,##0.0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b/>
      <sz val="10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name val="Calibri"/>
      <family val="2"/>
      <charset val="204"/>
    </font>
    <font>
      <b/>
      <sz val="12"/>
      <color rgb="FFFF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EE8544"/>
        <bgColor indexed="64"/>
      </patternFill>
    </fill>
    <fill>
      <gradientFill degree="270">
        <stop position="0">
          <color theme="0"/>
        </stop>
        <stop position="1">
          <color theme="4"/>
        </stop>
      </gradient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/>
      <protection hidden="1"/>
    </xf>
    <xf numFmtId="164" fontId="0" fillId="0" borderId="0" xfId="0" applyNumberFormat="1" applyProtection="1">
      <protection hidden="1"/>
    </xf>
    <xf numFmtId="0" fontId="3" fillId="2" borderId="13" xfId="0" applyFont="1" applyFill="1" applyBorder="1" applyAlignment="1" applyProtection="1">
      <alignment horizontal="center" vertical="center"/>
      <protection hidden="1"/>
    </xf>
    <xf numFmtId="0" fontId="3" fillId="2" borderId="14" xfId="0" applyFont="1" applyFill="1" applyBorder="1" applyAlignment="1" applyProtection="1">
      <alignment horizontal="center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0" fontId="3" fillId="2" borderId="15" xfId="0" applyFont="1" applyFill="1" applyBorder="1" applyAlignment="1" applyProtection="1">
      <alignment horizontal="center" vertical="center"/>
      <protection hidden="1"/>
    </xf>
    <xf numFmtId="14" fontId="3" fillId="0" borderId="0" xfId="0" quotePrefix="1" applyNumberFormat="1" applyFont="1" applyAlignment="1" applyProtection="1">
      <alignment horizontal="center" vertical="center"/>
      <protection hidden="1"/>
    </xf>
    <xf numFmtId="0" fontId="3" fillId="2" borderId="12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164" fontId="3" fillId="2" borderId="19" xfId="0" applyNumberFormat="1" applyFont="1" applyFill="1" applyBorder="1" applyAlignment="1" applyProtection="1">
      <alignment horizontal="center" vertical="center" wrapText="1"/>
      <protection hidden="1"/>
    </xf>
    <xf numFmtId="2" fontId="0" fillId="0" borderId="0" xfId="0" applyNumberFormat="1" applyProtection="1">
      <protection hidden="1"/>
    </xf>
    <xf numFmtId="2" fontId="0" fillId="0" borderId="0" xfId="0" applyNumberFormat="1" applyAlignment="1" applyProtection="1">
      <alignment horizontal="center"/>
      <protection hidden="1"/>
    </xf>
    <xf numFmtId="0" fontId="0" fillId="0" borderId="1" xfId="0" applyBorder="1"/>
    <xf numFmtId="49" fontId="0" fillId="0" borderId="17" xfId="0" applyNumberFormat="1" applyBorder="1" applyProtection="1">
      <protection hidden="1"/>
    </xf>
    <xf numFmtId="49" fontId="0" fillId="0" borderId="20" xfId="0" applyNumberFormat="1" applyBorder="1" applyProtection="1">
      <protection hidden="1"/>
    </xf>
    <xf numFmtId="164" fontId="0" fillId="0" borderId="18" xfId="0" applyNumberFormat="1" applyBorder="1" applyProtection="1">
      <protection hidden="1"/>
    </xf>
    <xf numFmtId="164" fontId="0" fillId="0" borderId="16" xfId="0" applyNumberFormat="1" applyBorder="1" applyProtection="1">
      <protection hidden="1"/>
    </xf>
    <xf numFmtId="2" fontId="0" fillId="0" borderId="6" xfId="0" applyNumberFormat="1" applyBorder="1" applyAlignment="1" applyProtection="1">
      <alignment horizontal="center"/>
      <protection hidden="1"/>
    </xf>
    <xf numFmtId="2" fontId="0" fillId="0" borderId="2" xfId="0" applyNumberFormat="1" applyBorder="1" applyAlignment="1" applyProtection="1">
      <alignment horizontal="center"/>
      <protection hidden="1"/>
    </xf>
    <xf numFmtId="0" fontId="0" fillId="0" borderId="7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49" fontId="0" fillId="0" borderId="22" xfId="0" applyNumberFormat="1" applyBorder="1"/>
    <xf numFmtId="0" fontId="0" fillId="0" borderId="23" xfId="0" applyBorder="1"/>
    <xf numFmtId="49" fontId="0" fillId="0" borderId="24" xfId="0" applyNumberFormat="1" applyBorder="1"/>
    <xf numFmtId="0" fontId="3" fillId="2" borderId="19" xfId="0" applyFont="1" applyFill="1" applyBorder="1" applyAlignment="1" applyProtection="1">
      <alignment horizontal="center" vertical="center"/>
      <protection hidden="1"/>
    </xf>
    <xf numFmtId="49" fontId="0" fillId="0" borderId="25" xfId="0" applyNumberFormat="1" applyBorder="1" applyProtection="1">
      <protection hidden="1"/>
    </xf>
    <xf numFmtId="49" fontId="0" fillId="0" borderId="26" xfId="0" applyNumberFormat="1" applyBorder="1" applyProtection="1">
      <protection hidden="1"/>
    </xf>
    <xf numFmtId="14" fontId="3" fillId="3" borderId="12" xfId="0" applyNumberFormat="1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164" fontId="5" fillId="3" borderId="12" xfId="0" applyNumberFormat="1" applyFont="1" applyFill="1" applyBorder="1" applyAlignment="1" applyProtection="1">
      <alignment horizontal="center" vertical="center" wrapText="1" readingOrder="1"/>
      <protection hidden="1"/>
    </xf>
    <xf numFmtId="165" fontId="3" fillId="3" borderId="12" xfId="0" applyNumberFormat="1" applyFont="1" applyFill="1" applyBorder="1" applyAlignment="1">
      <alignment horizontal="center" vertical="center"/>
    </xf>
    <xf numFmtId="0" fontId="6" fillId="4" borderId="12" xfId="0" applyFont="1" applyFill="1" applyBorder="1" applyAlignment="1" applyProtection="1">
      <alignment horizontal="center" vertical="center" wrapText="1" readingOrder="1"/>
      <protection locked="0"/>
    </xf>
    <xf numFmtId="4" fontId="3" fillId="4" borderId="28" xfId="0" applyNumberFormat="1" applyFont="1" applyFill="1" applyBorder="1" applyAlignment="1">
      <alignment horizontal="center" vertical="center"/>
    </xf>
    <xf numFmtId="164" fontId="5" fillId="4" borderId="12" xfId="0" applyNumberFormat="1" applyFont="1" applyFill="1" applyBorder="1" applyAlignment="1" applyProtection="1">
      <alignment horizontal="center" vertical="center" wrapText="1" readingOrder="1"/>
      <protection hidden="1"/>
    </xf>
    <xf numFmtId="164" fontId="5" fillId="0" borderId="0" xfId="0" applyNumberFormat="1" applyFont="1" applyAlignment="1" applyProtection="1">
      <alignment vertical="center" wrapText="1" readingOrder="1"/>
      <protection hidden="1"/>
    </xf>
    <xf numFmtId="0" fontId="3" fillId="5" borderId="12" xfId="0" applyFont="1" applyFill="1" applyBorder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4" fontId="3" fillId="2" borderId="21" xfId="0" applyNumberFormat="1" applyFont="1" applyFill="1" applyBorder="1" applyAlignment="1" applyProtection="1">
      <alignment horizontal="center" vertical="center" wrapText="1"/>
      <protection hidden="1"/>
    </xf>
    <xf numFmtId="14" fontId="3" fillId="3" borderId="27" xfId="0" applyNumberFormat="1" applyFont="1" applyFill="1" applyBorder="1" applyAlignment="1">
      <alignment horizontal="center" vertical="center" wrapText="1"/>
    </xf>
    <xf numFmtId="14" fontId="3" fillId="3" borderId="28" xfId="0" applyNumberFormat="1" applyFont="1" applyFill="1" applyBorder="1" applyAlignment="1">
      <alignment horizontal="center" vertical="center" wrapText="1"/>
    </xf>
    <xf numFmtId="0" fontId="0" fillId="0" borderId="6" xfId="0" applyBorder="1" applyAlignment="1" applyProtection="1">
      <alignment horizontal="center"/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0" fillId="0" borderId="9" xfId="0" applyBorder="1" applyAlignment="1" applyProtection="1">
      <alignment horizontal="center"/>
      <protection hidden="1"/>
    </xf>
    <xf numFmtId="0" fontId="1" fillId="0" borderId="0" xfId="0" applyFont="1" applyAlignment="1" applyProtection="1">
      <alignment horizontal="left" wrapText="1"/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</cellXfs>
  <cellStyles count="1">
    <cellStyle name="Звичайний" xfId="0" builtinId="0"/>
  </cellStyles>
  <dxfs count="5">
    <dxf>
      <fill>
        <patternFill>
          <bgColor rgb="FF92D050"/>
        </patternFill>
      </fill>
    </dxf>
    <dxf>
      <fill>
        <gradientFill degree="90">
          <stop position="0">
            <color theme="5"/>
          </stop>
          <stop position="0.5">
            <color theme="0"/>
          </stop>
          <stop position="1">
            <color theme="5"/>
          </stop>
        </gradient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gradientFill type="path" left="0.5" right="0.5" top="0.5" bottom="0.5">
          <stop position="0">
            <color rgb="FFEE8544"/>
          </stop>
          <stop position="1">
            <color theme="0"/>
          </stop>
        </gradientFill>
      </fill>
    </dxf>
    <dxf>
      <fill>
        <gradientFill degree="90">
          <stop position="0">
            <color theme="5"/>
          </stop>
          <stop position="0.5">
            <color rgb="FFFFFF00"/>
          </stop>
          <stop position="1">
            <color theme="5"/>
          </stop>
        </gradientFill>
      </fill>
    </dxf>
  </dxfs>
  <tableStyles count="0" defaultTableStyle="TableStyleMedium2" defaultPivotStyle="PivotStyleLight16"/>
  <colors>
    <mruColors>
      <color rgb="FFEE85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747914</xdr:colOff>
      <xdr:row>0</xdr:row>
      <xdr:rowOff>128325</xdr:rowOff>
    </xdr:from>
    <xdr:to>
      <xdr:col>9</xdr:col>
      <xdr:colOff>179294</xdr:colOff>
      <xdr:row>0</xdr:row>
      <xdr:rowOff>663097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6714" y="128325"/>
          <a:ext cx="1582909" cy="534772"/>
        </a:xfrm>
        <a:prstGeom prst="rect">
          <a:avLst/>
        </a:prstGeom>
      </xdr:spPr>
    </xdr:pic>
    <xdr:clientData/>
  </xdr:twoCellAnchor>
  <xdr:twoCellAnchor>
    <xdr:from>
      <xdr:col>2</xdr:col>
      <xdr:colOff>346165</xdr:colOff>
      <xdr:row>477</xdr:row>
      <xdr:rowOff>38100</xdr:rowOff>
    </xdr:from>
    <xdr:to>
      <xdr:col>2</xdr:col>
      <xdr:colOff>2008612</xdr:colOff>
      <xdr:row>478</xdr:row>
      <xdr:rowOff>168536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8136" y="98640900"/>
          <a:ext cx="1662447" cy="3154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74"/>
  <sheetViews>
    <sheetView tabSelected="1" zoomScale="85" zoomScaleNormal="85" workbookViewId="0">
      <pane ySplit="2" topLeftCell="A3" activePane="bottomLeft" state="frozen"/>
      <selection pane="bottomLeft" activeCell="L17" sqref="L17"/>
    </sheetView>
  </sheetViews>
  <sheetFormatPr defaultRowHeight="14.4" x14ac:dyDescent="0.3"/>
  <cols>
    <col min="1" max="1" width="9.109375" style="3" customWidth="1"/>
    <col min="2" max="2" width="14.5546875" style="3" bestFit="1" customWidth="1"/>
    <col min="3" max="3" width="48.5546875" style="1" customWidth="1"/>
    <col min="4" max="5" width="9.33203125" style="1" hidden="1" customWidth="1"/>
    <col min="6" max="6" width="10.109375" style="13" customWidth="1"/>
    <col min="7" max="7" width="10.109375" style="13" hidden="1" customWidth="1"/>
    <col min="8" max="8" width="15.6640625" style="4" customWidth="1"/>
    <col min="9" max="9" width="15.6640625" style="11" customWidth="1"/>
    <col min="10" max="10" width="15.6640625" style="1" customWidth="1"/>
    <col min="11" max="11" width="15" style="1" customWidth="1"/>
    <col min="12" max="12" width="6.88671875" style="1" customWidth="1"/>
    <col min="13" max="13" width="11.109375" customWidth="1"/>
    <col min="14" max="14" width="10.88671875" customWidth="1"/>
    <col min="15" max="16" width="13.88671875" customWidth="1"/>
    <col min="17" max="17" width="5.5546875" customWidth="1"/>
    <col min="18" max="18" width="13.88671875" customWidth="1"/>
    <col min="19" max="16384" width="8.88671875" style="1"/>
  </cols>
  <sheetData>
    <row r="1" spans="1:18" ht="81.599999999999994" customHeight="1" thickBot="1" x14ac:dyDescent="0.35">
      <c r="A1" s="49" t="s">
        <v>476</v>
      </c>
      <c r="B1" s="49"/>
      <c r="C1" s="49"/>
      <c r="D1" s="49"/>
      <c r="E1" s="49"/>
      <c r="F1" s="49"/>
      <c r="G1" s="49"/>
      <c r="H1" s="49"/>
      <c r="I1" s="49"/>
      <c r="J1" s="49"/>
      <c r="K1" s="9" t="s">
        <v>478</v>
      </c>
      <c r="M1" s="30" t="s">
        <v>455</v>
      </c>
      <c r="N1" s="43" t="s">
        <v>456</v>
      </c>
      <c r="O1" s="31" t="s">
        <v>442</v>
      </c>
      <c r="P1" s="32" t="s">
        <v>457</v>
      </c>
      <c r="R1" s="33" t="str">
        <f>IFERROR(IF(SUM(R3:R277)=0, "-", K2+P2), "-")</f>
        <v>-</v>
      </c>
    </row>
    <row r="2" spans="1:18" s="2" customFormat="1" ht="45" customHeight="1" thickBot="1" x14ac:dyDescent="0.35">
      <c r="A2" s="5" t="s">
        <v>0</v>
      </c>
      <c r="B2" s="6" t="s">
        <v>1</v>
      </c>
      <c r="C2" s="6" t="s">
        <v>2</v>
      </c>
      <c r="D2" s="27"/>
      <c r="E2" s="27"/>
      <c r="F2" s="12" t="s">
        <v>442</v>
      </c>
      <c r="G2" s="12"/>
      <c r="H2" s="42" t="s">
        <v>477</v>
      </c>
      <c r="I2" s="10" t="s">
        <v>3</v>
      </c>
      <c r="J2" s="8" t="s">
        <v>4</v>
      </c>
      <c r="K2" s="7">
        <f>SUM(J3:J475)</f>
        <v>0</v>
      </c>
      <c r="M2" s="34"/>
      <c r="N2" s="44"/>
      <c r="O2" s="35" t="str">
        <f>IF(SUM(O3:O277)=0, "-", SUM(O3:O277))</f>
        <v>-</v>
      </c>
      <c r="P2" s="36" t="str">
        <f>IF(SUM(P3:P277)=0, "-", SUM(P3:P277))</f>
        <v>-</v>
      </c>
      <c r="Q2" s="37"/>
      <c r="R2" s="38" t="s">
        <v>458</v>
      </c>
    </row>
    <row r="3" spans="1:18" x14ac:dyDescent="0.3">
      <c r="A3" s="24">
        <v>311</v>
      </c>
      <c r="B3" s="25">
        <v>88395003110</v>
      </c>
      <c r="C3" s="16" t="s">
        <v>10</v>
      </c>
      <c r="D3" s="28"/>
      <c r="E3" s="28"/>
      <c r="F3" s="20">
        <v>4.5300000000000007E-2</v>
      </c>
      <c r="G3" s="20"/>
      <c r="H3" s="18">
        <v>9.1948500000000006</v>
      </c>
      <c r="I3" s="22"/>
      <c r="J3" s="18">
        <f t="shared" ref="J3:J66" si="0">I3*H3</f>
        <v>0</v>
      </c>
      <c r="M3" s="39" t="str">
        <f>IFERROR(IF($M$2*F3=0, "-", $M$2*F3), "-")</f>
        <v>-</v>
      </c>
      <c r="N3" s="39" t="str">
        <f>IF(I3&gt;0,H3+F3*I3/$O$2*$P$2/I3,"-")</f>
        <v>-</v>
      </c>
      <c r="O3" s="40" t="str">
        <f>IF(I3&gt;0,I3*F3*1.13, "-")</f>
        <v>-</v>
      </c>
      <c r="P3" s="41" t="str">
        <f>IFERROR(IF($M$2&gt;0, $M$2*O3, "-"), "-")</f>
        <v>-</v>
      </c>
      <c r="R3" s="41" t="str">
        <f>IFERROR(IF(P3+J3=0, "-", IF(P3&gt;0, P3+J3, "-")), "-")</f>
        <v>-</v>
      </c>
    </row>
    <row r="4" spans="1:18" x14ac:dyDescent="0.3">
      <c r="A4" s="26">
        <v>312</v>
      </c>
      <c r="B4" s="15">
        <v>88395003127</v>
      </c>
      <c r="C4" s="17" t="s">
        <v>11</v>
      </c>
      <c r="D4" s="29"/>
      <c r="E4" s="29"/>
      <c r="F4" s="21">
        <v>0.11325</v>
      </c>
      <c r="G4" s="21"/>
      <c r="H4" s="19">
        <v>21.167999999999999</v>
      </c>
      <c r="I4" s="23"/>
      <c r="J4" s="19">
        <f t="shared" si="0"/>
        <v>0</v>
      </c>
      <c r="M4" s="39" t="str">
        <f t="shared" ref="M4:M67" si="1">IFERROR(IF($M$2*F4=0, "-", $M$2*F4), "-")</f>
        <v>-</v>
      </c>
      <c r="N4" s="39" t="str">
        <f t="shared" ref="N4:N67" si="2">IF(I4&gt;0,H4+F4*I4/$O$2*$P$2/I4,"-")</f>
        <v>-</v>
      </c>
      <c r="O4" s="40" t="str">
        <f t="shared" ref="O4:O67" si="3">IF(I4&gt;0,I4*F4*1.13, "-")</f>
        <v>-</v>
      </c>
      <c r="P4" s="41" t="str">
        <f t="shared" ref="P4:P67" si="4">IFERROR(IF($M$2&gt;0, $M$2*O4, "-"), "-")</f>
        <v>-</v>
      </c>
      <c r="R4" s="41" t="str">
        <f t="shared" ref="R4:R67" si="5">IFERROR(IF(P4+J4=0, "-", IF(P4&gt;0, P4+J4, "-")), "-")</f>
        <v>-</v>
      </c>
    </row>
    <row r="5" spans="1:18" x14ac:dyDescent="0.3">
      <c r="A5" s="26">
        <v>320</v>
      </c>
      <c r="B5" s="15">
        <v>88395003202</v>
      </c>
      <c r="C5" s="17" t="s">
        <v>12</v>
      </c>
      <c r="D5" s="29"/>
      <c r="E5" s="29"/>
      <c r="F5" s="21">
        <v>4.5300000000000007E-2</v>
      </c>
      <c r="G5" s="21"/>
      <c r="H5" s="19">
        <v>9.1948500000000006</v>
      </c>
      <c r="I5" s="23"/>
      <c r="J5" s="19">
        <f t="shared" si="0"/>
        <v>0</v>
      </c>
      <c r="M5" s="39" t="str">
        <f t="shared" si="1"/>
        <v>-</v>
      </c>
      <c r="N5" s="39" t="str">
        <f t="shared" si="2"/>
        <v>-</v>
      </c>
      <c r="O5" s="40" t="str">
        <f t="shared" si="3"/>
        <v>-</v>
      </c>
      <c r="P5" s="41" t="str">
        <f t="shared" si="4"/>
        <v>-</v>
      </c>
      <c r="R5" s="41" t="str">
        <f t="shared" si="5"/>
        <v>-</v>
      </c>
    </row>
    <row r="6" spans="1:18" x14ac:dyDescent="0.3">
      <c r="A6" s="26">
        <v>322</v>
      </c>
      <c r="B6" s="15">
        <v>88395003226</v>
      </c>
      <c r="C6" s="17" t="s">
        <v>13</v>
      </c>
      <c r="D6" s="29"/>
      <c r="E6" s="29"/>
      <c r="F6" s="21">
        <v>0.13589999999999999</v>
      </c>
      <c r="G6" s="21"/>
      <c r="H6" s="19">
        <v>21.167999999999999</v>
      </c>
      <c r="I6" s="23"/>
      <c r="J6" s="19">
        <f t="shared" si="0"/>
        <v>0</v>
      </c>
      <c r="M6" s="39" t="str">
        <f t="shared" si="1"/>
        <v>-</v>
      </c>
      <c r="N6" s="39" t="str">
        <f t="shared" si="2"/>
        <v>-</v>
      </c>
      <c r="O6" s="40" t="str">
        <f t="shared" si="3"/>
        <v>-</v>
      </c>
      <c r="P6" s="41" t="str">
        <f t="shared" si="4"/>
        <v>-</v>
      </c>
      <c r="R6" s="41" t="str">
        <f t="shared" si="5"/>
        <v>-</v>
      </c>
    </row>
    <row r="7" spans="1:18" x14ac:dyDescent="0.3">
      <c r="A7" s="26">
        <v>341</v>
      </c>
      <c r="B7" s="15">
        <v>88395003417</v>
      </c>
      <c r="C7" s="17" t="s">
        <v>14</v>
      </c>
      <c r="D7" s="29"/>
      <c r="E7" s="29"/>
      <c r="F7" s="21">
        <v>6.7949999999999997E-2</v>
      </c>
      <c r="G7" s="21"/>
      <c r="H7" s="19">
        <v>12.436199999999999</v>
      </c>
      <c r="I7" s="23"/>
      <c r="J7" s="19">
        <f t="shared" si="0"/>
        <v>0</v>
      </c>
      <c r="M7" s="39" t="str">
        <f t="shared" si="1"/>
        <v>-</v>
      </c>
      <c r="N7" s="39" t="str">
        <f t="shared" si="2"/>
        <v>-</v>
      </c>
      <c r="O7" s="40" t="str">
        <f t="shared" si="3"/>
        <v>-</v>
      </c>
      <c r="P7" s="41" t="str">
        <f t="shared" si="4"/>
        <v>-</v>
      </c>
      <c r="R7" s="41" t="str">
        <f t="shared" si="5"/>
        <v>-</v>
      </c>
    </row>
    <row r="8" spans="1:18" x14ac:dyDescent="0.3">
      <c r="A8" s="26">
        <v>342</v>
      </c>
      <c r="B8" s="15">
        <v>88395003424</v>
      </c>
      <c r="C8" s="17" t="s">
        <v>15</v>
      </c>
      <c r="D8" s="29"/>
      <c r="E8" s="29"/>
      <c r="F8" s="21">
        <v>0.15855</v>
      </c>
      <c r="G8" s="21"/>
      <c r="H8" s="19">
        <v>36.382500000000007</v>
      </c>
      <c r="I8" s="23"/>
      <c r="J8" s="19">
        <f t="shared" si="0"/>
        <v>0</v>
      </c>
      <c r="M8" s="39" t="str">
        <f t="shared" si="1"/>
        <v>-</v>
      </c>
      <c r="N8" s="39" t="str">
        <f t="shared" si="2"/>
        <v>-</v>
      </c>
      <c r="O8" s="40" t="str">
        <f t="shared" si="3"/>
        <v>-</v>
      </c>
      <c r="P8" s="41" t="str">
        <f t="shared" si="4"/>
        <v>-</v>
      </c>
      <c r="R8" s="41" t="str">
        <f t="shared" si="5"/>
        <v>-</v>
      </c>
    </row>
    <row r="9" spans="1:18" x14ac:dyDescent="0.3">
      <c r="A9" s="26">
        <v>344</v>
      </c>
      <c r="B9" s="15">
        <v>88395003448</v>
      </c>
      <c r="C9" s="17" t="s">
        <v>16</v>
      </c>
      <c r="D9" s="29"/>
      <c r="E9" s="29"/>
      <c r="F9" s="21">
        <v>9.0600000000000014E-2</v>
      </c>
      <c r="G9" s="21"/>
      <c r="H9" s="19">
        <v>27.121500000000005</v>
      </c>
      <c r="I9" s="23"/>
      <c r="J9" s="19">
        <f t="shared" si="0"/>
        <v>0</v>
      </c>
      <c r="M9" s="39" t="str">
        <f t="shared" si="1"/>
        <v>-</v>
      </c>
      <c r="N9" s="39" t="str">
        <f t="shared" si="2"/>
        <v>-</v>
      </c>
      <c r="O9" s="40" t="str">
        <f t="shared" si="3"/>
        <v>-</v>
      </c>
      <c r="P9" s="41" t="str">
        <f t="shared" si="4"/>
        <v>-</v>
      </c>
      <c r="R9" s="41" t="str">
        <f t="shared" si="5"/>
        <v>-</v>
      </c>
    </row>
    <row r="10" spans="1:18" x14ac:dyDescent="0.3">
      <c r="A10" s="26">
        <v>349</v>
      </c>
      <c r="B10" s="15">
        <v>88395003493</v>
      </c>
      <c r="C10" s="17" t="s">
        <v>17</v>
      </c>
      <c r="D10" s="29"/>
      <c r="E10" s="29"/>
      <c r="F10" s="21">
        <v>0.11325</v>
      </c>
      <c r="G10" s="21"/>
      <c r="H10" s="19">
        <v>27.121500000000005</v>
      </c>
      <c r="I10" s="23"/>
      <c r="J10" s="19">
        <f t="shared" si="0"/>
        <v>0</v>
      </c>
      <c r="M10" s="39" t="str">
        <f t="shared" si="1"/>
        <v>-</v>
      </c>
      <c r="N10" s="39" t="str">
        <f t="shared" si="2"/>
        <v>-</v>
      </c>
      <c r="O10" s="40" t="str">
        <f t="shared" si="3"/>
        <v>-</v>
      </c>
      <c r="P10" s="41" t="str">
        <f t="shared" si="4"/>
        <v>-</v>
      </c>
      <c r="R10" s="41" t="str">
        <f t="shared" si="5"/>
        <v>-</v>
      </c>
    </row>
    <row r="11" spans="1:18" x14ac:dyDescent="0.3">
      <c r="A11" s="26">
        <v>380</v>
      </c>
      <c r="B11" s="15">
        <v>88395003806</v>
      </c>
      <c r="C11" s="17" t="s">
        <v>18</v>
      </c>
      <c r="D11" s="29"/>
      <c r="E11" s="29"/>
      <c r="F11" s="21">
        <v>8.1540000000000001E-2</v>
      </c>
      <c r="G11" s="21"/>
      <c r="H11" s="19">
        <v>20.6388</v>
      </c>
      <c r="I11" s="23"/>
      <c r="J11" s="19">
        <f t="shared" si="0"/>
        <v>0</v>
      </c>
      <c r="M11" s="39" t="str">
        <f t="shared" si="1"/>
        <v>-</v>
      </c>
      <c r="N11" s="39" t="str">
        <f t="shared" si="2"/>
        <v>-</v>
      </c>
      <c r="O11" s="40" t="str">
        <f t="shared" si="3"/>
        <v>-</v>
      </c>
      <c r="P11" s="41" t="str">
        <f t="shared" si="4"/>
        <v>-</v>
      </c>
      <c r="R11" s="41" t="str">
        <f t="shared" si="5"/>
        <v>-</v>
      </c>
    </row>
    <row r="12" spans="1:18" x14ac:dyDescent="0.3">
      <c r="A12" s="26">
        <v>381</v>
      </c>
      <c r="B12" s="15">
        <v>88395003813</v>
      </c>
      <c r="C12" s="17" t="s">
        <v>19</v>
      </c>
      <c r="D12" s="29"/>
      <c r="E12" s="29"/>
      <c r="F12" s="21">
        <v>0.14949000000000001</v>
      </c>
      <c r="G12" s="21"/>
      <c r="H12" s="19">
        <v>36.382500000000007</v>
      </c>
      <c r="I12" s="23"/>
      <c r="J12" s="19">
        <f t="shared" si="0"/>
        <v>0</v>
      </c>
      <c r="M12" s="39" t="str">
        <f t="shared" si="1"/>
        <v>-</v>
      </c>
      <c r="N12" s="39" t="str">
        <f t="shared" si="2"/>
        <v>-</v>
      </c>
      <c r="O12" s="40" t="str">
        <f t="shared" si="3"/>
        <v>-</v>
      </c>
      <c r="P12" s="41" t="str">
        <f t="shared" si="4"/>
        <v>-</v>
      </c>
      <c r="R12" s="41" t="str">
        <f t="shared" si="5"/>
        <v>-</v>
      </c>
    </row>
    <row r="13" spans="1:18" x14ac:dyDescent="0.3">
      <c r="A13" s="26">
        <v>440</v>
      </c>
      <c r="B13" s="15">
        <v>88395004407</v>
      </c>
      <c r="C13" s="17" t="s">
        <v>20</v>
      </c>
      <c r="D13" s="29"/>
      <c r="E13" s="29"/>
      <c r="F13" s="21">
        <v>6.7949999999999997E-2</v>
      </c>
      <c r="G13" s="21"/>
      <c r="H13" s="19">
        <v>14.883749999999999</v>
      </c>
      <c r="I13" s="23"/>
      <c r="J13" s="19">
        <f t="shared" si="0"/>
        <v>0</v>
      </c>
      <c r="M13" s="39" t="str">
        <f t="shared" si="1"/>
        <v>-</v>
      </c>
      <c r="N13" s="39" t="str">
        <f t="shared" si="2"/>
        <v>-</v>
      </c>
      <c r="O13" s="40" t="str">
        <f t="shared" si="3"/>
        <v>-</v>
      </c>
      <c r="P13" s="41" t="str">
        <f t="shared" si="4"/>
        <v>-</v>
      </c>
      <c r="R13" s="41" t="str">
        <f t="shared" si="5"/>
        <v>-</v>
      </c>
    </row>
    <row r="14" spans="1:18" x14ac:dyDescent="0.3">
      <c r="A14" s="26">
        <v>441</v>
      </c>
      <c r="B14" s="15">
        <v>88395004414</v>
      </c>
      <c r="C14" s="17" t="s">
        <v>21</v>
      </c>
      <c r="D14" s="29"/>
      <c r="E14" s="29"/>
      <c r="F14" s="21">
        <v>0.13589999999999999</v>
      </c>
      <c r="G14" s="21"/>
      <c r="H14" s="19">
        <v>38.366999999999997</v>
      </c>
      <c r="I14" s="23"/>
      <c r="J14" s="19">
        <f t="shared" si="0"/>
        <v>0</v>
      </c>
      <c r="M14" s="39" t="str">
        <f t="shared" si="1"/>
        <v>-</v>
      </c>
      <c r="N14" s="39" t="str">
        <f t="shared" si="2"/>
        <v>-</v>
      </c>
      <c r="O14" s="40" t="str">
        <f t="shared" si="3"/>
        <v>-</v>
      </c>
      <c r="P14" s="41" t="str">
        <f t="shared" si="4"/>
        <v>-</v>
      </c>
      <c r="R14" s="41" t="str">
        <f t="shared" si="5"/>
        <v>-</v>
      </c>
    </row>
    <row r="15" spans="1:18" x14ac:dyDescent="0.3">
      <c r="A15" s="26">
        <v>442</v>
      </c>
      <c r="B15" s="15">
        <v>88395004421</v>
      </c>
      <c r="C15" s="17" t="s">
        <v>22</v>
      </c>
      <c r="D15" s="29"/>
      <c r="E15" s="29"/>
      <c r="F15" s="21">
        <v>0.29445000000000005</v>
      </c>
      <c r="G15" s="21"/>
      <c r="H15" s="19">
        <v>66.150000000000006</v>
      </c>
      <c r="I15" s="23"/>
      <c r="J15" s="19">
        <f t="shared" si="0"/>
        <v>0</v>
      </c>
      <c r="M15" s="39" t="str">
        <f t="shared" si="1"/>
        <v>-</v>
      </c>
      <c r="N15" s="39" t="str">
        <f t="shared" si="2"/>
        <v>-</v>
      </c>
      <c r="O15" s="40" t="str">
        <f t="shared" si="3"/>
        <v>-</v>
      </c>
      <c r="P15" s="41" t="str">
        <f t="shared" si="4"/>
        <v>-</v>
      </c>
      <c r="R15" s="41" t="str">
        <f t="shared" si="5"/>
        <v>-</v>
      </c>
    </row>
    <row r="16" spans="1:18" x14ac:dyDescent="0.3">
      <c r="A16" s="26">
        <v>449</v>
      </c>
      <c r="B16" s="15">
        <v>88395004490</v>
      </c>
      <c r="C16" s="17" t="s">
        <v>23</v>
      </c>
      <c r="D16" s="29"/>
      <c r="E16" s="29"/>
      <c r="F16" s="21">
        <v>0.18573000000000001</v>
      </c>
      <c r="G16" s="21"/>
      <c r="H16" s="19">
        <v>38.366999999999997</v>
      </c>
      <c r="I16" s="23"/>
      <c r="J16" s="19">
        <f t="shared" si="0"/>
        <v>0</v>
      </c>
      <c r="M16" s="39" t="str">
        <f t="shared" si="1"/>
        <v>-</v>
      </c>
      <c r="N16" s="39" t="str">
        <f t="shared" si="2"/>
        <v>-</v>
      </c>
      <c r="O16" s="40" t="str">
        <f t="shared" si="3"/>
        <v>-</v>
      </c>
      <c r="P16" s="41" t="str">
        <f t="shared" si="4"/>
        <v>-</v>
      </c>
      <c r="R16" s="41" t="str">
        <f t="shared" si="5"/>
        <v>-</v>
      </c>
    </row>
    <row r="17" spans="1:18" x14ac:dyDescent="0.3">
      <c r="A17" s="26">
        <v>511</v>
      </c>
      <c r="B17" s="15">
        <v>88395051104</v>
      </c>
      <c r="C17" s="17" t="s">
        <v>24</v>
      </c>
      <c r="D17" s="29"/>
      <c r="E17" s="29"/>
      <c r="F17" s="21">
        <v>6.7949999999999997E-2</v>
      </c>
      <c r="G17" s="21"/>
      <c r="H17" s="19">
        <v>9.0846000000000018</v>
      </c>
      <c r="I17" s="23"/>
      <c r="J17" s="19">
        <f t="shared" si="0"/>
        <v>0</v>
      </c>
      <c r="M17" s="39" t="str">
        <f t="shared" si="1"/>
        <v>-</v>
      </c>
      <c r="N17" s="39" t="str">
        <f t="shared" si="2"/>
        <v>-</v>
      </c>
      <c r="O17" s="40" t="str">
        <f t="shared" si="3"/>
        <v>-</v>
      </c>
      <c r="P17" s="41" t="str">
        <f t="shared" si="4"/>
        <v>-</v>
      </c>
      <c r="R17" s="41" t="str">
        <f t="shared" si="5"/>
        <v>-</v>
      </c>
    </row>
    <row r="18" spans="1:18" x14ac:dyDescent="0.3">
      <c r="A18" s="26">
        <v>513</v>
      </c>
      <c r="B18" s="15">
        <v>88395051302</v>
      </c>
      <c r="C18" s="17" t="s">
        <v>25</v>
      </c>
      <c r="D18" s="29"/>
      <c r="E18" s="29"/>
      <c r="F18" s="21">
        <v>0.13589999999999999</v>
      </c>
      <c r="G18" s="21"/>
      <c r="H18" s="19">
        <v>14.0238</v>
      </c>
      <c r="I18" s="23"/>
      <c r="J18" s="19">
        <f t="shared" si="0"/>
        <v>0</v>
      </c>
      <c r="M18" s="39" t="str">
        <f t="shared" si="1"/>
        <v>-</v>
      </c>
      <c r="N18" s="39" t="str">
        <f t="shared" si="2"/>
        <v>-</v>
      </c>
      <c r="O18" s="40" t="str">
        <f t="shared" si="3"/>
        <v>-</v>
      </c>
      <c r="P18" s="41" t="str">
        <f t="shared" si="4"/>
        <v>-</v>
      </c>
      <c r="R18" s="41" t="str">
        <f t="shared" si="5"/>
        <v>-</v>
      </c>
    </row>
    <row r="19" spans="1:18" x14ac:dyDescent="0.3">
      <c r="A19" s="26">
        <v>522</v>
      </c>
      <c r="B19" s="15">
        <v>88395052200</v>
      </c>
      <c r="C19" s="17" t="s">
        <v>26</v>
      </c>
      <c r="D19" s="29"/>
      <c r="E19" s="29"/>
      <c r="F19" s="21">
        <v>7.2480000000000003E-2</v>
      </c>
      <c r="G19" s="21"/>
      <c r="H19" s="19">
        <v>11.179350000000001</v>
      </c>
      <c r="I19" s="23"/>
      <c r="J19" s="19">
        <f t="shared" si="0"/>
        <v>0</v>
      </c>
      <c r="M19" s="39" t="str">
        <f t="shared" si="1"/>
        <v>-</v>
      </c>
      <c r="N19" s="39" t="str">
        <f t="shared" si="2"/>
        <v>-</v>
      </c>
      <c r="O19" s="40" t="str">
        <f t="shared" si="3"/>
        <v>-</v>
      </c>
      <c r="P19" s="41" t="str">
        <f t="shared" si="4"/>
        <v>-</v>
      </c>
      <c r="R19" s="41" t="str">
        <f t="shared" si="5"/>
        <v>-</v>
      </c>
    </row>
    <row r="20" spans="1:18" x14ac:dyDescent="0.3">
      <c r="A20" s="26">
        <v>524</v>
      </c>
      <c r="B20" s="15">
        <v>88395052408</v>
      </c>
      <c r="C20" s="17" t="s">
        <v>27</v>
      </c>
      <c r="D20" s="29"/>
      <c r="E20" s="29"/>
      <c r="F20" s="21">
        <v>0.13589999999999999</v>
      </c>
      <c r="G20" s="21"/>
      <c r="H20" s="19">
        <v>16.471349999999997</v>
      </c>
      <c r="I20" s="23"/>
      <c r="J20" s="19">
        <f t="shared" si="0"/>
        <v>0</v>
      </c>
      <c r="M20" s="39" t="str">
        <f t="shared" si="1"/>
        <v>-</v>
      </c>
      <c r="N20" s="39" t="str">
        <f t="shared" si="2"/>
        <v>-</v>
      </c>
      <c r="O20" s="40" t="str">
        <f t="shared" si="3"/>
        <v>-</v>
      </c>
      <c r="P20" s="41" t="str">
        <f t="shared" si="4"/>
        <v>-</v>
      </c>
      <c r="R20" s="41" t="str">
        <f t="shared" si="5"/>
        <v>-</v>
      </c>
    </row>
    <row r="21" spans="1:18" x14ac:dyDescent="0.3">
      <c r="A21" s="26">
        <v>531</v>
      </c>
      <c r="B21" s="15">
        <v>88395053108</v>
      </c>
      <c r="C21" s="17" t="s">
        <v>28</v>
      </c>
      <c r="D21" s="29"/>
      <c r="E21" s="29"/>
      <c r="F21" s="21">
        <v>6.7949999999999997E-2</v>
      </c>
      <c r="G21" s="21"/>
      <c r="H21" s="19">
        <v>7.8718499999999993</v>
      </c>
      <c r="I21" s="23"/>
      <c r="J21" s="19">
        <f t="shared" si="0"/>
        <v>0</v>
      </c>
      <c r="M21" s="39" t="str">
        <f t="shared" si="1"/>
        <v>-</v>
      </c>
      <c r="N21" s="39" t="str">
        <f t="shared" si="2"/>
        <v>-</v>
      </c>
      <c r="O21" s="40" t="str">
        <f t="shared" si="3"/>
        <v>-</v>
      </c>
      <c r="P21" s="41" t="str">
        <f t="shared" si="4"/>
        <v>-</v>
      </c>
      <c r="R21" s="41" t="str">
        <f t="shared" si="5"/>
        <v>-</v>
      </c>
    </row>
    <row r="22" spans="1:18" x14ac:dyDescent="0.3">
      <c r="A22" s="26">
        <v>533</v>
      </c>
      <c r="B22" s="15">
        <v>88395053306</v>
      </c>
      <c r="C22" s="17" t="s">
        <v>29</v>
      </c>
      <c r="D22" s="29"/>
      <c r="E22" s="29"/>
      <c r="F22" s="21">
        <v>0.13589999999999999</v>
      </c>
      <c r="G22" s="21"/>
      <c r="H22" s="19">
        <v>11.84085</v>
      </c>
      <c r="I22" s="23"/>
      <c r="J22" s="19">
        <f t="shared" si="0"/>
        <v>0</v>
      </c>
      <c r="M22" s="39" t="str">
        <f t="shared" si="1"/>
        <v>-</v>
      </c>
      <c r="N22" s="39" t="str">
        <f t="shared" si="2"/>
        <v>-</v>
      </c>
      <c r="O22" s="40" t="str">
        <f t="shared" si="3"/>
        <v>-</v>
      </c>
      <c r="P22" s="41" t="str">
        <f t="shared" si="4"/>
        <v>-</v>
      </c>
      <c r="R22" s="41" t="str">
        <f t="shared" si="5"/>
        <v>-</v>
      </c>
    </row>
    <row r="23" spans="1:18" x14ac:dyDescent="0.3">
      <c r="A23" s="26">
        <v>554</v>
      </c>
      <c r="B23" s="15">
        <v>88395005541</v>
      </c>
      <c r="C23" s="17" t="s">
        <v>30</v>
      </c>
      <c r="D23" s="29"/>
      <c r="E23" s="29"/>
      <c r="F23" s="21">
        <v>7.2480000000000003E-2</v>
      </c>
      <c r="G23" s="21"/>
      <c r="H23" s="19">
        <v>12.23775</v>
      </c>
      <c r="I23" s="23"/>
      <c r="J23" s="19">
        <f t="shared" si="0"/>
        <v>0</v>
      </c>
      <c r="M23" s="39" t="str">
        <f t="shared" si="1"/>
        <v>-</v>
      </c>
      <c r="N23" s="39" t="str">
        <f t="shared" si="2"/>
        <v>-</v>
      </c>
      <c r="O23" s="40" t="str">
        <f t="shared" si="3"/>
        <v>-</v>
      </c>
      <c r="P23" s="41" t="str">
        <f t="shared" si="4"/>
        <v>-</v>
      </c>
      <c r="R23" s="41" t="str">
        <f t="shared" si="5"/>
        <v>-</v>
      </c>
    </row>
    <row r="24" spans="1:18" x14ac:dyDescent="0.3">
      <c r="A24" s="26">
        <v>555</v>
      </c>
      <c r="B24" s="15">
        <v>88395005558</v>
      </c>
      <c r="C24" s="17" t="s">
        <v>31</v>
      </c>
      <c r="D24" s="29"/>
      <c r="E24" s="29"/>
      <c r="F24" s="21">
        <v>3.6240000000000001E-2</v>
      </c>
      <c r="G24" s="21"/>
      <c r="H24" s="19">
        <v>7.6072500000000005</v>
      </c>
      <c r="I24" s="23"/>
      <c r="J24" s="19">
        <f t="shared" si="0"/>
        <v>0</v>
      </c>
      <c r="M24" s="39" t="str">
        <f t="shared" si="1"/>
        <v>-</v>
      </c>
      <c r="N24" s="39" t="str">
        <f t="shared" si="2"/>
        <v>-</v>
      </c>
      <c r="O24" s="40" t="str">
        <f t="shared" si="3"/>
        <v>-</v>
      </c>
      <c r="P24" s="41" t="str">
        <f t="shared" si="4"/>
        <v>-</v>
      </c>
      <c r="R24" s="41" t="str">
        <f t="shared" si="5"/>
        <v>-</v>
      </c>
    </row>
    <row r="25" spans="1:18" x14ac:dyDescent="0.3">
      <c r="A25" s="26">
        <v>591</v>
      </c>
      <c r="B25" s="15">
        <v>88395059100</v>
      </c>
      <c r="C25" s="17" t="s">
        <v>32</v>
      </c>
      <c r="D25" s="29"/>
      <c r="E25" s="29"/>
      <c r="F25" s="21">
        <v>2.2650000000000003E-2</v>
      </c>
      <c r="G25" s="21"/>
      <c r="H25" s="19">
        <v>2.6459999999999999</v>
      </c>
      <c r="I25" s="23"/>
      <c r="J25" s="19">
        <f t="shared" si="0"/>
        <v>0</v>
      </c>
      <c r="M25" s="39" t="str">
        <f t="shared" si="1"/>
        <v>-</v>
      </c>
      <c r="N25" s="39" t="str">
        <f t="shared" si="2"/>
        <v>-</v>
      </c>
      <c r="O25" s="40" t="str">
        <f t="shared" si="3"/>
        <v>-</v>
      </c>
      <c r="P25" s="41" t="str">
        <f t="shared" si="4"/>
        <v>-</v>
      </c>
      <c r="R25" s="41" t="str">
        <f t="shared" si="5"/>
        <v>-</v>
      </c>
    </row>
    <row r="26" spans="1:18" x14ac:dyDescent="0.3">
      <c r="A26" s="26">
        <v>592</v>
      </c>
      <c r="B26" s="15">
        <v>88395059209</v>
      </c>
      <c r="C26" s="17" t="s">
        <v>33</v>
      </c>
      <c r="D26" s="29"/>
      <c r="E26" s="29"/>
      <c r="F26" s="21">
        <v>0.15855</v>
      </c>
      <c r="G26" s="21"/>
      <c r="H26" s="19">
        <v>27.783000000000001</v>
      </c>
      <c r="I26" s="23"/>
      <c r="J26" s="19">
        <f t="shared" si="0"/>
        <v>0</v>
      </c>
      <c r="M26" s="39" t="str">
        <f t="shared" si="1"/>
        <v>-</v>
      </c>
      <c r="N26" s="39" t="str">
        <f t="shared" si="2"/>
        <v>-</v>
      </c>
      <c r="O26" s="40" t="str">
        <f t="shared" si="3"/>
        <v>-</v>
      </c>
      <c r="P26" s="41" t="str">
        <f t="shared" si="4"/>
        <v>-</v>
      </c>
      <c r="R26" s="41" t="str">
        <f t="shared" si="5"/>
        <v>-</v>
      </c>
    </row>
    <row r="27" spans="1:18" x14ac:dyDescent="0.3">
      <c r="A27" s="26">
        <v>600</v>
      </c>
      <c r="B27" s="15">
        <v>88395060007</v>
      </c>
      <c r="C27" s="17" t="s">
        <v>34</v>
      </c>
      <c r="D27" s="29"/>
      <c r="E27" s="29"/>
      <c r="F27" s="21">
        <v>4.9829999999999999E-2</v>
      </c>
      <c r="G27" s="21"/>
      <c r="H27" s="19">
        <v>6.5488500000000016</v>
      </c>
      <c r="I27" s="23"/>
      <c r="J27" s="19">
        <f t="shared" si="0"/>
        <v>0</v>
      </c>
      <c r="M27" s="39" t="str">
        <f t="shared" si="1"/>
        <v>-</v>
      </c>
      <c r="N27" s="39" t="str">
        <f t="shared" si="2"/>
        <v>-</v>
      </c>
      <c r="O27" s="40" t="str">
        <f t="shared" si="3"/>
        <v>-</v>
      </c>
      <c r="P27" s="41" t="str">
        <f t="shared" si="4"/>
        <v>-</v>
      </c>
      <c r="R27" s="41" t="str">
        <f t="shared" si="5"/>
        <v>-</v>
      </c>
    </row>
    <row r="28" spans="1:18" x14ac:dyDescent="0.3">
      <c r="A28" s="26">
        <v>602</v>
      </c>
      <c r="B28" s="15">
        <v>88395060205</v>
      </c>
      <c r="C28" s="17" t="s">
        <v>35</v>
      </c>
      <c r="D28" s="29"/>
      <c r="E28" s="29"/>
      <c r="F28" s="21">
        <v>0.12231000000000002</v>
      </c>
      <c r="G28" s="21"/>
      <c r="H28" s="19">
        <v>16.471349999999997</v>
      </c>
      <c r="I28" s="23"/>
      <c r="J28" s="19">
        <f t="shared" si="0"/>
        <v>0</v>
      </c>
      <c r="M28" s="39" t="str">
        <f t="shared" si="1"/>
        <v>-</v>
      </c>
      <c r="N28" s="39" t="str">
        <f t="shared" si="2"/>
        <v>-</v>
      </c>
      <c r="O28" s="40" t="str">
        <f t="shared" si="3"/>
        <v>-</v>
      </c>
      <c r="P28" s="41" t="str">
        <f t="shared" si="4"/>
        <v>-</v>
      </c>
      <c r="R28" s="41" t="str">
        <f t="shared" si="5"/>
        <v>-</v>
      </c>
    </row>
    <row r="29" spans="1:18" x14ac:dyDescent="0.3">
      <c r="A29" s="26">
        <v>770</v>
      </c>
      <c r="B29" s="15">
        <v>88395007705</v>
      </c>
      <c r="C29" s="17" t="s">
        <v>36</v>
      </c>
      <c r="D29" s="29"/>
      <c r="E29" s="29"/>
      <c r="F29" s="21">
        <v>9.0600000000000014E-2</v>
      </c>
      <c r="G29" s="21"/>
      <c r="H29" s="19">
        <v>26.129249999999999</v>
      </c>
      <c r="I29" s="23"/>
      <c r="J29" s="19">
        <f t="shared" si="0"/>
        <v>0</v>
      </c>
      <c r="M29" s="39" t="str">
        <f t="shared" si="1"/>
        <v>-</v>
      </c>
      <c r="N29" s="39" t="str">
        <f t="shared" si="2"/>
        <v>-</v>
      </c>
      <c r="O29" s="40" t="str">
        <f t="shared" si="3"/>
        <v>-</v>
      </c>
      <c r="P29" s="41" t="str">
        <f t="shared" si="4"/>
        <v>-</v>
      </c>
      <c r="R29" s="41" t="str">
        <f t="shared" si="5"/>
        <v>-</v>
      </c>
    </row>
    <row r="30" spans="1:18" x14ac:dyDescent="0.3">
      <c r="A30" s="26">
        <v>771</v>
      </c>
      <c r="B30" s="15">
        <v>88395007712</v>
      </c>
      <c r="C30" s="17" t="s">
        <v>37</v>
      </c>
      <c r="D30" s="29"/>
      <c r="E30" s="29"/>
      <c r="F30" s="21">
        <v>0.18120000000000003</v>
      </c>
      <c r="G30" s="21"/>
      <c r="H30" s="19">
        <v>50.406300000000002</v>
      </c>
      <c r="I30" s="23"/>
      <c r="J30" s="19">
        <f t="shared" si="0"/>
        <v>0</v>
      </c>
      <c r="M30" s="39" t="str">
        <f t="shared" si="1"/>
        <v>-</v>
      </c>
      <c r="N30" s="39" t="str">
        <f t="shared" si="2"/>
        <v>-</v>
      </c>
      <c r="O30" s="40" t="str">
        <f t="shared" si="3"/>
        <v>-</v>
      </c>
      <c r="P30" s="41" t="str">
        <f t="shared" si="4"/>
        <v>-</v>
      </c>
      <c r="R30" s="41" t="str">
        <f t="shared" si="5"/>
        <v>-</v>
      </c>
    </row>
    <row r="31" spans="1:18" x14ac:dyDescent="0.3">
      <c r="A31" s="26">
        <v>772</v>
      </c>
      <c r="B31" s="15">
        <v>88395007729</v>
      </c>
      <c r="C31" s="17" t="s">
        <v>38</v>
      </c>
      <c r="D31" s="29"/>
      <c r="E31" s="29"/>
      <c r="F31" s="21">
        <v>0.36240000000000006</v>
      </c>
      <c r="G31" s="21"/>
      <c r="H31" s="19">
        <v>99.225000000000009</v>
      </c>
      <c r="I31" s="23"/>
      <c r="J31" s="19">
        <f t="shared" si="0"/>
        <v>0</v>
      </c>
      <c r="M31" s="39" t="str">
        <f t="shared" si="1"/>
        <v>-</v>
      </c>
      <c r="N31" s="39" t="str">
        <f t="shared" si="2"/>
        <v>-</v>
      </c>
      <c r="O31" s="40" t="str">
        <f t="shared" si="3"/>
        <v>-</v>
      </c>
      <c r="P31" s="41" t="str">
        <f t="shared" si="4"/>
        <v>-</v>
      </c>
      <c r="R31" s="41" t="str">
        <f t="shared" si="5"/>
        <v>-</v>
      </c>
    </row>
    <row r="32" spans="1:18" x14ac:dyDescent="0.3">
      <c r="A32" s="26">
        <v>791</v>
      </c>
      <c r="B32" s="15">
        <v>88395007910</v>
      </c>
      <c r="C32" s="17" t="s">
        <v>39</v>
      </c>
      <c r="D32" s="29"/>
      <c r="E32" s="29"/>
      <c r="F32" s="21">
        <v>0.22650000000000001</v>
      </c>
      <c r="G32" s="21"/>
      <c r="H32" s="19">
        <v>82.6875</v>
      </c>
      <c r="I32" s="23"/>
      <c r="J32" s="19">
        <f t="shared" si="0"/>
        <v>0</v>
      </c>
      <c r="M32" s="39" t="str">
        <f t="shared" si="1"/>
        <v>-</v>
      </c>
      <c r="N32" s="39" t="str">
        <f t="shared" si="2"/>
        <v>-</v>
      </c>
      <c r="O32" s="40" t="str">
        <f t="shared" si="3"/>
        <v>-</v>
      </c>
      <c r="P32" s="41" t="str">
        <f t="shared" si="4"/>
        <v>-</v>
      </c>
      <c r="R32" s="41" t="str">
        <f t="shared" si="5"/>
        <v>-</v>
      </c>
    </row>
    <row r="33" spans="1:18" x14ac:dyDescent="0.3">
      <c r="A33" s="26">
        <v>796</v>
      </c>
      <c r="B33" s="15">
        <v>88395007965</v>
      </c>
      <c r="C33" s="17" t="s">
        <v>40</v>
      </c>
      <c r="D33" s="29"/>
      <c r="E33" s="29"/>
      <c r="F33" s="21">
        <v>0.11325</v>
      </c>
      <c r="G33" s="21"/>
      <c r="H33" s="19">
        <v>42.269849999999998</v>
      </c>
      <c r="I33" s="23"/>
      <c r="J33" s="19">
        <f t="shared" si="0"/>
        <v>0</v>
      </c>
      <c r="M33" s="39" t="str">
        <f t="shared" si="1"/>
        <v>-</v>
      </c>
      <c r="N33" s="39" t="str">
        <f t="shared" si="2"/>
        <v>-</v>
      </c>
      <c r="O33" s="40" t="str">
        <f t="shared" si="3"/>
        <v>-</v>
      </c>
      <c r="P33" s="41" t="str">
        <f t="shared" si="4"/>
        <v>-</v>
      </c>
      <c r="R33" s="41" t="str">
        <f t="shared" si="5"/>
        <v>-</v>
      </c>
    </row>
    <row r="34" spans="1:18" x14ac:dyDescent="0.3">
      <c r="A34" s="26">
        <v>861</v>
      </c>
      <c r="B34" s="15">
        <v>88395008610</v>
      </c>
      <c r="C34" s="17" t="s">
        <v>41</v>
      </c>
      <c r="D34" s="29"/>
      <c r="E34" s="29"/>
      <c r="F34" s="21">
        <v>0.18120000000000003</v>
      </c>
      <c r="G34" s="21"/>
      <c r="H34" s="19">
        <v>36.382500000000007</v>
      </c>
      <c r="I34" s="23"/>
      <c r="J34" s="19">
        <f t="shared" si="0"/>
        <v>0</v>
      </c>
      <c r="M34" s="39" t="str">
        <f t="shared" si="1"/>
        <v>-</v>
      </c>
      <c r="N34" s="39" t="str">
        <f t="shared" si="2"/>
        <v>-</v>
      </c>
      <c r="O34" s="40" t="str">
        <f t="shared" si="3"/>
        <v>-</v>
      </c>
      <c r="P34" s="41" t="str">
        <f t="shared" si="4"/>
        <v>-</v>
      </c>
      <c r="R34" s="41" t="str">
        <f t="shared" si="5"/>
        <v>-</v>
      </c>
    </row>
    <row r="35" spans="1:18" x14ac:dyDescent="0.3">
      <c r="A35" s="26">
        <v>866</v>
      </c>
      <c r="B35" s="15">
        <v>88395008665</v>
      </c>
      <c r="C35" s="17" t="s">
        <v>42</v>
      </c>
      <c r="D35" s="29"/>
      <c r="E35" s="29"/>
      <c r="F35" s="21">
        <v>9.0600000000000014E-2</v>
      </c>
      <c r="G35" s="21"/>
      <c r="H35" s="19">
        <v>19.778849999999998</v>
      </c>
      <c r="I35" s="23"/>
      <c r="J35" s="19">
        <f t="shared" si="0"/>
        <v>0</v>
      </c>
      <c r="M35" s="39" t="str">
        <f t="shared" si="1"/>
        <v>-</v>
      </c>
      <c r="N35" s="39" t="str">
        <f t="shared" si="2"/>
        <v>-</v>
      </c>
      <c r="O35" s="40" t="str">
        <f t="shared" si="3"/>
        <v>-</v>
      </c>
      <c r="P35" s="41" t="str">
        <f t="shared" si="4"/>
        <v>-</v>
      </c>
      <c r="R35" s="41" t="str">
        <f t="shared" si="5"/>
        <v>-</v>
      </c>
    </row>
    <row r="36" spans="1:18" x14ac:dyDescent="0.3">
      <c r="A36" s="26">
        <v>871</v>
      </c>
      <c r="B36" s="15">
        <v>88395087103</v>
      </c>
      <c r="C36" s="17" t="s">
        <v>43</v>
      </c>
      <c r="D36" s="29"/>
      <c r="E36" s="29"/>
      <c r="F36" s="21">
        <v>4.5300000000000007E-2</v>
      </c>
      <c r="G36" s="21"/>
      <c r="H36" s="19">
        <v>16.460325000000001</v>
      </c>
      <c r="I36" s="23"/>
      <c r="J36" s="19">
        <f t="shared" si="0"/>
        <v>0</v>
      </c>
      <c r="M36" s="39" t="str">
        <f t="shared" si="1"/>
        <v>-</v>
      </c>
      <c r="N36" s="39" t="str">
        <f t="shared" si="2"/>
        <v>-</v>
      </c>
      <c r="O36" s="40" t="str">
        <f t="shared" si="3"/>
        <v>-</v>
      </c>
      <c r="P36" s="41" t="str">
        <f t="shared" si="4"/>
        <v>-</v>
      </c>
      <c r="R36" s="41" t="str">
        <f t="shared" si="5"/>
        <v>-</v>
      </c>
    </row>
    <row r="37" spans="1:18" x14ac:dyDescent="0.3">
      <c r="A37" s="26">
        <v>872</v>
      </c>
      <c r="B37" s="15">
        <v>88395087202</v>
      </c>
      <c r="C37" s="17" t="s">
        <v>44</v>
      </c>
      <c r="D37" s="29"/>
      <c r="E37" s="29"/>
      <c r="F37" s="21">
        <v>7.7010000000000009E-2</v>
      </c>
      <c r="G37" s="21"/>
      <c r="H37" s="19">
        <v>31.090499999999995</v>
      </c>
      <c r="I37" s="23"/>
      <c r="J37" s="19">
        <f t="shared" si="0"/>
        <v>0</v>
      </c>
      <c r="M37" s="39" t="str">
        <f t="shared" si="1"/>
        <v>-</v>
      </c>
      <c r="N37" s="39" t="str">
        <f t="shared" si="2"/>
        <v>-</v>
      </c>
      <c r="O37" s="40" t="str">
        <f t="shared" si="3"/>
        <v>-</v>
      </c>
      <c r="P37" s="41" t="str">
        <f t="shared" si="4"/>
        <v>-</v>
      </c>
      <c r="R37" s="41" t="str">
        <f t="shared" si="5"/>
        <v>-</v>
      </c>
    </row>
    <row r="38" spans="1:18" x14ac:dyDescent="0.3">
      <c r="A38" s="26">
        <v>880</v>
      </c>
      <c r="B38" s="15">
        <v>88395008801</v>
      </c>
      <c r="C38" s="17" t="s">
        <v>45</v>
      </c>
      <c r="D38" s="29"/>
      <c r="E38" s="29"/>
      <c r="F38" s="21">
        <v>2.2650000000000003E-2</v>
      </c>
      <c r="G38" s="21"/>
      <c r="H38" s="19">
        <v>13.16385</v>
      </c>
      <c r="I38" s="23"/>
      <c r="J38" s="19">
        <f t="shared" si="0"/>
        <v>0</v>
      </c>
      <c r="M38" s="39" t="str">
        <f t="shared" si="1"/>
        <v>-</v>
      </c>
      <c r="N38" s="39" t="str">
        <f t="shared" si="2"/>
        <v>-</v>
      </c>
      <c r="O38" s="40" t="str">
        <f t="shared" si="3"/>
        <v>-</v>
      </c>
      <c r="P38" s="41" t="str">
        <f t="shared" si="4"/>
        <v>-</v>
      </c>
      <c r="R38" s="41" t="str">
        <f t="shared" si="5"/>
        <v>-</v>
      </c>
    </row>
    <row r="39" spans="1:18" x14ac:dyDescent="0.3">
      <c r="A39" s="26">
        <v>881</v>
      </c>
      <c r="B39" s="15">
        <v>88395008818</v>
      </c>
      <c r="C39" s="17" t="s">
        <v>46</v>
      </c>
      <c r="D39" s="29"/>
      <c r="E39" s="29"/>
      <c r="F39" s="21">
        <v>6.7949999999999997E-2</v>
      </c>
      <c r="G39" s="21"/>
      <c r="H39" s="19">
        <v>33.008849999999995</v>
      </c>
      <c r="I39" s="23"/>
      <c r="J39" s="19">
        <f t="shared" si="0"/>
        <v>0</v>
      </c>
      <c r="M39" s="39" t="str">
        <f t="shared" si="1"/>
        <v>-</v>
      </c>
      <c r="N39" s="39" t="str">
        <f t="shared" si="2"/>
        <v>-</v>
      </c>
      <c r="O39" s="40" t="str">
        <f t="shared" si="3"/>
        <v>-</v>
      </c>
      <c r="P39" s="41" t="str">
        <f t="shared" si="4"/>
        <v>-</v>
      </c>
      <c r="R39" s="41" t="str">
        <f t="shared" si="5"/>
        <v>-</v>
      </c>
    </row>
    <row r="40" spans="1:18" x14ac:dyDescent="0.3">
      <c r="A40" s="26">
        <v>882</v>
      </c>
      <c r="B40" s="15">
        <v>88395008825</v>
      </c>
      <c r="C40" s="17" t="s">
        <v>47</v>
      </c>
      <c r="D40" s="29"/>
      <c r="E40" s="29"/>
      <c r="F40" s="21">
        <v>0.11325</v>
      </c>
      <c r="G40" s="21"/>
      <c r="H40" s="19">
        <v>63.173249999999996</v>
      </c>
      <c r="I40" s="23"/>
      <c r="J40" s="19">
        <f t="shared" si="0"/>
        <v>0</v>
      </c>
      <c r="M40" s="39" t="str">
        <f t="shared" si="1"/>
        <v>-</v>
      </c>
      <c r="N40" s="39" t="str">
        <f t="shared" si="2"/>
        <v>-</v>
      </c>
      <c r="O40" s="40" t="str">
        <f t="shared" si="3"/>
        <v>-</v>
      </c>
      <c r="P40" s="41" t="str">
        <f t="shared" si="4"/>
        <v>-</v>
      </c>
      <c r="R40" s="41" t="str">
        <f t="shared" si="5"/>
        <v>-</v>
      </c>
    </row>
    <row r="41" spans="1:18" x14ac:dyDescent="0.3">
      <c r="A41" s="26">
        <v>1000</v>
      </c>
      <c r="B41" s="15">
        <v>88395010002</v>
      </c>
      <c r="C41" s="17" t="s">
        <v>48</v>
      </c>
      <c r="D41" s="29"/>
      <c r="E41" s="29"/>
      <c r="F41" s="21">
        <v>4.5300000000000007E-2</v>
      </c>
      <c r="G41" s="21"/>
      <c r="H41" s="19">
        <v>16.471349999999997</v>
      </c>
      <c r="I41" s="23"/>
      <c r="J41" s="19">
        <f t="shared" si="0"/>
        <v>0</v>
      </c>
      <c r="M41" s="39" t="str">
        <f t="shared" si="1"/>
        <v>-</v>
      </c>
      <c r="N41" s="39" t="str">
        <f t="shared" si="2"/>
        <v>-</v>
      </c>
      <c r="O41" s="40" t="str">
        <f t="shared" si="3"/>
        <v>-</v>
      </c>
      <c r="P41" s="41" t="str">
        <f t="shared" si="4"/>
        <v>-</v>
      </c>
      <c r="R41" s="41" t="str">
        <f t="shared" si="5"/>
        <v>-</v>
      </c>
    </row>
    <row r="42" spans="1:18" x14ac:dyDescent="0.3">
      <c r="A42" s="26">
        <v>1001</v>
      </c>
      <c r="B42" s="15">
        <v>88395010019</v>
      </c>
      <c r="C42" s="17" t="s">
        <v>49</v>
      </c>
      <c r="D42" s="29"/>
      <c r="E42" s="29"/>
      <c r="F42" s="21">
        <v>6.7949999999999997E-2</v>
      </c>
      <c r="G42" s="21"/>
      <c r="H42" s="19">
        <v>45.643499999999989</v>
      </c>
      <c r="I42" s="23"/>
      <c r="J42" s="19">
        <f t="shared" si="0"/>
        <v>0</v>
      </c>
      <c r="M42" s="39" t="str">
        <f t="shared" si="1"/>
        <v>-</v>
      </c>
      <c r="N42" s="39" t="str">
        <f t="shared" si="2"/>
        <v>-</v>
      </c>
      <c r="O42" s="40" t="str">
        <f t="shared" si="3"/>
        <v>-</v>
      </c>
      <c r="P42" s="41" t="str">
        <f t="shared" si="4"/>
        <v>-</v>
      </c>
      <c r="R42" s="41" t="str">
        <f t="shared" si="5"/>
        <v>-</v>
      </c>
    </row>
    <row r="43" spans="1:18" x14ac:dyDescent="0.3">
      <c r="A43" s="26">
        <v>1011</v>
      </c>
      <c r="B43" s="15">
        <v>88395101106</v>
      </c>
      <c r="C43" s="17" t="s">
        <v>50</v>
      </c>
      <c r="D43" s="29"/>
      <c r="E43" s="29"/>
      <c r="F43" s="21">
        <v>6.7949999999999997E-2</v>
      </c>
      <c r="G43" s="21"/>
      <c r="H43" s="19">
        <v>14.222250000000001</v>
      </c>
      <c r="I43" s="23"/>
      <c r="J43" s="19">
        <f t="shared" si="0"/>
        <v>0</v>
      </c>
      <c r="M43" s="39" t="str">
        <f t="shared" si="1"/>
        <v>-</v>
      </c>
      <c r="N43" s="39" t="str">
        <f t="shared" si="2"/>
        <v>-</v>
      </c>
      <c r="O43" s="40" t="str">
        <f t="shared" si="3"/>
        <v>-</v>
      </c>
      <c r="P43" s="41" t="str">
        <f t="shared" si="4"/>
        <v>-</v>
      </c>
      <c r="R43" s="41" t="str">
        <f t="shared" si="5"/>
        <v>-</v>
      </c>
    </row>
    <row r="44" spans="1:18" x14ac:dyDescent="0.3">
      <c r="A44" s="26">
        <v>1012</v>
      </c>
      <c r="B44" s="15">
        <v>88395101205</v>
      </c>
      <c r="C44" s="17" t="s">
        <v>51</v>
      </c>
      <c r="D44" s="29"/>
      <c r="E44" s="29"/>
      <c r="F44" s="21">
        <v>0.13589999999999999</v>
      </c>
      <c r="G44" s="21"/>
      <c r="H44" s="19">
        <v>26.393850000000008</v>
      </c>
      <c r="I44" s="23"/>
      <c r="J44" s="19">
        <f t="shared" si="0"/>
        <v>0</v>
      </c>
      <c r="M44" s="39" t="str">
        <f t="shared" si="1"/>
        <v>-</v>
      </c>
      <c r="N44" s="39" t="str">
        <f t="shared" si="2"/>
        <v>-</v>
      </c>
      <c r="O44" s="40" t="str">
        <f t="shared" si="3"/>
        <v>-</v>
      </c>
      <c r="P44" s="41" t="str">
        <f t="shared" si="4"/>
        <v>-</v>
      </c>
      <c r="R44" s="41" t="str">
        <f t="shared" si="5"/>
        <v>-</v>
      </c>
    </row>
    <row r="45" spans="1:18" x14ac:dyDescent="0.3">
      <c r="A45" s="26">
        <v>1025</v>
      </c>
      <c r="B45" s="15">
        <v>88395102509</v>
      </c>
      <c r="C45" s="17" t="s">
        <v>52</v>
      </c>
      <c r="D45" s="29"/>
      <c r="E45" s="29"/>
      <c r="F45" s="21">
        <v>4.0770000000000001E-2</v>
      </c>
      <c r="G45" s="21"/>
      <c r="H45" s="19">
        <v>21.498750000000001</v>
      </c>
      <c r="I45" s="23"/>
      <c r="J45" s="19">
        <f t="shared" si="0"/>
        <v>0</v>
      </c>
      <c r="M45" s="39" t="str">
        <f t="shared" si="1"/>
        <v>-</v>
      </c>
      <c r="N45" s="39" t="str">
        <f t="shared" si="2"/>
        <v>-</v>
      </c>
      <c r="O45" s="40" t="str">
        <f t="shared" si="3"/>
        <v>-</v>
      </c>
      <c r="P45" s="41" t="str">
        <f t="shared" si="4"/>
        <v>-</v>
      </c>
      <c r="R45" s="41" t="str">
        <f t="shared" si="5"/>
        <v>-</v>
      </c>
    </row>
    <row r="46" spans="1:18" x14ac:dyDescent="0.3">
      <c r="A46" s="26">
        <v>1030</v>
      </c>
      <c r="B46" s="15">
        <v>88395103001</v>
      </c>
      <c r="C46" s="17" t="s">
        <v>53</v>
      </c>
      <c r="D46" s="29"/>
      <c r="E46" s="29"/>
      <c r="F46" s="21">
        <v>4.9829999999999999E-2</v>
      </c>
      <c r="G46" s="21"/>
      <c r="H46" s="19">
        <v>19.778849999999998</v>
      </c>
      <c r="I46" s="23"/>
      <c r="J46" s="19">
        <f t="shared" si="0"/>
        <v>0</v>
      </c>
      <c r="M46" s="39" t="str">
        <f t="shared" si="1"/>
        <v>-</v>
      </c>
      <c r="N46" s="39" t="str">
        <f t="shared" si="2"/>
        <v>-</v>
      </c>
      <c r="O46" s="40" t="str">
        <f t="shared" si="3"/>
        <v>-</v>
      </c>
      <c r="P46" s="41" t="str">
        <f t="shared" si="4"/>
        <v>-</v>
      </c>
      <c r="R46" s="41" t="str">
        <f t="shared" si="5"/>
        <v>-</v>
      </c>
    </row>
    <row r="47" spans="1:18" x14ac:dyDescent="0.3">
      <c r="A47" s="26">
        <v>1033</v>
      </c>
      <c r="B47" s="15">
        <v>88395103308</v>
      </c>
      <c r="C47" s="17" t="s">
        <v>54</v>
      </c>
      <c r="D47" s="29"/>
      <c r="E47" s="29"/>
      <c r="F47" s="21">
        <v>4.9829999999999999E-2</v>
      </c>
      <c r="G47" s="21"/>
      <c r="H47" s="19">
        <v>19.778849999999998</v>
      </c>
      <c r="I47" s="23"/>
      <c r="J47" s="19">
        <f t="shared" si="0"/>
        <v>0</v>
      </c>
      <c r="M47" s="39" t="str">
        <f t="shared" si="1"/>
        <v>-</v>
      </c>
      <c r="N47" s="39" t="str">
        <f t="shared" si="2"/>
        <v>-</v>
      </c>
      <c r="O47" s="40" t="str">
        <f t="shared" si="3"/>
        <v>-</v>
      </c>
      <c r="P47" s="41" t="str">
        <f t="shared" si="4"/>
        <v>-</v>
      </c>
      <c r="R47" s="41" t="str">
        <f t="shared" si="5"/>
        <v>-</v>
      </c>
    </row>
    <row r="48" spans="1:18" x14ac:dyDescent="0.3">
      <c r="A48" s="26">
        <v>1041</v>
      </c>
      <c r="B48" s="15">
        <v>88395104107</v>
      </c>
      <c r="C48" s="17" t="s">
        <v>55</v>
      </c>
      <c r="D48" s="29"/>
      <c r="E48" s="29"/>
      <c r="F48" s="21">
        <v>4.5300000000000007E-2</v>
      </c>
      <c r="G48" s="21"/>
      <c r="H48" s="19">
        <v>19.778849999999998</v>
      </c>
      <c r="I48" s="23"/>
      <c r="J48" s="19">
        <f t="shared" si="0"/>
        <v>0</v>
      </c>
      <c r="M48" s="39" t="str">
        <f t="shared" si="1"/>
        <v>-</v>
      </c>
      <c r="N48" s="39" t="str">
        <f t="shared" si="2"/>
        <v>-</v>
      </c>
      <c r="O48" s="40" t="str">
        <f t="shared" si="3"/>
        <v>-</v>
      </c>
      <c r="P48" s="41" t="str">
        <f t="shared" si="4"/>
        <v>-</v>
      </c>
      <c r="R48" s="41" t="str">
        <f t="shared" si="5"/>
        <v>-</v>
      </c>
    </row>
    <row r="49" spans="1:18" x14ac:dyDescent="0.3">
      <c r="A49" s="26">
        <v>1042</v>
      </c>
      <c r="B49" s="15">
        <v>88395104206</v>
      </c>
      <c r="C49" s="17" t="s">
        <v>56</v>
      </c>
      <c r="D49" s="29"/>
      <c r="E49" s="29"/>
      <c r="F49" s="21">
        <v>7.7010000000000009E-2</v>
      </c>
      <c r="G49" s="21"/>
      <c r="H49" s="19">
        <v>34.728749999999998</v>
      </c>
      <c r="I49" s="23"/>
      <c r="J49" s="19">
        <f t="shared" si="0"/>
        <v>0</v>
      </c>
      <c r="M49" s="39" t="str">
        <f t="shared" si="1"/>
        <v>-</v>
      </c>
      <c r="N49" s="39" t="str">
        <f t="shared" si="2"/>
        <v>-</v>
      </c>
      <c r="O49" s="40" t="str">
        <f t="shared" si="3"/>
        <v>-</v>
      </c>
      <c r="P49" s="41" t="str">
        <f t="shared" si="4"/>
        <v>-</v>
      </c>
      <c r="R49" s="41" t="str">
        <f t="shared" si="5"/>
        <v>-</v>
      </c>
    </row>
    <row r="50" spans="1:18" x14ac:dyDescent="0.3">
      <c r="A50" s="26">
        <v>1050</v>
      </c>
      <c r="B50" s="15">
        <v>88395105005</v>
      </c>
      <c r="C50" s="17" t="s">
        <v>57</v>
      </c>
      <c r="D50" s="29"/>
      <c r="E50" s="29"/>
      <c r="F50" s="21">
        <v>4.9829999999999999E-2</v>
      </c>
      <c r="G50" s="21"/>
      <c r="H50" s="19">
        <v>19.778849999999998</v>
      </c>
      <c r="I50" s="23"/>
      <c r="J50" s="19">
        <f t="shared" si="0"/>
        <v>0</v>
      </c>
      <c r="M50" s="39" t="str">
        <f t="shared" si="1"/>
        <v>-</v>
      </c>
      <c r="N50" s="39" t="str">
        <f t="shared" si="2"/>
        <v>-</v>
      </c>
      <c r="O50" s="40" t="str">
        <f t="shared" si="3"/>
        <v>-</v>
      </c>
      <c r="P50" s="41" t="str">
        <f t="shared" si="4"/>
        <v>-</v>
      </c>
      <c r="R50" s="41" t="str">
        <f t="shared" si="5"/>
        <v>-</v>
      </c>
    </row>
    <row r="51" spans="1:18" x14ac:dyDescent="0.3">
      <c r="A51" s="26">
        <v>1053</v>
      </c>
      <c r="B51" s="15">
        <v>88395105302</v>
      </c>
      <c r="C51" s="17" t="s">
        <v>58</v>
      </c>
      <c r="D51" s="29"/>
      <c r="E51" s="29"/>
      <c r="F51" s="21">
        <v>4.9829999999999999E-2</v>
      </c>
      <c r="G51" s="21"/>
      <c r="H51" s="19">
        <v>19.778849999999998</v>
      </c>
      <c r="I51" s="23"/>
      <c r="J51" s="19">
        <f t="shared" si="0"/>
        <v>0</v>
      </c>
      <c r="M51" s="39" t="str">
        <f t="shared" si="1"/>
        <v>-</v>
      </c>
      <c r="N51" s="39" t="str">
        <f t="shared" si="2"/>
        <v>-</v>
      </c>
      <c r="O51" s="40" t="str">
        <f t="shared" si="3"/>
        <v>-</v>
      </c>
      <c r="P51" s="41" t="str">
        <f t="shared" si="4"/>
        <v>-</v>
      </c>
      <c r="R51" s="41" t="str">
        <f t="shared" si="5"/>
        <v>-</v>
      </c>
    </row>
    <row r="52" spans="1:18" x14ac:dyDescent="0.3">
      <c r="A52" s="26">
        <v>1055</v>
      </c>
      <c r="B52" s="15">
        <v>88395105500</v>
      </c>
      <c r="C52" s="17" t="s">
        <v>52</v>
      </c>
      <c r="D52" s="29"/>
      <c r="E52" s="29"/>
      <c r="F52" s="21">
        <v>4.0770000000000001E-2</v>
      </c>
      <c r="G52" s="21"/>
      <c r="H52" s="19">
        <v>13.891500000000001</v>
      </c>
      <c r="I52" s="23"/>
      <c r="J52" s="19">
        <f t="shared" si="0"/>
        <v>0</v>
      </c>
      <c r="M52" s="39" t="str">
        <f t="shared" si="1"/>
        <v>-</v>
      </c>
      <c r="N52" s="39" t="str">
        <f t="shared" si="2"/>
        <v>-</v>
      </c>
      <c r="O52" s="40" t="str">
        <f t="shared" si="3"/>
        <v>-</v>
      </c>
      <c r="P52" s="41" t="str">
        <f t="shared" si="4"/>
        <v>-</v>
      </c>
      <c r="R52" s="41" t="str">
        <f t="shared" si="5"/>
        <v>-</v>
      </c>
    </row>
    <row r="53" spans="1:18" x14ac:dyDescent="0.3">
      <c r="A53" s="26">
        <v>1060</v>
      </c>
      <c r="B53" s="15">
        <v>88395106002</v>
      </c>
      <c r="C53" s="17" t="s">
        <v>59</v>
      </c>
      <c r="D53" s="29"/>
      <c r="E53" s="29"/>
      <c r="F53" s="21">
        <v>2.2650000000000003E-2</v>
      </c>
      <c r="G53" s="21"/>
      <c r="H53" s="19">
        <v>6.5488500000000016</v>
      </c>
      <c r="I53" s="23"/>
      <c r="J53" s="19">
        <f t="shared" si="0"/>
        <v>0</v>
      </c>
      <c r="M53" s="39" t="str">
        <f t="shared" si="1"/>
        <v>-</v>
      </c>
      <c r="N53" s="39" t="str">
        <f t="shared" si="2"/>
        <v>-</v>
      </c>
      <c r="O53" s="40" t="str">
        <f t="shared" si="3"/>
        <v>-</v>
      </c>
      <c r="P53" s="41" t="str">
        <f t="shared" si="4"/>
        <v>-</v>
      </c>
      <c r="R53" s="41" t="str">
        <f t="shared" si="5"/>
        <v>-</v>
      </c>
    </row>
    <row r="54" spans="1:18" x14ac:dyDescent="0.3">
      <c r="A54" s="26">
        <v>1061</v>
      </c>
      <c r="B54" s="15">
        <v>88395106101</v>
      </c>
      <c r="C54" s="17" t="s">
        <v>60</v>
      </c>
      <c r="D54" s="29"/>
      <c r="E54" s="29"/>
      <c r="F54" s="21">
        <v>3.1710000000000002E-2</v>
      </c>
      <c r="G54" s="21"/>
      <c r="H54" s="19">
        <v>12.502350000000002</v>
      </c>
      <c r="I54" s="23"/>
      <c r="J54" s="19">
        <f t="shared" si="0"/>
        <v>0</v>
      </c>
      <c r="M54" s="39" t="str">
        <f t="shared" si="1"/>
        <v>-</v>
      </c>
      <c r="N54" s="39" t="str">
        <f t="shared" si="2"/>
        <v>-</v>
      </c>
      <c r="O54" s="40" t="str">
        <f t="shared" si="3"/>
        <v>-</v>
      </c>
      <c r="P54" s="41" t="str">
        <f t="shared" si="4"/>
        <v>-</v>
      </c>
      <c r="R54" s="41" t="str">
        <f t="shared" si="5"/>
        <v>-</v>
      </c>
    </row>
    <row r="55" spans="1:18" x14ac:dyDescent="0.3">
      <c r="A55" s="26">
        <v>1062</v>
      </c>
      <c r="B55" s="15">
        <v>88395106200</v>
      </c>
      <c r="C55" s="17" t="s">
        <v>61</v>
      </c>
      <c r="D55" s="29"/>
      <c r="E55" s="29"/>
      <c r="F55" s="21">
        <v>4.9829999999999999E-2</v>
      </c>
      <c r="G55" s="21"/>
      <c r="H55" s="19">
        <v>21.498750000000001</v>
      </c>
      <c r="I55" s="23"/>
      <c r="J55" s="19">
        <f t="shared" si="0"/>
        <v>0</v>
      </c>
      <c r="M55" s="39" t="str">
        <f t="shared" si="1"/>
        <v>-</v>
      </c>
      <c r="N55" s="39" t="str">
        <f t="shared" si="2"/>
        <v>-</v>
      </c>
      <c r="O55" s="40" t="str">
        <f t="shared" si="3"/>
        <v>-</v>
      </c>
      <c r="P55" s="41" t="str">
        <f t="shared" si="4"/>
        <v>-</v>
      </c>
      <c r="R55" s="41" t="str">
        <f t="shared" si="5"/>
        <v>-</v>
      </c>
    </row>
    <row r="56" spans="1:18" x14ac:dyDescent="0.3">
      <c r="A56" s="26">
        <v>1071</v>
      </c>
      <c r="B56" s="15">
        <v>88395107108</v>
      </c>
      <c r="C56" s="17" t="s">
        <v>62</v>
      </c>
      <c r="D56" s="29"/>
      <c r="E56" s="29"/>
      <c r="F56" s="21">
        <v>4.5300000000000007E-2</v>
      </c>
      <c r="G56" s="21"/>
      <c r="H56" s="19">
        <v>14.883749999999999</v>
      </c>
      <c r="I56" s="23"/>
      <c r="J56" s="19">
        <f t="shared" si="0"/>
        <v>0</v>
      </c>
      <c r="M56" s="39" t="str">
        <f t="shared" si="1"/>
        <v>-</v>
      </c>
      <c r="N56" s="39" t="str">
        <f t="shared" si="2"/>
        <v>-</v>
      </c>
      <c r="O56" s="40" t="str">
        <f t="shared" si="3"/>
        <v>-</v>
      </c>
      <c r="P56" s="41" t="str">
        <f t="shared" si="4"/>
        <v>-</v>
      </c>
      <c r="R56" s="41" t="str">
        <f t="shared" si="5"/>
        <v>-</v>
      </c>
    </row>
    <row r="57" spans="1:18" x14ac:dyDescent="0.3">
      <c r="A57" s="26">
        <v>1072</v>
      </c>
      <c r="B57" s="15">
        <v>88395107207</v>
      </c>
      <c r="C57" s="17" t="s">
        <v>63</v>
      </c>
      <c r="D57" s="29"/>
      <c r="E57" s="29"/>
      <c r="F57" s="21">
        <v>7.7010000000000009E-2</v>
      </c>
      <c r="G57" s="21"/>
      <c r="H57" s="19">
        <v>28.775250000000003</v>
      </c>
      <c r="I57" s="23"/>
      <c r="J57" s="19">
        <f t="shared" si="0"/>
        <v>0</v>
      </c>
      <c r="M57" s="39" t="str">
        <f t="shared" si="1"/>
        <v>-</v>
      </c>
      <c r="N57" s="39" t="str">
        <f t="shared" si="2"/>
        <v>-</v>
      </c>
      <c r="O57" s="40" t="str">
        <f t="shared" si="3"/>
        <v>-</v>
      </c>
      <c r="P57" s="41" t="str">
        <f t="shared" si="4"/>
        <v>-</v>
      </c>
      <c r="R57" s="41" t="str">
        <f t="shared" si="5"/>
        <v>-</v>
      </c>
    </row>
    <row r="58" spans="1:18" x14ac:dyDescent="0.3">
      <c r="A58" s="26">
        <v>1082</v>
      </c>
      <c r="B58" s="15">
        <v>88395108204</v>
      </c>
      <c r="C58" s="17" t="s">
        <v>64</v>
      </c>
      <c r="D58" s="29"/>
      <c r="E58" s="29"/>
      <c r="F58" s="21">
        <v>7.7010000000000009E-2</v>
      </c>
      <c r="G58" s="21"/>
      <c r="H58" s="19">
        <v>22.755600000000001</v>
      </c>
      <c r="I58" s="23"/>
      <c r="J58" s="19">
        <f t="shared" si="0"/>
        <v>0</v>
      </c>
      <c r="M58" s="39" t="str">
        <f t="shared" si="1"/>
        <v>-</v>
      </c>
      <c r="N58" s="39" t="str">
        <f t="shared" si="2"/>
        <v>-</v>
      </c>
      <c r="O58" s="40" t="str">
        <f t="shared" si="3"/>
        <v>-</v>
      </c>
      <c r="P58" s="41" t="str">
        <f t="shared" si="4"/>
        <v>-</v>
      </c>
      <c r="R58" s="41" t="str">
        <f t="shared" si="5"/>
        <v>-</v>
      </c>
    </row>
    <row r="59" spans="1:18" x14ac:dyDescent="0.3">
      <c r="A59" s="26">
        <v>1083</v>
      </c>
      <c r="B59" s="15">
        <v>88395108303</v>
      </c>
      <c r="C59" s="17" t="s">
        <v>65</v>
      </c>
      <c r="D59" s="29"/>
      <c r="E59" s="29"/>
      <c r="F59" s="21">
        <v>0.13589999999999999</v>
      </c>
      <c r="G59" s="21"/>
      <c r="H59" s="19">
        <v>42.6006</v>
      </c>
      <c r="I59" s="23"/>
      <c r="J59" s="19">
        <f t="shared" si="0"/>
        <v>0</v>
      </c>
      <c r="M59" s="39" t="str">
        <f t="shared" si="1"/>
        <v>-</v>
      </c>
      <c r="N59" s="39" t="str">
        <f t="shared" si="2"/>
        <v>-</v>
      </c>
      <c r="O59" s="40" t="str">
        <f t="shared" si="3"/>
        <v>-</v>
      </c>
      <c r="P59" s="41" t="str">
        <f t="shared" si="4"/>
        <v>-</v>
      </c>
      <c r="R59" s="41" t="str">
        <f t="shared" si="5"/>
        <v>-</v>
      </c>
    </row>
    <row r="60" spans="1:18" x14ac:dyDescent="0.3">
      <c r="A60" s="26">
        <v>1091</v>
      </c>
      <c r="B60" s="15">
        <v>88395109102</v>
      </c>
      <c r="C60" s="17" t="s">
        <v>66</v>
      </c>
      <c r="D60" s="29"/>
      <c r="E60" s="29"/>
      <c r="F60" s="21">
        <v>3.1710000000000002E-2</v>
      </c>
      <c r="G60" s="21"/>
      <c r="H60" s="19">
        <v>14.420700000000002</v>
      </c>
      <c r="I60" s="23"/>
      <c r="J60" s="19">
        <f t="shared" si="0"/>
        <v>0</v>
      </c>
      <c r="M60" s="39" t="str">
        <f t="shared" si="1"/>
        <v>-</v>
      </c>
      <c r="N60" s="39" t="str">
        <f t="shared" si="2"/>
        <v>-</v>
      </c>
      <c r="O60" s="40" t="str">
        <f t="shared" si="3"/>
        <v>-</v>
      </c>
      <c r="P60" s="41" t="str">
        <f t="shared" si="4"/>
        <v>-</v>
      </c>
      <c r="R60" s="41" t="str">
        <f t="shared" si="5"/>
        <v>-</v>
      </c>
    </row>
    <row r="61" spans="1:18" x14ac:dyDescent="0.3">
      <c r="A61" s="26">
        <v>1092</v>
      </c>
      <c r="B61" s="15">
        <v>88395109201</v>
      </c>
      <c r="C61" s="17" t="s">
        <v>67</v>
      </c>
      <c r="D61" s="29"/>
      <c r="E61" s="29"/>
      <c r="F61" s="21">
        <v>5.8890000000000005E-2</v>
      </c>
      <c r="G61" s="21"/>
      <c r="H61" s="19">
        <v>27.783000000000001</v>
      </c>
      <c r="I61" s="23"/>
      <c r="J61" s="19">
        <f t="shared" si="0"/>
        <v>0</v>
      </c>
      <c r="M61" s="39" t="str">
        <f t="shared" si="1"/>
        <v>-</v>
      </c>
      <c r="N61" s="39" t="str">
        <f t="shared" si="2"/>
        <v>-</v>
      </c>
      <c r="O61" s="40" t="str">
        <f t="shared" si="3"/>
        <v>-</v>
      </c>
      <c r="P61" s="41" t="str">
        <f t="shared" si="4"/>
        <v>-</v>
      </c>
      <c r="R61" s="41" t="str">
        <f t="shared" si="5"/>
        <v>-</v>
      </c>
    </row>
    <row r="62" spans="1:18" x14ac:dyDescent="0.3">
      <c r="A62" s="26">
        <v>1101</v>
      </c>
      <c r="B62" s="15">
        <v>88395011016</v>
      </c>
      <c r="C62" s="17" t="s">
        <v>68</v>
      </c>
      <c r="D62" s="29"/>
      <c r="E62" s="29"/>
      <c r="F62" s="21">
        <v>4.5300000000000007E-2</v>
      </c>
      <c r="G62" s="21"/>
      <c r="H62" s="19">
        <v>6.5488500000000016</v>
      </c>
      <c r="I62" s="23"/>
      <c r="J62" s="19">
        <f t="shared" si="0"/>
        <v>0</v>
      </c>
      <c r="M62" s="39" t="str">
        <f t="shared" si="1"/>
        <v>-</v>
      </c>
      <c r="N62" s="39" t="str">
        <f t="shared" si="2"/>
        <v>-</v>
      </c>
      <c r="O62" s="40" t="str">
        <f t="shared" si="3"/>
        <v>-</v>
      </c>
      <c r="P62" s="41" t="str">
        <f t="shared" si="4"/>
        <v>-</v>
      </c>
      <c r="R62" s="41" t="str">
        <f t="shared" si="5"/>
        <v>-</v>
      </c>
    </row>
    <row r="63" spans="1:18" x14ac:dyDescent="0.3">
      <c r="A63" s="26">
        <v>1102</v>
      </c>
      <c r="B63" s="15">
        <v>88395011023</v>
      </c>
      <c r="C63" s="17" t="s">
        <v>69</v>
      </c>
      <c r="D63" s="29"/>
      <c r="E63" s="29"/>
      <c r="F63" s="21">
        <v>9.0600000000000014E-2</v>
      </c>
      <c r="G63" s="21"/>
      <c r="H63" s="19">
        <v>12.502350000000002</v>
      </c>
      <c r="I63" s="23"/>
      <c r="J63" s="19">
        <f t="shared" si="0"/>
        <v>0</v>
      </c>
      <c r="M63" s="39" t="str">
        <f t="shared" si="1"/>
        <v>-</v>
      </c>
      <c r="N63" s="39" t="str">
        <f t="shared" si="2"/>
        <v>-</v>
      </c>
      <c r="O63" s="40" t="str">
        <f t="shared" si="3"/>
        <v>-</v>
      </c>
      <c r="P63" s="41" t="str">
        <f t="shared" si="4"/>
        <v>-</v>
      </c>
      <c r="R63" s="41" t="str">
        <f t="shared" si="5"/>
        <v>-</v>
      </c>
    </row>
    <row r="64" spans="1:18" x14ac:dyDescent="0.3">
      <c r="A64" s="26">
        <v>1111</v>
      </c>
      <c r="B64" s="15">
        <v>88395011115</v>
      </c>
      <c r="C64" s="17" t="s">
        <v>70</v>
      </c>
      <c r="D64" s="29"/>
      <c r="E64" s="29"/>
      <c r="F64" s="21">
        <v>4.5300000000000007E-2</v>
      </c>
      <c r="G64" s="21"/>
      <c r="H64" s="19">
        <v>5.4573749999999999</v>
      </c>
      <c r="I64" s="23"/>
      <c r="J64" s="19">
        <f t="shared" si="0"/>
        <v>0</v>
      </c>
      <c r="M64" s="39" t="str">
        <f t="shared" si="1"/>
        <v>-</v>
      </c>
      <c r="N64" s="39" t="str">
        <f t="shared" si="2"/>
        <v>-</v>
      </c>
      <c r="O64" s="40" t="str">
        <f t="shared" si="3"/>
        <v>-</v>
      </c>
      <c r="P64" s="41" t="str">
        <f t="shared" si="4"/>
        <v>-</v>
      </c>
      <c r="R64" s="41" t="str">
        <f t="shared" si="5"/>
        <v>-</v>
      </c>
    </row>
    <row r="65" spans="1:18" x14ac:dyDescent="0.3">
      <c r="A65" s="26">
        <v>1112</v>
      </c>
      <c r="B65" s="15">
        <v>88395011122</v>
      </c>
      <c r="C65" s="17" t="s">
        <v>71</v>
      </c>
      <c r="D65" s="29"/>
      <c r="E65" s="29"/>
      <c r="F65" s="21">
        <v>9.0600000000000014E-2</v>
      </c>
      <c r="G65" s="21"/>
      <c r="H65" s="19">
        <v>11.377800000000001</v>
      </c>
      <c r="I65" s="23"/>
      <c r="J65" s="19">
        <f t="shared" si="0"/>
        <v>0</v>
      </c>
      <c r="M65" s="39" t="str">
        <f t="shared" si="1"/>
        <v>-</v>
      </c>
      <c r="N65" s="39" t="str">
        <f t="shared" si="2"/>
        <v>-</v>
      </c>
      <c r="O65" s="40" t="str">
        <f t="shared" si="3"/>
        <v>-</v>
      </c>
      <c r="P65" s="41" t="str">
        <f t="shared" si="4"/>
        <v>-</v>
      </c>
      <c r="R65" s="41" t="str">
        <f t="shared" si="5"/>
        <v>-</v>
      </c>
    </row>
    <row r="66" spans="1:18" x14ac:dyDescent="0.3">
      <c r="A66" s="26">
        <v>1121</v>
      </c>
      <c r="B66" s="15">
        <v>88395011214</v>
      </c>
      <c r="C66" s="17" t="s">
        <v>72</v>
      </c>
      <c r="D66" s="29"/>
      <c r="E66" s="29"/>
      <c r="F66" s="21">
        <v>5.4359999999999999E-2</v>
      </c>
      <c r="G66" s="21"/>
      <c r="H66" s="19">
        <v>7.8718499999999993</v>
      </c>
      <c r="I66" s="23"/>
      <c r="J66" s="19">
        <f t="shared" si="0"/>
        <v>0</v>
      </c>
      <c r="M66" s="39" t="str">
        <f t="shared" si="1"/>
        <v>-</v>
      </c>
      <c r="N66" s="39" t="str">
        <f t="shared" si="2"/>
        <v>-</v>
      </c>
      <c r="O66" s="40" t="str">
        <f t="shared" si="3"/>
        <v>-</v>
      </c>
      <c r="P66" s="41" t="str">
        <f t="shared" si="4"/>
        <v>-</v>
      </c>
      <c r="R66" s="41" t="str">
        <f t="shared" si="5"/>
        <v>-</v>
      </c>
    </row>
    <row r="67" spans="1:18" x14ac:dyDescent="0.3">
      <c r="A67" s="26">
        <v>1122</v>
      </c>
      <c r="B67" s="15">
        <v>88395011221</v>
      </c>
      <c r="C67" s="17" t="s">
        <v>73</v>
      </c>
      <c r="D67" s="29"/>
      <c r="E67" s="29"/>
      <c r="F67" s="21">
        <v>0.12231000000000002</v>
      </c>
      <c r="G67" s="21"/>
      <c r="H67" s="19">
        <v>16.471349999999997</v>
      </c>
      <c r="I67" s="23"/>
      <c r="J67" s="19">
        <f t="shared" ref="J67:J130" si="6">I67*H67</f>
        <v>0</v>
      </c>
      <c r="M67" s="39" t="str">
        <f t="shared" si="1"/>
        <v>-</v>
      </c>
      <c r="N67" s="39" t="str">
        <f t="shared" si="2"/>
        <v>-</v>
      </c>
      <c r="O67" s="40" t="str">
        <f t="shared" si="3"/>
        <v>-</v>
      </c>
      <c r="P67" s="41" t="str">
        <f t="shared" si="4"/>
        <v>-</v>
      </c>
      <c r="R67" s="41" t="str">
        <f t="shared" si="5"/>
        <v>-</v>
      </c>
    </row>
    <row r="68" spans="1:18" x14ac:dyDescent="0.3">
      <c r="A68" s="26">
        <v>1131</v>
      </c>
      <c r="B68" s="15">
        <v>88395011313</v>
      </c>
      <c r="C68" s="17" t="s">
        <v>74</v>
      </c>
      <c r="D68" s="29"/>
      <c r="E68" s="29"/>
      <c r="F68" s="21">
        <v>6.7949999999999997E-2</v>
      </c>
      <c r="G68" s="21"/>
      <c r="H68" s="19">
        <v>7.6072500000000005</v>
      </c>
      <c r="I68" s="23"/>
      <c r="J68" s="19">
        <f t="shared" si="6"/>
        <v>0</v>
      </c>
      <c r="M68" s="39" t="str">
        <f t="shared" ref="M68:M131" si="7">IFERROR(IF($M$2*F68=0, "-", $M$2*F68), "-")</f>
        <v>-</v>
      </c>
      <c r="N68" s="39" t="str">
        <f t="shared" ref="N68:N131" si="8">IF(I68&gt;0,H68+F68*I68/$O$2*$P$2/I68,"-")</f>
        <v>-</v>
      </c>
      <c r="O68" s="40" t="str">
        <f t="shared" ref="O68:O131" si="9">IF(I68&gt;0,I68*F68*1.13, "-")</f>
        <v>-</v>
      </c>
      <c r="P68" s="41" t="str">
        <f t="shared" ref="P68:P131" si="10">IFERROR(IF($M$2&gt;0, $M$2*O68, "-"), "-")</f>
        <v>-</v>
      </c>
      <c r="R68" s="41" t="str">
        <f t="shared" ref="R68:R131" si="11">IFERROR(IF(P68+J68=0, "-", IF(P68&gt;0, P68+J68, "-")), "-")</f>
        <v>-</v>
      </c>
    </row>
    <row r="69" spans="1:18" x14ac:dyDescent="0.3">
      <c r="A69" s="26">
        <v>1132</v>
      </c>
      <c r="B69" s="15">
        <v>88395011320</v>
      </c>
      <c r="C69" s="17" t="s">
        <v>75</v>
      </c>
      <c r="D69" s="29"/>
      <c r="E69" s="29"/>
      <c r="F69" s="21">
        <v>0.13589999999999999</v>
      </c>
      <c r="G69" s="21"/>
      <c r="H69" s="19">
        <v>15.809849999999999</v>
      </c>
      <c r="I69" s="23"/>
      <c r="J69" s="19">
        <f t="shared" si="6"/>
        <v>0</v>
      </c>
      <c r="M69" s="39" t="str">
        <f t="shared" si="7"/>
        <v>-</v>
      </c>
      <c r="N69" s="39" t="str">
        <f t="shared" si="8"/>
        <v>-</v>
      </c>
      <c r="O69" s="40" t="str">
        <f t="shared" si="9"/>
        <v>-</v>
      </c>
      <c r="P69" s="41" t="str">
        <f t="shared" si="10"/>
        <v>-</v>
      </c>
      <c r="R69" s="41" t="str">
        <f t="shared" si="11"/>
        <v>-</v>
      </c>
    </row>
    <row r="70" spans="1:18" x14ac:dyDescent="0.3">
      <c r="A70" s="26">
        <v>1145</v>
      </c>
      <c r="B70" s="15">
        <v>88395114502</v>
      </c>
      <c r="C70" s="17" t="s">
        <v>76</v>
      </c>
      <c r="D70" s="29"/>
      <c r="E70" s="29"/>
      <c r="F70" s="21">
        <v>4.9829999999999999E-2</v>
      </c>
      <c r="G70" s="21"/>
      <c r="H70" s="19">
        <v>10.517849999999999</v>
      </c>
      <c r="I70" s="23"/>
      <c r="J70" s="19">
        <f t="shared" si="6"/>
        <v>0</v>
      </c>
      <c r="M70" s="39" t="str">
        <f t="shared" si="7"/>
        <v>-</v>
      </c>
      <c r="N70" s="39" t="str">
        <f t="shared" si="8"/>
        <v>-</v>
      </c>
      <c r="O70" s="40" t="str">
        <f t="shared" si="9"/>
        <v>-</v>
      </c>
      <c r="P70" s="41" t="str">
        <f t="shared" si="10"/>
        <v>-</v>
      </c>
      <c r="R70" s="41" t="str">
        <f t="shared" si="11"/>
        <v>-</v>
      </c>
    </row>
    <row r="71" spans="1:18" x14ac:dyDescent="0.3">
      <c r="A71" s="26">
        <v>1155</v>
      </c>
      <c r="B71" s="15">
        <v>88395115509</v>
      </c>
      <c r="C71" s="17" t="s">
        <v>77</v>
      </c>
      <c r="D71" s="29"/>
      <c r="E71" s="29"/>
      <c r="F71" s="21">
        <v>4.9829999999999999E-2</v>
      </c>
      <c r="G71" s="21"/>
      <c r="H71" s="19">
        <v>14.883749999999999</v>
      </c>
      <c r="I71" s="23"/>
      <c r="J71" s="19">
        <f t="shared" si="6"/>
        <v>0</v>
      </c>
      <c r="M71" s="39" t="str">
        <f t="shared" si="7"/>
        <v>-</v>
      </c>
      <c r="N71" s="39" t="str">
        <f t="shared" si="8"/>
        <v>-</v>
      </c>
      <c r="O71" s="40" t="str">
        <f t="shared" si="9"/>
        <v>-</v>
      </c>
      <c r="P71" s="41" t="str">
        <f t="shared" si="10"/>
        <v>-</v>
      </c>
      <c r="R71" s="41" t="str">
        <f t="shared" si="11"/>
        <v>-</v>
      </c>
    </row>
    <row r="72" spans="1:18" x14ac:dyDescent="0.3">
      <c r="A72" s="26">
        <v>1161</v>
      </c>
      <c r="B72" s="15">
        <v>88395011610</v>
      </c>
      <c r="C72" s="17" t="s">
        <v>78</v>
      </c>
      <c r="D72" s="29"/>
      <c r="E72" s="29"/>
      <c r="F72" s="21">
        <v>6.7949999999999997E-2</v>
      </c>
      <c r="G72" s="21"/>
      <c r="H72" s="19">
        <v>7.6072500000000005</v>
      </c>
      <c r="I72" s="23"/>
      <c r="J72" s="19">
        <f t="shared" si="6"/>
        <v>0</v>
      </c>
      <c r="M72" s="39" t="str">
        <f t="shared" si="7"/>
        <v>-</v>
      </c>
      <c r="N72" s="39" t="str">
        <f t="shared" si="8"/>
        <v>-</v>
      </c>
      <c r="O72" s="40" t="str">
        <f t="shared" si="9"/>
        <v>-</v>
      </c>
      <c r="P72" s="41" t="str">
        <f t="shared" si="10"/>
        <v>-</v>
      </c>
      <c r="R72" s="41" t="str">
        <f t="shared" si="11"/>
        <v>-</v>
      </c>
    </row>
    <row r="73" spans="1:18" x14ac:dyDescent="0.3">
      <c r="A73" s="26">
        <v>1163</v>
      </c>
      <c r="B73" s="15">
        <v>88395011634</v>
      </c>
      <c r="C73" s="17" t="s">
        <v>79</v>
      </c>
      <c r="D73" s="29"/>
      <c r="E73" s="29"/>
      <c r="F73" s="21">
        <v>0.18120000000000003</v>
      </c>
      <c r="G73" s="21"/>
      <c r="H73" s="19">
        <v>19.778849999999998</v>
      </c>
      <c r="I73" s="23"/>
      <c r="J73" s="19">
        <f t="shared" si="6"/>
        <v>0</v>
      </c>
      <c r="M73" s="39" t="str">
        <f t="shared" si="7"/>
        <v>-</v>
      </c>
      <c r="N73" s="39" t="str">
        <f t="shared" si="8"/>
        <v>-</v>
      </c>
      <c r="O73" s="40" t="str">
        <f t="shared" si="9"/>
        <v>-</v>
      </c>
      <c r="P73" s="41" t="str">
        <f t="shared" si="10"/>
        <v>-</v>
      </c>
      <c r="R73" s="41" t="str">
        <f t="shared" si="11"/>
        <v>-</v>
      </c>
    </row>
    <row r="74" spans="1:18" x14ac:dyDescent="0.3">
      <c r="A74" s="26">
        <v>1175</v>
      </c>
      <c r="B74" s="15">
        <v>88395117503</v>
      </c>
      <c r="C74" s="17" t="s">
        <v>80</v>
      </c>
      <c r="D74" s="29"/>
      <c r="E74" s="29"/>
      <c r="F74" s="21">
        <v>4.9829999999999999E-2</v>
      </c>
      <c r="G74" s="21"/>
      <c r="H74" s="19">
        <v>13.891500000000001</v>
      </c>
      <c r="I74" s="23"/>
      <c r="J74" s="19">
        <f t="shared" si="6"/>
        <v>0</v>
      </c>
      <c r="M74" s="39" t="str">
        <f t="shared" si="7"/>
        <v>-</v>
      </c>
      <c r="N74" s="39" t="str">
        <f t="shared" si="8"/>
        <v>-</v>
      </c>
      <c r="O74" s="40" t="str">
        <f t="shared" si="9"/>
        <v>-</v>
      </c>
      <c r="P74" s="41" t="str">
        <f t="shared" si="10"/>
        <v>-</v>
      </c>
      <c r="R74" s="41" t="str">
        <f t="shared" si="11"/>
        <v>-</v>
      </c>
    </row>
    <row r="75" spans="1:18" x14ac:dyDescent="0.3">
      <c r="A75" s="26">
        <v>1180</v>
      </c>
      <c r="B75" s="15">
        <v>88395118005</v>
      </c>
      <c r="C75" s="17" t="s">
        <v>81</v>
      </c>
      <c r="D75" s="29"/>
      <c r="E75" s="29"/>
      <c r="F75" s="21">
        <v>4.5300000000000007E-2</v>
      </c>
      <c r="G75" s="21"/>
      <c r="H75" s="19">
        <v>11.179350000000001</v>
      </c>
      <c r="I75" s="23"/>
      <c r="J75" s="19">
        <f t="shared" si="6"/>
        <v>0</v>
      </c>
      <c r="M75" s="39" t="str">
        <f t="shared" si="7"/>
        <v>-</v>
      </c>
      <c r="N75" s="39" t="str">
        <f t="shared" si="8"/>
        <v>-</v>
      </c>
      <c r="O75" s="40" t="str">
        <f t="shared" si="9"/>
        <v>-</v>
      </c>
      <c r="P75" s="41" t="str">
        <f t="shared" si="10"/>
        <v>-</v>
      </c>
      <c r="R75" s="41" t="str">
        <f t="shared" si="11"/>
        <v>-</v>
      </c>
    </row>
    <row r="76" spans="1:18" x14ac:dyDescent="0.3">
      <c r="A76" s="26">
        <v>1181</v>
      </c>
      <c r="B76" s="15">
        <v>88395011818</v>
      </c>
      <c r="C76" s="17" t="s">
        <v>82</v>
      </c>
      <c r="D76" s="29"/>
      <c r="E76" s="29"/>
      <c r="F76" s="21">
        <v>9.0600000000000014E-2</v>
      </c>
      <c r="G76" s="21"/>
      <c r="H76" s="19">
        <v>20.837249999999997</v>
      </c>
      <c r="I76" s="23"/>
      <c r="J76" s="19">
        <f t="shared" si="6"/>
        <v>0</v>
      </c>
      <c r="M76" s="39" t="str">
        <f t="shared" si="7"/>
        <v>-</v>
      </c>
      <c r="N76" s="39" t="str">
        <f t="shared" si="8"/>
        <v>-</v>
      </c>
      <c r="O76" s="40" t="str">
        <f t="shared" si="9"/>
        <v>-</v>
      </c>
      <c r="P76" s="41" t="str">
        <f t="shared" si="10"/>
        <v>-</v>
      </c>
      <c r="R76" s="41" t="str">
        <f t="shared" si="11"/>
        <v>-</v>
      </c>
    </row>
    <row r="77" spans="1:18" x14ac:dyDescent="0.3">
      <c r="A77" s="26">
        <v>1182</v>
      </c>
      <c r="B77" s="15">
        <v>88395011825</v>
      </c>
      <c r="C77" s="17" t="s">
        <v>83</v>
      </c>
      <c r="D77" s="29"/>
      <c r="E77" s="29"/>
      <c r="F77" s="21">
        <v>0.18120000000000003</v>
      </c>
      <c r="G77" s="21"/>
      <c r="H77" s="19">
        <v>49.215599999999995</v>
      </c>
      <c r="I77" s="23"/>
      <c r="J77" s="19">
        <f t="shared" si="6"/>
        <v>0</v>
      </c>
      <c r="M77" s="39" t="str">
        <f t="shared" si="7"/>
        <v>-</v>
      </c>
      <c r="N77" s="39" t="str">
        <f t="shared" si="8"/>
        <v>-</v>
      </c>
      <c r="O77" s="40" t="str">
        <f t="shared" si="9"/>
        <v>-</v>
      </c>
      <c r="P77" s="41" t="str">
        <f t="shared" si="10"/>
        <v>-</v>
      </c>
      <c r="R77" s="41" t="str">
        <f t="shared" si="11"/>
        <v>-</v>
      </c>
    </row>
    <row r="78" spans="1:18" x14ac:dyDescent="0.3">
      <c r="A78" s="26">
        <v>1190</v>
      </c>
      <c r="B78" s="15">
        <v>88395119002</v>
      </c>
      <c r="C78" s="17" t="s">
        <v>84</v>
      </c>
      <c r="D78" s="29"/>
      <c r="E78" s="29"/>
      <c r="F78" s="21">
        <v>4.5300000000000007E-2</v>
      </c>
      <c r="G78" s="21"/>
      <c r="H78" s="19">
        <v>16.471349999999997</v>
      </c>
      <c r="I78" s="23"/>
      <c r="J78" s="19">
        <f t="shared" si="6"/>
        <v>0</v>
      </c>
      <c r="M78" s="39" t="str">
        <f t="shared" si="7"/>
        <v>-</v>
      </c>
      <c r="N78" s="39" t="str">
        <f t="shared" si="8"/>
        <v>-</v>
      </c>
      <c r="O78" s="40" t="str">
        <f t="shared" si="9"/>
        <v>-</v>
      </c>
      <c r="P78" s="41" t="str">
        <f t="shared" si="10"/>
        <v>-</v>
      </c>
      <c r="R78" s="41" t="str">
        <f t="shared" si="11"/>
        <v>-</v>
      </c>
    </row>
    <row r="79" spans="1:18" x14ac:dyDescent="0.3">
      <c r="A79" s="26">
        <v>1191</v>
      </c>
      <c r="B79" s="15">
        <v>88395119101</v>
      </c>
      <c r="C79" s="17" t="s">
        <v>85</v>
      </c>
      <c r="D79" s="29"/>
      <c r="E79" s="29"/>
      <c r="F79" s="21">
        <v>8.1540000000000001E-2</v>
      </c>
      <c r="G79" s="21"/>
      <c r="H79" s="19">
        <v>29.701350000000005</v>
      </c>
      <c r="I79" s="23"/>
      <c r="J79" s="19">
        <f t="shared" si="6"/>
        <v>0</v>
      </c>
      <c r="M79" s="39" t="str">
        <f t="shared" si="7"/>
        <v>-</v>
      </c>
      <c r="N79" s="39" t="str">
        <f t="shared" si="8"/>
        <v>-</v>
      </c>
      <c r="O79" s="40" t="str">
        <f t="shared" si="9"/>
        <v>-</v>
      </c>
      <c r="P79" s="41" t="str">
        <f t="shared" si="10"/>
        <v>-</v>
      </c>
      <c r="R79" s="41" t="str">
        <f t="shared" si="11"/>
        <v>-</v>
      </c>
    </row>
    <row r="80" spans="1:18" x14ac:dyDescent="0.3">
      <c r="A80" s="26">
        <v>1200</v>
      </c>
      <c r="B80" s="15">
        <v>88395120008</v>
      </c>
      <c r="C80" s="17" t="s">
        <v>86</v>
      </c>
      <c r="D80" s="29"/>
      <c r="E80" s="29"/>
      <c r="F80" s="21">
        <v>4.9829999999999999E-2</v>
      </c>
      <c r="G80" s="21"/>
      <c r="H80" s="19">
        <v>16.526474999999998</v>
      </c>
      <c r="I80" s="23"/>
      <c r="J80" s="19">
        <f t="shared" si="6"/>
        <v>0</v>
      </c>
      <c r="M80" s="39" t="str">
        <f t="shared" si="7"/>
        <v>-</v>
      </c>
      <c r="N80" s="39" t="str">
        <f t="shared" si="8"/>
        <v>-</v>
      </c>
      <c r="O80" s="40" t="str">
        <f t="shared" si="9"/>
        <v>-</v>
      </c>
      <c r="P80" s="41" t="str">
        <f t="shared" si="10"/>
        <v>-</v>
      </c>
      <c r="R80" s="41" t="str">
        <f t="shared" si="11"/>
        <v>-</v>
      </c>
    </row>
    <row r="81" spans="1:18" x14ac:dyDescent="0.3">
      <c r="A81" s="26">
        <v>1211</v>
      </c>
      <c r="B81" s="15">
        <v>88395012112</v>
      </c>
      <c r="C81" s="17" t="s">
        <v>87</v>
      </c>
      <c r="D81" s="29"/>
      <c r="E81" s="29"/>
      <c r="F81" s="21">
        <v>4.0770000000000001E-2</v>
      </c>
      <c r="G81" s="21"/>
      <c r="H81" s="19">
        <v>5.622749999999999</v>
      </c>
      <c r="I81" s="23"/>
      <c r="J81" s="19">
        <f t="shared" si="6"/>
        <v>0</v>
      </c>
      <c r="M81" s="39" t="str">
        <f t="shared" si="7"/>
        <v>-</v>
      </c>
      <c r="N81" s="39" t="str">
        <f t="shared" si="8"/>
        <v>-</v>
      </c>
      <c r="O81" s="40" t="str">
        <f t="shared" si="9"/>
        <v>-</v>
      </c>
      <c r="P81" s="41" t="str">
        <f t="shared" si="10"/>
        <v>-</v>
      </c>
      <c r="R81" s="41" t="str">
        <f t="shared" si="11"/>
        <v>-</v>
      </c>
    </row>
    <row r="82" spans="1:18" x14ac:dyDescent="0.3">
      <c r="A82" s="26">
        <v>1213</v>
      </c>
      <c r="B82" s="15">
        <v>88395012136</v>
      </c>
      <c r="C82" s="17" t="s">
        <v>88</v>
      </c>
      <c r="D82" s="29"/>
      <c r="E82" s="29"/>
      <c r="F82" s="21">
        <v>0.10419</v>
      </c>
      <c r="G82" s="21"/>
      <c r="H82" s="19">
        <v>13.16385</v>
      </c>
      <c r="I82" s="23"/>
      <c r="J82" s="19">
        <f t="shared" si="6"/>
        <v>0</v>
      </c>
      <c r="M82" s="39" t="str">
        <f t="shared" si="7"/>
        <v>-</v>
      </c>
      <c r="N82" s="39" t="str">
        <f t="shared" si="8"/>
        <v>-</v>
      </c>
      <c r="O82" s="40" t="str">
        <f t="shared" si="9"/>
        <v>-</v>
      </c>
      <c r="P82" s="41" t="str">
        <f t="shared" si="10"/>
        <v>-</v>
      </c>
      <c r="R82" s="41" t="str">
        <f t="shared" si="11"/>
        <v>-</v>
      </c>
    </row>
    <row r="83" spans="1:18" x14ac:dyDescent="0.3">
      <c r="A83" s="26">
        <v>1231</v>
      </c>
      <c r="B83" s="15">
        <v>88395123108</v>
      </c>
      <c r="C83" s="17" t="s">
        <v>89</v>
      </c>
      <c r="D83" s="29"/>
      <c r="E83" s="29"/>
      <c r="F83" s="21">
        <v>5.4359999999999999E-2</v>
      </c>
      <c r="G83" s="21"/>
      <c r="H83" s="19">
        <v>8.5333500000000004</v>
      </c>
      <c r="I83" s="23"/>
      <c r="J83" s="19">
        <f t="shared" si="6"/>
        <v>0</v>
      </c>
      <c r="M83" s="39" t="str">
        <f t="shared" si="7"/>
        <v>-</v>
      </c>
      <c r="N83" s="39" t="str">
        <f t="shared" si="8"/>
        <v>-</v>
      </c>
      <c r="O83" s="40" t="str">
        <f t="shared" si="9"/>
        <v>-</v>
      </c>
      <c r="P83" s="41" t="str">
        <f t="shared" si="10"/>
        <v>-</v>
      </c>
      <c r="R83" s="41" t="str">
        <f t="shared" si="11"/>
        <v>-</v>
      </c>
    </row>
    <row r="84" spans="1:18" x14ac:dyDescent="0.3">
      <c r="A84" s="26">
        <v>1233</v>
      </c>
      <c r="B84" s="15">
        <v>88395123306</v>
      </c>
      <c r="C84" s="17" t="s">
        <v>90</v>
      </c>
      <c r="D84" s="29"/>
      <c r="E84" s="29"/>
      <c r="F84" s="21">
        <v>0.14043</v>
      </c>
      <c r="G84" s="21"/>
      <c r="H84" s="19">
        <v>19.778849999999998</v>
      </c>
      <c r="I84" s="23"/>
      <c r="J84" s="19">
        <f t="shared" si="6"/>
        <v>0</v>
      </c>
      <c r="M84" s="39" t="str">
        <f t="shared" si="7"/>
        <v>-</v>
      </c>
      <c r="N84" s="39" t="str">
        <f t="shared" si="8"/>
        <v>-</v>
      </c>
      <c r="O84" s="40" t="str">
        <f t="shared" si="9"/>
        <v>-</v>
      </c>
      <c r="P84" s="41" t="str">
        <f t="shared" si="10"/>
        <v>-</v>
      </c>
      <c r="R84" s="41" t="str">
        <f t="shared" si="11"/>
        <v>-</v>
      </c>
    </row>
    <row r="85" spans="1:18" x14ac:dyDescent="0.3">
      <c r="A85" s="26">
        <v>1241</v>
      </c>
      <c r="B85" s="15">
        <v>88395012419</v>
      </c>
      <c r="C85" s="17" t="s">
        <v>91</v>
      </c>
      <c r="D85" s="29"/>
      <c r="E85" s="29"/>
      <c r="F85" s="21">
        <v>4.5300000000000007E-2</v>
      </c>
      <c r="G85" s="21"/>
      <c r="H85" s="19">
        <v>7.8718499999999993</v>
      </c>
      <c r="I85" s="23"/>
      <c r="J85" s="19">
        <f t="shared" si="6"/>
        <v>0</v>
      </c>
      <c r="M85" s="39" t="str">
        <f t="shared" si="7"/>
        <v>-</v>
      </c>
      <c r="N85" s="39" t="str">
        <f t="shared" si="8"/>
        <v>-</v>
      </c>
      <c r="O85" s="40" t="str">
        <f t="shared" si="9"/>
        <v>-</v>
      </c>
      <c r="P85" s="41" t="str">
        <f t="shared" si="10"/>
        <v>-</v>
      </c>
      <c r="R85" s="41" t="str">
        <f t="shared" si="11"/>
        <v>-</v>
      </c>
    </row>
    <row r="86" spans="1:18" x14ac:dyDescent="0.3">
      <c r="A86" s="26">
        <v>1242</v>
      </c>
      <c r="B86" s="15">
        <v>88395012426</v>
      </c>
      <c r="C86" s="17" t="s">
        <v>92</v>
      </c>
      <c r="D86" s="29"/>
      <c r="E86" s="29"/>
      <c r="F86" s="21">
        <v>0.11325</v>
      </c>
      <c r="G86" s="21"/>
      <c r="H86" s="19">
        <v>15.545249999999998</v>
      </c>
      <c r="I86" s="23"/>
      <c r="J86" s="19">
        <f t="shared" si="6"/>
        <v>0</v>
      </c>
      <c r="M86" s="39" t="str">
        <f t="shared" si="7"/>
        <v>-</v>
      </c>
      <c r="N86" s="39" t="str">
        <f t="shared" si="8"/>
        <v>-</v>
      </c>
      <c r="O86" s="40" t="str">
        <f t="shared" si="9"/>
        <v>-</v>
      </c>
      <c r="P86" s="41" t="str">
        <f t="shared" si="10"/>
        <v>-</v>
      </c>
      <c r="R86" s="41" t="str">
        <f t="shared" si="11"/>
        <v>-</v>
      </c>
    </row>
    <row r="87" spans="1:18" x14ac:dyDescent="0.3">
      <c r="A87" s="26">
        <v>1250</v>
      </c>
      <c r="B87" s="15">
        <v>88395012501</v>
      </c>
      <c r="C87" s="17" t="s">
        <v>93</v>
      </c>
      <c r="D87" s="29"/>
      <c r="E87" s="29"/>
      <c r="F87" s="21">
        <v>4.9829999999999999E-2</v>
      </c>
      <c r="G87" s="21"/>
      <c r="H87" s="19">
        <v>9.845324999999999</v>
      </c>
      <c r="I87" s="23"/>
      <c r="J87" s="19">
        <f t="shared" si="6"/>
        <v>0</v>
      </c>
      <c r="M87" s="39" t="str">
        <f t="shared" si="7"/>
        <v>-</v>
      </c>
      <c r="N87" s="39" t="str">
        <f t="shared" si="8"/>
        <v>-</v>
      </c>
      <c r="O87" s="40" t="str">
        <f t="shared" si="9"/>
        <v>-</v>
      </c>
      <c r="P87" s="41" t="str">
        <f t="shared" si="10"/>
        <v>-</v>
      </c>
      <c r="R87" s="41" t="str">
        <f t="shared" si="11"/>
        <v>-</v>
      </c>
    </row>
    <row r="88" spans="1:18" x14ac:dyDescent="0.3">
      <c r="A88" s="26">
        <v>1255</v>
      </c>
      <c r="B88" s="15">
        <v>88395125508</v>
      </c>
      <c r="C88" s="17" t="s">
        <v>93</v>
      </c>
      <c r="D88" s="29"/>
      <c r="E88" s="29"/>
      <c r="F88" s="21">
        <v>4.5300000000000007E-2</v>
      </c>
      <c r="G88" s="21"/>
      <c r="H88" s="19">
        <v>9.845324999999999</v>
      </c>
      <c r="I88" s="23"/>
      <c r="J88" s="19">
        <f t="shared" si="6"/>
        <v>0</v>
      </c>
      <c r="M88" s="39" t="str">
        <f t="shared" si="7"/>
        <v>-</v>
      </c>
      <c r="N88" s="39" t="str">
        <f t="shared" si="8"/>
        <v>-</v>
      </c>
      <c r="O88" s="40" t="str">
        <f t="shared" si="9"/>
        <v>-</v>
      </c>
      <c r="P88" s="41" t="str">
        <f t="shared" si="10"/>
        <v>-</v>
      </c>
      <c r="R88" s="41" t="str">
        <f t="shared" si="11"/>
        <v>-</v>
      </c>
    </row>
    <row r="89" spans="1:18" x14ac:dyDescent="0.3">
      <c r="A89" s="26">
        <v>1260</v>
      </c>
      <c r="B89" s="15">
        <v>88395012600</v>
      </c>
      <c r="C89" s="17" t="s">
        <v>94</v>
      </c>
      <c r="D89" s="29"/>
      <c r="E89" s="29"/>
      <c r="F89" s="21">
        <v>4.9829999999999999E-2</v>
      </c>
      <c r="G89" s="21"/>
      <c r="H89" s="19">
        <v>9.845324999999999</v>
      </c>
      <c r="I89" s="23"/>
      <c r="J89" s="19">
        <f t="shared" si="6"/>
        <v>0</v>
      </c>
      <c r="M89" s="39" t="str">
        <f t="shared" si="7"/>
        <v>-</v>
      </c>
      <c r="N89" s="39" t="str">
        <f t="shared" si="8"/>
        <v>-</v>
      </c>
      <c r="O89" s="40" t="str">
        <f t="shared" si="9"/>
        <v>-</v>
      </c>
      <c r="P89" s="41" t="str">
        <f t="shared" si="10"/>
        <v>-</v>
      </c>
      <c r="R89" s="41" t="str">
        <f t="shared" si="11"/>
        <v>-</v>
      </c>
    </row>
    <row r="90" spans="1:18" x14ac:dyDescent="0.3">
      <c r="A90" s="26">
        <v>1261</v>
      </c>
      <c r="B90" s="15">
        <v>88395126109</v>
      </c>
      <c r="C90" s="17" t="s">
        <v>95</v>
      </c>
      <c r="D90" s="29"/>
      <c r="E90" s="29"/>
      <c r="F90" s="21">
        <v>4.0770000000000001E-2</v>
      </c>
      <c r="G90" s="21"/>
      <c r="H90" s="19">
        <v>9.845324999999999</v>
      </c>
      <c r="I90" s="23"/>
      <c r="J90" s="19">
        <f t="shared" si="6"/>
        <v>0</v>
      </c>
      <c r="M90" s="39" t="str">
        <f t="shared" si="7"/>
        <v>-</v>
      </c>
      <c r="N90" s="39" t="str">
        <f t="shared" si="8"/>
        <v>-</v>
      </c>
      <c r="O90" s="40" t="str">
        <f t="shared" si="9"/>
        <v>-</v>
      </c>
      <c r="P90" s="41" t="str">
        <f t="shared" si="10"/>
        <v>-</v>
      </c>
      <c r="R90" s="41" t="str">
        <f t="shared" si="11"/>
        <v>-</v>
      </c>
    </row>
    <row r="91" spans="1:18" x14ac:dyDescent="0.3">
      <c r="A91" s="26">
        <v>1270</v>
      </c>
      <c r="B91" s="15">
        <v>88395012709</v>
      </c>
      <c r="C91" s="17" t="s">
        <v>96</v>
      </c>
      <c r="D91" s="29"/>
      <c r="E91" s="29"/>
      <c r="F91" s="21">
        <v>4.9829999999999999E-2</v>
      </c>
      <c r="G91" s="21"/>
      <c r="H91" s="19">
        <v>11.245499999999998</v>
      </c>
      <c r="I91" s="23"/>
      <c r="J91" s="19">
        <f t="shared" si="6"/>
        <v>0</v>
      </c>
      <c r="M91" s="39" t="str">
        <f t="shared" si="7"/>
        <v>-</v>
      </c>
      <c r="N91" s="39" t="str">
        <f t="shared" si="8"/>
        <v>-</v>
      </c>
      <c r="O91" s="40" t="str">
        <f t="shared" si="9"/>
        <v>-</v>
      </c>
      <c r="P91" s="41" t="str">
        <f t="shared" si="10"/>
        <v>-</v>
      </c>
      <c r="R91" s="41" t="str">
        <f t="shared" si="11"/>
        <v>-</v>
      </c>
    </row>
    <row r="92" spans="1:18" x14ac:dyDescent="0.3">
      <c r="A92" s="26">
        <v>1280</v>
      </c>
      <c r="B92" s="15">
        <v>88395012808</v>
      </c>
      <c r="C92" s="17" t="s">
        <v>97</v>
      </c>
      <c r="D92" s="29"/>
      <c r="E92" s="29"/>
      <c r="F92" s="21">
        <v>4.9829999999999999E-2</v>
      </c>
      <c r="G92" s="21"/>
      <c r="H92" s="19">
        <v>13.891500000000001</v>
      </c>
      <c r="I92" s="23"/>
      <c r="J92" s="19">
        <f t="shared" si="6"/>
        <v>0</v>
      </c>
      <c r="M92" s="39" t="str">
        <f t="shared" si="7"/>
        <v>-</v>
      </c>
      <c r="N92" s="39" t="str">
        <f t="shared" si="8"/>
        <v>-</v>
      </c>
      <c r="O92" s="40" t="str">
        <f t="shared" si="9"/>
        <v>-</v>
      </c>
      <c r="P92" s="41" t="str">
        <f t="shared" si="10"/>
        <v>-</v>
      </c>
      <c r="R92" s="41" t="str">
        <f t="shared" si="11"/>
        <v>-</v>
      </c>
    </row>
    <row r="93" spans="1:18" x14ac:dyDescent="0.3">
      <c r="A93" s="26">
        <v>1290</v>
      </c>
      <c r="B93" s="15">
        <v>88395012907</v>
      </c>
      <c r="C93" s="17" t="s">
        <v>98</v>
      </c>
      <c r="D93" s="29"/>
      <c r="E93" s="29"/>
      <c r="F93" s="21">
        <v>4.9829999999999999E-2</v>
      </c>
      <c r="G93" s="21"/>
      <c r="H93" s="19">
        <v>14.883749999999999</v>
      </c>
      <c r="I93" s="23"/>
      <c r="J93" s="19">
        <f t="shared" si="6"/>
        <v>0</v>
      </c>
      <c r="M93" s="39" t="str">
        <f t="shared" si="7"/>
        <v>-</v>
      </c>
      <c r="N93" s="39" t="str">
        <f t="shared" si="8"/>
        <v>-</v>
      </c>
      <c r="O93" s="40" t="str">
        <f t="shared" si="9"/>
        <v>-</v>
      </c>
      <c r="P93" s="41" t="str">
        <f t="shared" si="10"/>
        <v>-</v>
      </c>
      <c r="R93" s="41" t="str">
        <f t="shared" si="11"/>
        <v>-</v>
      </c>
    </row>
    <row r="94" spans="1:18" x14ac:dyDescent="0.3">
      <c r="A94" s="26">
        <v>1295</v>
      </c>
      <c r="B94" s="15">
        <v>88395129506</v>
      </c>
      <c r="C94" s="17" t="s">
        <v>99</v>
      </c>
      <c r="D94" s="29"/>
      <c r="E94" s="29"/>
      <c r="F94" s="21">
        <v>4.0770000000000001E-2</v>
      </c>
      <c r="G94" s="21"/>
      <c r="H94" s="19">
        <v>13.16385</v>
      </c>
      <c r="I94" s="23"/>
      <c r="J94" s="19">
        <f t="shared" si="6"/>
        <v>0</v>
      </c>
      <c r="M94" s="39" t="str">
        <f t="shared" si="7"/>
        <v>-</v>
      </c>
      <c r="N94" s="39" t="str">
        <f t="shared" si="8"/>
        <v>-</v>
      </c>
      <c r="O94" s="40" t="str">
        <f t="shared" si="9"/>
        <v>-</v>
      </c>
      <c r="P94" s="41" t="str">
        <f t="shared" si="10"/>
        <v>-</v>
      </c>
      <c r="R94" s="41" t="str">
        <f t="shared" si="11"/>
        <v>-</v>
      </c>
    </row>
    <row r="95" spans="1:18" x14ac:dyDescent="0.3">
      <c r="A95" s="26">
        <v>1301</v>
      </c>
      <c r="B95" s="15">
        <v>88395013010</v>
      </c>
      <c r="C95" s="17" t="s">
        <v>100</v>
      </c>
      <c r="D95" s="29"/>
      <c r="E95" s="29"/>
      <c r="F95" s="21">
        <v>0.18120000000000003</v>
      </c>
      <c r="G95" s="21"/>
      <c r="H95" s="19">
        <v>15.148350000000001</v>
      </c>
      <c r="I95" s="23"/>
      <c r="J95" s="19">
        <f t="shared" si="6"/>
        <v>0</v>
      </c>
      <c r="M95" s="39" t="str">
        <f t="shared" si="7"/>
        <v>-</v>
      </c>
      <c r="N95" s="39" t="str">
        <f t="shared" si="8"/>
        <v>-</v>
      </c>
      <c r="O95" s="40" t="str">
        <f t="shared" si="9"/>
        <v>-</v>
      </c>
      <c r="P95" s="41" t="str">
        <f t="shared" si="10"/>
        <v>-</v>
      </c>
      <c r="R95" s="41" t="str">
        <f t="shared" si="11"/>
        <v>-</v>
      </c>
    </row>
    <row r="96" spans="1:18" x14ac:dyDescent="0.3">
      <c r="A96" s="26">
        <v>1302</v>
      </c>
      <c r="B96" s="15">
        <v>88395013027</v>
      </c>
      <c r="C96" s="17" t="s">
        <v>101</v>
      </c>
      <c r="D96" s="29"/>
      <c r="E96" s="29"/>
      <c r="F96" s="21">
        <v>0.45300000000000001</v>
      </c>
      <c r="G96" s="21"/>
      <c r="H96" s="19">
        <v>34.728749999999998</v>
      </c>
      <c r="I96" s="23"/>
      <c r="J96" s="19">
        <f t="shared" si="6"/>
        <v>0</v>
      </c>
      <c r="M96" s="39" t="str">
        <f t="shared" si="7"/>
        <v>-</v>
      </c>
      <c r="N96" s="39" t="str">
        <f t="shared" si="8"/>
        <v>-</v>
      </c>
      <c r="O96" s="40" t="str">
        <f t="shared" si="9"/>
        <v>-</v>
      </c>
      <c r="P96" s="41" t="str">
        <f t="shared" si="10"/>
        <v>-</v>
      </c>
      <c r="R96" s="41" t="str">
        <f t="shared" si="11"/>
        <v>-</v>
      </c>
    </row>
    <row r="97" spans="1:18" x14ac:dyDescent="0.3">
      <c r="A97" s="26">
        <v>1311</v>
      </c>
      <c r="B97" s="15">
        <v>88395013119</v>
      </c>
      <c r="C97" s="17" t="s">
        <v>102</v>
      </c>
      <c r="D97" s="29"/>
      <c r="E97" s="29"/>
      <c r="F97" s="21">
        <v>9.0600000000000014E-2</v>
      </c>
      <c r="G97" s="21"/>
      <c r="H97" s="19">
        <v>10.517849999999999</v>
      </c>
      <c r="I97" s="23"/>
      <c r="J97" s="19">
        <f t="shared" si="6"/>
        <v>0</v>
      </c>
      <c r="M97" s="39" t="str">
        <f t="shared" si="7"/>
        <v>-</v>
      </c>
      <c r="N97" s="39" t="str">
        <f t="shared" si="8"/>
        <v>-</v>
      </c>
      <c r="O97" s="40" t="str">
        <f t="shared" si="9"/>
        <v>-</v>
      </c>
      <c r="P97" s="41" t="str">
        <f t="shared" si="10"/>
        <v>-</v>
      </c>
      <c r="R97" s="41" t="str">
        <f t="shared" si="11"/>
        <v>-</v>
      </c>
    </row>
    <row r="98" spans="1:18" x14ac:dyDescent="0.3">
      <c r="A98" s="26">
        <v>1312</v>
      </c>
      <c r="B98" s="15">
        <v>88395013126</v>
      </c>
      <c r="C98" s="17" t="s">
        <v>103</v>
      </c>
      <c r="D98" s="29"/>
      <c r="E98" s="29"/>
      <c r="F98" s="21">
        <v>0.18120000000000003</v>
      </c>
      <c r="G98" s="21"/>
      <c r="H98" s="19">
        <v>24.144749999999998</v>
      </c>
      <c r="I98" s="23"/>
      <c r="J98" s="19">
        <f t="shared" si="6"/>
        <v>0</v>
      </c>
      <c r="M98" s="39" t="str">
        <f t="shared" si="7"/>
        <v>-</v>
      </c>
      <c r="N98" s="39" t="str">
        <f t="shared" si="8"/>
        <v>-</v>
      </c>
      <c r="O98" s="40" t="str">
        <f t="shared" si="9"/>
        <v>-</v>
      </c>
      <c r="P98" s="41" t="str">
        <f t="shared" si="10"/>
        <v>-</v>
      </c>
      <c r="R98" s="41" t="str">
        <f t="shared" si="11"/>
        <v>-</v>
      </c>
    </row>
    <row r="99" spans="1:18" x14ac:dyDescent="0.3">
      <c r="A99" s="26">
        <v>1381</v>
      </c>
      <c r="B99" s="15">
        <v>88395013812</v>
      </c>
      <c r="C99" s="17" t="s">
        <v>104</v>
      </c>
      <c r="D99" s="29"/>
      <c r="E99" s="29"/>
      <c r="F99" s="21">
        <v>0.27179999999999999</v>
      </c>
      <c r="G99" s="21"/>
      <c r="H99" s="19">
        <v>25.600049999999996</v>
      </c>
      <c r="I99" s="23"/>
      <c r="J99" s="19">
        <f t="shared" si="6"/>
        <v>0</v>
      </c>
      <c r="M99" s="39" t="str">
        <f t="shared" si="7"/>
        <v>-</v>
      </c>
      <c r="N99" s="39" t="str">
        <f t="shared" si="8"/>
        <v>-</v>
      </c>
      <c r="O99" s="40" t="str">
        <f t="shared" si="9"/>
        <v>-</v>
      </c>
      <c r="P99" s="41" t="str">
        <f t="shared" si="10"/>
        <v>-</v>
      </c>
      <c r="R99" s="41" t="str">
        <f t="shared" si="11"/>
        <v>-</v>
      </c>
    </row>
    <row r="100" spans="1:18" x14ac:dyDescent="0.3">
      <c r="A100" s="26">
        <v>1383</v>
      </c>
      <c r="B100" s="15">
        <v>88395013836</v>
      </c>
      <c r="C100" s="17" t="s">
        <v>105</v>
      </c>
      <c r="D100" s="29"/>
      <c r="E100" s="29"/>
      <c r="F100" s="21">
        <v>0.52095000000000002</v>
      </c>
      <c r="G100" s="21"/>
      <c r="H100" s="19">
        <v>41.939099999999996</v>
      </c>
      <c r="I100" s="23"/>
      <c r="J100" s="19">
        <f t="shared" si="6"/>
        <v>0</v>
      </c>
      <c r="M100" s="39" t="str">
        <f t="shared" si="7"/>
        <v>-</v>
      </c>
      <c r="N100" s="39" t="str">
        <f t="shared" si="8"/>
        <v>-</v>
      </c>
      <c r="O100" s="40" t="str">
        <f t="shared" si="9"/>
        <v>-</v>
      </c>
      <c r="P100" s="41" t="str">
        <f t="shared" si="10"/>
        <v>-</v>
      </c>
      <c r="R100" s="41" t="str">
        <f t="shared" si="11"/>
        <v>-</v>
      </c>
    </row>
    <row r="101" spans="1:18" x14ac:dyDescent="0.3">
      <c r="A101" s="26">
        <v>1384</v>
      </c>
      <c r="B101" s="15">
        <v>88395013843</v>
      </c>
      <c r="C101" s="17" t="s">
        <v>106</v>
      </c>
      <c r="D101" s="29"/>
      <c r="E101" s="29"/>
      <c r="F101" s="21">
        <v>0.33975</v>
      </c>
      <c r="G101" s="21"/>
      <c r="H101" s="19">
        <v>25.600049999999996</v>
      </c>
      <c r="I101" s="23"/>
      <c r="J101" s="19">
        <f t="shared" si="6"/>
        <v>0</v>
      </c>
      <c r="M101" s="39" t="str">
        <f t="shared" si="7"/>
        <v>-</v>
      </c>
      <c r="N101" s="39" t="str">
        <f t="shared" si="8"/>
        <v>-</v>
      </c>
      <c r="O101" s="40" t="str">
        <f t="shared" si="9"/>
        <v>-</v>
      </c>
      <c r="P101" s="41" t="str">
        <f t="shared" si="10"/>
        <v>-</v>
      </c>
      <c r="R101" s="41" t="str">
        <f t="shared" si="11"/>
        <v>-</v>
      </c>
    </row>
    <row r="102" spans="1:18" x14ac:dyDescent="0.3">
      <c r="A102" s="26">
        <v>1391</v>
      </c>
      <c r="B102" s="15">
        <v>88395013911</v>
      </c>
      <c r="C102" s="17" t="s">
        <v>107</v>
      </c>
      <c r="D102" s="29"/>
      <c r="E102" s="29"/>
      <c r="F102" s="21">
        <v>0.27179999999999999</v>
      </c>
      <c r="G102" s="21"/>
      <c r="H102" s="19">
        <v>25.600049999999996</v>
      </c>
      <c r="I102" s="23"/>
      <c r="J102" s="19">
        <f t="shared" si="6"/>
        <v>0</v>
      </c>
      <c r="M102" s="39" t="str">
        <f t="shared" si="7"/>
        <v>-</v>
      </c>
      <c r="N102" s="39" t="str">
        <f t="shared" si="8"/>
        <v>-</v>
      </c>
      <c r="O102" s="40" t="str">
        <f t="shared" si="9"/>
        <v>-</v>
      </c>
      <c r="P102" s="41" t="str">
        <f t="shared" si="10"/>
        <v>-</v>
      </c>
      <c r="R102" s="41" t="str">
        <f t="shared" si="11"/>
        <v>-</v>
      </c>
    </row>
    <row r="103" spans="1:18" x14ac:dyDescent="0.3">
      <c r="A103" s="26">
        <v>1393</v>
      </c>
      <c r="B103" s="15">
        <v>88395013935</v>
      </c>
      <c r="C103" s="17" t="s">
        <v>108</v>
      </c>
      <c r="D103" s="29"/>
      <c r="E103" s="29"/>
      <c r="F103" s="21">
        <v>0.52095000000000002</v>
      </c>
      <c r="G103" s="21"/>
      <c r="H103" s="19">
        <v>41.939099999999996</v>
      </c>
      <c r="I103" s="23"/>
      <c r="J103" s="19">
        <f t="shared" si="6"/>
        <v>0</v>
      </c>
      <c r="M103" s="39" t="str">
        <f t="shared" si="7"/>
        <v>-</v>
      </c>
      <c r="N103" s="39" t="str">
        <f t="shared" si="8"/>
        <v>-</v>
      </c>
      <c r="O103" s="40" t="str">
        <f t="shared" si="9"/>
        <v>-</v>
      </c>
      <c r="P103" s="41" t="str">
        <f t="shared" si="10"/>
        <v>-</v>
      </c>
      <c r="R103" s="41" t="str">
        <f t="shared" si="11"/>
        <v>-</v>
      </c>
    </row>
    <row r="104" spans="1:18" x14ac:dyDescent="0.3">
      <c r="A104" s="26" t="e">
        <v>#N/A</v>
      </c>
      <c r="B104" s="15">
        <v>88395140105</v>
      </c>
      <c r="C104" s="17" t="s">
        <v>459</v>
      </c>
      <c r="D104" s="29"/>
      <c r="E104" s="29"/>
      <c r="F104" s="21">
        <v>0.40317000000000003</v>
      </c>
      <c r="G104" s="21"/>
      <c r="H104" s="19">
        <v>22.821749999999994</v>
      </c>
      <c r="I104" s="23"/>
      <c r="J104" s="19">
        <f t="shared" si="6"/>
        <v>0</v>
      </c>
      <c r="M104" s="39" t="str">
        <f t="shared" si="7"/>
        <v>-</v>
      </c>
      <c r="N104" s="39" t="str">
        <f t="shared" si="8"/>
        <v>-</v>
      </c>
      <c r="O104" s="40" t="str">
        <f t="shared" si="9"/>
        <v>-</v>
      </c>
      <c r="P104" s="41" t="str">
        <f t="shared" si="10"/>
        <v>-</v>
      </c>
      <c r="R104" s="41" t="str">
        <f t="shared" si="11"/>
        <v>-</v>
      </c>
    </row>
    <row r="105" spans="1:18" x14ac:dyDescent="0.3">
      <c r="A105" s="26">
        <v>1411</v>
      </c>
      <c r="B105" s="15">
        <v>88395141102</v>
      </c>
      <c r="C105" s="17" t="s">
        <v>109</v>
      </c>
      <c r="D105" s="29"/>
      <c r="E105" s="29"/>
      <c r="F105" s="21">
        <v>9.9659999999999999E-2</v>
      </c>
      <c r="G105" s="21"/>
      <c r="H105" s="19">
        <v>10.517849999999999</v>
      </c>
      <c r="I105" s="23"/>
      <c r="J105" s="19">
        <f t="shared" si="6"/>
        <v>0</v>
      </c>
      <c r="M105" s="39" t="str">
        <f t="shared" si="7"/>
        <v>-</v>
      </c>
      <c r="N105" s="39" t="str">
        <f t="shared" si="8"/>
        <v>-</v>
      </c>
      <c r="O105" s="40" t="str">
        <f t="shared" si="9"/>
        <v>-</v>
      </c>
      <c r="P105" s="41" t="str">
        <f t="shared" si="10"/>
        <v>-</v>
      </c>
      <c r="R105" s="41" t="str">
        <f t="shared" si="11"/>
        <v>-</v>
      </c>
    </row>
    <row r="106" spans="1:18" x14ac:dyDescent="0.3">
      <c r="A106" s="26">
        <v>1412</v>
      </c>
      <c r="B106" s="15">
        <v>88395141201</v>
      </c>
      <c r="C106" s="17" t="s">
        <v>110</v>
      </c>
      <c r="D106" s="29"/>
      <c r="E106" s="29"/>
      <c r="F106" s="21">
        <v>0.26273999999999997</v>
      </c>
      <c r="G106" s="21"/>
      <c r="H106" s="19">
        <v>26.393850000000008</v>
      </c>
      <c r="I106" s="23"/>
      <c r="J106" s="19">
        <f t="shared" si="6"/>
        <v>0</v>
      </c>
      <c r="M106" s="39" t="str">
        <f t="shared" si="7"/>
        <v>-</v>
      </c>
      <c r="N106" s="39" t="str">
        <f t="shared" si="8"/>
        <v>-</v>
      </c>
      <c r="O106" s="40" t="str">
        <f t="shared" si="9"/>
        <v>-</v>
      </c>
      <c r="P106" s="41" t="str">
        <f t="shared" si="10"/>
        <v>-</v>
      </c>
      <c r="R106" s="41" t="str">
        <f t="shared" si="11"/>
        <v>-</v>
      </c>
    </row>
    <row r="107" spans="1:18" x14ac:dyDescent="0.3">
      <c r="A107" s="26">
        <v>1421</v>
      </c>
      <c r="B107" s="15">
        <v>88395014215</v>
      </c>
      <c r="C107" s="17" t="s">
        <v>111</v>
      </c>
      <c r="D107" s="29"/>
      <c r="E107" s="29"/>
      <c r="F107" s="21">
        <v>0.11325</v>
      </c>
      <c r="G107" s="21"/>
      <c r="H107" s="19">
        <v>13.16385</v>
      </c>
      <c r="I107" s="23"/>
      <c r="J107" s="19">
        <f t="shared" si="6"/>
        <v>0</v>
      </c>
      <c r="M107" s="39" t="str">
        <f t="shared" si="7"/>
        <v>-</v>
      </c>
      <c r="N107" s="39" t="str">
        <f t="shared" si="8"/>
        <v>-</v>
      </c>
      <c r="O107" s="40" t="str">
        <f t="shared" si="9"/>
        <v>-</v>
      </c>
      <c r="P107" s="41" t="str">
        <f t="shared" si="10"/>
        <v>-</v>
      </c>
      <c r="R107" s="41" t="str">
        <f t="shared" si="11"/>
        <v>-</v>
      </c>
    </row>
    <row r="108" spans="1:18" x14ac:dyDescent="0.3">
      <c r="A108" s="26">
        <v>1423</v>
      </c>
      <c r="B108" s="15">
        <v>88395142307</v>
      </c>
      <c r="C108" s="17" t="s">
        <v>112</v>
      </c>
      <c r="D108" s="29"/>
      <c r="E108" s="29"/>
      <c r="F108" s="21">
        <v>0.30804000000000004</v>
      </c>
      <c r="G108" s="21"/>
      <c r="H108" s="19">
        <v>32.744250000000001</v>
      </c>
      <c r="I108" s="23"/>
      <c r="J108" s="19">
        <f t="shared" si="6"/>
        <v>0</v>
      </c>
      <c r="M108" s="39" t="str">
        <f t="shared" si="7"/>
        <v>-</v>
      </c>
      <c r="N108" s="39" t="str">
        <f t="shared" si="8"/>
        <v>-</v>
      </c>
      <c r="O108" s="40" t="str">
        <f t="shared" si="9"/>
        <v>-</v>
      </c>
      <c r="P108" s="41" t="str">
        <f t="shared" si="10"/>
        <v>-</v>
      </c>
      <c r="R108" s="41" t="str">
        <f t="shared" si="11"/>
        <v>-</v>
      </c>
    </row>
    <row r="109" spans="1:18" x14ac:dyDescent="0.3">
      <c r="A109" s="26">
        <v>1431</v>
      </c>
      <c r="B109" s="15">
        <v>88395014314</v>
      </c>
      <c r="C109" s="17" t="s">
        <v>113</v>
      </c>
      <c r="D109" s="29"/>
      <c r="E109" s="29"/>
      <c r="F109" s="21">
        <v>9.0600000000000014E-2</v>
      </c>
      <c r="G109" s="21"/>
      <c r="H109" s="19">
        <v>9.8563499999999991</v>
      </c>
      <c r="I109" s="23"/>
      <c r="J109" s="19">
        <f t="shared" si="6"/>
        <v>0</v>
      </c>
      <c r="M109" s="39" t="str">
        <f t="shared" si="7"/>
        <v>-</v>
      </c>
      <c r="N109" s="39" t="str">
        <f t="shared" si="8"/>
        <v>-</v>
      </c>
      <c r="O109" s="40" t="str">
        <f t="shared" si="9"/>
        <v>-</v>
      </c>
      <c r="P109" s="41" t="str">
        <f t="shared" si="10"/>
        <v>-</v>
      </c>
      <c r="R109" s="41" t="str">
        <f t="shared" si="11"/>
        <v>-</v>
      </c>
    </row>
    <row r="110" spans="1:18" x14ac:dyDescent="0.3">
      <c r="A110" s="26">
        <v>1433</v>
      </c>
      <c r="B110" s="15">
        <v>88395014338</v>
      </c>
      <c r="C110" s="17" t="s">
        <v>114</v>
      </c>
      <c r="D110" s="29"/>
      <c r="E110" s="29"/>
      <c r="F110" s="21">
        <v>0.24915000000000004</v>
      </c>
      <c r="G110" s="21"/>
      <c r="H110" s="19">
        <v>23.814</v>
      </c>
      <c r="I110" s="23"/>
      <c r="J110" s="19">
        <f t="shared" si="6"/>
        <v>0</v>
      </c>
      <c r="M110" s="39" t="str">
        <f t="shared" si="7"/>
        <v>-</v>
      </c>
      <c r="N110" s="39" t="str">
        <f t="shared" si="8"/>
        <v>-</v>
      </c>
      <c r="O110" s="40" t="str">
        <f t="shared" si="9"/>
        <v>-</v>
      </c>
      <c r="P110" s="41" t="str">
        <f t="shared" si="10"/>
        <v>-</v>
      </c>
      <c r="R110" s="41" t="str">
        <f t="shared" si="11"/>
        <v>-</v>
      </c>
    </row>
    <row r="111" spans="1:18" x14ac:dyDescent="0.3">
      <c r="A111" s="26">
        <v>1450</v>
      </c>
      <c r="B111" s="15">
        <v>88395145001</v>
      </c>
      <c r="C111" s="17" t="s">
        <v>115</v>
      </c>
      <c r="D111" s="29"/>
      <c r="E111" s="29"/>
      <c r="F111" s="21">
        <v>4.9829999999999999E-2</v>
      </c>
      <c r="G111" s="21"/>
      <c r="H111" s="19">
        <v>3.6382499999999993</v>
      </c>
      <c r="I111" s="23"/>
      <c r="J111" s="19">
        <f t="shared" si="6"/>
        <v>0</v>
      </c>
      <c r="M111" s="39" t="str">
        <f t="shared" si="7"/>
        <v>-</v>
      </c>
      <c r="N111" s="39" t="str">
        <f t="shared" si="8"/>
        <v>-</v>
      </c>
      <c r="O111" s="40" t="str">
        <f t="shared" si="9"/>
        <v>-</v>
      </c>
      <c r="P111" s="41" t="str">
        <f t="shared" si="10"/>
        <v>-</v>
      </c>
      <c r="R111" s="41" t="str">
        <f t="shared" si="11"/>
        <v>-</v>
      </c>
    </row>
    <row r="112" spans="1:18" x14ac:dyDescent="0.3">
      <c r="A112" s="26">
        <v>1451</v>
      </c>
      <c r="B112" s="15">
        <v>88395014512</v>
      </c>
      <c r="C112" s="17" t="s">
        <v>116</v>
      </c>
      <c r="D112" s="29"/>
      <c r="E112" s="29"/>
      <c r="F112" s="21">
        <v>9.0600000000000014E-2</v>
      </c>
      <c r="G112" s="21"/>
      <c r="H112" s="19">
        <v>5.4243000000000006</v>
      </c>
      <c r="I112" s="23"/>
      <c r="J112" s="19">
        <f t="shared" si="6"/>
        <v>0</v>
      </c>
      <c r="M112" s="39" t="str">
        <f t="shared" si="7"/>
        <v>-</v>
      </c>
      <c r="N112" s="39" t="str">
        <f t="shared" si="8"/>
        <v>-</v>
      </c>
      <c r="O112" s="40" t="str">
        <f t="shared" si="9"/>
        <v>-</v>
      </c>
      <c r="P112" s="41" t="str">
        <f t="shared" si="10"/>
        <v>-</v>
      </c>
      <c r="R112" s="41" t="str">
        <f t="shared" si="11"/>
        <v>-</v>
      </c>
    </row>
    <row r="113" spans="1:18" x14ac:dyDescent="0.3">
      <c r="A113" s="26">
        <v>1452</v>
      </c>
      <c r="B113" s="15">
        <v>88395014529</v>
      </c>
      <c r="C113" s="17" t="s">
        <v>117</v>
      </c>
      <c r="D113" s="29"/>
      <c r="E113" s="29"/>
      <c r="F113" s="21">
        <v>0.18120000000000003</v>
      </c>
      <c r="G113" s="21"/>
      <c r="H113" s="19">
        <v>11.84085</v>
      </c>
      <c r="I113" s="23"/>
      <c r="J113" s="19">
        <f t="shared" si="6"/>
        <v>0</v>
      </c>
      <c r="M113" s="39" t="str">
        <f t="shared" si="7"/>
        <v>-</v>
      </c>
      <c r="N113" s="39" t="str">
        <f t="shared" si="8"/>
        <v>-</v>
      </c>
      <c r="O113" s="40" t="str">
        <f t="shared" si="9"/>
        <v>-</v>
      </c>
      <c r="P113" s="41" t="str">
        <f t="shared" si="10"/>
        <v>-</v>
      </c>
      <c r="R113" s="41" t="str">
        <f t="shared" si="11"/>
        <v>-</v>
      </c>
    </row>
    <row r="114" spans="1:18" x14ac:dyDescent="0.3">
      <c r="A114" s="26">
        <v>1456</v>
      </c>
      <c r="B114" s="15">
        <v>88395145605</v>
      </c>
      <c r="C114" s="17" t="s">
        <v>118</v>
      </c>
      <c r="D114" s="29"/>
      <c r="E114" s="29"/>
      <c r="F114" s="21">
        <v>0.25821</v>
      </c>
      <c r="G114" s="21"/>
      <c r="H114" s="19">
        <v>16.20675</v>
      </c>
      <c r="I114" s="23"/>
      <c r="J114" s="19">
        <f t="shared" si="6"/>
        <v>0</v>
      </c>
      <c r="M114" s="39" t="str">
        <f t="shared" si="7"/>
        <v>-</v>
      </c>
      <c r="N114" s="39" t="str">
        <f t="shared" si="8"/>
        <v>-</v>
      </c>
      <c r="O114" s="40" t="str">
        <f t="shared" si="9"/>
        <v>-</v>
      </c>
      <c r="P114" s="41" t="str">
        <f t="shared" si="10"/>
        <v>-</v>
      </c>
      <c r="R114" s="41" t="str">
        <f t="shared" si="11"/>
        <v>-</v>
      </c>
    </row>
    <row r="115" spans="1:18" x14ac:dyDescent="0.3">
      <c r="A115" s="26">
        <v>1461</v>
      </c>
      <c r="B115" s="15">
        <v>88395014611</v>
      </c>
      <c r="C115" s="17" t="s">
        <v>119</v>
      </c>
      <c r="D115" s="29"/>
      <c r="E115" s="29"/>
      <c r="F115" s="21">
        <v>9.0600000000000014E-2</v>
      </c>
      <c r="G115" s="21"/>
      <c r="H115" s="19">
        <v>8.5333500000000004</v>
      </c>
      <c r="I115" s="23"/>
      <c r="J115" s="19">
        <f t="shared" si="6"/>
        <v>0</v>
      </c>
      <c r="M115" s="39" t="str">
        <f t="shared" si="7"/>
        <v>-</v>
      </c>
      <c r="N115" s="39" t="str">
        <f t="shared" si="8"/>
        <v>-</v>
      </c>
      <c r="O115" s="40" t="str">
        <f t="shared" si="9"/>
        <v>-</v>
      </c>
      <c r="P115" s="41" t="str">
        <f t="shared" si="10"/>
        <v>-</v>
      </c>
      <c r="R115" s="41" t="str">
        <f t="shared" si="11"/>
        <v>-</v>
      </c>
    </row>
    <row r="116" spans="1:18" x14ac:dyDescent="0.3">
      <c r="A116" s="26">
        <v>1463</v>
      </c>
      <c r="B116" s="15">
        <v>88395014635</v>
      </c>
      <c r="C116" s="17" t="s">
        <v>120</v>
      </c>
      <c r="D116" s="29"/>
      <c r="E116" s="29"/>
      <c r="F116" s="21">
        <v>0.27179999999999999</v>
      </c>
      <c r="G116" s="21"/>
      <c r="H116" s="19">
        <v>19.778849999999998</v>
      </c>
      <c r="I116" s="23"/>
      <c r="J116" s="19">
        <f t="shared" si="6"/>
        <v>0</v>
      </c>
      <c r="M116" s="39" t="str">
        <f t="shared" si="7"/>
        <v>-</v>
      </c>
      <c r="N116" s="39" t="str">
        <f t="shared" si="8"/>
        <v>-</v>
      </c>
      <c r="O116" s="40" t="str">
        <f t="shared" si="9"/>
        <v>-</v>
      </c>
      <c r="P116" s="41" t="str">
        <f t="shared" si="10"/>
        <v>-</v>
      </c>
      <c r="R116" s="41" t="str">
        <f t="shared" si="11"/>
        <v>-</v>
      </c>
    </row>
    <row r="117" spans="1:18" x14ac:dyDescent="0.3">
      <c r="A117" s="26">
        <v>1471</v>
      </c>
      <c r="B117" s="15">
        <v>88395014710</v>
      </c>
      <c r="C117" s="17" t="s">
        <v>121</v>
      </c>
      <c r="D117" s="29"/>
      <c r="E117" s="29"/>
      <c r="F117" s="21">
        <v>0.11778000000000001</v>
      </c>
      <c r="G117" s="21"/>
      <c r="H117" s="19">
        <v>13.957649999999999</v>
      </c>
      <c r="I117" s="23"/>
      <c r="J117" s="19">
        <f t="shared" si="6"/>
        <v>0</v>
      </c>
      <c r="M117" s="39" t="str">
        <f t="shared" si="7"/>
        <v>-</v>
      </c>
      <c r="N117" s="39" t="str">
        <f t="shared" si="8"/>
        <v>-</v>
      </c>
      <c r="O117" s="40" t="str">
        <f t="shared" si="9"/>
        <v>-</v>
      </c>
      <c r="P117" s="41" t="str">
        <f t="shared" si="10"/>
        <v>-</v>
      </c>
      <c r="R117" s="41" t="str">
        <f t="shared" si="11"/>
        <v>-</v>
      </c>
    </row>
    <row r="118" spans="1:18" x14ac:dyDescent="0.3">
      <c r="A118" s="26">
        <v>1473</v>
      </c>
      <c r="B118" s="15">
        <v>88395014734</v>
      </c>
      <c r="C118" s="17" t="s">
        <v>122</v>
      </c>
      <c r="D118" s="29"/>
      <c r="E118" s="29"/>
      <c r="F118" s="21">
        <v>0.34881000000000001</v>
      </c>
      <c r="G118" s="21"/>
      <c r="H118" s="19">
        <v>38.036249999999995</v>
      </c>
      <c r="I118" s="23"/>
      <c r="J118" s="19">
        <f t="shared" si="6"/>
        <v>0</v>
      </c>
      <c r="M118" s="39" t="str">
        <f t="shared" si="7"/>
        <v>-</v>
      </c>
      <c r="N118" s="39" t="str">
        <f t="shared" si="8"/>
        <v>-</v>
      </c>
      <c r="O118" s="40" t="str">
        <f t="shared" si="9"/>
        <v>-</v>
      </c>
      <c r="P118" s="41" t="str">
        <f t="shared" si="10"/>
        <v>-</v>
      </c>
      <c r="R118" s="41" t="str">
        <f t="shared" si="11"/>
        <v>-</v>
      </c>
    </row>
    <row r="119" spans="1:18" x14ac:dyDescent="0.3">
      <c r="A119" s="26">
        <v>1481</v>
      </c>
      <c r="B119" s="15">
        <v>88395014819</v>
      </c>
      <c r="C119" s="17" t="s">
        <v>123</v>
      </c>
      <c r="D119" s="29"/>
      <c r="E119" s="29"/>
      <c r="F119" s="21">
        <v>0.12231000000000002</v>
      </c>
      <c r="G119" s="21"/>
      <c r="H119" s="19">
        <v>14.883749999999999</v>
      </c>
      <c r="I119" s="23"/>
      <c r="J119" s="19">
        <f t="shared" si="6"/>
        <v>0</v>
      </c>
      <c r="M119" s="39" t="str">
        <f t="shared" si="7"/>
        <v>-</v>
      </c>
      <c r="N119" s="39" t="str">
        <f t="shared" si="8"/>
        <v>-</v>
      </c>
      <c r="O119" s="40" t="str">
        <f t="shared" si="9"/>
        <v>-</v>
      </c>
      <c r="P119" s="41" t="str">
        <f t="shared" si="10"/>
        <v>-</v>
      </c>
      <c r="R119" s="41" t="str">
        <f t="shared" si="11"/>
        <v>-</v>
      </c>
    </row>
    <row r="120" spans="1:18" x14ac:dyDescent="0.3">
      <c r="A120" s="26">
        <v>1483</v>
      </c>
      <c r="B120" s="15">
        <v>88395014833</v>
      </c>
      <c r="C120" s="17" t="s">
        <v>124</v>
      </c>
      <c r="D120" s="29"/>
      <c r="E120" s="29"/>
      <c r="F120" s="21">
        <v>0.34428000000000003</v>
      </c>
      <c r="G120" s="21"/>
      <c r="H120" s="19">
        <v>39.160800000000009</v>
      </c>
      <c r="I120" s="23"/>
      <c r="J120" s="19">
        <f t="shared" si="6"/>
        <v>0</v>
      </c>
      <c r="M120" s="39" t="str">
        <f t="shared" si="7"/>
        <v>-</v>
      </c>
      <c r="N120" s="39" t="str">
        <f t="shared" si="8"/>
        <v>-</v>
      </c>
      <c r="O120" s="40" t="str">
        <f t="shared" si="9"/>
        <v>-</v>
      </c>
      <c r="P120" s="41" t="str">
        <f t="shared" si="10"/>
        <v>-</v>
      </c>
      <c r="R120" s="41" t="str">
        <f t="shared" si="11"/>
        <v>-</v>
      </c>
    </row>
    <row r="121" spans="1:18" x14ac:dyDescent="0.3">
      <c r="A121" s="26">
        <v>1491</v>
      </c>
      <c r="B121" s="15">
        <v>88395149108</v>
      </c>
      <c r="C121" s="17" t="s">
        <v>125</v>
      </c>
      <c r="D121" s="29"/>
      <c r="E121" s="29"/>
      <c r="F121" s="21">
        <v>0.12231000000000002</v>
      </c>
      <c r="G121" s="21"/>
      <c r="H121" s="19">
        <v>15.809849999999999</v>
      </c>
      <c r="I121" s="23"/>
      <c r="J121" s="19">
        <f t="shared" si="6"/>
        <v>0</v>
      </c>
      <c r="M121" s="39" t="str">
        <f t="shared" si="7"/>
        <v>-</v>
      </c>
      <c r="N121" s="39" t="str">
        <f t="shared" si="8"/>
        <v>-</v>
      </c>
      <c r="O121" s="40" t="str">
        <f t="shared" si="9"/>
        <v>-</v>
      </c>
      <c r="P121" s="41" t="str">
        <f t="shared" si="10"/>
        <v>-</v>
      </c>
      <c r="R121" s="41" t="str">
        <f t="shared" si="11"/>
        <v>-</v>
      </c>
    </row>
    <row r="122" spans="1:18" x14ac:dyDescent="0.3">
      <c r="A122" s="26">
        <v>1493</v>
      </c>
      <c r="B122" s="15">
        <v>88395149306</v>
      </c>
      <c r="C122" s="17" t="s">
        <v>126</v>
      </c>
      <c r="D122" s="29"/>
      <c r="E122" s="29"/>
      <c r="F122" s="21">
        <v>0.33975</v>
      </c>
      <c r="G122" s="21"/>
      <c r="H122" s="19">
        <v>40.483800000000002</v>
      </c>
      <c r="I122" s="23"/>
      <c r="J122" s="19">
        <f t="shared" si="6"/>
        <v>0</v>
      </c>
      <c r="M122" s="39" t="str">
        <f t="shared" si="7"/>
        <v>-</v>
      </c>
      <c r="N122" s="39" t="str">
        <f t="shared" si="8"/>
        <v>-</v>
      </c>
      <c r="O122" s="40" t="str">
        <f t="shared" si="9"/>
        <v>-</v>
      </c>
      <c r="P122" s="41" t="str">
        <f t="shared" si="10"/>
        <v>-</v>
      </c>
      <c r="R122" s="41" t="str">
        <f t="shared" si="11"/>
        <v>-</v>
      </c>
    </row>
    <row r="123" spans="1:18" x14ac:dyDescent="0.3">
      <c r="A123" s="26">
        <v>1501</v>
      </c>
      <c r="B123" s="15">
        <v>88395015014</v>
      </c>
      <c r="C123" s="17" t="s">
        <v>127</v>
      </c>
      <c r="D123" s="29"/>
      <c r="E123" s="29"/>
      <c r="F123" s="21">
        <v>0.38505</v>
      </c>
      <c r="G123" s="21"/>
      <c r="H123" s="19">
        <v>34.397999999999996</v>
      </c>
      <c r="I123" s="23"/>
      <c r="J123" s="19">
        <f t="shared" si="6"/>
        <v>0</v>
      </c>
      <c r="M123" s="39" t="str">
        <f t="shared" si="7"/>
        <v>-</v>
      </c>
      <c r="N123" s="39" t="str">
        <f t="shared" si="8"/>
        <v>-</v>
      </c>
      <c r="O123" s="40" t="str">
        <f t="shared" si="9"/>
        <v>-</v>
      </c>
      <c r="P123" s="41" t="str">
        <f t="shared" si="10"/>
        <v>-</v>
      </c>
      <c r="R123" s="41" t="str">
        <f t="shared" si="11"/>
        <v>-</v>
      </c>
    </row>
    <row r="124" spans="1:18" x14ac:dyDescent="0.3">
      <c r="A124" s="26">
        <v>1502</v>
      </c>
      <c r="B124" s="15">
        <v>88395015021</v>
      </c>
      <c r="C124" s="17" t="s">
        <v>128</v>
      </c>
      <c r="D124" s="29"/>
      <c r="E124" s="29"/>
      <c r="F124" s="21">
        <v>0.11325</v>
      </c>
      <c r="G124" s="21"/>
      <c r="H124" s="19">
        <v>9.3932999999999982</v>
      </c>
      <c r="I124" s="23"/>
      <c r="J124" s="19">
        <f t="shared" si="6"/>
        <v>0</v>
      </c>
      <c r="M124" s="39" t="str">
        <f t="shared" si="7"/>
        <v>-</v>
      </c>
      <c r="N124" s="39" t="str">
        <f t="shared" si="8"/>
        <v>-</v>
      </c>
      <c r="O124" s="40" t="str">
        <f t="shared" si="9"/>
        <v>-</v>
      </c>
      <c r="P124" s="41" t="str">
        <f t="shared" si="10"/>
        <v>-</v>
      </c>
      <c r="R124" s="41" t="str">
        <f t="shared" si="11"/>
        <v>-</v>
      </c>
    </row>
    <row r="125" spans="1:18" x14ac:dyDescent="0.3">
      <c r="A125" s="26">
        <v>1504</v>
      </c>
      <c r="B125" s="15">
        <v>88395015045</v>
      </c>
      <c r="C125" s="17" t="s">
        <v>129</v>
      </c>
      <c r="D125" s="29"/>
      <c r="E125" s="29"/>
      <c r="F125" s="21">
        <v>0.47565000000000002</v>
      </c>
      <c r="G125" s="21"/>
      <c r="H125" s="19">
        <v>34.397999999999996</v>
      </c>
      <c r="I125" s="23"/>
      <c r="J125" s="19">
        <f t="shared" si="6"/>
        <v>0</v>
      </c>
      <c r="M125" s="39" t="str">
        <f t="shared" si="7"/>
        <v>-</v>
      </c>
      <c r="N125" s="39" t="str">
        <f t="shared" si="8"/>
        <v>-</v>
      </c>
      <c r="O125" s="40" t="str">
        <f t="shared" si="9"/>
        <v>-</v>
      </c>
      <c r="P125" s="41" t="str">
        <f t="shared" si="10"/>
        <v>-</v>
      </c>
      <c r="R125" s="41" t="str">
        <f t="shared" si="11"/>
        <v>-</v>
      </c>
    </row>
    <row r="126" spans="1:18" x14ac:dyDescent="0.3">
      <c r="A126" s="26">
        <v>1505</v>
      </c>
      <c r="B126" s="15">
        <v>88395015052</v>
      </c>
      <c r="C126" s="17" t="s">
        <v>130</v>
      </c>
      <c r="D126" s="29"/>
      <c r="E126" s="29"/>
      <c r="F126" s="21">
        <v>0.53454000000000002</v>
      </c>
      <c r="G126" s="21"/>
      <c r="H126" s="19">
        <v>42.997500000000002</v>
      </c>
      <c r="I126" s="23"/>
      <c r="J126" s="19">
        <f t="shared" si="6"/>
        <v>0</v>
      </c>
      <c r="M126" s="39" t="str">
        <f t="shared" si="7"/>
        <v>-</v>
      </c>
      <c r="N126" s="39" t="str">
        <f t="shared" si="8"/>
        <v>-</v>
      </c>
      <c r="O126" s="40" t="str">
        <f t="shared" si="9"/>
        <v>-</v>
      </c>
      <c r="P126" s="41" t="str">
        <f t="shared" si="10"/>
        <v>-</v>
      </c>
      <c r="R126" s="41" t="str">
        <f t="shared" si="11"/>
        <v>-</v>
      </c>
    </row>
    <row r="127" spans="1:18" x14ac:dyDescent="0.3">
      <c r="A127" s="26">
        <v>1520</v>
      </c>
      <c r="B127" s="15">
        <v>88395015205</v>
      </c>
      <c r="C127" s="17" t="s">
        <v>131</v>
      </c>
      <c r="D127" s="29"/>
      <c r="E127" s="29"/>
      <c r="F127" s="21">
        <v>9.9659999999999999E-2</v>
      </c>
      <c r="G127" s="21"/>
      <c r="H127" s="19">
        <v>10.517849999999999</v>
      </c>
      <c r="I127" s="23"/>
      <c r="J127" s="19">
        <f t="shared" si="6"/>
        <v>0</v>
      </c>
      <c r="M127" s="39" t="str">
        <f t="shared" si="7"/>
        <v>-</v>
      </c>
      <c r="N127" s="39" t="str">
        <f t="shared" si="8"/>
        <v>-</v>
      </c>
      <c r="O127" s="40" t="str">
        <f t="shared" si="9"/>
        <v>-</v>
      </c>
      <c r="P127" s="41" t="str">
        <f t="shared" si="10"/>
        <v>-</v>
      </c>
      <c r="R127" s="41" t="str">
        <f t="shared" si="11"/>
        <v>-</v>
      </c>
    </row>
    <row r="128" spans="1:18" x14ac:dyDescent="0.3">
      <c r="A128" s="26">
        <v>1521</v>
      </c>
      <c r="B128" s="15">
        <v>88395015212</v>
      </c>
      <c r="C128" s="17" t="s">
        <v>132</v>
      </c>
      <c r="D128" s="29"/>
      <c r="E128" s="29"/>
      <c r="F128" s="21">
        <v>0.18120000000000003</v>
      </c>
      <c r="G128" s="21"/>
      <c r="H128" s="19">
        <v>24.210899999999999</v>
      </c>
      <c r="I128" s="23"/>
      <c r="J128" s="19">
        <f t="shared" si="6"/>
        <v>0</v>
      </c>
      <c r="M128" s="39" t="str">
        <f t="shared" si="7"/>
        <v>-</v>
      </c>
      <c r="N128" s="39" t="str">
        <f t="shared" si="8"/>
        <v>-</v>
      </c>
      <c r="O128" s="40" t="str">
        <f t="shared" si="9"/>
        <v>-</v>
      </c>
      <c r="P128" s="41" t="str">
        <f t="shared" si="10"/>
        <v>-</v>
      </c>
      <c r="R128" s="41" t="str">
        <f t="shared" si="11"/>
        <v>-</v>
      </c>
    </row>
    <row r="129" spans="1:18" x14ac:dyDescent="0.3">
      <c r="A129" s="26">
        <v>1522</v>
      </c>
      <c r="B129" s="15">
        <v>88395015229</v>
      </c>
      <c r="C129" s="17" t="s">
        <v>133</v>
      </c>
      <c r="D129" s="29"/>
      <c r="E129" s="29"/>
      <c r="F129" s="21">
        <v>0.43035000000000001</v>
      </c>
      <c r="G129" s="21"/>
      <c r="H129" s="19">
        <v>45.1143</v>
      </c>
      <c r="I129" s="23"/>
      <c r="J129" s="19">
        <f t="shared" si="6"/>
        <v>0</v>
      </c>
      <c r="M129" s="39" t="str">
        <f t="shared" si="7"/>
        <v>-</v>
      </c>
      <c r="N129" s="39" t="str">
        <f t="shared" si="8"/>
        <v>-</v>
      </c>
      <c r="O129" s="40" t="str">
        <f t="shared" si="9"/>
        <v>-</v>
      </c>
      <c r="P129" s="41" t="str">
        <f t="shared" si="10"/>
        <v>-</v>
      </c>
      <c r="R129" s="41" t="str">
        <f t="shared" si="11"/>
        <v>-</v>
      </c>
    </row>
    <row r="130" spans="1:18" x14ac:dyDescent="0.3">
      <c r="A130" s="26">
        <v>1523</v>
      </c>
      <c r="B130" s="15">
        <v>88395015236</v>
      </c>
      <c r="C130" s="17" t="s">
        <v>134</v>
      </c>
      <c r="D130" s="29"/>
      <c r="E130" s="29"/>
      <c r="F130" s="21">
        <v>0.52095000000000002</v>
      </c>
      <c r="G130" s="21"/>
      <c r="H130" s="19">
        <v>53.581500000000005</v>
      </c>
      <c r="I130" s="23"/>
      <c r="J130" s="19">
        <f t="shared" si="6"/>
        <v>0</v>
      </c>
      <c r="M130" s="39" t="str">
        <f t="shared" si="7"/>
        <v>-</v>
      </c>
      <c r="N130" s="39" t="str">
        <f t="shared" si="8"/>
        <v>-</v>
      </c>
      <c r="O130" s="40" t="str">
        <f t="shared" si="9"/>
        <v>-</v>
      </c>
      <c r="P130" s="41" t="str">
        <f t="shared" si="10"/>
        <v>-</v>
      </c>
      <c r="R130" s="41" t="str">
        <f t="shared" si="11"/>
        <v>-</v>
      </c>
    </row>
    <row r="131" spans="1:18" x14ac:dyDescent="0.3">
      <c r="A131" s="26">
        <v>1524</v>
      </c>
      <c r="B131" s="15">
        <v>88395015243</v>
      </c>
      <c r="C131" s="17" t="s">
        <v>135</v>
      </c>
      <c r="D131" s="29"/>
      <c r="E131" s="29"/>
      <c r="F131" s="21">
        <v>0.24915000000000004</v>
      </c>
      <c r="G131" s="21"/>
      <c r="H131" s="19">
        <v>24.210899999999999</v>
      </c>
      <c r="I131" s="23"/>
      <c r="J131" s="19">
        <f t="shared" ref="J131:J194" si="12">I131*H131</f>
        <v>0</v>
      </c>
      <c r="M131" s="39" t="str">
        <f t="shared" si="7"/>
        <v>-</v>
      </c>
      <c r="N131" s="39" t="str">
        <f t="shared" si="8"/>
        <v>-</v>
      </c>
      <c r="O131" s="40" t="str">
        <f t="shared" si="9"/>
        <v>-</v>
      </c>
      <c r="P131" s="41" t="str">
        <f t="shared" si="10"/>
        <v>-</v>
      </c>
      <c r="R131" s="41" t="str">
        <f t="shared" si="11"/>
        <v>-</v>
      </c>
    </row>
    <row r="132" spans="1:18" x14ac:dyDescent="0.3">
      <c r="A132" s="26">
        <v>1526</v>
      </c>
      <c r="B132" s="15">
        <v>88395015267</v>
      </c>
      <c r="C132" s="17" t="s">
        <v>136</v>
      </c>
      <c r="D132" s="29"/>
      <c r="E132" s="29"/>
      <c r="F132" s="21">
        <v>0.33975</v>
      </c>
      <c r="G132" s="21"/>
      <c r="H132" s="19">
        <v>32.611949999999993</v>
      </c>
      <c r="I132" s="23"/>
      <c r="J132" s="19">
        <f t="shared" si="12"/>
        <v>0</v>
      </c>
      <c r="M132" s="39" t="str">
        <f t="shared" ref="M132:M195" si="13">IFERROR(IF($M$2*F132=0, "-", $M$2*F132), "-")</f>
        <v>-</v>
      </c>
      <c r="N132" s="39" t="str">
        <f t="shared" ref="N132:N195" si="14">IF(I132&gt;0,H132+F132*I132/$O$2*$P$2/I132,"-")</f>
        <v>-</v>
      </c>
      <c r="O132" s="40" t="str">
        <f t="shared" ref="O132:O195" si="15">IF(I132&gt;0,I132*F132*1.13, "-")</f>
        <v>-</v>
      </c>
      <c r="P132" s="41" t="str">
        <f t="shared" ref="P132:P195" si="16">IFERROR(IF($M$2&gt;0, $M$2*O132, "-"), "-")</f>
        <v>-</v>
      </c>
      <c r="R132" s="41" t="str">
        <f t="shared" ref="R132:R195" si="17">IFERROR(IF(P132+J132=0, "-", IF(P132&gt;0, P132+J132, "-")), "-")</f>
        <v>-</v>
      </c>
    </row>
    <row r="133" spans="1:18" x14ac:dyDescent="0.3">
      <c r="A133" s="26">
        <v>1530</v>
      </c>
      <c r="B133" s="15">
        <v>88395153006</v>
      </c>
      <c r="C133" s="17" t="s">
        <v>443</v>
      </c>
      <c r="D133" s="29"/>
      <c r="E133" s="29"/>
      <c r="F133" s="21">
        <v>0.10419</v>
      </c>
      <c r="G133" s="21"/>
      <c r="H133" s="19">
        <v>10.517849999999999</v>
      </c>
      <c r="I133" s="23"/>
      <c r="J133" s="19">
        <f t="shared" si="12"/>
        <v>0</v>
      </c>
      <c r="M133" s="39" t="str">
        <f t="shared" si="13"/>
        <v>-</v>
      </c>
      <c r="N133" s="39" t="str">
        <f t="shared" si="14"/>
        <v>-</v>
      </c>
      <c r="O133" s="40" t="str">
        <f t="shared" si="15"/>
        <v>-</v>
      </c>
      <c r="P133" s="41" t="str">
        <f t="shared" si="16"/>
        <v>-</v>
      </c>
      <c r="R133" s="41" t="str">
        <f t="shared" si="17"/>
        <v>-</v>
      </c>
    </row>
    <row r="134" spans="1:18" x14ac:dyDescent="0.3">
      <c r="A134" s="26">
        <v>1531</v>
      </c>
      <c r="B134" s="15">
        <v>88395153105</v>
      </c>
      <c r="C134" s="17" t="s">
        <v>443</v>
      </c>
      <c r="D134" s="29"/>
      <c r="E134" s="29"/>
      <c r="F134" s="21">
        <v>0.18120000000000003</v>
      </c>
      <c r="G134" s="21"/>
      <c r="H134" s="19">
        <v>24.210899999999999</v>
      </c>
      <c r="I134" s="23"/>
      <c r="J134" s="19">
        <f t="shared" si="12"/>
        <v>0</v>
      </c>
      <c r="M134" s="39" t="str">
        <f t="shared" si="13"/>
        <v>-</v>
      </c>
      <c r="N134" s="39" t="str">
        <f t="shared" si="14"/>
        <v>-</v>
      </c>
      <c r="O134" s="40" t="str">
        <f t="shared" si="15"/>
        <v>-</v>
      </c>
      <c r="P134" s="41" t="str">
        <f t="shared" si="16"/>
        <v>-</v>
      </c>
      <c r="R134" s="41" t="str">
        <f t="shared" si="17"/>
        <v>-</v>
      </c>
    </row>
    <row r="135" spans="1:18" x14ac:dyDescent="0.3">
      <c r="A135" s="26">
        <v>1532</v>
      </c>
      <c r="B135" s="15">
        <v>88395153204</v>
      </c>
      <c r="C135" s="17" t="s">
        <v>443</v>
      </c>
      <c r="D135" s="29"/>
      <c r="E135" s="29"/>
      <c r="F135" s="21">
        <v>0.33975</v>
      </c>
      <c r="G135" s="21"/>
      <c r="H135" s="19">
        <v>32.611949999999993</v>
      </c>
      <c r="I135" s="23"/>
      <c r="J135" s="19">
        <f t="shared" si="12"/>
        <v>0</v>
      </c>
      <c r="M135" s="39" t="str">
        <f t="shared" si="13"/>
        <v>-</v>
      </c>
      <c r="N135" s="39" t="str">
        <f t="shared" si="14"/>
        <v>-</v>
      </c>
      <c r="O135" s="40" t="str">
        <f t="shared" si="15"/>
        <v>-</v>
      </c>
      <c r="P135" s="41" t="str">
        <f t="shared" si="16"/>
        <v>-</v>
      </c>
      <c r="R135" s="41" t="str">
        <f t="shared" si="17"/>
        <v>-</v>
      </c>
    </row>
    <row r="136" spans="1:18" x14ac:dyDescent="0.3">
      <c r="A136" s="26">
        <v>1534</v>
      </c>
      <c r="B136" s="15">
        <v>88395153402</v>
      </c>
      <c r="C136" s="17" t="s">
        <v>443</v>
      </c>
      <c r="D136" s="29"/>
      <c r="E136" s="29"/>
      <c r="F136" s="21">
        <v>0.24915000000000004</v>
      </c>
      <c r="G136" s="21"/>
      <c r="H136" s="19">
        <v>24.210899999999999</v>
      </c>
      <c r="I136" s="23"/>
      <c r="J136" s="19">
        <f t="shared" si="12"/>
        <v>0</v>
      </c>
      <c r="M136" s="39" t="str">
        <f t="shared" si="13"/>
        <v>-</v>
      </c>
      <c r="N136" s="39" t="str">
        <f t="shared" si="14"/>
        <v>-</v>
      </c>
      <c r="O136" s="40" t="str">
        <f t="shared" si="15"/>
        <v>-</v>
      </c>
      <c r="P136" s="41" t="str">
        <f t="shared" si="16"/>
        <v>-</v>
      </c>
      <c r="R136" s="41" t="str">
        <f t="shared" si="17"/>
        <v>-</v>
      </c>
    </row>
    <row r="137" spans="1:18" x14ac:dyDescent="0.3">
      <c r="A137" s="26">
        <v>1540</v>
      </c>
      <c r="B137" s="15">
        <v>88395015403</v>
      </c>
      <c r="C137" s="17" t="s">
        <v>137</v>
      </c>
      <c r="D137" s="29"/>
      <c r="E137" s="29"/>
      <c r="F137" s="21">
        <v>0.40317000000000003</v>
      </c>
      <c r="G137" s="21"/>
      <c r="H137" s="19">
        <v>23.086350000000003</v>
      </c>
      <c r="I137" s="23"/>
      <c r="J137" s="19">
        <f t="shared" si="12"/>
        <v>0</v>
      </c>
      <c r="M137" s="39" t="str">
        <f t="shared" si="13"/>
        <v>-</v>
      </c>
      <c r="N137" s="39" t="str">
        <f t="shared" si="14"/>
        <v>-</v>
      </c>
      <c r="O137" s="40" t="str">
        <f t="shared" si="15"/>
        <v>-</v>
      </c>
      <c r="P137" s="41" t="str">
        <f t="shared" si="16"/>
        <v>-</v>
      </c>
      <c r="R137" s="41" t="str">
        <f t="shared" si="17"/>
        <v>-</v>
      </c>
    </row>
    <row r="138" spans="1:18" x14ac:dyDescent="0.3">
      <c r="A138" s="26">
        <v>1543</v>
      </c>
      <c r="B138" s="15">
        <v>88395015434</v>
      </c>
      <c r="C138" s="17" t="s">
        <v>138</v>
      </c>
      <c r="D138" s="29"/>
      <c r="E138" s="29"/>
      <c r="F138" s="21">
        <v>0.40317000000000003</v>
      </c>
      <c r="G138" s="21"/>
      <c r="H138" s="19">
        <v>23.086350000000003</v>
      </c>
      <c r="I138" s="23"/>
      <c r="J138" s="19">
        <f t="shared" si="12"/>
        <v>0</v>
      </c>
      <c r="M138" s="39" t="str">
        <f t="shared" si="13"/>
        <v>-</v>
      </c>
      <c r="N138" s="39" t="str">
        <f t="shared" si="14"/>
        <v>-</v>
      </c>
      <c r="O138" s="40" t="str">
        <f t="shared" si="15"/>
        <v>-</v>
      </c>
      <c r="P138" s="41" t="str">
        <f t="shared" si="16"/>
        <v>-</v>
      </c>
      <c r="R138" s="41" t="str">
        <f t="shared" si="17"/>
        <v>-</v>
      </c>
    </row>
    <row r="139" spans="1:18" x14ac:dyDescent="0.3">
      <c r="A139" s="26">
        <v>1544</v>
      </c>
      <c r="B139" s="15">
        <v>88395154409</v>
      </c>
      <c r="C139" s="17" t="s">
        <v>139</v>
      </c>
      <c r="D139" s="29"/>
      <c r="E139" s="29"/>
      <c r="F139" s="21">
        <v>0.90600000000000003</v>
      </c>
      <c r="G139" s="21"/>
      <c r="H139" s="19">
        <v>46.238849999999999</v>
      </c>
      <c r="I139" s="23"/>
      <c r="J139" s="19">
        <f t="shared" si="12"/>
        <v>0</v>
      </c>
      <c r="M139" s="39" t="str">
        <f t="shared" si="13"/>
        <v>-</v>
      </c>
      <c r="N139" s="39" t="str">
        <f t="shared" si="14"/>
        <v>-</v>
      </c>
      <c r="O139" s="40" t="str">
        <f t="shared" si="15"/>
        <v>-</v>
      </c>
      <c r="P139" s="41" t="str">
        <f t="shared" si="16"/>
        <v>-</v>
      </c>
      <c r="R139" s="41" t="str">
        <f t="shared" si="17"/>
        <v>-</v>
      </c>
    </row>
    <row r="140" spans="1:18" x14ac:dyDescent="0.3">
      <c r="A140" s="26">
        <v>1545</v>
      </c>
      <c r="B140" s="15">
        <v>88395015458</v>
      </c>
      <c r="C140" s="17" t="s">
        <v>140</v>
      </c>
      <c r="D140" s="29"/>
      <c r="E140" s="29"/>
      <c r="F140" s="21">
        <v>0.90600000000000003</v>
      </c>
      <c r="G140" s="21"/>
      <c r="H140" s="19">
        <v>46.238849999999999</v>
      </c>
      <c r="I140" s="23"/>
      <c r="J140" s="19">
        <f t="shared" si="12"/>
        <v>0</v>
      </c>
      <c r="M140" s="39" t="str">
        <f t="shared" si="13"/>
        <v>-</v>
      </c>
      <c r="N140" s="39" t="str">
        <f t="shared" si="14"/>
        <v>-</v>
      </c>
      <c r="O140" s="40" t="str">
        <f t="shared" si="15"/>
        <v>-</v>
      </c>
      <c r="P140" s="41" t="str">
        <f t="shared" si="16"/>
        <v>-</v>
      </c>
      <c r="R140" s="41" t="str">
        <f t="shared" si="17"/>
        <v>-</v>
      </c>
    </row>
    <row r="141" spans="1:18" x14ac:dyDescent="0.3">
      <c r="A141" s="26">
        <v>1547</v>
      </c>
      <c r="B141" s="15">
        <v>88395154706</v>
      </c>
      <c r="C141" s="17" t="s">
        <v>141</v>
      </c>
      <c r="D141" s="29"/>
      <c r="E141" s="29"/>
      <c r="F141" s="21">
        <v>9.9659999999999999E-2</v>
      </c>
      <c r="G141" s="21"/>
      <c r="H141" s="19">
        <v>17.132850000000001</v>
      </c>
      <c r="I141" s="23"/>
      <c r="J141" s="19">
        <f t="shared" si="12"/>
        <v>0</v>
      </c>
      <c r="M141" s="39" t="str">
        <f t="shared" si="13"/>
        <v>-</v>
      </c>
      <c r="N141" s="39" t="str">
        <f t="shared" si="14"/>
        <v>-</v>
      </c>
      <c r="O141" s="40" t="str">
        <f t="shared" si="15"/>
        <v>-</v>
      </c>
      <c r="P141" s="41" t="str">
        <f t="shared" si="16"/>
        <v>-</v>
      </c>
      <c r="R141" s="41" t="str">
        <f t="shared" si="17"/>
        <v>-</v>
      </c>
    </row>
    <row r="142" spans="1:18" x14ac:dyDescent="0.3">
      <c r="A142" s="26">
        <v>1549</v>
      </c>
      <c r="B142" s="15">
        <v>88395154904</v>
      </c>
      <c r="C142" s="17" t="s">
        <v>142</v>
      </c>
      <c r="D142" s="29"/>
      <c r="E142" s="29"/>
      <c r="F142" s="21">
        <v>9.9659999999999999E-2</v>
      </c>
      <c r="G142" s="21"/>
      <c r="H142" s="19">
        <v>16.471349999999997</v>
      </c>
      <c r="I142" s="23"/>
      <c r="J142" s="19">
        <f t="shared" si="12"/>
        <v>0</v>
      </c>
      <c r="M142" s="39" t="str">
        <f t="shared" si="13"/>
        <v>-</v>
      </c>
      <c r="N142" s="39" t="str">
        <f t="shared" si="14"/>
        <v>-</v>
      </c>
      <c r="O142" s="40" t="str">
        <f t="shared" si="15"/>
        <v>-</v>
      </c>
      <c r="P142" s="41" t="str">
        <f t="shared" si="16"/>
        <v>-</v>
      </c>
      <c r="R142" s="41" t="str">
        <f t="shared" si="17"/>
        <v>-</v>
      </c>
    </row>
    <row r="143" spans="1:18" x14ac:dyDescent="0.3">
      <c r="A143" s="26">
        <v>1550</v>
      </c>
      <c r="B143" s="15">
        <v>88395015502</v>
      </c>
      <c r="C143" s="17" t="s">
        <v>143</v>
      </c>
      <c r="D143" s="29"/>
      <c r="E143" s="29"/>
      <c r="F143" s="21">
        <v>0.11325</v>
      </c>
      <c r="G143" s="21"/>
      <c r="H143" s="19">
        <v>22.424849999999999</v>
      </c>
      <c r="I143" s="23"/>
      <c r="J143" s="19">
        <f t="shared" si="12"/>
        <v>0</v>
      </c>
      <c r="M143" s="39" t="str">
        <f t="shared" si="13"/>
        <v>-</v>
      </c>
      <c r="N143" s="39" t="str">
        <f t="shared" si="14"/>
        <v>-</v>
      </c>
      <c r="O143" s="40" t="str">
        <f t="shared" si="15"/>
        <v>-</v>
      </c>
      <c r="P143" s="41" t="str">
        <f t="shared" si="16"/>
        <v>-</v>
      </c>
      <c r="R143" s="41" t="str">
        <f t="shared" si="17"/>
        <v>-</v>
      </c>
    </row>
    <row r="144" spans="1:18" x14ac:dyDescent="0.3">
      <c r="A144" s="26">
        <v>1552</v>
      </c>
      <c r="B144" s="15">
        <v>88395015526</v>
      </c>
      <c r="C144" s="17" t="s">
        <v>144</v>
      </c>
      <c r="D144" s="29"/>
      <c r="E144" s="29"/>
      <c r="F144" s="21">
        <v>0.36240000000000006</v>
      </c>
      <c r="G144" s="21"/>
      <c r="H144" s="19">
        <v>48.951000000000001</v>
      </c>
      <c r="I144" s="23"/>
      <c r="J144" s="19">
        <f t="shared" si="12"/>
        <v>0</v>
      </c>
      <c r="M144" s="39" t="str">
        <f t="shared" si="13"/>
        <v>-</v>
      </c>
      <c r="N144" s="39" t="str">
        <f t="shared" si="14"/>
        <v>-</v>
      </c>
      <c r="O144" s="40" t="str">
        <f t="shared" si="15"/>
        <v>-</v>
      </c>
      <c r="P144" s="41" t="str">
        <f t="shared" si="16"/>
        <v>-</v>
      </c>
      <c r="R144" s="41" t="str">
        <f t="shared" si="17"/>
        <v>-</v>
      </c>
    </row>
    <row r="145" spans="1:18" x14ac:dyDescent="0.3">
      <c r="A145" s="26">
        <v>1553</v>
      </c>
      <c r="B145" s="15">
        <v>88395015533</v>
      </c>
      <c r="C145" s="17" t="s">
        <v>145</v>
      </c>
      <c r="D145" s="29"/>
      <c r="E145" s="29"/>
      <c r="F145" s="21">
        <v>0.45300000000000001</v>
      </c>
      <c r="G145" s="21"/>
      <c r="H145" s="19">
        <v>64.826999999999998</v>
      </c>
      <c r="I145" s="23"/>
      <c r="J145" s="19">
        <f t="shared" si="12"/>
        <v>0</v>
      </c>
      <c r="M145" s="39" t="str">
        <f t="shared" si="13"/>
        <v>-</v>
      </c>
      <c r="N145" s="39" t="str">
        <f t="shared" si="14"/>
        <v>-</v>
      </c>
      <c r="O145" s="40" t="str">
        <f t="shared" si="15"/>
        <v>-</v>
      </c>
      <c r="P145" s="41" t="str">
        <f t="shared" si="16"/>
        <v>-</v>
      </c>
      <c r="R145" s="41" t="str">
        <f t="shared" si="17"/>
        <v>-</v>
      </c>
    </row>
    <row r="146" spans="1:18" x14ac:dyDescent="0.3">
      <c r="A146" s="26">
        <v>1554</v>
      </c>
      <c r="B146" s="15">
        <v>88395015540</v>
      </c>
      <c r="C146" s="17" t="s">
        <v>146</v>
      </c>
      <c r="D146" s="29"/>
      <c r="E146" s="29"/>
      <c r="F146" s="21">
        <v>0.18120000000000003</v>
      </c>
      <c r="G146" s="21"/>
      <c r="H146" s="19">
        <v>22.424849999999999</v>
      </c>
      <c r="I146" s="23"/>
      <c r="J146" s="19">
        <f t="shared" si="12"/>
        <v>0</v>
      </c>
      <c r="M146" s="39" t="str">
        <f t="shared" si="13"/>
        <v>-</v>
      </c>
      <c r="N146" s="39" t="str">
        <f t="shared" si="14"/>
        <v>-</v>
      </c>
      <c r="O146" s="40" t="str">
        <f t="shared" si="15"/>
        <v>-</v>
      </c>
      <c r="P146" s="41" t="str">
        <f t="shared" si="16"/>
        <v>-</v>
      </c>
      <c r="R146" s="41" t="str">
        <f t="shared" si="17"/>
        <v>-</v>
      </c>
    </row>
    <row r="147" spans="1:18" x14ac:dyDescent="0.3">
      <c r="A147" s="26">
        <v>1560</v>
      </c>
      <c r="B147" s="15">
        <v>88395015601</v>
      </c>
      <c r="C147" s="17" t="s">
        <v>147</v>
      </c>
      <c r="D147" s="29"/>
      <c r="E147" s="29"/>
      <c r="F147" s="21">
        <v>0.12231000000000002</v>
      </c>
      <c r="G147" s="21"/>
      <c r="H147" s="19">
        <v>17.52975</v>
      </c>
      <c r="I147" s="23"/>
      <c r="J147" s="19">
        <f t="shared" si="12"/>
        <v>0</v>
      </c>
      <c r="M147" s="39" t="str">
        <f t="shared" si="13"/>
        <v>-</v>
      </c>
      <c r="N147" s="39" t="str">
        <f t="shared" si="14"/>
        <v>-</v>
      </c>
      <c r="O147" s="40" t="str">
        <f t="shared" si="15"/>
        <v>-</v>
      </c>
      <c r="P147" s="41" t="str">
        <f t="shared" si="16"/>
        <v>-</v>
      </c>
      <c r="R147" s="41" t="str">
        <f t="shared" si="17"/>
        <v>-</v>
      </c>
    </row>
    <row r="148" spans="1:18" x14ac:dyDescent="0.3">
      <c r="A148" s="26">
        <v>1561</v>
      </c>
      <c r="B148" s="15">
        <v>88395015618</v>
      </c>
      <c r="C148" s="17" t="s">
        <v>148</v>
      </c>
      <c r="D148" s="29"/>
      <c r="E148" s="29"/>
      <c r="F148" s="21">
        <v>0.23556000000000002</v>
      </c>
      <c r="G148" s="21"/>
      <c r="H148" s="19">
        <v>33.008849999999995</v>
      </c>
      <c r="I148" s="23"/>
      <c r="J148" s="19">
        <f t="shared" si="12"/>
        <v>0</v>
      </c>
      <c r="M148" s="39" t="str">
        <f t="shared" si="13"/>
        <v>-</v>
      </c>
      <c r="N148" s="39" t="str">
        <f t="shared" si="14"/>
        <v>-</v>
      </c>
      <c r="O148" s="40" t="str">
        <f t="shared" si="15"/>
        <v>-</v>
      </c>
      <c r="P148" s="41" t="str">
        <f t="shared" si="16"/>
        <v>-</v>
      </c>
      <c r="R148" s="41" t="str">
        <f t="shared" si="17"/>
        <v>-</v>
      </c>
    </row>
    <row r="149" spans="1:18" x14ac:dyDescent="0.3">
      <c r="A149" s="26">
        <v>1570</v>
      </c>
      <c r="B149" s="15">
        <v>88395015700</v>
      </c>
      <c r="C149" s="17" t="s">
        <v>149</v>
      </c>
      <c r="D149" s="29"/>
      <c r="E149" s="29"/>
      <c r="F149" s="21">
        <v>6.7949999999999997E-2</v>
      </c>
      <c r="G149" s="21"/>
      <c r="H149" s="19">
        <v>8.5223250000000004</v>
      </c>
      <c r="I149" s="23"/>
      <c r="J149" s="19">
        <f t="shared" si="12"/>
        <v>0</v>
      </c>
      <c r="M149" s="39" t="str">
        <f t="shared" si="13"/>
        <v>-</v>
      </c>
      <c r="N149" s="39" t="str">
        <f t="shared" si="14"/>
        <v>-</v>
      </c>
      <c r="O149" s="40" t="str">
        <f t="shared" si="15"/>
        <v>-</v>
      </c>
      <c r="P149" s="41" t="str">
        <f t="shared" si="16"/>
        <v>-</v>
      </c>
      <c r="R149" s="41" t="str">
        <f t="shared" si="17"/>
        <v>-</v>
      </c>
    </row>
    <row r="150" spans="1:18" x14ac:dyDescent="0.3">
      <c r="A150" s="26">
        <v>1571</v>
      </c>
      <c r="B150" s="15">
        <v>88395015717</v>
      </c>
      <c r="C150" s="17" t="s">
        <v>150</v>
      </c>
      <c r="D150" s="29"/>
      <c r="E150" s="29"/>
      <c r="F150" s="21">
        <v>0.13589999999999999</v>
      </c>
      <c r="G150" s="21"/>
      <c r="H150" s="19">
        <v>15.809849999999999</v>
      </c>
      <c r="I150" s="23"/>
      <c r="J150" s="19">
        <f t="shared" si="12"/>
        <v>0</v>
      </c>
      <c r="M150" s="39" t="str">
        <f t="shared" si="13"/>
        <v>-</v>
      </c>
      <c r="N150" s="39" t="str">
        <f t="shared" si="14"/>
        <v>-</v>
      </c>
      <c r="O150" s="40" t="str">
        <f t="shared" si="15"/>
        <v>-</v>
      </c>
      <c r="P150" s="41" t="str">
        <f t="shared" si="16"/>
        <v>-</v>
      </c>
      <c r="R150" s="41" t="str">
        <f t="shared" si="17"/>
        <v>-</v>
      </c>
    </row>
    <row r="151" spans="1:18" x14ac:dyDescent="0.3">
      <c r="A151" s="26">
        <v>1572</v>
      </c>
      <c r="B151" s="15">
        <v>88395157202</v>
      </c>
      <c r="C151" s="17" t="s">
        <v>151</v>
      </c>
      <c r="D151" s="29"/>
      <c r="E151" s="29"/>
      <c r="F151" s="21">
        <v>0.20385</v>
      </c>
      <c r="G151" s="21"/>
      <c r="H151" s="19">
        <v>22.623299999999997</v>
      </c>
      <c r="I151" s="23"/>
      <c r="J151" s="19">
        <f t="shared" si="12"/>
        <v>0</v>
      </c>
      <c r="M151" s="39" t="str">
        <f t="shared" si="13"/>
        <v>-</v>
      </c>
      <c r="N151" s="39" t="str">
        <f t="shared" si="14"/>
        <v>-</v>
      </c>
      <c r="O151" s="40" t="str">
        <f t="shared" si="15"/>
        <v>-</v>
      </c>
      <c r="P151" s="41" t="str">
        <f t="shared" si="16"/>
        <v>-</v>
      </c>
      <c r="R151" s="41" t="str">
        <f t="shared" si="17"/>
        <v>-</v>
      </c>
    </row>
    <row r="152" spans="1:18" x14ac:dyDescent="0.3">
      <c r="A152" s="26">
        <v>1585</v>
      </c>
      <c r="B152" s="15">
        <v>88395158506</v>
      </c>
      <c r="C152" s="17" t="s">
        <v>460</v>
      </c>
      <c r="D152" s="29"/>
      <c r="E152" s="29"/>
      <c r="F152" s="21">
        <v>0.15855</v>
      </c>
      <c r="G152" s="21"/>
      <c r="H152" s="19">
        <v>26.393850000000008</v>
      </c>
      <c r="I152" s="23"/>
      <c r="J152" s="19">
        <f t="shared" si="12"/>
        <v>0</v>
      </c>
      <c r="M152" s="39" t="str">
        <f t="shared" si="13"/>
        <v>-</v>
      </c>
      <c r="N152" s="39" t="str">
        <f t="shared" si="14"/>
        <v>-</v>
      </c>
      <c r="O152" s="40" t="str">
        <f t="shared" si="15"/>
        <v>-</v>
      </c>
      <c r="P152" s="41" t="str">
        <f t="shared" si="16"/>
        <v>-</v>
      </c>
      <c r="R152" s="41" t="str">
        <f t="shared" si="17"/>
        <v>-</v>
      </c>
    </row>
    <row r="153" spans="1:18" x14ac:dyDescent="0.3">
      <c r="A153" s="26">
        <v>1586</v>
      </c>
      <c r="B153" s="15">
        <v>88395158605</v>
      </c>
      <c r="C153" s="17" t="s">
        <v>460</v>
      </c>
      <c r="D153" s="29"/>
      <c r="E153" s="29"/>
      <c r="F153" s="21">
        <v>0.31709999999999999</v>
      </c>
      <c r="G153" s="21"/>
      <c r="H153" s="19">
        <v>50.274000000000008</v>
      </c>
      <c r="I153" s="23"/>
      <c r="J153" s="19">
        <f t="shared" si="12"/>
        <v>0</v>
      </c>
      <c r="M153" s="39" t="str">
        <f t="shared" si="13"/>
        <v>-</v>
      </c>
      <c r="N153" s="39" t="str">
        <f t="shared" si="14"/>
        <v>-</v>
      </c>
      <c r="O153" s="40" t="str">
        <f t="shared" si="15"/>
        <v>-</v>
      </c>
      <c r="P153" s="41" t="str">
        <f t="shared" si="16"/>
        <v>-</v>
      </c>
      <c r="R153" s="41" t="str">
        <f t="shared" si="17"/>
        <v>-</v>
      </c>
    </row>
    <row r="154" spans="1:18" x14ac:dyDescent="0.3">
      <c r="A154" s="26">
        <v>1591</v>
      </c>
      <c r="B154" s="15">
        <v>88395159107</v>
      </c>
      <c r="C154" s="17" t="s">
        <v>152</v>
      </c>
      <c r="D154" s="29"/>
      <c r="E154" s="29"/>
      <c r="F154" s="21">
        <v>6.7949999999999997E-2</v>
      </c>
      <c r="G154" s="21"/>
      <c r="H154" s="19">
        <v>33.008849999999995</v>
      </c>
      <c r="I154" s="23"/>
      <c r="J154" s="19">
        <f t="shared" si="12"/>
        <v>0</v>
      </c>
      <c r="M154" s="39" t="str">
        <f t="shared" si="13"/>
        <v>-</v>
      </c>
      <c r="N154" s="39" t="str">
        <f t="shared" si="14"/>
        <v>-</v>
      </c>
      <c r="O154" s="40" t="str">
        <f t="shared" si="15"/>
        <v>-</v>
      </c>
      <c r="P154" s="41" t="str">
        <f t="shared" si="16"/>
        <v>-</v>
      </c>
      <c r="R154" s="41" t="str">
        <f t="shared" si="17"/>
        <v>-</v>
      </c>
    </row>
    <row r="155" spans="1:18" x14ac:dyDescent="0.3">
      <c r="A155" s="26">
        <v>1601</v>
      </c>
      <c r="B155" s="15">
        <v>88395160103</v>
      </c>
      <c r="C155" s="17" t="s">
        <v>153</v>
      </c>
      <c r="D155" s="29"/>
      <c r="E155" s="29"/>
      <c r="F155" s="21">
        <v>0.25821</v>
      </c>
      <c r="G155" s="21"/>
      <c r="H155" s="19">
        <v>29.701350000000005</v>
      </c>
      <c r="I155" s="23"/>
      <c r="J155" s="19">
        <f t="shared" si="12"/>
        <v>0</v>
      </c>
      <c r="M155" s="39" t="str">
        <f t="shared" si="13"/>
        <v>-</v>
      </c>
      <c r="N155" s="39" t="str">
        <f t="shared" si="14"/>
        <v>-</v>
      </c>
      <c r="O155" s="40" t="str">
        <f t="shared" si="15"/>
        <v>-</v>
      </c>
      <c r="P155" s="41" t="str">
        <f t="shared" si="16"/>
        <v>-</v>
      </c>
      <c r="R155" s="41" t="str">
        <f t="shared" si="17"/>
        <v>-</v>
      </c>
    </row>
    <row r="156" spans="1:18" x14ac:dyDescent="0.3">
      <c r="A156" s="26">
        <v>1611</v>
      </c>
      <c r="B156" s="15">
        <v>88395016110</v>
      </c>
      <c r="C156" s="17" t="s">
        <v>154</v>
      </c>
      <c r="D156" s="29"/>
      <c r="E156" s="29"/>
      <c r="F156" s="21">
        <v>0.18120000000000003</v>
      </c>
      <c r="G156" s="21"/>
      <c r="H156" s="19">
        <v>16.471349999999997</v>
      </c>
      <c r="I156" s="23"/>
      <c r="J156" s="19">
        <f t="shared" si="12"/>
        <v>0</v>
      </c>
      <c r="M156" s="39" t="str">
        <f t="shared" si="13"/>
        <v>-</v>
      </c>
      <c r="N156" s="39" t="str">
        <f t="shared" si="14"/>
        <v>-</v>
      </c>
      <c r="O156" s="40" t="str">
        <f t="shared" si="15"/>
        <v>-</v>
      </c>
      <c r="P156" s="41" t="str">
        <f t="shared" si="16"/>
        <v>-</v>
      </c>
      <c r="R156" s="41" t="str">
        <f t="shared" si="17"/>
        <v>-</v>
      </c>
    </row>
    <row r="157" spans="1:18" x14ac:dyDescent="0.3">
      <c r="A157" s="26">
        <v>1612</v>
      </c>
      <c r="B157" s="15">
        <v>88395016127</v>
      </c>
      <c r="C157" s="17" t="s">
        <v>155</v>
      </c>
      <c r="D157" s="29"/>
      <c r="E157" s="29"/>
      <c r="F157" s="21">
        <v>0.33975</v>
      </c>
      <c r="G157" s="21"/>
      <c r="H157" s="19">
        <v>29.701350000000005</v>
      </c>
      <c r="I157" s="23"/>
      <c r="J157" s="19">
        <f t="shared" si="12"/>
        <v>0</v>
      </c>
      <c r="M157" s="39" t="str">
        <f t="shared" si="13"/>
        <v>-</v>
      </c>
      <c r="N157" s="39" t="str">
        <f t="shared" si="14"/>
        <v>-</v>
      </c>
      <c r="O157" s="40" t="str">
        <f t="shared" si="15"/>
        <v>-</v>
      </c>
      <c r="P157" s="41" t="str">
        <f t="shared" si="16"/>
        <v>-</v>
      </c>
      <c r="R157" s="41" t="str">
        <f t="shared" si="17"/>
        <v>-</v>
      </c>
    </row>
    <row r="158" spans="1:18" x14ac:dyDescent="0.3">
      <c r="A158" s="26">
        <v>1631</v>
      </c>
      <c r="B158" s="15">
        <v>88395016318</v>
      </c>
      <c r="C158" s="17" t="s">
        <v>156</v>
      </c>
      <c r="D158" s="29"/>
      <c r="E158" s="29"/>
      <c r="F158" s="21">
        <v>0.22650000000000001</v>
      </c>
      <c r="G158" s="21"/>
      <c r="H158" s="19">
        <v>26.393850000000008</v>
      </c>
      <c r="I158" s="23"/>
      <c r="J158" s="19">
        <f t="shared" si="12"/>
        <v>0</v>
      </c>
      <c r="M158" s="39" t="str">
        <f t="shared" si="13"/>
        <v>-</v>
      </c>
      <c r="N158" s="39" t="str">
        <f t="shared" si="14"/>
        <v>-</v>
      </c>
      <c r="O158" s="40" t="str">
        <f t="shared" si="15"/>
        <v>-</v>
      </c>
      <c r="P158" s="41" t="str">
        <f t="shared" si="16"/>
        <v>-</v>
      </c>
      <c r="R158" s="41" t="str">
        <f t="shared" si="17"/>
        <v>-</v>
      </c>
    </row>
    <row r="159" spans="1:18" x14ac:dyDescent="0.3">
      <c r="A159" s="26">
        <v>1632</v>
      </c>
      <c r="B159" s="15">
        <v>88395016325</v>
      </c>
      <c r="C159" s="17" t="s">
        <v>157</v>
      </c>
      <c r="D159" s="29"/>
      <c r="E159" s="29"/>
      <c r="F159" s="21">
        <v>0.45300000000000001</v>
      </c>
      <c r="G159" s="21"/>
      <c r="H159" s="19">
        <v>39.623850000000004</v>
      </c>
      <c r="I159" s="23"/>
      <c r="J159" s="19">
        <f t="shared" si="12"/>
        <v>0</v>
      </c>
      <c r="M159" s="39" t="str">
        <f t="shared" si="13"/>
        <v>-</v>
      </c>
      <c r="N159" s="39" t="str">
        <f t="shared" si="14"/>
        <v>-</v>
      </c>
      <c r="O159" s="40" t="str">
        <f t="shared" si="15"/>
        <v>-</v>
      </c>
      <c r="P159" s="41" t="str">
        <f t="shared" si="16"/>
        <v>-</v>
      </c>
      <c r="R159" s="41" t="str">
        <f t="shared" si="17"/>
        <v>-</v>
      </c>
    </row>
    <row r="160" spans="1:18" x14ac:dyDescent="0.3">
      <c r="A160" s="26">
        <v>1634</v>
      </c>
      <c r="B160" s="15">
        <v>88395016349</v>
      </c>
      <c r="C160" s="17" t="s">
        <v>158</v>
      </c>
      <c r="D160" s="29"/>
      <c r="E160" s="29"/>
      <c r="F160" s="21">
        <v>0.33975</v>
      </c>
      <c r="G160" s="21"/>
      <c r="H160" s="19">
        <v>26.393850000000008</v>
      </c>
      <c r="I160" s="23"/>
      <c r="J160" s="19">
        <f t="shared" si="12"/>
        <v>0</v>
      </c>
      <c r="M160" s="39" t="str">
        <f t="shared" si="13"/>
        <v>-</v>
      </c>
      <c r="N160" s="39" t="str">
        <f t="shared" si="14"/>
        <v>-</v>
      </c>
      <c r="O160" s="40" t="str">
        <f t="shared" si="15"/>
        <v>-</v>
      </c>
      <c r="P160" s="41" t="str">
        <f t="shared" si="16"/>
        <v>-</v>
      </c>
      <c r="R160" s="41" t="str">
        <f t="shared" si="17"/>
        <v>-</v>
      </c>
    </row>
    <row r="161" spans="1:18" x14ac:dyDescent="0.3">
      <c r="A161" s="26">
        <v>1641</v>
      </c>
      <c r="B161" s="15">
        <v>88395016417</v>
      </c>
      <c r="C161" s="17" t="s">
        <v>159</v>
      </c>
      <c r="D161" s="29"/>
      <c r="E161" s="29"/>
      <c r="F161" s="21">
        <v>0.22650000000000001</v>
      </c>
      <c r="G161" s="21"/>
      <c r="H161" s="19">
        <v>26.393850000000008</v>
      </c>
      <c r="I161" s="23"/>
      <c r="J161" s="19">
        <f t="shared" si="12"/>
        <v>0</v>
      </c>
      <c r="M161" s="39" t="str">
        <f t="shared" si="13"/>
        <v>-</v>
      </c>
      <c r="N161" s="39" t="str">
        <f t="shared" si="14"/>
        <v>-</v>
      </c>
      <c r="O161" s="40" t="str">
        <f t="shared" si="15"/>
        <v>-</v>
      </c>
      <c r="P161" s="41" t="str">
        <f t="shared" si="16"/>
        <v>-</v>
      </c>
      <c r="R161" s="41" t="str">
        <f t="shared" si="17"/>
        <v>-</v>
      </c>
    </row>
    <row r="162" spans="1:18" x14ac:dyDescent="0.3">
      <c r="A162" s="26">
        <v>1642</v>
      </c>
      <c r="B162" s="15">
        <v>88395016424</v>
      </c>
      <c r="C162" s="17" t="s">
        <v>160</v>
      </c>
      <c r="D162" s="29"/>
      <c r="E162" s="29"/>
      <c r="F162" s="21">
        <v>0.45300000000000001</v>
      </c>
      <c r="G162" s="21"/>
      <c r="H162" s="19">
        <v>39.623850000000004</v>
      </c>
      <c r="I162" s="23"/>
      <c r="J162" s="19">
        <f t="shared" si="12"/>
        <v>0</v>
      </c>
      <c r="M162" s="39" t="str">
        <f t="shared" si="13"/>
        <v>-</v>
      </c>
      <c r="N162" s="39" t="str">
        <f t="shared" si="14"/>
        <v>-</v>
      </c>
      <c r="O162" s="40" t="str">
        <f t="shared" si="15"/>
        <v>-</v>
      </c>
      <c r="P162" s="41" t="str">
        <f t="shared" si="16"/>
        <v>-</v>
      </c>
      <c r="R162" s="41" t="str">
        <f t="shared" si="17"/>
        <v>-</v>
      </c>
    </row>
    <row r="163" spans="1:18" x14ac:dyDescent="0.3">
      <c r="A163" s="26">
        <v>1644</v>
      </c>
      <c r="B163" s="15">
        <v>88395016448</v>
      </c>
      <c r="C163" s="17" t="s">
        <v>161</v>
      </c>
      <c r="D163" s="29"/>
      <c r="E163" s="29"/>
      <c r="F163" s="21">
        <v>0.29445000000000005</v>
      </c>
      <c r="G163" s="21"/>
      <c r="H163" s="19">
        <v>26.393850000000008</v>
      </c>
      <c r="I163" s="23"/>
      <c r="J163" s="19">
        <f t="shared" si="12"/>
        <v>0</v>
      </c>
      <c r="M163" s="39" t="str">
        <f t="shared" si="13"/>
        <v>-</v>
      </c>
      <c r="N163" s="39" t="str">
        <f t="shared" si="14"/>
        <v>-</v>
      </c>
      <c r="O163" s="40" t="str">
        <f t="shared" si="15"/>
        <v>-</v>
      </c>
      <c r="P163" s="41" t="str">
        <f t="shared" si="16"/>
        <v>-</v>
      </c>
      <c r="R163" s="41" t="str">
        <f t="shared" si="17"/>
        <v>-</v>
      </c>
    </row>
    <row r="164" spans="1:18" x14ac:dyDescent="0.3">
      <c r="A164" s="26">
        <v>1650</v>
      </c>
      <c r="B164" s="15">
        <v>88395016509</v>
      </c>
      <c r="C164" s="17" t="s">
        <v>162</v>
      </c>
      <c r="D164" s="29"/>
      <c r="E164" s="29"/>
      <c r="F164" s="21">
        <v>0.39863999999999999</v>
      </c>
      <c r="G164" s="21"/>
      <c r="H164" s="19">
        <v>23.086350000000003</v>
      </c>
      <c r="I164" s="23"/>
      <c r="J164" s="19">
        <f t="shared" si="12"/>
        <v>0</v>
      </c>
      <c r="M164" s="39" t="str">
        <f t="shared" si="13"/>
        <v>-</v>
      </c>
      <c r="N164" s="39" t="str">
        <f t="shared" si="14"/>
        <v>-</v>
      </c>
      <c r="O164" s="40" t="str">
        <f t="shared" si="15"/>
        <v>-</v>
      </c>
      <c r="P164" s="41" t="str">
        <f t="shared" si="16"/>
        <v>-</v>
      </c>
      <c r="R164" s="41" t="str">
        <f t="shared" si="17"/>
        <v>-</v>
      </c>
    </row>
    <row r="165" spans="1:18" x14ac:dyDescent="0.3">
      <c r="A165" s="26">
        <v>1653</v>
      </c>
      <c r="B165" s="15">
        <v>88395016530</v>
      </c>
      <c r="C165" s="17" t="s">
        <v>163</v>
      </c>
      <c r="D165" s="29"/>
      <c r="E165" s="29"/>
      <c r="F165" s="21">
        <v>0.40770000000000001</v>
      </c>
      <c r="G165" s="21"/>
      <c r="H165" s="19">
        <v>23.086350000000003</v>
      </c>
      <c r="I165" s="23"/>
      <c r="J165" s="19">
        <f t="shared" si="12"/>
        <v>0</v>
      </c>
      <c r="M165" s="39" t="str">
        <f t="shared" si="13"/>
        <v>-</v>
      </c>
      <c r="N165" s="39" t="str">
        <f t="shared" si="14"/>
        <v>-</v>
      </c>
      <c r="O165" s="40" t="str">
        <f t="shared" si="15"/>
        <v>-</v>
      </c>
      <c r="P165" s="41" t="str">
        <f t="shared" si="16"/>
        <v>-</v>
      </c>
      <c r="R165" s="41" t="str">
        <f t="shared" si="17"/>
        <v>-</v>
      </c>
    </row>
    <row r="166" spans="1:18" x14ac:dyDescent="0.3">
      <c r="A166" s="26">
        <v>1654</v>
      </c>
      <c r="B166" s="15">
        <v>88395165405</v>
      </c>
      <c r="C166" s="17" t="s">
        <v>164</v>
      </c>
      <c r="D166" s="29"/>
      <c r="E166" s="29"/>
      <c r="F166" s="21">
        <v>0.90600000000000003</v>
      </c>
      <c r="G166" s="21"/>
      <c r="H166" s="19">
        <v>46.238849999999999</v>
      </c>
      <c r="I166" s="23"/>
      <c r="J166" s="19">
        <f t="shared" si="12"/>
        <v>0</v>
      </c>
      <c r="M166" s="39" t="str">
        <f t="shared" si="13"/>
        <v>-</v>
      </c>
      <c r="N166" s="39" t="str">
        <f t="shared" si="14"/>
        <v>-</v>
      </c>
      <c r="O166" s="40" t="str">
        <f t="shared" si="15"/>
        <v>-</v>
      </c>
      <c r="P166" s="41" t="str">
        <f t="shared" si="16"/>
        <v>-</v>
      </c>
      <c r="R166" s="41" t="str">
        <f t="shared" si="17"/>
        <v>-</v>
      </c>
    </row>
    <row r="167" spans="1:18" x14ac:dyDescent="0.3">
      <c r="A167" s="26">
        <v>1655</v>
      </c>
      <c r="B167" s="15">
        <v>88395016554</v>
      </c>
      <c r="C167" s="17" t="s">
        <v>165</v>
      </c>
      <c r="D167" s="29"/>
      <c r="E167" s="29"/>
      <c r="F167" s="21">
        <v>0.90600000000000003</v>
      </c>
      <c r="G167" s="21"/>
      <c r="H167" s="19">
        <v>46.238849999999999</v>
      </c>
      <c r="I167" s="23"/>
      <c r="J167" s="19">
        <f t="shared" si="12"/>
        <v>0</v>
      </c>
      <c r="M167" s="39" t="str">
        <f t="shared" si="13"/>
        <v>-</v>
      </c>
      <c r="N167" s="39" t="str">
        <f t="shared" si="14"/>
        <v>-</v>
      </c>
      <c r="O167" s="40" t="str">
        <f t="shared" si="15"/>
        <v>-</v>
      </c>
      <c r="P167" s="41" t="str">
        <f t="shared" si="16"/>
        <v>-</v>
      </c>
      <c r="R167" s="41" t="str">
        <f t="shared" si="17"/>
        <v>-</v>
      </c>
    </row>
    <row r="168" spans="1:18" x14ac:dyDescent="0.3">
      <c r="A168" s="26">
        <v>1673</v>
      </c>
      <c r="B168" s="15">
        <v>88395016738</v>
      </c>
      <c r="C168" s="17" t="s">
        <v>461</v>
      </c>
      <c r="D168" s="29"/>
      <c r="E168" s="29"/>
      <c r="F168" s="21">
        <v>0.13589999999999999</v>
      </c>
      <c r="G168" s="21"/>
      <c r="H168" s="19">
        <v>26.393850000000008</v>
      </c>
      <c r="I168" s="23"/>
      <c r="J168" s="19">
        <f t="shared" si="12"/>
        <v>0</v>
      </c>
      <c r="M168" s="39" t="str">
        <f t="shared" si="13"/>
        <v>-</v>
      </c>
      <c r="N168" s="39" t="str">
        <f t="shared" si="14"/>
        <v>-</v>
      </c>
      <c r="O168" s="40" t="str">
        <f t="shared" si="15"/>
        <v>-</v>
      </c>
      <c r="P168" s="41" t="str">
        <f t="shared" si="16"/>
        <v>-</v>
      </c>
      <c r="R168" s="41" t="str">
        <f t="shared" si="17"/>
        <v>-</v>
      </c>
    </row>
    <row r="169" spans="1:18" x14ac:dyDescent="0.3">
      <c r="A169" s="26">
        <v>1676</v>
      </c>
      <c r="B169" s="15">
        <v>88395016769</v>
      </c>
      <c r="C169" s="17" t="s">
        <v>462</v>
      </c>
      <c r="D169" s="29"/>
      <c r="E169" s="29"/>
      <c r="F169" s="21">
        <v>0.24915000000000004</v>
      </c>
      <c r="G169" s="21"/>
      <c r="H169" s="19">
        <v>49.612500000000004</v>
      </c>
      <c r="I169" s="23"/>
      <c r="J169" s="19">
        <f t="shared" si="12"/>
        <v>0</v>
      </c>
      <c r="M169" s="39" t="str">
        <f t="shared" si="13"/>
        <v>-</v>
      </c>
      <c r="N169" s="39" t="str">
        <f t="shared" si="14"/>
        <v>-</v>
      </c>
      <c r="O169" s="40" t="str">
        <f t="shared" si="15"/>
        <v>-</v>
      </c>
      <c r="P169" s="41" t="str">
        <f t="shared" si="16"/>
        <v>-</v>
      </c>
      <c r="R169" s="41" t="str">
        <f t="shared" si="17"/>
        <v>-</v>
      </c>
    </row>
    <row r="170" spans="1:18" x14ac:dyDescent="0.3">
      <c r="A170" s="26">
        <v>1681</v>
      </c>
      <c r="B170" s="15">
        <v>88395016813</v>
      </c>
      <c r="C170" s="17" t="s">
        <v>166</v>
      </c>
      <c r="D170" s="29"/>
      <c r="E170" s="29"/>
      <c r="F170" s="21">
        <v>0.24915000000000004</v>
      </c>
      <c r="G170" s="21"/>
      <c r="H170" s="19">
        <v>62.776350000000008</v>
      </c>
      <c r="I170" s="23"/>
      <c r="J170" s="19">
        <f t="shared" si="12"/>
        <v>0</v>
      </c>
      <c r="M170" s="39" t="str">
        <f t="shared" si="13"/>
        <v>-</v>
      </c>
      <c r="N170" s="39" t="str">
        <f t="shared" si="14"/>
        <v>-</v>
      </c>
      <c r="O170" s="40" t="str">
        <f t="shared" si="15"/>
        <v>-</v>
      </c>
      <c r="P170" s="41" t="str">
        <f t="shared" si="16"/>
        <v>-</v>
      </c>
      <c r="R170" s="41" t="str">
        <f t="shared" si="17"/>
        <v>-</v>
      </c>
    </row>
    <row r="171" spans="1:18" x14ac:dyDescent="0.3">
      <c r="A171" s="26">
        <v>1686</v>
      </c>
      <c r="B171" s="15">
        <v>88395016868</v>
      </c>
      <c r="C171" s="17" t="s">
        <v>167</v>
      </c>
      <c r="D171" s="29"/>
      <c r="E171" s="29"/>
      <c r="F171" s="21">
        <v>0.13589999999999999</v>
      </c>
      <c r="G171" s="21"/>
      <c r="H171" s="19">
        <v>32.744250000000001</v>
      </c>
      <c r="I171" s="23"/>
      <c r="J171" s="19">
        <f t="shared" si="12"/>
        <v>0</v>
      </c>
      <c r="M171" s="39" t="str">
        <f t="shared" si="13"/>
        <v>-</v>
      </c>
      <c r="N171" s="39" t="str">
        <f t="shared" si="14"/>
        <v>-</v>
      </c>
      <c r="O171" s="40" t="str">
        <f t="shared" si="15"/>
        <v>-</v>
      </c>
      <c r="P171" s="41" t="str">
        <f t="shared" si="16"/>
        <v>-</v>
      </c>
      <c r="R171" s="41" t="str">
        <f t="shared" si="17"/>
        <v>-</v>
      </c>
    </row>
    <row r="172" spans="1:18" x14ac:dyDescent="0.3">
      <c r="A172" s="26">
        <v>1690</v>
      </c>
      <c r="B172" s="15">
        <v>88395169007</v>
      </c>
      <c r="C172" s="17" t="s">
        <v>168</v>
      </c>
      <c r="D172" s="29"/>
      <c r="E172" s="29"/>
      <c r="F172" s="21">
        <v>7.7010000000000009E-2</v>
      </c>
      <c r="G172" s="21"/>
      <c r="H172" s="19">
        <v>20.6388</v>
      </c>
      <c r="I172" s="23"/>
      <c r="J172" s="19">
        <f t="shared" si="12"/>
        <v>0</v>
      </c>
      <c r="M172" s="39" t="str">
        <f t="shared" si="13"/>
        <v>-</v>
      </c>
      <c r="N172" s="39" t="str">
        <f t="shared" si="14"/>
        <v>-</v>
      </c>
      <c r="O172" s="40" t="str">
        <f t="shared" si="15"/>
        <v>-</v>
      </c>
      <c r="P172" s="41" t="str">
        <f t="shared" si="16"/>
        <v>-</v>
      </c>
      <c r="R172" s="41" t="str">
        <f t="shared" si="17"/>
        <v>-</v>
      </c>
    </row>
    <row r="173" spans="1:18" x14ac:dyDescent="0.3">
      <c r="A173" s="26">
        <v>1691</v>
      </c>
      <c r="B173" s="15">
        <v>88395169106</v>
      </c>
      <c r="C173" s="17" t="s">
        <v>169</v>
      </c>
      <c r="D173" s="29"/>
      <c r="E173" s="29"/>
      <c r="F173" s="21">
        <v>0.13589999999999999</v>
      </c>
      <c r="G173" s="21"/>
      <c r="H173" s="19">
        <v>39.623850000000004</v>
      </c>
      <c r="I173" s="23"/>
      <c r="J173" s="19">
        <f t="shared" si="12"/>
        <v>0</v>
      </c>
      <c r="M173" s="39" t="str">
        <f t="shared" si="13"/>
        <v>-</v>
      </c>
      <c r="N173" s="39" t="str">
        <f t="shared" si="14"/>
        <v>-</v>
      </c>
      <c r="O173" s="40" t="str">
        <f t="shared" si="15"/>
        <v>-</v>
      </c>
      <c r="P173" s="41" t="str">
        <f t="shared" si="16"/>
        <v>-</v>
      </c>
      <c r="R173" s="41" t="str">
        <f t="shared" si="17"/>
        <v>-</v>
      </c>
    </row>
    <row r="174" spans="1:18" x14ac:dyDescent="0.3">
      <c r="A174" s="26">
        <v>1693</v>
      </c>
      <c r="B174" s="15">
        <v>88395169304</v>
      </c>
      <c r="C174" s="17" t="s">
        <v>170</v>
      </c>
      <c r="D174" s="29"/>
      <c r="E174" s="29"/>
      <c r="F174" s="21">
        <v>0.25821</v>
      </c>
      <c r="G174" s="21"/>
      <c r="H174" s="19">
        <v>76.733999999999995</v>
      </c>
      <c r="I174" s="23"/>
      <c r="J174" s="19">
        <f t="shared" si="12"/>
        <v>0</v>
      </c>
      <c r="M174" s="39" t="str">
        <f t="shared" si="13"/>
        <v>-</v>
      </c>
      <c r="N174" s="39" t="str">
        <f t="shared" si="14"/>
        <v>-</v>
      </c>
      <c r="O174" s="40" t="str">
        <f t="shared" si="15"/>
        <v>-</v>
      </c>
      <c r="P174" s="41" t="str">
        <f t="shared" si="16"/>
        <v>-</v>
      </c>
      <c r="R174" s="41" t="str">
        <f t="shared" si="17"/>
        <v>-</v>
      </c>
    </row>
    <row r="175" spans="1:18" x14ac:dyDescent="0.3">
      <c r="A175" s="26">
        <v>1701</v>
      </c>
      <c r="B175" s="15">
        <v>88395017018</v>
      </c>
      <c r="C175" s="17" t="s">
        <v>171</v>
      </c>
      <c r="D175" s="29"/>
      <c r="E175" s="29"/>
      <c r="F175" s="21">
        <v>0.25821</v>
      </c>
      <c r="G175" s="21"/>
      <c r="H175" s="19">
        <v>26.393850000000008</v>
      </c>
      <c r="I175" s="23"/>
      <c r="J175" s="19">
        <f t="shared" si="12"/>
        <v>0</v>
      </c>
      <c r="M175" s="39" t="str">
        <f t="shared" si="13"/>
        <v>-</v>
      </c>
      <c r="N175" s="39" t="str">
        <f t="shared" si="14"/>
        <v>-</v>
      </c>
      <c r="O175" s="40" t="str">
        <f t="shared" si="15"/>
        <v>-</v>
      </c>
      <c r="P175" s="41" t="str">
        <f t="shared" si="16"/>
        <v>-</v>
      </c>
      <c r="R175" s="41" t="str">
        <f t="shared" si="17"/>
        <v>-</v>
      </c>
    </row>
    <row r="176" spans="1:18" x14ac:dyDescent="0.3">
      <c r="A176" s="26">
        <v>1711</v>
      </c>
      <c r="B176" s="15">
        <v>88395017117</v>
      </c>
      <c r="C176" s="17" t="s">
        <v>172</v>
      </c>
      <c r="D176" s="29"/>
      <c r="E176" s="29"/>
      <c r="F176" s="21">
        <v>0.20385</v>
      </c>
      <c r="G176" s="21"/>
      <c r="H176" s="19">
        <v>33.008849999999995</v>
      </c>
      <c r="I176" s="23"/>
      <c r="J176" s="19">
        <f t="shared" si="12"/>
        <v>0</v>
      </c>
      <c r="M176" s="39" t="str">
        <f t="shared" si="13"/>
        <v>-</v>
      </c>
      <c r="N176" s="39" t="str">
        <f t="shared" si="14"/>
        <v>-</v>
      </c>
      <c r="O176" s="40" t="str">
        <f t="shared" si="15"/>
        <v>-</v>
      </c>
      <c r="P176" s="41" t="str">
        <f t="shared" si="16"/>
        <v>-</v>
      </c>
      <c r="R176" s="41" t="str">
        <f t="shared" si="17"/>
        <v>-</v>
      </c>
    </row>
    <row r="177" spans="1:18" x14ac:dyDescent="0.3">
      <c r="A177" s="26">
        <v>1712</v>
      </c>
      <c r="B177" s="15">
        <v>88395017124</v>
      </c>
      <c r="C177" s="17" t="s">
        <v>173</v>
      </c>
      <c r="D177" s="29"/>
      <c r="E177" s="29"/>
      <c r="F177" s="21">
        <v>0.38505</v>
      </c>
      <c r="G177" s="21"/>
      <c r="H177" s="19">
        <v>48.223350000000011</v>
      </c>
      <c r="I177" s="23"/>
      <c r="J177" s="19">
        <f t="shared" si="12"/>
        <v>0</v>
      </c>
      <c r="M177" s="39" t="str">
        <f t="shared" si="13"/>
        <v>-</v>
      </c>
      <c r="N177" s="39" t="str">
        <f t="shared" si="14"/>
        <v>-</v>
      </c>
      <c r="O177" s="40" t="str">
        <f t="shared" si="15"/>
        <v>-</v>
      </c>
      <c r="P177" s="41" t="str">
        <f t="shared" si="16"/>
        <v>-</v>
      </c>
      <c r="R177" s="41" t="str">
        <f t="shared" si="17"/>
        <v>-</v>
      </c>
    </row>
    <row r="178" spans="1:18" x14ac:dyDescent="0.3">
      <c r="A178" s="26">
        <v>1713</v>
      </c>
      <c r="B178" s="15">
        <v>88395017131</v>
      </c>
      <c r="C178" s="17" t="s">
        <v>174</v>
      </c>
      <c r="D178" s="29"/>
      <c r="E178" s="29"/>
      <c r="F178" s="21">
        <v>0.49830000000000008</v>
      </c>
      <c r="G178" s="21"/>
      <c r="H178" s="19">
        <v>62.18099999999999</v>
      </c>
      <c r="I178" s="23"/>
      <c r="J178" s="19">
        <f t="shared" si="12"/>
        <v>0</v>
      </c>
      <c r="M178" s="39" t="str">
        <f t="shared" si="13"/>
        <v>-</v>
      </c>
      <c r="N178" s="39" t="str">
        <f t="shared" si="14"/>
        <v>-</v>
      </c>
      <c r="O178" s="40" t="str">
        <f t="shared" si="15"/>
        <v>-</v>
      </c>
      <c r="P178" s="41" t="str">
        <f t="shared" si="16"/>
        <v>-</v>
      </c>
      <c r="R178" s="41" t="str">
        <f t="shared" si="17"/>
        <v>-</v>
      </c>
    </row>
    <row r="179" spans="1:18" x14ac:dyDescent="0.3">
      <c r="A179" s="26">
        <v>1714</v>
      </c>
      <c r="B179" s="15">
        <v>88395017148</v>
      </c>
      <c r="C179" s="17" t="s">
        <v>175</v>
      </c>
      <c r="D179" s="29"/>
      <c r="E179" s="29"/>
      <c r="F179" s="21">
        <v>0.29445000000000005</v>
      </c>
      <c r="G179" s="21"/>
      <c r="H179" s="19">
        <v>33.008849999999995</v>
      </c>
      <c r="I179" s="23"/>
      <c r="J179" s="19">
        <f t="shared" si="12"/>
        <v>0</v>
      </c>
      <c r="M179" s="39" t="str">
        <f t="shared" si="13"/>
        <v>-</v>
      </c>
      <c r="N179" s="39" t="str">
        <f t="shared" si="14"/>
        <v>-</v>
      </c>
      <c r="O179" s="40" t="str">
        <f t="shared" si="15"/>
        <v>-</v>
      </c>
      <c r="P179" s="41" t="str">
        <f t="shared" si="16"/>
        <v>-</v>
      </c>
      <c r="R179" s="41" t="str">
        <f t="shared" si="17"/>
        <v>-</v>
      </c>
    </row>
    <row r="180" spans="1:18" x14ac:dyDescent="0.3">
      <c r="A180" s="26">
        <v>1716</v>
      </c>
      <c r="B180" s="15">
        <v>88395017162</v>
      </c>
      <c r="C180" s="17" t="s">
        <v>176</v>
      </c>
      <c r="D180" s="29"/>
      <c r="E180" s="29"/>
      <c r="F180" s="21">
        <v>0.13589999999999999</v>
      </c>
      <c r="G180" s="21"/>
      <c r="H180" s="19">
        <v>18.654300000000003</v>
      </c>
      <c r="I180" s="23"/>
      <c r="J180" s="19">
        <f t="shared" si="12"/>
        <v>0</v>
      </c>
      <c r="M180" s="39" t="str">
        <f t="shared" si="13"/>
        <v>-</v>
      </c>
      <c r="N180" s="39" t="str">
        <f t="shared" si="14"/>
        <v>-</v>
      </c>
      <c r="O180" s="40" t="str">
        <f t="shared" si="15"/>
        <v>-</v>
      </c>
      <c r="P180" s="41" t="str">
        <f t="shared" si="16"/>
        <v>-</v>
      </c>
      <c r="R180" s="41" t="str">
        <f t="shared" si="17"/>
        <v>-</v>
      </c>
    </row>
    <row r="181" spans="1:18" x14ac:dyDescent="0.3">
      <c r="A181" s="26">
        <v>1720</v>
      </c>
      <c r="B181" s="15">
        <v>88395172007</v>
      </c>
      <c r="C181" s="17" t="s">
        <v>177</v>
      </c>
      <c r="D181" s="29"/>
      <c r="E181" s="29"/>
      <c r="F181" s="21">
        <v>0.14043</v>
      </c>
      <c r="G181" s="21"/>
      <c r="H181" s="19">
        <v>26.393850000000008</v>
      </c>
      <c r="I181" s="23"/>
      <c r="J181" s="19">
        <f t="shared" si="12"/>
        <v>0</v>
      </c>
      <c r="M181" s="39" t="str">
        <f t="shared" si="13"/>
        <v>-</v>
      </c>
      <c r="N181" s="39" t="str">
        <f t="shared" si="14"/>
        <v>-</v>
      </c>
      <c r="O181" s="40" t="str">
        <f t="shared" si="15"/>
        <v>-</v>
      </c>
      <c r="P181" s="41" t="str">
        <f t="shared" si="16"/>
        <v>-</v>
      </c>
      <c r="R181" s="41" t="str">
        <f t="shared" si="17"/>
        <v>-</v>
      </c>
    </row>
    <row r="182" spans="1:18" x14ac:dyDescent="0.3">
      <c r="A182" s="26">
        <v>1721</v>
      </c>
      <c r="B182" s="15">
        <v>88395172106</v>
      </c>
      <c r="C182" s="17" t="s">
        <v>178</v>
      </c>
      <c r="D182" s="29"/>
      <c r="E182" s="29"/>
      <c r="F182" s="21">
        <v>0.21743999999999999</v>
      </c>
      <c r="G182" s="21"/>
      <c r="H182" s="19">
        <v>50.869349999999997</v>
      </c>
      <c r="I182" s="23"/>
      <c r="J182" s="19">
        <f t="shared" si="12"/>
        <v>0</v>
      </c>
      <c r="M182" s="39" t="str">
        <f t="shared" si="13"/>
        <v>-</v>
      </c>
      <c r="N182" s="39" t="str">
        <f t="shared" si="14"/>
        <v>-</v>
      </c>
      <c r="O182" s="40" t="str">
        <f t="shared" si="15"/>
        <v>-</v>
      </c>
      <c r="P182" s="41" t="str">
        <f t="shared" si="16"/>
        <v>-</v>
      </c>
      <c r="R182" s="41" t="str">
        <f t="shared" si="17"/>
        <v>-</v>
      </c>
    </row>
    <row r="183" spans="1:18" x14ac:dyDescent="0.3">
      <c r="A183" s="26">
        <v>1722</v>
      </c>
      <c r="B183" s="15">
        <v>88395172205</v>
      </c>
      <c r="C183" s="17" t="s">
        <v>179</v>
      </c>
      <c r="D183" s="29"/>
      <c r="E183" s="29"/>
      <c r="F183" s="21">
        <v>0.40770000000000001</v>
      </c>
      <c r="G183" s="21"/>
      <c r="H183" s="19">
        <v>74.088000000000022</v>
      </c>
      <c r="I183" s="23"/>
      <c r="J183" s="19">
        <f t="shared" si="12"/>
        <v>0</v>
      </c>
      <c r="M183" s="39" t="str">
        <f t="shared" si="13"/>
        <v>-</v>
      </c>
      <c r="N183" s="39" t="str">
        <f t="shared" si="14"/>
        <v>-</v>
      </c>
      <c r="O183" s="40" t="str">
        <f t="shared" si="15"/>
        <v>-</v>
      </c>
      <c r="P183" s="41" t="str">
        <f t="shared" si="16"/>
        <v>-</v>
      </c>
      <c r="R183" s="41" t="str">
        <f t="shared" si="17"/>
        <v>-</v>
      </c>
    </row>
    <row r="184" spans="1:18" x14ac:dyDescent="0.3">
      <c r="A184" s="26">
        <v>1724</v>
      </c>
      <c r="B184" s="15">
        <v>88395172403</v>
      </c>
      <c r="C184" s="17" t="s">
        <v>180</v>
      </c>
      <c r="D184" s="29"/>
      <c r="E184" s="29"/>
      <c r="F184" s="21">
        <v>0.29898000000000002</v>
      </c>
      <c r="G184" s="21"/>
      <c r="H184" s="19">
        <v>50.869349999999997</v>
      </c>
      <c r="I184" s="23"/>
      <c r="J184" s="19">
        <f t="shared" si="12"/>
        <v>0</v>
      </c>
      <c r="M184" s="39" t="str">
        <f t="shared" si="13"/>
        <v>-</v>
      </c>
      <c r="N184" s="39" t="str">
        <f t="shared" si="14"/>
        <v>-</v>
      </c>
      <c r="O184" s="40" t="str">
        <f t="shared" si="15"/>
        <v>-</v>
      </c>
      <c r="P184" s="41" t="str">
        <f t="shared" si="16"/>
        <v>-</v>
      </c>
      <c r="R184" s="41" t="str">
        <f t="shared" si="17"/>
        <v>-</v>
      </c>
    </row>
    <row r="185" spans="1:18" x14ac:dyDescent="0.3">
      <c r="A185" s="26">
        <v>1731</v>
      </c>
      <c r="B185" s="15">
        <v>88395017315</v>
      </c>
      <c r="C185" s="17" t="s">
        <v>181</v>
      </c>
      <c r="D185" s="29"/>
      <c r="E185" s="29"/>
      <c r="F185" s="21">
        <v>0.20385</v>
      </c>
      <c r="G185" s="21"/>
      <c r="H185" s="19">
        <v>27.915299999999998</v>
      </c>
      <c r="I185" s="23"/>
      <c r="J185" s="19">
        <f t="shared" si="12"/>
        <v>0</v>
      </c>
      <c r="M185" s="39" t="str">
        <f t="shared" si="13"/>
        <v>-</v>
      </c>
      <c r="N185" s="39" t="str">
        <f t="shared" si="14"/>
        <v>-</v>
      </c>
      <c r="O185" s="40" t="str">
        <f t="shared" si="15"/>
        <v>-</v>
      </c>
      <c r="P185" s="41" t="str">
        <f t="shared" si="16"/>
        <v>-</v>
      </c>
      <c r="R185" s="41" t="str">
        <f t="shared" si="17"/>
        <v>-</v>
      </c>
    </row>
    <row r="186" spans="1:18" x14ac:dyDescent="0.3">
      <c r="A186" s="26">
        <v>1733</v>
      </c>
      <c r="B186" s="15">
        <v>88395017339</v>
      </c>
      <c r="C186" s="17" t="s">
        <v>182</v>
      </c>
      <c r="D186" s="29"/>
      <c r="E186" s="29"/>
      <c r="F186" s="21">
        <v>0.40770000000000001</v>
      </c>
      <c r="G186" s="21"/>
      <c r="H186" s="19">
        <v>52.92</v>
      </c>
      <c r="I186" s="23"/>
      <c r="J186" s="19">
        <f t="shared" si="12"/>
        <v>0</v>
      </c>
      <c r="M186" s="39" t="str">
        <f t="shared" si="13"/>
        <v>-</v>
      </c>
      <c r="N186" s="39" t="str">
        <f t="shared" si="14"/>
        <v>-</v>
      </c>
      <c r="O186" s="40" t="str">
        <f t="shared" si="15"/>
        <v>-</v>
      </c>
      <c r="P186" s="41" t="str">
        <f t="shared" si="16"/>
        <v>-</v>
      </c>
      <c r="R186" s="41" t="str">
        <f t="shared" si="17"/>
        <v>-</v>
      </c>
    </row>
    <row r="187" spans="1:18" x14ac:dyDescent="0.3">
      <c r="A187" s="26">
        <v>1751</v>
      </c>
      <c r="B187" s="15">
        <v>88395175107</v>
      </c>
      <c r="C187" s="17" t="s">
        <v>183</v>
      </c>
      <c r="D187" s="29"/>
      <c r="E187" s="29"/>
      <c r="F187" s="21">
        <v>0.12231000000000002</v>
      </c>
      <c r="G187" s="21"/>
      <c r="H187" s="19">
        <v>37.63935</v>
      </c>
      <c r="I187" s="23"/>
      <c r="J187" s="19">
        <f t="shared" si="12"/>
        <v>0</v>
      </c>
      <c r="M187" s="39" t="str">
        <f t="shared" si="13"/>
        <v>-</v>
      </c>
      <c r="N187" s="39" t="str">
        <f t="shared" si="14"/>
        <v>-</v>
      </c>
      <c r="O187" s="40" t="str">
        <f t="shared" si="15"/>
        <v>-</v>
      </c>
      <c r="P187" s="41" t="str">
        <f t="shared" si="16"/>
        <v>-</v>
      </c>
      <c r="R187" s="41" t="str">
        <f t="shared" si="17"/>
        <v>-</v>
      </c>
    </row>
    <row r="188" spans="1:18" x14ac:dyDescent="0.3">
      <c r="A188" s="26">
        <v>1752</v>
      </c>
      <c r="B188" s="15">
        <v>88395175206</v>
      </c>
      <c r="C188" s="17" t="s">
        <v>184</v>
      </c>
      <c r="D188" s="29"/>
      <c r="E188" s="29"/>
      <c r="F188" s="21">
        <v>0.34428000000000003</v>
      </c>
      <c r="G188" s="21"/>
      <c r="H188" s="19">
        <v>72.765000000000015</v>
      </c>
      <c r="I188" s="23"/>
      <c r="J188" s="19">
        <f t="shared" si="12"/>
        <v>0</v>
      </c>
      <c r="M188" s="39" t="str">
        <f t="shared" si="13"/>
        <v>-</v>
      </c>
      <c r="N188" s="39" t="str">
        <f t="shared" si="14"/>
        <v>-</v>
      </c>
      <c r="O188" s="40" t="str">
        <f t="shared" si="15"/>
        <v>-</v>
      </c>
      <c r="P188" s="41" t="str">
        <f t="shared" si="16"/>
        <v>-</v>
      </c>
      <c r="R188" s="41" t="str">
        <f t="shared" si="17"/>
        <v>-</v>
      </c>
    </row>
    <row r="189" spans="1:18" x14ac:dyDescent="0.3">
      <c r="A189" s="26">
        <v>1754</v>
      </c>
      <c r="B189" s="15">
        <v>88395175404</v>
      </c>
      <c r="C189" s="17" t="s">
        <v>185</v>
      </c>
      <c r="D189" s="29"/>
      <c r="E189" s="29"/>
      <c r="F189" s="21">
        <v>0.19478999999999999</v>
      </c>
      <c r="G189" s="21"/>
      <c r="H189" s="19">
        <v>37.63935</v>
      </c>
      <c r="I189" s="23"/>
      <c r="J189" s="19">
        <f t="shared" si="12"/>
        <v>0</v>
      </c>
      <c r="M189" s="39" t="str">
        <f t="shared" si="13"/>
        <v>-</v>
      </c>
      <c r="N189" s="39" t="str">
        <f t="shared" si="14"/>
        <v>-</v>
      </c>
      <c r="O189" s="40" t="str">
        <f t="shared" si="15"/>
        <v>-</v>
      </c>
      <c r="P189" s="41" t="str">
        <f t="shared" si="16"/>
        <v>-</v>
      </c>
      <c r="R189" s="41" t="str">
        <f t="shared" si="17"/>
        <v>-</v>
      </c>
    </row>
    <row r="190" spans="1:18" x14ac:dyDescent="0.3">
      <c r="A190" s="26">
        <v>1760</v>
      </c>
      <c r="B190" s="15">
        <v>88395176005</v>
      </c>
      <c r="C190" s="17" t="s">
        <v>186</v>
      </c>
      <c r="D190" s="29"/>
      <c r="E190" s="29"/>
      <c r="F190" s="21">
        <v>0.13136999999999999</v>
      </c>
      <c r="G190" s="21"/>
      <c r="H190" s="19">
        <v>14.222250000000001</v>
      </c>
      <c r="I190" s="23"/>
      <c r="J190" s="19">
        <f t="shared" si="12"/>
        <v>0</v>
      </c>
      <c r="M190" s="39" t="str">
        <f t="shared" si="13"/>
        <v>-</v>
      </c>
      <c r="N190" s="39" t="str">
        <f t="shared" si="14"/>
        <v>-</v>
      </c>
      <c r="O190" s="40" t="str">
        <f t="shared" si="15"/>
        <v>-</v>
      </c>
      <c r="P190" s="41" t="str">
        <f t="shared" si="16"/>
        <v>-</v>
      </c>
      <c r="R190" s="41" t="str">
        <f t="shared" si="17"/>
        <v>-</v>
      </c>
    </row>
    <row r="191" spans="1:18" x14ac:dyDescent="0.3">
      <c r="A191" s="26">
        <v>1761</v>
      </c>
      <c r="B191" s="15">
        <v>88395176104</v>
      </c>
      <c r="C191" s="17" t="s">
        <v>187</v>
      </c>
      <c r="D191" s="29"/>
      <c r="E191" s="29"/>
      <c r="F191" s="21">
        <v>0.25368000000000002</v>
      </c>
      <c r="G191" s="21"/>
      <c r="H191" s="19">
        <v>28.047599999999999</v>
      </c>
      <c r="I191" s="23"/>
      <c r="J191" s="19">
        <f t="shared" si="12"/>
        <v>0</v>
      </c>
      <c r="M191" s="39" t="str">
        <f t="shared" si="13"/>
        <v>-</v>
      </c>
      <c r="N191" s="39" t="str">
        <f t="shared" si="14"/>
        <v>-</v>
      </c>
      <c r="O191" s="40" t="str">
        <f t="shared" si="15"/>
        <v>-</v>
      </c>
      <c r="P191" s="41" t="str">
        <f t="shared" si="16"/>
        <v>-</v>
      </c>
      <c r="R191" s="41" t="str">
        <f t="shared" si="17"/>
        <v>-</v>
      </c>
    </row>
    <row r="192" spans="1:18" x14ac:dyDescent="0.3">
      <c r="A192" s="26">
        <v>1764</v>
      </c>
      <c r="B192" s="15">
        <v>88395176401</v>
      </c>
      <c r="C192" s="17" t="s">
        <v>188</v>
      </c>
      <c r="D192" s="29"/>
      <c r="E192" s="29"/>
      <c r="F192" s="21">
        <v>0.32616000000000001</v>
      </c>
      <c r="G192" s="21"/>
      <c r="H192" s="19">
        <v>28.047599999999999</v>
      </c>
      <c r="I192" s="23"/>
      <c r="J192" s="19">
        <f t="shared" si="12"/>
        <v>0</v>
      </c>
      <c r="M192" s="39" t="str">
        <f t="shared" si="13"/>
        <v>-</v>
      </c>
      <c r="N192" s="39" t="str">
        <f t="shared" si="14"/>
        <v>-</v>
      </c>
      <c r="O192" s="40" t="str">
        <f t="shared" si="15"/>
        <v>-</v>
      </c>
      <c r="P192" s="41" t="str">
        <f t="shared" si="16"/>
        <v>-</v>
      </c>
      <c r="R192" s="41" t="str">
        <f t="shared" si="17"/>
        <v>-</v>
      </c>
    </row>
    <row r="193" spans="1:18" x14ac:dyDescent="0.3">
      <c r="A193" s="26">
        <v>1770</v>
      </c>
      <c r="B193" s="15">
        <v>88395177002</v>
      </c>
      <c r="C193" s="17" t="s">
        <v>189</v>
      </c>
      <c r="D193" s="29"/>
      <c r="E193" s="29"/>
      <c r="F193" s="21">
        <v>0.39863999999999999</v>
      </c>
      <c r="G193" s="21"/>
      <c r="H193" s="19">
        <v>19.778849999999998</v>
      </c>
      <c r="I193" s="23"/>
      <c r="J193" s="19">
        <f t="shared" si="12"/>
        <v>0</v>
      </c>
      <c r="M193" s="39" t="str">
        <f t="shared" si="13"/>
        <v>-</v>
      </c>
      <c r="N193" s="39" t="str">
        <f t="shared" si="14"/>
        <v>-</v>
      </c>
      <c r="O193" s="40" t="str">
        <f t="shared" si="15"/>
        <v>-</v>
      </c>
      <c r="P193" s="41" t="str">
        <f t="shared" si="16"/>
        <v>-</v>
      </c>
      <c r="R193" s="41" t="str">
        <f t="shared" si="17"/>
        <v>-</v>
      </c>
    </row>
    <row r="194" spans="1:18" x14ac:dyDescent="0.3">
      <c r="A194" s="26">
        <v>1775</v>
      </c>
      <c r="B194" s="15">
        <v>88395177507</v>
      </c>
      <c r="C194" s="17" t="s">
        <v>190</v>
      </c>
      <c r="D194" s="29"/>
      <c r="E194" s="29"/>
      <c r="F194" s="21">
        <v>0.90600000000000003</v>
      </c>
      <c r="G194" s="21"/>
      <c r="H194" s="19">
        <v>36.31635</v>
      </c>
      <c r="I194" s="23"/>
      <c r="J194" s="19">
        <f t="shared" si="12"/>
        <v>0</v>
      </c>
      <c r="M194" s="39" t="str">
        <f t="shared" si="13"/>
        <v>-</v>
      </c>
      <c r="N194" s="39" t="str">
        <f t="shared" si="14"/>
        <v>-</v>
      </c>
      <c r="O194" s="40" t="str">
        <f t="shared" si="15"/>
        <v>-</v>
      </c>
      <c r="P194" s="41" t="str">
        <f t="shared" si="16"/>
        <v>-</v>
      </c>
      <c r="R194" s="41" t="str">
        <f t="shared" si="17"/>
        <v>-</v>
      </c>
    </row>
    <row r="195" spans="1:18" x14ac:dyDescent="0.3">
      <c r="A195" s="26">
        <v>1790</v>
      </c>
      <c r="B195" s="15">
        <v>88395179006</v>
      </c>
      <c r="C195" s="17" t="s">
        <v>191</v>
      </c>
      <c r="D195" s="29"/>
      <c r="E195" s="29"/>
      <c r="F195" s="21">
        <v>5.8890000000000005E-2</v>
      </c>
      <c r="G195" s="21"/>
      <c r="H195" s="19">
        <v>16.20675</v>
      </c>
      <c r="I195" s="23"/>
      <c r="J195" s="19">
        <f t="shared" ref="J195:J258" si="18">I195*H195</f>
        <v>0</v>
      </c>
      <c r="M195" s="39" t="str">
        <f t="shared" si="13"/>
        <v>-</v>
      </c>
      <c r="N195" s="39" t="str">
        <f t="shared" si="14"/>
        <v>-</v>
      </c>
      <c r="O195" s="40" t="str">
        <f t="shared" si="15"/>
        <v>-</v>
      </c>
      <c r="P195" s="41" t="str">
        <f t="shared" si="16"/>
        <v>-</v>
      </c>
      <c r="R195" s="41" t="str">
        <f t="shared" si="17"/>
        <v>-</v>
      </c>
    </row>
    <row r="196" spans="1:18" x14ac:dyDescent="0.3">
      <c r="A196" s="26">
        <v>1791</v>
      </c>
      <c r="B196" s="15">
        <v>88395179105</v>
      </c>
      <c r="C196" s="17" t="s">
        <v>191</v>
      </c>
      <c r="D196" s="29"/>
      <c r="E196" s="29"/>
      <c r="F196" s="21">
        <v>0.10419</v>
      </c>
      <c r="G196" s="21"/>
      <c r="H196" s="19">
        <v>31.685849999999999</v>
      </c>
      <c r="I196" s="23"/>
      <c r="J196" s="19">
        <f t="shared" si="18"/>
        <v>0</v>
      </c>
      <c r="M196" s="39" t="str">
        <f t="shared" ref="M196:M259" si="19">IFERROR(IF($M$2*F196=0, "-", $M$2*F196), "-")</f>
        <v>-</v>
      </c>
      <c r="N196" s="39" t="str">
        <f t="shared" ref="N196:N259" si="20">IF(I196&gt;0,H196+F196*I196/$O$2*$P$2/I196,"-")</f>
        <v>-</v>
      </c>
      <c r="O196" s="40" t="str">
        <f t="shared" ref="O196:O259" si="21">IF(I196&gt;0,I196*F196*1.13, "-")</f>
        <v>-</v>
      </c>
      <c r="P196" s="41" t="str">
        <f t="shared" ref="P196:P259" si="22">IFERROR(IF($M$2&gt;0, $M$2*O196, "-"), "-")</f>
        <v>-</v>
      </c>
      <c r="R196" s="41" t="str">
        <f t="shared" ref="R196:R259" si="23">IFERROR(IF(P196+J196=0, "-", IF(P196&gt;0, P196+J196, "-")), "-")</f>
        <v>-</v>
      </c>
    </row>
    <row r="197" spans="1:18" x14ac:dyDescent="0.3">
      <c r="A197" s="26">
        <v>1801</v>
      </c>
      <c r="B197" s="15">
        <v>88395018015</v>
      </c>
      <c r="C197" s="17" t="s">
        <v>192</v>
      </c>
      <c r="D197" s="29"/>
      <c r="E197" s="29"/>
      <c r="F197" s="21">
        <v>0.18120000000000003</v>
      </c>
      <c r="G197" s="21"/>
      <c r="H197" s="19">
        <v>23.74785</v>
      </c>
      <c r="I197" s="23"/>
      <c r="J197" s="19">
        <f t="shared" si="18"/>
        <v>0</v>
      </c>
      <c r="M197" s="39" t="str">
        <f t="shared" si="19"/>
        <v>-</v>
      </c>
      <c r="N197" s="39" t="str">
        <f t="shared" si="20"/>
        <v>-</v>
      </c>
      <c r="O197" s="40" t="str">
        <f t="shared" si="21"/>
        <v>-</v>
      </c>
      <c r="P197" s="41" t="str">
        <f t="shared" si="22"/>
        <v>-</v>
      </c>
      <c r="R197" s="41" t="str">
        <f t="shared" si="23"/>
        <v>-</v>
      </c>
    </row>
    <row r="198" spans="1:18" x14ac:dyDescent="0.3">
      <c r="A198" s="26">
        <v>1802</v>
      </c>
      <c r="B198" s="15">
        <v>88395018022</v>
      </c>
      <c r="C198" s="17" t="s">
        <v>193</v>
      </c>
      <c r="D198" s="29"/>
      <c r="E198" s="29"/>
      <c r="F198" s="21">
        <v>0.33975</v>
      </c>
      <c r="G198" s="21"/>
      <c r="H198" s="19">
        <v>35.0595</v>
      </c>
      <c r="I198" s="23"/>
      <c r="J198" s="19">
        <f t="shared" si="18"/>
        <v>0</v>
      </c>
      <c r="M198" s="39" t="str">
        <f t="shared" si="19"/>
        <v>-</v>
      </c>
      <c r="N198" s="39" t="str">
        <f t="shared" si="20"/>
        <v>-</v>
      </c>
      <c r="O198" s="40" t="str">
        <f t="shared" si="21"/>
        <v>-</v>
      </c>
      <c r="P198" s="41" t="str">
        <f t="shared" si="22"/>
        <v>-</v>
      </c>
      <c r="R198" s="41" t="str">
        <f t="shared" si="23"/>
        <v>-</v>
      </c>
    </row>
    <row r="199" spans="1:18" x14ac:dyDescent="0.3">
      <c r="A199" s="26">
        <v>1804</v>
      </c>
      <c r="B199" s="15">
        <v>88395018046</v>
      </c>
      <c r="C199" s="17" t="s">
        <v>194</v>
      </c>
      <c r="D199" s="29"/>
      <c r="E199" s="29"/>
      <c r="F199" s="21">
        <v>0.24915000000000004</v>
      </c>
      <c r="G199" s="21"/>
      <c r="H199" s="19">
        <v>23.74785</v>
      </c>
      <c r="I199" s="23"/>
      <c r="J199" s="19">
        <f t="shared" si="18"/>
        <v>0</v>
      </c>
      <c r="M199" s="39" t="str">
        <f t="shared" si="19"/>
        <v>-</v>
      </c>
      <c r="N199" s="39" t="str">
        <f t="shared" si="20"/>
        <v>-</v>
      </c>
      <c r="O199" s="40" t="str">
        <f t="shared" si="21"/>
        <v>-</v>
      </c>
      <c r="P199" s="41" t="str">
        <f t="shared" si="22"/>
        <v>-</v>
      </c>
      <c r="R199" s="41" t="str">
        <f t="shared" si="23"/>
        <v>-</v>
      </c>
    </row>
    <row r="200" spans="1:18" x14ac:dyDescent="0.3">
      <c r="A200" s="26">
        <v>1811</v>
      </c>
      <c r="B200" s="15">
        <v>88395018114</v>
      </c>
      <c r="C200" s="17" t="s">
        <v>195</v>
      </c>
      <c r="D200" s="29"/>
      <c r="E200" s="29"/>
      <c r="F200" s="21">
        <v>0.23103000000000001</v>
      </c>
      <c r="G200" s="21"/>
      <c r="H200" s="19">
        <v>33.868799999999993</v>
      </c>
      <c r="I200" s="23"/>
      <c r="J200" s="19">
        <f t="shared" si="18"/>
        <v>0</v>
      </c>
      <c r="M200" s="39" t="str">
        <f t="shared" si="19"/>
        <v>-</v>
      </c>
      <c r="N200" s="39" t="str">
        <f t="shared" si="20"/>
        <v>-</v>
      </c>
      <c r="O200" s="40" t="str">
        <f t="shared" si="21"/>
        <v>-</v>
      </c>
      <c r="P200" s="41" t="str">
        <f t="shared" si="22"/>
        <v>-</v>
      </c>
      <c r="R200" s="41" t="str">
        <f t="shared" si="23"/>
        <v>-</v>
      </c>
    </row>
    <row r="201" spans="1:18" x14ac:dyDescent="0.3">
      <c r="A201" s="26">
        <v>1814</v>
      </c>
      <c r="B201" s="15">
        <v>88395018145</v>
      </c>
      <c r="C201" s="17" t="s">
        <v>463</v>
      </c>
      <c r="D201" s="29"/>
      <c r="E201" s="29"/>
      <c r="F201" s="21">
        <v>0.18120000000000003</v>
      </c>
      <c r="G201" s="21"/>
      <c r="H201" s="19">
        <v>23.74785</v>
      </c>
      <c r="I201" s="23"/>
      <c r="J201" s="19">
        <f t="shared" si="18"/>
        <v>0</v>
      </c>
      <c r="M201" s="39" t="str">
        <f t="shared" si="19"/>
        <v>-</v>
      </c>
      <c r="N201" s="39" t="str">
        <f t="shared" si="20"/>
        <v>-</v>
      </c>
      <c r="O201" s="40" t="str">
        <f t="shared" si="21"/>
        <v>-</v>
      </c>
      <c r="P201" s="41" t="str">
        <f t="shared" si="22"/>
        <v>-</v>
      </c>
      <c r="R201" s="41" t="str">
        <f t="shared" si="23"/>
        <v>-</v>
      </c>
    </row>
    <row r="202" spans="1:18" x14ac:dyDescent="0.3">
      <c r="A202" s="26">
        <v>1816</v>
      </c>
      <c r="B202" s="15">
        <v>88395018169</v>
      </c>
      <c r="C202" s="17" t="s">
        <v>196</v>
      </c>
      <c r="D202" s="29"/>
      <c r="E202" s="29"/>
      <c r="F202" s="21">
        <v>0.13589999999999999</v>
      </c>
      <c r="G202" s="21"/>
      <c r="H202" s="19">
        <v>23.74785</v>
      </c>
      <c r="I202" s="23"/>
      <c r="J202" s="19">
        <f t="shared" si="18"/>
        <v>0</v>
      </c>
      <c r="M202" s="39" t="str">
        <f t="shared" si="19"/>
        <v>-</v>
      </c>
      <c r="N202" s="39" t="str">
        <f t="shared" si="20"/>
        <v>-</v>
      </c>
      <c r="O202" s="40" t="str">
        <f t="shared" si="21"/>
        <v>-</v>
      </c>
      <c r="P202" s="41" t="str">
        <f t="shared" si="22"/>
        <v>-</v>
      </c>
      <c r="R202" s="41" t="str">
        <f t="shared" si="23"/>
        <v>-</v>
      </c>
    </row>
    <row r="203" spans="1:18" x14ac:dyDescent="0.3">
      <c r="A203" s="26">
        <v>1830</v>
      </c>
      <c r="B203" s="15">
        <v>88395183003</v>
      </c>
      <c r="C203" s="17" t="s">
        <v>197</v>
      </c>
      <c r="D203" s="29"/>
      <c r="E203" s="29"/>
      <c r="F203" s="21">
        <v>0.14043</v>
      </c>
      <c r="G203" s="21"/>
      <c r="H203" s="19">
        <v>13.891500000000001</v>
      </c>
      <c r="I203" s="23"/>
      <c r="J203" s="19">
        <f t="shared" si="18"/>
        <v>0</v>
      </c>
      <c r="M203" s="39" t="str">
        <f t="shared" si="19"/>
        <v>-</v>
      </c>
      <c r="N203" s="39" t="str">
        <f t="shared" si="20"/>
        <v>-</v>
      </c>
      <c r="O203" s="40" t="str">
        <f t="shared" si="21"/>
        <v>-</v>
      </c>
      <c r="P203" s="41" t="str">
        <f t="shared" si="22"/>
        <v>-</v>
      </c>
      <c r="R203" s="41" t="str">
        <f t="shared" si="23"/>
        <v>-</v>
      </c>
    </row>
    <row r="204" spans="1:18" x14ac:dyDescent="0.3">
      <c r="A204" s="26">
        <v>1831</v>
      </c>
      <c r="B204" s="15">
        <v>88395183102</v>
      </c>
      <c r="C204" s="17" t="s">
        <v>198</v>
      </c>
      <c r="D204" s="29"/>
      <c r="E204" s="29"/>
      <c r="F204" s="21">
        <v>0.25821</v>
      </c>
      <c r="G204" s="21"/>
      <c r="H204" s="19">
        <v>32.5458</v>
      </c>
      <c r="I204" s="23"/>
      <c r="J204" s="19">
        <f t="shared" si="18"/>
        <v>0</v>
      </c>
      <c r="M204" s="39" t="str">
        <f t="shared" si="19"/>
        <v>-</v>
      </c>
      <c r="N204" s="39" t="str">
        <f t="shared" si="20"/>
        <v>-</v>
      </c>
      <c r="O204" s="40" t="str">
        <f t="shared" si="21"/>
        <v>-</v>
      </c>
      <c r="P204" s="41" t="str">
        <f t="shared" si="22"/>
        <v>-</v>
      </c>
      <c r="R204" s="41" t="str">
        <f t="shared" si="23"/>
        <v>-</v>
      </c>
    </row>
    <row r="205" spans="1:18" x14ac:dyDescent="0.3">
      <c r="A205" s="26">
        <v>1832</v>
      </c>
      <c r="B205" s="15">
        <v>88395183201</v>
      </c>
      <c r="C205" s="17" t="s">
        <v>199</v>
      </c>
      <c r="D205" s="29"/>
      <c r="E205" s="29"/>
      <c r="F205" s="21">
        <v>0.48924000000000006</v>
      </c>
      <c r="G205" s="21"/>
      <c r="H205" s="19">
        <v>44.320500000000003</v>
      </c>
      <c r="I205" s="23"/>
      <c r="J205" s="19">
        <f t="shared" si="18"/>
        <v>0</v>
      </c>
      <c r="M205" s="39" t="str">
        <f t="shared" si="19"/>
        <v>-</v>
      </c>
      <c r="N205" s="39" t="str">
        <f t="shared" si="20"/>
        <v>-</v>
      </c>
      <c r="O205" s="40" t="str">
        <f t="shared" si="21"/>
        <v>-</v>
      </c>
      <c r="P205" s="41" t="str">
        <f t="shared" si="22"/>
        <v>-</v>
      </c>
      <c r="R205" s="41" t="str">
        <f t="shared" si="23"/>
        <v>-</v>
      </c>
    </row>
    <row r="206" spans="1:18" x14ac:dyDescent="0.3">
      <c r="A206" s="26">
        <v>1834</v>
      </c>
      <c r="B206" s="15">
        <v>88395183409</v>
      </c>
      <c r="C206" s="17" t="s">
        <v>200</v>
      </c>
      <c r="D206" s="29"/>
      <c r="E206" s="29"/>
      <c r="F206" s="21">
        <v>0.39863999999999999</v>
      </c>
      <c r="G206" s="21"/>
      <c r="H206" s="19">
        <v>32.5458</v>
      </c>
      <c r="I206" s="23"/>
      <c r="J206" s="19">
        <f t="shared" si="18"/>
        <v>0</v>
      </c>
      <c r="M206" s="39" t="str">
        <f t="shared" si="19"/>
        <v>-</v>
      </c>
      <c r="N206" s="39" t="str">
        <f t="shared" si="20"/>
        <v>-</v>
      </c>
      <c r="O206" s="40" t="str">
        <f t="shared" si="21"/>
        <v>-</v>
      </c>
      <c r="P206" s="41" t="str">
        <f t="shared" si="22"/>
        <v>-</v>
      </c>
      <c r="R206" s="41" t="str">
        <f t="shared" si="23"/>
        <v>-</v>
      </c>
    </row>
    <row r="207" spans="1:18" x14ac:dyDescent="0.3">
      <c r="A207" s="26">
        <v>1840</v>
      </c>
      <c r="B207" s="15">
        <v>88395184000</v>
      </c>
      <c r="C207" s="17" t="s">
        <v>201</v>
      </c>
      <c r="D207" s="29"/>
      <c r="E207" s="29"/>
      <c r="F207" s="21">
        <v>4.0770000000000001E-2</v>
      </c>
      <c r="G207" s="21"/>
      <c r="H207" s="19">
        <v>13.16385</v>
      </c>
      <c r="I207" s="23"/>
      <c r="J207" s="19">
        <f t="shared" si="18"/>
        <v>0</v>
      </c>
      <c r="M207" s="39" t="str">
        <f t="shared" si="19"/>
        <v>-</v>
      </c>
      <c r="N207" s="39" t="str">
        <f t="shared" si="20"/>
        <v>-</v>
      </c>
      <c r="O207" s="40" t="str">
        <f t="shared" si="21"/>
        <v>-</v>
      </c>
      <c r="P207" s="41" t="str">
        <f t="shared" si="22"/>
        <v>-</v>
      </c>
      <c r="R207" s="41" t="str">
        <f t="shared" si="23"/>
        <v>-</v>
      </c>
    </row>
    <row r="208" spans="1:18" x14ac:dyDescent="0.3">
      <c r="A208" s="26">
        <v>1841</v>
      </c>
      <c r="B208" s="15">
        <v>88395184109</v>
      </c>
      <c r="C208" s="17" t="s">
        <v>202</v>
      </c>
      <c r="D208" s="29"/>
      <c r="E208" s="29"/>
      <c r="F208" s="21">
        <v>7.7010000000000009E-2</v>
      </c>
      <c r="G208" s="21"/>
      <c r="H208" s="19">
        <v>26.393850000000008</v>
      </c>
      <c r="I208" s="23"/>
      <c r="J208" s="19">
        <f t="shared" si="18"/>
        <v>0</v>
      </c>
      <c r="M208" s="39" t="str">
        <f t="shared" si="19"/>
        <v>-</v>
      </c>
      <c r="N208" s="39" t="str">
        <f t="shared" si="20"/>
        <v>-</v>
      </c>
      <c r="O208" s="40" t="str">
        <f t="shared" si="21"/>
        <v>-</v>
      </c>
      <c r="P208" s="41" t="str">
        <f t="shared" si="22"/>
        <v>-</v>
      </c>
      <c r="R208" s="41" t="str">
        <f t="shared" si="23"/>
        <v>-</v>
      </c>
    </row>
    <row r="209" spans="1:18" x14ac:dyDescent="0.3">
      <c r="A209" s="26">
        <v>1842</v>
      </c>
      <c r="B209" s="15">
        <v>88395184208</v>
      </c>
      <c r="C209" s="17" t="s">
        <v>203</v>
      </c>
      <c r="D209" s="29"/>
      <c r="E209" s="29"/>
      <c r="F209" s="21">
        <v>7.7010000000000009E-2</v>
      </c>
      <c r="G209" s="21"/>
      <c r="H209" s="19">
        <v>26.393850000000008</v>
      </c>
      <c r="I209" s="23"/>
      <c r="J209" s="19">
        <f t="shared" si="18"/>
        <v>0</v>
      </c>
      <c r="M209" s="39" t="str">
        <f t="shared" si="19"/>
        <v>-</v>
      </c>
      <c r="N209" s="39" t="str">
        <f t="shared" si="20"/>
        <v>-</v>
      </c>
      <c r="O209" s="40" t="str">
        <f t="shared" si="21"/>
        <v>-</v>
      </c>
      <c r="P209" s="41" t="str">
        <f t="shared" si="22"/>
        <v>-</v>
      </c>
      <c r="R209" s="41" t="str">
        <f t="shared" si="23"/>
        <v>-</v>
      </c>
    </row>
    <row r="210" spans="1:18" x14ac:dyDescent="0.3">
      <c r="A210" s="26">
        <v>1844</v>
      </c>
      <c r="B210" s="15">
        <v>88395184406</v>
      </c>
      <c r="C210" s="17" t="s">
        <v>204</v>
      </c>
      <c r="D210" s="29"/>
      <c r="E210" s="29"/>
      <c r="F210" s="21">
        <v>0.10872</v>
      </c>
      <c r="G210" s="21"/>
      <c r="H210" s="19">
        <v>26.393850000000008</v>
      </c>
      <c r="I210" s="23"/>
      <c r="J210" s="19">
        <f t="shared" si="18"/>
        <v>0</v>
      </c>
      <c r="M210" s="39" t="str">
        <f t="shared" si="19"/>
        <v>-</v>
      </c>
      <c r="N210" s="39" t="str">
        <f t="shared" si="20"/>
        <v>-</v>
      </c>
      <c r="O210" s="40" t="str">
        <f t="shared" si="21"/>
        <v>-</v>
      </c>
      <c r="P210" s="41" t="str">
        <f t="shared" si="22"/>
        <v>-</v>
      </c>
      <c r="R210" s="41" t="str">
        <f t="shared" si="23"/>
        <v>-</v>
      </c>
    </row>
    <row r="211" spans="1:18" x14ac:dyDescent="0.3">
      <c r="A211" s="26">
        <v>1846</v>
      </c>
      <c r="B211" s="15">
        <v>88395184604</v>
      </c>
      <c r="C211" s="17" t="s">
        <v>205</v>
      </c>
      <c r="D211" s="29"/>
      <c r="E211" s="29"/>
      <c r="F211" s="21">
        <v>0.13136999999999999</v>
      </c>
      <c r="G211" s="21"/>
      <c r="H211" s="19">
        <v>42.997500000000002</v>
      </c>
      <c r="I211" s="23"/>
      <c r="J211" s="19">
        <f t="shared" si="18"/>
        <v>0</v>
      </c>
      <c r="M211" s="39" t="str">
        <f t="shared" si="19"/>
        <v>-</v>
      </c>
      <c r="N211" s="39" t="str">
        <f t="shared" si="20"/>
        <v>-</v>
      </c>
      <c r="O211" s="40" t="str">
        <f t="shared" si="21"/>
        <v>-</v>
      </c>
      <c r="P211" s="41" t="str">
        <f t="shared" si="22"/>
        <v>-</v>
      </c>
      <c r="R211" s="41" t="str">
        <f t="shared" si="23"/>
        <v>-</v>
      </c>
    </row>
    <row r="212" spans="1:18" x14ac:dyDescent="0.3">
      <c r="A212" s="26">
        <v>1860</v>
      </c>
      <c r="B212" s="15">
        <v>88395186004</v>
      </c>
      <c r="C212" s="17" t="s">
        <v>206</v>
      </c>
      <c r="D212" s="29"/>
      <c r="E212" s="29"/>
      <c r="F212" s="21">
        <v>0.14043</v>
      </c>
      <c r="G212" s="21"/>
      <c r="H212" s="19">
        <v>12.303899999999999</v>
      </c>
      <c r="I212" s="23"/>
      <c r="J212" s="19">
        <f t="shared" si="18"/>
        <v>0</v>
      </c>
      <c r="M212" s="39" t="str">
        <f t="shared" si="19"/>
        <v>-</v>
      </c>
      <c r="N212" s="39" t="str">
        <f t="shared" si="20"/>
        <v>-</v>
      </c>
      <c r="O212" s="40" t="str">
        <f t="shared" si="21"/>
        <v>-</v>
      </c>
      <c r="P212" s="41" t="str">
        <f t="shared" si="22"/>
        <v>-</v>
      </c>
      <c r="R212" s="41" t="str">
        <f t="shared" si="23"/>
        <v>-</v>
      </c>
    </row>
    <row r="213" spans="1:18" x14ac:dyDescent="0.3">
      <c r="A213" s="26">
        <v>1881</v>
      </c>
      <c r="B213" s="15">
        <v>88395188107</v>
      </c>
      <c r="C213" s="17" t="s">
        <v>207</v>
      </c>
      <c r="D213" s="29"/>
      <c r="E213" s="29"/>
      <c r="F213" s="21">
        <v>9.9659999999999999E-2</v>
      </c>
      <c r="G213" s="21"/>
      <c r="H213" s="19">
        <v>28.047599999999999</v>
      </c>
      <c r="I213" s="23"/>
      <c r="J213" s="19">
        <f t="shared" si="18"/>
        <v>0</v>
      </c>
      <c r="M213" s="39" t="str">
        <f t="shared" si="19"/>
        <v>-</v>
      </c>
      <c r="N213" s="39" t="str">
        <f t="shared" si="20"/>
        <v>-</v>
      </c>
      <c r="O213" s="40" t="str">
        <f t="shared" si="21"/>
        <v>-</v>
      </c>
      <c r="P213" s="41" t="str">
        <f t="shared" si="22"/>
        <v>-</v>
      </c>
      <c r="R213" s="41" t="str">
        <f t="shared" si="23"/>
        <v>-</v>
      </c>
    </row>
    <row r="214" spans="1:18" x14ac:dyDescent="0.3">
      <c r="A214" s="26">
        <v>1882</v>
      </c>
      <c r="B214" s="15">
        <v>88395188206</v>
      </c>
      <c r="C214" s="17" t="s">
        <v>208</v>
      </c>
      <c r="D214" s="29"/>
      <c r="E214" s="29"/>
      <c r="F214" s="21">
        <v>0.19478999999999999</v>
      </c>
      <c r="G214" s="21"/>
      <c r="H214" s="19">
        <v>52.853850000000001</v>
      </c>
      <c r="I214" s="23"/>
      <c r="J214" s="19">
        <f t="shared" si="18"/>
        <v>0</v>
      </c>
      <c r="M214" s="39" t="str">
        <f t="shared" si="19"/>
        <v>-</v>
      </c>
      <c r="N214" s="39" t="str">
        <f t="shared" si="20"/>
        <v>-</v>
      </c>
      <c r="O214" s="40" t="str">
        <f t="shared" si="21"/>
        <v>-</v>
      </c>
      <c r="P214" s="41" t="str">
        <f t="shared" si="22"/>
        <v>-</v>
      </c>
      <c r="R214" s="41" t="str">
        <f t="shared" si="23"/>
        <v>-</v>
      </c>
    </row>
    <row r="215" spans="1:18" x14ac:dyDescent="0.3">
      <c r="A215" s="26">
        <v>1893</v>
      </c>
      <c r="B215" s="15">
        <v>88395189302</v>
      </c>
      <c r="C215" s="17" t="s">
        <v>209</v>
      </c>
      <c r="D215" s="29"/>
      <c r="E215" s="29"/>
      <c r="F215" s="21">
        <v>0.12231000000000002</v>
      </c>
      <c r="G215" s="21"/>
      <c r="H215" s="19">
        <v>13.16385</v>
      </c>
      <c r="I215" s="23"/>
      <c r="J215" s="19">
        <f t="shared" si="18"/>
        <v>0</v>
      </c>
      <c r="M215" s="39" t="str">
        <f t="shared" si="19"/>
        <v>-</v>
      </c>
      <c r="N215" s="39" t="str">
        <f t="shared" si="20"/>
        <v>-</v>
      </c>
      <c r="O215" s="40" t="str">
        <f t="shared" si="21"/>
        <v>-</v>
      </c>
      <c r="P215" s="41" t="str">
        <f t="shared" si="22"/>
        <v>-</v>
      </c>
      <c r="R215" s="41" t="str">
        <f t="shared" si="23"/>
        <v>-</v>
      </c>
    </row>
    <row r="216" spans="1:18" x14ac:dyDescent="0.3">
      <c r="A216" s="26">
        <v>1900</v>
      </c>
      <c r="B216" s="15">
        <v>88395190001</v>
      </c>
      <c r="C216" s="17" t="s">
        <v>210</v>
      </c>
      <c r="D216" s="29"/>
      <c r="E216" s="29"/>
      <c r="F216" s="21">
        <v>0.13136999999999999</v>
      </c>
      <c r="G216" s="21"/>
      <c r="H216" s="19">
        <v>23.086350000000003</v>
      </c>
      <c r="I216" s="23"/>
      <c r="J216" s="19">
        <f t="shared" si="18"/>
        <v>0</v>
      </c>
      <c r="M216" s="39" t="str">
        <f t="shared" si="19"/>
        <v>-</v>
      </c>
      <c r="N216" s="39" t="str">
        <f t="shared" si="20"/>
        <v>-</v>
      </c>
      <c r="O216" s="40" t="str">
        <f t="shared" si="21"/>
        <v>-</v>
      </c>
      <c r="P216" s="41" t="str">
        <f t="shared" si="22"/>
        <v>-</v>
      </c>
      <c r="R216" s="41" t="str">
        <f t="shared" si="23"/>
        <v>-</v>
      </c>
    </row>
    <row r="217" spans="1:18" x14ac:dyDescent="0.3">
      <c r="A217" s="26">
        <v>1920</v>
      </c>
      <c r="B217" s="15">
        <v>88395192005</v>
      </c>
      <c r="C217" s="17" t="s">
        <v>211</v>
      </c>
      <c r="D217" s="29"/>
      <c r="E217" s="29"/>
      <c r="F217" s="21">
        <v>0.39863999999999999</v>
      </c>
      <c r="G217" s="21"/>
      <c r="H217" s="19">
        <v>42.931349999999995</v>
      </c>
      <c r="I217" s="23"/>
      <c r="J217" s="19">
        <f t="shared" si="18"/>
        <v>0</v>
      </c>
      <c r="M217" s="39" t="str">
        <f t="shared" si="19"/>
        <v>-</v>
      </c>
      <c r="N217" s="39" t="str">
        <f t="shared" si="20"/>
        <v>-</v>
      </c>
      <c r="O217" s="40" t="str">
        <f t="shared" si="21"/>
        <v>-</v>
      </c>
      <c r="P217" s="41" t="str">
        <f t="shared" si="22"/>
        <v>-</v>
      </c>
      <c r="R217" s="41" t="str">
        <f t="shared" si="23"/>
        <v>-</v>
      </c>
    </row>
    <row r="218" spans="1:18" x14ac:dyDescent="0.3">
      <c r="A218" s="26">
        <v>1930</v>
      </c>
      <c r="B218" s="15">
        <v>88395193002</v>
      </c>
      <c r="C218" s="17" t="s">
        <v>212</v>
      </c>
      <c r="D218" s="29"/>
      <c r="E218" s="29"/>
      <c r="F218" s="21">
        <v>0.40317000000000003</v>
      </c>
      <c r="G218" s="21"/>
      <c r="H218" s="19">
        <v>23.086350000000003</v>
      </c>
      <c r="I218" s="23"/>
      <c r="J218" s="19">
        <f t="shared" si="18"/>
        <v>0</v>
      </c>
      <c r="M218" s="39" t="str">
        <f t="shared" si="19"/>
        <v>-</v>
      </c>
      <c r="N218" s="39" t="str">
        <f t="shared" si="20"/>
        <v>-</v>
      </c>
      <c r="O218" s="40" t="str">
        <f t="shared" si="21"/>
        <v>-</v>
      </c>
      <c r="P218" s="41" t="str">
        <f t="shared" si="22"/>
        <v>-</v>
      </c>
      <c r="R218" s="41" t="str">
        <f t="shared" si="23"/>
        <v>-</v>
      </c>
    </row>
    <row r="219" spans="1:18" x14ac:dyDescent="0.3">
      <c r="A219" s="26">
        <v>1933</v>
      </c>
      <c r="B219" s="15">
        <v>88395193309</v>
      </c>
      <c r="C219" s="17" t="s">
        <v>213</v>
      </c>
      <c r="D219" s="29"/>
      <c r="E219" s="29"/>
      <c r="F219" s="21">
        <v>0.40317000000000003</v>
      </c>
      <c r="G219" s="21"/>
      <c r="H219" s="19">
        <v>23.086350000000003</v>
      </c>
      <c r="I219" s="23"/>
      <c r="J219" s="19">
        <f t="shared" si="18"/>
        <v>0</v>
      </c>
      <c r="M219" s="39" t="str">
        <f t="shared" si="19"/>
        <v>-</v>
      </c>
      <c r="N219" s="39" t="str">
        <f t="shared" si="20"/>
        <v>-</v>
      </c>
      <c r="O219" s="40" t="str">
        <f t="shared" si="21"/>
        <v>-</v>
      </c>
      <c r="P219" s="41" t="str">
        <f t="shared" si="22"/>
        <v>-</v>
      </c>
      <c r="R219" s="41" t="str">
        <f t="shared" si="23"/>
        <v>-</v>
      </c>
    </row>
    <row r="220" spans="1:18" x14ac:dyDescent="0.3">
      <c r="A220" s="26">
        <v>1935</v>
      </c>
      <c r="B220" s="15">
        <v>88395193507</v>
      </c>
      <c r="C220" s="17" t="s">
        <v>214</v>
      </c>
      <c r="D220" s="29"/>
      <c r="E220" s="29"/>
      <c r="F220" s="21">
        <v>0.90600000000000003</v>
      </c>
      <c r="G220" s="21"/>
      <c r="H220" s="19">
        <v>46.238849999999999</v>
      </c>
      <c r="I220" s="23"/>
      <c r="J220" s="19">
        <f t="shared" si="18"/>
        <v>0</v>
      </c>
      <c r="M220" s="39" t="str">
        <f t="shared" si="19"/>
        <v>-</v>
      </c>
      <c r="N220" s="39" t="str">
        <f t="shared" si="20"/>
        <v>-</v>
      </c>
      <c r="O220" s="40" t="str">
        <f t="shared" si="21"/>
        <v>-</v>
      </c>
      <c r="P220" s="41" t="str">
        <f t="shared" si="22"/>
        <v>-</v>
      </c>
      <c r="R220" s="41" t="str">
        <f t="shared" si="23"/>
        <v>-</v>
      </c>
    </row>
    <row r="221" spans="1:18" x14ac:dyDescent="0.3">
      <c r="A221" s="26">
        <v>1937</v>
      </c>
      <c r="B221" s="15">
        <v>88395193705</v>
      </c>
      <c r="C221" s="17" t="s">
        <v>215</v>
      </c>
      <c r="D221" s="29"/>
      <c r="E221" s="29"/>
      <c r="F221" s="21">
        <v>0.90600000000000003</v>
      </c>
      <c r="G221" s="21"/>
      <c r="H221" s="19">
        <v>46.238849999999999</v>
      </c>
      <c r="I221" s="23"/>
      <c r="J221" s="19">
        <f t="shared" si="18"/>
        <v>0</v>
      </c>
      <c r="M221" s="39" t="str">
        <f t="shared" si="19"/>
        <v>-</v>
      </c>
      <c r="N221" s="39" t="str">
        <f t="shared" si="20"/>
        <v>-</v>
      </c>
      <c r="O221" s="40" t="str">
        <f t="shared" si="21"/>
        <v>-</v>
      </c>
      <c r="P221" s="41" t="str">
        <f t="shared" si="22"/>
        <v>-</v>
      </c>
      <c r="R221" s="41" t="str">
        <f t="shared" si="23"/>
        <v>-</v>
      </c>
    </row>
    <row r="222" spans="1:18" x14ac:dyDescent="0.3">
      <c r="A222" s="26">
        <v>1940</v>
      </c>
      <c r="B222" s="15">
        <v>88395194009</v>
      </c>
      <c r="C222" s="17" t="s">
        <v>216</v>
      </c>
      <c r="D222" s="29"/>
      <c r="E222" s="29"/>
      <c r="F222" s="21">
        <v>0.40317000000000003</v>
      </c>
      <c r="G222" s="21"/>
      <c r="H222" s="19">
        <v>23.086350000000003</v>
      </c>
      <c r="I222" s="23"/>
      <c r="J222" s="19">
        <f t="shared" si="18"/>
        <v>0</v>
      </c>
      <c r="M222" s="39" t="str">
        <f t="shared" si="19"/>
        <v>-</v>
      </c>
      <c r="N222" s="39" t="str">
        <f t="shared" si="20"/>
        <v>-</v>
      </c>
      <c r="O222" s="40" t="str">
        <f t="shared" si="21"/>
        <v>-</v>
      </c>
      <c r="P222" s="41" t="str">
        <f t="shared" si="22"/>
        <v>-</v>
      </c>
      <c r="R222" s="41" t="str">
        <f t="shared" si="23"/>
        <v>-</v>
      </c>
    </row>
    <row r="223" spans="1:18" x14ac:dyDescent="0.3">
      <c r="A223" s="26">
        <v>1943</v>
      </c>
      <c r="B223" s="15">
        <v>88395194306</v>
      </c>
      <c r="C223" s="17" t="s">
        <v>217</v>
      </c>
      <c r="D223" s="29"/>
      <c r="E223" s="29"/>
      <c r="F223" s="21">
        <v>0.40317000000000003</v>
      </c>
      <c r="G223" s="21"/>
      <c r="H223" s="19">
        <v>23.086350000000003</v>
      </c>
      <c r="I223" s="23"/>
      <c r="J223" s="19">
        <f t="shared" si="18"/>
        <v>0</v>
      </c>
      <c r="M223" s="39" t="str">
        <f t="shared" si="19"/>
        <v>-</v>
      </c>
      <c r="N223" s="39" t="str">
        <f t="shared" si="20"/>
        <v>-</v>
      </c>
      <c r="O223" s="40" t="str">
        <f t="shared" si="21"/>
        <v>-</v>
      </c>
      <c r="P223" s="41" t="str">
        <f t="shared" si="22"/>
        <v>-</v>
      </c>
      <c r="R223" s="41" t="str">
        <f t="shared" si="23"/>
        <v>-</v>
      </c>
    </row>
    <row r="224" spans="1:18" x14ac:dyDescent="0.3">
      <c r="A224" s="26">
        <v>1950</v>
      </c>
      <c r="B224" s="15">
        <v>88395195006</v>
      </c>
      <c r="C224" s="17" t="s">
        <v>218</v>
      </c>
      <c r="D224" s="29"/>
      <c r="E224" s="29"/>
      <c r="F224" s="21">
        <v>0.39863999999999999</v>
      </c>
      <c r="G224" s="21"/>
      <c r="H224" s="19">
        <v>33.008849999999995</v>
      </c>
      <c r="I224" s="23"/>
      <c r="J224" s="19">
        <f t="shared" si="18"/>
        <v>0</v>
      </c>
      <c r="M224" s="39" t="str">
        <f t="shared" si="19"/>
        <v>-</v>
      </c>
      <c r="N224" s="39" t="str">
        <f t="shared" si="20"/>
        <v>-</v>
      </c>
      <c r="O224" s="40" t="str">
        <f t="shared" si="21"/>
        <v>-</v>
      </c>
      <c r="P224" s="41" t="str">
        <f t="shared" si="22"/>
        <v>-</v>
      </c>
      <c r="R224" s="41" t="str">
        <f t="shared" si="23"/>
        <v>-</v>
      </c>
    </row>
    <row r="225" spans="1:18" x14ac:dyDescent="0.3">
      <c r="A225" s="26">
        <v>2001</v>
      </c>
      <c r="B225" s="15">
        <v>88395020018</v>
      </c>
      <c r="C225" s="17" t="s">
        <v>219</v>
      </c>
      <c r="D225" s="29"/>
      <c r="E225" s="29"/>
      <c r="F225" s="21">
        <v>6.7949999999999997E-2</v>
      </c>
      <c r="G225" s="21"/>
      <c r="H225" s="19">
        <v>7.6072500000000005</v>
      </c>
      <c r="I225" s="23"/>
      <c r="J225" s="19">
        <f t="shared" si="18"/>
        <v>0</v>
      </c>
      <c r="M225" s="39" t="str">
        <f t="shared" si="19"/>
        <v>-</v>
      </c>
      <c r="N225" s="39" t="str">
        <f t="shared" si="20"/>
        <v>-</v>
      </c>
      <c r="O225" s="40" t="str">
        <f t="shared" si="21"/>
        <v>-</v>
      </c>
      <c r="P225" s="41" t="str">
        <f t="shared" si="22"/>
        <v>-</v>
      </c>
      <c r="R225" s="41" t="str">
        <f t="shared" si="23"/>
        <v>-</v>
      </c>
    </row>
    <row r="226" spans="1:18" x14ac:dyDescent="0.3">
      <c r="A226" s="26">
        <v>2003</v>
      </c>
      <c r="B226" s="15">
        <v>88395020032</v>
      </c>
      <c r="C226" s="17" t="s">
        <v>220</v>
      </c>
      <c r="D226" s="29"/>
      <c r="E226" s="29"/>
      <c r="F226" s="21">
        <v>0.15855</v>
      </c>
      <c r="G226" s="21"/>
      <c r="H226" s="19">
        <v>18.654300000000003</v>
      </c>
      <c r="I226" s="23"/>
      <c r="J226" s="19">
        <f t="shared" si="18"/>
        <v>0</v>
      </c>
      <c r="M226" s="39" t="str">
        <f t="shared" si="19"/>
        <v>-</v>
      </c>
      <c r="N226" s="39" t="str">
        <f t="shared" si="20"/>
        <v>-</v>
      </c>
      <c r="O226" s="40" t="str">
        <f t="shared" si="21"/>
        <v>-</v>
      </c>
      <c r="P226" s="41" t="str">
        <f t="shared" si="22"/>
        <v>-</v>
      </c>
      <c r="R226" s="41" t="str">
        <f t="shared" si="23"/>
        <v>-</v>
      </c>
    </row>
    <row r="227" spans="1:18" x14ac:dyDescent="0.3">
      <c r="A227" s="26">
        <v>2014</v>
      </c>
      <c r="B227" s="15">
        <v>88395201400</v>
      </c>
      <c r="C227" s="17" t="s">
        <v>221</v>
      </c>
      <c r="D227" s="29"/>
      <c r="E227" s="29"/>
      <c r="F227" s="21">
        <v>8.1540000000000001E-2</v>
      </c>
      <c r="G227" s="21"/>
      <c r="H227" s="19">
        <v>10.517849999999999</v>
      </c>
      <c r="I227" s="23"/>
      <c r="J227" s="19">
        <f t="shared" si="18"/>
        <v>0</v>
      </c>
      <c r="M227" s="39" t="str">
        <f t="shared" si="19"/>
        <v>-</v>
      </c>
      <c r="N227" s="39" t="str">
        <f t="shared" si="20"/>
        <v>-</v>
      </c>
      <c r="O227" s="40" t="str">
        <f t="shared" si="21"/>
        <v>-</v>
      </c>
      <c r="P227" s="41" t="str">
        <f t="shared" si="22"/>
        <v>-</v>
      </c>
      <c r="R227" s="41" t="str">
        <f t="shared" si="23"/>
        <v>-</v>
      </c>
    </row>
    <row r="228" spans="1:18" x14ac:dyDescent="0.3">
      <c r="A228" s="26">
        <v>2015</v>
      </c>
      <c r="B228" s="15">
        <v>88395201509</v>
      </c>
      <c r="C228" s="17" t="s">
        <v>222</v>
      </c>
      <c r="D228" s="29"/>
      <c r="E228" s="29"/>
      <c r="F228" s="21">
        <v>0.15402000000000002</v>
      </c>
      <c r="G228" s="21"/>
      <c r="H228" s="19">
        <v>19.778849999999998</v>
      </c>
      <c r="I228" s="23"/>
      <c r="J228" s="19">
        <f t="shared" si="18"/>
        <v>0</v>
      </c>
      <c r="M228" s="39" t="str">
        <f t="shared" si="19"/>
        <v>-</v>
      </c>
      <c r="N228" s="39" t="str">
        <f t="shared" si="20"/>
        <v>-</v>
      </c>
      <c r="O228" s="40" t="str">
        <f t="shared" si="21"/>
        <v>-</v>
      </c>
      <c r="P228" s="41" t="str">
        <f t="shared" si="22"/>
        <v>-</v>
      </c>
      <c r="R228" s="41" t="str">
        <f t="shared" si="23"/>
        <v>-</v>
      </c>
    </row>
    <row r="229" spans="1:18" x14ac:dyDescent="0.3">
      <c r="A229" s="26">
        <v>2021</v>
      </c>
      <c r="B229" s="15">
        <v>88395020216</v>
      </c>
      <c r="C229" s="17" t="s">
        <v>464</v>
      </c>
      <c r="D229" s="29"/>
      <c r="E229" s="29"/>
      <c r="F229" s="21">
        <v>0.13589999999999999</v>
      </c>
      <c r="G229" s="21"/>
      <c r="H229" s="19">
        <v>16.471349999999997</v>
      </c>
      <c r="I229" s="23"/>
      <c r="J229" s="19">
        <f t="shared" si="18"/>
        <v>0</v>
      </c>
      <c r="M229" s="39" t="str">
        <f t="shared" si="19"/>
        <v>-</v>
      </c>
      <c r="N229" s="39" t="str">
        <f t="shared" si="20"/>
        <v>-</v>
      </c>
      <c r="O229" s="40" t="str">
        <f t="shared" si="21"/>
        <v>-</v>
      </c>
      <c r="P229" s="41" t="str">
        <f t="shared" si="22"/>
        <v>-</v>
      </c>
      <c r="R229" s="41" t="str">
        <f t="shared" si="23"/>
        <v>-</v>
      </c>
    </row>
    <row r="230" spans="1:18" x14ac:dyDescent="0.3">
      <c r="A230" s="26">
        <v>2022</v>
      </c>
      <c r="B230" s="15">
        <v>88395020223</v>
      </c>
      <c r="C230" s="17" t="s">
        <v>465</v>
      </c>
      <c r="D230" s="29"/>
      <c r="E230" s="29"/>
      <c r="F230" s="21">
        <v>0.31709999999999999</v>
      </c>
      <c r="G230" s="21"/>
      <c r="H230" s="19">
        <v>39.69</v>
      </c>
      <c r="I230" s="23"/>
      <c r="J230" s="19">
        <f t="shared" si="18"/>
        <v>0</v>
      </c>
      <c r="M230" s="39" t="str">
        <f t="shared" si="19"/>
        <v>-</v>
      </c>
      <c r="N230" s="39" t="str">
        <f t="shared" si="20"/>
        <v>-</v>
      </c>
      <c r="O230" s="40" t="str">
        <f t="shared" si="21"/>
        <v>-</v>
      </c>
      <c r="P230" s="41" t="str">
        <f t="shared" si="22"/>
        <v>-</v>
      </c>
      <c r="R230" s="41" t="str">
        <f t="shared" si="23"/>
        <v>-</v>
      </c>
    </row>
    <row r="231" spans="1:18" x14ac:dyDescent="0.3">
      <c r="A231" s="26">
        <v>2060</v>
      </c>
      <c r="B231" s="15">
        <v>88395020605</v>
      </c>
      <c r="C231" s="17" t="s">
        <v>223</v>
      </c>
      <c r="D231" s="29"/>
      <c r="E231" s="29"/>
      <c r="F231" s="21">
        <v>0.11325</v>
      </c>
      <c r="G231" s="21"/>
      <c r="H231" s="19">
        <v>11.179350000000001</v>
      </c>
      <c r="I231" s="23"/>
      <c r="J231" s="19">
        <f t="shared" si="18"/>
        <v>0</v>
      </c>
      <c r="M231" s="39" t="str">
        <f t="shared" si="19"/>
        <v>-</v>
      </c>
      <c r="N231" s="39" t="str">
        <f t="shared" si="20"/>
        <v>-</v>
      </c>
      <c r="O231" s="40" t="str">
        <f t="shared" si="21"/>
        <v>-</v>
      </c>
      <c r="P231" s="41" t="str">
        <f t="shared" si="22"/>
        <v>-</v>
      </c>
      <c r="R231" s="41" t="str">
        <f t="shared" si="23"/>
        <v>-</v>
      </c>
    </row>
    <row r="232" spans="1:18" x14ac:dyDescent="0.3">
      <c r="A232" s="26">
        <v>2061</v>
      </c>
      <c r="B232" s="15">
        <v>88395020612</v>
      </c>
      <c r="C232" s="17" t="s">
        <v>224</v>
      </c>
      <c r="D232" s="29"/>
      <c r="E232" s="29"/>
      <c r="F232" s="21">
        <v>0.22650000000000001</v>
      </c>
      <c r="G232" s="21"/>
      <c r="H232" s="19">
        <v>19.778849999999998</v>
      </c>
      <c r="I232" s="23"/>
      <c r="J232" s="19">
        <f t="shared" si="18"/>
        <v>0</v>
      </c>
      <c r="M232" s="39" t="str">
        <f t="shared" si="19"/>
        <v>-</v>
      </c>
      <c r="N232" s="39" t="str">
        <f t="shared" si="20"/>
        <v>-</v>
      </c>
      <c r="O232" s="40" t="str">
        <f t="shared" si="21"/>
        <v>-</v>
      </c>
      <c r="P232" s="41" t="str">
        <f t="shared" si="22"/>
        <v>-</v>
      </c>
      <c r="R232" s="41" t="str">
        <f t="shared" si="23"/>
        <v>-</v>
      </c>
    </row>
    <row r="233" spans="1:18" x14ac:dyDescent="0.3">
      <c r="A233" s="26">
        <v>2062</v>
      </c>
      <c r="B233" s="15">
        <v>88395020629</v>
      </c>
      <c r="C233" s="17" t="s">
        <v>225</v>
      </c>
      <c r="D233" s="29"/>
      <c r="E233" s="29"/>
      <c r="F233" s="21">
        <v>0.40770000000000001</v>
      </c>
      <c r="G233" s="21"/>
      <c r="H233" s="19">
        <v>37.63935</v>
      </c>
      <c r="I233" s="23"/>
      <c r="J233" s="19">
        <f t="shared" si="18"/>
        <v>0</v>
      </c>
      <c r="M233" s="39" t="str">
        <f t="shared" si="19"/>
        <v>-</v>
      </c>
      <c r="N233" s="39" t="str">
        <f t="shared" si="20"/>
        <v>-</v>
      </c>
      <c r="O233" s="40" t="str">
        <f t="shared" si="21"/>
        <v>-</v>
      </c>
      <c r="P233" s="41" t="str">
        <f t="shared" si="22"/>
        <v>-</v>
      </c>
      <c r="R233" s="41" t="str">
        <f t="shared" si="23"/>
        <v>-</v>
      </c>
    </row>
    <row r="234" spans="1:18" x14ac:dyDescent="0.3">
      <c r="A234" s="26">
        <v>2073</v>
      </c>
      <c r="B234" s="15">
        <v>88395207303</v>
      </c>
      <c r="C234" s="17" t="s">
        <v>226</v>
      </c>
      <c r="D234" s="29"/>
      <c r="E234" s="29"/>
      <c r="F234" s="21">
        <v>0.22650000000000001</v>
      </c>
      <c r="G234" s="21"/>
      <c r="H234" s="19">
        <v>18.191250000000004</v>
      </c>
      <c r="I234" s="23"/>
      <c r="J234" s="19">
        <f t="shared" si="18"/>
        <v>0</v>
      </c>
      <c r="M234" s="39" t="str">
        <f t="shared" si="19"/>
        <v>-</v>
      </c>
      <c r="N234" s="39" t="str">
        <f t="shared" si="20"/>
        <v>-</v>
      </c>
      <c r="O234" s="40" t="str">
        <f t="shared" si="21"/>
        <v>-</v>
      </c>
      <c r="P234" s="41" t="str">
        <f t="shared" si="22"/>
        <v>-</v>
      </c>
      <c r="R234" s="41" t="str">
        <f t="shared" si="23"/>
        <v>-</v>
      </c>
    </row>
    <row r="235" spans="1:18" x14ac:dyDescent="0.3">
      <c r="A235" s="26">
        <v>2074</v>
      </c>
      <c r="B235" s="15">
        <v>88395207402</v>
      </c>
      <c r="C235" s="17" t="s">
        <v>227</v>
      </c>
      <c r="D235" s="29"/>
      <c r="E235" s="29"/>
      <c r="F235" s="21">
        <v>0.42129000000000005</v>
      </c>
      <c r="G235" s="21"/>
      <c r="H235" s="19">
        <v>33.868799999999993</v>
      </c>
      <c r="I235" s="23"/>
      <c r="J235" s="19">
        <f t="shared" si="18"/>
        <v>0</v>
      </c>
      <c r="M235" s="39" t="str">
        <f t="shared" si="19"/>
        <v>-</v>
      </c>
      <c r="N235" s="39" t="str">
        <f t="shared" si="20"/>
        <v>-</v>
      </c>
      <c r="O235" s="40" t="str">
        <f t="shared" si="21"/>
        <v>-</v>
      </c>
      <c r="P235" s="41" t="str">
        <f t="shared" si="22"/>
        <v>-</v>
      </c>
      <c r="R235" s="41" t="str">
        <f t="shared" si="23"/>
        <v>-</v>
      </c>
    </row>
    <row r="236" spans="1:18" x14ac:dyDescent="0.3">
      <c r="A236" s="26">
        <v>2081</v>
      </c>
      <c r="B236" s="15">
        <v>88395208102</v>
      </c>
      <c r="C236" s="17" t="s">
        <v>444</v>
      </c>
      <c r="D236" s="29"/>
      <c r="E236" s="29"/>
      <c r="F236" s="21">
        <v>7.2480000000000003E-2</v>
      </c>
      <c r="G236" s="21"/>
      <c r="H236" s="19">
        <v>14.828624999999999</v>
      </c>
      <c r="I236" s="23"/>
      <c r="J236" s="19">
        <f t="shared" si="18"/>
        <v>0</v>
      </c>
      <c r="M236" s="39" t="str">
        <f t="shared" si="19"/>
        <v>-</v>
      </c>
      <c r="N236" s="39" t="str">
        <f t="shared" si="20"/>
        <v>-</v>
      </c>
      <c r="O236" s="40" t="str">
        <f t="shared" si="21"/>
        <v>-</v>
      </c>
      <c r="P236" s="41" t="str">
        <f t="shared" si="22"/>
        <v>-</v>
      </c>
      <c r="R236" s="41" t="str">
        <f t="shared" si="23"/>
        <v>-</v>
      </c>
    </row>
    <row r="237" spans="1:18" x14ac:dyDescent="0.3">
      <c r="A237" s="26">
        <v>2082</v>
      </c>
      <c r="B237" s="15">
        <v>88395208201</v>
      </c>
      <c r="C237" s="17" t="s">
        <v>445</v>
      </c>
      <c r="D237" s="29"/>
      <c r="E237" s="29"/>
      <c r="F237" s="21">
        <v>0.13589999999999999</v>
      </c>
      <c r="G237" s="21"/>
      <c r="H237" s="19">
        <v>28.168875</v>
      </c>
      <c r="I237" s="23"/>
      <c r="J237" s="19">
        <f t="shared" si="18"/>
        <v>0</v>
      </c>
      <c r="M237" s="39" t="str">
        <f t="shared" si="19"/>
        <v>-</v>
      </c>
      <c r="N237" s="39" t="str">
        <f t="shared" si="20"/>
        <v>-</v>
      </c>
      <c r="O237" s="40" t="str">
        <f t="shared" si="21"/>
        <v>-</v>
      </c>
      <c r="P237" s="41" t="str">
        <f t="shared" si="22"/>
        <v>-</v>
      </c>
      <c r="R237" s="41" t="str">
        <f t="shared" si="23"/>
        <v>-</v>
      </c>
    </row>
    <row r="238" spans="1:18" x14ac:dyDescent="0.3">
      <c r="A238" s="26">
        <v>2140</v>
      </c>
      <c r="B238" s="15">
        <v>88395214004</v>
      </c>
      <c r="C238" s="17" t="s">
        <v>228</v>
      </c>
      <c r="D238" s="29"/>
      <c r="E238" s="29"/>
      <c r="F238" s="21">
        <v>6.7949999999999997E-2</v>
      </c>
      <c r="G238" s="21"/>
      <c r="H238" s="19">
        <v>33.008849999999995</v>
      </c>
      <c r="I238" s="23"/>
      <c r="J238" s="19">
        <f t="shared" si="18"/>
        <v>0</v>
      </c>
      <c r="M238" s="39" t="str">
        <f t="shared" si="19"/>
        <v>-</v>
      </c>
      <c r="N238" s="39" t="str">
        <f t="shared" si="20"/>
        <v>-</v>
      </c>
      <c r="O238" s="40" t="str">
        <f t="shared" si="21"/>
        <v>-</v>
      </c>
      <c r="P238" s="41" t="str">
        <f t="shared" si="22"/>
        <v>-</v>
      </c>
      <c r="R238" s="41" t="str">
        <f t="shared" si="23"/>
        <v>-</v>
      </c>
    </row>
    <row r="239" spans="1:18" x14ac:dyDescent="0.3">
      <c r="A239" s="26">
        <v>2141</v>
      </c>
      <c r="B239" s="15">
        <v>88395214103</v>
      </c>
      <c r="C239" s="17" t="s">
        <v>229</v>
      </c>
      <c r="D239" s="29"/>
      <c r="E239" s="29"/>
      <c r="F239" s="21">
        <v>0.11778000000000001</v>
      </c>
      <c r="G239" s="21"/>
      <c r="H239" s="19">
        <v>65.356199999999987</v>
      </c>
      <c r="I239" s="23"/>
      <c r="J239" s="19">
        <f t="shared" si="18"/>
        <v>0</v>
      </c>
      <c r="M239" s="39" t="str">
        <f t="shared" si="19"/>
        <v>-</v>
      </c>
      <c r="N239" s="39" t="str">
        <f t="shared" si="20"/>
        <v>-</v>
      </c>
      <c r="O239" s="40" t="str">
        <f t="shared" si="21"/>
        <v>-</v>
      </c>
      <c r="P239" s="41" t="str">
        <f t="shared" si="22"/>
        <v>-</v>
      </c>
      <c r="R239" s="41" t="str">
        <f t="shared" si="23"/>
        <v>-</v>
      </c>
    </row>
    <row r="240" spans="1:18" x14ac:dyDescent="0.3">
      <c r="A240" s="26">
        <v>2150</v>
      </c>
      <c r="B240" s="15">
        <v>88395215001</v>
      </c>
      <c r="C240" s="17" t="s">
        <v>230</v>
      </c>
      <c r="D240" s="29"/>
      <c r="E240" s="29"/>
      <c r="F240" s="21">
        <v>0.40317000000000003</v>
      </c>
      <c r="G240" s="21"/>
      <c r="H240" s="19">
        <v>24.144749999999998</v>
      </c>
      <c r="I240" s="23"/>
      <c r="J240" s="19">
        <f t="shared" si="18"/>
        <v>0</v>
      </c>
      <c r="M240" s="39" t="str">
        <f t="shared" si="19"/>
        <v>-</v>
      </c>
      <c r="N240" s="39" t="str">
        <f t="shared" si="20"/>
        <v>-</v>
      </c>
      <c r="O240" s="40" t="str">
        <f t="shared" si="21"/>
        <v>-</v>
      </c>
      <c r="P240" s="41" t="str">
        <f t="shared" si="22"/>
        <v>-</v>
      </c>
      <c r="R240" s="41" t="str">
        <f t="shared" si="23"/>
        <v>-</v>
      </c>
    </row>
    <row r="241" spans="1:18" x14ac:dyDescent="0.3">
      <c r="A241" s="26" t="e">
        <v>#N/A</v>
      </c>
      <c r="B241" s="15">
        <v>88395218002</v>
      </c>
      <c r="C241" s="17" t="s">
        <v>466</v>
      </c>
      <c r="D241" s="29"/>
      <c r="E241" s="29"/>
      <c r="F241" s="21">
        <v>9.9659999999999999E-2</v>
      </c>
      <c r="G241" s="21"/>
      <c r="H241" s="19">
        <v>9.8563499999999991</v>
      </c>
      <c r="I241" s="23"/>
      <c r="J241" s="19">
        <f t="shared" si="18"/>
        <v>0</v>
      </c>
      <c r="M241" s="39" t="str">
        <f t="shared" si="19"/>
        <v>-</v>
      </c>
      <c r="N241" s="39" t="str">
        <f t="shared" si="20"/>
        <v>-</v>
      </c>
      <c r="O241" s="40" t="str">
        <f t="shared" si="21"/>
        <v>-</v>
      </c>
      <c r="P241" s="41" t="str">
        <f t="shared" si="22"/>
        <v>-</v>
      </c>
      <c r="R241" s="41" t="str">
        <f t="shared" si="23"/>
        <v>-</v>
      </c>
    </row>
    <row r="242" spans="1:18" x14ac:dyDescent="0.3">
      <c r="A242" s="26" t="e">
        <v>#N/A</v>
      </c>
      <c r="B242" s="15">
        <v>88395218101</v>
      </c>
      <c r="C242" s="17" t="s">
        <v>467</v>
      </c>
      <c r="D242" s="29"/>
      <c r="E242" s="29"/>
      <c r="F242" s="21">
        <v>0.20385</v>
      </c>
      <c r="G242" s="21"/>
      <c r="H242" s="19">
        <v>19.778849999999998</v>
      </c>
      <c r="I242" s="23"/>
      <c r="J242" s="19">
        <f t="shared" si="18"/>
        <v>0</v>
      </c>
      <c r="M242" s="39" t="str">
        <f t="shared" si="19"/>
        <v>-</v>
      </c>
      <c r="N242" s="39" t="str">
        <f t="shared" si="20"/>
        <v>-</v>
      </c>
      <c r="O242" s="40" t="str">
        <f t="shared" si="21"/>
        <v>-</v>
      </c>
      <c r="P242" s="41" t="str">
        <f t="shared" si="22"/>
        <v>-</v>
      </c>
      <c r="R242" s="41" t="str">
        <f t="shared" si="23"/>
        <v>-</v>
      </c>
    </row>
    <row r="243" spans="1:18" x14ac:dyDescent="0.3">
      <c r="A243" s="26" t="e">
        <v>#N/A</v>
      </c>
      <c r="B243" s="15">
        <v>88395218200</v>
      </c>
      <c r="C243" s="17" t="s">
        <v>468</v>
      </c>
      <c r="D243" s="29"/>
      <c r="E243" s="29"/>
      <c r="F243" s="21">
        <v>0.26273999999999997</v>
      </c>
      <c r="G243" s="21"/>
      <c r="H243" s="19">
        <v>26.393850000000008</v>
      </c>
      <c r="I243" s="23"/>
      <c r="J243" s="19">
        <f t="shared" si="18"/>
        <v>0</v>
      </c>
      <c r="M243" s="39" t="str">
        <f t="shared" si="19"/>
        <v>-</v>
      </c>
      <c r="N243" s="39" t="str">
        <f t="shared" si="20"/>
        <v>-</v>
      </c>
      <c r="O243" s="40" t="str">
        <f t="shared" si="21"/>
        <v>-</v>
      </c>
      <c r="P243" s="41" t="str">
        <f t="shared" si="22"/>
        <v>-</v>
      </c>
      <c r="R243" s="41" t="str">
        <f t="shared" si="23"/>
        <v>-</v>
      </c>
    </row>
    <row r="244" spans="1:18" x14ac:dyDescent="0.3">
      <c r="A244" s="26">
        <v>2211</v>
      </c>
      <c r="B244" s="15">
        <v>88395022111</v>
      </c>
      <c r="C244" s="17" t="s">
        <v>231</v>
      </c>
      <c r="D244" s="29"/>
      <c r="E244" s="29"/>
      <c r="F244" s="21">
        <v>6.7949999999999997E-2</v>
      </c>
      <c r="G244" s="21"/>
      <c r="H244" s="19">
        <v>6.5488500000000016</v>
      </c>
      <c r="I244" s="23"/>
      <c r="J244" s="19">
        <f t="shared" si="18"/>
        <v>0</v>
      </c>
      <c r="M244" s="39" t="str">
        <f t="shared" si="19"/>
        <v>-</v>
      </c>
      <c r="N244" s="39" t="str">
        <f t="shared" si="20"/>
        <v>-</v>
      </c>
      <c r="O244" s="40" t="str">
        <f t="shared" si="21"/>
        <v>-</v>
      </c>
      <c r="P244" s="41" t="str">
        <f t="shared" si="22"/>
        <v>-</v>
      </c>
      <c r="R244" s="41" t="str">
        <f t="shared" si="23"/>
        <v>-</v>
      </c>
    </row>
    <row r="245" spans="1:18" x14ac:dyDescent="0.3">
      <c r="A245" s="26">
        <v>2212</v>
      </c>
      <c r="B245" s="15">
        <v>88395022128</v>
      </c>
      <c r="C245" s="17" t="s">
        <v>232</v>
      </c>
      <c r="D245" s="29"/>
      <c r="E245" s="29"/>
      <c r="F245" s="21">
        <v>0.19026000000000001</v>
      </c>
      <c r="G245" s="21"/>
      <c r="H245" s="19">
        <v>14.685300000000002</v>
      </c>
      <c r="I245" s="23"/>
      <c r="J245" s="19">
        <f t="shared" si="18"/>
        <v>0</v>
      </c>
      <c r="M245" s="39" t="str">
        <f t="shared" si="19"/>
        <v>-</v>
      </c>
      <c r="N245" s="39" t="str">
        <f t="shared" si="20"/>
        <v>-</v>
      </c>
      <c r="O245" s="40" t="str">
        <f t="shared" si="21"/>
        <v>-</v>
      </c>
      <c r="P245" s="41" t="str">
        <f t="shared" si="22"/>
        <v>-</v>
      </c>
      <c r="R245" s="41" t="str">
        <f t="shared" si="23"/>
        <v>-</v>
      </c>
    </row>
    <row r="246" spans="1:18" x14ac:dyDescent="0.3">
      <c r="A246" s="26">
        <v>2381</v>
      </c>
      <c r="B246" s="15">
        <v>88395023811</v>
      </c>
      <c r="C246" s="17" t="s">
        <v>233</v>
      </c>
      <c r="D246" s="29"/>
      <c r="E246" s="29"/>
      <c r="F246" s="21">
        <v>0.24915000000000004</v>
      </c>
      <c r="G246" s="21"/>
      <c r="H246" s="19">
        <v>10.91475</v>
      </c>
      <c r="I246" s="23"/>
      <c r="J246" s="19">
        <f t="shared" si="18"/>
        <v>0</v>
      </c>
      <c r="M246" s="39" t="str">
        <f t="shared" si="19"/>
        <v>-</v>
      </c>
      <c r="N246" s="39" t="str">
        <f t="shared" si="20"/>
        <v>-</v>
      </c>
      <c r="O246" s="40" t="str">
        <f t="shared" si="21"/>
        <v>-</v>
      </c>
      <c r="P246" s="41" t="str">
        <f t="shared" si="22"/>
        <v>-</v>
      </c>
      <c r="R246" s="41" t="str">
        <f t="shared" si="23"/>
        <v>-</v>
      </c>
    </row>
    <row r="247" spans="1:18" x14ac:dyDescent="0.3">
      <c r="A247" s="26">
        <v>2432</v>
      </c>
      <c r="B247" s="15">
        <v>88395024320</v>
      </c>
      <c r="C247" s="17" t="s">
        <v>234</v>
      </c>
      <c r="D247" s="29"/>
      <c r="E247" s="29"/>
      <c r="F247" s="21">
        <v>0.15402000000000002</v>
      </c>
      <c r="G247" s="21"/>
      <c r="H247" s="19">
        <v>14.222250000000001</v>
      </c>
      <c r="I247" s="23"/>
      <c r="J247" s="19">
        <f t="shared" si="18"/>
        <v>0</v>
      </c>
      <c r="M247" s="39" t="str">
        <f t="shared" si="19"/>
        <v>-</v>
      </c>
      <c r="N247" s="39" t="str">
        <f t="shared" si="20"/>
        <v>-</v>
      </c>
      <c r="O247" s="40" t="str">
        <f t="shared" si="21"/>
        <v>-</v>
      </c>
      <c r="P247" s="41" t="str">
        <f t="shared" si="22"/>
        <v>-</v>
      </c>
      <c r="R247" s="41" t="str">
        <f t="shared" si="23"/>
        <v>-</v>
      </c>
    </row>
    <row r="248" spans="1:18" x14ac:dyDescent="0.3">
      <c r="A248" s="26">
        <v>2434</v>
      </c>
      <c r="B248" s="15">
        <v>88395024344</v>
      </c>
      <c r="C248" s="17" t="s">
        <v>235</v>
      </c>
      <c r="D248" s="29"/>
      <c r="E248" s="29"/>
      <c r="F248" s="21">
        <v>8.6070000000000008E-2</v>
      </c>
      <c r="G248" s="21"/>
      <c r="H248" s="19">
        <v>8.9302500000000009</v>
      </c>
      <c r="I248" s="23"/>
      <c r="J248" s="19">
        <f t="shared" si="18"/>
        <v>0</v>
      </c>
      <c r="M248" s="39" t="str">
        <f t="shared" si="19"/>
        <v>-</v>
      </c>
      <c r="N248" s="39" t="str">
        <f t="shared" si="20"/>
        <v>-</v>
      </c>
      <c r="O248" s="40" t="str">
        <f t="shared" si="21"/>
        <v>-</v>
      </c>
      <c r="P248" s="41" t="str">
        <f t="shared" si="22"/>
        <v>-</v>
      </c>
      <c r="R248" s="41" t="str">
        <f t="shared" si="23"/>
        <v>-</v>
      </c>
    </row>
    <row r="249" spans="1:18" x14ac:dyDescent="0.3">
      <c r="A249" s="26">
        <v>2491</v>
      </c>
      <c r="B249" s="15">
        <v>88395249105</v>
      </c>
      <c r="C249" s="17" t="s">
        <v>236</v>
      </c>
      <c r="D249" s="29"/>
      <c r="E249" s="29"/>
      <c r="F249" s="21">
        <v>2.2650000000000003E-2</v>
      </c>
      <c r="G249" s="21"/>
      <c r="H249" s="19">
        <v>5.2258500000000003</v>
      </c>
      <c r="I249" s="23"/>
      <c r="J249" s="19">
        <f t="shared" si="18"/>
        <v>0</v>
      </c>
      <c r="M249" s="39" t="str">
        <f t="shared" si="19"/>
        <v>-</v>
      </c>
      <c r="N249" s="39" t="str">
        <f t="shared" si="20"/>
        <v>-</v>
      </c>
      <c r="O249" s="40" t="str">
        <f t="shared" si="21"/>
        <v>-</v>
      </c>
      <c r="P249" s="41" t="str">
        <f t="shared" si="22"/>
        <v>-</v>
      </c>
      <c r="R249" s="41" t="str">
        <f t="shared" si="23"/>
        <v>-</v>
      </c>
    </row>
    <row r="250" spans="1:18" x14ac:dyDescent="0.3">
      <c r="A250" s="26">
        <v>2492</v>
      </c>
      <c r="B250" s="15">
        <v>88395249204</v>
      </c>
      <c r="C250" s="17" t="s">
        <v>237</v>
      </c>
      <c r="D250" s="29"/>
      <c r="E250" s="29"/>
      <c r="F250" s="21">
        <v>4.5300000000000007E-2</v>
      </c>
      <c r="G250" s="21"/>
      <c r="H250" s="19">
        <v>8.9302500000000009</v>
      </c>
      <c r="I250" s="23"/>
      <c r="J250" s="19">
        <f t="shared" si="18"/>
        <v>0</v>
      </c>
      <c r="M250" s="39" t="str">
        <f t="shared" si="19"/>
        <v>-</v>
      </c>
      <c r="N250" s="39" t="str">
        <f t="shared" si="20"/>
        <v>-</v>
      </c>
      <c r="O250" s="40" t="str">
        <f t="shared" si="21"/>
        <v>-</v>
      </c>
      <c r="P250" s="41" t="str">
        <f t="shared" si="22"/>
        <v>-</v>
      </c>
      <c r="R250" s="41" t="str">
        <f t="shared" si="23"/>
        <v>-</v>
      </c>
    </row>
    <row r="251" spans="1:18" x14ac:dyDescent="0.3">
      <c r="A251" s="26">
        <v>2505</v>
      </c>
      <c r="B251" s="15">
        <v>88395250507</v>
      </c>
      <c r="C251" s="17" t="s">
        <v>238</v>
      </c>
      <c r="D251" s="29"/>
      <c r="E251" s="29"/>
      <c r="F251" s="21">
        <v>0.12231000000000002</v>
      </c>
      <c r="G251" s="21"/>
      <c r="H251" s="19">
        <v>8.5333500000000004</v>
      </c>
      <c r="I251" s="23"/>
      <c r="J251" s="19">
        <f t="shared" si="18"/>
        <v>0</v>
      </c>
      <c r="M251" s="39" t="str">
        <f t="shared" si="19"/>
        <v>-</v>
      </c>
      <c r="N251" s="39" t="str">
        <f t="shared" si="20"/>
        <v>-</v>
      </c>
      <c r="O251" s="40" t="str">
        <f t="shared" si="21"/>
        <v>-</v>
      </c>
      <c r="P251" s="41" t="str">
        <f t="shared" si="22"/>
        <v>-</v>
      </c>
      <c r="R251" s="41" t="str">
        <f t="shared" si="23"/>
        <v>-</v>
      </c>
    </row>
    <row r="252" spans="1:18" x14ac:dyDescent="0.3">
      <c r="A252" s="26">
        <v>2507</v>
      </c>
      <c r="B252" s="15">
        <v>88395250705</v>
      </c>
      <c r="C252" s="17" t="s">
        <v>239</v>
      </c>
      <c r="D252" s="29"/>
      <c r="E252" s="29"/>
      <c r="F252" s="21">
        <v>0.27633000000000002</v>
      </c>
      <c r="G252" s="21"/>
      <c r="H252" s="19">
        <v>19.778849999999998</v>
      </c>
      <c r="I252" s="23"/>
      <c r="J252" s="19">
        <f t="shared" si="18"/>
        <v>0</v>
      </c>
      <c r="M252" s="39" t="str">
        <f t="shared" si="19"/>
        <v>-</v>
      </c>
      <c r="N252" s="39" t="str">
        <f t="shared" si="20"/>
        <v>-</v>
      </c>
      <c r="O252" s="40" t="str">
        <f t="shared" si="21"/>
        <v>-</v>
      </c>
      <c r="P252" s="41" t="str">
        <f t="shared" si="22"/>
        <v>-</v>
      </c>
      <c r="R252" s="41" t="str">
        <f t="shared" si="23"/>
        <v>-</v>
      </c>
    </row>
    <row r="253" spans="1:18" x14ac:dyDescent="0.3">
      <c r="A253" s="26">
        <v>2653</v>
      </c>
      <c r="B253" s="15">
        <v>88395026539</v>
      </c>
      <c r="C253" s="17" t="s">
        <v>240</v>
      </c>
      <c r="D253" s="29"/>
      <c r="E253" s="29"/>
      <c r="F253" s="21">
        <v>4.9829999999999999E-2</v>
      </c>
      <c r="G253" s="21"/>
      <c r="H253" s="19">
        <v>9.8563499999999991</v>
      </c>
      <c r="I253" s="23"/>
      <c r="J253" s="19">
        <f t="shared" si="18"/>
        <v>0</v>
      </c>
      <c r="M253" s="39" t="str">
        <f t="shared" si="19"/>
        <v>-</v>
      </c>
      <c r="N253" s="39" t="str">
        <f t="shared" si="20"/>
        <v>-</v>
      </c>
      <c r="O253" s="40" t="str">
        <f t="shared" si="21"/>
        <v>-</v>
      </c>
      <c r="P253" s="41" t="str">
        <f t="shared" si="22"/>
        <v>-</v>
      </c>
      <c r="R253" s="41" t="str">
        <f t="shared" si="23"/>
        <v>-</v>
      </c>
    </row>
    <row r="254" spans="1:18" x14ac:dyDescent="0.3">
      <c r="A254" s="26">
        <v>2663</v>
      </c>
      <c r="B254" s="15">
        <v>88395026638</v>
      </c>
      <c r="C254" s="17" t="s">
        <v>241</v>
      </c>
      <c r="D254" s="29"/>
      <c r="E254" s="29"/>
      <c r="F254" s="21">
        <v>6.7949999999999997E-2</v>
      </c>
      <c r="G254" s="21"/>
      <c r="H254" s="19">
        <v>9.8563499999999991</v>
      </c>
      <c r="I254" s="23"/>
      <c r="J254" s="19">
        <f t="shared" si="18"/>
        <v>0</v>
      </c>
      <c r="M254" s="39" t="str">
        <f t="shared" si="19"/>
        <v>-</v>
      </c>
      <c r="N254" s="39" t="str">
        <f t="shared" si="20"/>
        <v>-</v>
      </c>
      <c r="O254" s="40" t="str">
        <f t="shared" si="21"/>
        <v>-</v>
      </c>
      <c r="P254" s="41" t="str">
        <f t="shared" si="22"/>
        <v>-</v>
      </c>
      <c r="R254" s="41" t="str">
        <f t="shared" si="23"/>
        <v>-</v>
      </c>
    </row>
    <row r="255" spans="1:18" x14ac:dyDescent="0.3">
      <c r="A255" s="26">
        <v>2666</v>
      </c>
      <c r="B255" s="15">
        <v>88395026669</v>
      </c>
      <c r="C255" s="17" t="s">
        <v>242</v>
      </c>
      <c r="D255" s="29"/>
      <c r="E255" s="29"/>
      <c r="F255" s="21">
        <v>0.18120000000000003</v>
      </c>
      <c r="G255" s="21"/>
      <c r="H255" s="19">
        <v>26.393850000000008</v>
      </c>
      <c r="I255" s="23"/>
      <c r="J255" s="19">
        <f t="shared" si="18"/>
        <v>0</v>
      </c>
      <c r="M255" s="39" t="str">
        <f t="shared" si="19"/>
        <v>-</v>
      </c>
      <c r="N255" s="39" t="str">
        <f t="shared" si="20"/>
        <v>-</v>
      </c>
      <c r="O255" s="40" t="str">
        <f t="shared" si="21"/>
        <v>-</v>
      </c>
      <c r="P255" s="41" t="str">
        <f t="shared" si="22"/>
        <v>-</v>
      </c>
      <c r="R255" s="41" t="str">
        <f t="shared" si="23"/>
        <v>-</v>
      </c>
    </row>
    <row r="256" spans="1:18" x14ac:dyDescent="0.3">
      <c r="A256" s="26">
        <v>2760</v>
      </c>
      <c r="B256" s="15">
        <v>88395027604</v>
      </c>
      <c r="C256" s="17" t="s">
        <v>243</v>
      </c>
      <c r="D256" s="29"/>
      <c r="E256" s="29"/>
      <c r="F256" s="21">
        <v>4.5300000000000007E-2</v>
      </c>
      <c r="G256" s="21"/>
      <c r="H256" s="19">
        <v>5.8873499999999996</v>
      </c>
      <c r="I256" s="23"/>
      <c r="J256" s="19">
        <f t="shared" si="18"/>
        <v>0</v>
      </c>
      <c r="M256" s="39" t="str">
        <f t="shared" si="19"/>
        <v>-</v>
      </c>
      <c r="N256" s="39" t="str">
        <f t="shared" si="20"/>
        <v>-</v>
      </c>
      <c r="O256" s="40" t="str">
        <f t="shared" si="21"/>
        <v>-</v>
      </c>
      <c r="P256" s="41" t="str">
        <f t="shared" si="22"/>
        <v>-</v>
      </c>
      <c r="R256" s="41" t="str">
        <f t="shared" si="23"/>
        <v>-</v>
      </c>
    </row>
    <row r="257" spans="1:18" x14ac:dyDescent="0.3">
      <c r="A257" s="26">
        <v>2763</v>
      </c>
      <c r="B257" s="15">
        <v>88395027635</v>
      </c>
      <c r="C257" s="17" t="s">
        <v>244</v>
      </c>
      <c r="D257" s="29"/>
      <c r="E257" s="29"/>
      <c r="F257" s="21">
        <v>9.0600000000000014E-2</v>
      </c>
      <c r="G257" s="21"/>
      <c r="H257" s="19">
        <v>16.471349999999997</v>
      </c>
      <c r="I257" s="23"/>
      <c r="J257" s="19">
        <f t="shared" si="18"/>
        <v>0</v>
      </c>
      <c r="M257" s="39" t="str">
        <f t="shared" si="19"/>
        <v>-</v>
      </c>
      <c r="N257" s="39" t="str">
        <f t="shared" si="20"/>
        <v>-</v>
      </c>
      <c r="O257" s="40" t="str">
        <f t="shared" si="21"/>
        <v>-</v>
      </c>
      <c r="P257" s="41" t="str">
        <f t="shared" si="22"/>
        <v>-</v>
      </c>
      <c r="R257" s="41" t="str">
        <f t="shared" si="23"/>
        <v>-</v>
      </c>
    </row>
    <row r="258" spans="1:18" x14ac:dyDescent="0.3">
      <c r="A258" s="26">
        <v>2790</v>
      </c>
      <c r="B258" s="15">
        <v>88395279003</v>
      </c>
      <c r="C258" s="17" t="s">
        <v>245</v>
      </c>
      <c r="D258" s="29"/>
      <c r="E258" s="29"/>
      <c r="F258" s="21">
        <v>4.9829999999999999E-2</v>
      </c>
      <c r="G258" s="21"/>
      <c r="H258" s="19">
        <v>11.907</v>
      </c>
      <c r="I258" s="23"/>
      <c r="J258" s="19">
        <f t="shared" si="18"/>
        <v>0</v>
      </c>
      <c r="M258" s="39" t="str">
        <f t="shared" si="19"/>
        <v>-</v>
      </c>
      <c r="N258" s="39" t="str">
        <f t="shared" si="20"/>
        <v>-</v>
      </c>
      <c r="O258" s="40" t="str">
        <f t="shared" si="21"/>
        <v>-</v>
      </c>
      <c r="P258" s="41" t="str">
        <f t="shared" si="22"/>
        <v>-</v>
      </c>
      <c r="R258" s="41" t="str">
        <f t="shared" si="23"/>
        <v>-</v>
      </c>
    </row>
    <row r="259" spans="1:18" x14ac:dyDescent="0.3">
      <c r="A259" s="26">
        <v>2791</v>
      </c>
      <c r="B259" s="15">
        <v>88395027918</v>
      </c>
      <c r="C259" s="17" t="s">
        <v>246</v>
      </c>
      <c r="D259" s="29"/>
      <c r="E259" s="29"/>
      <c r="F259" s="21">
        <v>0.11325</v>
      </c>
      <c r="G259" s="21"/>
      <c r="H259" s="19">
        <v>18.191250000000004</v>
      </c>
      <c r="I259" s="23"/>
      <c r="J259" s="19">
        <f t="shared" ref="J259:J322" si="24">I259*H259</f>
        <v>0</v>
      </c>
      <c r="M259" s="39" t="str">
        <f t="shared" si="19"/>
        <v>-</v>
      </c>
      <c r="N259" s="39" t="str">
        <f t="shared" si="20"/>
        <v>-</v>
      </c>
      <c r="O259" s="40" t="str">
        <f t="shared" si="21"/>
        <v>-</v>
      </c>
      <c r="P259" s="41" t="str">
        <f t="shared" si="22"/>
        <v>-</v>
      </c>
      <c r="R259" s="41" t="str">
        <f t="shared" si="23"/>
        <v>-</v>
      </c>
    </row>
    <row r="260" spans="1:18" x14ac:dyDescent="0.3">
      <c r="A260" s="26">
        <v>2792</v>
      </c>
      <c r="B260" s="15">
        <v>88395027925</v>
      </c>
      <c r="C260" s="17" t="s">
        <v>247</v>
      </c>
      <c r="D260" s="29"/>
      <c r="E260" s="29"/>
      <c r="F260" s="21">
        <v>0.24915000000000004</v>
      </c>
      <c r="G260" s="21"/>
      <c r="H260" s="19">
        <v>36.382500000000007</v>
      </c>
      <c r="I260" s="23"/>
      <c r="J260" s="19">
        <f t="shared" si="24"/>
        <v>0</v>
      </c>
      <c r="M260" s="39" t="str">
        <f t="shared" ref="M260:M323" si="25">IFERROR(IF($M$2*F260=0, "-", $M$2*F260), "-")</f>
        <v>-</v>
      </c>
      <c r="N260" s="39" t="str">
        <f t="shared" ref="N260:N323" si="26">IF(I260&gt;0,H260+F260*I260/$O$2*$P$2/I260,"-")</f>
        <v>-</v>
      </c>
      <c r="O260" s="40" t="str">
        <f t="shared" ref="O260:O323" si="27">IF(I260&gt;0,I260*F260*1.13, "-")</f>
        <v>-</v>
      </c>
      <c r="P260" s="41" t="str">
        <f t="shared" ref="P260:P323" si="28">IFERROR(IF($M$2&gt;0, $M$2*O260, "-"), "-")</f>
        <v>-</v>
      </c>
      <c r="R260" s="41" t="str">
        <f t="shared" ref="R260:R323" si="29">IFERROR(IF(P260+J260=0, "-", IF(P260&gt;0, P260+J260, "-")), "-")</f>
        <v>-</v>
      </c>
    </row>
    <row r="261" spans="1:18" x14ac:dyDescent="0.3">
      <c r="A261" s="26">
        <v>3000</v>
      </c>
      <c r="B261" s="15">
        <v>88395030000</v>
      </c>
      <c r="C261" s="17" t="s">
        <v>248</v>
      </c>
      <c r="D261" s="29"/>
      <c r="E261" s="29"/>
      <c r="F261" s="21">
        <v>0.15855</v>
      </c>
      <c r="G261" s="21"/>
      <c r="H261" s="19">
        <v>7.6072500000000005</v>
      </c>
      <c r="I261" s="23"/>
      <c r="J261" s="19">
        <f t="shared" si="24"/>
        <v>0</v>
      </c>
      <c r="M261" s="39" t="str">
        <f t="shared" si="25"/>
        <v>-</v>
      </c>
      <c r="N261" s="39" t="str">
        <f t="shared" si="26"/>
        <v>-</v>
      </c>
      <c r="O261" s="40" t="str">
        <f t="shared" si="27"/>
        <v>-</v>
      </c>
      <c r="P261" s="41" t="str">
        <f t="shared" si="28"/>
        <v>-</v>
      </c>
      <c r="R261" s="41" t="str">
        <f t="shared" si="29"/>
        <v>-</v>
      </c>
    </row>
    <row r="262" spans="1:18" x14ac:dyDescent="0.3">
      <c r="A262" s="26">
        <v>3001</v>
      </c>
      <c r="B262" s="15">
        <v>88395030017</v>
      </c>
      <c r="C262" s="17" t="s">
        <v>249</v>
      </c>
      <c r="D262" s="29"/>
      <c r="E262" s="29"/>
      <c r="F262" s="21">
        <v>0.24915000000000004</v>
      </c>
      <c r="G262" s="21"/>
      <c r="H262" s="19">
        <v>13.16385</v>
      </c>
      <c r="I262" s="23"/>
      <c r="J262" s="19">
        <f t="shared" si="24"/>
        <v>0</v>
      </c>
      <c r="M262" s="39" t="str">
        <f t="shared" si="25"/>
        <v>-</v>
      </c>
      <c r="N262" s="39" t="str">
        <f t="shared" si="26"/>
        <v>-</v>
      </c>
      <c r="O262" s="40" t="str">
        <f t="shared" si="27"/>
        <v>-</v>
      </c>
      <c r="P262" s="41" t="str">
        <f t="shared" si="28"/>
        <v>-</v>
      </c>
      <c r="R262" s="41" t="str">
        <f t="shared" si="29"/>
        <v>-</v>
      </c>
    </row>
    <row r="263" spans="1:18" x14ac:dyDescent="0.3">
      <c r="A263" s="26">
        <v>3002</v>
      </c>
      <c r="B263" s="15">
        <v>88395030024</v>
      </c>
      <c r="C263" s="17" t="s">
        <v>250</v>
      </c>
      <c r="D263" s="29"/>
      <c r="E263" s="29"/>
      <c r="F263" s="21">
        <v>0.61155000000000004</v>
      </c>
      <c r="G263" s="21"/>
      <c r="H263" s="19">
        <v>29.701350000000005</v>
      </c>
      <c r="I263" s="23"/>
      <c r="J263" s="19">
        <f t="shared" si="24"/>
        <v>0</v>
      </c>
      <c r="M263" s="39" t="str">
        <f t="shared" si="25"/>
        <v>-</v>
      </c>
      <c r="N263" s="39" t="str">
        <f t="shared" si="26"/>
        <v>-</v>
      </c>
      <c r="O263" s="40" t="str">
        <f t="shared" si="27"/>
        <v>-</v>
      </c>
      <c r="P263" s="41" t="str">
        <f t="shared" si="28"/>
        <v>-</v>
      </c>
      <c r="R263" s="41" t="str">
        <f t="shared" si="29"/>
        <v>-</v>
      </c>
    </row>
    <row r="264" spans="1:18" x14ac:dyDescent="0.3">
      <c r="A264" s="26">
        <v>3061</v>
      </c>
      <c r="B264" s="15">
        <v>88395030611</v>
      </c>
      <c r="C264" s="17" t="s">
        <v>251</v>
      </c>
      <c r="D264" s="29"/>
      <c r="E264" s="29"/>
      <c r="F264" s="21">
        <v>0.11325</v>
      </c>
      <c r="G264" s="21"/>
      <c r="H264" s="19">
        <v>12.23775</v>
      </c>
      <c r="I264" s="23"/>
      <c r="J264" s="19">
        <f t="shared" si="24"/>
        <v>0</v>
      </c>
      <c r="M264" s="39" t="str">
        <f t="shared" si="25"/>
        <v>-</v>
      </c>
      <c r="N264" s="39" t="str">
        <f t="shared" si="26"/>
        <v>-</v>
      </c>
      <c r="O264" s="40" t="str">
        <f t="shared" si="27"/>
        <v>-</v>
      </c>
      <c r="P264" s="41" t="str">
        <f t="shared" si="28"/>
        <v>-</v>
      </c>
      <c r="R264" s="41" t="str">
        <f t="shared" si="29"/>
        <v>-</v>
      </c>
    </row>
    <row r="265" spans="1:18" x14ac:dyDescent="0.3">
      <c r="A265" s="26">
        <v>3062</v>
      </c>
      <c r="B265" s="15">
        <v>88395030628</v>
      </c>
      <c r="C265" s="17" t="s">
        <v>252</v>
      </c>
      <c r="D265" s="29"/>
      <c r="E265" s="29"/>
      <c r="F265" s="21">
        <v>0.24915000000000004</v>
      </c>
      <c r="G265" s="21"/>
      <c r="H265" s="19">
        <v>27.452249999999999</v>
      </c>
      <c r="I265" s="23"/>
      <c r="J265" s="19">
        <f t="shared" si="24"/>
        <v>0</v>
      </c>
      <c r="M265" s="39" t="str">
        <f t="shared" si="25"/>
        <v>-</v>
      </c>
      <c r="N265" s="39" t="str">
        <f t="shared" si="26"/>
        <v>-</v>
      </c>
      <c r="O265" s="40" t="str">
        <f t="shared" si="27"/>
        <v>-</v>
      </c>
      <c r="P265" s="41" t="str">
        <f t="shared" si="28"/>
        <v>-</v>
      </c>
      <c r="R265" s="41" t="str">
        <f t="shared" si="29"/>
        <v>-</v>
      </c>
    </row>
    <row r="266" spans="1:18" x14ac:dyDescent="0.3">
      <c r="A266" s="26">
        <v>3084</v>
      </c>
      <c r="B266" s="15">
        <v>88395030840</v>
      </c>
      <c r="C266" s="17" t="s">
        <v>253</v>
      </c>
      <c r="D266" s="29"/>
      <c r="E266" s="29"/>
      <c r="F266" s="21">
        <v>1.1098500000000002</v>
      </c>
      <c r="G266" s="21"/>
      <c r="H266" s="19">
        <v>69.457499999999996</v>
      </c>
      <c r="I266" s="23"/>
      <c r="J266" s="19">
        <f t="shared" si="24"/>
        <v>0</v>
      </c>
      <c r="M266" s="39" t="str">
        <f t="shared" si="25"/>
        <v>-</v>
      </c>
      <c r="N266" s="39" t="str">
        <f t="shared" si="26"/>
        <v>-</v>
      </c>
      <c r="O266" s="40" t="str">
        <f t="shared" si="27"/>
        <v>-</v>
      </c>
      <c r="P266" s="41" t="str">
        <f t="shared" si="28"/>
        <v>-</v>
      </c>
      <c r="R266" s="41" t="str">
        <f t="shared" si="29"/>
        <v>-</v>
      </c>
    </row>
    <row r="267" spans="1:18" x14ac:dyDescent="0.3">
      <c r="A267" s="26">
        <v>3086</v>
      </c>
      <c r="B267" s="15">
        <v>88395030864</v>
      </c>
      <c r="C267" s="17" t="s">
        <v>254</v>
      </c>
      <c r="D267" s="29"/>
      <c r="E267" s="29"/>
      <c r="F267" s="21">
        <v>0.20385</v>
      </c>
      <c r="G267" s="21"/>
      <c r="H267" s="19">
        <v>13.16385</v>
      </c>
      <c r="I267" s="23"/>
      <c r="J267" s="19">
        <f t="shared" si="24"/>
        <v>0</v>
      </c>
      <c r="M267" s="39" t="str">
        <f t="shared" si="25"/>
        <v>-</v>
      </c>
      <c r="N267" s="39" t="str">
        <f t="shared" si="26"/>
        <v>-</v>
      </c>
      <c r="O267" s="40" t="str">
        <f t="shared" si="27"/>
        <v>-</v>
      </c>
      <c r="P267" s="41" t="str">
        <f t="shared" si="28"/>
        <v>-</v>
      </c>
      <c r="R267" s="41" t="str">
        <f t="shared" si="29"/>
        <v>-</v>
      </c>
    </row>
    <row r="268" spans="1:18" x14ac:dyDescent="0.3">
      <c r="A268" s="26">
        <v>3100</v>
      </c>
      <c r="B268" s="15">
        <v>88395031007</v>
      </c>
      <c r="C268" s="17" t="s">
        <v>255</v>
      </c>
      <c r="D268" s="29"/>
      <c r="E268" s="29"/>
      <c r="F268" s="21">
        <v>0.15402000000000002</v>
      </c>
      <c r="G268" s="21"/>
      <c r="H268" s="19">
        <v>6.9457500000000003</v>
      </c>
      <c r="I268" s="23"/>
      <c r="J268" s="19">
        <f t="shared" si="24"/>
        <v>0</v>
      </c>
      <c r="M268" s="39" t="str">
        <f t="shared" si="25"/>
        <v>-</v>
      </c>
      <c r="N268" s="39" t="str">
        <f t="shared" si="26"/>
        <v>-</v>
      </c>
      <c r="O268" s="40" t="str">
        <f t="shared" si="27"/>
        <v>-</v>
      </c>
      <c r="P268" s="41" t="str">
        <f t="shared" si="28"/>
        <v>-</v>
      </c>
      <c r="R268" s="41" t="str">
        <f t="shared" si="29"/>
        <v>-</v>
      </c>
    </row>
    <row r="269" spans="1:18" x14ac:dyDescent="0.3">
      <c r="A269" s="26">
        <v>3101</v>
      </c>
      <c r="B269" s="15">
        <v>88395031014</v>
      </c>
      <c r="C269" s="17" t="s">
        <v>255</v>
      </c>
      <c r="D269" s="29"/>
      <c r="E269" s="29"/>
      <c r="F269" s="21">
        <v>0.29445000000000005</v>
      </c>
      <c r="G269" s="21"/>
      <c r="H269" s="19">
        <v>13.16385</v>
      </c>
      <c r="I269" s="23"/>
      <c r="J269" s="19">
        <f t="shared" si="24"/>
        <v>0</v>
      </c>
      <c r="M269" s="39" t="str">
        <f t="shared" si="25"/>
        <v>-</v>
      </c>
      <c r="N269" s="39" t="str">
        <f t="shared" si="26"/>
        <v>-</v>
      </c>
      <c r="O269" s="40" t="str">
        <f t="shared" si="27"/>
        <v>-</v>
      </c>
      <c r="P269" s="41" t="str">
        <f t="shared" si="28"/>
        <v>-</v>
      </c>
      <c r="R269" s="41" t="str">
        <f t="shared" si="29"/>
        <v>-</v>
      </c>
    </row>
    <row r="270" spans="1:18" x14ac:dyDescent="0.3">
      <c r="A270" s="26">
        <v>3200</v>
      </c>
      <c r="B270" s="15">
        <v>88395320002</v>
      </c>
      <c r="C270" s="17" t="s">
        <v>256</v>
      </c>
      <c r="D270" s="29"/>
      <c r="E270" s="29"/>
      <c r="F270" s="21">
        <v>4.5300000000000007E-2</v>
      </c>
      <c r="G270" s="21"/>
      <c r="H270" s="19">
        <v>16.471349999999997</v>
      </c>
      <c r="I270" s="23"/>
      <c r="J270" s="19">
        <f t="shared" si="24"/>
        <v>0</v>
      </c>
      <c r="M270" s="39" t="str">
        <f t="shared" si="25"/>
        <v>-</v>
      </c>
      <c r="N270" s="39" t="str">
        <f t="shared" si="26"/>
        <v>-</v>
      </c>
      <c r="O270" s="40" t="str">
        <f t="shared" si="27"/>
        <v>-</v>
      </c>
      <c r="P270" s="41" t="str">
        <f t="shared" si="28"/>
        <v>-</v>
      </c>
      <c r="R270" s="41" t="str">
        <f t="shared" si="29"/>
        <v>-</v>
      </c>
    </row>
    <row r="271" spans="1:18" x14ac:dyDescent="0.3">
      <c r="A271" s="26">
        <v>3201</v>
      </c>
      <c r="B271" s="15">
        <v>88395320101</v>
      </c>
      <c r="C271" s="17" t="s">
        <v>257</v>
      </c>
      <c r="D271" s="29"/>
      <c r="E271" s="29"/>
      <c r="F271" s="21">
        <v>8.1540000000000001E-2</v>
      </c>
      <c r="G271" s="21"/>
      <c r="H271" s="19">
        <v>30.561299999999996</v>
      </c>
      <c r="I271" s="23"/>
      <c r="J271" s="19">
        <f t="shared" si="24"/>
        <v>0</v>
      </c>
      <c r="M271" s="39" t="str">
        <f t="shared" si="25"/>
        <v>-</v>
      </c>
      <c r="N271" s="39" t="str">
        <f t="shared" si="26"/>
        <v>-</v>
      </c>
      <c r="O271" s="40" t="str">
        <f t="shared" si="27"/>
        <v>-</v>
      </c>
      <c r="P271" s="41" t="str">
        <f t="shared" si="28"/>
        <v>-</v>
      </c>
      <c r="R271" s="41" t="str">
        <f t="shared" si="29"/>
        <v>-</v>
      </c>
    </row>
    <row r="272" spans="1:18" x14ac:dyDescent="0.3">
      <c r="A272" s="26">
        <v>3251</v>
      </c>
      <c r="B272" s="15">
        <v>88395032516</v>
      </c>
      <c r="C272" s="17" t="s">
        <v>258</v>
      </c>
      <c r="D272" s="29"/>
      <c r="E272" s="29"/>
      <c r="F272" s="21">
        <v>0.15855</v>
      </c>
      <c r="G272" s="21"/>
      <c r="H272" s="19">
        <v>9.8563499999999991</v>
      </c>
      <c r="I272" s="23"/>
      <c r="J272" s="19">
        <f t="shared" si="24"/>
        <v>0</v>
      </c>
      <c r="M272" s="39" t="str">
        <f t="shared" si="25"/>
        <v>-</v>
      </c>
      <c r="N272" s="39" t="str">
        <f t="shared" si="26"/>
        <v>-</v>
      </c>
      <c r="O272" s="40" t="str">
        <f t="shared" si="27"/>
        <v>-</v>
      </c>
      <c r="P272" s="41" t="str">
        <f t="shared" si="28"/>
        <v>-</v>
      </c>
      <c r="R272" s="41" t="str">
        <f t="shared" si="29"/>
        <v>-</v>
      </c>
    </row>
    <row r="273" spans="1:18" x14ac:dyDescent="0.3">
      <c r="A273" s="26">
        <v>3252</v>
      </c>
      <c r="B273" s="15">
        <v>88395032523</v>
      </c>
      <c r="C273" s="17" t="s">
        <v>259</v>
      </c>
      <c r="D273" s="29"/>
      <c r="E273" s="29"/>
      <c r="F273" s="21">
        <v>0.38505</v>
      </c>
      <c r="G273" s="21"/>
      <c r="H273" s="19">
        <v>19.778849999999998</v>
      </c>
      <c r="I273" s="23"/>
      <c r="J273" s="19">
        <f t="shared" si="24"/>
        <v>0</v>
      </c>
      <c r="M273" s="39" t="str">
        <f t="shared" si="25"/>
        <v>-</v>
      </c>
      <c r="N273" s="39" t="str">
        <f t="shared" si="26"/>
        <v>-</v>
      </c>
      <c r="O273" s="40" t="str">
        <f t="shared" si="27"/>
        <v>-</v>
      </c>
      <c r="P273" s="41" t="str">
        <f t="shared" si="28"/>
        <v>-</v>
      </c>
      <c r="R273" s="41" t="str">
        <f t="shared" si="29"/>
        <v>-</v>
      </c>
    </row>
    <row r="274" spans="1:18" x14ac:dyDescent="0.3">
      <c r="A274" s="26">
        <v>3306</v>
      </c>
      <c r="B274" s="15">
        <v>88395330605</v>
      </c>
      <c r="C274" s="17" t="s">
        <v>260</v>
      </c>
      <c r="D274" s="29"/>
      <c r="E274" s="29"/>
      <c r="F274" s="21">
        <v>0.15855</v>
      </c>
      <c r="G274" s="21"/>
      <c r="H274" s="19">
        <v>11.179350000000001</v>
      </c>
      <c r="I274" s="23"/>
      <c r="J274" s="19">
        <f t="shared" si="24"/>
        <v>0</v>
      </c>
      <c r="M274" s="39" t="str">
        <f t="shared" si="25"/>
        <v>-</v>
      </c>
      <c r="N274" s="39" t="str">
        <f t="shared" si="26"/>
        <v>-</v>
      </c>
      <c r="O274" s="40" t="str">
        <f t="shared" si="27"/>
        <v>-</v>
      </c>
      <c r="P274" s="41" t="str">
        <f t="shared" si="28"/>
        <v>-</v>
      </c>
      <c r="R274" s="41" t="str">
        <f t="shared" si="29"/>
        <v>-</v>
      </c>
    </row>
    <row r="275" spans="1:18" x14ac:dyDescent="0.3">
      <c r="A275" s="26">
        <v>3307</v>
      </c>
      <c r="B275" s="15">
        <v>88395330704</v>
      </c>
      <c r="C275" s="17" t="s">
        <v>261</v>
      </c>
      <c r="D275" s="29"/>
      <c r="E275" s="29"/>
      <c r="F275" s="21">
        <v>0.37598999999999999</v>
      </c>
      <c r="G275" s="21"/>
      <c r="H275" s="19">
        <v>23.483249999999998</v>
      </c>
      <c r="I275" s="23"/>
      <c r="J275" s="19">
        <f t="shared" si="24"/>
        <v>0</v>
      </c>
      <c r="M275" s="39" t="str">
        <f t="shared" si="25"/>
        <v>-</v>
      </c>
      <c r="N275" s="39" t="str">
        <f t="shared" si="26"/>
        <v>-</v>
      </c>
      <c r="O275" s="40" t="str">
        <f t="shared" si="27"/>
        <v>-</v>
      </c>
      <c r="P275" s="41" t="str">
        <f t="shared" si="28"/>
        <v>-</v>
      </c>
      <c r="R275" s="41" t="str">
        <f t="shared" si="29"/>
        <v>-</v>
      </c>
    </row>
    <row r="276" spans="1:18" x14ac:dyDescent="0.3">
      <c r="A276" s="26">
        <v>3354</v>
      </c>
      <c r="B276" s="15">
        <v>88395335402</v>
      </c>
      <c r="C276" s="17" t="s">
        <v>262</v>
      </c>
      <c r="D276" s="29"/>
      <c r="E276" s="29"/>
      <c r="F276" s="21">
        <v>1.1143799999999999</v>
      </c>
      <c r="G276" s="21"/>
      <c r="H276" s="19">
        <v>36.382500000000007</v>
      </c>
      <c r="I276" s="23"/>
      <c r="J276" s="19">
        <f t="shared" si="24"/>
        <v>0</v>
      </c>
      <c r="M276" s="39" t="str">
        <f t="shared" si="25"/>
        <v>-</v>
      </c>
      <c r="N276" s="39" t="str">
        <f t="shared" si="26"/>
        <v>-</v>
      </c>
      <c r="O276" s="40" t="str">
        <f t="shared" si="27"/>
        <v>-</v>
      </c>
      <c r="P276" s="41" t="str">
        <f t="shared" si="28"/>
        <v>-</v>
      </c>
      <c r="R276" s="41" t="str">
        <f t="shared" si="29"/>
        <v>-</v>
      </c>
    </row>
    <row r="277" spans="1:18" x14ac:dyDescent="0.3">
      <c r="A277" s="26">
        <v>3356</v>
      </c>
      <c r="B277" s="15">
        <v>88395335600</v>
      </c>
      <c r="C277" s="17" t="s">
        <v>263</v>
      </c>
      <c r="D277" s="29"/>
      <c r="E277" s="29"/>
      <c r="F277" s="21">
        <v>0.20385</v>
      </c>
      <c r="G277" s="21"/>
      <c r="H277" s="19">
        <v>11.179350000000001</v>
      </c>
      <c r="I277" s="23"/>
      <c r="J277" s="19">
        <f t="shared" si="24"/>
        <v>0</v>
      </c>
      <c r="M277" s="39" t="str">
        <f t="shared" si="25"/>
        <v>-</v>
      </c>
      <c r="N277" s="39" t="str">
        <f t="shared" si="26"/>
        <v>-</v>
      </c>
      <c r="O277" s="40" t="str">
        <f t="shared" si="27"/>
        <v>-</v>
      </c>
      <c r="P277" s="41" t="str">
        <f t="shared" si="28"/>
        <v>-</v>
      </c>
      <c r="R277" s="41" t="str">
        <f t="shared" si="29"/>
        <v>-</v>
      </c>
    </row>
    <row r="278" spans="1:18" x14ac:dyDescent="0.3">
      <c r="A278" s="26">
        <v>4002</v>
      </c>
      <c r="B278" s="15">
        <v>88395040023</v>
      </c>
      <c r="C278" s="17" t="s">
        <v>264</v>
      </c>
      <c r="D278" s="29"/>
      <c r="E278" s="29"/>
      <c r="F278" s="21">
        <v>0.45300000000000001</v>
      </c>
      <c r="G278" s="21"/>
      <c r="H278" s="19">
        <v>60.858000000000004</v>
      </c>
      <c r="I278" s="23"/>
      <c r="J278" s="19">
        <f t="shared" si="24"/>
        <v>0</v>
      </c>
      <c r="M278" s="39" t="str">
        <f t="shared" si="25"/>
        <v>-</v>
      </c>
      <c r="N278" s="39" t="str">
        <f t="shared" si="26"/>
        <v>-</v>
      </c>
      <c r="O278" s="40" t="str">
        <f t="shared" si="27"/>
        <v>-</v>
      </c>
      <c r="P278" s="41" t="str">
        <f t="shared" si="28"/>
        <v>-</v>
      </c>
      <c r="R278" s="41" t="str">
        <f t="shared" si="29"/>
        <v>-</v>
      </c>
    </row>
    <row r="279" spans="1:18" x14ac:dyDescent="0.3">
      <c r="A279" s="26">
        <v>4009</v>
      </c>
      <c r="B279" s="15">
        <v>88395040092</v>
      </c>
      <c r="C279" s="17" t="s">
        <v>265</v>
      </c>
      <c r="D279" s="29"/>
      <c r="E279" s="29"/>
      <c r="F279" s="21">
        <v>0.15855</v>
      </c>
      <c r="G279" s="21"/>
      <c r="H279" s="19">
        <v>21.763349999999996</v>
      </c>
      <c r="I279" s="23"/>
      <c r="J279" s="19">
        <f t="shared" si="24"/>
        <v>0</v>
      </c>
      <c r="M279" s="39" t="str">
        <f t="shared" si="25"/>
        <v>-</v>
      </c>
      <c r="N279" s="39" t="str">
        <f t="shared" si="26"/>
        <v>-</v>
      </c>
      <c r="O279" s="40" t="str">
        <f t="shared" si="27"/>
        <v>-</v>
      </c>
      <c r="P279" s="41" t="str">
        <f t="shared" si="28"/>
        <v>-</v>
      </c>
      <c r="R279" s="41" t="str">
        <f t="shared" si="29"/>
        <v>-</v>
      </c>
    </row>
    <row r="280" spans="1:18" x14ac:dyDescent="0.3">
      <c r="A280" s="26">
        <v>4011</v>
      </c>
      <c r="B280" s="15">
        <v>88395040115</v>
      </c>
      <c r="C280" s="17" t="s">
        <v>266</v>
      </c>
      <c r="D280" s="29"/>
      <c r="E280" s="29"/>
      <c r="F280" s="21">
        <v>0.29445000000000005</v>
      </c>
      <c r="G280" s="21"/>
      <c r="H280" s="19">
        <v>42.335999999999999</v>
      </c>
      <c r="I280" s="23"/>
      <c r="J280" s="19">
        <f t="shared" si="24"/>
        <v>0</v>
      </c>
      <c r="M280" s="39" t="str">
        <f t="shared" si="25"/>
        <v>-</v>
      </c>
      <c r="N280" s="39" t="str">
        <f t="shared" si="26"/>
        <v>-</v>
      </c>
      <c r="O280" s="40" t="str">
        <f t="shared" si="27"/>
        <v>-</v>
      </c>
      <c r="P280" s="41" t="str">
        <f t="shared" si="28"/>
        <v>-</v>
      </c>
      <c r="R280" s="41" t="str">
        <f t="shared" si="29"/>
        <v>-</v>
      </c>
    </row>
    <row r="281" spans="1:18" x14ac:dyDescent="0.3">
      <c r="A281" s="26">
        <v>4050</v>
      </c>
      <c r="B281" s="15">
        <v>88395040504</v>
      </c>
      <c r="C281" s="17" t="s">
        <v>469</v>
      </c>
      <c r="D281" s="29"/>
      <c r="E281" s="29"/>
      <c r="F281" s="21">
        <v>0.15855</v>
      </c>
      <c r="G281" s="21"/>
      <c r="H281" s="19">
        <v>26.393850000000008</v>
      </c>
      <c r="I281" s="23"/>
      <c r="J281" s="19">
        <f t="shared" si="24"/>
        <v>0</v>
      </c>
      <c r="M281" s="39" t="str">
        <f t="shared" si="25"/>
        <v>-</v>
      </c>
      <c r="N281" s="39" t="str">
        <f t="shared" si="26"/>
        <v>-</v>
      </c>
      <c r="O281" s="40" t="str">
        <f t="shared" si="27"/>
        <v>-</v>
      </c>
      <c r="P281" s="41" t="str">
        <f t="shared" si="28"/>
        <v>-</v>
      </c>
      <c r="R281" s="41" t="str">
        <f t="shared" si="29"/>
        <v>-</v>
      </c>
    </row>
    <row r="282" spans="1:18" x14ac:dyDescent="0.3">
      <c r="A282" s="26">
        <v>4051</v>
      </c>
      <c r="B282" s="15">
        <v>88395040511</v>
      </c>
      <c r="C282" s="17" t="s">
        <v>470</v>
      </c>
      <c r="D282" s="29"/>
      <c r="E282" s="29"/>
      <c r="F282" s="21">
        <v>0.31709999999999999</v>
      </c>
      <c r="G282" s="21"/>
      <c r="H282" s="19">
        <v>50.274000000000008</v>
      </c>
      <c r="I282" s="23"/>
      <c r="J282" s="19">
        <f t="shared" si="24"/>
        <v>0</v>
      </c>
      <c r="M282" s="39" t="str">
        <f t="shared" si="25"/>
        <v>-</v>
      </c>
      <c r="N282" s="39" t="str">
        <f t="shared" si="26"/>
        <v>-</v>
      </c>
      <c r="O282" s="40" t="str">
        <f t="shared" si="27"/>
        <v>-</v>
      </c>
      <c r="P282" s="41" t="str">
        <f t="shared" si="28"/>
        <v>-</v>
      </c>
      <c r="R282" s="41" t="str">
        <f t="shared" si="29"/>
        <v>-</v>
      </c>
    </row>
    <row r="283" spans="1:18" x14ac:dyDescent="0.3">
      <c r="A283" s="26">
        <v>4052</v>
      </c>
      <c r="B283" s="15">
        <v>88395040528</v>
      </c>
      <c r="C283" s="17" t="s">
        <v>471</v>
      </c>
      <c r="D283" s="29"/>
      <c r="E283" s="29"/>
      <c r="F283" s="21">
        <v>0.47565000000000002</v>
      </c>
      <c r="G283" s="21"/>
      <c r="H283" s="19">
        <v>74.088000000000022</v>
      </c>
      <c r="I283" s="23"/>
      <c r="J283" s="19">
        <f t="shared" si="24"/>
        <v>0</v>
      </c>
      <c r="M283" s="39" t="str">
        <f t="shared" si="25"/>
        <v>-</v>
      </c>
      <c r="N283" s="39" t="str">
        <f t="shared" si="26"/>
        <v>-</v>
      </c>
      <c r="O283" s="40" t="str">
        <f t="shared" si="27"/>
        <v>-</v>
      </c>
      <c r="P283" s="41" t="str">
        <f t="shared" si="28"/>
        <v>-</v>
      </c>
      <c r="R283" s="41" t="str">
        <f t="shared" si="29"/>
        <v>-</v>
      </c>
    </row>
    <row r="284" spans="1:18" x14ac:dyDescent="0.3">
      <c r="A284" s="26">
        <v>4131</v>
      </c>
      <c r="B284" s="15">
        <v>88395041310</v>
      </c>
      <c r="C284" s="17" t="s">
        <v>267</v>
      </c>
      <c r="D284" s="29"/>
      <c r="E284" s="29"/>
      <c r="F284" s="21">
        <v>9.5130000000000006E-2</v>
      </c>
      <c r="G284" s="21"/>
      <c r="H284" s="19">
        <v>16.20675</v>
      </c>
      <c r="I284" s="23"/>
      <c r="J284" s="19">
        <f t="shared" si="24"/>
        <v>0</v>
      </c>
      <c r="M284" s="39" t="str">
        <f t="shared" si="25"/>
        <v>-</v>
      </c>
      <c r="N284" s="39" t="str">
        <f t="shared" si="26"/>
        <v>-</v>
      </c>
      <c r="O284" s="40" t="str">
        <f t="shared" si="27"/>
        <v>-</v>
      </c>
      <c r="P284" s="41" t="str">
        <f t="shared" si="28"/>
        <v>-</v>
      </c>
      <c r="R284" s="41" t="str">
        <f t="shared" si="29"/>
        <v>-</v>
      </c>
    </row>
    <row r="285" spans="1:18" x14ac:dyDescent="0.3">
      <c r="A285" s="26">
        <v>4132</v>
      </c>
      <c r="B285" s="15">
        <v>88395041327</v>
      </c>
      <c r="C285" s="17" t="s">
        <v>268</v>
      </c>
      <c r="D285" s="29"/>
      <c r="E285" s="29"/>
      <c r="F285" s="21">
        <v>0.18573000000000001</v>
      </c>
      <c r="G285" s="21"/>
      <c r="H285" s="19">
        <v>22.821749999999994</v>
      </c>
      <c r="I285" s="23"/>
      <c r="J285" s="19">
        <f t="shared" si="24"/>
        <v>0</v>
      </c>
      <c r="M285" s="39" t="str">
        <f t="shared" si="25"/>
        <v>-</v>
      </c>
      <c r="N285" s="39" t="str">
        <f t="shared" si="26"/>
        <v>-</v>
      </c>
      <c r="O285" s="40" t="str">
        <f t="shared" si="27"/>
        <v>-</v>
      </c>
      <c r="P285" s="41" t="str">
        <f t="shared" si="28"/>
        <v>-</v>
      </c>
      <c r="R285" s="41" t="str">
        <f t="shared" si="29"/>
        <v>-</v>
      </c>
    </row>
    <row r="286" spans="1:18" x14ac:dyDescent="0.3">
      <c r="A286" s="26">
        <v>4136</v>
      </c>
      <c r="B286" s="15">
        <v>88395413605</v>
      </c>
      <c r="C286" s="17" t="s">
        <v>269</v>
      </c>
      <c r="D286" s="29"/>
      <c r="E286" s="29"/>
      <c r="F286" s="21">
        <v>0.23556000000000002</v>
      </c>
      <c r="G286" s="21"/>
      <c r="H286" s="19">
        <v>32.413499999999999</v>
      </c>
      <c r="I286" s="23"/>
      <c r="J286" s="19">
        <f t="shared" si="24"/>
        <v>0</v>
      </c>
      <c r="M286" s="39" t="str">
        <f t="shared" si="25"/>
        <v>-</v>
      </c>
      <c r="N286" s="39" t="str">
        <f t="shared" si="26"/>
        <v>-</v>
      </c>
      <c r="O286" s="40" t="str">
        <f t="shared" si="27"/>
        <v>-</v>
      </c>
      <c r="P286" s="41" t="str">
        <f t="shared" si="28"/>
        <v>-</v>
      </c>
      <c r="R286" s="41" t="str">
        <f t="shared" si="29"/>
        <v>-</v>
      </c>
    </row>
    <row r="287" spans="1:18" x14ac:dyDescent="0.3">
      <c r="A287" s="26">
        <v>4200</v>
      </c>
      <c r="B287" s="15">
        <v>88395420009</v>
      </c>
      <c r="C287" s="17" t="s">
        <v>270</v>
      </c>
      <c r="D287" s="29"/>
      <c r="E287" s="29"/>
      <c r="F287" s="21">
        <v>0.19478999999999999</v>
      </c>
      <c r="G287" s="21"/>
      <c r="H287" s="19">
        <v>23.086350000000003</v>
      </c>
      <c r="I287" s="23"/>
      <c r="J287" s="19">
        <f t="shared" si="24"/>
        <v>0</v>
      </c>
      <c r="M287" s="39" t="str">
        <f t="shared" si="25"/>
        <v>-</v>
      </c>
      <c r="N287" s="39" t="str">
        <f t="shared" si="26"/>
        <v>-</v>
      </c>
      <c r="O287" s="40" t="str">
        <f t="shared" si="27"/>
        <v>-</v>
      </c>
      <c r="P287" s="41" t="str">
        <f t="shared" si="28"/>
        <v>-</v>
      </c>
      <c r="R287" s="41" t="str">
        <f t="shared" si="29"/>
        <v>-</v>
      </c>
    </row>
    <row r="288" spans="1:18" x14ac:dyDescent="0.3">
      <c r="A288" s="26">
        <v>4201</v>
      </c>
      <c r="B288" s="15">
        <v>88395420108</v>
      </c>
      <c r="C288" s="17" t="s">
        <v>271</v>
      </c>
      <c r="D288" s="29"/>
      <c r="E288" s="29"/>
      <c r="F288" s="21">
        <v>0.34881000000000001</v>
      </c>
      <c r="G288" s="21"/>
      <c r="H288" s="19">
        <v>42.931349999999995</v>
      </c>
      <c r="I288" s="23"/>
      <c r="J288" s="19">
        <f t="shared" si="24"/>
        <v>0</v>
      </c>
      <c r="M288" s="39" t="str">
        <f t="shared" si="25"/>
        <v>-</v>
      </c>
      <c r="N288" s="39" t="str">
        <f t="shared" si="26"/>
        <v>-</v>
      </c>
      <c r="O288" s="40" t="str">
        <f t="shared" si="27"/>
        <v>-</v>
      </c>
      <c r="P288" s="41" t="str">
        <f t="shared" si="28"/>
        <v>-</v>
      </c>
      <c r="R288" s="41" t="str">
        <f t="shared" si="29"/>
        <v>-</v>
      </c>
    </row>
    <row r="289" spans="1:18" x14ac:dyDescent="0.3">
      <c r="A289" s="26">
        <v>4351</v>
      </c>
      <c r="B289" s="15">
        <v>88395435102</v>
      </c>
      <c r="C289" s="17" t="s">
        <v>272</v>
      </c>
      <c r="D289" s="29"/>
      <c r="E289" s="29"/>
      <c r="F289" s="21">
        <v>7.2480000000000003E-2</v>
      </c>
      <c r="G289" s="21"/>
      <c r="H289" s="19">
        <v>11.576249999999998</v>
      </c>
      <c r="I289" s="23"/>
      <c r="J289" s="19">
        <f t="shared" si="24"/>
        <v>0</v>
      </c>
      <c r="M289" s="39" t="str">
        <f t="shared" si="25"/>
        <v>-</v>
      </c>
      <c r="N289" s="39" t="str">
        <f t="shared" si="26"/>
        <v>-</v>
      </c>
      <c r="O289" s="40" t="str">
        <f t="shared" si="27"/>
        <v>-</v>
      </c>
      <c r="P289" s="41" t="str">
        <f t="shared" si="28"/>
        <v>-</v>
      </c>
      <c r="R289" s="41" t="str">
        <f t="shared" si="29"/>
        <v>-</v>
      </c>
    </row>
    <row r="290" spans="1:18" x14ac:dyDescent="0.3">
      <c r="A290" s="26">
        <v>4352</v>
      </c>
      <c r="B290" s="15">
        <v>88395435201</v>
      </c>
      <c r="C290" s="17" t="s">
        <v>273</v>
      </c>
      <c r="D290" s="29"/>
      <c r="E290" s="29"/>
      <c r="F290" s="21">
        <v>0.19026000000000001</v>
      </c>
      <c r="G290" s="21"/>
      <c r="H290" s="19">
        <v>33.008849999999995</v>
      </c>
      <c r="I290" s="23"/>
      <c r="J290" s="19">
        <f t="shared" si="24"/>
        <v>0</v>
      </c>
      <c r="M290" s="39" t="str">
        <f t="shared" si="25"/>
        <v>-</v>
      </c>
      <c r="N290" s="39" t="str">
        <f t="shared" si="26"/>
        <v>-</v>
      </c>
      <c r="O290" s="40" t="str">
        <f t="shared" si="27"/>
        <v>-</v>
      </c>
      <c r="P290" s="41" t="str">
        <f t="shared" si="28"/>
        <v>-</v>
      </c>
      <c r="R290" s="41" t="str">
        <f t="shared" si="29"/>
        <v>-</v>
      </c>
    </row>
    <row r="291" spans="1:18" x14ac:dyDescent="0.3">
      <c r="A291" s="26">
        <v>4361</v>
      </c>
      <c r="B291" s="15">
        <v>88395436109</v>
      </c>
      <c r="C291" s="17" t="s">
        <v>446</v>
      </c>
      <c r="D291" s="29"/>
      <c r="E291" s="29"/>
      <c r="F291" s="21">
        <v>0.22650000000000001</v>
      </c>
      <c r="G291" s="21"/>
      <c r="H291" s="19">
        <v>27.915299999999998</v>
      </c>
      <c r="I291" s="23"/>
      <c r="J291" s="19">
        <f t="shared" si="24"/>
        <v>0</v>
      </c>
      <c r="M291" s="39" t="str">
        <f t="shared" si="25"/>
        <v>-</v>
      </c>
      <c r="N291" s="39" t="str">
        <f t="shared" si="26"/>
        <v>-</v>
      </c>
      <c r="O291" s="40" t="str">
        <f t="shared" si="27"/>
        <v>-</v>
      </c>
      <c r="P291" s="41" t="str">
        <f t="shared" si="28"/>
        <v>-</v>
      </c>
      <c r="R291" s="41" t="str">
        <f t="shared" si="29"/>
        <v>-</v>
      </c>
    </row>
    <row r="292" spans="1:18" x14ac:dyDescent="0.3">
      <c r="A292" s="26">
        <v>4362</v>
      </c>
      <c r="B292" s="15">
        <v>88395436208</v>
      </c>
      <c r="C292" s="17" t="s">
        <v>447</v>
      </c>
      <c r="D292" s="29"/>
      <c r="E292" s="29"/>
      <c r="F292" s="21">
        <v>0.40770000000000001</v>
      </c>
      <c r="G292" s="21"/>
      <c r="H292" s="19">
        <v>52.92</v>
      </c>
      <c r="I292" s="23"/>
      <c r="J292" s="19">
        <f t="shared" si="24"/>
        <v>0</v>
      </c>
      <c r="M292" s="39" t="str">
        <f t="shared" si="25"/>
        <v>-</v>
      </c>
      <c r="N292" s="39" t="str">
        <f t="shared" si="26"/>
        <v>-</v>
      </c>
      <c r="O292" s="40" t="str">
        <f t="shared" si="27"/>
        <v>-</v>
      </c>
      <c r="P292" s="41" t="str">
        <f t="shared" si="28"/>
        <v>-</v>
      </c>
      <c r="R292" s="41" t="str">
        <f t="shared" si="29"/>
        <v>-</v>
      </c>
    </row>
    <row r="293" spans="1:18" x14ac:dyDescent="0.3">
      <c r="A293" s="26">
        <v>4405</v>
      </c>
      <c r="B293" s="15">
        <v>88395044052</v>
      </c>
      <c r="C293" s="17" t="s">
        <v>274</v>
      </c>
      <c r="D293" s="29"/>
      <c r="E293" s="29"/>
      <c r="F293" s="21">
        <v>0.26727000000000001</v>
      </c>
      <c r="G293" s="21"/>
      <c r="H293" s="19">
        <v>35.985599999999998</v>
      </c>
      <c r="I293" s="23"/>
      <c r="J293" s="19">
        <f t="shared" si="24"/>
        <v>0</v>
      </c>
      <c r="M293" s="39" t="str">
        <f t="shared" si="25"/>
        <v>-</v>
      </c>
      <c r="N293" s="39" t="str">
        <f t="shared" si="26"/>
        <v>-</v>
      </c>
      <c r="O293" s="40" t="str">
        <f t="shared" si="27"/>
        <v>-</v>
      </c>
      <c r="P293" s="41" t="str">
        <f t="shared" si="28"/>
        <v>-</v>
      </c>
      <c r="R293" s="41" t="str">
        <f t="shared" si="29"/>
        <v>-</v>
      </c>
    </row>
    <row r="294" spans="1:18" x14ac:dyDescent="0.3">
      <c r="A294" s="26">
        <v>4406</v>
      </c>
      <c r="B294" s="15">
        <v>88395044069</v>
      </c>
      <c r="C294" s="17" t="s">
        <v>275</v>
      </c>
      <c r="D294" s="29"/>
      <c r="E294" s="29"/>
      <c r="F294" s="21">
        <v>0.13589999999999999</v>
      </c>
      <c r="G294" s="21"/>
      <c r="H294" s="19">
        <v>18.72045</v>
      </c>
      <c r="I294" s="23"/>
      <c r="J294" s="19">
        <f t="shared" si="24"/>
        <v>0</v>
      </c>
      <c r="M294" s="39" t="str">
        <f t="shared" si="25"/>
        <v>-</v>
      </c>
      <c r="N294" s="39" t="str">
        <f t="shared" si="26"/>
        <v>-</v>
      </c>
      <c r="O294" s="40" t="str">
        <f t="shared" si="27"/>
        <v>-</v>
      </c>
      <c r="P294" s="41" t="str">
        <f t="shared" si="28"/>
        <v>-</v>
      </c>
      <c r="R294" s="41" t="str">
        <f t="shared" si="29"/>
        <v>-</v>
      </c>
    </row>
    <row r="295" spans="1:18" x14ac:dyDescent="0.3">
      <c r="A295" s="26">
        <v>4420</v>
      </c>
      <c r="B295" s="15">
        <v>88395044205</v>
      </c>
      <c r="C295" s="17" t="s">
        <v>276</v>
      </c>
      <c r="D295" s="29"/>
      <c r="E295" s="29"/>
      <c r="F295" s="21">
        <v>0.11325</v>
      </c>
      <c r="G295" s="21"/>
      <c r="H295" s="19">
        <v>13.16385</v>
      </c>
      <c r="I295" s="23"/>
      <c r="J295" s="19">
        <f t="shared" si="24"/>
        <v>0</v>
      </c>
      <c r="M295" s="39" t="str">
        <f t="shared" si="25"/>
        <v>-</v>
      </c>
      <c r="N295" s="39" t="str">
        <f t="shared" si="26"/>
        <v>-</v>
      </c>
      <c r="O295" s="40" t="str">
        <f t="shared" si="27"/>
        <v>-</v>
      </c>
      <c r="P295" s="41" t="str">
        <f t="shared" si="28"/>
        <v>-</v>
      </c>
      <c r="R295" s="41" t="str">
        <f t="shared" si="29"/>
        <v>-</v>
      </c>
    </row>
    <row r="296" spans="1:18" x14ac:dyDescent="0.3">
      <c r="A296" s="26">
        <v>4421</v>
      </c>
      <c r="B296" s="15">
        <v>88395044212</v>
      </c>
      <c r="C296" s="17" t="s">
        <v>277</v>
      </c>
      <c r="D296" s="29"/>
      <c r="E296" s="29"/>
      <c r="F296" s="21">
        <v>0.20385</v>
      </c>
      <c r="G296" s="21"/>
      <c r="H296" s="19">
        <v>24.40935</v>
      </c>
      <c r="I296" s="23"/>
      <c r="J296" s="19">
        <f t="shared" si="24"/>
        <v>0</v>
      </c>
      <c r="M296" s="39" t="str">
        <f t="shared" si="25"/>
        <v>-</v>
      </c>
      <c r="N296" s="39" t="str">
        <f t="shared" si="26"/>
        <v>-</v>
      </c>
      <c r="O296" s="40" t="str">
        <f t="shared" si="27"/>
        <v>-</v>
      </c>
      <c r="P296" s="41" t="str">
        <f t="shared" si="28"/>
        <v>-</v>
      </c>
      <c r="R296" s="41" t="str">
        <f t="shared" si="29"/>
        <v>-</v>
      </c>
    </row>
    <row r="297" spans="1:18" x14ac:dyDescent="0.3">
      <c r="A297" s="26">
        <v>4422</v>
      </c>
      <c r="B297" s="15">
        <v>88395044229</v>
      </c>
      <c r="C297" s="17" t="s">
        <v>278</v>
      </c>
      <c r="D297" s="29"/>
      <c r="E297" s="29"/>
      <c r="F297" s="21">
        <v>0.29445000000000005</v>
      </c>
      <c r="G297" s="21"/>
      <c r="H297" s="19">
        <v>34.397999999999996</v>
      </c>
      <c r="I297" s="23"/>
      <c r="J297" s="19">
        <f t="shared" si="24"/>
        <v>0</v>
      </c>
      <c r="M297" s="39" t="str">
        <f t="shared" si="25"/>
        <v>-</v>
      </c>
      <c r="N297" s="39" t="str">
        <f t="shared" si="26"/>
        <v>-</v>
      </c>
      <c r="O297" s="40" t="str">
        <f t="shared" si="27"/>
        <v>-</v>
      </c>
      <c r="P297" s="41" t="str">
        <f t="shared" si="28"/>
        <v>-</v>
      </c>
      <c r="R297" s="41" t="str">
        <f t="shared" si="29"/>
        <v>-</v>
      </c>
    </row>
    <row r="298" spans="1:18" x14ac:dyDescent="0.3">
      <c r="A298" s="26">
        <v>4424</v>
      </c>
      <c r="B298" s="15">
        <v>88395044243</v>
      </c>
      <c r="C298" s="17" t="s">
        <v>279</v>
      </c>
      <c r="D298" s="29"/>
      <c r="E298" s="29"/>
      <c r="F298" s="21">
        <v>0.54359999999999997</v>
      </c>
      <c r="G298" s="21"/>
      <c r="H298" s="19">
        <v>61.85025000000001</v>
      </c>
      <c r="I298" s="23"/>
      <c r="J298" s="19">
        <f t="shared" si="24"/>
        <v>0</v>
      </c>
      <c r="M298" s="39" t="str">
        <f t="shared" si="25"/>
        <v>-</v>
      </c>
      <c r="N298" s="39" t="str">
        <f t="shared" si="26"/>
        <v>-</v>
      </c>
      <c r="O298" s="40" t="str">
        <f t="shared" si="27"/>
        <v>-</v>
      </c>
      <c r="P298" s="41" t="str">
        <f t="shared" si="28"/>
        <v>-</v>
      </c>
      <c r="R298" s="41" t="str">
        <f t="shared" si="29"/>
        <v>-</v>
      </c>
    </row>
    <row r="299" spans="1:18" x14ac:dyDescent="0.3">
      <c r="A299" s="26">
        <v>4430</v>
      </c>
      <c r="B299" s="15">
        <v>88395044304</v>
      </c>
      <c r="C299" s="17" t="s">
        <v>280</v>
      </c>
      <c r="D299" s="29"/>
      <c r="E299" s="29"/>
      <c r="F299" s="21">
        <v>0.11325</v>
      </c>
      <c r="G299" s="21"/>
      <c r="H299" s="19">
        <v>11.84085</v>
      </c>
      <c r="I299" s="23"/>
      <c r="J299" s="19">
        <f t="shared" si="24"/>
        <v>0</v>
      </c>
      <c r="M299" s="39" t="str">
        <f t="shared" si="25"/>
        <v>-</v>
      </c>
      <c r="N299" s="39" t="str">
        <f t="shared" si="26"/>
        <v>-</v>
      </c>
      <c r="O299" s="40" t="str">
        <f t="shared" si="27"/>
        <v>-</v>
      </c>
      <c r="P299" s="41" t="str">
        <f t="shared" si="28"/>
        <v>-</v>
      </c>
      <c r="R299" s="41" t="str">
        <f t="shared" si="29"/>
        <v>-</v>
      </c>
    </row>
    <row r="300" spans="1:18" x14ac:dyDescent="0.3">
      <c r="A300" s="26">
        <v>4432</v>
      </c>
      <c r="B300" s="15">
        <v>88395044328</v>
      </c>
      <c r="C300" s="17" t="s">
        <v>281</v>
      </c>
      <c r="D300" s="29"/>
      <c r="E300" s="29"/>
      <c r="F300" s="21">
        <v>0.45300000000000001</v>
      </c>
      <c r="G300" s="21"/>
      <c r="H300" s="19">
        <v>41.013000000000005</v>
      </c>
      <c r="I300" s="23"/>
      <c r="J300" s="19">
        <f t="shared" si="24"/>
        <v>0</v>
      </c>
      <c r="M300" s="39" t="str">
        <f t="shared" si="25"/>
        <v>-</v>
      </c>
      <c r="N300" s="39" t="str">
        <f t="shared" si="26"/>
        <v>-</v>
      </c>
      <c r="O300" s="40" t="str">
        <f t="shared" si="27"/>
        <v>-</v>
      </c>
      <c r="P300" s="41" t="str">
        <f t="shared" si="28"/>
        <v>-</v>
      </c>
      <c r="R300" s="41" t="str">
        <f t="shared" si="29"/>
        <v>-</v>
      </c>
    </row>
    <row r="301" spans="1:18" x14ac:dyDescent="0.3">
      <c r="A301" s="26">
        <v>4434</v>
      </c>
      <c r="B301" s="15">
        <v>88395044342</v>
      </c>
      <c r="C301" s="17" t="s">
        <v>282</v>
      </c>
      <c r="D301" s="29"/>
      <c r="E301" s="29"/>
      <c r="F301" s="21">
        <v>0.63419999999999999</v>
      </c>
      <c r="G301" s="21"/>
      <c r="H301" s="19">
        <v>59.534999999999997</v>
      </c>
      <c r="I301" s="23"/>
      <c r="J301" s="19">
        <f t="shared" si="24"/>
        <v>0</v>
      </c>
      <c r="M301" s="39" t="str">
        <f t="shared" si="25"/>
        <v>-</v>
      </c>
      <c r="N301" s="39" t="str">
        <f t="shared" si="26"/>
        <v>-</v>
      </c>
      <c r="O301" s="40" t="str">
        <f t="shared" si="27"/>
        <v>-</v>
      </c>
      <c r="P301" s="41" t="str">
        <f t="shared" si="28"/>
        <v>-</v>
      </c>
      <c r="R301" s="41" t="str">
        <f t="shared" si="29"/>
        <v>-</v>
      </c>
    </row>
    <row r="302" spans="1:18" x14ac:dyDescent="0.3">
      <c r="A302" s="26">
        <v>4439</v>
      </c>
      <c r="B302" s="15">
        <v>88395044397</v>
      </c>
      <c r="C302" s="17" t="s">
        <v>283</v>
      </c>
      <c r="D302" s="29"/>
      <c r="E302" s="29"/>
      <c r="F302" s="21">
        <v>0.20385</v>
      </c>
      <c r="G302" s="21"/>
      <c r="H302" s="19">
        <v>19.778849999999998</v>
      </c>
      <c r="I302" s="23"/>
      <c r="J302" s="19">
        <f t="shared" si="24"/>
        <v>0</v>
      </c>
      <c r="M302" s="39" t="str">
        <f t="shared" si="25"/>
        <v>-</v>
      </c>
      <c r="N302" s="39" t="str">
        <f t="shared" si="26"/>
        <v>-</v>
      </c>
      <c r="O302" s="40" t="str">
        <f t="shared" si="27"/>
        <v>-</v>
      </c>
      <c r="P302" s="41" t="str">
        <f t="shared" si="28"/>
        <v>-</v>
      </c>
      <c r="R302" s="41" t="str">
        <f t="shared" si="29"/>
        <v>-</v>
      </c>
    </row>
    <row r="303" spans="1:18" x14ac:dyDescent="0.3">
      <c r="A303" s="26">
        <v>4440</v>
      </c>
      <c r="B303" s="15">
        <v>88395444005</v>
      </c>
      <c r="C303" s="17" t="s">
        <v>284</v>
      </c>
      <c r="D303" s="29"/>
      <c r="E303" s="29"/>
      <c r="F303" s="21">
        <v>0.11778000000000001</v>
      </c>
      <c r="G303" s="21"/>
      <c r="H303" s="19">
        <v>23.086350000000003</v>
      </c>
      <c r="I303" s="23"/>
      <c r="J303" s="19">
        <f t="shared" si="24"/>
        <v>0</v>
      </c>
      <c r="M303" s="39" t="str">
        <f t="shared" si="25"/>
        <v>-</v>
      </c>
      <c r="N303" s="39" t="str">
        <f t="shared" si="26"/>
        <v>-</v>
      </c>
      <c r="O303" s="40" t="str">
        <f t="shared" si="27"/>
        <v>-</v>
      </c>
      <c r="P303" s="41" t="str">
        <f t="shared" si="28"/>
        <v>-</v>
      </c>
      <c r="R303" s="41" t="str">
        <f t="shared" si="29"/>
        <v>-</v>
      </c>
    </row>
    <row r="304" spans="1:18" x14ac:dyDescent="0.3">
      <c r="A304" s="26">
        <v>4441</v>
      </c>
      <c r="B304" s="15">
        <v>88395444104</v>
      </c>
      <c r="C304" s="17" t="s">
        <v>285</v>
      </c>
      <c r="D304" s="29"/>
      <c r="E304" s="29"/>
      <c r="F304" s="21">
        <v>0.23103000000000001</v>
      </c>
      <c r="G304" s="21"/>
      <c r="H304" s="19">
        <v>44.981999999999992</v>
      </c>
      <c r="I304" s="23"/>
      <c r="J304" s="19">
        <f t="shared" si="24"/>
        <v>0</v>
      </c>
      <c r="M304" s="39" t="str">
        <f t="shared" si="25"/>
        <v>-</v>
      </c>
      <c r="N304" s="39" t="str">
        <f t="shared" si="26"/>
        <v>-</v>
      </c>
      <c r="O304" s="40" t="str">
        <f t="shared" si="27"/>
        <v>-</v>
      </c>
      <c r="P304" s="41" t="str">
        <f t="shared" si="28"/>
        <v>-</v>
      </c>
      <c r="R304" s="41" t="str">
        <f t="shared" si="29"/>
        <v>-</v>
      </c>
    </row>
    <row r="305" spans="1:18" x14ac:dyDescent="0.3">
      <c r="A305" s="26">
        <v>4442</v>
      </c>
      <c r="B305" s="15">
        <v>88395444203</v>
      </c>
      <c r="C305" s="17" t="s">
        <v>286</v>
      </c>
      <c r="D305" s="29"/>
      <c r="E305" s="29"/>
      <c r="F305" s="21">
        <v>0.33068999999999998</v>
      </c>
      <c r="G305" s="21"/>
      <c r="H305" s="19">
        <v>65.488500000000002</v>
      </c>
      <c r="I305" s="23"/>
      <c r="J305" s="19">
        <f t="shared" si="24"/>
        <v>0</v>
      </c>
      <c r="M305" s="39" t="str">
        <f t="shared" si="25"/>
        <v>-</v>
      </c>
      <c r="N305" s="39" t="str">
        <f t="shared" si="26"/>
        <v>-</v>
      </c>
      <c r="O305" s="40" t="str">
        <f t="shared" si="27"/>
        <v>-</v>
      </c>
      <c r="P305" s="41" t="str">
        <f t="shared" si="28"/>
        <v>-</v>
      </c>
      <c r="R305" s="41" t="str">
        <f t="shared" si="29"/>
        <v>-</v>
      </c>
    </row>
    <row r="306" spans="1:18" x14ac:dyDescent="0.3">
      <c r="A306" s="26">
        <v>4461</v>
      </c>
      <c r="B306" s="15">
        <v>88395044618</v>
      </c>
      <c r="C306" s="17" t="s">
        <v>287</v>
      </c>
      <c r="D306" s="29"/>
      <c r="E306" s="29"/>
      <c r="F306" s="21">
        <v>0.19026000000000001</v>
      </c>
      <c r="G306" s="21"/>
      <c r="H306" s="19">
        <v>33.008849999999995</v>
      </c>
      <c r="I306" s="23"/>
      <c r="J306" s="19">
        <f t="shared" si="24"/>
        <v>0</v>
      </c>
      <c r="M306" s="39" t="str">
        <f t="shared" si="25"/>
        <v>-</v>
      </c>
      <c r="N306" s="39" t="str">
        <f t="shared" si="26"/>
        <v>-</v>
      </c>
      <c r="O306" s="40" t="str">
        <f t="shared" si="27"/>
        <v>-</v>
      </c>
      <c r="P306" s="41" t="str">
        <f t="shared" si="28"/>
        <v>-</v>
      </c>
      <c r="R306" s="41" t="str">
        <f t="shared" si="29"/>
        <v>-</v>
      </c>
    </row>
    <row r="307" spans="1:18" x14ac:dyDescent="0.3">
      <c r="A307" s="26">
        <v>4464</v>
      </c>
      <c r="B307" s="15">
        <v>88395044649</v>
      </c>
      <c r="C307" s="17" t="s">
        <v>288</v>
      </c>
      <c r="D307" s="29"/>
      <c r="E307" s="29"/>
      <c r="F307" s="21">
        <v>0.10419</v>
      </c>
      <c r="G307" s="21"/>
      <c r="H307" s="19">
        <v>17.331300000000002</v>
      </c>
      <c r="I307" s="23"/>
      <c r="J307" s="19">
        <f t="shared" si="24"/>
        <v>0</v>
      </c>
      <c r="M307" s="39" t="str">
        <f t="shared" si="25"/>
        <v>-</v>
      </c>
      <c r="N307" s="39" t="str">
        <f t="shared" si="26"/>
        <v>-</v>
      </c>
      <c r="O307" s="40" t="str">
        <f t="shared" si="27"/>
        <v>-</v>
      </c>
      <c r="P307" s="41" t="str">
        <f t="shared" si="28"/>
        <v>-</v>
      </c>
      <c r="R307" s="41" t="str">
        <f t="shared" si="29"/>
        <v>-</v>
      </c>
    </row>
    <row r="308" spans="1:18" x14ac:dyDescent="0.3">
      <c r="A308" s="26">
        <v>4466</v>
      </c>
      <c r="B308" s="15">
        <v>88395044663</v>
      </c>
      <c r="C308" s="17" t="s">
        <v>289</v>
      </c>
      <c r="D308" s="29"/>
      <c r="E308" s="29"/>
      <c r="F308" s="21">
        <v>5.8890000000000005E-2</v>
      </c>
      <c r="G308" s="21"/>
      <c r="H308" s="19">
        <v>8.5333500000000004</v>
      </c>
      <c r="I308" s="23"/>
      <c r="J308" s="19">
        <f t="shared" si="24"/>
        <v>0</v>
      </c>
      <c r="M308" s="39" t="str">
        <f t="shared" si="25"/>
        <v>-</v>
      </c>
      <c r="N308" s="39" t="str">
        <f t="shared" si="26"/>
        <v>-</v>
      </c>
      <c r="O308" s="40" t="str">
        <f t="shared" si="27"/>
        <v>-</v>
      </c>
      <c r="P308" s="41" t="str">
        <f t="shared" si="28"/>
        <v>-</v>
      </c>
      <c r="R308" s="41" t="str">
        <f t="shared" si="29"/>
        <v>-</v>
      </c>
    </row>
    <row r="309" spans="1:18" x14ac:dyDescent="0.3">
      <c r="A309" s="26">
        <v>4496</v>
      </c>
      <c r="B309" s="15">
        <v>88395449604</v>
      </c>
      <c r="C309" s="17" t="s">
        <v>290</v>
      </c>
      <c r="D309" s="29"/>
      <c r="E309" s="29"/>
      <c r="F309" s="21">
        <v>0.10419</v>
      </c>
      <c r="G309" s="21"/>
      <c r="H309" s="19">
        <v>33.008849999999995</v>
      </c>
      <c r="I309" s="23"/>
      <c r="J309" s="19">
        <f t="shared" si="24"/>
        <v>0</v>
      </c>
      <c r="M309" s="39" t="str">
        <f t="shared" si="25"/>
        <v>-</v>
      </c>
      <c r="N309" s="39" t="str">
        <f t="shared" si="26"/>
        <v>-</v>
      </c>
      <c r="O309" s="40" t="str">
        <f t="shared" si="27"/>
        <v>-</v>
      </c>
      <c r="P309" s="41" t="str">
        <f t="shared" si="28"/>
        <v>-</v>
      </c>
      <c r="R309" s="41" t="str">
        <f t="shared" si="29"/>
        <v>-</v>
      </c>
    </row>
    <row r="310" spans="1:18" x14ac:dyDescent="0.3">
      <c r="A310" s="26">
        <v>4531</v>
      </c>
      <c r="B310" s="15">
        <v>88395045318</v>
      </c>
      <c r="C310" s="17" t="s">
        <v>291</v>
      </c>
      <c r="D310" s="29"/>
      <c r="E310" s="29"/>
      <c r="F310" s="21">
        <v>0.22650000000000001</v>
      </c>
      <c r="G310" s="21"/>
      <c r="H310" s="19">
        <v>27.915299999999998</v>
      </c>
      <c r="I310" s="23"/>
      <c r="J310" s="19">
        <f t="shared" si="24"/>
        <v>0</v>
      </c>
      <c r="M310" s="39" t="str">
        <f t="shared" si="25"/>
        <v>-</v>
      </c>
      <c r="N310" s="39" t="str">
        <f t="shared" si="26"/>
        <v>-</v>
      </c>
      <c r="O310" s="40" t="str">
        <f t="shared" si="27"/>
        <v>-</v>
      </c>
      <c r="P310" s="41" t="str">
        <f t="shared" si="28"/>
        <v>-</v>
      </c>
      <c r="R310" s="41" t="str">
        <f t="shared" si="29"/>
        <v>-</v>
      </c>
    </row>
    <row r="311" spans="1:18" x14ac:dyDescent="0.3">
      <c r="A311" s="26">
        <v>4532</v>
      </c>
      <c r="B311" s="15">
        <v>88395045325</v>
      </c>
      <c r="C311" s="17" t="s">
        <v>292</v>
      </c>
      <c r="D311" s="29"/>
      <c r="E311" s="29"/>
      <c r="F311" s="21">
        <v>0.40770000000000001</v>
      </c>
      <c r="G311" s="21"/>
      <c r="H311" s="19">
        <v>52.92</v>
      </c>
      <c r="I311" s="23"/>
      <c r="J311" s="19">
        <f t="shared" si="24"/>
        <v>0</v>
      </c>
      <c r="M311" s="39" t="str">
        <f t="shared" si="25"/>
        <v>-</v>
      </c>
      <c r="N311" s="39" t="str">
        <f t="shared" si="26"/>
        <v>-</v>
      </c>
      <c r="O311" s="40" t="str">
        <f t="shared" si="27"/>
        <v>-</v>
      </c>
      <c r="P311" s="41" t="str">
        <f t="shared" si="28"/>
        <v>-</v>
      </c>
      <c r="R311" s="41" t="str">
        <f t="shared" si="29"/>
        <v>-</v>
      </c>
    </row>
    <row r="312" spans="1:18" x14ac:dyDescent="0.3">
      <c r="A312" s="26">
        <v>4570</v>
      </c>
      <c r="B312" s="15">
        <v>88395045707</v>
      </c>
      <c r="C312" s="17" t="s">
        <v>293</v>
      </c>
      <c r="D312" s="29"/>
      <c r="E312" s="29"/>
      <c r="F312" s="21">
        <v>0.15855</v>
      </c>
      <c r="G312" s="21"/>
      <c r="H312" s="19">
        <v>28.11375</v>
      </c>
      <c r="I312" s="23"/>
      <c r="J312" s="19">
        <f t="shared" si="24"/>
        <v>0</v>
      </c>
      <c r="M312" s="39" t="str">
        <f t="shared" si="25"/>
        <v>-</v>
      </c>
      <c r="N312" s="39" t="str">
        <f t="shared" si="26"/>
        <v>-</v>
      </c>
      <c r="O312" s="40" t="str">
        <f t="shared" si="27"/>
        <v>-</v>
      </c>
      <c r="P312" s="41" t="str">
        <f t="shared" si="28"/>
        <v>-</v>
      </c>
      <c r="R312" s="41" t="str">
        <f t="shared" si="29"/>
        <v>-</v>
      </c>
    </row>
    <row r="313" spans="1:18" x14ac:dyDescent="0.3">
      <c r="A313" s="26">
        <v>4571</v>
      </c>
      <c r="B313" s="15">
        <v>88395045714</v>
      </c>
      <c r="C313" s="17" t="s">
        <v>294</v>
      </c>
      <c r="D313" s="29"/>
      <c r="E313" s="29"/>
      <c r="F313" s="21">
        <v>0.30351</v>
      </c>
      <c r="G313" s="21"/>
      <c r="H313" s="19">
        <v>54.639899999999997</v>
      </c>
      <c r="I313" s="23"/>
      <c r="J313" s="19">
        <f t="shared" si="24"/>
        <v>0</v>
      </c>
      <c r="M313" s="39" t="str">
        <f t="shared" si="25"/>
        <v>-</v>
      </c>
      <c r="N313" s="39" t="str">
        <f t="shared" si="26"/>
        <v>-</v>
      </c>
      <c r="O313" s="40" t="str">
        <f t="shared" si="27"/>
        <v>-</v>
      </c>
      <c r="P313" s="41" t="str">
        <f t="shared" si="28"/>
        <v>-</v>
      </c>
      <c r="R313" s="41" t="str">
        <f t="shared" si="29"/>
        <v>-</v>
      </c>
    </row>
    <row r="314" spans="1:18" x14ac:dyDescent="0.3">
      <c r="A314" s="26">
        <v>4572</v>
      </c>
      <c r="B314" s="15">
        <v>88395045721</v>
      </c>
      <c r="C314" s="17" t="s">
        <v>295</v>
      </c>
      <c r="D314" s="29"/>
      <c r="E314" s="29"/>
      <c r="F314" s="21">
        <v>0.45300000000000001</v>
      </c>
      <c r="G314" s="21"/>
      <c r="H314" s="19">
        <v>80.703000000000003</v>
      </c>
      <c r="I314" s="23"/>
      <c r="J314" s="19">
        <f t="shared" si="24"/>
        <v>0</v>
      </c>
      <c r="M314" s="39" t="str">
        <f t="shared" si="25"/>
        <v>-</v>
      </c>
      <c r="N314" s="39" t="str">
        <f t="shared" si="26"/>
        <v>-</v>
      </c>
      <c r="O314" s="40" t="str">
        <f t="shared" si="27"/>
        <v>-</v>
      </c>
      <c r="P314" s="41" t="str">
        <f t="shared" si="28"/>
        <v>-</v>
      </c>
      <c r="R314" s="41" t="str">
        <f t="shared" si="29"/>
        <v>-</v>
      </c>
    </row>
    <row r="315" spans="1:18" x14ac:dyDescent="0.3">
      <c r="A315" s="26">
        <v>4611</v>
      </c>
      <c r="B315" s="15">
        <v>88395046117</v>
      </c>
      <c r="C315" s="17" t="s">
        <v>296</v>
      </c>
      <c r="D315" s="29"/>
      <c r="E315" s="29"/>
      <c r="F315" s="21">
        <v>0.26273999999999997</v>
      </c>
      <c r="G315" s="21"/>
      <c r="H315" s="19">
        <v>21.3003</v>
      </c>
      <c r="I315" s="23"/>
      <c r="J315" s="19">
        <f t="shared" si="24"/>
        <v>0</v>
      </c>
      <c r="M315" s="39" t="str">
        <f t="shared" si="25"/>
        <v>-</v>
      </c>
      <c r="N315" s="39" t="str">
        <f t="shared" si="26"/>
        <v>-</v>
      </c>
      <c r="O315" s="40" t="str">
        <f t="shared" si="27"/>
        <v>-</v>
      </c>
      <c r="P315" s="41" t="str">
        <f t="shared" si="28"/>
        <v>-</v>
      </c>
      <c r="R315" s="41" t="str">
        <f t="shared" si="29"/>
        <v>-</v>
      </c>
    </row>
    <row r="316" spans="1:18" x14ac:dyDescent="0.3">
      <c r="A316" s="26">
        <v>4612</v>
      </c>
      <c r="B316" s="15">
        <v>88395046124</v>
      </c>
      <c r="C316" s="17" t="s">
        <v>297</v>
      </c>
      <c r="D316" s="29"/>
      <c r="E316" s="29"/>
      <c r="F316" s="21">
        <v>0.45300000000000001</v>
      </c>
      <c r="G316" s="21"/>
      <c r="H316" s="19">
        <v>36.051749999999998</v>
      </c>
      <c r="I316" s="23"/>
      <c r="J316" s="19">
        <f t="shared" si="24"/>
        <v>0</v>
      </c>
      <c r="M316" s="39" t="str">
        <f t="shared" si="25"/>
        <v>-</v>
      </c>
      <c r="N316" s="39" t="str">
        <f t="shared" si="26"/>
        <v>-</v>
      </c>
      <c r="O316" s="40" t="str">
        <f t="shared" si="27"/>
        <v>-</v>
      </c>
      <c r="P316" s="41" t="str">
        <f t="shared" si="28"/>
        <v>-</v>
      </c>
      <c r="R316" s="41" t="str">
        <f t="shared" si="29"/>
        <v>-</v>
      </c>
    </row>
    <row r="317" spans="1:18" x14ac:dyDescent="0.3">
      <c r="A317" s="26">
        <v>4620</v>
      </c>
      <c r="B317" s="15">
        <v>88395462009</v>
      </c>
      <c r="C317" s="17" t="s">
        <v>298</v>
      </c>
      <c r="D317" s="29"/>
      <c r="E317" s="29"/>
      <c r="F317" s="21">
        <v>4.9829999999999999E-2</v>
      </c>
      <c r="G317" s="21"/>
      <c r="H317" s="19">
        <v>6.5488500000000016</v>
      </c>
      <c r="I317" s="23"/>
      <c r="J317" s="19">
        <f t="shared" si="24"/>
        <v>0</v>
      </c>
      <c r="M317" s="39" t="str">
        <f t="shared" si="25"/>
        <v>-</v>
      </c>
      <c r="N317" s="39" t="str">
        <f t="shared" si="26"/>
        <v>-</v>
      </c>
      <c r="O317" s="40" t="str">
        <f t="shared" si="27"/>
        <v>-</v>
      </c>
      <c r="P317" s="41" t="str">
        <f t="shared" si="28"/>
        <v>-</v>
      </c>
      <c r="R317" s="41" t="str">
        <f t="shared" si="29"/>
        <v>-</v>
      </c>
    </row>
    <row r="318" spans="1:18" x14ac:dyDescent="0.3">
      <c r="A318" s="26">
        <v>4621</v>
      </c>
      <c r="B318" s="15">
        <v>88395462108</v>
      </c>
      <c r="C318" s="17" t="s">
        <v>299</v>
      </c>
      <c r="D318" s="29"/>
      <c r="E318" s="29"/>
      <c r="F318" s="21">
        <v>9.0600000000000014E-2</v>
      </c>
      <c r="G318" s="21"/>
      <c r="H318" s="19">
        <v>12.502350000000002</v>
      </c>
      <c r="I318" s="23"/>
      <c r="J318" s="19">
        <f t="shared" si="24"/>
        <v>0</v>
      </c>
      <c r="M318" s="39" t="str">
        <f t="shared" si="25"/>
        <v>-</v>
      </c>
      <c r="N318" s="39" t="str">
        <f t="shared" si="26"/>
        <v>-</v>
      </c>
      <c r="O318" s="40" t="str">
        <f t="shared" si="27"/>
        <v>-</v>
      </c>
      <c r="P318" s="41" t="str">
        <f t="shared" si="28"/>
        <v>-</v>
      </c>
      <c r="R318" s="41" t="str">
        <f t="shared" si="29"/>
        <v>-</v>
      </c>
    </row>
    <row r="319" spans="1:18" x14ac:dyDescent="0.3">
      <c r="A319" s="26">
        <v>4622</v>
      </c>
      <c r="B319" s="15">
        <v>88395462207</v>
      </c>
      <c r="C319" s="17" t="s">
        <v>300</v>
      </c>
      <c r="D319" s="29"/>
      <c r="E319" s="29"/>
      <c r="F319" s="21">
        <v>0.15855</v>
      </c>
      <c r="G319" s="21"/>
      <c r="H319" s="19">
        <v>23.086350000000003</v>
      </c>
      <c r="I319" s="23"/>
      <c r="J319" s="19">
        <f t="shared" si="24"/>
        <v>0</v>
      </c>
      <c r="M319" s="39" t="str">
        <f t="shared" si="25"/>
        <v>-</v>
      </c>
      <c r="N319" s="39" t="str">
        <f t="shared" si="26"/>
        <v>-</v>
      </c>
      <c r="O319" s="40" t="str">
        <f t="shared" si="27"/>
        <v>-</v>
      </c>
      <c r="P319" s="41" t="str">
        <f t="shared" si="28"/>
        <v>-</v>
      </c>
      <c r="R319" s="41" t="str">
        <f t="shared" si="29"/>
        <v>-</v>
      </c>
    </row>
    <row r="320" spans="1:18" x14ac:dyDescent="0.3">
      <c r="A320" s="26">
        <v>4640</v>
      </c>
      <c r="B320" s="15">
        <v>88395046407</v>
      </c>
      <c r="C320" s="17" t="s">
        <v>301</v>
      </c>
      <c r="D320" s="29"/>
      <c r="E320" s="29"/>
      <c r="F320" s="21">
        <v>0.11325</v>
      </c>
      <c r="G320" s="21"/>
      <c r="H320" s="19">
        <v>39.623850000000004</v>
      </c>
      <c r="I320" s="23"/>
      <c r="J320" s="19">
        <f t="shared" si="24"/>
        <v>0</v>
      </c>
      <c r="M320" s="39" t="str">
        <f t="shared" si="25"/>
        <v>-</v>
      </c>
      <c r="N320" s="39" t="str">
        <f t="shared" si="26"/>
        <v>-</v>
      </c>
      <c r="O320" s="40" t="str">
        <f t="shared" si="27"/>
        <v>-</v>
      </c>
      <c r="P320" s="41" t="str">
        <f t="shared" si="28"/>
        <v>-</v>
      </c>
      <c r="R320" s="41" t="str">
        <f t="shared" si="29"/>
        <v>-</v>
      </c>
    </row>
    <row r="321" spans="1:18" x14ac:dyDescent="0.3">
      <c r="A321" s="26">
        <v>4641</v>
      </c>
      <c r="B321" s="15">
        <v>88395046414</v>
      </c>
      <c r="C321" s="17" t="s">
        <v>302</v>
      </c>
      <c r="D321" s="29"/>
      <c r="E321" s="29"/>
      <c r="F321" s="21">
        <v>0.21290999999999999</v>
      </c>
      <c r="G321" s="21"/>
      <c r="H321" s="19">
        <v>76.072499999999991</v>
      </c>
      <c r="I321" s="23"/>
      <c r="J321" s="19">
        <f t="shared" si="24"/>
        <v>0</v>
      </c>
      <c r="M321" s="39" t="str">
        <f t="shared" si="25"/>
        <v>-</v>
      </c>
      <c r="N321" s="39" t="str">
        <f t="shared" si="26"/>
        <v>-</v>
      </c>
      <c r="O321" s="40" t="str">
        <f t="shared" si="27"/>
        <v>-</v>
      </c>
      <c r="P321" s="41" t="str">
        <f t="shared" si="28"/>
        <v>-</v>
      </c>
      <c r="R321" s="41" t="str">
        <f t="shared" si="29"/>
        <v>-</v>
      </c>
    </row>
    <row r="322" spans="1:18" x14ac:dyDescent="0.3">
      <c r="A322" s="26">
        <v>4642</v>
      </c>
      <c r="B322" s="15">
        <v>88395464201</v>
      </c>
      <c r="C322" s="17" t="s">
        <v>303</v>
      </c>
      <c r="D322" s="29"/>
      <c r="E322" s="29"/>
      <c r="F322" s="21">
        <v>0.17214000000000002</v>
      </c>
      <c r="G322" s="21"/>
      <c r="H322" s="19">
        <v>58.211999999999989</v>
      </c>
      <c r="I322" s="23"/>
      <c r="J322" s="19">
        <f t="shared" si="24"/>
        <v>0</v>
      </c>
      <c r="M322" s="39" t="str">
        <f t="shared" si="25"/>
        <v>-</v>
      </c>
      <c r="N322" s="39" t="str">
        <f t="shared" si="26"/>
        <v>-</v>
      </c>
      <c r="O322" s="40" t="str">
        <f t="shared" si="27"/>
        <v>-</v>
      </c>
      <c r="P322" s="41" t="str">
        <f t="shared" si="28"/>
        <v>-</v>
      </c>
      <c r="R322" s="41" t="str">
        <f t="shared" si="29"/>
        <v>-</v>
      </c>
    </row>
    <row r="323" spans="1:18" x14ac:dyDescent="0.3">
      <c r="A323" s="26">
        <v>4672</v>
      </c>
      <c r="B323" s="15">
        <v>88395467202</v>
      </c>
      <c r="C323" s="17" t="s">
        <v>304</v>
      </c>
      <c r="D323" s="29"/>
      <c r="E323" s="29"/>
      <c r="F323" s="21">
        <v>0.40317000000000003</v>
      </c>
      <c r="G323" s="21"/>
      <c r="H323" s="19">
        <v>45.643499999999989</v>
      </c>
      <c r="I323" s="23"/>
      <c r="J323" s="19">
        <f t="shared" ref="J323:J386" si="30">I323*H323</f>
        <v>0</v>
      </c>
      <c r="M323" s="39" t="str">
        <f t="shared" si="25"/>
        <v>-</v>
      </c>
      <c r="N323" s="39" t="str">
        <f t="shared" si="26"/>
        <v>-</v>
      </c>
      <c r="O323" s="40" t="str">
        <f t="shared" si="27"/>
        <v>-</v>
      </c>
      <c r="P323" s="41" t="str">
        <f t="shared" si="28"/>
        <v>-</v>
      </c>
      <c r="R323" s="41" t="str">
        <f t="shared" si="29"/>
        <v>-</v>
      </c>
    </row>
    <row r="324" spans="1:18" x14ac:dyDescent="0.3">
      <c r="A324" s="26">
        <v>4676</v>
      </c>
      <c r="B324" s="15">
        <v>88395046766</v>
      </c>
      <c r="C324" s="17" t="s">
        <v>305</v>
      </c>
      <c r="D324" s="29"/>
      <c r="E324" s="29"/>
      <c r="F324" s="21">
        <v>0.14496000000000001</v>
      </c>
      <c r="G324" s="21"/>
      <c r="H324" s="19">
        <v>16.471349999999997</v>
      </c>
      <c r="I324" s="23"/>
      <c r="J324" s="19">
        <f t="shared" si="30"/>
        <v>0</v>
      </c>
      <c r="M324" s="39" t="str">
        <f t="shared" ref="M324:M387" si="31">IFERROR(IF($M$2*F324=0, "-", $M$2*F324), "-")</f>
        <v>-</v>
      </c>
      <c r="N324" s="39" t="str">
        <f t="shared" ref="N324:N387" si="32">IF(I324&gt;0,H324+F324*I324/$O$2*$P$2/I324,"-")</f>
        <v>-</v>
      </c>
      <c r="O324" s="40" t="str">
        <f t="shared" ref="O324:O387" si="33">IF(I324&gt;0,I324*F324*1.13, "-")</f>
        <v>-</v>
      </c>
      <c r="P324" s="41" t="str">
        <f t="shared" ref="P324:P387" si="34">IFERROR(IF($M$2&gt;0, $M$2*O324, "-"), "-")</f>
        <v>-</v>
      </c>
      <c r="R324" s="41" t="str">
        <f t="shared" ref="R324:R387" si="35">IFERROR(IF(P324+J324=0, "-", IF(P324&gt;0, P324+J324, "-")), "-")</f>
        <v>-</v>
      </c>
    </row>
    <row r="325" spans="1:18" x14ac:dyDescent="0.3">
      <c r="A325" s="26">
        <v>4677</v>
      </c>
      <c r="B325" s="15">
        <v>88395046773</v>
      </c>
      <c r="C325" s="17" t="s">
        <v>306</v>
      </c>
      <c r="D325" s="29"/>
      <c r="E325" s="29"/>
      <c r="F325" s="21">
        <v>0.27179999999999999</v>
      </c>
      <c r="G325" s="21"/>
      <c r="H325" s="19">
        <v>30.759750000000004</v>
      </c>
      <c r="I325" s="23"/>
      <c r="J325" s="19">
        <f t="shared" si="30"/>
        <v>0</v>
      </c>
      <c r="M325" s="39" t="str">
        <f t="shared" si="31"/>
        <v>-</v>
      </c>
      <c r="N325" s="39" t="str">
        <f t="shared" si="32"/>
        <v>-</v>
      </c>
      <c r="O325" s="40" t="str">
        <f t="shared" si="33"/>
        <v>-</v>
      </c>
      <c r="P325" s="41" t="str">
        <f t="shared" si="34"/>
        <v>-</v>
      </c>
      <c r="R325" s="41" t="str">
        <f t="shared" si="35"/>
        <v>-</v>
      </c>
    </row>
    <row r="326" spans="1:18" x14ac:dyDescent="0.3">
      <c r="A326" s="26">
        <v>4690</v>
      </c>
      <c r="B326" s="15">
        <v>88395469008</v>
      </c>
      <c r="C326" s="17" t="s">
        <v>307</v>
      </c>
      <c r="D326" s="29"/>
      <c r="E326" s="29"/>
      <c r="F326" s="21">
        <v>4.5300000000000007E-2</v>
      </c>
      <c r="G326" s="21"/>
      <c r="H326" s="19">
        <v>15.545249999999998</v>
      </c>
      <c r="I326" s="23"/>
      <c r="J326" s="19">
        <f t="shared" si="30"/>
        <v>0</v>
      </c>
      <c r="M326" s="39" t="str">
        <f t="shared" si="31"/>
        <v>-</v>
      </c>
      <c r="N326" s="39" t="str">
        <f t="shared" si="32"/>
        <v>-</v>
      </c>
      <c r="O326" s="40" t="str">
        <f t="shared" si="33"/>
        <v>-</v>
      </c>
      <c r="P326" s="41" t="str">
        <f t="shared" si="34"/>
        <v>-</v>
      </c>
      <c r="R326" s="41" t="str">
        <f t="shared" si="35"/>
        <v>-</v>
      </c>
    </row>
    <row r="327" spans="1:18" x14ac:dyDescent="0.3">
      <c r="A327" s="26">
        <v>4691</v>
      </c>
      <c r="B327" s="15">
        <v>88395469107</v>
      </c>
      <c r="C327" s="17" t="s">
        <v>308</v>
      </c>
      <c r="D327" s="29"/>
      <c r="E327" s="29"/>
      <c r="F327" s="21">
        <v>9.0600000000000014E-2</v>
      </c>
      <c r="G327" s="21"/>
      <c r="H327" s="19">
        <v>29.105999999999995</v>
      </c>
      <c r="I327" s="23"/>
      <c r="J327" s="19">
        <f t="shared" si="30"/>
        <v>0</v>
      </c>
      <c r="M327" s="39" t="str">
        <f t="shared" si="31"/>
        <v>-</v>
      </c>
      <c r="N327" s="39" t="str">
        <f t="shared" si="32"/>
        <v>-</v>
      </c>
      <c r="O327" s="40" t="str">
        <f t="shared" si="33"/>
        <v>-</v>
      </c>
      <c r="P327" s="41" t="str">
        <f t="shared" si="34"/>
        <v>-</v>
      </c>
      <c r="R327" s="41" t="str">
        <f t="shared" si="35"/>
        <v>-</v>
      </c>
    </row>
    <row r="328" spans="1:18" x14ac:dyDescent="0.3">
      <c r="A328" s="26">
        <v>4692</v>
      </c>
      <c r="B328" s="15">
        <v>88395469206</v>
      </c>
      <c r="C328" s="17" t="s">
        <v>309</v>
      </c>
      <c r="D328" s="29"/>
      <c r="E328" s="29"/>
      <c r="F328" s="21">
        <v>0.14496000000000001</v>
      </c>
      <c r="G328" s="21"/>
      <c r="H328" s="19">
        <v>56.227499999999999</v>
      </c>
      <c r="I328" s="23"/>
      <c r="J328" s="19">
        <f t="shared" si="30"/>
        <v>0</v>
      </c>
      <c r="M328" s="39" t="str">
        <f t="shared" si="31"/>
        <v>-</v>
      </c>
      <c r="N328" s="39" t="str">
        <f t="shared" si="32"/>
        <v>-</v>
      </c>
      <c r="O328" s="40" t="str">
        <f t="shared" si="33"/>
        <v>-</v>
      </c>
      <c r="P328" s="41" t="str">
        <f t="shared" si="34"/>
        <v>-</v>
      </c>
      <c r="R328" s="41" t="str">
        <f t="shared" si="35"/>
        <v>-</v>
      </c>
    </row>
    <row r="329" spans="1:18" x14ac:dyDescent="0.3">
      <c r="A329" s="26">
        <v>4821</v>
      </c>
      <c r="B329" s="15">
        <v>88395048210</v>
      </c>
      <c r="C329" s="17" t="s">
        <v>448</v>
      </c>
      <c r="D329" s="29"/>
      <c r="E329" s="29"/>
      <c r="F329" s="21">
        <v>0.17214000000000002</v>
      </c>
      <c r="G329" s="21"/>
      <c r="H329" s="19">
        <v>23.946300000000001</v>
      </c>
      <c r="I329" s="23"/>
      <c r="J329" s="19">
        <f t="shared" si="30"/>
        <v>0</v>
      </c>
      <c r="M329" s="39" t="str">
        <f t="shared" si="31"/>
        <v>-</v>
      </c>
      <c r="N329" s="39" t="str">
        <f t="shared" si="32"/>
        <v>-</v>
      </c>
      <c r="O329" s="40" t="str">
        <f t="shared" si="33"/>
        <v>-</v>
      </c>
      <c r="P329" s="41" t="str">
        <f t="shared" si="34"/>
        <v>-</v>
      </c>
      <c r="R329" s="41" t="str">
        <f t="shared" si="35"/>
        <v>-</v>
      </c>
    </row>
    <row r="330" spans="1:18" x14ac:dyDescent="0.3">
      <c r="A330" s="26">
        <v>4822</v>
      </c>
      <c r="B330" s="15">
        <v>88395048227</v>
      </c>
      <c r="C330" s="17" t="s">
        <v>449</v>
      </c>
      <c r="D330" s="29"/>
      <c r="E330" s="29"/>
      <c r="F330" s="21">
        <v>0.30804000000000004</v>
      </c>
      <c r="G330" s="21"/>
      <c r="H330" s="19">
        <v>46.304999999999993</v>
      </c>
      <c r="I330" s="23"/>
      <c r="J330" s="19">
        <f t="shared" si="30"/>
        <v>0</v>
      </c>
      <c r="M330" s="39" t="str">
        <f t="shared" si="31"/>
        <v>-</v>
      </c>
      <c r="N330" s="39" t="str">
        <f t="shared" si="32"/>
        <v>-</v>
      </c>
      <c r="O330" s="40" t="str">
        <f t="shared" si="33"/>
        <v>-</v>
      </c>
      <c r="P330" s="41" t="str">
        <f t="shared" si="34"/>
        <v>-</v>
      </c>
      <c r="R330" s="41" t="str">
        <f t="shared" si="35"/>
        <v>-</v>
      </c>
    </row>
    <row r="331" spans="1:18" x14ac:dyDescent="0.3">
      <c r="A331" s="26">
        <v>4850</v>
      </c>
      <c r="B331" s="15">
        <v>88395048500</v>
      </c>
      <c r="C331" s="17" t="s">
        <v>310</v>
      </c>
      <c r="D331" s="29"/>
      <c r="E331" s="29"/>
      <c r="F331" s="21">
        <v>6.7949999999999997E-2</v>
      </c>
      <c r="G331" s="21"/>
      <c r="H331" s="19">
        <v>13.152825</v>
      </c>
      <c r="I331" s="23"/>
      <c r="J331" s="19">
        <f t="shared" si="30"/>
        <v>0</v>
      </c>
      <c r="M331" s="39" t="str">
        <f t="shared" si="31"/>
        <v>-</v>
      </c>
      <c r="N331" s="39" t="str">
        <f t="shared" si="32"/>
        <v>-</v>
      </c>
      <c r="O331" s="40" t="str">
        <f t="shared" si="33"/>
        <v>-</v>
      </c>
      <c r="P331" s="41" t="str">
        <f t="shared" si="34"/>
        <v>-</v>
      </c>
      <c r="R331" s="41" t="str">
        <f t="shared" si="35"/>
        <v>-</v>
      </c>
    </row>
    <row r="332" spans="1:18" x14ac:dyDescent="0.3">
      <c r="A332" s="26">
        <v>4852</v>
      </c>
      <c r="B332" s="15">
        <v>88395048524</v>
      </c>
      <c r="C332" s="17" t="s">
        <v>311</v>
      </c>
      <c r="D332" s="29"/>
      <c r="E332" s="29"/>
      <c r="F332" s="21">
        <v>0.20385</v>
      </c>
      <c r="G332" s="21"/>
      <c r="H332" s="19">
        <v>36.713250000000002</v>
      </c>
      <c r="I332" s="23"/>
      <c r="J332" s="19">
        <f t="shared" si="30"/>
        <v>0</v>
      </c>
      <c r="M332" s="39" t="str">
        <f t="shared" si="31"/>
        <v>-</v>
      </c>
      <c r="N332" s="39" t="str">
        <f t="shared" si="32"/>
        <v>-</v>
      </c>
      <c r="O332" s="40" t="str">
        <f t="shared" si="33"/>
        <v>-</v>
      </c>
      <c r="P332" s="41" t="str">
        <f t="shared" si="34"/>
        <v>-</v>
      </c>
      <c r="R332" s="41" t="str">
        <f t="shared" si="35"/>
        <v>-</v>
      </c>
    </row>
    <row r="333" spans="1:18" x14ac:dyDescent="0.3">
      <c r="A333" s="26">
        <v>5054</v>
      </c>
      <c r="B333" s="15">
        <v>88395050541</v>
      </c>
      <c r="C333" s="17" t="s">
        <v>312</v>
      </c>
      <c r="D333" s="29"/>
      <c r="E333" s="29"/>
      <c r="F333" s="21">
        <v>0.29445000000000005</v>
      </c>
      <c r="G333" s="21"/>
      <c r="H333" s="19">
        <v>25.666199999999996</v>
      </c>
      <c r="I333" s="23"/>
      <c r="J333" s="19">
        <f t="shared" si="30"/>
        <v>0</v>
      </c>
      <c r="M333" s="39" t="str">
        <f t="shared" si="31"/>
        <v>-</v>
      </c>
      <c r="N333" s="39" t="str">
        <f t="shared" si="32"/>
        <v>-</v>
      </c>
      <c r="O333" s="40" t="str">
        <f t="shared" si="33"/>
        <v>-</v>
      </c>
      <c r="P333" s="41" t="str">
        <f t="shared" si="34"/>
        <v>-</v>
      </c>
      <c r="R333" s="41" t="str">
        <f t="shared" si="35"/>
        <v>-</v>
      </c>
    </row>
    <row r="334" spans="1:18" x14ac:dyDescent="0.3">
      <c r="A334" s="26">
        <v>5055</v>
      </c>
      <c r="B334" s="15">
        <v>88395050558</v>
      </c>
      <c r="C334" s="17" t="s">
        <v>313</v>
      </c>
      <c r="D334" s="29"/>
      <c r="E334" s="29"/>
      <c r="F334" s="21">
        <v>0.55718999999999996</v>
      </c>
      <c r="G334" s="21"/>
      <c r="H334" s="19">
        <v>48.620249999999999</v>
      </c>
      <c r="I334" s="23"/>
      <c r="J334" s="19">
        <f t="shared" si="30"/>
        <v>0</v>
      </c>
      <c r="M334" s="39" t="str">
        <f t="shared" si="31"/>
        <v>-</v>
      </c>
      <c r="N334" s="39" t="str">
        <f t="shared" si="32"/>
        <v>-</v>
      </c>
      <c r="O334" s="40" t="str">
        <f t="shared" si="33"/>
        <v>-</v>
      </c>
      <c r="P334" s="41" t="str">
        <f t="shared" si="34"/>
        <v>-</v>
      </c>
      <c r="R334" s="41" t="str">
        <f t="shared" si="35"/>
        <v>-</v>
      </c>
    </row>
    <row r="335" spans="1:18" x14ac:dyDescent="0.3">
      <c r="A335" s="26">
        <v>5081</v>
      </c>
      <c r="B335" s="15">
        <v>88395050817</v>
      </c>
      <c r="C335" s="17" t="s">
        <v>314</v>
      </c>
      <c r="D335" s="29"/>
      <c r="E335" s="29"/>
      <c r="F335" s="21">
        <v>0.38505</v>
      </c>
      <c r="G335" s="21"/>
      <c r="H335" s="19">
        <v>24.40935</v>
      </c>
      <c r="I335" s="23"/>
      <c r="J335" s="19">
        <f t="shared" si="30"/>
        <v>0</v>
      </c>
      <c r="M335" s="39" t="str">
        <f t="shared" si="31"/>
        <v>-</v>
      </c>
      <c r="N335" s="39" t="str">
        <f t="shared" si="32"/>
        <v>-</v>
      </c>
      <c r="O335" s="40" t="str">
        <f t="shared" si="33"/>
        <v>-</v>
      </c>
      <c r="P335" s="41" t="str">
        <f t="shared" si="34"/>
        <v>-</v>
      </c>
      <c r="R335" s="41" t="str">
        <f t="shared" si="35"/>
        <v>-</v>
      </c>
    </row>
    <row r="336" spans="1:18" x14ac:dyDescent="0.3">
      <c r="A336" s="26">
        <v>5083</v>
      </c>
      <c r="B336" s="15">
        <v>88395050831</v>
      </c>
      <c r="C336" s="17" t="s">
        <v>315</v>
      </c>
      <c r="D336" s="29"/>
      <c r="E336" s="29"/>
      <c r="F336" s="21">
        <v>0.18120000000000003</v>
      </c>
      <c r="G336" s="21"/>
      <c r="H336" s="19">
        <v>13.16385</v>
      </c>
      <c r="I336" s="23"/>
      <c r="J336" s="19">
        <f t="shared" si="30"/>
        <v>0</v>
      </c>
      <c r="M336" s="39" t="str">
        <f t="shared" si="31"/>
        <v>-</v>
      </c>
      <c r="N336" s="39" t="str">
        <f t="shared" si="32"/>
        <v>-</v>
      </c>
      <c r="O336" s="40" t="str">
        <f t="shared" si="33"/>
        <v>-</v>
      </c>
      <c r="P336" s="41" t="str">
        <f t="shared" si="34"/>
        <v>-</v>
      </c>
      <c r="R336" s="41" t="str">
        <f t="shared" si="35"/>
        <v>-</v>
      </c>
    </row>
    <row r="337" spans="1:18" x14ac:dyDescent="0.3">
      <c r="A337" s="26">
        <v>5084</v>
      </c>
      <c r="B337" s="15">
        <v>88395050848</v>
      </c>
      <c r="C337" s="17" t="s">
        <v>316</v>
      </c>
      <c r="D337" s="29"/>
      <c r="E337" s="29"/>
      <c r="F337" s="21">
        <v>0.38505</v>
      </c>
      <c r="G337" s="21"/>
      <c r="H337" s="19">
        <v>24.40935</v>
      </c>
      <c r="I337" s="23"/>
      <c r="J337" s="19">
        <f t="shared" si="30"/>
        <v>0</v>
      </c>
      <c r="M337" s="39" t="str">
        <f t="shared" si="31"/>
        <v>-</v>
      </c>
      <c r="N337" s="39" t="str">
        <f t="shared" si="32"/>
        <v>-</v>
      </c>
      <c r="O337" s="40" t="str">
        <f t="shared" si="33"/>
        <v>-</v>
      </c>
      <c r="P337" s="41" t="str">
        <f t="shared" si="34"/>
        <v>-</v>
      </c>
      <c r="R337" s="41" t="str">
        <f t="shared" si="35"/>
        <v>-</v>
      </c>
    </row>
    <row r="338" spans="1:18" x14ac:dyDescent="0.3">
      <c r="A338" s="26">
        <v>5151</v>
      </c>
      <c r="B338" s="15">
        <v>88395051517</v>
      </c>
      <c r="C338" s="17" t="s">
        <v>317</v>
      </c>
      <c r="D338" s="29"/>
      <c r="E338" s="29"/>
      <c r="F338" s="21">
        <v>0.31709999999999999</v>
      </c>
      <c r="G338" s="21"/>
      <c r="H338" s="19">
        <v>17.794350000000001</v>
      </c>
      <c r="I338" s="23"/>
      <c r="J338" s="19">
        <f t="shared" si="30"/>
        <v>0</v>
      </c>
      <c r="M338" s="39" t="str">
        <f t="shared" si="31"/>
        <v>-</v>
      </c>
      <c r="N338" s="39" t="str">
        <f t="shared" si="32"/>
        <v>-</v>
      </c>
      <c r="O338" s="40" t="str">
        <f t="shared" si="33"/>
        <v>-</v>
      </c>
      <c r="P338" s="41" t="str">
        <f t="shared" si="34"/>
        <v>-</v>
      </c>
      <c r="R338" s="41" t="str">
        <f t="shared" si="35"/>
        <v>-</v>
      </c>
    </row>
    <row r="339" spans="1:18" x14ac:dyDescent="0.3">
      <c r="A339" s="26">
        <v>5152</v>
      </c>
      <c r="B339" s="15">
        <v>88395051524</v>
      </c>
      <c r="C339" s="17" t="s">
        <v>318</v>
      </c>
      <c r="D339" s="29"/>
      <c r="E339" s="29"/>
      <c r="F339" s="21">
        <v>0.74744999999999995</v>
      </c>
      <c r="G339" s="21"/>
      <c r="H339" s="19">
        <v>31.090499999999995</v>
      </c>
      <c r="I339" s="23"/>
      <c r="J339" s="19">
        <f t="shared" si="30"/>
        <v>0</v>
      </c>
      <c r="M339" s="39" t="str">
        <f t="shared" si="31"/>
        <v>-</v>
      </c>
      <c r="N339" s="39" t="str">
        <f t="shared" si="32"/>
        <v>-</v>
      </c>
      <c r="O339" s="40" t="str">
        <f t="shared" si="33"/>
        <v>-</v>
      </c>
      <c r="P339" s="41" t="str">
        <f t="shared" si="34"/>
        <v>-</v>
      </c>
      <c r="R339" s="41" t="str">
        <f t="shared" si="35"/>
        <v>-</v>
      </c>
    </row>
    <row r="340" spans="1:18" x14ac:dyDescent="0.3">
      <c r="A340" s="26">
        <v>5154</v>
      </c>
      <c r="B340" s="15">
        <v>88395051548</v>
      </c>
      <c r="C340" s="17" t="s">
        <v>319</v>
      </c>
      <c r="D340" s="29"/>
      <c r="E340" s="29"/>
      <c r="F340" s="21">
        <v>0.43035000000000001</v>
      </c>
      <c r="G340" s="21"/>
      <c r="H340" s="19">
        <v>17.794350000000001</v>
      </c>
      <c r="I340" s="23"/>
      <c r="J340" s="19">
        <f t="shared" si="30"/>
        <v>0</v>
      </c>
      <c r="M340" s="39" t="str">
        <f t="shared" si="31"/>
        <v>-</v>
      </c>
      <c r="N340" s="39" t="str">
        <f t="shared" si="32"/>
        <v>-</v>
      </c>
      <c r="O340" s="40" t="str">
        <f t="shared" si="33"/>
        <v>-</v>
      </c>
      <c r="P340" s="41" t="str">
        <f t="shared" si="34"/>
        <v>-</v>
      </c>
      <c r="R340" s="41" t="str">
        <f t="shared" si="35"/>
        <v>-</v>
      </c>
    </row>
    <row r="341" spans="1:18" x14ac:dyDescent="0.3">
      <c r="A341" s="26">
        <v>5171</v>
      </c>
      <c r="B341" s="15">
        <v>88395051715</v>
      </c>
      <c r="C341" s="17" t="s">
        <v>320</v>
      </c>
      <c r="D341" s="29"/>
      <c r="E341" s="29"/>
      <c r="F341" s="21">
        <v>0.20385</v>
      </c>
      <c r="G341" s="21"/>
      <c r="H341" s="19">
        <v>13.957649999999999</v>
      </c>
      <c r="I341" s="23"/>
      <c r="J341" s="19">
        <f t="shared" si="30"/>
        <v>0</v>
      </c>
      <c r="M341" s="39" t="str">
        <f t="shared" si="31"/>
        <v>-</v>
      </c>
      <c r="N341" s="39" t="str">
        <f t="shared" si="32"/>
        <v>-</v>
      </c>
      <c r="O341" s="40" t="str">
        <f t="shared" si="33"/>
        <v>-</v>
      </c>
      <c r="P341" s="41" t="str">
        <f t="shared" si="34"/>
        <v>-</v>
      </c>
      <c r="R341" s="41" t="str">
        <f t="shared" si="35"/>
        <v>-</v>
      </c>
    </row>
    <row r="342" spans="1:18" x14ac:dyDescent="0.3">
      <c r="A342" s="26">
        <v>5172</v>
      </c>
      <c r="B342" s="15">
        <v>88395051722</v>
      </c>
      <c r="C342" s="17" t="s">
        <v>321</v>
      </c>
      <c r="D342" s="29"/>
      <c r="E342" s="29"/>
      <c r="F342" s="21">
        <v>0.50736000000000003</v>
      </c>
      <c r="G342" s="21"/>
      <c r="H342" s="19">
        <v>30.759750000000004</v>
      </c>
      <c r="I342" s="23"/>
      <c r="J342" s="19">
        <f t="shared" si="30"/>
        <v>0</v>
      </c>
      <c r="M342" s="39" t="str">
        <f t="shared" si="31"/>
        <v>-</v>
      </c>
      <c r="N342" s="39" t="str">
        <f t="shared" si="32"/>
        <v>-</v>
      </c>
      <c r="O342" s="40" t="str">
        <f t="shared" si="33"/>
        <v>-</v>
      </c>
      <c r="P342" s="41" t="str">
        <f t="shared" si="34"/>
        <v>-</v>
      </c>
      <c r="R342" s="41" t="str">
        <f t="shared" si="35"/>
        <v>-</v>
      </c>
    </row>
    <row r="343" spans="1:18" x14ac:dyDescent="0.3">
      <c r="A343" s="26">
        <v>5201</v>
      </c>
      <c r="B343" s="15">
        <v>88395052019</v>
      </c>
      <c r="C343" s="17" t="s">
        <v>322</v>
      </c>
      <c r="D343" s="29"/>
      <c r="E343" s="29"/>
      <c r="F343" s="21">
        <v>0.27179999999999999</v>
      </c>
      <c r="G343" s="21"/>
      <c r="H343" s="19">
        <v>9.8563499999999991</v>
      </c>
      <c r="I343" s="23"/>
      <c r="J343" s="19">
        <f t="shared" si="30"/>
        <v>0</v>
      </c>
      <c r="M343" s="39" t="str">
        <f t="shared" si="31"/>
        <v>-</v>
      </c>
      <c r="N343" s="39" t="str">
        <f t="shared" si="32"/>
        <v>-</v>
      </c>
      <c r="O343" s="40" t="str">
        <f t="shared" si="33"/>
        <v>-</v>
      </c>
      <c r="P343" s="41" t="str">
        <f t="shared" si="34"/>
        <v>-</v>
      </c>
      <c r="R343" s="41" t="str">
        <f t="shared" si="35"/>
        <v>-</v>
      </c>
    </row>
    <row r="344" spans="1:18" x14ac:dyDescent="0.3">
      <c r="A344" s="26">
        <v>5202</v>
      </c>
      <c r="B344" s="15">
        <v>88395052026</v>
      </c>
      <c r="C344" s="17" t="s">
        <v>323</v>
      </c>
      <c r="D344" s="29"/>
      <c r="E344" s="29"/>
      <c r="F344" s="21">
        <v>0.63419999999999999</v>
      </c>
      <c r="G344" s="21"/>
      <c r="H344" s="19">
        <v>19.778849999999998</v>
      </c>
      <c r="I344" s="23"/>
      <c r="J344" s="19">
        <f t="shared" si="30"/>
        <v>0</v>
      </c>
      <c r="M344" s="39" t="str">
        <f t="shared" si="31"/>
        <v>-</v>
      </c>
      <c r="N344" s="39" t="str">
        <f t="shared" si="32"/>
        <v>-</v>
      </c>
      <c r="O344" s="40" t="str">
        <f t="shared" si="33"/>
        <v>-</v>
      </c>
      <c r="P344" s="41" t="str">
        <f t="shared" si="34"/>
        <v>-</v>
      </c>
      <c r="R344" s="41" t="str">
        <f t="shared" si="35"/>
        <v>-</v>
      </c>
    </row>
    <row r="345" spans="1:18" x14ac:dyDescent="0.3">
      <c r="A345" s="26">
        <v>5221</v>
      </c>
      <c r="B345" s="15">
        <v>88395052217</v>
      </c>
      <c r="C345" s="17" t="s">
        <v>324</v>
      </c>
      <c r="D345" s="29"/>
      <c r="E345" s="29"/>
      <c r="F345" s="21">
        <v>9.9659999999999999E-2</v>
      </c>
      <c r="G345" s="21"/>
      <c r="H345" s="19">
        <v>7.7395499999999995</v>
      </c>
      <c r="I345" s="23"/>
      <c r="J345" s="19">
        <f t="shared" si="30"/>
        <v>0</v>
      </c>
      <c r="M345" s="39" t="str">
        <f t="shared" si="31"/>
        <v>-</v>
      </c>
      <c r="N345" s="39" t="str">
        <f t="shared" si="32"/>
        <v>-</v>
      </c>
      <c r="O345" s="40" t="str">
        <f t="shared" si="33"/>
        <v>-</v>
      </c>
      <c r="P345" s="41" t="str">
        <f t="shared" si="34"/>
        <v>-</v>
      </c>
      <c r="R345" s="41" t="str">
        <f t="shared" si="35"/>
        <v>-</v>
      </c>
    </row>
    <row r="346" spans="1:18" x14ac:dyDescent="0.3">
      <c r="A346" s="26">
        <v>5222</v>
      </c>
      <c r="B346" s="15">
        <v>88395052224</v>
      </c>
      <c r="C346" s="17" t="s">
        <v>325</v>
      </c>
      <c r="D346" s="29"/>
      <c r="E346" s="29"/>
      <c r="F346" s="21">
        <v>0.18573000000000001</v>
      </c>
      <c r="G346" s="21"/>
      <c r="H346" s="19">
        <v>14.222250000000001</v>
      </c>
      <c r="I346" s="23"/>
      <c r="J346" s="19">
        <f t="shared" si="30"/>
        <v>0</v>
      </c>
      <c r="M346" s="39" t="str">
        <f t="shared" si="31"/>
        <v>-</v>
      </c>
      <c r="N346" s="39" t="str">
        <f t="shared" si="32"/>
        <v>-</v>
      </c>
      <c r="O346" s="40" t="str">
        <f t="shared" si="33"/>
        <v>-</v>
      </c>
      <c r="P346" s="41" t="str">
        <f t="shared" si="34"/>
        <v>-</v>
      </c>
      <c r="R346" s="41" t="str">
        <f t="shared" si="35"/>
        <v>-</v>
      </c>
    </row>
    <row r="347" spans="1:18" x14ac:dyDescent="0.3">
      <c r="A347" s="26">
        <v>5231</v>
      </c>
      <c r="B347" s="15">
        <v>88395052316</v>
      </c>
      <c r="C347" s="17" t="s">
        <v>326</v>
      </c>
      <c r="D347" s="29"/>
      <c r="E347" s="29"/>
      <c r="F347" s="21">
        <v>9.5130000000000006E-2</v>
      </c>
      <c r="G347" s="21"/>
      <c r="H347" s="19">
        <v>9.5917499999999993</v>
      </c>
      <c r="I347" s="23"/>
      <c r="J347" s="19">
        <f t="shared" si="30"/>
        <v>0</v>
      </c>
      <c r="M347" s="39" t="str">
        <f t="shared" si="31"/>
        <v>-</v>
      </c>
      <c r="N347" s="39" t="str">
        <f t="shared" si="32"/>
        <v>-</v>
      </c>
      <c r="O347" s="40" t="str">
        <f t="shared" si="33"/>
        <v>-</v>
      </c>
      <c r="P347" s="41" t="str">
        <f t="shared" si="34"/>
        <v>-</v>
      </c>
      <c r="R347" s="41" t="str">
        <f t="shared" si="35"/>
        <v>-</v>
      </c>
    </row>
    <row r="348" spans="1:18" x14ac:dyDescent="0.3">
      <c r="A348" s="26">
        <v>5232</v>
      </c>
      <c r="B348" s="15">
        <v>88395052323</v>
      </c>
      <c r="C348" s="17" t="s">
        <v>327</v>
      </c>
      <c r="D348" s="29"/>
      <c r="E348" s="29"/>
      <c r="F348" s="21">
        <v>0.22197</v>
      </c>
      <c r="G348" s="21"/>
      <c r="H348" s="19">
        <v>17.992799999999999</v>
      </c>
      <c r="I348" s="23"/>
      <c r="J348" s="19">
        <f t="shared" si="30"/>
        <v>0</v>
      </c>
      <c r="M348" s="39" t="str">
        <f t="shared" si="31"/>
        <v>-</v>
      </c>
      <c r="N348" s="39" t="str">
        <f t="shared" si="32"/>
        <v>-</v>
      </c>
      <c r="O348" s="40" t="str">
        <f t="shared" si="33"/>
        <v>-</v>
      </c>
      <c r="P348" s="41" t="str">
        <f t="shared" si="34"/>
        <v>-</v>
      </c>
      <c r="R348" s="41" t="str">
        <f t="shared" si="35"/>
        <v>-</v>
      </c>
    </row>
    <row r="349" spans="1:18" x14ac:dyDescent="0.3">
      <c r="A349" s="26">
        <v>5280</v>
      </c>
      <c r="B349" s="15">
        <v>88395052804</v>
      </c>
      <c r="C349" s="17" t="s">
        <v>328</v>
      </c>
      <c r="D349" s="29"/>
      <c r="E349" s="29"/>
      <c r="F349" s="21">
        <v>2.2650000000000003E-2</v>
      </c>
      <c r="G349" s="21"/>
      <c r="H349" s="19">
        <v>6.284250000000001</v>
      </c>
      <c r="I349" s="23"/>
      <c r="J349" s="19">
        <f t="shared" si="30"/>
        <v>0</v>
      </c>
      <c r="M349" s="39" t="str">
        <f t="shared" si="31"/>
        <v>-</v>
      </c>
      <c r="N349" s="39" t="str">
        <f t="shared" si="32"/>
        <v>-</v>
      </c>
      <c r="O349" s="40" t="str">
        <f t="shared" si="33"/>
        <v>-</v>
      </c>
      <c r="P349" s="41" t="str">
        <f t="shared" si="34"/>
        <v>-</v>
      </c>
      <c r="R349" s="41" t="str">
        <f t="shared" si="35"/>
        <v>-</v>
      </c>
    </row>
    <row r="350" spans="1:18" x14ac:dyDescent="0.3">
      <c r="A350" s="26">
        <v>5282</v>
      </c>
      <c r="B350" s="15">
        <v>88395052828</v>
      </c>
      <c r="C350" s="17" t="s">
        <v>329</v>
      </c>
      <c r="D350" s="29"/>
      <c r="E350" s="29"/>
      <c r="F350" s="21">
        <v>6.7949999999999997E-2</v>
      </c>
      <c r="G350" s="21"/>
      <c r="H350" s="19">
        <v>16.20675</v>
      </c>
      <c r="I350" s="23"/>
      <c r="J350" s="19">
        <f t="shared" si="30"/>
        <v>0</v>
      </c>
      <c r="M350" s="39" t="str">
        <f t="shared" si="31"/>
        <v>-</v>
      </c>
      <c r="N350" s="39" t="str">
        <f t="shared" si="32"/>
        <v>-</v>
      </c>
      <c r="O350" s="40" t="str">
        <f t="shared" si="33"/>
        <v>-</v>
      </c>
      <c r="P350" s="41" t="str">
        <f t="shared" si="34"/>
        <v>-</v>
      </c>
      <c r="R350" s="41" t="str">
        <f t="shared" si="35"/>
        <v>-</v>
      </c>
    </row>
    <row r="351" spans="1:18" x14ac:dyDescent="0.3">
      <c r="A351" s="26">
        <v>5311</v>
      </c>
      <c r="B351" s="15">
        <v>88395053115</v>
      </c>
      <c r="C351" s="17" t="s">
        <v>330</v>
      </c>
      <c r="D351" s="29"/>
      <c r="E351" s="29"/>
      <c r="F351" s="21">
        <v>5.4359999999999999E-2</v>
      </c>
      <c r="G351" s="21"/>
      <c r="H351" s="19">
        <v>6.5488500000000016</v>
      </c>
      <c r="I351" s="23"/>
      <c r="J351" s="19">
        <f t="shared" si="30"/>
        <v>0</v>
      </c>
      <c r="M351" s="39" t="str">
        <f t="shared" si="31"/>
        <v>-</v>
      </c>
      <c r="N351" s="39" t="str">
        <f t="shared" si="32"/>
        <v>-</v>
      </c>
      <c r="O351" s="40" t="str">
        <f t="shared" si="33"/>
        <v>-</v>
      </c>
      <c r="P351" s="41" t="str">
        <f t="shared" si="34"/>
        <v>-</v>
      </c>
      <c r="R351" s="41" t="str">
        <f t="shared" si="35"/>
        <v>-</v>
      </c>
    </row>
    <row r="352" spans="1:18" x14ac:dyDescent="0.3">
      <c r="A352" s="26">
        <v>5312</v>
      </c>
      <c r="B352" s="15">
        <v>88395053122</v>
      </c>
      <c r="C352" s="17" t="s">
        <v>331</v>
      </c>
      <c r="D352" s="29"/>
      <c r="E352" s="29"/>
      <c r="F352" s="21">
        <v>0.13136999999999999</v>
      </c>
      <c r="G352" s="21"/>
      <c r="H352" s="19">
        <v>11.576249999999998</v>
      </c>
      <c r="I352" s="23"/>
      <c r="J352" s="19">
        <f t="shared" si="30"/>
        <v>0</v>
      </c>
      <c r="M352" s="39" t="str">
        <f t="shared" si="31"/>
        <v>-</v>
      </c>
      <c r="N352" s="39" t="str">
        <f t="shared" si="32"/>
        <v>-</v>
      </c>
      <c r="O352" s="40" t="str">
        <f t="shared" si="33"/>
        <v>-</v>
      </c>
      <c r="P352" s="41" t="str">
        <f t="shared" si="34"/>
        <v>-</v>
      </c>
      <c r="R352" s="41" t="str">
        <f t="shared" si="35"/>
        <v>-</v>
      </c>
    </row>
    <row r="353" spans="1:18" x14ac:dyDescent="0.3">
      <c r="A353" s="26">
        <v>5330</v>
      </c>
      <c r="B353" s="15">
        <v>88395533006</v>
      </c>
      <c r="C353" s="17" t="s">
        <v>332</v>
      </c>
      <c r="D353" s="29"/>
      <c r="E353" s="29"/>
      <c r="F353" s="21">
        <v>5.8890000000000005E-2</v>
      </c>
      <c r="G353" s="21"/>
      <c r="H353" s="19">
        <v>5.8873499999999996</v>
      </c>
      <c r="I353" s="23"/>
      <c r="J353" s="19">
        <f t="shared" si="30"/>
        <v>0</v>
      </c>
      <c r="M353" s="39" t="str">
        <f t="shared" si="31"/>
        <v>-</v>
      </c>
      <c r="N353" s="39" t="str">
        <f t="shared" si="32"/>
        <v>-</v>
      </c>
      <c r="O353" s="40" t="str">
        <f t="shared" si="33"/>
        <v>-</v>
      </c>
      <c r="P353" s="41" t="str">
        <f t="shared" si="34"/>
        <v>-</v>
      </c>
      <c r="R353" s="41" t="str">
        <f t="shared" si="35"/>
        <v>-</v>
      </c>
    </row>
    <row r="354" spans="1:18" x14ac:dyDescent="0.3">
      <c r="A354" s="26">
        <v>5331</v>
      </c>
      <c r="B354" s="15">
        <v>88395533105</v>
      </c>
      <c r="C354" s="17" t="s">
        <v>450</v>
      </c>
      <c r="D354" s="29"/>
      <c r="E354" s="29"/>
      <c r="F354" s="21">
        <v>9.9659999999999999E-2</v>
      </c>
      <c r="G354" s="21"/>
      <c r="H354" s="19">
        <v>10.517849999999999</v>
      </c>
      <c r="I354" s="23"/>
      <c r="J354" s="19">
        <f t="shared" si="30"/>
        <v>0</v>
      </c>
      <c r="M354" s="39" t="str">
        <f t="shared" si="31"/>
        <v>-</v>
      </c>
      <c r="N354" s="39" t="str">
        <f t="shared" si="32"/>
        <v>-</v>
      </c>
      <c r="O354" s="40" t="str">
        <f t="shared" si="33"/>
        <v>-</v>
      </c>
      <c r="P354" s="41" t="str">
        <f t="shared" si="34"/>
        <v>-</v>
      </c>
      <c r="R354" s="41" t="str">
        <f t="shared" si="35"/>
        <v>-</v>
      </c>
    </row>
    <row r="355" spans="1:18" x14ac:dyDescent="0.3">
      <c r="A355" s="26">
        <v>5332</v>
      </c>
      <c r="B355" s="15">
        <v>88395533204</v>
      </c>
      <c r="C355" s="17" t="s">
        <v>451</v>
      </c>
      <c r="D355" s="29"/>
      <c r="E355" s="29"/>
      <c r="F355" s="21">
        <v>0.18573000000000001</v>
      </c>
      <c r="G355" s="21"/>
      <c r="H355" s="19">
        <v>16.20675</v>
      </c>
      <c r="I355" s="23"/>
      <c r="J355" s="19">
        <f t="shared" si="30"/>
        <v>0</v>
      </c>
      <c r="M355" s="39" t="str">
        <f t="shared" si="31"/>
        <v>-</v>
      </c>
      <c r="N355" s="39" t="str">
        <f t="shared" si="32"/>
        <v>-</v>
      </c>
      <c r="O355" s="40" t="str">
        <f t="shared" si="33"/>
        <v>-</v>
      </c>
      <c r="P355" s="41" t="str">
        <f t="shared" si="34"/>
        <v>-</v>
      </c>
      <c r="R355" s="41" t="str">
        <f t="shared" si="35"/>
        <v>-</v>
      </c>
    </row>
    <row r="356" spans="1:18" x14ac:dyDescent="0.3">
      <c r="A356" s="26">
        <v>5333</v>
      </c>
      <c r="B356" s="15">
        <v>88395533303</v>
      </c>
      <c r="C356" s="17" t="s">
        <v>333</v>
      </c>
      <c r="D356" s="29"/>
      <c r="E356" s="29"/>
      <c r="F356" s="21">
        <v>9.9659999999999999E-2</v>
      </c>
      <c r="G356" s="21"/>
      <c r="H356" s="19">
        <v>10.517849999999999</v>
      </c>
      <c r="I356" s="23"/>
      <c r="J356" s="19">
        <f t="shared" si="30"/>
        <v>0</v>
      </c>
      <c r="M356" s="39" t="str">
        <f t="shared" si="31"/>
        <v>-</v>
      </c>
      <c r="N356" s="39" t="str">
        <f t="shared" si="32"/>
        <v>-</v>
      </c>
      <c r="O356" s="40" t="str">
        <f t="shared" si="33"/>
        <v>-</v>
      </c>
      <c r="P356" s="41" t="str">
        <f t="shared" si="34"/>
        <v>-</v>
      </c>
      <c r="R356" s="41" t="str">
        <f t="shared" si="35"/>
        <v>-</v>
      </c>
    </row>
    <row r="357" spans="1:18" x14ac:dyDescent="0.3">
      <c r="A357" s="26">
        <v>5334</v>
      </c>
      <c r="B357" s="15">
        <v>88395533402</v>
      </c>
      <c r="C357" s="17" t="s">
        <v>334</v>
      </c>
      <c r="D357" s="29"/>
      <c r="E357" s="29"/>
      <c r="F357" s="21">
        <v>0.18573000000000001</v>
      </c>
      <c r="G357" s="21"/>
      <c r="H357" s="19">
        <v>16.20675</v>
      </c>
      <c r="I357" s="23"/>
      <c r="J357" s="19">
        <f t="shared" si="30"/>
        <v>0</v>
      </c>
      <c r="M357" s="39" t="str">
        <f t="shared" si="31"/>
        <v>-</v>
      </c>
      <c r="N357" s="39" t="str">
        <f t="shared" si="32"/>
        <v>-</v>
      </c>
      <c r="O357" s="40" t="str">
        <f t="shared" si="33"/>
        <v>-</v>
      </c>
      <c r="P357" s="41" t="str">
        <f t="shared" si="34"/>
        <v>-</v>
      </c>
      <c r="R357" s="41" t="str">
        <f t="shared" si="35"/>
        <v>-</v>
      </c>
    </row>
    <row r="358" spans="1:18" x14ac:dyDescent="0.3">
      <c r="A358" s="26">
        <v>5340</v>
      </c>
      <c r="B358" s="15">
        <v>88395053405</v>
      </c>
      <c r="C358" s="17" t="s">
        <v>335</v>
      </c>
      <c r="D358" s="29"/>
      <c r="E358" s="29"/>
      <c r="F358" s="21">
        <v>9.0600000000000014E-2</v>
      </c>
      <c r="G358" s="21"/>
      <c r="H358" s="19">
        <v>4.9612499999999997</v>
      </c>
      <c r="I358" s="23"/>
      <c r="J358" s="19">
        <f t="shared" si="30"/>
        <v>0</v>
      </c>
      <c r="M358" s="39" t="str">
        <f t="shared" si="31"/>
        <v>-</v>
      </c>
      <c r="N358" s="39" t="str">
        <f t="shared" si="32"/>
        <v>-</v>
      </c>
      <c r="O358" s="40" t="str">
        <f t="shared" si="33"/>
        <v>-</v>
      </c>
      <c r="P358" s="41" t="str">
        <f t="shared" si="34"/>
        <v>-</v>
      </c>
      <c r="R358" s="41" t="str">
        <f t="shared" si="35"/>
        <v>-</v>
      </c>
    </row>
    <row r="359" spans="1:18" x14ac:dyDescent="0.3">
      <c r="A359" s="26">
        <v>5341</v>
      </c>
      <c r="B359" s="15">
        <v>88395053412</v>
      </c>
      <c r="C359" s="17" t="s">
        <v>336</v>
      </c>
      <c r="D359" s="29"/>
      <c r="E359" s="29"/>
      <c r="F359" s="21">
        <v>0.15855</v>
      </c>
      <c r="G359" s="21"/>
      <c r="H359" s="19">
        <v>8.9302500000000009</v>
      </c>
      <c r="I359" s="23"/>
      <c r="J359" s="19">
        <f t="shared" si="30"/>
        <v>0</v>
      </c>
      <c r="M359" s="39" t="str">
        <f t="shared" si="31"/>
        <v>-</v>
      </c>
      <c r="N359" s="39" t="str">
        <f t="shared" si="32"/>
        <v>-</v>
      </c>
      <c r="O359" s="40" t="str">
        <f t="shared" si="33"/>
        <v>-</v>
      </c>
      <c r="P359" s="41" t="str">
        <f t="shared" si="34"/>
        <v>-</v>
      </c>
      <c r="R359" s="41" t="str">
        <f t="shared" si="35"/>
        <v>-</v>
      </c>
    </row>
    <row r="360" spans="1:18" x14ac:dyDescent="0.3">
      <c r="A360" s="26">
        <v>5342</v>
      </c>
      <c r="B360" s="15">
        <v>88395534201</v>
      </c>
      <c r="C360" s="17" t="s">
        <v>337</v>
      </c>
      <c r="D360" s="29"/>
      <c r="E360" s="29"/>
      <c r="F360" s="21">
        <v>0.32616000000000001</v>
      </c>
      <c r="G360" s="21"/>
      <c r="H360" s="19">
        <v>16.669799999999999</v>
      </c>
      <c r="I360" s="23"/>
      <c r="J360" s="19">
        <f t="shared" si="30"/>
        <v>0</v>
      </c>
      <c r="M360" s="39" t="str">
        <f t="shared" si="31"/>
        <v>-</v>
      </c>
      <c r="N360" s="39" t="str">
        <f t="shared" si="32"/>
        <v>-</v>
      </c>
      <c r="O360" s="40" t="str">
        <f t="shared" si="33"/>
        <v>-</v>
      </c>
      <c r="P360" s="41" t="str">
        <f t="shared" si="34"/>
        <v>-</v>
      </c>
      <c r="R360" s="41" t="str">
        <f t="shared" si="35"/>
        <v>-</v>
      </c>
    </row>
    <row r="361" spans="1:18" x14ac:dyDescent="0.3">
      <c r="A361" s="26">
        <v>5450</v>
      </c>
      <c r="B361" s="15">
        <v>88395545009</v>
      </c>
      <c r="C361" s="17" t="s">
        <v>338</v>
      </c>
      <c r="D361" s="29"/>
      <c r="E361" s="29"/>
      <c r="F361" s="21">
        <v>8.1540000000000001E-2</v>
      </c>
      <c r="G361" s="21"/>
      <c r="H361" s="19">
        <v>13.16385</v>
      </c>
      <c r="I361" s="23"/>
      <c r="J361" s="19">
        <f t="shared" si="30"/>
        <v>0</v>
      </c>
      <c r="M361" s="39" t="str">
        <f t="shared" si="31"/>
        <v>-</v>
      </c>
      <c r="N361" s="39" t="str">
        <f t="shared" si="32"/>
        <v>-</v>
      </c>
      <c r="O361" s="40" t="str">
        <f t="shared" si="33"/>
        <v>-</v>
      </c>
      <c r="P361" s="41" t="str">
        <f t="shared" si="34"/>
        <v>-</v>
      </c>
      <c r="R361" s="41" t="str">
        <f t="shared" si="35"/>
        <v>-</v>
      </c>
    </row>
    <row r="362" spans="1:18" x14ac:dyDescent="0.3">
      <c r="A362" s="26">
        <v>5451</v>
      </c>
      <c r="B362" s="15">
        <v>88395545108</v>
      </c>
      <c r="C362" s="17" t="s">
        <v>339</v>
      </c>
      <c r="D362" s="29"/>
      <c r="E362" s="29"/>
      <c r="F362" s="21">
        <v>0.21290999999999999</v>
      </c>
      <c r="G362" s="21"/>
      <c r="H362" s="19">
        <v>33.008849999999995</v>
      </c>
      <c r="I362" s="23"/>
      <c r="J362" s="19">
        <f t="shared" si="30"/>
        <v>0</v>
      </c>
      <c r="M362" s="39" t="str">
        <f t="shared" si="31"/>
        <v>-</v>
      </c>
      <c r="N362" s="39" t="str">
        <f t="shared" si="32"/>
        <v>-</v>
      </c>
      <c r="O362" s="40" t="str">
        <f t="shared" si="33"/>
        <v>-</v>
      </c>
      <c r="P362" s="41" t="str">
        <f t="shared" si="34"/>
        <v>-</v>
      </c>
      <c r="R362" s="41" t="str">
        <f t="shared" si="35"/>
        <v>-</v>
      </c>
    </row>
    <row r="363" spans="1:18" x14ac:dyDescent="0.3">
      <c r="A363" s="26">
        <v>5470</v>
      </c>
      <c r="B363" s="15">
        <v>88395054709</v>
      </c>
      <c r="C363" s="17" t="s">
        <v>340</v>
      </c>
      <c r="D363" s="29"/>
      <c r="E363" s="29"/>
      <c r="F363" s="21">
        <v>0.15855</v>
      </c>
      <c r="G363" s="21"/>
      <c r="H363" s="19">
        <v>12.370050000000001</v>
      </c>
      <c r="I363" s="23"/>
      <c r="J363" s="19">
        <f t="shared" si="30"/>
        <v>0</v>
      </c>
      <c r="M363" s="39" t="str">
        <f t="shared" si="31"/>
        <v>-</v>
      </c>
      <c r="N363" s="39" t="str">
        <f t="shared" si="32"/>
        <v>-</v>
      </c>
      <c r="O363" s="40" t="str">
        <f t="shared" si="33"/>
        <v>-</v>
      </c>
      <c r="P363" s="41" t="str">
        <f t="shared" si="34"/>
        <v>-</v>
      </c>
      <c r="R363" s="41" t="str">
        <f t="shared" si="35"/>
        <v>-</v>
      </c>
    </row>
    <row r="364" spans="1:18" x14ac:dyDescent="0.3">
      <c r="A364" s="26">
        <v>5472</v>
      </c>
      <c r="B364" s="15">
        <v>88395054723</v>
      </c>
      <c r="C364" s="17" t="s">
        <v>341</v>
      </c>
      <c r="D364" s="29"/>
      <c r="E364" s="29"/>
      <c r="F364" s="21">
        <v>0.47565000000000002</v>
      </c>
      <c r="G364" s="21"/>
      <c r="H364" s="19">
        <v>33.736500000000007</v>
      </c>
      <c r="I364" s="23"/>
      <c r="J364" s="19">
        <f t="shared" si="30"/>
        <v>0</v>
      </c>
      <c r="M364" s="39" t="str">
        <f t="shared" si="31"/>
        <v>-</v>
      </c>
      <c r="N364" s="39" t="str">
        <f t="shared" si="32"/>
        <v>-</v>
      </c>
      <c r="O364" s="40" t="str">
        <f t="shared" si="33"/>
        <v>-</v>
      </c>
      <c r="P364" s="41" t="str">
        <f t="shared" si="34"/>
        <v>-</v>
      </c>
      <c r="R364" s="41" t="str">
        <f t="shared" si="35"/>
        <v>-</v>
      </c>
    </row>
    <row r="365" spans="1:18" x14ac:dyDescent="0.3">
      <c r="A365" s="26">
        <v>5511</v>
      </c>
      <c r="B365" s="15">
        <v>88395055119</v>
      </c>
      <c r="C365" s="17" t="s">
        <v>342</v>
      </c>
      <c r="D365" s="29"/>
      <c r="E365" s="29"/>
      <c r="F365" s="21">
        <v>4.5300000000000007E-2</v>
      </c>
      <c r="G365" s="21"/>
      <c r="H365" s="19">
        <v>5.1266250000000007</v>
      </c>
      <c r="I365" s="23"/>
      <c r="J365" s="19">
        <f t="shared" si="30"/>
        <v>0</v>
      </c>
      <c r="M365" s="39" t="str">
        <f t="shared" si="31"/>
        <v>-</v>
      </c>
      <c r="N365" s="39" t="str">
        <f t="shared" si="32"/>
        <v>-</v>
      </c>
      <c r="O365" s="40" t="str">
        <f t="shared" si="33"/>
        <v>-</v>
      </c>
      <c r="P365" s="41" t="str">
        <f t="shared" si="34"/>
        <v>-</v>
      </c>
      <c r="R365" s="41" t="str">
        <f t="shared" si="35"/>
        <v>-</v>
      </c>
    </row>
    <row r="366" spans="1:18" x14ac:dyDescent="0.3">
      <c r="A366" s="26">
        <v>5513</v>
      </c>
      <c r="B366" s="15">
        <v>88395055133</v>
      </c>
      <c r="C366" s="17" t="s">
        <v>343</v>
      </c>
      <c r="D366" s="29"/>
      <c r="E366" s="29"/>
      <c r="F366" s="21">
        <v>0.11778000000000001</v>
      </c>
      <c r="G366" s="21"/>
      <c r="H366" s="19">
        <v>12.899249999999999</v>
      </c>
      <c r="I366" s="23"/>
      <c r="J366" s="19">
        <f t="shared" si="30"/>
        <v>0</v>
      </c>
      <c r="M366" s="39" t="str">
        <f t="shared" si="31"/>
        <v>-</v>
      </c>
      <c r="N366" s="39" t="str">
        <f t="shared" si="32"/>
        <v>-</v>
      </c>
      <c r="O366" s="40" t="str">
        <f t="shared" si="33"/>
        <v>-</v>
      </c>
      <c r="P366" s="41" t="str">
        <f t="shared" si="34"/>
        <v>-</v>
      </c>
      <c r="R366" s="41" t="str">
        <f t="shared" si="35"/>
        <v>-</v>
      </c>
    </row>
    <row r="367" spans="1:18" x14ac:dyDescent="0.3">
      <c r="A367" s="26">
        <v>5541</v>
      </c>
      <c r="B367" s="15">
        <v>88395055416</v>
      </c>
      <c r="C367" s="17" t="s">
        <v>452</v>
      </c>
      <c r="D367" s="29"/>
      <c r="E367" s="29"/>
      <c r="F367" s="21">
        <v>3.6240000000000001E-2</v>
      </c>
      <c r="G367" s="21"/>
      <c r="H367" s="19">
        <v>9.8563499999999991</v>
      </c>
      <c r="I367" s="23"/>
      <c r="J367" s="19">
        <f t="shared" si="30"/>
        <v>0</v>
      </c>
      <c r="M367" s="39" t="str">
        <f t="shared" si="31"/>
        <v>-</v>
      </c>
      <c r="N367" s="39" t="str">
        <f t="shared" si="32"/>
        <v>-</v>
      </c>
      <c r="O367" s="40" t="str">
        <f t="shared" si="33"/>
        <v>-</v>
      </c>
      <c r="P367" s="41" t="str">
        <f t="shared" si="34"/>
        <v>-</v>
      </c>
      <c r="R367" s="41" t="str">
        <f t="shared" si="35"/>
        <v>-</v>
      </c>
    </row>
    <row r="368" spans="1:18" x14ac:dyDescent="0.3">
      <c r="A368" s="26">
        <v>5542</v>
      </c>
      <c r="B368" s="15">
        <v>88395055423</v>
      </c>
      <c r="C368" s="17" t="s">
        <v>453</v>
      </c>
      <c r="D368" s="29"/>
      <c r="E368" s="29"/>
      <c r="F368" s="21">
        <v>7.2480000000000003E-2</v>
      </c>
      <c r="G368" s="21"/>
      <c r="H368" s="19">
        <v>23.74785</v>
      </c>
      <c r="I368" s="23"/>
      <c r="J368" s="19">
        <f t="shared" si="30"/>
        <v>0</v>
      </c>
      <c r="M368" s="39" t="str">
        <f t="shared" si="31"/>
        <v>-</v>
      </c>
      <c r="N368" s="39" t="str">
        <f t="shared" si="32"/>
        <v>-</v>
      </c>
      <c r="O368" s="40" t="str">
        <f t="shared" si="33"/>
        <v>-</v>
      </c>
      <c r="P368" s="41" t="str">
        <f t="shared" si="34"/>
        <v>-</v>
      </c>
      <c r="R368" s="41" t="str">
        <f t="shared" si="35"/>
        <v>-</v>
      </c>
    </row>
    <row r="369" spans="1:18" x14ac:dyDescent="0.3">
      <c r="A369" s="26">
        <v>5571</v>
      </c>
      <c r="B369" s="15">
        <v>88395055713</v>
      </c>
      <c r="C369" s="17" t="s">
        <v>344</v>
      </c>
      <c r="D369" s="29"/>
      <c r="E369" s="29"/>
      <c r="F369" s="21">
        <v>5.8890000000000005E-2</v>
      </c>
      <c r="G369" s="21"/>
      <c r="H369" s="19">
        <v>6.5488500000000016</v>
      </c>
      <c r="I369" s="23"/>
      <c r="J369" s="19">
        <f t="shared" si="30"/>
        <v>0</v>
      </c>
      <c r="M369" s="39" t="str">
        <f t="shared" si="31"/>
        <v>-</v>
      </c>
      <c r="N369" s="39" t="str">
        <f t="shared" si="32"/>
        <v>-</v>
      </c>
      <c r="O369" s="40" t="str">
        <f t="shared" si="33"/>
        <v>-</v>
      </c>
      <c r="P369" s="41" t="str">
        <f t="shared" si="34"/>
        <v>-</v>
      </c>
      <c r="R369" s="41" t="str">
        <f t="shared" si="35"/>
        <v>-</v>
      </c>
    </row>
    <row r="370" spans="1:18" x14ac:dyDescent="0.3">
      <c r="A370" s="26">
        <v>5572</v>
      </c>
      <c r="B370" s="15">
        <v>88395055720</v>
      </c>
      <c r="C370" s="17" t="s">
        <v>345</v>
      </c>
      <c r="D370" s="29"/>
      <c r="E370" s="29"/>
      <c r="F370" s="21">
        <v>0.13589999999999999</v>
      </c>
      <c r="G370" s="21"/>
      <c r="H370" s="19">
        <v>13.16385</v>
      </c>
      <c r="I370" s="23"/>
      <c r="J370" s="19">
        <f t="shared" si="30"/>
        <v>0</v>
      </c>
      <c r="M370" s="39" t="str">
        <f t="shared" si="31"/>
        <v>-</v>
      </c>
      <c r="N370" s="39" t="str">
        <f t="shared" si="32"/>
        <v>-</v>
      </c>
      <c r="O370" s="40" t="str">
        <f t="shared" si="33"/>
        <v>-</v>
      </c>
      <c r="P370" s="41" t="str">
        <f t="shared" si="34"/>
        <v>-</v>
      </c>
      <c r="R370" s="41" t="str">
        <f t="shared" si="35"/>
        <v>-</v>
      </c>
    </row>
    <row r="371" spans="1:18" x14ac:dyDescent="0.3">
      <c r="A371" s="26">
        <v>5580</v>
      </c>
      <c r="B371" s="15">
        <v>88395055805</v>
      </c>
      <c r="C371" s="17" t="s">
        <v>346</v>
      </c>
      <c r="D371" s="29"/>
      <c r="E371" s="29"/>
      <c r="F371" s="21">
        <v>9.0600000000000014E-2</v>
      </c>
      <c r="G371" s="21"/>
      <c r="H371" s="19">
        <v>4.5643499999999992</v>
      </c>
      <c r="I371" s="23"/>
      <c r="J371" s="19">
        <f t="shared" si="30"/>
        <v>0</v>
      </c>
      <c r="M371" s="39" t="str">
        <f t="shared" si="31"/>
        <v>-</v>
      </c>
      <c r="N371" s="39" t="str">
        <f t="shared" si="32"/>
        <v>-</v>
      </c>
      <c r="O371" s="40" t="str">
        <f t="shared" si="33"/>
        <v>-</v>
      </c>
      <c r="P371" s="41" t="str">
        <f t="shared" si="34"/>
        <v>-</v>
      </c>
      <c r="R371" s="41" t="str">
        <f t="shared" si="35"/>
        <v>-</v>
      </c>
    </row>
    <row r="372" spans="1:18" x14ac:dyDescent="0.3">
      <c r="A372" s="26">
        <v>5581</v>
      </c>
      <c r="B372" s="15">
        <v>88395558108</v>
      </c>
      <c r="C372" s="17" t="s">
        <v>347</v>
      </c>
      <c r="D372" s="29"/>
      <c r="E372" s="29"/>
      <c r="F372" s="21">
        <v>0.13589999999999999</v>
      </c>
      <c r="G372" s="21"/>
      <c r="H372" s="19">
        <v>8.9302500000000009</v>
      </c>
      <c r="I372" s="23"/>
      <c r="J372" s="19">
        <f t="shared" si="30"/>
        <v>0</v>
      </c>
      <c r="M372" s="39" t="str">
        <f t="shared" si="31"/>
        <v>-</v>
      </c>
      <c r="N372" s="39" t="str">
        <f t="shared" si="32"/>
        <v>-</v>
      </c>
      <c r="O372" s="40" t="str">
        <f t="shared" si="33"/>
        <v>-</v>
      </c>
      <c r="P372" s="41" t="str">
        <f t="shared" si="34"/>
        <v>-</v>
      </c>
      <c r="R372" s="41" t="str">
        <f t="shared" si="35"/>
        <v>-</v>
      </c>
    </row>
    <row r="373" spans="1:18" x14ac:dyDescent="0.3">
      <c r="A373" s="26">
        <v>5591</v>
      </c>
      <c r="B373" s="15">
        <v>88395559105</v>
      </c>
      <c r="C373" s="17" t="s">
        <v>348</v>
      </c>
      <c r="D373" s="29"/>
      <c r="E373" s="29"/>
      <c r="F373" s="21">
        <v>8.6070000000000008E-2</v>
      </c>
      <c r="G373" s="21"/>
      <c r="H373" s="19">
        <v>7.2103500000000009</v>
      </c>
      <c r="I373" s="23"/>
      <c r="J373" s="19">
        <f t="shared" si="30"/>
        <v>0</v>
      </c>
      <c r="M373" s="39" t="str">
        <f t="shared" si="31"/>
        <v>-</v>
      </c>
      <c r="N373" s="39" t="str">
        <f t="shared" si="32"/>
        <v>-</v>
      </c>
      <c r="O373" s="40" t="str">
        <f t="shared" si="33"/>
        <v>-</v>
      </c>
      <c r="P373" s="41" t="str">
        <f t="shared" si="34"/>
        <v>-</v>
      </c>
      <c r="R373" s="41" t="str">
        <f t="shared" si="35"/>
        <v>-</v>
      </c>
    </row>
    <row r="374" spans="1:18" x14ac:dyDescent="0.3">
      <c r="A374" s="26">
        <v>5592</v>
      </c>
      <c r="B374" s="15">
        <v>88395559204</v>
      </c>
      <c r="C374" s="17" t="s">
        <v>349</v>
      </c>
      <c r="D374" s="29"/>
      <c r="E374" s="29"/>
      <c r="F374" s="21">
        <v>0.14496000000000001</v>
      </c>
      <c r="G374" s="21"/>
      <c r="H374" s="19">
        <v>13.891500000000001</v>
      </c>
      <c r="I374" s="23"/>
      <c r="J374" s="19">
        <f t="shared" si="30"/>
        <v>0</v>
      </c>
      <c r="M374" s="39" t="str">
        <f t="shared" si="31"/>
        <v>-</v>
      </c>
      <c r="N374" s="39" t="str">
        <f t="shared" si="32"/>
        <v>-</v>
      </c>
      <c r="O374" s="40" t="str">
        <f t="shared" si="33"/>
        <v>-</v>
      </c>
      <c r="P374" s="41" t="str">
        <f t="shared" si="34"/>
        <v>-</v>
      </c>
      <c r="R374" s="41" t="str">
        <f t="shared" si="35"/>
        <v>-</v>
      </c>
    </row>
    <row r="375" spans="1:18" x14ac:dyDescent="0.3">
      <c r="A375" s="26">
        <v>5593</v>
      </c>
      <c r="B375" s="15">
        <v>88395559303</v>
      </c>
      <c r="C375" s="17" t="s">
        <v>350</v>
      </c>
      <c r="D375" s="29"/>
      <c r="E375" s="29"/>
      <c r="F375" s="21">
        <v>4.9829999999999999E-2</v>
      </c>
      <c r="G375" s="21"/>
      <c r="H375" s="19">
        <v>3.9028499999999995</v>
      </c>
      <c r="I375" s="23"/>
      <c r="J375" s="19">
        <f t="shared" si="30"/>
        <v>0</v>
      </c>
      <c r="M375" s="39" t="str">
        <f t="shared" si="31"/>
        <v>-</v>
      </c>
      <c r="N375" s="39" t="str">
        <f t="shared" si="32"/>
        <v>-</v>
      </c>
      <c r="O375" s="40" t="str">
        <f t="shared" si="33"/>
        <v>-</v>
      </c>
      <c r="P375" s="41" t="str">
        <f t="shared" si="34"/>
        <v>-</v>
      </c>
      <c r="R375" s="41" t="str">
        <f t="shared" si="35"/>
        <v>-</v>
      </c>
    </row>
    <row r="376" spans="1:18" x14ac:dyDescent="0.3">
      <c r="A376" s="26">
        <v>5594</v>
      </c>
      <c r="B376" s="15">
        <v>88395559402</v>
      </c>
      <c r="C376" s="17" t="s">
        <v>351</v>
      </c>
      <c r="D376" s="29"/>
      <c r="E376" s="29"/>
      <c r="F376" s="21">
        <v>8.6070000000000008E-2</v>
      </c>
      <c r="G376" s="21"/>
      <c r="H376" s="19">
        <v>7.2103500000000009</v>
      </c>
      <c r="I376" s="23"/>
      <c r="J376" s="19">
        <f t="shared" si="30"/>
        <v>0</v>
      </c>
      <c r="M376" s="39" t="str">
        <f t="shared" si="31"/>
        <v>-</v>
      </c>
      <c r="N376" s="39" t="str">
        <f t="shared" si="32"/>
        <v>-</v>
      </c>
      <c r="O376" s="40" t="str">
        <f t="shared" si="33"/>
        <v>-</v>
      </c>
      <c r="P376" s="41" t="str">
        <f t="shared" si="34"/>
        <v>-</v>
      </c>
      <c r="R376" s="41" t="str">
        <f t="shared" si="35"/>
        <v>-</v>
      </c>
    </row>
    <row r="377" spans="1:18" x14ac:dyDescent="0.3">
      <c r="A377" s="26">
        <v>5611</v>
      </c>
      <c r="B377" s="15">
        <v>88395056116</v>
      </c>
      <c r="C377" s="17" t="s">
        <v>352</v>
      </c>
      <c r="D377" s="29"/>
      <c r="E377" s="29"/>
      <c r="F377" s="21">
        <v>0.18120000000000003</v>
      </c>
      <c r="G377" s="21"/>
      <c r="H377" s="19">
        <v>13.23</v>
      </c>
      <c r="I377" s="23"/>
      <c r="J377" s="19">
        <f t="shared" si="30"/>
        <v>0</v>
      </c>
      <c r="M377" s="39" t="str">
        <f t="shared" si="31"/>
        <v>-</v>
      </c>
      <c r="N377" s="39" t="str">
        <f t="shared" si="32"/>
        <v>-</v>
      </c>
      <c r="O377" s="40" t="str">
        <f t="shared" si="33"/>
        <v>-</v>
      </c>
      <c r="P377" s="41" t="str">
        <f t="shared" si="34"/>
        <v>-</v>
      </c>
      <c r="R377" s="41" t="str">
        <f t="shared" si="35"/>
        <v>-</v>
      </c>
    </row>
    <row r="378" spans="1:18" x14ac:dyDescent="0.3">
      <c r="A378" s="26">
        <v>5612</v>
      </c>
      <c r="B378" s="15">
        <v>88395056123</v>
      </c>
      <c r="C378" s="17" t="s">
        <v>352</v>
      </c>
      <c r="D378" s="29"/>
      <c r="E378" s="29"/>
      <c r="F378" s="21">
        <v>0.31709999999999999</v>
      </c>
      <c r="G378" s="21"/>
      <c r="H378" s="19">
        <v>24.795224999999999</v>
      </c>
      <c r="I378" s="23"/>
      <c r="J378" s="19">
        <f t="shared" si="30"/>
        <v>0</v>
      </c>
      <c r="M378" s="39" t="str">
        <f t="shared" si="31"/>
        <v>-</v>
      </c>
      <c r="N378" s="39" t="str">
        <f t="shared" si="32"/>
        <v>-</v>
      </c>
      <c r="O378" s="40" t="str">
        <f t="shared" si="33"/>
        <v>-</v>
      </c>
      <c r="P378" s="41" t="str">
        <f t="shared" si="34"/>
        <v>-</v>
      </c>
      <c r="R378" s="41" t="str">
        <f t="shared" si="35"/>
        <v>-</v>
      </c>
    </row>
    <row r="379" spans="1:18" x14ac:dyDescent="0.3">
      <c r="A379" s="26">
        <v>5621</v>
      </c>
      <c r="B379" s="15">
        <v>88395562105</v>
      </c>
      <c r="C379" s="17" t="s">
        <v>353</v>
      </c>
      <c r="D379" s="29"/>
      <c r="E379" s="29"/>
      <c r="F379" s="21">
        <v>0.23103000000000001</v>
      </c>
      <c r="G379" s="21"/>
      <c r="H379" s="19">
        <v>17.52975</v>
      </c>
      <c r="I379" s="23"/>
      <c r="J379" s="19">
        <f t="shared" si="30"/>
        <v>0</v>
      </c>
      <c r="M379" s="39" t="str">
        <f t="shared" si="31"/>
        <v>-</v>
      </c>
      <c r="N379" s="39" t="str">
        <f t="shared" si="32"/>
        <v>-</v>
      </c>
      <c r="O379" s="40" t="str">
        <f t="shared" si="33"/>
        <v>-</v>
      </c>
      <c r="P379" s="41" t="str">
        <f t="shared" si="34"/>
        <v>-</v>
      </c>
      <c r="R379" s="41" t="str">
        <f t="shared" si="35"/>
        <v>-</v>
      </c>
    </row>
    <row r="380" spans="1:18" x14ac:dyDescent="0.3">
      <c r="A380" s="26">
        <v>5622</v>
      </c>
      <c r="B380" s="15">
        <v>88395562204</v>
      </c>
      <c r="C380" s="17" t="s">
        <v>353</v>
      </c>
      <c r="D380" s="29"/>
      <c r="E380" s="29"/>
      <c r="F380" s="21">
        <v>0.45752999999999999</v>
      </c>
      <c r="G380" s="21"/>
      <c r="H380" s="19">
        <v>32.942699999999995</v>
      </c>
      <c r="I380" s="23"/>
      <c r="J380" s="19">
        <f t="shared" si="30"/>
        <v>0</v>
      </c>
      <c r="M380" s="39" t="str">
        <f t="shared" si="31"/>
        <v>-</v>
      </c>
      <c r="N380" s="39" t="str">
        <f t="shared" si="32"/>
        <v>-</v>
      </c>
      <c r="O380" s="40" t="str">
        <f t="shared" si="33"/>
        <v>-</v>
      </c>
      <c r="P380" s="41" t="str">
        <f t="shared" si="34"/>
        <v>-</v>
      </c>
      <c r="R380" s="41" t="str">
        <f t="shared" si="35"/>
        <v>-</v>
      </c>
    </row>
    <row r="381" spans="1:18" x14ac:dyDescent="0.3">
      <c r="A381" s="26">
        <v>5631</v>
      </c>
      <c r="B381" s="15">
        <v>88395056314</v>
      </c>
      <c r="C381" s="17" t="s">
        <v>354</v>
      </c>
      <c r="D381" s="29"/>
      <c r="E381" s="29"/>
      <c r="F381" s="21">
        <v>6.7949999999999997E-2</v>
      </c>
      <c r="G381" s="21"/>
      <c r="H381" s="19">
        <v>7.805699999999999</v>
      </c>
      <c r="I381" s="23"/>
      <c r="J381" s="19">
        <f t="shared" si="30"/>
        <v>0</v>
      </c>
      <c r="M381" s="39" t="str">
        <f t="shared" si="31"/>
        <v>-</v>
      </c>
      <c r="N381" s="39" t="str">
        <f t="shared" si="32"/>
        <v>-</v>
      </c>
      <c r="O381" s="40" t="str">
        <f t="shared" si="33"/>
        <v>-</v>
      </c>
      <c r="P381" s="41" t="str">
        <f t="shared" si="34"/>
        <v>-</v>
      </c>
      <c r="R381" s="41" t="str">
        <f t="shared" si="35"/>
        <v>-</v>
      </c>
    </row>
    <row r="382" spans="1:18" x14ac:dyDescent="0.3">
      <c r="A382" s="26">
        <v>5632</v>
      </c>
      <c r="B382" s="15">
        <v>88395056321</v>
      </c>
      <c r="C382" s="17" t="s">
        <v>355</v>
      </c>
      <c r="D382" s="29"/>
      <c r="E382" s="29"/>
      <c r="F382" s="21">
        <v>0.13589999999999999</v>
      </c>
      <c r="G382" s="21"/>
      <c r="H382" s="19">
        <v>16.868250000000003</v>
      </c>
      <c r="I382" s="23"/>
      <c r="J382" s="19">
        <f t="shared" si="30"/>
        <v>0</v>
      </c>
      <c r="M382" s="39" t="str">
        <f t="shared" si="31"/>
        <v>-</v>
      </c>
      <c r="N382" s="39" t="str">
        <f t="shared" si="32"/>
        <v>-</v>
      </c>
      <c r="O382" s="40" t="str">
        <f t="shared" si="33"/>
        <v>-</v>
      </c>
      <c r="P382" s="41" t="str">
        <f t="shared" si="34"/>
        <v>-</v>
      </c>
      <c r="R382" s="41" t="str">
        <f t="shared" si="35"/>
        <v>-</v>
      </c>
    </row>
    <row r="383" spans="1:18" x14ac:dyDescent="0.3">
      <c r="A383" s="26">
        <v>5641</v>
      </c>
      <c r="B383" s="15">
        <v>88395056413</v>
      </c>
      <c r="C383" s="17" t="s">
        <v>356</v>
      </c>
      <c r="D383" s="29"/>
      <c r="E383" s="29"/>
      <c r="F383" s="21">
        <v>3.6240000000000001E-2</v>
      </c>
      <c r="G383" s="21"/>
      <c r="H383" s="19">
        <v>6.284250000000001</v>
      </c>
      <c r="I383" s="23"/>
      <c r="J383" s="19">
        <f t="shared" si="30"/>
        <v>0</v>
      </c>
      <c r="M383" s="39" t="str">
        <f t="shared" si="31"/>
        <v>-</v>
      </c>
      <c r="N383" s="39" t="str">
        <f t="shared" si="32"/>
        <v>-</v>
      </c>
      <c r="O383" s="40" t="str">
        <f t="shared" si="33"/>
        <v>-</v>
      </c>
      <c r="P383" s="41" t="str">
        <f t="shared" si="34"/>
        <v>-</v>
      </c>
      <c r="R383" s="41" t="str">
        <f t="shared" si="35"/>
        <v>-</v>
      </c>
    </row>
    <row r="384" spans="1:18" x14ac:dyDescent="0.3">
      <c r="A384" s="26">
        <v>5643</v>
      </c>
      <c r="B384" s="15">
        <v>88395056437</v>
      </c>
      <c r="C384" s="17" t="s">
        <v>357</v>
      </c>
      <c r="D384" s="29"/>
      <c r="E384" s="29"/>
      <c r="F384" s="21">
        <v>8.6070000000000008E-2</v>
      </c>
      <c r="G384" s="21"/>
      <c r="H384" s="19">
        <v>16.471349999999997</v>
      </c>
      <c r="I384" s="23"/>
      <c r="J384" s="19">
        <f t="shared" si="30"/>
        <v>0</v>
      </c>
      <c r="M384" s="39" t="str">
        <f t="shared" si="31"/>
        <v>-</v>
      </c>
      <c r="N384" s="39" t="str">
        <f t="shared" si="32"/>
        <v>-</v>
      </c>
      <c r="O384" s="40" t="str">
        <f t="shared" si="33"/>
        <v>-</v>
      </c>
      <c r="P384" s="41" t="str">
        <f t="shared" si="34"/>
        <v>-</v>
      </c>
      <c r="R384" s="41" t="str">
        <f t="shared" si="35"/>
        <v>-</v>
      </c>
    </row>
    <row r="385" spans="1:18" x14ac:dyDescent="0.3">
      <c r="A385" s="26">
        <v>5771</v>
      </c>
      <c r="B385" s="15">
        <v>88395057717</v>
      </c>
      <c r="C385" s="17" t="s">
        <v>358</v>
      </c>
      <c r="D385" s="29"/>
      <c r="E385" s="29"/>
      <c r="F385" s="21">
        <v>6.7949999999999997E-2</v>
      </c>
      <c r="G385" s="21"/>
      <c r="H385" s="19">
        <v>8.5333500000000004</v>
      </c>
      <c r="I385" s="23"/>
      <c r="J385" s="19">
        <f t="shared" si="30"/>
        <v>0</v>
      </c>
      <c r="M385" s="39" t="str">
        <f t="shared" si="31"/>
        <v>-</v>
      </c>
      <c r="N385" s="39" t="str">
        <f t="shared" si="32"/>
        <v>-</v>
      </c>
      <c r="O385" s="40" t="str">
        <f t="shared" si="33"/>
        <v>-</v>
      </c>
      <c r="P385" s="41" t="str">
        <f t="shared" si="34"/>
        <v>-</v>
      </c>
      <c r="R385" s="41" t="str">
        <f t="shared" si="35"/>
        <v>-</v>
      </c>
    </row>
    <row r="386" spans="1:18" x14ac:dyDescent="0.3">
      <c r="A386" s="26">
        <v>5772</v>
      </c>
      <c r="B386" s="15">
        <v>88395057724</v>
      </c>
      <c r="C386" s="17" t="s">
        <v>359</v>
      </c>
      <c r="D386" s="29"/>
      <c r="E386" s="29"/>
      <c r="F386" s="21">
        <v>0.13589999999999999</v>
      </c>
      <c r="G386" s="21"/>
      <c r="H386" s="19">
        <v>14.817599999999999</v>
      </c>
      <c r="I386" s="23"/>
      <c r="J386" s="19">
        <f t="shared" si="30"/>
        <v>0</v>
      </c>
      <c r="M386" s="39" t="str">
        <f t="shared" si="31"/>
        <v>-</v>
      </c>
      <c r="N386" s="39" t="str">
        <f t="shared" si="32"/>
        <v>-</v>
      </c>
      <c r="O386" s="40" t="str">
        <f t="shared" si="33"/>
        <v>-</v>
      </c>
      <c r="P386" s="41" t="str">
        <f t="shared" si="34"/>
        <v>-</v>
      </c>
      <c r="R386" s="41" t="str">
        <f t="shared" si="35"/>
        <v>-</v>
      </c>
    </row>
    <row r="387" spans="1:18" x14ac:dyDescent="0.3">
      <c r="A387" s="26">
        <v>5806</v>
      </c>
      <c r="B387" s="15">
        <v>88395580604</v>
      </c>
      <c r="C387" s="17" t="s">
        <v>360</v>
      </c>
      <c r="D387" s="29"/>
      <c r="E387" s="29"/>
      <c r="F387" s="21">
        <v>0.27179999999999999</v>
      </c>
      <c r="G387" s="21"/>
      <c r="H387" s="19">
        <v>14.883749999999999</v>
      </c>
      <c r="I387" s="23"/>
      <c r="J387" s="19">
        <f t="shared" ref="J387:J450" si="36">I387*H387</f>
        <v>0</v>
      </c>
      <c r="M387" s="39" t="str">
        <f t="shared" si="31"/>
        <v>-</v>
      </c>
      <c r="N387" s="39" t="str">
        <f t="shared" si="32"/>
        <v>-</v>
      </c>
      <c r="O387" s="40" t="str">
        <f t="shared" si="33"/>
        <v>-</v>
      </c>
      <c r="P387" s="41" t="str">
        <f t="shared" si="34"/>
        <v>-</v>
      </c>
      <c r="R387" s="41" t="str">
        <f t="shared" si="35"/>
        <v>-</v>
      </c>
    </row>
    <row r="388" spans="1:18" x14ac:dyDescent="0.3">
      <c r="A388" s="26">
        <v>6002</v>
      </c>
      <c r="B388" s="15">
        <v>88395600203</v>
      </c>
      <c r="C388" s="17" t="s">
        <v>361</v>
      </c>
      <c r="D388" s="29"/>
      <c r="E388" s="29"/>
      <c r="F388" s="21">
        <v>7.7010000000000009E-2</v>
      </c>
      <c r="G388" s="21"/>
      <c r="H388" s="19">
        <v>9.8563499999999991</v>
      </c>
      <c r="I388" s="23"/>
      <c r="J388" s="19">
        <f t="shared" si="36"/>
        <v>0</v>
      </c>
      <c r="M388" s="39" t="str">
        <f t="shared" ref="M388:M451" si="37">IFERROR(IF($M$2*F388=0, "-", $M$2*F388), "-")</f>
        <v>-</v>
      </c>
      <c r="N388" s="39" t="str">
        <f t="shared" ref="N388:N451" si="38">IF(I388&gt;0,H388+F388*I388/$O$2*$P$2/I388,"-")</f>
        <v>-</v>
      </c>
      <c r="O388" s="40" t="str">
        <f t="shared" ref="O388:O451" si="39">IF(I388&gt;0,I388*F388*1.13, "-")</f>
        <v>-</v>
      </c>
      <c r="P388" s="41" t="str">
        <f t="shared" ref="P388:P451" si="40">IFERROR(IF($M$2&gt;0, $M$2*O388, "-"), "-")</f>
        <v>-</v>
      </c>
      <c r="R388" s="41" t="str">
        <f t="shared" ref="R388:R451" si="41">IFERROR(IF(P388+J388=0, "-", IF(P388&gt;0, P388+J388, "-")), "-")</f>
        <v>-</v>
      </c>
    </row>
    <row r="389" spans="1:18" x14ac:dyDescent="0.3">
      <c r="A389" s="26">
        <v>6621</v>
      </c>
      <c r="B389" s="15">
        <v>88395662102</v>
      </c>
      <c r="C389" s="17" t="s">
        <v>362</v>
      </c>
      <c r="D389" s="29"/>
      <c r="E389" s="29"/>
      <c r="F389" s="21">
        <v>2.7179999999999999E-2</v>
      </c>
      <c r="G389" s="21"/>
      <c r="H389" s="19">
        <v>12.370050000000001</v>
      </c>
      <c r="I389" s="23"/>
      <c r="J389" s="19">
        <f t="shared" si="36"/>
        <v>0</v>
      </c>
      <c r="M389" s="39" t="str">
        <f t="shared" si="37"/>
        <v>-</v>
      </c>
      <c r="N389" s="39" t="str">
        <f t="shared" si="38"/>
        <v>-</v>
      </c>
      <c r="O389" s="40" t="str">
        <f t="shared" si="39"/>
        <v>-</v>
      </c>
      <c r="P389" s="41" t="str">
        <f t="shared" si="40"/>
        <v>-</v>
      </c>
      <c r="R389" s="41" t="str">
        <f t="shared" si="41"/>
        <v>-</v>
      </c>
    </row>
    <row r="390" spans="1:18" x14ac:dyDescent="0.3">
      <c r="A390" s="26">
        <v>6622</v>
      </c>
      <c r="B390" s="15">
        <v>88395662201</v>
      </c>
      <c r="C390" s="17" t="s">
        <v>363</v>
      </c>
      <c r="D390" s="29"/>
      <c r="E390" s="29"/>
      <c r="F390" s="21">
        <v>5.4359999999999999E-2</v>
      </c>
      <c r="G390" s="21"/>
      <c r="H390" s="19">
        <v>34.397999999999996</v>
      </c>
      <c r="I390" s="23"/>
      <c r="J390" s="19">
        <f t="shared" si="36"/>
        <v>0</v>
      </c>
      <c r="M390" s="39" t="str">
        <f t="shared" si="37"/>
        <v>-</v>
      </c>
      <c r="N390" s="39" t="str">
        <f t="shared" si="38"/>
        <v>-</v>
      </c>
      <c r="O390" s="40" t="str">
        <f t="shared" si="39"/>
        <v>-</v>
      </c>
      <c r="P390" s="41" t="str">
        <f t="shared" si="40"/>
        <v>-</v>
      </c>
      <c r="R390" s="41" t="str">
        <f t="shared" si="41"/>
        <v>-</v>
      </c>
    </row>
    <row r="391" spans="1:18" x14ac:dyDescent="0.3">
      <c r="A391" s="26">
        <v>6640</v>
      </c>
      <c r="B391" s="15">
        <v>88395066405</v>
      </c>
      <c r="C391" s="17" t="s">
        <v>364</v>
      </c>
      <c r="D391" s="29"/>
      <c r="E391" s="29"/>
      <c r="F391" s="21">
        <v>4.5300000000000007E-2</v>
      </c>
      <c r="G391" s="21"/>
      <c r="H391" s="19">
        <v>11.179350000000001</v>
      </c>
      <c r="I391" s="23"/>
      <c r="J391" s="19">
        <f t="shared" si="36"/>
        <v>0</v>
      </c>
      <c r="M391" s="39" t="str">
        <f t="shared" si="37"/>
        <v>-</v>
      </c>
      <c r="N391" s="39" t="str">
        <f t="shared" si="38"/>
        <v>-</v>
      </c>
      <c r="O391" s="40" t="str">
        <f t="shared" si="39"/>
        <v>-</v>
      </c>
      <c r="P391" s="41" t="str">
        <f t="shared" si="40"/>
        <v>-</v>
      </c>
      <c r="R391" s="41" t="str">
        <f t="shared" si="41"/>
        <v>-</v>
      </c>
    </row>
    <row r="392" spans="1:18" x14ac:dyDescent="0.3">
      <c r="A392" s="26">
        <v>6641</v>
      </c>
      <c r="B392" s="15">
        <v>88395066412</v>
      </c>
      <c r="C392" s="17" t="s">
        <v>365</v>
      </c>
      <c r="D392" s="29"/>
      <c r="E392" s="29"/>
      <c r="F392" s="21">
        <v>0.11325</v>
      </c>
      <c r="G392" s="21"/>
      <c r="H392" s="19">
        <v>19.778849999999998</v>
      </c>
      <c r="I392" s="23"/>
      <c r="J392" s="19">
        <f t="shared" si="36"/>
        <v>0</v>
      </c>
      <c r="M392" s="39" t="str">
        <f t="shared" si="37"/>
        <v>-</v>
      </c>
      <c r="N392" s="39" t="str">
        <f t="shared" si="38"/>
        <v>-</v>
      </c>
      <c r="O392" s="40" t="str">
        <f t="shared" si="39"/>
        <v>-</v>
      </c>
      <c r="P392" s="41" t="str">
        <f t="shared" si="40"/>
        <v>-</v>
      </c>
      <c r="R392" s="41" t="str">
        <f t="shared" si="41"/>
        <v>-</v>
      </c>
    </row>
    <row r="393" spans="1:18" x14ac:dyDescent="0.3">
      <c r="A393" s="26">
        <v>6642</v>
      </c>
      <c r="B393" s="15">
        <v>88395066429</v>
      </c>
      <c r="C393" s="17" t="s">
        <v>366</v>
      </c>
      <c r="D393" s="29"/>
      <c r="E393" s="29"/>
      <c r="F393" s="21">
        <v>0.22650000000000001</v>
      </c>
      <c r="G393" s="21"/>
      <c r="H393" s="19">
        <v>44.651250000000005</v>
      </c>
      <c r="I393" s="23"/>
      <c r="J393" s="19">
        <f t="shared" si="36"/>
        <v>0</v>
      </c>
      <c r="M393" s="39" t="str">
        <f t="shared" si="37"/>
        <v>-</v>
      </c>
      <c r="N393" s="39" t="str">
        <f t="shared" si="38"/>
        <v>-</v>
      </c>
      <c r="O393" s="40" t="str">
        <f t="shared" si="39"/>
        <v>-</v>
      </c>
      <c r="P393" s="41" t="str">
        <f t="shared" si="40"/>
        <v>-</v>
      </c>
      <c r="R393" s="41" t="str">
        <f t="shared" si="41"/>
        <v>-</v>
      </c>
    </row>
    <row r="394" spans="1:18" x14ac:dyDescent="0.3">
      <c r="A394" s="26">
        <v>6731</v>
      </c>
      <c r="B394" s="15">
        <v>88395067310</v>
      </c>
      <c r="C394" s="17" t="s">
        <v>367</v>
      </c>
      <c r="D394" s="29"/>
      <c r="E394" s="29"/>
      <c r="F394" s="21">
        <v>0.11325</v>
      </c>
      <c r="G394" s="21"/>
      <c r="H394" s="19">
        <v>13.218975000000002</v>
      </c>
      <c r="I394" s="23"/>
      <c r="J394" s="19">
        <f t="shared" si="36"/>
        <v>0</v>
      </c>
      <c r="M394" s="39" t="str">
        <f t="shared" si="37"/>
        <v>-</v>
      </c>
      <c r="N394" s="39" t="str">
        <f t="shared" si="38"/>
        <v>-</v>
      </c>
      <c r="O394" s="40" t="str">
        <f t="shared" si="39"/>
        <v>-</v>
      </c>
      <c r="P394" s="41" t="str">
        <f t="shared" si="40"/>
        <v>-</v>
      </c>
      <c r="R394" s="41" t="str">
        <f t="shared" si="41"/>
        <v>-</v>
      </c>
    </row>
    <row r="395" spans="1:18" x14ac:dyDescent="0.3">
      <c r="A395" s="26">
        <v>6732</v>
      </c>
      <c r="B395" s="15">
        <v>88395673207</v>
      </c>
      <c r="C395" s="17" t="s">
        <v>368</v>
      </c>
      <c r="D395" s="29"/>
      <c r="E395" s="29"/>
      <c r="F395" s="21">
        <v>0.20385</v>
      </c>
      <c r="G395" s="21"/>
      <c r="H395" s="19">
        <v>24.795224999999999</v>
      </c>
      <c r="I395" s="23"/>
      <c r="J395" s="19">
        <f t="shared" si="36"/>
        <v>0</v>
      </c>
      <c r="M395" s="39" t="str">
        <f t="shared" si="37"/>
        <v>-</v>
      </c>
      <c r="N395" s="39" t="str">
        <f t="shared" si="38"/>
        <v>-</v>
      </c>
      <c r="O395" s="40" t="str">
        <f t="shared" si="39"/>
        <v>-</v>
      </c>
      <c r="P395" s="41" t="str">
        <f t="shared" si="40"/>
        <v>-</v>
      </c>
      <c r="R395" s="41" t="str">
        <f t="shared" si="41"/>
        <v>-</v>
      </c>
    </row>
    <row r="396" spans="1:18" x14ac:dyDescent="0.3">
      <c r="A396" s="26">
        <v>6735</v>
      </c>
      <c r="B396" s="15">
        <v>88395067358</v>
      </c>
      <c r="C396" s="17" t="s">
        <v>369</v>
      </c>
      <c r="D396" s="29"/>
      <c r="E396" s="29"/>
      <c r="F396" s="21">
        <v>0.13589999999999999</v>
      </c>
      <c r="G396" s="21"/>
      <c r="H396" s="19">
        <v>10.0548</v>
      </c>
      <c r="I396" s="23"/>
      <c r="J396" s="19">
        <f t="shared" si="36"/>
        <v>0</v>
      </c>
      <c r="M396" s="39" t="str">
        <f t="shared" si="37"/>
        <v>-</v>
      </c>
      <c r="N396" s="39" t="str">
        <f t="shared" si="38"/>
        <v>-</v>
      </c>
      <c r="O396" s="40" t="str">
        <f t="shared" si="39"/>
        <v>-</v>
      </c>
      <c r="P396" s="41" t="str">
        <f t="shared" si="40"/>
        <v>-</v>
      </c>
      <c r="R396" s="41" t="str">
        <f t="shared" si="41"/>
        <v>-</v>
      </c>
    </row>
    <row r="397" spans="1:18" x14ac:dyDescent="0.3">
      <c r="A397" s="26">
        <v>6736</v>
      </c>
      <c r="B397" s="15">
        <v>88395067365</v>
      </c>
      <c r="C397" s="17" t="s">
        <v>370</v>
      </c>
      <c r="D397" s="29"/>
      <c r="E397" s="29"/>
      <c r="F397" s="21">
        <v>1.1098500000000002</v>
      </c>
      <c r="G397" s="21"/>
      <c r="H397" s="19">
        <v>72.765000000000015</v>
      </c>
      <c r="I397" s="23"/>
      <c r="J397" s="19">
        <f t="shared" si="36"/>
        <v>0</v>
      </c>
      <c r="M397" s="39" t="str">
        <f t="shared" si="37"/>
        <v>-</v>
      </c>
      <c r="N397" s="39" t="str">
        <f t="shared" si="38"/>
        <v>-</v>
      </c>
      <c r="O397" s="40" t="str">
        <f t="shared" si="39"/>
        <v>-</v>
      </c>
      <c r="P397" s="41" t="str">
        <f t="shared" si="40"/>
        <v>-</v>
      </c>
      <c r="R397" s="41" t="str">
        <f t="shared" si="41"/>
        <v>-</v>
      </c>
    </row>
    <row r="398" spans="1:18" x14ac:dyDescent="0.3">
      <c r="A398" s="26">
        <v>6770</v>
      </c>
      <c r="B398" s="15">
        <v>88395067709</v>
      </c>
      <c r="C398" s="17" t="s">
        <v>371</v>
      </c>
      <c r="D398" s="29"/>
      <c r="E398" s="29"/>
      <c r="F398" s="21">
        <v>7.7010000000000009E-2</v>
      </c>
      <c r="G398" s="21"/>
      <c r="H398" s="19">
        <v>12.899249999999999</v>
      </c>
      <c r="I398" s="23"/>
      <c r="J398" s="19">
        <f t="shared" si="36"/>
        <v>0</v>
      </c>
      <c r="M398" s="39" t="str">
        <f t="shared" si="37"/>
        <v>-</v>
      </c>
      <c r="N398" s="39" t="str">
        <f t="shared" si="38"/>
        <v>-</v>
      </c>
      <c r="O398" s="40" t="str">
        <f t="shared" si="39"/>
        <v>-</v>
      </c>
      <c r="P398" s="41" t="str">
        <f t="shared" si="40"/>
        <v>-</v>
      </c>
      <c r="R398" s="41" t="str">
        <f t="shared" si="41"/>
        <v>-</v>
      </c>
    </row>
    <row r="399" spans="1:18" x14ac:dyDescent="0.3">
      <c r="A399" s="26">
        <v>6771</v>
      </c>
      <c r="B399" s="15">
        <v>88395677106</v>
      </c>
      <c r="C399" s="17" t="s">
        <v>371</v>
      </c>
      <c r="D399" s="29"/>
      <c r="E399" s="29"/>
      <c r="F399" s="21">
        <v>0.14949000000000001</v>
      </c>
      <c r="G399" s="21"/>
      <c r="H399" s="19">
        <v>23.74785</v>
      </c>
      <c r="I399" s="23"/>
      <c r="J399" s="19">
        <f t="shared" si="36"/>
        <v>0</v>
      </c>
      <c r="M399" s="39" t="str">
        <f t="shared" si="37"/>
        <v>-</v>
      </c>
      <c r="N399" s="39" t="str">
        <f t="shared" si="38"/>
        <v>-</v>
      </c>
      <c r="O399" s="40" t="str">
        <f t="shared" si="39"/>
        <v>-</v>
      </c>
      <c r="P399" s="41" t="str">
        <f t="shared" si="40"/>
        <v>-</v>
      </c>
      <c r="R399" s="41" t="str">
        <f t="shared" si="41"/>
        <v>-</v>
      </c>
    </row>
    <row r="400" spans="1:18" x14ac:dyDescent="0.3">
      <c r="A400" s="26">
        <v>6821</v>
      </c>
      <c r="B400" s="15">
        <v>88395068218</v>
      </c>
      <c r="C400" s="17" t="s">
        <v>372</v>
      </c>
      <c r="D400" s="29"/>
      <c r="E400" s="29"/>
      <c r="F400" s="21">
        <v>0.11325</v>
      </c>
      <c r="G400" s="21"/>
      <c r="H400" s="19">
        <v>13.152825</v>
      </c>
      <c r="I400" s="23"/>
      <c r="J400" s="19">
        <f t="shared" si="36"/>
        <v>0</v>
      </c>
      <c r="M400" s="39" t="str">
        <f t="shared" si="37"/>
        <v>-</v>
      </c>
      <c r="N400" s="39" t="str">
        <f t="shared" si="38"/>
        <v>-</v>
      </c>
      <c r="O400" s="40" t="str">
        <f t="shared" si="39"/>
        <v>-</v>
      </c>
      <c r="P400" s="41" t="str">
        <f t="shared" si="40"/>
        <v>-</v>
      </c>
      <c r="R400" s="41" t="str">
        <f t="shared" si="41"/>
        <v>-</v>
      </c>
    </row>
    <row r="401" spans="1:18" x14ac:dyDescent="0.3">
      <c r="A401" s="26">
        <v>6823</v>
      </c>
      <c r="B401" s="15">
        <v>88395068232</v>
      </c>
      <c r="C401" s="17" t="s">
        <v>373</v>
      </c>
      <c r="D401" s="29"/>
      <c r="E401" s="29"/>
      <c r="F401" s="21">
        <v>0.33975</v>
      </c>
      <c r="G401" s="21"/>
      <c r="H401" s="19">
        <v>40.682249999999996</v>
      </c>
      <c r="I401" s="23"/>
      <c r="J401" s="19">
        <f t="shared" si="36"/>
        <v>0</v>
      </c>
      <c r="M401" s="39" t="str">
        <f t="shared" si="37"/>
        <v>-</v>
      </c>
      <c r="N401" s="39" t="str">
        <f t="shared" si="38"/>
        <v>-</v>
      </c>
      <c r="O401" s="40" t="str">
        <f t="shared" si="39"/>
        <v>-</v>
      </c>
      <c r="P401" s="41" t="str">
        <f t="shared" si="40"/>
        <v>-</v>
      </c>
      <c r="R401" s="41" t="str">
        <f t="shared" si="41"/>
        <v>-</v>
      </c>
    </row>
    <row r="402" spans="1:18" x14ac:dyDescent="0.3">
      <c r="A402" s="26">
        <v>6825</v>
      </c>
      <c r="B402" s="15">
        <v>88395068256</v>
      </c>
      <c r="C402" s="17" t="s">
        <v>374</v>
      </c>
      <c r="D402" s="29"/>
      <c r="E402" s="29"/>
      <c r="F402" s="21">
        <v>0.13589999999999999</v>
      </c>
      <c r="G402" s="21"/>
      <c r="H402" s="19">
        <v>11.84085</v>
      </c>
      <c r="I402" s="23"/>
      <c r="J402" s="19">
        <f t="shared" si="36"/>
        <v>0</v>
      </c>
      <c r="M402" s="39" t="str">
        <f t="shared" si="37"/>
        <v>-</v>
      </c>
      <c r="N402" s="39" t="str">
        <f t="shared" si="38"/>
        <v>-</v>
      </c>
      <c r="O402" s="40" t="str">
        <f t="shared" si="39"/>
        <v>-</v>
      </c>
      <c r="P402" s="41" t="str">
        <f t="shared" si="40"/>
        <v>-</v>
      </c>
      <c r="R402" s="41" t="str">
        <f t="shared" si="41"/>
        <v>-</v>
      </c>
    </row>
    <row r="403" spans="1:18" x14ac:dyDescent="0.3">
      <c r="A403" s="26">
        <v>6826</v>
      </c>
      <c r="B403" s="15">
        <v>88395068263</v>
      </c>
      <c r="C403" s="17" t="s">
        <v>375</v>
      </c>
      <c r="D403" s="29"/>
      <c r="E403" s="29"/>
      <c r="F403" s="21">
        <v>1.1098500000000002</v>
      </c>
      <c r="G403" s="21"/>
      <c r="H403" s="19">
        <v>97.902000000000001</v>
      </c>
      <c r="I403" s="23"/>
      <c r="J403" s="19">
        <f t="shared" si="36"/>
        <v>0</v>
      </c>
      <c r="M403" s="39" t="str">
        <f t="shared" si="37"/>
        <v>-</v>
      </c>
      <c r="N403" s="39" t="str">
        <f t="shared" si="38"/>
        <v>-</v>
      </c>
      <c r="O403" s="40" t="str">
        <f t="shared" si="39"/>
        <v>-</v>
      </c>
      <c r="P403" s="41" t="str">
        <f t="shared" si="40"/>
        <v>-</v>
      </c>
      <c r="R403" s="41" t="str">
        <f t="shared" si="41"/>
        <v>-</v>
      </c>
    </row>
    <row r="404" spans="1:18" x14ac:dyDescent="0.3">
      <c r="A404" s="26">
        <v>6835</v>
      </c>
      <c r="B404" s="15">
        <v>88395068355</v>
      </c>
      <c r="C404" s="17" t="s">
        <v>376</v>
      </c>
      <c r="D404" s="29"/>
      <c r="E404" s="29"/>
      <c r="F404" s="21">
        <v>0.13589999999999999</v>
      </c>
      <c r="G404" s="21"/>
      <c r="H404" s="19">
        <v>8.2687500000000007</v>
      </c>
      <c r="I404" s="23"/>
      <c r="J404" s="19">
        <f t="shared" si="36"/>
        <v>0</v>
      </c>
      <c r="M404" s="39" t="str">
        <f t="shared" si="37"/>
        <v>-</v>
      </c>
      <c r="N404" s="39" t="str">
        <f t="shared" si="38"/>
        <v>-</v>
      </c>
      <c r="O404" s="40" t="str">
        <f t="shared" si="39"/>
        <v>-</v>
      </c>
      <c r="P404" s="41" t="str">
        <f t="shared" si="40"/>
        <v>-</v>
      </c>
      <c r="R404" s="41" t="str">
        <f t="shared" si="41"/>
        <v>-</v>
      </c>
    </row>
    <row r="405" spans="1:18" x14ac:dyDescent="0.3">
      <c r="A405" s="26">
        <v>6836</v>
      </c>
      <c r="B405" s="15">
        <v>88395683602</v>
      </c>
      <c r="C405" s="17" t="s">
        <v>377</v>
      </c>
      <c r="D405" s="29"/>
      <c r="E405" s="29"/>
      <c r="F405" s="21">
        <v>0.56625000000000003</v>
      </c>
      <c r="G405" s="21"/>
      <c r="H405" s="19">
        <v>33.008849999999995</v>
      </c>
      <c r="I405" s="23"/>
      <c r="J405" s="19">
        <f t="shared" si="36"/>
        <v>0</v>
      </c>
      <c r="M405" s="39" t="str">
        <f t="shared" si="37"/>
        <v>-</v>
      </c>
      <c r="N405" s="39" t="str">
        <f t="shared" si="38"/>
        <v>-</v>
      </c>
      <c r="O405" s="40" t="str">
        <f t="shared" si="39"/>
        <v>-</v>
      </c>
      <c r="P405" s="41" t="str">
        <f t="shared" si="40"/>
        <v>-</v>
      </c>
      <c r="R405" s="41" t="str">
        <f t="shared" si="41"/>
        <v>-</v>
      </c>
    </row>
    <row r="406" spans="1:18" x14ac:dyDescent="0.3">
      <c r="A406" s="26">
        <v>6871</v>
      </c>
      <c r="B406" s="15">
        <v>88395687105</v>
      </c>
      <c r="C406" s="17" t="s">
        <v>472</v>
      </c>
      <c r="D406" s="29"/>
      <c r="E406" s="29"/>
      <c r="F406" s="21">
        <v>9.5130000000000006E-2</v>
      </c>
      <c r="G406" s="21"/>
      <c r="H406" s="19">
        <v>12.502350000000002</v>
      </c>
      <c r="I406" s="23"/>
      <c r="J406" s="19">
        <f t="shared" si="36"/>
        <v>0</v>
      </c>
      <c r="M406" s="39" t="str">
        <f t="shared" si="37"/>
        <v>-</v>
      </c>
      <c r="N406" s="39" t="str">
        <f t="shared" si="38"/>
        <v>-</v>
      </c>
      <c r="O406" s="40" t="str">
        <f t="shared" si="39"/>
        <v>-</v>
      </c>
      <c r="P406" s="41" t="str">
        <f t="shared" si="40"/>
        <v>-</v>
      </c>
      <c r="R406" s="41" t="str">
        <f t="shared" si="41"/>
        <v>-</v>
      </c>
    </row>
    <row r="407" spans="1:18" x14ac:dyDescent="0.3">
      <c r="A407" s="26">
        <v>6873</v>
      </c>
      <c r="B407" s="15">
        <v>88395687303</v>
      </c>
      <c r="C407" s="17" t="s">
        <v>378</v>
      </c>
      <c r="D407" s="29"/>
      <c r="E407" s="29"/>
      <c r="F407" s="21">
        <v>0.19478999999999999</v>
      </c>
      <c r="G407" s="21"/>
      <c r="H407" s="19">
        <v>26.393850000000008</v>
      </c>
      <c r="I407" s="23"/>
      <c r="J407" s="19">
        <f t="shared" si="36"/>
        <v>0</v>
      </c>
      <c r="M407" s="39" t="str">
        <f t="shared" si="37"/>
        <v>-</v>
      </c>
      <c r="N407" s="39" t="str">
        <f t="shared" si="38"/>
        <v>-</v>
      </c>
      <c r="O407" s="40" t="str">
        <f t="shared" si="39"/>
        <v>-</v>
      </c>
      <c r="P407" s="41" t="str">
        <f t="shared" si="40"/>
        <v>-</v>
      </c>
      <c r="R407" s="41" t="str">
        <f t="shared" si="41"/>
        <v>-</v>
      </c>
    </row>
    <row r="408" spans="1:18" x14ac:dyDescent="0.3">
      <c r="A408" s="26">
        <v>6881</v>
      </c>
      <c r="B408" s="15">
        <v>88395068812</v>
      </c>
      <c r="C408" s="17" t="s">
        <v>379</v>
      </c>
      <c r="D408" s="29"/>
      <c r="E408" s="29"/>
      <c r="F408" s="21">
        <v>0.11325</v>
      </c>
      <c r="G408" s="21"/>
      <c r="H408" s="19">
        <v>8.2687500000000007</v>
      </c>
      <c r="I408" s="23"/>
      <c r="J408" s="19">
        <f t="shared" si="36"/>
        <v>0</v>
      </c>
      <c r="M408" s="39" t="str">
        <f t="shared" si="37"/>
        <v>-</v>
      </c>
      <c r="N408" s="39" t="str">
        <f t="shared" si="38"/>
        <v>-</v>
      </c>
      <c r="O408" s="40" t="str">
        <f t="shared" si="39"/>
        <v>-</v>
      </c>
      <c r="P408" s="41" t="str">
        <f t="shared" si="40"/>
        <v>-</v>
      </c>
      <c r="R408" s="41" t="str">
        <f t="shared" si="41"/>
        <v>-</v>
      </c>
    </row>
    <row r="409" spans="1:18" x14ac:dyDescent="0.3">
      <c r="A409" s="26">
        <v>6883</v>
      </c>
      <c r="B409" s="15">
        <v>88395068836</v>
      </c>
      <c r="C409" s="17" t="s">
        <v>380</v>
      </c>
      <c r="D409" s="29"/>
      <c r="E409" s="29"/>
      <c r="F409" s="21">
        <v>0.31709999999999999</v>
      </c>
      <c r="G409" s="21"/>
      <c r="H409" s="19">
        <v>21.101849999999999</v>
      </c>
      <c r="I409" s="23"/>
      <c r="J409" s="19">
        <f t="shared" si="36"/>
        <v>0</v>
      </c>
      <c r="M409" s="39" t="str">
        <f t="shared" si="37"/>
        <v>-</v>
      </c>
      <c r="N409" s="39" t="str">
        <f t="shared" si="38"/>
        <v>-</v>
      </c>
      <c r="O409" s="40" t="str">
        <f t="shared" si="39"/>
        <v>-</v>
      </c>
      <c r="P409" s="41" t="str">
        <f t="shared" si="40"/>
        <v>-</v>
      </c>
      <c r="R409" s="41" t="str">
        <f t="shared" si="41"/>
        <v>-</v>
      </c>
    </row>
    <row r="410" spans="1:18" x14ac:dyDescent="0.3">
      <c r="A410" s="26">
        <v>6885</v>
      </c>
      <c r="B410" s="15">
        <v>88395068850</v>
      </c>
      <c r="C410" s="17" t="s">
        <v>381</v>
      </c>
      <c r="D410" s="29"/>
      <c r="E410" s="29"/>
      <c r="F410" s="21">
        <v>0.13589999999999999</v>
      </c>
      <c r="G410" s="21"/>
      <c r="H410" s="19">
        <v>6.5488500000000016</v>
      </c>
      <c r="I410" s="23"/>
      <c r="J410" s="19">
        <f t="shared" si="36"/>
        <v>0</v>
      </c>
      <c r="M410" s="39" t="str">
        <f t="shared" si="37"/>
        <v>-</v>
      </c>
      <c r="N410" s="39" t="str">
        <f t="shared" si="38"/>
        <v>-</v>
      </c>
      <c r="O410" s="40" t="str">
        <f t="shared" si="39"/>
        <v>-</v>
      </c>
      <c r="P410" s="41" t="str">
        <f t="shared" si="40"/>
        <v>-</v>
      </c>
      <c r="R410" s="41" t="str">
        <f t="shared" si="41"/>
        <v>-</v>
      </c>
    </row>
    <row r="411" spans="1:18" x14ac:dyDescent="0.3">
      <c r="A411" s="26">
        <v>6940</v>
      </c>
      <c r="B411" s="15">
        <v>88395694004</v>
      </c>
      <c r="C411" s="17" t="s">
        <v>382</v>
      </c>
      <c r="D411" s="29"/>
      <c r="E411" s="29"/>
      <c r="F411" s="21">
        <v>0.15402000000000002</v>
      </c>
      <c r="G411" s="21"/>
      <c r="H411" s="19">
        <v>10.517849999999999</v>
      </c>
      <c r="I411" s="23"/>
      <c r="J411" s="19">
        <f t="shared" si="36"/>
        <v>0</v>
      </c>
      <c r="M411" s="39" t="str">
        <f t="shared" si="37"/>
        <v>-</v>
      </c>
      <c r="N411" s="39" t="str">
        <f t="shared" si="38"/>
        <v>-</v>
      </c>
      <c r="O411" s="40" t="str">
        <f t="shared" si="39"/>
        <v>-</v>
      </c>
      <c r="P411" s="41" t="str">
        <f t="shared" si="40"/>
        <v>-</v>
      </c>
      <c r="R411" s="41" t="str">
        <f t="shared" si="41"/>
        <v>-</v>
      </c>
    </row>
    <row r="412" spans="1:18" x14ac:dyDescent="0.3">
      <c r="A412" s="26">
        <v>6941</v>
      </c>
      <c r="B412" s="15">
        <v>88395694103</v>
      </c>
      <c r="C412" s="17" t="s">
        <v>383</v>
      </c>
      <c r="D412" s="29"/>
      <c r="E412" s="29"/>
      <c r="F412" s="21">
        <v>0.42581999999999998</v>
      </c>
      <c r="G412" s="21"/>
      <c r="H412" s="19">
        <v>27.716849999999997</v>
      </c>
      <c r="I412" s="23"/>
      <c r="J412" s="19">
        <f t="shared" si="36"/>
        <v>0</v>
      </c>
      <c r="M412" s="39" t="str">
        <f t="shared" si="37"/>
        <v>-</v>
      </c>
      <c r="N412" s="39" t="str">
        <f t="shared" si="38"/>
        <v>-</v>
      </c>
      <c r="O412" s="40" t="str">
        <f t="shared" si="39"/>
        <v>-</v>
      </c>
      <c r="P412" s="41" t="str">
        <f t="shared" si="40"/>
        <v>-</v>
      </c>
      <c r="R412" s="41" t="str">
        <f t="shared" si="41"/>
        <v>-</v>
      </c>
    </row>
    <row r="413" spans="1:18" x14ac:dyDescent="0.3">
      <c r="A413" s="26">
        <v>6945</v>
      </c>
      <c r="B413" s="15">
        <v>88395069451</v>
      </c>
      <c r="C413" s="17" t="s">
        <v>384</v>
      </c>
      <c r="D413" s="29"/>
      <c r="E413" s="29"/>
      <c r="F413" s="21">
        <v>0.13589999999999999</v>
      </c>
      <c r="G413" s="21"/>
      <c r="H413" s="19">
        <v>6.5488500000000016</v>
      </c>
      <c r="I413" s="23"/>
      <c r="J413" s="19">
        <f t="shared" si="36"/>
        <v>0</v>
      </c>
      <c r="M413" s="39" t="str">
        <f t="shared" si="37"/>
        <v>-</v>
      </c>
      <c r="N413" s="39" t="str">
        <f t="shared" si="38"/>
        <v>-</v>
      </c>
      <c r="O413" s="40" t="str">
        <f t="shared" si="39"/>
        <v>-</v>
      </c>
      <c r="P413" s="41" t="str">
        <f t="shared" si="40"/>
        <v>-</v>
      </c>
      <c r="R413" s="41" t="str">
        <f t="shared" si="41"/>
        <v>-</v>
      </c>
    </row>
    <row r="414" spans="1:18" x14ac:dyDescent="0.3">
      <c r="A414" s="26" t="e">
        <v>#N/A</v>
      </c>
      <c r="B414" s="15">
        <v>88395706004</v>
      </c>
      <c r="C414" s="17" t="s">
        <v>473</v>
      </c>
      <c r="D414" s="29"/>
      <c r="E414" s="29"/>
      <c r="F414" s="21">
        <v>6.3420000000000004E-2</v>
      </c>
      <c r="G414" s="21"/>
      <c r="H414" s="19">
        <v>10.517849999999999</v>
      </c>
      <c r="I414" s="23"/>
      <c r="J414" s="19">
        <f t="shared" si="36"/>
        <v>0</v>
      </c>
      <c r="M414" s="39" t="str">
        <f t="shared" si="37"/>
        <v>-</v>
      </c>
      <c r="N414" s="39" t="str">
        <f t="shared" si="38"/>
        <v>-</v>
      </c>
      <c r="O414" s="40" t="str">
        <f t="shared" si="39"/>
        <v>-</v>
      </c>
      <c r="P414" s="41" t="str">
        <f t="shared" si="40"/>
        <v>-</v>
      </c>
      <c r="R414" s="41" t="str">
        <f t="shared" si="41"/>
        <v>-</v>
      </c>
    </row>
    <row r="415" spans="1:18" x14ac:dyDescent="0.3">
      <c r="A415" s="26" t="e">
        <v>#N/A</v>
      </c>
      <c r="B415" s="15">
        <v>88395706103</v>
      </c>
      <c r="C415" s="17" t="s">
        <v>474</v>
      </c>
      <c r="D415" s="29"/>
      <c r="E415" s="29"/>
      <c r="F415" s="21">
        <v>0.16761000000000001</v>
      </c>
      <c r="G415" s="21"/>
      <c r="H415" s="19">
        <v>26.393850000000008</v>
      </c>
      <c r="I415" s="23"/>
      <c r="J415" s="19">
        <f t="shared" si="36"/>
        <v>0</v>
      </c>
      <c r="M415" s="39" t="str">
        <f t="shared" si="37"/>
        <v>-</v>
      </c>
      <c r="N415" s="39" t="str">
        <f t="shared" si="38"/>
        <v>-</v>
      </c>
      <c r="O415" s="40" t="str">
        <f t="shared" si="39"/>
        <v>-</v>
      </c>
      <c r="P415" s="41" t="str">
        <f t="shared" si="40"/>
        <v>-</v>
      </c>
      <c r="R415" s="41" t="str">
        <f t="shared" si="41"/>
        <v>-</v>
      </c>
    </row>
    <row r="416" spans="1:18" x14ac:dyDescent="0.3">
      <c r="A416" s="26">
        <v>7916</v>
      </c>
      <c r="B416" s="15">
        <v>88395079160</v>
      </c>
      <c r="C416" s="17" t="s">
        <v>385</v>
      </c>
      <c r="D416" s="29"/>
      <c r="E416" s="29"/>
      <c r="F416" s="21">
        <v>6.7949999999999997E-2</v>
      </c>
      <c r="G416" s="21"/>
      <c r="H416" s="19">
        <v>9.5476499999999991</v>
      </c>
      <c r="I416" s="23"/>
      <c r="J416" s="19">
        <f t="shared" si="36"/>
        <v>0</v>
      </c>
      <c r="M416" s="39" t="str">
        <f t="shared" si="37"/>
        <v>-</v>
      </c>
      <c r="N416" s="39" t="str">
        <f t="shared" si="38"/>
        <v>-</v>
      </c>
      <c r="O416" s="40" t="str">
        <f t="shared" si="39"/>
        <v>-</v>
      </c>
      <c r="P416" s="41" t="str">
        <f t="shared" si="40"/>
        <v>-</v>
      </c>
      <c r="R416" s="41" t="str">
        <f t="shared" si="41"/>
        <v>-</v>
      </c>
    </row>
    <row r="417" spans="1:18" x14ac:dyDescent="0.3">
      <c r="A417" s="26">
        <v>7920</v>
      </c>
      <c r="B417" s="15">
        <v>88395079207</v>
      </c>
      <c r="C417" s="17" t="s">
        <v>386</v>
      </c>
      <c r="D417" s="29"/>
      <c r="E417" s="29"/>
      <c r="F417" s="21">
        <v>6.7949999999999997E-2</v>
      </c>
      <c r="G417" s="21"/>
      <c r="H417" s="19">
        <v>15.809849999999999</v>
      </c>
      <c r="I417" s="23"/>
      <c r="J417" s="19">
        <f t="shared" si="36"/>
        <v>0</v>
      </c>
      <c r="M417" s="39" t="str">
        <f t="shared" si="37"/>
        <v>-</v>
      </c>
      <c r="N417" s="39" t="str">
        <f t="shared" si="38"/>
        <v>-</v>
      </c>
      <c r="O417" s="40" t="str">
        <f t="shared" si="39"/>
        <v>-</v>
      </c>
      <c r="P417" s="41" t="str">
        <f t="shared" si="40"/>
        <v>-</v>
      </c>
      <c r="R417" s="41" t="str">
        <f t="shared" si="41"/>
        <v>-</v>
      </c>
    </row>
    <row r="418" spans="1:18" x14ac:dyDescent="0.3">
      <c r="A418" s="26">
        <v>7921</v>
      </c>
      <c r="B418" s="15">
        <v>88395079214</v>
      </c>
      <c r="C418" s="17" t="s">
        <v>387</v>
      </c>
      <c r="D418" s="29"/>
      <c r="E418" s="29"/>
      <c r="F418" s="21">
        <v>0.12684000000000001</v>
      </c>
      <c r="G418" s="21"/>
      <c r="H418" s="19">
        <v>29.767499999999998</v>
      </c>
      <c r="I418" s="23"/>
      <c r="J418" s="19">
        <f t="shared" si="36"/>
        <v>0</v>
      </c>
      <c r="M418" s="39" t="str">
        <f t="shared" si="37"/>
        <v>-</v>
      </c>
      <c r="N418" s="39" t="str">
        <f t="shared" si="38"/>
        <v>-</v>
      </c>
      <c r="O418" s="40" t="str">
        <f t="shared" si="39"/>
        <v>-</v>
      </c>
      <c r="P418" s="41" t="str">
        <f t="shared" si="40"/>
        <v>-</v>
      </c>
      <c r="R418" s="41" t="str">
        <f t="shared" si="41"/>
        <v>-</v>
      </c>
    </row>
    <row r="419" spans="1:18" x14ac:dyDescent="0.3">
      <c r="A419" s="26">
        <v>7925</v>
      </c>
      <c r="B419" s="15">
        <v>88395079252</v>
      </c>
      <c r="C419" s="17" t="s">
        <v>388</v>
      </c>
      <c r="D419" s="29"/>
      <c r="E419" s="29"/>
      <c r="F419" s="21">
        <v>0.13589999999999999</v>
      </c>
      <c r="G419" s="21"/>
      <c r="H419" s="19">
        <v>22.160250000000001</v>
      </c>
      <c r="I419" s="23"/>
      <c r="J419" s="19">
        <f t="shared" si="36"/>
        <v>0</v>
      </c>
      <c r="M419" s="39" t="str">
        <f t="shared" si="37"/>
        <v>-</v>
      </c>
      <c r="N419" s="39" t="str">
        <f t="shared" si="38"/>
        <v>-</v>
      </c>
      <c r="O419" s="40" t="str">
        <f t="shared" si="39"/>
        <v>-</v>
      </c>
      <c r="P419" s="41" t="str">
        <f t="shared" si="40"/>
        <v>-</v>
      </c>
      <c r="R419" s="41" t="str">
        <f t="shared" si="41"/>
        <v>-</v>
      </c>
    </row>
    <row r="420" spans="1:18" x14ac:dyDescent="0.3">
      <c r="A420" s="26">
        <v>8050</v>
      </c>
      <c r="B420" s="15">
        <v>88395080500</v>
      </c>
      <c r="C420" s="17" t="s">
        <v>389</v>
      </c>
      <c r="D420" s="29"/>
      <c r="E420" s="29"/>
      <c r="F420" s="21">
        <v>0.11325</v>
      </c>
      <c r="G420" s="21"/>
      <c r="H420" s="19">
        <v>13.16385</v>
      </c>
      <c r="I420" s="23"/>
      <c r="J420" s="19">
        <f t="shared" si="36"/>
        <v>0</v>
      </c>
      <c r="M420" s="39" t="str">
        <f t="shared" si="37"/>
        <v>-</v>
      </c>
      <c r="N420" s="39" t="str">
        <f t="shared" si="38"/>
        <v>-</v>
      </c>
      <c r="O420" s="40" t="str">
        <f t="shared" si="39"/>
        <v>-</v>
      </c>
      <c r="P420" s="41" t="str">
        <f t="shared" si="40"/>
        <v>-</v>
      </c>
      <c r="R420" s="41" t="str">
        <f t="shared" si="41"/>
        <v>-</v>
      </c>
    </row>
    <row r="421" spans="1:18" x14ac:dyDescent="0.3">
      <c r="A421" s="26">
        <v>8052</v>
      </c>
      <c r="B421" s="15">
        <v>88395080524</v>
      </c>
      <c r="C421" s="17" t="s">
        <v>390</v>
      </c>
      <c r="D421" s="29"/>
      <c r="E421" s="29"/>
      <c r="F421" s="21">
        <v>0.31709999999999999</v>
      </c>
      <c r="G421" s="21"/>
      <c r="H421" s="19">
        <v>33.008849999999995</v>
      </c>
      <c r="I421" s="23"/>
      <c r="J421" s="19">
        <f t="shared" si="36"/>
        <v>0</v>
      </c>
      <c r="M421" s="39" t="str">
        <f t="shared" si="37"/>
        <v>-</v>
      </c>
      <c r="N421" s="39" t="str">
        <f t="shared" si="38"/>
        <v>-</v>
      </c>
      <c r="O421" s="40" t="str">
        <f t="shared" si="39"/>
        <v>-</v>
      </c>
      <c r="P421" s="41" t="str">
        <f t="shared" si="40"/>
        <v>-</v>
      </c>
      <c r="R421" s="41" t="str">
        <f t="shared" si="41"/>
        <v>-</v>
      </c>
    </row>
    <row r="422" spans="1:18" x14ac:dyDescent="0.3">
      <c r="A422" s="26">
        <v>8070</v>
      </c>
      <c r="B422" s="15">
        <v>88395080708</v>
      </c>
      <c r="C422" s="17" t="s">
        <v>391</v>
      </c>
      <c r="D422" s="29"/>
      <c r="E422" s="29"/>
      <c r="F422" s="21">
        <v>4.5300000000000007E-2</v>
      </c>
      <c r="G422" s="21"/>
      <c r="H422" s="19">
        <v>8.2687500000000007</v>
      </c>
      <c r="I422" s="23"/>
      <c r="J422" s="19">
        <f t="shared" si="36"/>
        <v>0</v>
      </c>
      <c r="M422" s="39" t="str">
        <f t="shared" si="37"/>
        <v>-</v>
      </c>
      <c r="N422" s="39" t="str">
        <f t="shared" si="38"/>
        <v>-</v>
      </c>
      <c r="O422" s="40" t="str">
        <f t="shared" si="39"/>
        <v>-</v>
      </c>
      <c r="P422" s="41" t="str">
        <f t="shared" si="40"/>
        <v>-</v>
      </c>
      <c r="R422" s="41" t="str">
        <f t="shared" si="41"/>
        <v>-</v>
      </c>
    </row>
    <row r="423" spans="1:18" x14ac:dyDescent="0.3">
      <c r="A423" s="26">
        <v>8071</v>
      </c>
      <c r="B423" s="15">
        <v>88395080715</v>
      </c>
      <c r="C423" s="17" t="s">
        <v>392</v>
      </c>
      <c r="D423" s="29"/>
      <c r="E423" s="29"/>
      <c r="F423" s="21">
        <v>0.11325</v>
      </c>
      <c r="G423" s="21"/>
      <c r="H423" s="19">
        <v>22.160250000000001</v>
      </c>
      <c r="I423" s="23"/>
      <c r="J423" s="19">
        <f t="shared" si="36"/>
        <v>0</v>
      </c>
      <c r="M423" s="39" t="str">
        <f t="shared" si="37"/>
        <v>-</v>
      </c>
      <c r="N423" s="39" t="str">
        <f t="shared" si="38"/>
        <v>-</v>
      </c>
      <c r="O423" s="40" t="str">
        <f t="shared" si="39"/>
        <v>-</v>
      </c>
      <c r="P423" s="41" t="str">
        <f t="shared" si="40"/>
        <v>-</v>
      </c>
      <c r="R423" s="41" t="str">
        <f t="shared" si="41"/>
        <v>-</v>
      </c>
    </row>
    <row r="424" spans="1:18" x14ac:dyDescent="0.3">
      <c r="A424" s="26">
        <v>8101</v>
      </c>
      <c r="B424" s="15">
        <v>88395810107</v>
      </c>
      <c r="C424" s="17" t="s">
        <v>393</v>
      </c>
      <c r="D424" s="29"/>
      <c r="E424" s="29"/>
      <c r="F424" s="21">
        <v>4.9829999999999999E-2</v>
      </c>
      <c r="G424" s="21"/>
      <c r="H424" s="19">
        <v>6.5488500000000016</v>
      </c>
      <c r="I424" s="23"/>
      <c r="J424" s="19">
        <f t="shared" si="36"/>
        <v>0</v>
      </c>
      <c r="M424" s="39" t="str">
        <f t="shared" si="37"/>
        <v>-</v>
      </c>
      <c r="N424" s="39" t="str">
        <f t="shared" si="38"/>
        <v>-</v>
      </c>
      <c r="O424" s="40" t="str">
        <f t="shared" si="39"/>
        <v>-</v>
      </c>
      <c r="P424" s="41" t="str">
        <f t="shared" si="40"/>
        <v>-</v>
      </c>
      <c r="R424" s="41" t="str">
        <f t="shared" si="41"/>
        <v>-</v>
      </c>
    </row>
    <row r="425" spans="1:18" x14ac:dyDescent="0.3">
      <c r="A425" s="26">
        <v>8102</v>
      </c>
      <c r="B425" s="15">
        <v>88395810206</v>
      </c>
      <c r="C425" s="17" t="s">
        <v>394</v>
      </c>
      <c r="D425" s="29"/>
      <c r="E425" s="29"/>
      <c r="F425" s="21">
        <v>9.0600000000000014E-2</v>
      </c>
      <c r="G425" s="21"/>
      <c r="H425" s="19">
        <v>12.899249999999999</v>
      </c>
      <c r="I425" s="23"/>
      <c r="J425" s="19">
        <f t="shared" si="36"/>
        <v>0</v>
      </c>
      <c r="M425" s="39" t="str">
        <f t="shared" si="37"/>
        <v>-</v>
      </c>
      <c r="N425" s="39" t="str">
        <f t="shared" si="38"/>
        <v>-</v>
      </c>
      <c r="O425" s="40" t="str">
        <f t="shared" si="39"/>
        <v>-</v>
      </c>
      <c r="P425" s="41" t="str">
        <f t="shared" si="40"/>
        <v>-</v>
      </c>
      <c r="R425" s="41" t="str">
        <f t="shared" si="41"/>
        <v>-</v>
      </c>
    </row>
    <row r="426" spans="1:18" x14ac:dyDescent="0.3">
      <c r="A426" s="26">
        <v>8103</v>
      </c>
      <c r="B426" s="15">
        <v>88395810305</v>
      </c>
      <c r="C426" s="17" t="s">
        <v>395</v>
      </c>
      <c r="D426" s="29"/>
      <c r="E426" s="29"/>
      <c r="F426" s="21">
        <v>0.16308</v>
      </c>
      <c r="G426" s="21"/>
      <c r="H426" s="19">
        <v>24.806250000000002</v>
      </c>
      <c r="I426" s="23"/>
      <c r="J426" s="19">
        <f t="shared" si="36"/>
        <v>0</v>
      </c>
      <c r="M426" s="39" t="str">
        <f t="shared" si="37"/>
        <v>-</v>
      </c>
      <c r="N426" s="39" t="str">
        <f t="shared" si="38"/>
        <v>-</v>
      </c>
      <c r="O426" s="40" t="str">
        <f t="shared" si="39"/>
        <v>-</v>
      </c>
      <c r="P426" s="41" t="str">
        <f t="shared" si="40"/>
        <v>-</v>
      </c>
      <c r="R426" s="41" t="str">
        <f t="shared" si="41"/>
        <v>-</v>
      </c>
    </row>
    <row r="427" spans="1:18" x14ac:dyDescent="0.3">
      <c r="A427" s="26">
        <v>8130</v>
      </c>
      <c r="B427" s="15">
        <v>88395813009</v>
      </c>
      <c r="C427" s="17" t="s">
        <v>475</v>
      </c>
      <c r="D427" s="29"/>
      <c r="E427" s="29"/>
      <c r="F427" s="21">
        <v>7.7010000000000009E-2</v>
      </c>
      <c r="G427" s="21"/>
      <c r="H427" s="19">
        <v>23.086350000000003</v>
      </c>
      <c r="I427" s="23"/>
      <c r="J427" s="19">
        <f t="shared" si="36"/>
        <v>0</v>
      </c>
      <c r="M427" s="39" t="str">
        <f t="shared" si="37"/>
        <v>-</v>
      </c>
      <c r="N427" s="39" t="str">
        <f t="shared" si="38"/>
        <v>-</v>
      </c>
      <c r="O427" s="40" t="str">
        <f t="shared" si="39"/>
        <v>-</v>
      </c>
      <c r="P427" s="41" t="str">
        <f t="shared" si="40"/>
        <v>-</v>
      </c>
      <c r="R427" s="41" t="str">
        <f t="shared" si="41"/>
        <v>-</v>
      </c>
    </row>
    <row r="428" spans="1:18" x14ac:dyDescent="0.3">
      <c r="A428" s="26">
        <v>8132</v>
      </c>
      <c r="B428" s="15">
        <v>88395813207</v>
      </c>
      <c r="C428" s="17" t="s">
        <v>396</v>
      </c>
      <c r="D428" s="29"/>
      <c r="E428" s="29"/>
      <c r="F428" s="21">
        <v>0.21743999999999999</v>
      </c>
      <c r="G428" s="21"/>
      <c r="H428" s="19">
        <v>67.473000000000013</v>
      </c>
      <c r="I428" s="23"/>
      <c r="J428" s="19">
        <f t="shared" si="36"/>
        <v>0</v>
      </c>
      <c r="M428" s="39" t="str">
        <f t="shared" si="37"/>
        <v>-</v>
      </c>
      <c r="N428" s="39" t="str">
        <f t="shared" si="38"/>
        <v>-</v>
      </c>
      <c r="O428" s="40" t="str">
        <f t="shared" si="39"/>
        <v>-</v>
      </c>
      <c r="P428" s="41" t="str">
        <f t="shared" si="40"/>
        <v>-</v>
      </c>
      <c r="R428" s="41" t="str">
        <f t="shared" si="41"/>
        <v>-</v>
      </c>
    </row>
    <row r="429" spans="1:18" x14ac:dyDescent="0.3">
      <c r="A429" s="26">
        <v>8220</v>
      </c>
      <c r="B429" s="15">
        <v>88395082207</v>
      </c>
      <c r="C429" s="17" t="s">
        <v>397</v>
      </c>
      <c r="D429" s="29"/>
      <c r="E429" s="29"/>
      <c r="F429" s="21">
        <v>3.1710000000000002E-2</v>
      </c>
      <c r="G429" s="21"/>
      <c r="H429" s="19">
        <v>9.8563499999999991</v>
      </c>
      <c r="I429" s="23"/>
      <c r="J429" s="19">
        <f t="shared" si="36"/>
        <v>0</v>
      </c>
      <c r="M429" s="39" t="str">
        <f t="shared" si="37"/>
        <v>-</v>
      </c>
      <c r="N429" s="39" t="str">
        <f t="shared" si="38"/>
        <v>-</v>
      </c>
      <c r="O429" s="40" t="str">
        <f t="shared" si="39"/>
        <v>-</v>
      </c>
      <c r="P429" s="41" t="str">
        <f t="shared" si="40"/>
        <v>-</v>
      </c>
      <c r="R429" s="41" t="str">
        <f t="shared" si="41"/>
        <v>-</v>
      </c>
    </row>
    <row r="430" spans="1:18" x14ac:dyDescent="0.3">
      <c r="A430" s="26">
        <v>8221</v>
      </c>
      <c r="B430" s="15">
        <v>88395082214</v>
      </c>
      <c r="C430" s="17" t="s">
        <v>398</v>
      </c>
      <c r="D430" s="29"/>
      <c r="E430" s="29"/>
      <c r="F430" s="21">
        <v>8.6070000000000008E-2</v>
      </c>
      <c r="G430" s="21"/>
      <c r="H430" s="19">
        <v>36.382500000000007</v>
      </c>
      <c r="I430" s="23"/>
      <c r="J430" s="19">
        <f t="shared" si="36"/>
        <v>0</v>
      </c>
      <c r="M430" s="39" t="str">
        <f t="shared" si="37"/>
        <v>-</v>
      </c>
      <c r="N430" s="39" t="str">
        <f t="shared" si="38"/>
        <v>-</v>
      </c>
      <c r="O430" s="40" t="str">
        <f t="shared" si="39"/>
        <v>-</v>
      </c>
      <c r="P430" s="41" t="str">
        <f t="shared" si="40"/>
        <v>-</v>
      </c>
      <c r="R430" s="41" t="str">
        <f t="shared" si="41"/>
        <v>-</v>
      </c>
    </row>
    <row r="431" spans="1:18" x14ac:dyDescent="0.3">
      <c r="A431" s="26">
        <v>8224</v>
      </c>
      <c r="B431" s="15">
        <v>88395082245</v>
      </c>
      <c r="C431" s="17" t="s">
        <v>399</v>
      </c>
      <c r="D431" s="29"/>
      <c r="E431" s="29"/>
      <c r="F431" s="21">
        <v>4.9829999999999999E-2</v>
      </c>
      <c r="G431" s="21"/>
      <c r="H431" s="19">
        <v>18.455850000000002</v>
      </c>
      <c r="I431" s="23"/>
      <c r="J431" s="19">
        <f t="shared" si="36"/>
        <v>0</v>
      </c>
      <c r="M431" s="39" t="str">
        <f t="shared" si="37"/>
        <v>-</v>
      </c>
      <c r="N431" s="39" t="str">
        <f t="shared" si="38"/>
        <v>-</v>
      </c>
      <c r="O431" s="40" t="str">
        <f t="shared" si="39"/>
        <v>-</v>
      </c>
      <c r="P431" s="41" t="str">
        <f t="shared" si="40"/>
        <v>-</v>
      </c>
      <c r="R431" s="41" t="str">
        <f t="shared" si="41"/>
        <v>-</v>
      </c>
    </row>
    <row r="432" spans="1:18" x14ac:dyDescent="0.3">
      <c r="A432" s="26">
        <v>8240</v>
      </c>
      <c r="B432" s="15">
        <v>88395082405</v>
      </c>
      <c r="C432" s="17" t="s">
        <v>400</v>
      </c>
      <c r="D432" s="29"/>
      <c r="E432" s="29"/>
      <c r="F432" s="21">
        <v>2.2650000000000003E-2</v>
      </c>
      <c r="G432" s="21"/>
      <c r="H432" s="19">
        <v>12.502350000000002</v>
      </c>
      <c r="I432" s="23"/>
      <c r="J432" s="19">
        <f t="shared" si="36"/>
        <v>0</v>
      </c>
      <c r="M432" s="39" t="str">
        <f t="shared" si="37"/>
        <v>-</v>
      </c>
      <c r="N432" s="39" t="str">
        <f t="shared" si="38"/>
        <v>-</v>
      </c>
      <c r="O432" s="40" t="str">
        <f t="shared" si="39"/>
        <v>-</v>
      </c>
      <c r="P432" s="41" t="str">
        <f t="shared" si="40"/>
        <v>-</v>
      </c>
      <c r="R432" s="41" t="str">
        <f t="shared" si="41"/>
        <v>-</v>
      </c>
    </row>
    <row r="433" spans="1:18" x14ac:dyDescent="0.3">
      <c r="A433" s="26">
        <v>8241</v>
      </c>
      <c r="B433" s="15">
        <v>88395082412</v>
      </c>
      <c r="C433" s="17" t="s">
        <v>401</v>
      </c>
      <c r="D433" s="29"/>
      <c r="E433" s="29"/>
      <c r="F433" s="21">
        <v>6.7949999999999997E-2</v>
      </c>
      <c r="G433" s="21"/>
      <c r="H433" s="19">
        <v>33.008849999999995</v>
      </c>
      <c r="I433" s="23"/>
      <c r="J433" s="19">
        <f t="shared" si="36"/>
        <v>0</v>
      </c>
      <c r="M433" s="39" t="str">
        <f t="shared" si="37"/>
        <v>-</v>
      </c>
      <c r="N433" s="39" t="str">
        <f t="shared" si="38"/>
        <v>-</v>
      </c>
      <c r="O433" s="40" t="str">
        <f t="shared" si="39"/>
        <v>-</v>
      </c>
      <c r="P433" s="41" t="str">
        <f t="shared" si="40"/>
        <v>-</v>
      </c>
      <c r="R433" s="41" t="str">
        <f t="shared" si="41"/>
        <v>-</v>
      </c>
    </row>
    <row r="434" spans="1:18" x14ac:dyDescent="0.3">
      <c r="A434" s="26">
        <v>8242</v>
      </c>
      <c r="B434" s="15">
        <v>88395824203</v>
      </c>
      <c r="C434" s="17" t="s">
        <v>402</v>
      </c>
      <c r="D434" s="29"/>
      <c r="E434" s="29"/>
      <c r="F434" s="21">
        <v>0.14043</v>
      </c>
      <c r="G434" s="21"/>
      <c r="H434" s="19">
        <v>71.442000000000007</v>
      </c>
      <c r="I434" s="23"/>
      <c r="J434" s="19">
        <f t="shared" si="36"/>
        <v>0</v>
      </c>
      <c r="M434" s="39" t="str">
        <f t="shared" si="37"/>
        <v>-</v>
      </c>
      <c r="N434" s="39" t="str">
        <f t="shared" si="38"/>
        <v>-</v>
      </c>
      <c r="O434" s="40" t="str">
        <f t="shared" si="39"/>
        <v>-</v>
      </c>
      <c r="P434" s="41" t="str">
        <f t="shared" si="40"/>
        <v>-</v>
      </c>
      <c r="R434" s="41" t="str">
        <f t="shared" si="41"/>
        <v>-</v>
      </c>
    </row>
    <row r="435" spans="1:18" x14ac:dyDescent="0.3">
      <c r="A435" s="26">
        <v>8246</v>
      </c>
      <c r="B435" s="15">
        <v>88395082467</v>
      </c>
      <c r="C435" s="17" t="s">
        <v>403</v>
      </c>
      <c r="D435" s="29"/>
      <c r="E435" s="29"/>
      <c r="F435" s="21">
        <v>4.5300000000000007E-2</v>
      </c>
      <c r="G435" s="21"/>
      <c r="H435" s="19">
        <v>23.086350000000003</v>
      </c>
      <c r="I435" s="23"/>
      <c r="J435" s="19">
        <f t="shared" si="36"/>
        <v>0</v>
      </c>
      <c r="M435" s="39" t="str">
        <f t="shared" si="37"/>
        <v>-</v>
      </c>
      <c r="N435" s="39" t="str">
        <f t="shared" si="38"/>
        <v>-</v>
      </c>
      <c r="O435" s="40" t="str">
        <f t="shared" si="39"/>
        <v>-</v>
      </c>
      <c r="P435" s="41" t="str">
        <f t="shared" si="40"/>
        <v>-</v>
      </c>
      <c r="R435" s="41" t="str">
        <f t="shared" si="41"/>
        <v>-</v>
      </c>
    </row>
    <row r="436" spans="1:18" x14ac:dyDescent="0.3">
      <c r="A436" s="26">
        <v>8250</v>
      </c>
      <c r="B436" s="15">
        <v>88395082504</v>
      </c>
      <c r="C436" s="17" t="s">
        <v>404</v>
      </c>
      <c r="D436" s="29"/>
      <c r="E436" s="29"/>
      <c r="F436" s="21">
        <v>4.5300000000000007E-2</v>
      </c>
      <c r="G436" s="21"/>
      <c r="H436" s="19">
        <v>18.191250000000004</v>
      </c>
      <c r="I436" s="23"/>
      <c r="J436" s="19">
        <f t="shared" si="36"/>
        <v>0</v>
      </c>
      <c r="M436" s="39" t="str">
        <f t="shared" si="37"/>
        <v>-</v>
      </c>
      <c r="N436" s="39" t="str">
        <f t="shared" si="38"/>
        <v>-</v>
      </c>
      <c r="O436" s="40" t="str">
        <f t="shared" si="39"/>
        <v>-</v>
      </c>
      <c r="P436" s="41" t="str">
        <f t="shared" si="40"/>
        <v>-</v>
      </c>
      <c r="R436" s="41" t="str">
        <f t="shared" si="41"/>
        <v>-</v>
      </c>
    </row>
    <row r="437" spans="1:18" x14ac:dyDescent="0.3">
      <c r="A437" s="26">
        <v>8251</v>
      </c>
      <c r="B437" s="15">
        <v>88395082511</v>
      </c>
      <c r="C437" s="17" t="s">
        <v>405</v>
      </c>
      <c r="D437" s="29"/>
      <c r="E437" s="29"/>
      <c r="F437" s="21">
        <v>0.13589999999999999</v>
      </c>
      <c r="G437" s="21"/>
      <c r="H437" s="19">
        <v>50.935500000000005</v>
      </c>
      <c r="I437" s="23"/>
      <c r="J437" s="19">
        <f t="shared" si="36"/>
        <v>0</v>
      </c>
      <c r="M437" s="39" t="str">
        <f t="shared" si="37"/>
        <v>-</v>
      </c>
      <c r="N437" s="39" t="str">
        <f t="shared" si="38"/>
        <v>-</v>
      </c>
      <c r="O437" s="40" t="str">
        <f t="shared" si="39"/>
        <v>-</v>
      </c>
      <c r="P437" s="41" t="str">
        <f t="shared" si="40"/>
        <v>-</v>
      </c>
      <c r="R437" s="41" t="str">
        <f t="shared" si="41"/>
        <v>-</v>
      </c>
    </row>
    <row r="438" spans="1:18" x14ac:dyDescent="0.3">
      <c r="A438" s="26">
        <v>8252</v>
      </c>
      <c r="B438" s="15">
        <v>88395825200</v>
      </c>
      <c r="C438" s="17" t="s">
        <v>406</v>
      </c>
      <c r="D438" s="29"/>
      <c r="E438" s="29"/>
      <c r="F438" s="21">
        <v>0.15855</v>
      </c>
      <c r="G438" s="21"/>
      <c r="H438" s="19">
        <v>66.150000000000006</v>
      </c>
      <c r="I438" s="23"/>
      <c r="J438" s="19">
        <f t="shared" si="36"/>
        <v>0</v>
      </c>
      <c r="M438" s="39" t="str">
        <f t="shared" si="37"/>
        <v>-</v>
      </c>
      <c r="N438" s="39" t="str">
        <f t="shared" si="38"/>
        <v>-</v>
      </c>
      <c r="O438" s="40" t="str">
        <f t="shared" si="39"/>
        <v>-</v>
      </c>
      <c r="P438" s="41" t="str">
        <f t="shared" si="40"/>
        <v>-</v>
      </c>
      <c r="R438" s="41" t="str">
        <f t="shared" si="41"/>
        <v>-</v>
      </c>
    </row>
    <row r="439" spans="1:18" x14ac:dyDescent="0.3">
      <c r="A439" s="26">
        <v>8260</v>
      </c>
      <c r="B439" s="15">
        <v>88395082603</v>
      </c>
      <c r="C439" s="17" t="s">
        <v>407</v>
      </c>
      <c r="D439" s="29"/>
      <c r="E439" s="29"/>
      <c r="F439" s="21">
        <v>6.7949999999999997E-2</v>
      </c>
      <c r="G439" s="21"/>
      <c r="H439" s="19">
        <v>25.798499999999997</v>
      </c>
      <c r="I439" s="23"/>
      <c r="J439" s="19">
        <f t="shared" si="36"/>
        <v>0</v>
      </c>
      <c r="M439" s="39" t="str">
        <f t="shared" si="37"/>
        <v>-</v>
      </c>
      <c r="N439" s="39" t="str">
        <f t="shared" si="38"/>
        <v>-</v>
      </c>
      <c r="O439" s="40" t="str">
        <f t="shared" si="39"/>
        <v>-</v>
      </c>
      <c r="P439" s="41" t="str">
        <f t="shared" si="40"/>
        <v>-</v>
      </c>
      <c r="R439" s="41" t="str">
        <f t="shared" si="41"/>
        <v>-</v>
      </c>
    </row>
    <row r="440" spans="1:18" x14ac:dyDescent="0.3">
      <c r="A440" s="26">
        <v>8261</v>
      </c>
      <c r="B440" s="15">
        <v>88395082610</v>
      </c>
      <c r="C440" s="17" t="s">
        <v>408</v>
      </c>
      <c r="D440" s="29"/>
      <c r="E440" s="29"/>
      <c r="F440" s="21">
        <v>0.15855</v>
      </c>
      <c r="G440" s="21"/>
      <c r="H440" s="19">
        <v>76.072499999999991</v>
      </c>
      <c r="I440" s="23"/>
      <c r="J440" s="19">
        <f t="shared" si="36"/>
        <v>0</v>
      </c>
      <c r="M440" s="39" t="str">
        <f t="shared" si="37"/>
        <v>-</v>
      </c>
      <c r="N440" s="39" t="str">
        <f t="shared" si="38"/>
        <v>-</v>
      </c>
      <c r="O440" s="40" t="str">
        <f t="shared" si="39"/>
        <v>-</v>
      </c>
      <c r="P440" s="41" t="str">
        <f t="shared" si="40"/>
        <v>-</v>
      </c>
      <c r="R440" s="41" t="str">
        <f t="shared" si="41"/>
        <v>-</v>
      </c>
    </row>
    <row r="441" spans="1:18" x14ac:dyDescent="0.3">
      <c r="A441" s="26">
        <v>8280</v>
      </c>
      <c r="B441" s="15">
        <v>88395828003</v>
      </c>
      <c r="C441" s="17" t="s">
        <v>409</v>
      </c>
      <c r="D441" s="29"/>
      <c r="E441" s="29"/>
      <c r="F441" s="21">
        <v>4.5300000000000007E-2</v>
      </c>
      <c r="G441" s="21"/>
      <c r="H441" s="19">
        <v>24.806250000000002</v>
      </c>
      <c r="I441" s="23"/>
      <c r="J441" s="19">
        <f t="shared" si="36"/>
        <v>0</v>
      </c>
      <c r="M441" s="39" t="str">
        <f t="shared" si="37"/>
        <v>-</v>
      </c>
      <c r="N441" s="39" t="str">
        <f t="shared" si="38"/>
        <v>-</v>
      </c>
      <c r="O441" s="40" t="str">
        <f t="shared" si="39"/>
        <v>-</v>
      </c>
      <c r="P441" s="41" t="str">
        <f t="shared" si="40"/>
        <v>-</v>
      </c>
      <c r="R441" s="41" t="str">
        <f t="shared" si="41"/>
        <v>-</v>
      </c>
    </row>
    <row r="442" spans="1:18" x14ac:dyDescent="0.3">
      <c r="A442" s="26">
        <v>8281</v>
      </c>
      <c r="B442" s="15">
        <v>88395828102</v>
      </c>
      <c r="C442" s="17" t="s">
        <v>410</v>
      </c>
      <c r="D442" s="29"/>
      <c r="E442" s="29"/>
      <c r="F442" s="21">
        <v>6.7949999999999997E-2</v>
      </c>
      <c r="G442" s="21"/>
      <c r="H442" s="19">
        <v>39.623850000000004</v>
      </c>
      <c r="I442" s="23"/>
      <c r="J442" s="19">
        <f t="shared" si="36"/>
        <v>0</v>
      </c>
      <c r="M442" s="39" t="str">
        <f t="shared" si="37"/>
        <v>-</v>
      </c>
      <c r="N442" s="39" t="str">
        <f t="shared" si="38"/>
        <v>-</v>
      </c>
      <c r="O442" s="40" t="str">
        <f t="shared" si="39"/>
        <v>-</v>
      </c>
      <c r="P442" s="41" t="str">
        <f t="shared" si="40"/>
        <v>-</v>
      </c>
      <c r="R442" s="41" t="str">
        <f t="shared" si="41"/>
        <v>-</v>
      </c>
    </row>
    <row r="443" spans="1:18" x14ac:dyDescent="0.3">
      <c r="A443" s="26">
        <v>8534</v>
      </c>
      <c r="B443" s="15">
        <v>88395085345</v>
      </c>
      <c r="C443" s="17" t="s">
        <v>411</v>
      </c>
      <c r="D443" s="29"/>
      <c r="E443" s="29"/>
      <c r="F443" s="21">
        <v>9.0600000000000014E-2</v>
      </c>
      <c r="G443" s="21"/>
      <c r="H443" s="19">
        <v>8.5333500000000004</v>
      </c>
      <c r="I443" s="23"/>
      <c r="J443" s="19">
        <f t="shared" si="36"/>
        <v>0</v>
      </c>
      <c r="M443" s="39" t="str">
        <f t="shared" si="37"/>
        <v>-</v>
      </c>
      <c r="N443" s="39" t="str">
        <f t="shared" si="38"/>
        <v>-</v>
      </c>
      <c r="O443" s="40" t="str">
        <f t="shared" si="39"/>
        <v>-</v>
      </c>
      <c r="P443" s="41" t="str">
        <f t="shared" si="40"/>
        <v>-</v>
      </c>
      <c r="R443" s="41" t="str">
        <f t="shared" si="41"/>
        <v>-</v>
      </c>
    </row>
    <row r="444" spans="1:18" x14ac:dyDescent="0.3">
      <c r="A444" s="26">
        <v>8535</v>
      </c>
      <c r="B444" s="15">
        <v>88395085352</v>
      </c>
      <c r="C444" s="17" t="s">
        <v>412</v>
      </c>
      <c r="D444" s="29"/>
      <c r="E444" s="29"/>
      <c r="F444" s="21">
        <v>0.25368000000000002</v>
      </c>
      <c r="G444" s="21"/>
      <c r="H444" s="19">
        <v>18.323550000000001</v>
      </c>
      <c r="I444" s="23"/>
      <c r="J444" s="19">
        <f t="shared" si="36"/>
        <v>0</v>
      </c>
      <c r="M444" s="39" t="str">
        <f t="shared" si="37"/>
        <v>-</v>
      </c>
      <c r="N444" s="39" t="str">
        <f t="shared" si="38"/>
        <v>-</v>
      </c>
      <c r="O444" s="40" t="str">
        <f t="shared" si="39"/>
        <v>-</v>
      </c>
      <c r="P444" s="41" t="str">
        <f t="shared" si="40"/>
        <v>-</v>
      </c>
      <c r="R444" s="41" t="str">
        <f t="shared" si="41"/>
        <v>-</v>
      </c>
    </row>
    <row r="445" spans="1:18" x14ac:dyDescent="0.3">
      <c r="A445" s="26">
        <v>8550</v>
      </c>
      <c r="B445" s="15">
        <v>88395085505</v>
      </c>
      <c r="C445" s="17" t="s">
        <v>413</v>
      </c>
      <c r="D445" s="29"/>
      <c r="E445" s="29"/>
      <c r="F445" s="21">
        <v>4.5300000000000007E-2</v>
      </c>
      <c r="G445" s="21"/>
      <c r="H445" s="19">
        <v>11.84085</v>
      </c>
      <c r="I445" s="23"/>
      <c r="J445" s="19">
        <f t="shared" si="36"/>
        <v>0</v>
      </c>
      <c r="M445" s="39" t="str">
        <f t="shared" si="37"/>
        <v>-</v>
      </c>
      <c r="N445" s="39" t="str">
        <f t="shared" si="38"/>
        <v>-</v>
      </c>
      <c r="O445" s="40" t="str">
        <f t="shared" si="39"/>
        <v>-</v>
      </c>
      <c r="P445" s="41" t="str">
        <f t="shared" si="40"/>
        <v>-</v>
      </c>
      <c r="R445" s="41" t="str">
        <f t="shared" si="41"/>
        <v>-</v>
      </c>
    </row>
    <row r="446" spans="1:18" x14ac:dyDescent="0.3">
      <c r="A446" s="26">
        <v>8551</v>
      </c>
      <c r="B446" s="15">
        <v>88395085512</v>
      </c>
      <c r="C446" s="17" t="s">
        <v>414</v>
      </c>
      <c r="D446" s="29"/>
      <c r="E446" s="29"/>
      <c r="F446" s="21">
        <v>9.0600000000000014E-2</v>
      </c>
      <c r="G446" s="21"/>
      <c r="H446" s="19">
        <v>21.498750000000001</v>
      </c>
      <c r="I446" s="23"/>
      <c r="J446" s="19">
        <f t="shared" si="36"/>
        <v>0</v>
      </c>
      <c r="M446" s="39" t="str">
        <f t="shared" si="37"/>
        <v>-</v>
      </c>
      <c r="N446" s="39" t="str">
        <f t="shared" si="38"/>
        <v>-</v>
      </c>
      <c r="O446" s="40" t="str">
        <f t="shared" si="39"/>
        <v>-</v>
      </c>
      <c r="P446" s="41" t="str">
        <f t="shared" si="40"/>
        <v>-</v>
      </c>
      <c r="R446" s="41" t="str">
        <f t="shared" si="41"/>
        <v>-</v>
      </c>
    </row>
    <row r="447" spans="1:18" x14ac:dyDescent="0.3">
      <c r="A447" s="26">
        <v>8621</v>
      </c>
      <c r="B447" s="15">
        <v>88395086212</v>
      </c>
      <c r="C447" s="17" t="s">
        <v>415</v>
      </c>
      <c r="D447" s="29"/>
      <c r="E447" s="29"/>
      <c r="F447" s="21">
        <v>0.22650000000000001</v>
      </c>
      <c r="G447" s="21"/>
      <c r="H447" s="19">
        <v>8.2687500000000007</v>
      </c>
      <c r="I447" s="23"/>
      <c r="J447" s="19">
        <f t="shared" si="36"/>
        <v>0</v>
      </c>
      <c r="M447" s="39" t="str">
        <f t="shared" si="37"/>
        <v>-</v>
      </c>
      <c r="N447" s="39" t="str">
        <f t="shared" si="38"/>
        <v>-</v>
      </c>
      <c r="O447" s="40" t="str">
        <f t="shared" si="39"/>
        <v>-</v>
      </c>
      <c r="P447" s="41" t="str">
        <f t="shared" si="40"/>
        <v>-</v>
      </c>
      <c r="R447" s="41" t="str">
        <f t="shared" si="41"/>
        <v>-</v>
      </c>
    </row>
    <row r="448" spans="1:18" x14ac:dyDescent="0.3">
      <c r="A448" s="26">
        <v>8623</v>
      </c>
      <c r="B448" s="15">
        <v>88395862304</v>
      </c>
      <c r="C448" s="17" t="s">
        <v>416</v>
      </c>
      <c r="D448" s="29"/>
      <c r="E448" s="29"/>
      <c r="F448" s="21">
        <v>0.59796000000000005</v>
      </c>
      <c r="G448" s="21"/>
      <c r="H448" s="19">
        <v>20.837249999999997</v>
      </c>
      <c r="I448" s="23"/>
      <c r="J448" s="19">
        <f t="shared" si="36"/>
        <v>0</v>
      </c>
      <c r="M448" s="39" t="str">
        <f t="shared" si="37"/>
        <v>-</v>
      </c>
      <c r="N448" s="39" t="str">
        <f t="shared" si="38"/>
        <v>-</v>
      </c>
      <c r="O448" s="40" t="str">
        <f t="shared" si="39"/>
        <v>-</v>
      </c>
      <c r="P448" s="41" t="str">
        <f t="shared" si="40"/>
        <v>-</v>
      </c>
      <c r="R448" s="41" t="str">
        <f t="shared" si="41"/>
        <v>-</v>
      </c>
    </row>
    <row r="449" spans="1:18" x14ac:dyDescent="0.3">
      <c r="A449" s="26">
        <v>8630</v>
      </c>
      <c r="B449" s="15">
        <v>88395863004</v>
      </c>
      <c r="C449" s="17" t="s">
        <v>417</v>
      </c>
      <c r="D449" s="29"/>
      <c r="E449" s="29"/>
      <c r="F449" s="21">
        <v>5.4359999999999999E-2</v>
      </c>
      <c r="G449" s="21"/>
      <c r="H449" s="19">
        <v>32.744250000000001</v>
      </c>
      <c r="I449" s="23"/>
      <c r="J449" s="19">
        <f t="shared" si="36"/>
        <v>0</v>
      </c>
      <c r="M449" s="39" t="str">
        <f t="shared" si="37"/>
        <v>-</v>
      </c>
      <c r="N449" s="39" t="str">
        <f t="shared" si="38"/>
        <v>-</v>
      </c>
      <c r="O449" s="40" t="str">
        <f t="shared" si="39"/>
        <v>-</v>
      </c>
      <c r="P449" s="41" t="str">
        <f t="shared" si="40"/>
        <v>-</v>
      </c>
      <c r="R449" s="41" t="str">
        <f t="shared" si="41"/>
        <v>-</v>
      </c>
    </row>
    <row r="450" spans="1:18" x14ac:dyDescent="0.3">
      <c r="A450" s="26">
        <v>8631</v>
      </c>
      <c r="B450" s="15">
        <v>88395863103</v>
      </c>
      <c r="C450" s="17" t="s">
        <v>418</v>
      </c>
      <c r="D450" s="29"/>
      <c r="E450" s="29"/>
      <c r="F450" s="21">
        <v>9.9659999999999999E-2</v>
      </c>
      <c r="G450" s="21"/>
      <c r="H450" s="19">
        <v>56.227499999999999</v>
      </c>
      <c r="I450" s="23"/>
      <c r="J450" s="19">
        <f t="shared" si="36"/>
        <v>0</v>
      </c>
      <c r="M450" s="39" t="str">
        <f t="shared" si="37"/>
        <v>-</v>
      </c>
      <c r="N450" s="39" t="str">
        <f t="shared" si="38"/>
        <v>-</v>
      </c>
      <c r="O450" s="40" t="str">
        <f t="shared" si="39"/>
        <v>-</v>
      </c>
      <c r="P450" s="41" t="str">
        <f t="shared" si="40"/>
        <v>-</v>
      </c>
      <c r="R450" s="41" t="str">
        <f t="shared" si="41"/>
        <v>-</v>
      </c>
    </row>
    <row r="451" spans="1:18" x14ac:dyDescent="0.3">
      <c r="A451" s="26">
        <v>8640</v>
      </c>
      <c r="B451" s="15">
        <v>88395864001</v>
      </c>
      <c r="C451" s="17" t="s">
        <v>419</v>
      </c>
      <c r="D451" s="29"/>
      <c r="E451" s="29"/>
      <c r="F451" s="21">
        <v>6.7949999999999997E-2</v>
      </c>
      <c r="G451" s="21"/>
      <c r="H451" s="19">
        <v>16.471349999999997</v>
      </c>
      <c r="I451" s="23"/>
      <c r="J451" s="19">
        <f t="shared" ref="J451:J475" si="42">I451*H451</f>
        <v>0</v>
      </c>
      <c r="M451" s="39" t="str">
        <f t="shared" si="37"/>
        <v>-</v>
      </c>
      <c r="N451" s="39" t="str">
        <f t="shared" si="38"/>
        <v>-</v>
      </c>
      <c r="O451" s="40" t="str">
        <f t="shared" si="39"/>
        <v>-</v>
      </c>
      <c r="P451" s="41" t="str">
        <f t="shared" si="40"/>
        <v>-</v>
      </c>
      <c r="R451" s="41" t="str">
        <f t="shared" si="41"/>
        <v>-</v>
      </c>
    </row>
    <row r="452" spans="1:18" x14ac:dyDescent="0.3">
      <c r="A452" s="26">
        <v>8641</v>
      </c>
      <c r="B452" s="15">
        <v>88395864100</v>
      </c>
      <c r="C452" s="17" t="s">
        <v>420</v>
      </c>
      <c r="D452" s="29"/>
      <c r="E452" s="29"/>
      <c r="F452" s="21">
        <v>0.12231000000000002</v>
      </c>
      <c r="G452" s="21"/>
      <c r="H452" s="19">
        <v>31.421249999999997</v>
      </c>
      <c r="I452" s="23"/>
      <c r="J452" s="19">
        <f t="shared" si="42"/>
        <v>0</v>
      </c>
      <c r="M452" s="39" t="str">
        <f t="shared" ref="M452:M475" si="43">IFERROR(IF($M$2*F452=0, "-", $M$2*F452), "-")</f>
        <v>-</v>
      </c>
      <c r="N452" s="39" t="str">
        <f t="shared" ref="N452:N475" si="44">IF(I452&gt;0,H452+F452*I452/$O$2*$P$2/I452,"-")</f>
        <v>-</v>
      </c>
      <c r="O452" s="40" t="str">
        <f t="shared" ref="O452:O475" si="45">IF(I452&gt;0,I452*F452*1.13, "-")</f>
        <v>-</v>
      </c>
      <c r="P452" s="41" t="str">
        <f t="shared" ref="P452:P475" si="46">IFERROR(IF($M$2&gt;0, $M$2*O452, "-"), "-")</f>
        <v>-</v>
      </c>
      <c r="R452" s="41" t="str">
        <f t="shared" ref="R452:R475" si="47">IFERROR(IF(P452+J452=0, "-", IF(P452&gt;0, P452+J452, "-")), "-")</f>
        <v>-</v>
      </c>
    </row>
    <row r="453" spans="1:18" x14ac:dyDescent="0.3">
      <c r="A453" s="26">
        <v>8650</v>
      </c>
      <c r="B453" s="15">
        <v>88395086502</v>
      </c>
      <c r="C453" s="17" t="s">
        <v>421</v>
      </c>
      <c r="D453" s="29"/>
      <c r="E453" s="29"/>
      <c r="F453" s="21">
        <v>3.6240000000000001E-2</v>
      </c>
      <c r="G453" s="21"/>
      <c r="H453" s="19">
        <v>6.5488500000000016</v>
      </c>
      <c r="I453" s="23"/>
      <c r="J453" s="19">
        <f t="shared" si="42"/>
        <v>0</v>
      </c>
      <c r="M453" s="39" t="str">
        <f t="shared" si="43"/>
        <v>-</v>
      </c>
      <c r="N453" s="39" t="str">
        <f t="shared" si="44"/>
        <v>-</v>
      </c>
      <c r="O453" s="40" t="str">
        <f t="shared" si="45"/>
        <v>-</v>
      </c>
      <c r="P453" s="41" t="str">
        <f t="shared" si="46"/>
        <v>-</v>
      </c>
      <c r="R453" s="41" t="str">
        <f t="shared" si="47"/>
        <v>-</v>
      </c>
    </row>
    <row r="454" spans="1:18" x14ac:dyDescent="0.3">
      <c r="A454" s="26">
        <v>8652</v>
      </c>
      <c r="B454" s="15">
        <v>88395086526</v>
      </c>
      <c r="C454" s="17" t="s">
        <v>422</v>
      </c>
      <c r="D454" s="29"/>
      <c r="E454" s="29"/>
      <c r="F454" s="21">
        <v>8.1540000000000001E-2</v>
      </c>
      <c r="G454" s="21"/>
      <c r="H454" s="19">
        <v>17.331300000000002</v>
      </c>
      <c r="I454" s="23"/>
      <c r="J454" s="19">
        <f t="shared" si="42"/>
        <v>0</v>
      </c>
      <c r="M454" s="39" t="str">
        <f t="shared" si="43"/>
        <v>-</v>
      </c>
      <c r="N454" s="39" t="str">
        <f t="shared" si="44"/>
        <v>-</v>
      </c>
      <c r="O454" s="40" t="str">
        <f t="shared" si="45"/>
        <v>-</v>
      </c>
      <c r="P454" s="41" t="str">
        <f t="shared" si="46"/>
        <v>-</v>
      </c>
      <c r="R454" s="41" t="str">
        <f t="shared" si="47"/>
        <v>-</v>
      </c>
    </row>
    <row r="455" spans="1:18" x14ac:dyDescent="0.3">
      <c r="A455" s="26">
        <v>8662</v>
      </c>
      <c r="B455" s="15">
        <v>88395086625</v>
      </c>
      <c r="C455" s="17" t="s">
        <v>423</v>
      </c>
      <c r="D455" s="29"/>
      <c r="E455" s="29"/>
      <c r="F455" s="21">
        <v>0.14043</v>
      </c>
      <c r="G455" s="21"/>
      <c r="H455" s="19">
        <v>70.780499999999989</v>
      </c>
      <c r="I455" s="23"/>
      <c r="J455" s="19">
        <f t="shared" si="42"/>
        <v>0</v>
      </c>
      <c r="M455" s="39" t="str">
        <f t="shared" si="43"/>
        <v>-</v>
      </c>
      <c r="N455" s="39" t="str">
        <f t="shared" si="44"/>
        <v>-</v>
      </c>
      <c r="O455" s="40" t="str">
        <f t="shared" si="45"/>
        <v>-</v>
      </c>
      <c r="P455" s="41" t="str">
        <f t="shared" si="46"/>
        <v>-</v>
      </c>
      <c r="R455" s="41" t="str">
        <f t="shared" si="47"/>
        <v>-</v>
      </c>
    </row>
    <row r="456" spans="1:18" x14ac:dyDescent="0.3">
      <c r="A456" s="26">
        <v>8666</v>
      </c>
      <c r="B456" s="15">
        <v>88395086663</v>
      </c>
      <c r="C456" s="17" t="s">
        <v>424</v>
      </c>
      <c r="D456" s="29"/>
      <c r="E456" s="29"/>
      <c r="F456" s="21">
        <v>5.8890000000000005E-2</v>
      </c>
      <c r="G456" s="21"/>
      <c r="H456" s="19">
        <v>24.806250000000002</v>
      </c>
      <c r="I456" s="23"/>
      <c r="J456" s="19">
        <f t="shared" si="42"/>
        <v>0</v>
      </c>
      <c r="M456" s="39" t="str">
        <f t="shared" si="43"/>
        <v>-</v>
      </c>
      <c r="N456" s="39" t="str">
        <f t="shared" si="44"/>
        <v>-</v>
      </c>
      <c r="O456" s="40" t="str">
        <f t="shared" si="45"/>
        <v>-</v>
      </c>
      <c r="P456" s="41" t="str">
        <f t="shared" si="46"/>
        <v>-</v>
      </c>
      <c r="R456" s="41" t="str">
        <f t="shared" si="47"/>
        <v>-</v>
      </c>
    </row>
    <row r="457" spans="1:18" x14ac:dyDescent="0.3">
      <c r="A457" s="26">
        <v>8668</v>
      </c>
      <c r="B457" s="15">
        <v>88395866807</v>
      </c>
      <c r="C457" s="17" t="s">
        <v>425</v>
      </c>
      <c r="D457" s="29"/>
      <c r="E457" s="29"/>
      <c r="F457" s="21">
        <v>3.1710000000000002E-2</v>
      </c>
      <c r="G457" s="21"/>
      <c r="H457" s="19">
        <v>13.218975000000002</v>
      </c>
      <c r="I457" s="23"/>
      <c r="J457" s="19">
        <f t="shared" si="42"/>
        <v>0</v>
      </c>
      <c r="M457" s="39" t="str">
        <f t="shared" si="43"/>
        <v>-</v>
      </c>
      <c r="N457" s="39" t="str">
        <f t="shared" si="44"/>
        <v>-</v>
      </c>
      <c r="O457" s="40" t="str">
        <f t="shared" si="45"/>
        <v>-</v>
      </c>
      <c r="P457" s="41" t="str">
        <f t="shared" si="46"/>
        <v>-</v>
      </c>
      <c r="R457" s="41" t="str">
        <f t="shared" si="47"/>
        <v>-</v>
      </c>
    </row>
    <row r="458" spans="1:18" x14ac:dyDescent="0.3">
      <c r="A458" s="26">
        <v>8681</v>
      </c>
      <c r="B458" s="15">
        <v>88395086816</v>
      </c>
      <c r="C458" s="17" t="s">
        <v>426</v>
      </c>
      <c r="D458" s="29"/>
      <c r="E458" s="29"/>
      <c r="F458" s="21">
        <v>0.19478999999999999</v>
      </c>
      <c r="G458" s="21"/>
      <c r="H458" s="19">
        <v>52.853850000000001</v>
      </c>
      <c r="I458" s="23"/>
      <c r="J458" s="19">
        <f t="shared" si="42"/>
        <v>0</v>
      </c>
      <c r="M458" s="39" t="str">
        <f t="shared" si="43"/>
        <v>-</v>
      </c>
      <c r="N458" s="39" t="str">
        <f t="shared" si="44"/>
        <v>-</v>
      </c>
      <c r="O458" s="40" t="str">
        <f t="shared" si="45"/>
        <v>-</v>
      </c>
      <c r="P458" s="41" t="str">
        <f t="shared" si="46"/>
        <v>-</v>
      </c>
      <c r="R458" s="41" t="str">
        <f t="shared" si="47"/>
        <v>-</v>
      </c>
    </row>
    <row r="459" spans="1:18" x14ac:dyDescent="0.3">
      <c r="A459" s="26">
        <v>8686</v>
      </c>
      <c r="B459" s="15">
        <v>88395086861</v>
      </c>
      <c r="C459" s="17" t="s">
        <v>427</v>
      </c>
      <c r="D459" s="29"/>
      <c r="E459" s="29"/>
      <c r="F459" s="21">
        <v>9.9659999999999999E-2</v>
      </c>
      <c r="G459" s="21"/>
      <c r="H459" s="19">
        <v>28.047599999999999</v>
      </c>
      <c r="I459" s="23"/>
      <c r="J459" s="19">
        <f t="shared" si="42"/>
        <v>0</v>
      </c>
      <c r="M459" s="39" t="str">
        <f t="shared" si="43"/>
        <v>-</v>
      </c>
      <c r="N459" s="39" t="str">
        <f t="shared" si="44"/>
        <v>-</v>
      </c>
      <c r="O459" s="40" t="str">
        <f t="shared" si="45"/>
        <v>-</v>
      </c>
      <c r="P459" s="41" t="str">
        <f t="shared" si="46"/>
        <v>-</v>
      </c>
      <c r="R459" s="41" t="str">
        <f t="shared" si="47"/>
        <v>-</v>
      </c>
    </row>
    <row r="460" spans="1:18" x14ac:dyDescent="0.3">
      <c r="A460" s="26">
        <v>8712</v>
      </c>
      <c r="B460" s="15">
        <v>88395087127</v>
      </c>
      <c r="C460" s="17" t="s">
        <v>428</v>
      </c>
      <c r="D460" s="29"/>
      <c r="E460" s="29"/>
      <c r="F460" s="21">
        <v>0.11325</v>
      </c>
      <c r="G460" s="21"/>
      <c r="H460" s="19">
        <v>38.697749999999999</v>
      </c>
      <c r="I460" s="23"/>
      <c r="J460" s="19">
        <f t="shared" si="42"/>
        <v>0</v>
      </c>
      <c r="M460" s="39" t="str">
        <f t="shared" si="43"/>
        <v>-</v>
      </c>
      <c r="N460" s="39" t="str">
        <f t="shared" si="44"/>
        <v>-</v>
      </c>
      <c r="O460" s="40" t="str">
        <f t="shared" si="45"/>
        <v>-</v>
      </c>
      <c r="P460" s="41" t="str">
        <f t="shared" si="46"/>
        <v>-</v>
      </c>
      <c r="R460" s="41" t="str">
        <f t="shared" si="47"/>
        <v>-</v>
      </c>
    </row>
    <row r="461" spans="1:18" x14ac:dyDescent="0.3">
      <c r="A461" s="26">
        <v>8716</v>
      </c>
      <c r="B461" s="15">
        <v>88395087165</v>
      </c>
      <c r="C461" s="17" t="s">
        <v>429</v>
      </c>
      <c r="D461" s="29"/>
      <c r="E461" s="29"/>
      <c r="F461" s="21">
        <v>4.5300000000000007E-2</v>
      </c>
      <c r="G461" s="21"/>
      <c r="H461" s="19">
        <v>14.541975000000001</v>
      </c>
      <c r="I461" s="23"/>
      <c r="J461" s="19">
        <f t="shared" si="42"/>
        <v>0</v>
      </c>
      <c r="M461" s="39" t="str">
        <f t="shared" si="43"/>
        <v>-</v>
      </c>
      <c r="N461" s="39" t="str">
        <f t="shared" si="44"/>
        <v>-</v>
      </c>
      <c r="O461" s="40" t="str">
        <f t="shared" si="45"/>
        <v>-</v>
      </c>
      <c r="P461" s="41" t="str">
        <f t="shared" si="46"/>
        <v>-</v>
      </c>
      <c r="R461" s="41" t="str">
        <f t="shared" si="47"/>
        <v>-</v>
      </c>
    </row>
    <row r="462" spans="1:18" x14ac:dyDescent="0.3">
      <c r="A462" s="26">
        <v>8721</v>
      </c>
      <c r="B462" s="15">
        <v>88395087219</v>
      </c>
      <c r="C462" s="17" t="s">
        <v>430</v>
      </c>
      <c r="D462" s="29"/>
      <c r="E462" s="29"/>
      <c r="F462" s="21">
        <v>0.13136999999999999</v>
      </c>
      <c r="G462" s="21"/>
      <c r="H462" s="19">
        <v>11.179350000000001</v>
      </c>
      <c r="I462" s="23"/>
      <c r="J462" s="19">
        <f t="shared" si="42"/>
        <v>0</v>
      </c>
      <c r="M462" s="39" t="str">
        <f t="shared" si="43"/>
        <v>-</v>
      </c>
      <c r="N462" s="39" t="str">
        <f t="shared" si="44"/>
        <v>-</v>
      </c>
      <c r="O462" s="40" t="str">
        <f t="shared" si="45"/>
        <v>-</v>
      </c>
      <c r="P462" s="41" t="str">
        <f t="shared" si="46"/>
        <v>-</v>
      </c>
      <c r="R462" s="41" t="str">
        <f t="shared" si="47"/>
        <v>-</v>
      </c>
    </row>
    <row r="463" spans="1:18" x14ac:dyDescent="0.3">
      <c r="A463" s="26">
        <v>8722</v>
      </c>
      <c r="B463" s="15">
        <v>88395087226</v>
      </c>
      <c r="C463" s="17" t="s">
        <v>431</v>
      </c>
      <c r="D463" s="29"/>
      <c r="E463" s="29"/>
      <c r="F463" s="21">
        <v>0.25368000000000002</v>
      </c>
      <c r="G463" s="21"/>
      <c r="H463" s="19">
        <v>20.506500000000003</v>
      </c>
      <c r="I463" s="23"/>
      <c r="J463" s="19">
        <f t="shared" si="42"/>
        <v>0</v>
      </c>
      <c r="M463" s="39" t="str">
        <f t="shared" si="43"/>
        <v>-</v>
      </c>
      <c r="N463" s="39" t="str">
        <f t="shared" si="44"/>
        <v>-</v>
      </c>
      <c r="O463" s="40" t="str">
        <f t="shared" si="45"/>
        <v>-</v>
      </c>
      <c r="P463" s="41" t="str">
        <f t="shared" si="46"/>
        <v>-</v>
      </c>
      <c r="R463" s="41" t="str">
        <f t="shared" si="47"/>
        <v>-</v>
      </c>
    </row>
    <row r="464" spans="1:18" x14ac:dyDescent="0.3">
      <c r="A464" s="26">
        <v>8723</v>
      </c>
      <c r="B464" s="15">
        <v>88395872303</v>
      </c>
      <c r="C464" s="17" t="s">
        <v>432</v>
      </c>
      <c r="D464" s="29"/>
      <c r="E464" s="29"/>
      <c r="F464" s="21">
        <v>0.40770000000000001</v>
      </c>
      <c r="G464" s="21"/>
      <c r="H464" s="19">
        <v>30.759750000000004</v>
      </c>
      <c r="I464" s="23"/>
      <c r="J464" s="19">
        <f t="shared" si="42"/>
        <v>0</v>
      </c>
      <c r="M464" s="39" t="str">
        <f t="shared" si="43"/>
        <v>-</v>
      </c>
      <c r="N464" s="39" t="str">
        <f t="shared" si="44"/>
        <v>-</v>
      </c>
      <c r="O464" s="40" t="str">
        <f t="shared" si="45"/>
        <v>-</v>
      </c>
      <c r="P464" s="41" t="str">
        <f t="shared" si="46"/>
        <v>-</v>
      </c>
      <c r="R464" s="41" t="str">
        <f t="shared" si="47"/>
        <v>-</v>
      </c>
    </row>
    <row r="465" spans="1:18" x14ac:dyDescent="0.3">
      <c r="A465" s="26">
        <v>8731</v>
      </c>
      <c r="B465" s="15">
        <v>88395873102</v>
      </c>
      <c r="C465" s="17" t="s">
        <v>433</v>
      </c>
      <c r="D465" s="29"/>
      <c r="E465" s="29"/>
      <c r="F465" s="21">
        <v>4.5300000000000007E-2</v>
      </c>
      <c r="G465" s="21"/>
      <c r="H465" s="19">
        <v>10.517849999999999</v>
      </c>
      <c r="I465" s="23"/>
      <c r="J465" s="19">
        <f t="shared" si="42"/>
        <v>0</v>
      </c>
      <c r="M465" s="39" t="str">
        <f t="shared" si="43"/>
        <v>-</v>
      </c>
      <c r="N465" s="39" t="str">
        <f t="shared" si="44"/>
        <v>-</v>
      </c>
      <c r="O465" s="40" t="str">
        <f t="shared" si="45"/>
        <v>-</v>
      </c>
      <c r="P465" s="41" t="str">
        <f t="shared" si="46"/>
        <v>-</v>
      </c>
      <c r="R465" s="41" t="str">
        <f t="shared" si="47"/>
        <v>-</v>
      </c>
    </row>
    <row r="466" spans="1:18" x14ac:dyDescent="0.3">
      <c r="A466" s="26">
        <v>8736</v>
      </c>
      <c r="B466" s="15">
        <v>88395873607</v>
      </c>
      <c r="C466" s="17" t="s">
        <v>434</v>
      </c>
      <c r="D466" s="29"/>
      <c r="E466" s="29"/>
      <c r="F466" s="21">
        <v>2.7179999999999999E-2</v>
      </c>
      <c r="G466" s="21"/>
      <c r="H466" s="19">
        <v>7.8718499999999993</v>
      </c>
      <c r="I466" s="23"/>
      <c r="J466" s="19">
        <f t="shared" si="42"/>
        <v>0</v>
      </c>
      <c r="M466" s="39" t="str">
        <f t="shared" si="43"/>
        <v>-</v>
      </c>
      <c r="N466" s="39" t="str">
        <f t="shared" si="44"/>
        <v>-</v>
      </c>
      <c r="O466" s="40" t="str">
        <f t="shared" si="45"/>
        <v>-</v>
      </c>
      <c r="P466" s="41" t="str">
        <f t="shared" si="46"/>
        <v>-</v>
      </c>
      <c r="R466" s="41" t="str">
        <f t="shared" si="47"/>
        <v>-</v>
      </c>
    </row>
    <row r="467" spans="1:18" x14ac:dyDescent="0.3">
      <c r="A467" s="26">
        <v>8743</v>
      </c>
      <c r="B467" s="15">
        <v>88395874307</v>
      </c>
      <c r="C467" s="17" t="s">
        <v>435</v>
      </c>
      <c r="D467" s="29"/>
      <c r="E467" s="29"/>
      <c r="F467" s="21">
        <v>2.7179999999999999E-2</v>
      </c>
      <c r="G467" s="21"/>
      <c r="H467" s="19">
        <v>7.8718499999999993</v>
      </c>
      <c r="I467" s="23"/>
      <c r="J467" s="19">
        <f t="shared" si="42"/>
        <v>0</v>
      </c>
      <c r="M467" s="39" t="str">
        <f t="shared" si="43"/>
        <v>-</v>
      </c>
      <c r="N467" s="39" t="str">
        <f t="shared" si="44"/>
        <v>-</v>
      </c>
      <c r="O467" s="40" t="str">
        <f t="shared" si="45"/>
        <v>-</v>
      </c>
      <c r="P467" s="41" t="str">
        <f t="shared" si="46"/>
        <v>-</v>
      </c>
      <c r="R467" s="41" t="str">
        <f t="shared" si="47"/>
        <v>-</v>
      </c>
    </row>
    <row r="468" spans="1:18" x14ac:dyDescent="0.3">
      <c r="A468" s="26">
        <v>8770</v>
      </c>
      <c r="B468" s="15">
        <v>88395087707</v>
      </c>
      <c r="C468" s="17" t="s">
        <v>436</v>
      </c>
      <c r="D468" s="29"/>
      <c r="E468" s="29"/>
      <c r="F468" s="21">
        <v>4.5300000000000007E-2</v>
      </c>
      <c r="G468" s="21"/>
      <c r="H468" s="19">
        <v>18.654300000000003</v>
      </c>
      <c r="I468" s="23"/>
      <c r="J468" s="19">
        <f t="shared" si="42"/>
        <v>0</v>
      </c>
      <c r="M468" s="39" t="str">
        <f t="shared" si="43"/>
        <v>-</v>
      </c>
      <c r="N468" s="39" t="str">
        <f t="shared" si="44"/>
        <v>-</v>
      </c>
      <c r="O468" s="40" t="str">
        <f t="shared" si="45"/>
        <v>-</v>
      </c>
      <c r="P468" s="41" t="str">
        <f t="shared" si="46"/>
        <v>-</v>
      </c>
      <c r="R468" s="41" t="str">
        <f t="shared" si="47"/>
        <v>-</v>
      </c>
    </row>
    <row r="469" spans="1:18" x14ac:dyDescent="0.3">
      <c r="A469" s="26">
        <v>8771</v>
      </c>
      <c r="B469" s="15">
        <v>88395087714</v>
      </c>
      <c r="C469" s="17" t="s">
        <v>436</v>
      </c>
      <c r="D469" s="29"/>
      <c r="E469" s="29"/>
      <c r="F469" s="21">
        <v>9.0600000000000014E-2</v>
      </c>
      <c r="G469" s="21"/>
      <c r="H469" s="19">
        <v>54.838349999999991</v>
      </c>
      <c r="I469" s="23"/>
      <c r="J469" s="19">
        <f t="shared" si="42"/>
        <v>0</v>
      </c>
      <c r="M469" s="39" t="str">
        <f t="shared" si="43"/>
        <v>-</v>
      </c>
      <c r="N469" s="39" t="str">
        <f t="shared" si="44"/>
        <v>-</v>
      </c>
      <c r="O469" s="40" t="str">
        <f t="shared" si="45"/>
        <v>-</v>
      </c>
      <c r="P469" s="41" t="str">
        <f t="shared" si="46"/>
        <v>-</v>
      </c>
      <c r="R469" s="41" t="str">
        <f t="shared" si="47"/>
        <v>-</v>
      </c>
    </row>
    <row r="470" spans="1:18" x14ac:dyDescent="0.3">
      <c r="A470" s="26">
        <v>8800</v>
      </c>
      <c r="B470" s="15">
        <v>88395088001</v>
      </c>
      <c r="C470" s="17" t="s">
        <v>437</v>
      </c>
      <c r="D470" s="29"/>
      <c r="E470" s="29"/>
      <c r="F470" s="21">
        <v>0.11325</v>
      </c>
      <c r="G470" s="21"/>
      <c r="H470" s="19">
        <v>13.16385</v>
      </c>
      <c r="I470" s="23"/>
      <c r="J470" s="19">
        <f t="shared" si="42"/>
        <v>0</v>
      </c>
      <c r="M470" s="39" t="str">
        <f t="shared" si="43"/>
        <v>-</v>
      </c>
      <c r="N470" s="39" t="str">
        <f t="shared" si="44"/>
        <v>-</v>
      </c>
      <c r="O470" s="40" t="str">
        <f t="shared" si="45"/>
        <v>-</v>
      </c>
      <c r="P470" s="41" t="str">
        <f t="shared" si="46"/>
        <v>-</v>
      </c>
      <c r="R470" s="41" t="str">
        <f t="shared" si="47"/>
        <v>-</v>
      </c>
    </row>
    <row r="471" spans="1:18" x14ac:dyDescent="0.3">
      <c r="A471" s="26">
        <v>8801</v>
      </c>
      <c r="B471" s="15">
        <v>88395088018</v>
      </c>
      <c r="C471" s="17" t="s">
        <v>438</v>
      </c>
      <c r="D471" s="29"/>
      <c r="E471" s="29"/>
      <c r="F471" s="21">
        <v>0.20385</v>
      </c>
      <c r="G471" s="21"/>
      <c r="H471" s="19">
        <v>22.821749999999994</v>
      </c>
      <c r="I471" s="23"/>
      <c r="J471" s="19">
        <f t="shared" si="42"/>
        <v>0</v>
      </c>
      <c r="M471" s="39" t="str">
        <f t="shared" si="43"/>
        <v>-</v>
      </c>
      <c r="N471" s="39" t="str">
        <f t="shared" si="44"/>
        <v>-</v>
      </c>
      <c r="O471" s="40" t="str">
        <f t="shared" si="45"/>
        <v>-</v>
      </c>
      <c r="P471" s="41" t="str">
        <f t="shared" si="46"/>
        <v>-</v>
      </c>
      <c r="R471" s="41" t="str">
        <f t="shared" si="47"/>
        <v>-</v>
      </c>
    </row>
    <row r="472" spans="1:18" x14ac:dyDescent="0.3">
      <c r="A472" s="26">
        <v>8822</v>
      </c>
      <c r="B472" s="15">
        <v>88395882203</v>
      </c>
      <c r="C472" s="17" t="s">
        <v>454</v>
      </c>
      <c r="D472" s="29"/>
      <c r="E472" s="29"/>
      <c r="F472" s="21">
        <v>0.10419</v>
      </c>
      <c r="G472" s="21"/>
      <c r="H472" s="19">
        <v>16.471349999999997</v>
      </c>
      <c r="I472" s="23"/>
      <c r="J472" s="19">
        <f t="shared" si="42"/>
        <v>0</v>
      </c>
      <c r="M472" s="39" t="str">
        <f t="shared" si="43"/>
        <v>-</v>
      </c>
      <c r="N472" s="39" t="str">
        <f t="shared" si="44"/>
        <v>-</v>
      </c>
      <c r="O472" s="40" t="str">
        <f t="shared" si="45"/>
        <v>-</v>
      </c>
      <c r="P472" s="41" t="str">
        <f t="shared" si="46"/>
        <v>-</v>
      </c>
      <c r="R472" s="41" t="str">
        <f t="shared" si="47"/>
        <v>-</v>
      </c>
    </row>
    <row r="473" spans="1:18" x14ac:dyDescent="0.3">
      <c r="A473" s="26">
        <v>8823</v>
      </c>
      <c r="B473" s="15">
        <v>88395088230</v>
      </c>
      <c r="C473" s="17" t="s">
        <v>439</v>
      </c>
      <c r="D473" s="29"/>
      <c r="E473" s="29"/>
      <c r="F473" s="21">
        <v>0.56625000000000003</v>
      </c>
      <c r="G473" s="21"/>
      <c r="H473" s="19">
        <v>59.534999999999997</v>
      </c>
      <c r="I473" s="23"/>
      <c r="J473" s="19">
        <f t="shared" si="42"/>
        <v>0</v>
      </c>
      <c r="M473" s="39" t="str">
        <f t="shared" si="43"/>
        <v>-</v>
      </c>
      <c r="N473" s="39" t="str">
        <f t="shared" si="44"/>
        <v>-</v>
      </c>
      <c r="O473" s="40" t="str">
        <f t="shared" si="45"/>
        <v>-</v>
      </c>
      <c r="P473" s="41" t="str">
        <f t="shared" si="46"/>
        <v>-</v>
      </c>
      <c r="R473" s="41" t="str">
        <f t="shared" si="47"/>
        <v>-</v>
      </c>
    </row>
    <row r="474" spans="1:18" x14ac:dyDescent="0.3">
      <c r="A474" s="26">
        <v>8824</v>
      </c>
      <c r="B474" s="15">
        <v>88395088247</v>
      </c>
      <c r="C474" s="17" t="s">
        <v>440</v>
      </c>
      <c r="D474" s="29"/>
      <c r="E474" s="29"/>
      <c r="F474" s="21">
        <v>0.19932</v>
      </c>
      <c r="G474" s="21"/>
      <c r="H474" s="19">
        <v>29.701350000000005</v>
      </c>
      <c r="I474" s="23"/>
      <c r="J474" s="19">
        <f t="shared" si="42"/>
        <v>0</v>
      </c>
      <c r="M474" s="39" t="str">
        <f t="shared" si="43"/>
        <v>-</v>
      </c>
      <c r="N474" s="39" t="str">
        <f t="shared" si="44"/>
        <v>-</v>
      </c>
      <c r="O474" s="40" t="str">
        <f t="shared" si="45"/>
        <v>-</v>
      </c>
      <c r="P474" s="41" t="str">
        <f t="shared" si="46"/>
        <v>-</v>
      </c>
      <c r="R474" s="41" t="str">
        <f t="shared" si="47"/>
        <v>-</v>
      </c>
    </row>
    <row r="475" spans="1:18" x14ac:dyDescent="0.3">
      <c r="A475" s="26">
        <v>8825</v>
      </c>
      <c r="B475" s="15">
        <v>88395088254</v>
      </c>
      <c r="C475" s="17" t="s">
        <v>441</v>
      </c>
      <c r="D475" s="29"/>
      <c r="E475" s="29"/>
      <c r="F475" s="21">
        <v>0.13589999999999999</v>
      </c>
      <c r="G475" s="21"/>
      <c r="H475" s="19">
        <v>16.471349999999997</v>
      </c>
      <c r="I475" s="23"/>
      <c r="J475" s="19">
        <f t="shared" si="42"/>
        <v>0</v>
      </c>
      <c r="M475" s="39" t="str">
        <f t="shared" si="43"/>
        <v>-</v>
      </c>
      <c r="N475" s="39" t="str">
        <f t="shared" si="44"/>
        <v>-</v>
      </c>
      <c r="O475" s="40" t="str">
        <f t="shared" si="45"/>
        <v>-</v>
      </c>
      <c r="P475" s="41" t="str">
        <f t="shared" si="46"/>
        <v>-</v>
      </c>
      <c r="R475" s="41" t="str">
        <f t="shared" si="47"/>
        <v>-</v>
      </c>
    </row>
    <row r="476" spans="1:18" x14ac:dyDescent="0.3">
      <c r="M476" s="39"/>
      <c r="N476" s="39"/>
      <c r="O476" s="40"/>
      <c r="P476" s="41"/>
      <c r="R476" s="41"/>
    </row>
    <row r="477" spans="1:18" ht="15" thickBot="1" x14ac:dyDescent="0.35">
      <c r="M477" s="39"/>
      <c r="N477" s="39"/>
      <c r="O477" s="40"/>
      <c r="P477" s="41"/>
      <c r="R477" s="41"/>
    </row>
    <row r="478" spans="1:18" x14ac:dyDescent="0.3">
      <c r="B478" s="52"/>
      <c r="C478" s="53"/>
      <c r="D478" s="3"/>
      <c r="E478" s="3"/>
      <c r="F478" s="14"/>
      <c r="G478" s="14"/>
      <c r="M478" s="39"/>
      <c r="N478" s="39"/>
      <c r="O478" s="40"/>
      <c r="P478" s="41"/>
      <c r="R478" s="41"/>
    </row>
    <row r="479" spans="1:18" x14ac:dyDescent="0.3">
      <c r="B479" s="54"/>
      <c r="C479" s="55"/>
      <c r="D479" s="3"/>
      <c r="E479" s="3"/>
      <c r="F479" s="14"/>
      <c r="G479" s="14"/>
      <c r="M479" s="39"/>
      <c r="N479" s="39"/>
      <c r="O479" s="40"/>
      <c r="P479" s="41"/>
      <c r="R479" s="41"/>
    </row>
    <row r="480" spans="1:18" x14ac:dyDescent="0.3">
      <c r="B480" s="50" t="s">
        <v>8</v>
      </c>
      <c r="C480" s="51"/>
      <c r="D480" s="3"/>
      <c r="E480" s="3"/>
      <c r="F480" s="14"/>
      <c r="G480" s="14"/>
      <c r="M480" s="39"/>
      <c r="N480" s="39"/>
      <c r="O480" s="40"/>
      <c r="P480" s="41"/>
      <c r="R480" s="41"/>
    </row>
    <row r="481" spans="2:18" x14ac:dyDescent="0.3">
      <c r="B481" s="50" t="s">
        <v>9</v>
      </c>
      <c r="C481" s="51"/>
      <c r="D481" s="3"/>
      <c r="E481" s="3"/>
      <c r="F481" s="14"/>
      <c r="G481" s="14"/>
      <c r="M481" s="39"/>
      <c r="N481" s="39"/>
      <c r="O481" s="40"/>
      <c r="P481" s="41"/>
      <c r="R481" s="41"/>
    </row>
    <row r="482" spans="2:18" ht="15" thickBot="1" x14ac:dyDescent="0.35">
      <c r="B482" s="47" t="s">
        <v>5</v>
      </c>
      <c r="C482" s="48"/>
      <c r="D482" s="3"/>
      <c r="E482" s="3"/>
      <c r="F482" s="14"/>
      <c r="G482" s="14"/>
      <c r="M482" s="39"/>
      <c r="N482" s="39"/>
      <c r="O482" s="40"/>
      <c r="P482" s="41"/>
      <c r="R482" s="41"/>
    </row>
    <row r="483" spans="2:18" x14ac:dyDescent="0.3">
      <c r="B483" s="45" t="s">
        <v>6</v>
      </c>
      <c r="C483" s="46"/>
      <c r="D483" s="3"/>
      <c r="E483" s="3"/>
      <c r="F483" s="14"/>
      <c r="G483" s="14"/>
      <c r="M483" s="39"/>
      <c r="N483" s="39"/>
      <c r="O483" s="40"/>
      <c r="P483" s="41"/>
      <c r="R483" s="41"/>
    </row>
    <row r="484" spans="2:18" ht="15" thickBot="1" x14ac:dyDescent="0.35">
      <c r="B484" s="47" t="s">
        <v>7</v>
      </c>
      <c r="C484" s="48"/>
      <c r="D484" s="3"/>
      <c r="E484" s="3"/>
      <c r="F484" s="14"/>
      <c r="G484" s="14"/>
      <c r="M484" s="39"/>
      <c r="N484" s="39"/>
      <c r="O484" s="40"/>
      <c r="P484" s="41"/>
      <c r="R484" s="41"/>
    </row>
    <row r="485" spans="2:18" x14ac:dyDescent="0.3">
      <c r="M485" s="39"/>
      <c r="N485" s="39"/>
      <c r="O485" s="40"/>
      <c r="P485" s="41"/>
      <c r="R485" s="41"/>
    </row>
    <row r="486" spans="2:18" x14ac:dyDescent="0.3">
      <c r="M486" s="39"/>
      <c r="N486" s="39"/>
      <c r="O486" s="40"/>
      <c r="P486" s="41"/>
      <c r="R486" s="41"/>
    </row>
    <row r="487" spans="2:18" x14ac:dyDescent="0.3">
      <c r="M487" s="39"/>
      <c r="N487" s="39"/>
      <c r="O487" s="40"/>
      <c r="P487" s="41"/>
      <c r="R487" s="41"/>
    </row>
    <row r="488" spans="2:18" x14ac:dyDescent="0.3">
      <c r="M488" s="39"/>
      <c r="N488" s="39"/>
      <c r="O488" s="40"/>
      <c r="P488" s="41"/>
      <c r="R488" s="41"/>
    </row>
    <row r="489" spans="2:18" x14ac:dyDescent="0.3">
      <c r="M489" s="39"/>
      <c r="N489" s="39"/>
      <c r="O489" s="40"/>
      <c r="P489" s="41"/>
      <c r="R489" s="41"/>
    </row>
    <row r="490" spans="2:18" x14ac:dyDescent="0.3">
      <c r="M490" s="39"/>
      <c r="N490" s="39"/>
      <c r="O490" s="40"/>
      <c r="P490" s="41"/>
      <c r="R490" s="41"/>
    </row>
    <row r="491" spans="2:18" x14ac:dyDescent="0.3">
      <c r="M491" s="39"/>
      <c r="N491" s="39"/>
      <c r="O491" s="40"/>
      <c r="P491" s="41"/>
      <c r="R491" s="41"/>
    </row>
    <row r="492" spans="2:18" x14ac:dyDescent="0.3">
      <c r="M492" s="39"/>
      <c r="N492" s="39"/>
      <c r="O492" s="40"/>
      <c r="P492" s="41"/>
      <c r="R492" s="41"/>
    </row>
    <row r="493" spans="2:18" x14ac:dyDescent="0.3">
      <c r="M493" s="39"/>
      <c r="N493" s="39"/>
      <c r="O493" s="40"/>
      <c r="P493" s="41"/>
      <c r="R493" s="41"/>
    </row>
    <row r="494" spans="2:18" x14ac:dyDescent="0.3">
      <c r="M494" s="39"/>
      <c r="N494" s="39"/>
      <c r="O494" s="40"/>
      <c r="P494" s="41"/>
      <c r="R494" s="41"/>
    </row>
    <row r="495" spans="2:18" x14ac:dyDescent="0.3">
      <c r="M495" s="39"/>
      <c r="N495" s="39"/>
      <c r="O495" s="40"/>
      <c r="P495" s="41"/>
      <c r="R495" s="41"/>
    </row>
    <row r="496" spans="2:18" x14ac:dyDescent="0.3">
      <c r="M496" s="39"/>
      <c r="N496" s="39"/>
      <c r="O496" s="40"/>
      <c r="P496" s="41"/>
      <c r="R496" s="41"/>
    </row>
    <row r="497" spans="13:18" x14ac:dyDescent="0.3">
      <c r="M497" s="39"/>
      <c r="N497" s="39"/>
      <c r="O497" s="40"/>
      <c r="P497" s="41"/>
      <c r="R497" s="41"/>
    </row>
    <row r="498" spans="13:18" x14ac:dyDescent="0.3">
      <c r="M498" s="39"/>
      <c r="N498" s="39"/>
      <c r="O498" s="40"/>
      <c r="P498" s="41"/>
      <c r="R498" s="41"/>
    </row>
    <row r="499" spans="13:18" x14ac:dyDescent="0.3">
      <c r="M499" s="39"/>
      <c r="N499" s="39"/>
      <c r="O499" s="40"/>
      <c r="P499" s="41"/>
      <c r="R499" s="41"/>
    </row>
    <row r="500" spans="13:18" x14ac:dyDescent="0.3">
      <c r="M500" s="39"/>
      <c r="N500" s="39"/>
      <c r="O500" s="40"/>
      <c r="P500" s="41"/>
      <c r="R500" s="41"/>
    </row>
    <row r="501" spans="13:18" x14ac:dyDescent="0.3">
      <c r="M501" s="39"/>
      <c r="N501" s="39"/>
      <c r="O501" s="40"/>
      <c r="P501" s="41"/>
      <c r="R501" s="41"/>
    </row>
    <row r="502" spans="13:18" x14ac:dyDescent="0.3">
      <c r="M502" s="39"/>
      <c r="N502" s="39"/>
      <c r="O502" s="40"/>
      <c r="P502" s="41"/>
      <c r="R502" s="41"/>
    </row>
    <row r="503" spans="13:18" x14ac:dyDescent="0.3">
      <c r="M503" s="39"/>
      <c r="N503" s="39"/>
      <c r="O503" s="40"/>
      <c r="P503" s="41"/>
      <c r="R503" s="41"/>
    </row>
    <row r="504" spans="13:18" x14ac:dyDescent="0.3">
      <c r="M504" s="39"/>
      <c r="N504" s="39"/>
      <c r="O504" s="40"/>
      <c r="P504" s="41"/>
      <c r="R504" s="41"/>
    </row>
    <row r="505" spans="13:18" x14ac:dyDescent="0.3">
      <c r="M505" s="39"/>
      <c r="N505" s="39"/>
      <c r="O505" s="40"/>
      <c r="P505" s="41"/>
      <c r="R505" s="41"/>
    </row>
    <row r="506" spans="13:18" x14ac:dyDescent="0.3">
      <c r="M506" s="39"/>
      <c r="N506" s="39"/>
      <c r="O506" s="40"/>
      <c r="P506" s="41"/>
      <c r="R506" s="41"/>
    </row>
    <row r="507" spans="13:18" x14ac:dyDescent="0.3">
      <c r="M507" s="39"/>
      <c r="N507" s="39"/>
      <c r="O507" s="40"/>
      <c r="P507" s="41"/>
      <c r="R507" s="41"/>
    </row>
    <row r="508" spans="13:18" x14ac:dyDescent="0.3">
      <c r="M508" s="39"/>
      <c r="N508" s="39"/>
      <c r="O508" s="40"/>
      <c r="P508" s="41"/>
      <c r="R508" s="41"/>
    </row>
    <row r="509" spans="13:18" x14ac:dyDescent="0.3">
      <c r="M509" s="39"/>
      <c r="N509" s="39"/>
      <c r="O509" s="40"/>
      <c r="P509" s="41"/>
      <c r="R509" s="41"/>
    </row>
    <row r="510" spans="13:18" x14ac:dyDescent="0.3">
      <c r="M510" s="39"/>
      <c r="N510" s="39"/>
      <c r="O510" s="40"/>
      <c r="P510" s="41"/>
      <c r="R510" s="41"/>
    </row>
    <row r="511" spans="13:18" x14ac:dyDescent="0.3">
      <c r="M511" s="39"/>
      <c r="N511" s="39"/>
      <c r="O511" s="40"/>
      <c r="P511" s="41"/>
      <c r="R511" s="41"/>
    </row>
    <row r="512" spans="13:18" x14ac:dyDescent="0.3">
      <c r="M512" s="39"/>
      <c r="N512" s="39"/>
      <c r="O512" s="40"/>
      <c r="P512" s="41"/>
      <c r="R512" s="41"/>
    </row>
    <row r="513" spans="13:18" x14ac:dyDescent="0.3">
      <c r="M513" s="39"/>
      <c r="N513" s="39"/>
      <c r="O513" s="40"/>
      <c r="P513" s="41"/>
      <c r="R513" s="41"/>
    </row>
    <row r="514" spans="13:18" x14ac:dyDescent="0.3">
      <c r="M514" s="39"/>
      <c r="N514" s="39"/>
      <c r="O514" s="40"/>
      <c r="P514" s="41"/>
      <c r="R514" s="41"/>
    </row>
    <row r="515" spans="13:18" x14ac:dyDescent="0.3">
      <c r="M515" s="39"/>
      <c r="N515" s="39"/>
      <c r="O515" s="40"/>
      <c r="P515" s="41"/>
      <c r="R515" s="41"/>
    </row>
    <row r="516" spans="13:18" x14ac:dyDescent="0.3">
      <c r="M516" s="39"/>
      <c r="N516" s="39"/>
      <c r="O516" s="40"/>
      <c r="P516" s="41"/>
      <c r="R516" s="41"/>
    </row>
    <row r="517" spans="13:18" x14ac:dyDescent="0.3">
      <c r="M517" s="39"/>
      <c r="N517" s="39"/>
      <c r="O517" s="40"/>
      <c r="P517" s="41"/>
      <c r="R517" s="41"/>
    </row>
    <row r="518" spans="13:18" x14ac:dyDescent="0.3">
      <c r="M518" s="39"/>
      <c r="N518" s="39"/>
      <c r="O518" s="40"/>
      <c r="P518" s="41"/>
      <c r="R518" s="41"/>
    </row>
    <row r="519" spans="13:18" x14ac:dyDescent="0.3">
      <c r="M519" s="39"/>
      <c r="N519" s="39"/>
      <c r="O519" s="40"/>
      <c r="P519" s="41"/>
      <c r="R519" s="41"/>
    </row>
    <row r="520" spans="13:18" x14ac:dyDescent="0.3">
      <c r="M520" s="39"/>
      <c r="N520" s="39"/>
      <c r="O520" s="40"/>
      <c r="P520" s="41"/>
      <c r="R520" s="41"/>
    </row>
    <row r="521" spans="13:18" x14ac:dyDescent="0.3">
      <c r="M521" s="39"/>
      <c r="N521" s="39"/>
      <c r="O521" s="40"/>
      <c r="P521" s="41"/>
      <c r="R521" s="41"/>
    </row>
    <row r="522" spans="13:18" x14ac:dyDescent="0.3">
      <c r="M522" s="39"/>
      <c r="N522" s="39"/>
      <c r="O522" s="40"/>
      <c r="P522" s="41"/>
      <c r="R522" s="41"/>
    </row>
    <row r="523" spans="13:18" x14ac:dyDescent="0.3">
      <c r="M523" s="39"/>
      <c r="N523" s="39"/>
      <c r="O523" s="40"/>
      <c r="P523" s="41"/>
      <c r="R523" s="41"/>
    </row>
    <row r="524" spans="13:18" x14ac:dyDescent="0.3">
      <c r="M524" s="39"/>
      <c r="N524" s="39"/>
      <c r="O524" s="40"/>
      <c r="P524" s="41"/>
      <c r="R524" s="41"/>
    </row>
    <row r="525" spans="13:18" x14ac:dyDescent="0.3">
      <c r="M525" s="39"/>
      <c r="N525" s="39"/>
      <c r="O525" s="40"/>
      <c r="P525" s="41"/>
      <c r="R525" s="41"/>
    </row>
    <row r="526" spans="13:18" x14ac:dyDescent="0.3">
      <c r="M526" s="39"/>
      <c r="N526" s="39"/>
      <c r="O526" s="40"/>
      <c r="P526" s="41"/>
      <c r="R526" s="41"/>
    </row>
    <row r="527" spans="13:18" x14ac:dyDescent="0.3">
      <c r="M527" s="39"/>
      <c r="N527" s="39"/>
      <c r="O527" s="40"/>
      <c r="P527" s="41"/>
      <c r="R527" s="41"/>
    </row>
    <row r="528" spans="13:18" x14ac:dyDescent="0.3">
      <c r="M528" s="39"/>
      <c r="N528" s="39"/>
      <c r="O528" s="40"/>
      <c r="P528" s="41"/>
      <c r="R528" s="41"/>
    </row>
    <row r="529" spans="13:18" x14ac:dyDescent="0.3">
      <c r="M529" s="39"/>
      <c r="N529" s="39"/>
      <c r="O529" s="40"/>
      <c r="P529" s="41"/>
      <c r="R529" s="41"/>
    </row>
    <row r="530" spans="13:18" x14ac:dyDescent="0.3">
      <c r="M530" s="39"/>
      <c r="N530" s="39"/>
      <c r="O530" s="40"/>
      <c r="P530" s="41"/>
      <c r="R530" s="41"/>
    </row>
    <row r="531" spans="13:18" x14ac:dyDescent="0.3">
      <c r="M531" s="39"/>
      <c r="N531" s="39"/>
      <c r="O531" s="40"/>
      <c r="P531" s="41"/>
      <c r="R531" s="41"/>
    </row>
    <row r="532" spans="13:18" x14ac:dyDescent="0.3">
      <c r="M532" s="39"/>
      <c r="N532" s="39"/>
      <c r="O532" s="40"/>
      <c r="P532" s="41"/>
      <c r="R532" s="41"/>
    </row>
    <row r="533" spans="13:18" x14ac:dyDescent="0.3">
      <c r="M533" s="39"/>
      <c r="N533" s="39"/>
      <c r="O533" s="40"/>
      <c r="P533" s="41"/>
      <c r="R533" s="41"/>
    </row>
    <row r="534" spans="13:18" x14ac:dyDescent="0.3">
      <c r="M534" s="39"/>
      <c r="N534" s="39"/>
      <c r="O534" s="40"/>
      <c r="P534" s="41"/>
      <c r="R534" s="41"/>
    </row>
    <row r="535" spans="13:18" x14ac:dyDescent="0.3">
      <c r="M535" s="39"/>
      <c r="N535" s="39"/>
      <c r="O535" s="40"/>
      <c r="P535" s="41"/>
      <c r="R535" s="41"/>
    </row>
    <row r="536" spans="13:18" x14ac:dyDescent="0.3">
      <c r="M536" s="39"/>
      <c r="N536" s="39"/>
      <c r="O536" s="40"/>
      <c r="P536" s="41"/>
      <c r="R536" s="41"/>
    </row>
    <row r="537" spans="13:18" x14ac:dyDescent="0.3">
      <c r="M537" s="39"/>
      <c r="N537" s="39"/>
      <c r="O537" s="40"/>
      <c r="P537" s="41"/>
      <c r="R537" s="41"/>
    </row>
    <row r="538" spans="13:18" x14ac:dyDescent="0.3">
      <c r="M538" s="39"/>
      <c r="N538" s="39"/>
      <c r="O538" s="40"/>
      <c r="P538" s="41"/>
      <c r="R538" s="41"/>
    </row>
    <row r="539" spans="13:18" x14ac:dyDescent="0.3">
      <c r="M539" s="39"/>
      <c r="N539" s="39"/>
      <c r="O539" s="40"/>
      <c r="P539" s="41"/>
      <c r="R539" s="41"/>
    </row>
    <row r="540" spans="13:18" x14ac:dyDescent="0.3">
      <c r="M540" s="39"/>
      <c r="N540" s="39"/>
      <c r="O540" s="40"/>
      <c r="P540" s="41"/>
      <c r="R540" s="41"/>
    </row>
    <row r="541" spans="13:18" x14ac:dyDescent="0.3">
      <c r="M541" s="39"/>
      <c r="N541" s="39"/>
      <c r="O541" s="40"/>
      <c r="P541" s="41"/>
      <c r="R541" s="41"/>
    </row>
    <row r="542" spans="13:18" x14ac:dyDescent="0.3">
      <c r="M542" s="39"/>
      <c r="N542" s="39"/>
      <c r="O542" s="40"/>
      <c r="P542" s="41"/>
      <c r="R542" s="41"/>
    </row>
    <row r="543" spans="13:18" x14ac:dyDescent="0.3">
      <c r="M543" s="39"/>
      <c r="N543" s="39"/>
      <c r="O543" s="40"/>
      <c r="P543" s="41"/>
      <c r="R543" s="41"/>
    </row>
    <row r="544" spans="13:18" x14ac:dyDescent="0.3">
      <c r="M544" s="39"/>
      <c r="N544" s="39"/>
      <c r="O544" s="40"/>
      <c r="P544" s="41"/>
      <c r="R544" s="41"/>
    </row>
    <row r="545" spans="13:18" x14ac:dyDescent="0.3">
      <c r="M545" s="39"/>
      <c r="N545" s="39"/>
      <c r="O545" s="40"/>
      <c r="P545" s="41"/>
      <c r="R545" s="41"/>
    </row>
    <row r="546" spans="13:18" x14ac:dyDescent="0.3">
      <c r="M546" s="39"/>
      <c r="N546" s="39"/>
      <c r="O546" s="40"/>
      <c r="P546" s="41"/>
      <c r="R546" s="41"/>
    </row>
    <row r="547" spans="13:18" x14ac:dyDescent="0.3">
      <c r="M547" s="39"/>
      <c r="N547" s="39"/>
      <c r="O547" s="40"/>
      <c r="P547" s="41"/>
      <c r="R547" s="41"/>
    </row>
    <row r="548" spans="13:18" x14ac:dyDescent="0.3">
      <c r="M548" s="39"/>
      <c r="N548" s="39"/>
      <c r="O548" s="40"/>
      <c r="P548" s="41"/>
      <c r="R548" s="41"/>
    </row>
    <row r="549" spans="13:18" x14ac:dyDescent="0.3">
      <c r="M549" s="39"/>
      <c r="N549" s="39"/>
      <c r="O549" s="40"/>
      <c r="P549" s="41"/>
      <c r="R549" s="41"/>
    </row>
    <row r="550" spans="13:18" x14ac:dyDescent="0.3">
      <c r="M550" s="39"/>
      <c r="N550" s="39"/>
      <c r="O550" s="40"/>
      <c r="P550" s="41"/>
      <c r="R550" s="41"/>
    </row>
    <row r="551" spans="13:18" x14ac:dyDescent="0.3">
      <c r="M551" s="39"/>
      <c r="N551" s="39"/>
      <c r="O551" s="40"/>
      <c r="P551" s="41"/>
      <c r="R551" s="41"/>
    </row>
    <row r="552" spans="13:18" x14ac:dyDescent="0.3">
      <c r="M552" s="39"/>
      <c r="N552" s="39"/>
      <c r="O552" s="40"/>
      <c r="P552" s="41"/>
      <c r="R552" s="41"/>
    </row>
    <row r="553" spans="13:18" x14ac:dyDescent="0.3">
      <c r="M553" s="39"/>
      <c r="N553" s="39"/>
      <c r="O553" s="40"/>
      <c r="P553" s="41"/>
      <c r="R553" s="41"/>
    </row>
    <row r="554" spans="13:18" x14ac:dyDescent="0.3">
      <c r="M554" s="39"/>
      <c r="N554" s="39"/>
      <c r="O554" s="40"/>
      <c r="P554" s="41"/>
      <c r="R554" s="41"/>
    </row>
    <row r="555" spans="13:18" x14ac:dyDescent="0.3">
      <c r="M555" s="39"/>
      <c r="N555" s="39"/>
      <c r="O555" s="40"/>
      <c r="P555" s="41"/>
      <c r="R555" s="41"/>
    </row>
    <row r="556" spans="13:18" x14ac:dyDescent="0.3">
      <c r="M556" s="39"/>
      <c r="N556" s="39"/>
      <c r="O556" s="40"/>
      <c r="P556" s="41"/>
      <c r="R556" s="41"/>
    </row>
    <row r="557" spans="13:18" x14ac:dyDescent="0.3">
      <c r="M557" s="39"/>
      <c r="N557" s="39"/>
      <c r="O557" s="40"/>
      <c r="P557" s="41"/>
      <c r="R557" s="41"/>
    </row>
    <row r="558" spans="13:18" x14ac:dyDescent="0.3">
      <c r="M558" s="39"/>
      <c r="N558" s="39"/>
      <c r="O558" s="40"/>
      <c r="P558" s="41"/>
      <c r="R558" s="41"/>
    </row>
    <row r="559" spans="13:18" x14ac:dyDescent="0.3">
      <c r="M559" s="39"/>
      <c r="N559" s="39"/>
      <c r="O559" s="40"/>
      <c r="P559" s="41"/>
      <c r="R559" s="41"/>
    </row>
    <row r="560" spans="13:18" x14ac:dyDescent="0.3">
      <c r="M560" s="39"/>
      <c r="N560" s="39"/>
      <c r="O560" s="40"/>
      <c r="P560" s="41"/>
      <c r="R560" s="41"/>
    </row>
    <row r="561" spans="13:18" x14ac:dyDescent="0.3">
      <c r="M561" s="39"/>
      <c r="N561" s="39"/>
      <c r="O561" s="40"/>
      <c r="P561" s="41"/>
      <c r="R561" s="41"/>
    </row>
    <row r="562" spans="13:18" x14ac:dyDescent="0.3">
      <c r="M562" s="39"/>
      <c r="N562" s="39"/>
      <c r="O562" s="40"/>
      <c r="P562" s="41"/>
      <c r="R562" s="41"/>
    </row>
    <row r="563" spans="13:18" x14ac:dyDescent="0.3">
      <c r="M563" s="39"/>
      <c r="N563" s="39"/>
      <c r="O563" s="40"/>
      <c r="P563" s="41"/>
      <c r="R563" s="41"/>
    </row>
    <row r="564" spans="13:18" x14ac:dyDescent="0.3">
      <c r="M564" s="39"/>
      <c r="N564" s="39"/>
      <c r="O564" s="40"/>
      <c r="P564" s="41"/>
      <c r="R564" s="41"/>
    </row>
    <row r="565" spans="13:18" x14ac:dyDescent="0.3">
      <c r="M565" s="39"/>
      <c r="N565" s="39"/>
      <c r="O565" s="40"/>
      <c r="P565" s="41"/>
      <c r="R565" s="41"/>
    </row>
    <row r="566" spans="13:18" x14ac:dyDescent="0.3">
      <c r="M566" s="39"/>
      <c r="N566" s="39"/>
      <c r="O566" s="40"/>
      <c r="P566" s="41"/>
      <c r="R566" s="41"/>
    </row>
    <row r="567" spans="13:18" x14ac:dyDescent="0.3">
      <c r="M567" s="39"/>
      <c r="N567" s="39"/>
      <c r="O567" s="40"/>
      <c r="P567" s="41"/>
      <c r="R567" s="41"/>
    </row>
    <row r="568" spans="13:18" x14ac:dyDescent="0.3">
      <c r="M568" s="39"/>
      <c r="N568" s="39"/>
      <c r="O568" s="40"/>
      <c r="P568" s="41"/>
      <c r="R568" s="41"/>
    </row>
    <row r="569" spans="13:18" x14ac:dyDescent="0.3">
      <c r="M569" s="39"/>
      <c r="N569" s="39"/>
      <c r="O569" s="40"/>
      <c r="P569" s="41"/>
      <c r="R569" s="41"/>
    </row>
    <row r="570" spans="13:18" x14ac:dyDescent="0.3">
      <c r="M570" s="39"/>
      <c r="N570" s="39"/>
      <c r="O570" s="40"/>
      <c r="P570" s="41"/>
      <c r="R570" s="41"/>
    </row>
    <row r="571" spans="13:18" x14ac:dyDescent="0.3">
      <c r="M571" s="39"/>
      <c r="N571" s="39"/>
      <c r="O571" s="40"/>
      <c r="P571" s="41"/>
      <c r="R571" s="41"/>
    </row>
    <row r="572" spans="13:18" x14ac:dyDescent="0.3">
      <c r="M572" s="39"/>
      <c r="N572" s="39"/>
      <c r="O572" s="40"/>
      <c r="P572" s="41"/>
      <c r="R572" s="41"/>
    </row>
    <row r="573" spans="13:18" x14ac:dyDescent="0.3">
      <c r="M573" s="39"/>
      <c r="N573" s="39"/>
      <c r="O573" s="40"/>
      <c r="P573" s="41"/>
      <c r="R573" s="41"/>
    </row>
    <row r="574" spans="13:18" x14ac:dyDescent="0.3">
      <c r="M574" s="39"/>
      <c r="N574" s="39"/>
      <c r="O574" s="40"/>
      <c r="P574" s="41"/>
      <c r="R574" s="41"/>
    </row>
    <row r="575" spans="13:18" x14ac:dyDescent="0.3">
      <c r="M575" s="39"/>
      <c r="N575" s="39"/>
      <c r="O575" s="40"/>
      <c r="P575" s="41"/>
      <c r="R575" s="41"/>
    </row>
    <row r="576" spans="13:18" x14ac:dyDescent="0.3">
      <c r="M576" s="39"/>
      <c r="N576" s="39"/>
      <c r="O576" s="40"/>
      <c r="P576" s="41"/>
      <c r="R576" s="41"/>
    </row>
    <row r="577" spans="13:18" x14ac:dyDescent="0.3">
      <c r="M577" s="39"/>
      <c r="N577" s="39"/>
      <c r="O577" s="40"/>
      <c r="P577" s="41"/>
      <c r="R577" s="41"/>
    </row>
    <row r="578" spans="13:18" x14ac:dyDescent="0.3">
      <c r="M578" s="39"/>
      <c r="N578" s="39"/>
      <c r="O578" s="40"/>
      <c r="P578" s="41"/>
      <c r="R578" s="41"/>
    </row>
    <row r="579" spans="13:18" x14ac:dyDescent="0.3">
      <c r="M579" s="39"/>
      <c r="N579" s="39"/>
      <c r="O579" s="40"/>
      <c r="P579" s="41"/>
      <c r="R579" s="41"/>
    </row>
    <row r="580" spans="13:18" x14ac:dyDescent="0.3">
      <c r="M580" s="39"/>
      <c r="N580" s="39"/>
      <c r="O580" s="40"/>
      <c r="P580" s="41"/>
      <c r="R580" s="41"/>
    </row>
    <row r="581" spans="13:18" x14ac:dyDescent="0.3">
      <c r="M581" s="39"/>
      <c r="N581" s="39"/>
      <c r="O581" s="40"/>
      <c r="P581" s="41"/>
      <c r="R581" s="41"/>
    </row>
    <row r="582" spans="13:18" x14ac:dyDescent="0.3">
      <c r="M582" s="39"/>
      <c r="N582" s="39"/>
      <c r="O582" s="40"/>
      <c r="P582" s="41"/>
      <c r="R582" s="41"/>
    </row>
    <row r="583" spans="13:18" x14ac:dyDescent="0.3">
      <c r="M583" s="39"/>
      <c r="N583" s="39"/>
      <c r="O583" s="40"/>
      <c r="P583" s="41"/>
      <c r="R583" s="41"/>
    </row>
    <row r="584" spans="13:18" x14ac:dyDescent="0.3">
      <c r="M584" s="39"/>
      <c r="N584" s="39"/>
      <c r="O584" s="40"/>
      <c r="P584" s="41"/>
      <c r="R584" s="41"/>
    </row>
    <row r="585" spans="13:18" x14ac:dyDescent="0.3">
      <c r="M585" s="39"/>
      <c r="N585" s="39"/>
      <c r="O585" s="40"/>
      <c r="P585" s="41"/>
      <c r="R585" s="41"/>
    </row>
    <row r="586" spans="13:18" x14ac:dyDescent="0.3">
      <c r="M586" s="39"/>
      <c r="N586" s="39"/>
      <c r="O586" s="40"/>
      <c r="P586" s="41"/>
      <c r="R586" s="41"/>
    </row>
    <row r="587" spans="13:18" x14ac:dyDescent="0.3">
      <c r="M587" s="39"/>
      <c r="N587" s="39"/>
      <c r="O587" s="40"/>
      <c r="P587" s="41"/>
      <c r="R587" s="41"/>
    </row>
    <row r="588" spans="13:18" x14ac:dyDescent="0.3">
      <c r="M588" s="39"/>
      <c r="N588" s="39"/>
      <c r="O588" s="40"/>
      <c r="P588" s="41"/>
      <c r="R588" s="41"/>
    </row>
    <row r="589" spans="13:18" x14ac:dyDescent="0.3">
      <c r="M589" s="39"/>
      <c r="N589" s="39"/>
      <c r="O589" s="40"/>
      <c r="P589" s="41"/>
      <c r="R589" s="41"/>
    </row>
    <row r="590" spans="13:18" x14ac:dyDescent="0.3">
      <c r="M590" s="39"/>
      <c r="N590" s="39"/>
      <c r="O590" s="40"/>
      <c r="P590" s="41"/>
      <c r="R590" s="41"/>
    </row>
    <row r="591" spans="13:18" x14ac:dyDescent="0.3">
      <c r="M591" s="39"/>
      <c r="N591" s="39"/>
      <c r="O591" s="40"/>
      <c r="P591" s="41"/>
      <c r="R591" s="41"/>
    </row>
    <row r="592" spans="13:18" x14ac:dyDescent="0.3">
      <c r="M592" s="39"/>
      <c r="N592" s="39"/>
      <c r="O592" s="40"/>
      <c r="P592" s="41"/>
      <c r="R592" s="41"/>
    </row>
    <row r="593" spans="13:18" x14ac:dyDescent="0.3">
      <c r="M593" s="39"/>
      <c r="N593" s="39"/>
      <c r="O593" s="40"/>
      <c r="P593" s="41"/>
      <c r="R593" s="41"/>
    </row>
    <row r="594" spans="13:18" x14ac:dyDescent="0.3">
      <c r="M594" s="39"/>
      <c r="N594" s="39"/>
      <c r="O594" s="40"/>
      <c r="P594" s="41"/>
      <c r="R594" s="41"/>
    </row>
    <row r="595" spans="13:18" x14ac:dyDescent="0.3">
      <c r="M595" s="39"/>
      <c r="N595" s="39"/>
      <c r="O595" s="40"/>
      <c r="P595" s="41"/>
      <c r="R595" s="41"/>
    </row>
    <row r="596" spans="13:18" x14ac:dyDescent="0.3">
      <c r="M596" s="39"/>
      <c r="N596" s="39"/>
      <c r="O596" s="40"/>
      <c r="P596" s="41"/>
      <c r="R596" s="41"/>
    </row>
    <row r="597" spans="13:18" x14ac:dyDescent="0.3">
      <c r="M597" s="39"/>
      <c r="N597" s="39"/>
      <c r="O597" s="40"/>
      <c r="P597" s="41"/>
      <c r="R597" s="41"/>
    </row>
    <row r="598" spans="13:18" x14ac:dyDescent="0.3">
      <c r="M598" s="39"/>
      <c r="N598" s="39"/>
      <c r="O598" s="40"/>
      <c r="P598" s="41"/>
      <c r="R598" s="41"/>
    </row>
    <row r="599" spans="13:18" x14ac:dyDescent="0.3">
      <c r="M599" s="39"/>
      <c r="N599" s="39"/>
      <c r="O599" s="40"/>
      <c r="P599" s="41"/>
      <c r="R599" s="41"/>
    </row>
    <row r="600" spans="13:18" x14ac:dyDescent="0.3">
      <c r="M600" s="39"/>
      <c r="N600" s="39"/>
      <c r="O600" s="40"/>
      <c r="P600" s="41"/>
      <c r="R600" s="41"/>
    </row>
    <row r="601" spans="13:18" x14ac:dyDescent="0.3">
      <c r="M601" s="39"/>
      <c r="N601" s="39"/>
      <c r="O601" s="40"/>
      <c r="P601" s="41"/>
      <c r="R601" s="41"/>
    </row>
    <row r="602" spans="13:18" x14ac:dyDescent="0.3">
      <c r="M602" s="39"/>
      <c r="N602" s="39"/>
      <c r="O602" s="40"/>
      <c r="P602" s="41"/>
      <c r="R602" s="41"/>
    </row>
    <row r="603" spans="13:18" x14ac:dyDescent="0.3">
      <c r="M603" s="39"/>
      <c r="N603" s="39"/>
      <c r="O603" s="40"/>
      <c r="P603" s="41"/>
      <c r="R603" s="41"/>
    </row>
    <row r="604" spans="13:18" x14ac:dyDescent="0.3">
      <c r="M604" s="39"/>
      <c r="N604" s="39"/>
      <c r="O604" s="40"/>
      <c r="P604" s="41"/>
      <c r="R604" s="41"/>
    </row>
    <row r="605" spans="13:18" x14ac:dyDescent="0.3">
      <c r="M605" s="39"/>
      <c r="N605" s="39"/>
      <c r="O605" s="40"/>
      <c r="P605" s="41"/>
      <c r="R605" s="41"/>
    </row>
    <row r="606" spans="13:18" x14ac:dyDescent="0.3">
      <c r="M606" s="39"/>
      <c r="N606" s="39"/>
      <c r="O606" s="40"/>
      <c r="P606" s="41"/>
      <c r="R606" s="41"/>
    </row>
    <row r="607" spans="13:18" x14ac:dyDescent="0.3">
      <c r="M607" s="39"/>
      <c r="N607" s="39"/>
      <c r="O607" s="40"/>
      <c r="P607" s="41"/>
      <c r="R607" s="41"/>
    </row>
    <row r="608" spans="13:18" x14ac:dyDescent="0.3">
      <c r="M608" s="39"/>
      <c r="N608" s="39"/>
      <c r="O608" s="40"/>
      <c r="P608" s="41"/>
      <c r="R608" s="41"/>
    </row>
    <row r="609" spans="13:18" x14ac:dyDescent="0.3">
      <c r="M609" s="39"/>
      <c r="N609" s="39"/>
      <c r="O609" s="40"/>
      <c r="P609" s="41"/>
      <c r="R609" s="41"/>
    </row>
    <row r="610" spans="13:18" x14ac:dyDescent="0.3">
      <c r="M610" s="39"/>
      <c r="N610" s="39"/>
      <c r="O610" s="40"/>
      <c r="P610" s="41"/>
      <c r="R610" s="41"/>
    </row>
    <row r="611" spans="13:18" x14ac:dyDescent="0.3">
      <c r="M611" s="39"/>
      <c r="N611" s="39"/>
      <c r="O611" s="40"/>
      <c r="P611" s="41"/>
      <c r="R611" s="41"/>
    </row>
    <row r="612" spans="13:18" x14ac:dyDescent="0.3">
      <c r="M612" s="39"/>
      <c r="N612" s="39"/>
      <c r="O612" s="40"/>
      <c r="P612" s="41"/>
      <c r="R612" s="41"/>
    </row>
    <row r="613" spans="13:18" x14ac:dyDescent="0.3">
      <c r="M613" s="39"/>
      <c r="N613" s="39"/>
      <c r="O613" s="40"/>
      <c r="P613" s="41"/>
      <c r="R613" s="41"/>
    </row>
    <row r="614" spans="13:18" x14ac:dyDescent="0.3">
      <c r="M614" s="39"/>
      <c r="N614" s="39"/>
      <c r="O614" s="40"/>
      <c r="P614" s="41"/>
      <c r="R614" s="41"/>
    </row>
    <row r="615" spans="13:18" x14ac:dyDescent="0.3">
      <c r="M615" s="39"/>
      <c r="N615" s="39"/>
      <c r="O615" s="40"/>
      <c r="P615" s="41"/>
      <c r="R615" s="41"/>
    </row>
    <row r="616" spans="13:18" x14ac:dyDescent="0.3">
      <c r="M616" s="39"/>
      <c r="N616" s="39"/>
      <c r="O616" s="40"/>
      <c r="P616" s="41"/>
      <c r="R616" s="41"/>
    </row>
    <row r="617" spans="13:18" x14ac:dyDescent="0.3">
      <c r="M617" s="39"/>
      <c r="N617" s="39"/>
      <c r="O617" s="40"/>
      <c r="P617" s="41"/>
      <c r="R617" s="41"/>
    </row>
    <row r="618" spans="13:18" x14ac:dyDescent="0.3">
      <c r="M618" s="39"/>
      <c r="N618" s="39"/>
      <c r="O618" s="40"/>
      <c r="P618" s="41"/>
      <c r="R618" s="41"/>
    </row>
    <row r="619" spans="13:18" x14ac:dyDescent="0.3">
      <c r="M619" s="39"/>
      <c r="N619" s="39"/>
      <c r="O619" s="40"/>
      <c r="P619" s="41"/>
      <c r="R619" s="41"/>
    </row>
    <row r="620" spans="13:18" x14ac:dyDescent="0.3">
      <c r="M620" s="39"/>
      <c r="N620" s="39"/>
      <c r="O620" s="40"/>
      <c r="P620" s="41"/>
      <c r="R620" s="41"/>
    </row>
    <row r="621" spans="13:18" x14ac:dyDescent="0.3">
      <c r="M621" s="39"/>
      <c r="N621" s="39"/>
      <c r="O621" s="40"/>
      <c r="P621" s="41"/>
      <c r="R621" s="41"/>
    </row>
    <row r="622" spans="13:18" x14ac:dyDescent="0.3">
      <c r="M622" s="39"/>
      <c r="N622" s="39"/>
      <c r="O622" s="40"/>
      <c r="P622" s="41"/>
      <c r="R622" s="41"/>
    </row>
    <row r="623" spans="13:18" x14ac:dyDescent="0.3">
      <c r="M623" s="39"/>
      <c r="N623" s="39"/>
      <c r="O623" s="40"/>
      <c r="P623" s="41"/>
      <c r="R623" s="41"/>
    </row>
    <row r="624" spans="13:18" x14ac:dyDescent="0.3">
      <c r="M624" s="39"/>
      <c r="N624" s="39"/>
      <c r="O624" s="40"/>
      <c r="P624" s="41"/>
      <c r="R624" s="41"/>
    </row>
    <row r="625" spans="13:18" x14ac:dyDescent="0.3">
      <c r="M625" s="39"/>
      <c r="N625" s="39"/>
      <c r="O625" s="40"/>
      <c r="P625" s="41"/>
      <c r="R625" s="41"/>
    </row>
    <row r="626" spans="13:18" x14ac:dyDescent="0.3">
      <c r="M626" s="39"/>
      <c r="N626" s="39"/>
      <c r="O626" s="40"/>
      <c r="P626" s="41"/>
      <c r="R626" s="41"/>
    </row>
    <row r="627" spans="13:18" x14ac:dyDescent="0.3">
      <c r="M627" s="39"/>
      <c r="N627" s="39"/>
      <c r="O627" s="40"/>
      <c r="P627" s="41"/>
      <c r="R627" s="41"/>
    </row>
    <row r="628" spans="13:18" x14ac:dyDescent="0.3">
      <c r="M628" s="39"/>
      <c r="N628" s="39"/>
      <c r="O628" s="40"/>
      <c r="P628" s="41"/>
      <c r="R628" s="41"/>
    </row>
    <row r="629" spans="13:18" x14ac:dyDescent="0.3">
      <c r="M629" s="39"/>
      <c r="N629" s="39"/>
      <c r="O629" s="40"/>
      <c r="P629" s="41"/>
      <c r="R629" s="41"/>
    </row>
    <row r="630" spans="13:18" x14ac:dyDescent="0.3">
      <c r="M630" s="39"/>
      <c r="N630" s="39"/>
      <c r="O630" s="40"/>
      <c r="P630" s="41"/>
      <c r="R630" s="41"/>
    </row>
    <row r="631" spans="13:18" x14ac:dyDescent="0.3">
      <c r="M631" s="39"/>
      <c r="N631" s="39"/>
      <c r="O631" s="40"/>
      <c r="P631" s="41"/>
      <c r="R631" s="41"/>
    </row>
    <row r="632" spans="13:18" x14ac:dyDescent="0.3">
      <c r="M632" s="39"/>
      <c r="N632" s="39"/>
      <c r="O632" s="40"/>
      <c r="P632" s="41"/>
      <c r="R632" s="41"/>
    </row>
    <row r="633" spans="13:18" x14ac:dyDescent="0.3">
      <c r="M633" s="39"/>
      <c r="N633" s="39"/>
      <c r="O633" s="40"/>
      <c r="P633" s="41"/>
      <c r="R633" s="41"/>
    </row>
    <row r="634" spans="13:18" x14ac:dyDescent="0.3">
      <c r="M634" s="39"/>
      <c r="N634" s="39"/>
      <c r="O634" s="40"/>
      <c r="P634" s="41"/>
      <c r="R634" s="41"/>
    </row>
    <row r="635" spans="13:18" x14ac:dyDescent="0.3">
      <c r="M635" s="39"/>
      <c r="N635" s="39"/>
      <c r="O635" s="40"/>
      <c r="P635" s="41"/>
      <c r="R635" s="41"/>
    </row>
    <row r="636" spans="13:18" x14ac:dyDescent="0.3">
      <c r="M636" s="39"/>
      <c r="N636" s="39"/>
      <c r="O636" s="40"/>
      <c r="P636" s="41"/>
      <c r="R636" s="41"/>
    </row>
    <row r="637" spans="13:18" x14ac:dyDescent="0.3">
      <c r="M637" s="39"/>
      <c r="N637" s="39"/>
      <c r="O637" s="40"/>
      <c r="P637" s="41"/>
      <c r="R637" s="41"/>
    </row>
    <row r="638" spans="13:18" x14ac:dyDescent="0.3">
      <c r="M638" s="39"/>
      <c r="N638" s="39"/>
      <c r="O638" s="40"/>
      <c r="P638" s="41"/>
      <c r="R638" s="41"/>
    </row>
    <row r="639" spans="13:18" x14ac:dyDescent="0.3">
      <c r="M639" s="39"/>
      <c r="N639" s="39"/>
      <c r="O639" s="40"/>
      <c r="P639" s="41"/>
      <c r="R639" s="41"/>
    </row>
    <row r="640" spans="13:18" x14ac:dyDescent="0.3">
      <c r="M640" s="39"/>
      <c r="N640" s="39"/>
      <c r="O640" s="40"/>
      <c r="P640" s="41"/>
      <c r="R640" s="41"/>
    </row>
    <row r="641" spans="13:18" x14ac:dyDescent="0.3">
      <c r="M641" s="39"/>
      <c r="N641" s="39"/>
      <c r="O641" s="40"/>
      <c r="P641" s="41"/>
      <c r="R641" s="41"/>
    </row>
    <row r="642" spans="13:18" x14ac:dyDescent="0.3">
      <c r="M642" s="39"/>
      <c r="N642" s="39"/>
      <c r="O642" s="40"/>
      <c r="P642" s="41"/>
      <c r="R642" s="41"/>
    </row>
    <row r="643" spans="13:18" x14ac:dyDescent="0.3">
      <c r="M643" s="39"/>
      <c r="N643" s="39"/>
      <c r="O643" s="40"/>
      <c r="P643" s="41"/>
      <c r="R643" s="41"/>
    </row>
    <row r="644" spans="13:18" x14ac:dyDescent="0.3">
      <c r="M644" s="39"/>
      <c r="N644" s="39"/>
      <c r="O644" s="40"/>
      <c r="P644" s="41"/>
      <c r="R644" s="41"/>
    </row>
    <row r="645" spans="13:18" x14ac:dyDescent="0.3">
      <c r="M645" s="39"/>
      <c r="N645" s="39"/>
      <c r="O645" s="40"/>
      <c r="P645" s="41"/>
      <c r="R645" s="41"/>
    </row>
    <row r="646" spans="13:18" x14ac:dyDescent="0.3">
      <c r="M646" s="39"/>
      <c r="N646" s="39"/>
      <c r="O646" s="40"/>
      <c r="P646" s="41"/>
      <c r="R646" s="41"/>
    </row>
    <row r="647" spans="13:18" x14ac:dyDescent="0.3">
      <c r="M647" s="39"/>
      <c r="N647" s="39"/>
      <c r="O647" s="40"/>
      <c r="P647" s="41"/>
      <c r="R647" s="41"/>
    </row>
    <row r="648" spans="13:18" x14ac:dyDescent="0.3">
      <c r="M648" s="39"/>
      <c r="N648" s="39"/>
      <c r="O648" s="40"/>
      <c r="P648" s="41"/>
      <c r="R648" s="41"/>
    </row>
    <row r="649" spans="13:18" x14ac:dyDescent="0.3">
      <c r="M649" s="39"/>
      <c r="N649" s="39"/>
      <c r="O649" s="40"/>
      <c r="P649" s="41"/>
      <c r="R649" s="41"/>
    </row>
    <row r="650" spans="13:18" x14ac:dyDescent="0.3">
      <c r="M650" s="39"/>
      <c r="N650" s="39"/>
      <c r="O650" s="40"/>
      <c r="P650" s="41"/>
      <c r="R650" s="41"/>
    </row>
    <row r="651" spans="13:18" x14ac:dyDescent="0.3">
      <c r="M651" s="39"/>
      <c r="N651" s="39"/>
      <c r="O651" s="40"/>
      <c r="P651" s="41"/>
      <c r="R651" s="41"/>
    </row>
    <row r="652" spans="13:18" x14ac:dyDescent="0.3">
      <c r="M652" s="39"/>
      <c r="N652" s="39"/>
      <c r="O652" s="40"/>
      <c r="P652" s="41"/>
      <c r="R652" s="41"/>
    </row>
    <row r="653" spans="13:18" x14ac:dyDescent="0.3">
      <c r="M653" s="39"/>
      <c r="N653" s="39"/>
      <c r="O653" s="40"/>
      <c r="P653" s="41"/>
      <c r="R653" s="41"/>
    </row>
    <row r="654" spans="13:18" x14ac:dyDescent="0.3">
      <c r="M654" s="39"/>
      <c r="N654" s="39"/>
      <c r="O654" s="40"/>
      <c r="P654" s="41"/>
      <c r="R654" s="41"/>
    </row>
    <row r="655" spans="13:18" x14ac:dyDescent="0.3">
      <c r="M655" s="39"/>
      <c r="N655" s="39"/>
      <c r="O655" s="40"/>
      <c r="P655" s="41"/>
      <c r="R655" s="41"/>
    </row>
    <row r="656" spans="13:18" x14ac:dyDescent="0.3">
      <c r="M656" s="39"/>
      <c r="N656" s="39"/>
      <c r="O656" s="40"/>
      <c r="P656" s="41"/>
      <c r="R656" s="41"/>
    </row>
    <row r="657" spans="13:18" x14ac:dyDescent="0.3">
      <c r="M657" s="39"/>
      <c r="N657" s="39"/>
      <c r="O657" s="40"/>
      <c r="P657" s="41"/>
      <c r="R657" s="41"/>
    </row>
    <row r="658" spans="13:18" x14ac:dyDescent="0.3">
      <c r="M658" s="39"/>
      <c r="N658" s="39"/>
      <c r="O658" s="40"/>
      <c r="P658" s="41"/>
      <c r="R658" s="41"/>
    </row>
    <row r="659" spans="13:18" x14ac:dyDescent="0.3">
      <c r="M659" s="39"/>
      <c r="N659" s="39"/>
      <c r="O659" s="40"/>
      <c r="P659" s="41"/>
      <c r="R659" s="41"/>
    </row>
    <row r="660" spans="13:18" x14ac:dyDescent="0.3">
      <c r="M660" s="39"/>
      <c r="N660" s="39"/>
      <c r="O660" s="40"/>
      <c r="P660" s="41"/>
      <c r="R660" s="41"/>
    </row>
    <row r="661" spans="13:18" x14ac:dyDescent="0.3">
      <c r="M661" s="39"/>
      <c r="N661" s="39"/>
      <c r="O661" s="40"/>
      <c r="P661" s="41"/>
      <c r="R661" s="41"/>
    </row>
    <row r="662" spans="13:18" x14ac:dyDescent="0.3">
      <c r="M662" s="39"/>
      <c r="N662" s="39"/>
      <c r="O662" s="40"/>
      <c r="P662" s="41"/>
      <c r="R662" s="41"/>
    </row>
    <row r="663" spans="13:18" x14ac:dyDescent="0.3">
      <c r="M663" s="39"/>
      <c r="N663" s="39"/>
      <c r="O663" s="40"/>
      <c r="P663" s="41"/>
      <c r="R663" s="41"/>
    </row>
    <row r="664" spans="13:18" x14ac:dyDescent="0.3">
      <c r="M664" s="39"/>
      <c r="N664" s="39"/>
      <c r="O664" s="40"/>
      <c r="P664" s="41"/>
      <c r="R664" s="41"/>
    </row>
    <row r="665" spans="13:18" x14ac:dyDescent="0.3">
      <c r="M665" s="39"/>
      <c r="N665" s="39"/>
      <c r="O665" s="40"/>
      <c r="P665" s="41"/>
      <c r="R665" s="41"/>
    </row>
    <row r="666" spans="13:18" x14ac:dyDescent="0.3">
      <c r="M666" s="39"/>
      <c r="N666" s="39"/>
      <c r="O666" s="40"/>
      <c r="P666" s="41"/>
      <c r="R666" s="41"/>
    </row>
    <row r="667" spans="13:18" x14ac:dyDescent="0.3">
      <c r="M667" s="39"/>
      <c r="N667" s="39"/>
      <c r="O667" s="40"/>
      <c r="P667" s="41"/>
      <c r="R667" s="41"/>
    </row>
    <row r="668" spans="13:18" x14ac:dyDescent="0.3">
      <c r="M668" s="39"/>
      <c r="N668" s="39"/>
      <c r="O668" s="40"/>
      <c r="P668" s="41"/>
      <c r="R668" s="41"/>
    </row>
    <row r="669" spans="13:18" x14ac:dyDescent="0.3">
      <c r="M669" s="39"/>
      <c r="N669" s="39"/>
      <c r="O669" s="40"/>
      <c r="P669" s="41"/>
      <c r="R669" s="41"/>
    </row>
    <row r="670" spans="13:18" x14ac:dyDescent="0.3">
      <c r="M670" s="39"/>
      <c r="N670" s="39"/>
      <c r="O670" s="40"/>
      <c r="P670" s="41"/>
      <c r="R670" s="41"/>
    </row>
    <row r="671" spans="13:18" x14ac:dyDescent="0.3">
      <c r="M671" s="39"/>
      <c r="N671" s="39"/>
      <c r="O671" s="40"/>
      <c r="P671" s="41"/>
      <c r="R671" s="41"/>
    </row>
    <row r="672" spans="13:18" x14ac:dyDescent="0.3">
      <c r="M672" s="39"/>
      <c r="N672" s="39"/>
      <c r="O672" s="40"/>
      <c r="P672" s="41"/>
      <c r="R672" s="41"/>
    </row>
    <row r="673" spans="13:18" x14ac:dyDescent="0.3">
      <c r="M673" s="39"/>
      <c r="N673" s="39"/>
      <c r="O673" s="40"/>
      <c r="P673" s="41"/>
      <c r="R673" s="41"/>
    </row>
    <row r="674" spans="13:18" x14ac:dyDescent="0.3">
      <c r="M674" s="39"/>
      <c r="N674" s="39"/>
      <c r="O674" s="40"/>
      <c r="P674" s="41"/>
      <c r="R674" s="41"/>
    </row>
  </sheetData>
  <sheetProtection algorithmName="SHA-512" hashValue="0UiRwPKiqJ9eIpF+ICEZO/jiExrV8AEwoF3TeE9TQyqKrmdvKKv9GmegX2F71gEUmXrMqKCo0H9ZsR6+hznAbw==" saltValue="Sw/yBtayQUSpSHApdd5F7Q==" spinCount="100000" sheet="1" formatCells="0" formatColumns="0" formatRows="0" insertColumns="0" insertRows="0" insertHyperlinks="0" deleteColumns="0" deleteRows="0" sort="0" autoFilter="0" pivotTables="0"/>
  <autoFilter ref="A2:J475" xr:uid="{00000000-0001-0000-0000-000000000000}"/>
  <mergeCells count="8">
    <mergeCell ref="N1:N2"/>
    <mergeCell ref="B483:C483"/>
    <mergeCell ref="B484:C484"/>
    <mergeCell ref="A1:J1"/>
    <mergeCell ref="B480:C480"/>
    <mergeCell ref="B481:C481"/>
    <mergeCell ref="B482:C482"/>
    <mergeCell ref="B478:C479"/>
  </mergeCells>
  <conditionalFormatting sqref="K2">
    <cfRule type="expression" dxfId="4" priority="2">
      <formula>$K$2&gt;0</formula>
    </cfRule>
    <cfRule type="expression" dxfId="3" priority="3">
      <formula>$K$2&gt;0</formula>
    </cfRule>
    <cfRule type="expression" dxfId="2" priority="4">
      <formula>$K$2&gt;0</formula>
    </cfRule>
    <cfRule type="expression" dxfId="1" priority="5">
      <formula>$K$2&gt;0</formula>
    </cfRule>
  </conditionalFormatting>
  <conditionalFormatting sqref="R1">
    <cfRule type="expression" dxfId="0" priority="1">
      <formula>"&gt;0"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DSN GROUP (Carlson Labs)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2025-11-28T14:53:03Z</dcterms:modified>
</cp:coreProperties>
</file>