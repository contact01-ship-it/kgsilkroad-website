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W\Prosto picelistes\Міжнародка\"/>
    </mc:Choice>
  </mc:AlternateContent>
  <xr:revisionPtr revIDLastSave="0" documentId="8_{5CF9856E-11EC-4A40-ACBD-52E7E828954F}" xr6:coauthVersionLast="47" xr6:coauthVersionMax="47" xr10:uidLastSave="{00000000-0000-0000-0000-000000000000}"/>
  <bookViews>
    <workbookView xWindow="-108" yWindow="-108" windowWidth="23256" windowHeight="13896" tabRatio="848" xr2:uid="{00000000-000D-0000-FFFF-FFFF00000000}"/>
  </bookViews>
  <sheets>
    <sheet name="DSN GROUP (Jarrow Formula)" sheetId="23" r:id="rId1"/>
  </sheets>
  <definedNames>
    <definedName name="_xlnm._FilterDatabase" localSheetId="0" hidden="1">'DSN GROUP (Jarrow Formula)'!$A$2:$L$207</definedName>
    <definedName name="Jarrows_Price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3" l="1"/>
  <c r="K5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K40" i="23"/>
  <c r="K41" i="23"/>
  <c r="K42" i="23"/>
  <c r="K43" i="23"/>
  <c r="K44" i="23"/>
  <c r="K45" i="23"/>
  <c r="K46" i="23"/>
  <c r="K47" i="23"/>
  <c r="K48" i="23"/>
  <c r="K49" i="23"/>
  <c r="K50" i="23"/>
  <c r="K51" i="23"/>
  <c r="K52" i="23"/>
  <c r="K53" i="23"/>
  <c r="K54" i="23"/>
  <c r="K55" i="23"/>
  <c r="K56" i="23"/>
  <c r="K57" i="23"/>
  <c r="K58" i="23"/>
  <c r="K59" i="23"/>
  <c r="K60" i="23"/>
  <c r="K61" i="23"/>
  <c r="K62" i="23"/>
  <c r="K63" i="23"/>
  <c r="K64" i="23"/>
  <c r="K65" i="23"/>
  <c r="K66" i="23"/>
  <c r="K67" i="23"/>
  <c r="K68" i="23"/>
  <c r="K69" i="23"/>
  <c r="K70" i="23"/>
  <c r="K71" i="23"/>
  <c r="K72" i="23"/>
  <c r="K73" i="23"/>
  <c r="K74" i="23"/>
  <c r="K75" i="23"/>
  <c r="K76" i="23"/>
  <c r="K77" i="23"/>
  <c r="K78" i="23"/>
  <c r="K79" i="23"/>
  <c r="K80" i="23"/>
  <c r="K81" i="23"/>
  <c r="K82" i="23"/>
  <c r="K83" i="23"/>
  <c r="K84" i="23"/>
  <c r="K85" i="23"/>
  <c r="K86" i="23"/>
  <c r="K87" i="23"/>
  <c r="K88" i="23"/>
  <c r="K89" i="23"/>
  <c r="K90" i="23"/>
  <c r="K91" i="23"/>
  <c r="K92" i="23"/>
  <c r="K93" i="23"/>
  <c r="K94" i="23"/>
  <c r="K95" i="23"/>
  <c r="K96" i="23"/>
  <c r="K97" i="23"/>
  <c r="K98" i="23"/>
  <c r="K99" i="23"/>
  <c r="K100" i="23"/>
  <c r="K101" i="23"/>
  <c r="K102" i="23"/>
  <c r="K103" i="23"/>
  <c r="K104" i="23"/>
  <c r="K105" i="23"/>
  <c r="K106" i="23"/>
  <c r="K107" i="23"/>
  <c r="K108" i="23"/>
  <c r="K109" i="23"/>
  <c r="K110" i="23"/>
  <c r="K111" i="23"/>
  <c r="K112" i="23"/>
  <c r="K113" i="23"/>
  <c r="K114" i="23"/>
  <c r="K115" i="23"/>
  <c r="K116" i="23"/>
  <c r="K117" i="23"/>
  <c r="K118" i="23"/>
  <c r="K119" i="23"/>
  <c r="K120" i="23"/>
  <c r="K121" i="23"/>
  <c r="K122" i="23"/>
  <c r="K123" i="23"/>
  <c r="K124" i="23"/>
  <c r="K125" i="23"/>
  <c r="K126" i="23"/>
  <c r="K127" i="23"/>
  <c r="K128" i="23"/>
  <c r="K129" i="23"/>
  <c r="K130" i="23"/>
  <c r="K131" i="23"/>
  <c r="K132" i="23"/>
  <c r="K133" i="23"/>
  <c r="K134" i="23"/>
  <c r="K135" i="23"/>
  <c r="K136" i="23"/>
  <c r="K137" i="23"/>
  <c r="K138" i="23"/>
  <c r="K139" i="23"/>
  <c r="K140" i="23"/>
  <c r="K141" i="23"/>
  <c r="K142" i="23"/>
  <c r="K143" i="23"/>
  <c r="K144" i="23"/>
  <c r="K145" i="23"/>
  <c r="K146" i="23"/>
  <c r="K147" i="23"/>
  <c r="K148" i="23"/>
  <c r="K149" i="23"/>
  <c r="K150" i="23"/>
  <c r="K151" i="23"/>
  <c r="K152" i="23"/>
  <c r="K153" i="23"/>
  <c r="K154" i="23"/>
  <c r="K155" i="23"/>
  <c r="K156" i="23"/>
  <c r="K157" i="23"/>
  <c r="K158" i="23"/>
  <c r="K159" i="23"/>
  <c r="K160" i="23"/>
  <c r="K161" i="23"/>
  <c r="K162" i="23"/>
  <c r="K163" i="23"/>
  <c r="K164" i="23"/>
  <c r="K165" i="23"/>
  <c r="K166" i="23"/>
  <c r="K167" i="23"/>
  <c r="K168" i="23"/>
  <c r="K169" i="23"/>
  <c r="K170" i="23"/>
  <c r="K171" i="23"/>
  <c r="K172" i="23"/>
  <c r="K173" i="23"/>
  <c r="K174" i="23"/>
  <c r="K175" i="23"/>
  <c r="K176" i="23"/>
  <c r="K177" i="23"/>
  <c r="K178" i="23"/>
  <c r="K179" i="23"/>
  <c r="K180" i="23"/>
  <c r="K181" i="23"/>
  <c r="K182" i="23"/>
  <c r="K183" i="23"/>
  <c r="K184" i="23"/>
  <c r="K185" i="23"/>
  <c r="K186" i="23"/>
  <c r="K187" i="23"/>
  <c r="K188" i="23"/>
  <c r="K189" i="23"/>
  <c r="K190" i="23"/>
  <c r="K191" i="23"/>
  <c r="K192" i="23"/>
  <c r="K193" i="23"/>
  <c r="K194" i="23"/>
  <c r="K195" i="23"/>
  <c r="K196" i="23"/>
  <c r="K197" i="23"/>
  <c r="K198" i="23"/>
  <c r="K199" i="23"/>
  <c r="K200" i="23"/>
  <c r="K201" i="23"/>
  <c r="K202" i="23"/>
  <c r="K203" i="23"/>
  <c r="K204" i="23"/>
  <c r="K205" i="23"/>
  <c r="K206" i="23"/>
  <c r="K207" i="23"/>
  <c r="K3" i="23"/>
  <c r="P4" i="23"/>
  <c r="P5" i="23"/>
  <c r="P6" i="23"/>
  <c r="P7" i="23"/>
  <c r="P8" i="23"/>
  <c r="P9" i="23"/>
  <c r="P10" i="23"/>
  <c r="P11" i="23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33" i="23"/>
  <c r="P34" i="23"/>
  <c r="P35" i="23"/>
  <c r="P36" i="23"/>
  <c r="P37" i="23"/>
  <c r="P38" i="23"/>
  <c r="P39" i="23"/>
  <c r="P40" i="23"/>
  <c r="P41" i="23"/>
  <c r="P42" i="23"/>
  <c r="P43" i="23"/>
  <c r="P44" i="23"/>
  <c r="P45" i="23"/>
  <c r="P46" i="23"/>
  <c r="P47" i="23"/>
  <c r="P48" i="23"/>
  <c r="P49" i="23"/>
  <c r="P50" i="23"/>
  <c r="P51" i="23"/>
  <c r="P52" i="23"/>
  <c r="P53" i="23"/>
  <c r="P54" i="23"/>
  <c r="P55" i="23"/>
  <c r="P56" i="23"/>
  <c r="P57" i="23"/>
  <c r="P58" i="23"/>
  <c r="P59" i="23"/>
  <c r="P60" i="23"/>
  <c r="P61" i="23"/>
  <c r="P62" i="23"/>
  <c r="P63" i="23"/>
  <c r="P64" i="23"/>
  <c r="P65" i="23"/>
  <c r="P66" i="23"/>
  <c r="P67" i="23"/>
  <c r="P68" i="23"/>
  <c r="P69" i="23"/>
  <c r="P70" i="23"/>
  <c r="P71" i="23"/>
  <c r="P72" i="23"/>
  <c r="P73" i="23"/>
  <c r="P74" i="23"/>
  <c r="P75" i="23"/>
  <c r="P76" i="23"/>
  <c r="P77" i="23"/>
  <c r="P78" i="23"/>
  <c r="P79" i="23"/>
  <c r="P80" i="23"/>
  <c r="P81" i="23"/>
  <c r="P82" i="23"/>
  <c r="P83" i="23"/>
  <c r="P84" i="23"/>
  <c r="P85" i="23"/>
  <c r="P86" i="23"/>
  <c r="P87" i="23"/>
  <c r="P88" i="23"/>
  <c r="P89" i="23"/>
  <c r="P90" i="23"/>
  <c r="P91" i="23"/>
  <c r="P92" i="23"/>
  <c r="P93" i="23"/>
  <c r="P94" i="23"/>
  <c r="P95" i="23"/>
  <c r="P96" i="23"/>
  <c r="P97" i="23"/>
  <c r="P98" i="23"/>
  <c r="P99" i="23"/>
  <c r="P100" i="23"/>
  <c r="P101" i="23"/>
  <c r="P102" i="23"/>
  <c r="P103" i="23"/>
  <c r="P104" i="23"/>
  <c r="P105" i="23"/>
  <c r="P106" i="23"/>
  <c r="P107" i="23"/>
  <c r="P108" i="23"/>
  <c r="P109" i="23"/>
  <c r="P110" i="23"/>
  <c r="P111" i="23"/>
  <c r="P112" i="23"/>
  <c r="P113" i="23"/>
  <c r="P114" i="23"/>
  <c r="P115" i="23"/>
  <c r="P116" i="23"/>
  <c r="P117" i="23"/>
  <c r="P118" i="23"/>
  <c r="P119" i="23"/>
  <c r="P120" i="23"/>
  <c r="P121" i="23"/>
  <c r="P122" i="23"/>
  <c r="P123" i="23"/>
  <c r="P124" i="23"/>
  <c r="P125" i="23"/>
  <c r="P126" i="23"/>
  <c r="P127" i="23"/>
  <c r="P128" i="23"/>
  <c r="P129" i="23"/>
  <c r="P130" i="23"/>
  <c r="P131" i="23"/>
  <c r="P132" i="23"/>
  <c r="P133" i="23"/>
  <c r="P134" i="23"/>
  <c r="P135" i="23"/>
  <c r="P136" i="23"/>
  <c r="P137" i="23"/>
  <c r="P138" i="23"/>
  <c r="P139" i="23"/>
  <c r="P140" i="23"/>
  <c r="P141" i="23"/>
  <c r="P142" i="23"/>
  <c r="P143" i="23"/>
  <c r="P144" i="23"/>
  <c r="P145" i="23"/>
  <c r="P146" i="23"/>
  <c r="P147" i="23"/>
  <c r="P148" i="23"/>
  <c r="P149" i="23"/>
  <c r="P150" i="23"/>
  <c r="P151" i="23"/>
  <c r="P152" i="23"/>
  <c r="P153" i="23"/>
  <c r="P154" i="23"/>
  <c r="P155" i="23"/>
  <c r="P156" i="23"/>
  <c r="P157" i="23"/>
  <c r="P158" i="23"/>
  <c r="P159" i="23"/>
  <c r="P160" i="23"/>
  <c r="P161" i="23"/>
  <c r="P162" i="23"/>
  <c r="P163" i="23"/>
  <c r="P164" i="23"/>
  <c r="P165" i="23"/>
  <c r="P166" i="23"/>
  <c r="P167" i="23"/>
  <c r="P168" i="23"/>
  <c r="P169" i="23"/>
  <c r="P170" i="23"/>
  <c r="P171" i="23"/>
  <c r="P172" i="23"/>
  <c r="P173" i="23"/>
  <c r="P174" i="23"/>
  <c r="P175" i="23"/>
  <c r="P176" i="23"/>
  <c r="P177" i="23"/>
  <c r="P178" i="23"/>
  <c r="P179" i="23"/>
  <c r="P180" i="23"/>
  <c r="P181" i="23"/>
  <c r="P182" i="23"/>
  <c r="P183" i="23"/>
  <c r="P184" i="23"/>
  <c r="P185" i="23"/>
  <c r="P186" i="23"/>
  <c r="P187" i="23"/>
  <c r="P188" i="23"/>
  <c r="P189" i="23"/>
  <c r="P190" i="23"/>
  <c r="P191" i="23"/>
  <c r="P192" i="23"/>
  <c r="P193" i="23"/>
  <c r="P194" i="23"/>
  <c r="P195" i="23"/>
  <c r="P196" i="23"/>
  <c r="P197" i="23"/>
  <c r="P198" i="23"/>
  <c r="P199" i="23"/>
  <c r="P200" i="23"/>
  <c r="P201" i="23"/>
  <c r="P202" i="23"/>
  <c r="P203" i="23"/>
  <c r="P204" i="23"/>
  <c r="P205" i="23"/>
  <c r="P206" i="23"/>
  <c r="P207" i="23"/>
  <c r="P3" i="23"/>
  <c r="Q207" i="23"/>
  <c r="N207" i="23"/>
  <c r="O207" i="23" s="1"/>
  <c r="Q206" i="23"/>
  <c r="N206" i="23"/>
  <c r="O206" i="23" s="1"/>
  <c r="Q205" i="23"/>
  <c r="N205" i="23"/>
  <c r="O205" i="23" s="1"/>
  <c r="Q204" i="23"/>
  <c r="N204" i="23"/>
  <c r="O204" i="23" s="1"/>
  <c r="Q203" i="23"/>
  <c r="N203" i="23"/>
  <c r="O203" i="23" s="1"/>
  <c r="Q202" i="23"/>
  <c r="N202" i="23"/>
  <c r="O202" i="23" s="1"/>
  <c r="Q201" i="23"/>
  <c r="N201" i="23"/>
  <c r="O201" i="23" s="1"/>
  <c r="Q200" i="23"/>
  <c r="N200" i="23"/>
  <c r="O200" i="23" s="1"/>
  <c r="Q199" i="23"/>
  <c r="N199" i="23"/>
  <c r="O199" i="23" s="1"/>
  <c r="Q198" i="23"/>
  <c r="N198" i="23"/>
  <c r="O198" i="23" s="1"/>
  <c r="Q197" i="23"/>
  <c r="N197" i="23"/>
  <c r="O197" i="23" s="1"/>
  <c r="Q196" i="23"/>
  <c r="N196" i="23"/>
  <c r="O196" i="23" s="1"/>
  <c r="Q195" i="23"/>
  <c r="N195" i="23"/>
  <c r="O195" i="23" s="1"/>
  <c r="Q194" i="23"/>
  <c r="N194" i="23"/>
  <c r="O194" i="23" s="1"/>
  <c r="Q193" i="23"/>
  <c r="N193" i="23"/>
  <c r="O193" i="23" s="1"/>
  <c r="Q192" i="23"/>
  <c r="N192" i="23"/>
  <c r="O192" i="23" s="1"/>
  <c r="Q191" i="23"/>
  <c r="N191" i="23"/>
  <c r="O191" i="23" s="1"/>
  <c r="Q190" i="23"/>
  <c r="N190" i="23"/>
  <c r="O190" i="23" s="1"/>
  <c r="Q189" i="23"/>
  <c r="N189" i="23"/>
  <c r="O189" i="23" s="1"/>
  <c r="Q188" i="23"/>
  <c r="N188" i="23"/>
  <c r="O188" i="23" s="1"/>
  <c r="Q187" i="23"/>
  <c r="N187" i="23"/>
  <c r="O187" i="23" s="1"/>
  <c r="Q186" i="23"/>
  <c r="N186" i="23"/>
  <c r="O186" i="23" s="1"/>
  <c r="Q185" i="23"/>
  <c r="N185" i="23"/>
  <c r="O185" i="23" s="1"/>
  <c r="Q184" i="23"/>
  <c r="N184" i="23"/>
  <c r="O184" i="23" s="1"/>
  <c r="Q183" i="23"/>
  <c r="N183" i="23"/>
  <c r="O183" i="23" s="1"/>
  <c r="Q182" i="23"/>
  <c r="N182" i="23"/>
  <c r="O182" i="23" s="1"/>
  <c r="Q181" i="23"/>
  <c r="N181" i="23"/>
  <c r="O181" i="23" s="1"/>
  <c r="Q180" i="23"/>
  <c r="N180" i="23"/>
  <c r="O180" i="23" s="1"/>
  <c r="Q179" i="23"/>
  <c r="N179" i="23"/>
  <c r="O179" i="23" s="1"/>
  <c r="Q178" i="23"/>
  <c r="N178" i="23"/>
  <c r="O178" i="23" s="1"/>
  <c r="Q177" i="23"/>
  <c r="N177" i="23"/>
  <c r="O177" i="23" s="1"/>
  <c r="Q176" i="23"/>
  <c r="N176" i="23"/>
  <c r="O176" i="23" s="1"/>
  <c r="Q175" i="23"/>
  <c r="N175" i="23"/>
  <c r="O175" i="23" s="1"/>
  <c r="Q174" i="23"/>
  <c r="N174" i="23"/>
  <c r="O174" i="23" s="1"/>
  <c r="Q173" i="23"/>
  <c r="N173" i="23"/>
  <c r="O173" i="23" s="1"/>
  <c r="Q172" i="23"/>
  <c r="N172" i="23"/>
  <c r="O172" i="23" s="1"/>
  <c r="Q171" i="23"/>
  <c r="N171" i="23"/>
  <c r="O171" i="23" s="1"/>
  <c r="Q170" i="23"/>
  <c r="N170" i="23"/>
  <c r="O170" i="23" s="1"/>
  <c r="Q169" i="23"/>
  <c r="N169" i="23"/>
  <c r="O169" i="23" s="1"/>
  <c r="Q168" i="23"/>
  <c r="N168" i="23"/>
  <c r="O168" i="23" s="1"/>
  <c r="Q167" i="23"/>
  <c r="N167" i="23"/>
  <c r="O167" i="23" s="1"/>
  <c r="Q166" i="23"/>
  <c r="N166" i="23"/>
  <c r="O166" i="23" s="1"/>
  <c r="Q165" i="23"/>
  <c r="N165" i="23"/>
  <c r="O165" i="23" s="1"/>
  <c r="Q164" i="23"/>
  <c r="N164" i="23"/>
  <c r="O164" i="23" s="1"/>
  <c r="Q163" i="23"/>
  <c r="N163" i="23"/>
  <c r="O163" i="23" s="1"/>
  <c r="Q162" i="23"/>
  <c r="N162" i="23"/>
  <c r="O162" i="23" s="1"/>
  <c r="Q161" i="23"/>
  <c r="N161" i="23"/>
  <c r="O161" i="23" s="1"/>
  <c r="Q160" i="23"/>
  <c r="N160" i="23"/>
  <c r="O160" i="23" s="1"/>
  <c r="Q159" i="23"/>
  <c r="N159" i="23"/>
  <c r="O159" i="23" s="1"/>
  <c r="Q158" i="23"/>
  <c r="N158" i="23"/>
  <c r="O158" i="23" s="1"/>
  <c r="Q157" i="23"/>
  <c r="N157" i="23"/>
  <c r="O157" i="23" s="1"/>
  <c r="Q156" i="23"/>
  <c r="N156" i="23"/>
  <c r="O156" i="23" s="1"/>
  <c r="Q155" i="23"/>
  <c r="N155" i="23"/>
  <c r="O155" i="23" s="1"/>
  <c r="Q154" i="23"/>
  <c r="N154" i="23"/>
  <c r="O154" i="23" s="1"/>
  <c r="Q153" i="23"/>
  <c r="N153" i="23"/>
  <c r="O153" i="23" s="1"/>
  <c r="Q152" i="23"/>
  <c r="N152" i="23"/>
  <c r="O152" i="23" s="1"/>
  <c r="Q151" i="23"/>
  <c r="N151" i="23"/>
  <c r="O151" i="23" s="1"/>
  <c r="Q150" i="23"/>
  <c r="N150" i="23"/>
  <c r="O150" i="23" s="1"/>
  <c r="Q149" i="23"/>
  <c r="N149" i="23"/>
  <c r="O149" i="23" s="1"/>
  <c r="Q148" i="23"/>
  <c r="N148" i="23"/>
  <c r="O148" i="23" s="1"/>
  <c r="Q147" i="23"/>
  <c r="N147" i="23"/>
  <c r="O147" i="23" s="1"/>
  <c r="Q146" i="23"/>
  <c r="N146" i="23"/>
  <c r="O146" i="23" s="1"/>
  <c r="Q145" i="23"/>
  <c r="N145" i="23"/>
  <c r="O145" i="23" s="1"/>
  <c r="Q144" i="23"/>
  <c r="N144" i="23"/>
  <c r="O144" i="23" s="1"/>
  <c r="Q143" i="23"/>
  <c r="N143" i="23"/>
  <c r="O143" i="23" s="1"/>
  <c r="Q142" i="23"/>
  <c r="N142" i="23"/>
  <c r="O142" i="23" s="1"/>
  <c r="Q141" i="23"/>
  <c r="N141" i="23"/>
  <c r="O141" i="23" s="1"/>
  <c r="Q140" i="23"/>
  <c r="N140" i="23"/>
  <c r="O140" i="23" s="1"/>
  <c r="Q139" i="23"/>
  <c r="N139" i="23"/>
  <c r="O139" i="23" s="1"/>
  <c r="Q138" i="23"/>
  <c r="N138" i="23"/>
  <c r="O138" i="23" s="1"/>
  <c r="Q137" i="23"/>
  <c r="N137" i="23"/>
  <c r="O137" i="23" s="1"/>
  <c r="Q136" i="23"/>
  <c r="N136" i="23"/>
  <c r="O136" i="23" s="1"/>
  <c r="Q135" i="23"/>
  <c r="N135" i="23"/>
  <c r="O135" i="23" s="1"/>
  <c r="Q134" i="23"/>
  <c r="N134" i="23"/>
  <c r="O134" i="23" s="1"/>
  <c r="Q133" i="23"/>
  <c r="N133" i="23"/>
  <c r="O133" i="23" s="1"/>
  <c r="Q132" i="23"/>
  <c r="N132" i="23"/>
  <c r="O132" i="23" s="1"/>
  <c r="Q131" i="23"/>
  <c r="N131" i="23"/>
  <c r="O131" i="23" s="1"/>
  <c r="Q130" i="23"/>
  <c r="N130" i="23"/>
  <c r="O130" i="23" s="1"/>
  <c r="Q129" i="23"/>
  <c r="N129" i="23"/>
  <c r="O129" i="23" s="1"/>
  <c r="Q128" i="23"/>
  <c r="N128" i="23"/>
  <c r="O128" i="23" s="1"/>
  <c r="Q127" i="23"/>
  <c r="N127" i="23"/>
  <c r="O127" i="23" s="1"/>
  <c r="Q126" i="23"/>
  <c r="N126" i="23"/>
  <c r="O126" i="23" s="1"/>
  <c r="Q125" i="23"/>
  <c r="N125" i="23"/>
  <c r="O125" i="23" s="1"/>
  <c r="Q124" i="23"/>
  <c r="N124" i="23"/>
  <c r="O124" i="23" s="1"/>
  <c r="Q123" i="23"/>
  <c r="N123" i="23"/>
  <c r="O123" i="23" s="1"/>
  <c r="Q122" i="23"/>
  <c r="N122" i="23"/>
  <c r="O122" i="23" s="1"/>
  <c r="Q121" i="23"/>
  <c r="N121" i="23"/>
  <c r="O121" i="23" s="1"/>
  <c r="Q120" i="23"/>
  <c r="N120" i="23"/>
  <c r="O120" i="23" s="1"/>
  <c r="Q119" i="23"/>
  <c r="N119" i="23"/>
  <c r="O119" i="23" s="1"/>
  <c r="Q118" i="23"/>
  <c r="N118" i="23"/>
  <c r="O118" i="23" s="1"/>
  <c r="Q117" i="23"/>
  <c r="N117" i="23"/>
  <c r="O117" i="23" s="1"/>
  <c r="Q116" i="23"/>
  <c r="N116" i="23"/>
  <c r="O116" i="23" s="1"/>
  <c r="Q115" i="23"/>
  <c r="N115" i="23"/>
  <c r="O115" i="23" s="1"/>
  <c r="Q114" i="23"/>
  <c r="N114" i="23"/>
  <c r="O114" i="23" s="1"/>
  <c r="Q113" i="23"/>
  <c r="N113" i="23"/>
  <c r="O113" i="23" s="1"/>
  <c r="Q112" i="23"/>
  <c r="N112" i="23"/>
  <c r="O112" i="23" s="1"/>
  <c r="Q111" i="23"/>
  <c r="N111" i="23"/>
  <c r="O111" i="23" s="1"/>
  <c r="Q110" i="23"/>
  <c r="N110" i="23"/>
  <c r="O110" i="23" s="1"/>
  <c r="Q109" i="23"/>
  <c r="N109" i="23"/>
  <c r="O109" i="23" s="1"/>
  <c r="Q108" i="23"/>
  <c r="N108" i="23"/>
  <c r="O108" i="23" s="1"/>
  <c r="Q107" i="23"/>
  <c r="N107" i="23"/>
  <c r="O107" i="23" s="1"/>
  <c r="Q106" i="23"/>
  <c r="N106" i="23"/>
  <c r="O106" i="23" s="1"/>
  <c r="Q105" i="23"/>
  <c r="N105" i="23"/>
  <c r="O105" i="23" s="1"/>
  <c r="Q104" i="23"/>
  <c r="N104" i="23"/>
  <c r="O104" i="23" s="1"/>
  <c r="Q103" i="23"/>
  <c r="N103" i="23"/>
  <c r="O103" i="23" s="1"/>
  <c r="Q102" i="23"/>
  <c r="N102" i="23"/>
  <c r="O102" i="23" s="1"/>
  <c r="Q101" i="23"/>
  <c r="N101" i="23"/>
  <c r="O101" i="23" s="1"/>
  <c r="Q100" i="23"/>
  <c r="N100" i="23"/>
  <c r="O100" i="23" s="1"/>
  <c r="Q99" i="23"/>
  <c r="N99" i="23"/>
  <c r="O99" i="23" s="1"/>
  <c r="Q98" i="23"/>
  <c r="N98" i="23"/>
  <c r="O98" i="23" s="1"/>
  <c r="Q97" i="23"/>
  <c r="N97" i="23"/>
  <c r="O97" i="23" s="1"/>
  <c r="Q96" i="23"/>
  <c r="N96" i="23"/>
  <c r="O96" i="23" s="1"/>
  <c r="Q95" i="23"/>
  <c r="N95" i="23"/>
  <c r="O95" i="23" s="1"/>
  <c r="Q94" i="23"/>
  <c r="N94" i="23"/>
  <c r="O94" i="23" s="1"/>
  <c r="Q93" i="23"/>
  <c r="N93" i="23"/>
  <c r="O93" i="23" s="1"/>
  <c r="Q92" i="23"/>
  <c r="N92" i="23"/>
  <c r="O92" i="23" s="1"/>
  <c r="Q91" i="23"/>
  <c r="N91" i="23"/>
  <c r="O91" i="23" s="1"/>
  <c r="Q90" i="23"/>
  <c r="N90" i="23"/>
  <c r="O90" i="23" s="1"/>
  <c r="Q89" i="23"/>
  <c r="N89" i="23"/>
  <c r="O89" i="23" s="1"/>
  <c r="Q88" i="23"/>
  <c r="N88" i="23"/>
  <c r="O88" i="23" s="1"/>
  <c r="Q87" i="23"/>
  <c r="N87" i="23"/>
  <c r="O87" i="23" s="1"/>
  <c r="Q86" i="23"/>
  <c r="N86" i="23"/>
  <c r="O86" i="23" s="1"/>
  <c r="Q85" i="23"/>
  <c r="N85" i="23"/>
  <c r="O85" i="23" s="1"/>
  <c r="Q84" i="23"/>
  <c r="N84" i="23"/>
  <c r="O84" i="23" s="1"/>
  <c r="Q83" i="23"/>
  <c r="N83" i="23"/>
  <c r="O83" i="23" s="1"/>
  <c r="Q82" i="23"/>
  <c r="N82" i="23"/>
  <c r="O82" i="23" s="1"/>
  <c r="Q81" i="23"/>
  <c r="N81" i="23"/>
  <c r="O81" i="23" s="1"/>
  <c r="Q80" i="23"/>
  <c r="N80" i="23"/>
  <c r="O80" i="23" s="1"/>
  <c r="Q79" i="23"/>
  <c r="N79" i="23"/>
  <c r="O79" i="23" s="1"/>
  <c r="Q78" i="23"/>
  <c r="N78" i="23"/>
  <c r="O78" i="23" s="1"/>
  <c r="Q77" i="23"/>
  <c r="N77" i="23"/>
  <c r="O77" i="23" s="1"/>
  <c r="Q76" i="23"/>
  <c r="N76" i="23"/>
  <c r="O76" i="23" s="1"/>
  <c r="Q75" i="23"/>
  <c r="N75" i="23"/>
  <c r="O75" i="23" s="1"/>
  <c r="Q74" i="23"/>
  <c r="N74" i="23"/>
  <c r="O74" i="23" s="1"/>
  <c r="Q73" i="23"/>
  <c r="N73" i="23"/>
  <c r="O73" i="23" s="1"/>
  <c r="Q72" i="23"/>
  <c r="N72" i="23"/>
  <c r="O72" i="23" s="1"/>
  <c r="Q71" i="23"/>
  <c r="N71" i="23"/>
  <c r="O71" i="23" s="1"/>
  <c r="Q70" i="23"/>
  <c r="N70" i="23"/>
  <c r="O70" i="23" s="1"/>
  <c r="Q69" i="23"/>
  <c r="N69" i="23"/>
  <c r="O69" i="23" s="1"/>
  <c r="Q68" i="23"/>
  <c r="N68" i="23"/>
  <c r="O68" i="23" s="1"/>
  <c r="Q67" i="23"/>
  <c r="N67" i="23"/>
  <c r="O67" i="23" s="1"/>
  <c r="Q66" i="23"/>
  <c r="N66" i="23"/>
  <c r="O66" i="23" s="1"/>
  <c r="Q65" i="23"/>
  <c r="N65" i="23"/>
  <c r="O65" i="23" s="1"/>
  <c r="Q64" i="23"/>
  <c r="N64" i="23"/>
  <c r="O64" i="23" s="1"/>
  <c r="Q63" i="23"/>
  <c r="N63" i="23"/>
  <c r="O63" i="23" s="1"/>
  <c r="Q62" i="23"/>
  <c r="N62" i="23"/>
  <c r="O62" i="23" s="1"/>
  <c r="Q61" i="23"/>
  <c r="N61" i="23"/>
  <c r="O61" i="23" s="1"/>
  <c r="Q60" i="23"/>
  <c r="N60" i="23"/>
  <c r="O60" i="23" s="1"/>
  <c r="Q59" i="23"/>
  <c r="N59" i="23"/>
  <c r="O59" i="23" s="1"/>
  <c r="Q58" i="23"/>
  <c r="N58" i="23"/>
  <c r="O58" i="23" s="1"/>
  <c r="Q57" i="23"/>
  <c r="N57" i="23"/>
  <c r="O57" i="23" s="1"/>
  <c r="Q56" i="23"/>
  <c r="N56" i="23"/>
  <c r="O56" i="23" s="1"/>
  <c r="Q55" i="23"/>
  <c r="N55" i="23"/>
  <c r="O55" i="23" s="1"/>
  <c r="Q54" i="23"/>
  <c r="N54" i="23"/>
  <c r="O54" i="23" s="1"/>
  <c r="Q53" i="23"/>
  <c r="N53" i="23"/>
  <c r="O53" i="23" s="1"/>
  <c r="Q52" i="23"/>
  <c r="N52" i="23"/>
  <c r="O52" i="23" s="1"/>
  <c r="Q51" i="23"/>
  <c r="N51" i="23"/>
  <c r="O51" i="23" s="1"/>
  <c r="Q50" i="23"/>
  <c r="N50" i="23"/>
  <c r="O50" i="23" s="1"/>
  <c r="Q49" i="23"/>
  <c r="N49" i="23"/>
  <c r="O49" i="23" s="1"/>
  <c r="Q48" i="23"/>
  <c r="N48" i="23"/>
  <c r="O48" i="23" s="1"/>
  <c r="Q47" i="23"/>
  <c r="N47" i="23"/>
  <c r="O47" i="23" s="1"/>
  <c r="Q46" i="23"/>
  <c r="N46" i="23"/>
  <c r="O46" i="23" s="1"/>
  <c r="Q45" i="23"/>
  <c r="N45" i="23"/>
  <c r="O45" i="23" s="1"/>
  <c r="Q44" i="23"/>
  <c r="N44" i="23"/>
  <c r="O44" i="23" s="1"/>
  <c r="Q43" i="23"/>
  <c r="N43" i="23"/>
  <c r="O43" i="23" s="1"/>
  <c r="Q42" i="23"/>
  <c r="N42" i="23"/>
  <c r="O42" i="23" s="1"/>
  <c r="Q41" i="23"/>
  <c r="N41" i="23"/>
  <c r="O41" i="23" s="1"/>
  <c r="Q40" i="23"/>
  <c r="N40" i="23"/>
  <c r="O40" i="23" s="1"/>
  <c r="Q39" i="23"/>
  <c r="N39" i="23"/>
  <c r="O39" i="23" s="1"/>
  <c r="Q38" i="23"/>
  <c r="N38" i="23"/>
  <c r="O38" i="23" s="1"/>
  <c r="Q37" i="23"/>
  <c r="N37" i="23"/>
  <c r="O37" i="23" s="1"/>
  <c r="Q36" i="23"/>
  <c r="N36" i="23"/>
  <c r="O36" i="23" s="1"/>
  <c r="Q35" i="23"/>
  <c r="N35" i="23"/>
  <c r="O35" i="23" s="1"/>
  <c r="Q34" i="23"/>
  <c r="N34" i="23"/>
  <c r="O34" i="23" s="1"/>
  <c r="Q33" i="23"/>
  <c r="N33" i="23"/>
  <c r="O33" i="23" s="1"/>
  <c r="Q32" i="23"/>
  <c r="N32" i="23"/>
  <c r="O32" i="23" s="1"/>
  <c r="Q31" i="23"/>
  <c r="N31" i="23"/>
  <c r="O31" i="23" s="1"/>
  <c r="Q30" i="23"/>
  <c r="N30" i="23"/>
  <c r="O30" i="23" s="1"/>
  <c r="Q29" i="23"/>
  <c r="N29" i="23"/>
  <c r="O29" i="23" s="1"/>
  <c r="Q28" i="23"/>
  <c r="N28" i="23"/>
  <c r="O28" i="23" s="1"/>
  <c r="Q27" i="23"/>
  <c r="N27" i="23"/>
  <c r="O27" i="23" s="1"/>
  <c r="Q26" i="23"/>
  <c r="N26" i="23"/>
  <c r="O26" i="23" s="1"/>
  <c r="Q25" i="23"/>
  <c r="N25" i="23"/>
  <c r="O25" i="23" s="1"/>
  <c r="Q24" i="23"/>
  <c r="N24" i="23"/>
  <c r="O24" i="23" s="1"/>
  <c r="Q23" i="23"/>
  <c r="N23" i="23"/>
  <c r="O23" i="23" s="1"/>
  <c r="Q22" i="23"/>
  <c r="N22" i="23"/>
  <c r="O22" i="23" s="1"/>
  <c r="Q21" i="23"/>
  <c r="N21" i="23"/>
  <c r="O21" i="23" s="1"/>
  <c r="Q20" i="23"/>
  <c r="N20" i="23"/>
  <c r="O20" i="23" s="1"/>
  <c r="Q19" i="23"/>
  <c r="N19" i="23"/>
  <c r="O19" i="23" s="1"/>
  <c r="Q18" i="23"/>
  <c r="N18" i="23"/>
  <c r="O18" i="23" s="1"/>
  <c r="Q17" i="23"/>
  <c r="N17" i="23"/>
  <c r="O17" i="23" s="1"/>
  <c r="Q16" i="23"/>
  <c r="N16" i="23"/>
  <c r="O16" i="23" s="1"/>
  <c r="Q15" i="23"/>
  <c r="N15" i="23"/>
  <c r="O15" i="23" s="1"/>
  <c r="Q14" i="23"/>
  <c r="N14" i="23"/>
  <c r="O14" i="23" s="1"/>
  <c r="Q13" i="23"/>
  <c r="N13" i="23"/>
  <c r="O13" i="23" s="1"/>
  <c r="Q12" i="23"/>
  <c r="N12" i="23"/>
  <c r="O12" i="23" s="1"/>
  <c r="Q11" i="23"/>
  <c r="N11" i="23"/>
  <c r="O11" i="23" s="1"/>
  <c r="Q10" i="23"/>
  <c r="N10" i="23"/>
  <c r="O10" i="23" s="1"/>
  <c r="Q9" i="23"/>
  <c r="N9" i="23"/>
  <c r="O9" i="23" s="1"/>
  <c r="Q8" i="23"/>
  <c r="N8" i="23"/>
  <c r="O8" i="23" s="1"/>
  <c r="Q7" i="23"/>
  <c r="N7" i="23"/>
  <c r="O7" i="23" s="1"/>
  <c r="Q6" i="23"/>
  <c r="N6" i="23"/>
  <c r="O6" i="23" s="1"/>
  <c r="Q5" i="23"/>
  <c r="N5" i="23"/>
  <c r="O5" i="23" s="1"/>
  <c r="Q4" i="23"/>
  <c r="N4" i="23"/>
  <c r="O4" i="23" s="1"/>
  <c r="Q3" i="23"/>
  <c r="N3" i="23"/>
  <c r="O3" i="23" s="1"/>
  <c r="Q2" i="23" l="1"/>
  <c r="L2" i="23"/>
  <c r="P2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  <author>Javier Ponce</author>
  </authors>
  <commentList>
    <comment ref="I3" authorId="0" shapeId="0" xr:uid="{BC511202-8A3C-411B-94C8-676F3756DC5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4" authorId="0" shapeId="0" xr:uid="{B80AF023-7052-4A45-9AED-713DB0C798C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5" authorId="0" shapeId="0" xr:uid="{D38D67B9-BCD7-444C-B820-2ECAC18E7FE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6" authorId="0" shapeId="0" xr:uid="{7595201A-79F8-413B-8835-DE1F19196EB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7" authorId="0" shapeId="0" xr:uid="{38544991-36AB-470B-95B2-87F4E7F3E4C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8" authorId="0" shapeId="0" xr:uid="{8AE54075-1FE8-44F9-B702-4C900D45CD6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9" authorId="0" shapeId="0" xr:uid="{A0B6E591-520C-4463-8F7B-6D8E7446CB2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0" authorId="0" shapeId="0" xr:uid="{5E23308C-4AB6-4BBE-9F77-F8747BA097C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1" authorId="0" shapeId="0" xr:uid="{2470BE80-3E91-416F-8C90-09BECDE5D92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2" authorId="0" shapeId="0" xr:uid="{0A571E26-E3AE-4DBC-85A8-727A06FF472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3" authorId="0" shapeId="0" xr:uid="{19A284E8-1D47-41DD-8C53-A5A05B813D9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4" authorId="0" shapeId="0" xr:uid="{46591E96-3190-4B6E-9BA2-CE7DE897301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5" authorId="0" shapeId="0" xr:uid="{228D5045-1891-4A9A-877F-6FE4E960A97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6" authorId="0" shapeId="0" xr:uid="{0E8811BC-D9F1-45A2-BBAB-4F2F3F5D22B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7" authorId="0" shapeId="0" xr:uid="{A47AAF32-26BC-4DD0-B870-FEF8B3B2B9E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8" authorId="0" shapeId="0" xr:uid="{9817E5BF-0197-4AC1-B255-EA757BF5155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9" authorId="0" shapeId="0" xr:uid="{E297E71A-DD4C-4233-B416-F82CB144A3F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0" authorId="0" shapeId="0" xr:uid="{CE1D225A-8535-44D9-BCE9-5DAC4439B8C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1" authorId="0" shapeId="0" xr:uid="{8070853E-0587-451D-8CB8-8C24EB9DA1A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2" authorId="0" shapeId="0" xr:uid="{CB6B57F9-A4DF-4AE5-A8F2-FE22B25D547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3" authorId="0" shapeId="0" xr:uid="{50025238-93EF-4F57-B7C6-B2FAD743B0A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4" authorId="0" shapeId="0" xr:uid="{990138C2-11D4-44B6-BE41-00FB3F67FB3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5" authorId="0" shapeId="0" xr:uid="{844B0FBC-BF3B-49F3-91F0-74680E103A5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6" authorId="0" shapeId="0" xr:uid="{BC74569C-15EF-443F-B359-E9071F78336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7" authorId="0" shapeId="0" xr:uid="{C23782CA-5D61-421E-9B77-E122A343131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8" authorId="0" shapeId="0" xr:uid="{D57A0797-4C3C-42AD-89EF-25C74B640B0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9" authorId="0" shapeId="0" xr:uid="{5F0DC0D4-4723-4978-8FA2-10195DF8209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0" authorId="0" shapeId="0" xr:uid="{A8AF686B-4E08-426B-BD60-B823BA7968C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1" authorId="0" shapeId="0" xr:uid="{FB165C17-C7AE-4558-A484-1FE51CC9764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2" authorId="0" shapeId="0" xr:uid="{7AFF1D8E-67B8-42E0-A905-747C0AC180D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3" authorId="0" shapeId="0" xr:uid="{A3F3084E-5772-43D7-BBC1-4A6E3CF1E7E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4" authorId="0" shapeId="0" xr:uid="{3BF1DD0C-277B-404B-878B-EFF955B80B1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5" authorId="0" shapeId="0" xr:uid="{2296B59B-81EE-4B07-98E4-8440C61CB0C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6" authorId="0" shapeId="0" xr:uid="{8E08A09D-78AA-4195-BED4-0CFEC121607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7" authorId="0" shapeId="0" xr:uid="{53F4F822-B846-43BF-93E9-3EBC188261A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8" authorId="0" shapeId="0" xr:uid="{2923096C-826A-4C50-A400-63EE68D3757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9" authorId="0" shapeId="0" xr:uid="{A89D3249-5919-43E4-9235-F4AEC1052AD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40" authorId="0" shapeId="0" xr:uid="{7EED487F-19AC-45B0-8554-9DAAFE9E68B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41" authorId="0" shapeId="0" xr:uid="{66B2C4F2-6CC5-4959-8885-5B77AB48611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42" authorId="0" shapeId="0" xr:uid="{F8D96582-427E-46B0-A174-B36064BD6B3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43" authorId="0" shapeId="0" xr:uid="{9D01DA19-BF2F-4F2D-A20B-849DCBB085A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4" authorId="0" shapeId="0" xr:uid="{ED9E018D-A1AE-41DD-A8B6-0A951C6B5FF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5" authorId="0" shapeId="0" xr:uid="{C13EA9E7-CF35-415C-AF77-57D409AEF11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6" authorId="0" shapeId="0" xr:uid="{DBC0054C-4C31-46D0-893B-105B2718DA3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7" authorId="0" shapeId="0" xr:uid="{09388BA3-A1F4-40C2-89EF-888BB7B54CB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8" authorId="0" shapeId="0" xr:uid="{261A744D-60B6-4CDC-878B-EBC19360934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9" authorId="0" shapeId="0" xr:uid="{91D7493C-60A9-4914-ACDF-706FE867018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0" authorId="0" shapeId="0" xr:uid="{6831ACE3-17DE-4737-9C55-879F6E28292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1" authorId="0" shapeId="0" xr:uid="{65ADF86F-937F-451C-8AB6-985EB2905E0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2" authorId="0" shapeId="0" xr:uid="{F14EB747-EF45-44E9-80E5-E292050CCBC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3" authorId="0" shapeId="0" xr:uid="{064B1CB6-2F56-48DF-BEA2-AC3993D42D2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4" authorId="0" shapeId="0" xr:uid="{7C936EFD-808C-47B6-8D97-B26F9F340CE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5" authorId="0" shapeId="0" xr:uid="{DDFF95FA-61A7-4BDA-B395-5C3FB81785A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6" authorId="0" shapeId="0" xr:uid="{ACE52369-A0F3-44F4-9AAB-612B6B45240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7" authorId="0" shapeId="0" xr:uid="{E0C8115A-8BA6-4037-B784-969DC1D961B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8" authorId="0" shapeId="0" xr:uid="{154BD9CD-07D3-4C70-94E6-EA7B75C098D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9" authorId="0" shapeId="0" xr:uid="{0FB3FBF2-FB3A-4CD3-9809-F75D9A82240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0" authorId="0" shapeId="0" xr:uid="{2E30E5EB-04B0-46E0-BA18-18E45497578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1" authorId="0" shapeId="0" xr:uid="{54D6A3CD-7334-426F-9C30-AB44859DC2F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2" authorId="0" shapeId="0" xr:uid="{9FC4BFB8-201C-4C21-8EBA-8B0C9D81170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3" authorId="0" shapeId="0" xr:uid="{288D82C8-6CFB-44A6-B019-D07FD5F86D2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4" authorId="0" shapeId="0" xr:uid="{C876DD16-3F93-4878-876B-6376F8821E3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5" authorId="0" shapeId="0" xr:uid="{C2F44DA4-31B4-4435-A537-3EBEEF07A22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6" authorId="0" shapeId="0" xr:uid="{D79C69B5-4E89-4D2D-9C74-0AA87E2FA9C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7" authorId="0" shapeId="0" xr:uid="{A4EDAABE-6FDB-4C30-8E76-9FFEA9F9938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8" authorId="0" shapeId="0" xr:uid="{E3D09C6C-A5B7-4403-BEA1-ED9C6C7B30C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9" authorId="0" shapeId="0" xr:uid="{3B601EE3-22C6-4A1E-A9BA-129DC3355D9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0" authorId="0" shapeId="0" xr:uid="{C1405C7F-DFB4-4092-9BC4-9B28E43B5E2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1" authorId="0" shapeId="0" xr:uid="{08ED400C-5D0E-4F90-AC3F-A890069ECA3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2" authorId="0" shapeId="0" xr:uid="{4C2A92F0-1160-4CE4-ACB6-B595241F7C0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3" authorId="0" shapeId="0" xr:uid="{12418B04-9CEF-4567-A391-7909DBFAECD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4" authorId="0" shapeId="0" xr:uid="{502B58C8-BC85-44F3-988C-E2C7435B0DA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5" authorId="0" shapeId="0" xr:uid="{B1E5C068-D562-43A7-A63D-8660F3B6955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6" authorId="0" shapeId="0" xr:uid="{5AA933E0-8FBB-41DC-93CB-E24513438AC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7" authorId="0" shapeId="0" xr:uid="{60DC725C-B354-4D94-B882-7162B3F00B3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8" authorId="0" shapeId="0" xr:uid="{74954861-525D-4EC0-8771-21A980C1E07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9" authorId="0" shapeId="0" xr:uid="{24B9493E-E3BA-4EFC-BB9A-F31F219B8C8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0" authorId="0" shapeId="0" xr:uid="{46CDB3ED-88CE-4919-B01B-9C6D7CF8BD5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1" authorId="0" shapeId="0" xr:uid="{F810FD98-CDE2-4559-B5C3-D2363CB9391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2" authorId="0" shapeId="0" xr:uid="{849B7584-4235-4963-A05C-79D82E43241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3" authorId="0" shapeId="0" xr:uid="{749EA0A2-08B4-431D-A269-DFDA943C990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4" authorId="0" shapeId="0" xr:uid="{DF0AD1DE-995A-4EB4-B389-A661BA2B21A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5" authorId="0" shapeId="0" xr:uid="{06A7EF0F-0D5C-4CFE-9520-270F10A744C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6" authorId="0" shapeId="0" xr:uid="{F24983ED-E4C5-4C33-B7D0-4661A78B589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7" authorId="0" shapeId="0" xr:uid="{33FC3C8C-78CB-4F82-85D3-9F7E6017417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8" authorId="0" shapeId="0" xr:uid="{650ED255-2F16-4557-AAD9-5916D464056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A89" authorId="1" shapeId="0" xr:uid="{7C5E54B1-FA35-4DD2-BC8C-D7B6E4405712}">
      <text>
        <r>
          <rPr>
            <b/>
            <sz val="9"/>
            <color rgb="FF000000"/>
            <rFont val="Tahoma"/>
            <family val="2"/>
          </rPr>
          <t>Javier Ponce: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Reformulation of old SKU</t>
        </r>
      </text>
    </comment>
    <comment ref="I89" authorId="0" shapeId="0" xr:uid="{A030C3AF-9551-408B-907B-0BD3F58937E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0" authorId="0" shapeId="0" xr:uid="{C4B67A95-5CCF-4B17-AA00-F992B5837C8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1" authorId="0" shapeId="0" xr:uid="{54526836-D060-4643-ABF9-FA255167A45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2" authorId="0" shapeId="0" xr:uid="{402A1140-6149-42B8-B4D2-15B833F056B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3" authorId="0" shapeId="0" xr:uid="{25434E9E-1ECC-4E50-9A59-E51E723C600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4" authorId="0" shapeId="0" xr:uid="{3E0FC8FC-E352-4409-A65B-645BE89AC0B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5" authorId="0" shapeId="0" xr:uid="{8325C667-020B-47AB-B98C-F1EBC545CFB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6" authorId="0" shapeId="0" xr:uid="{413876C3-089A-46F3-8988-C7B33593F22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7" authorId="0" shapeId="0" xr:uid="{019B73AA-804B-4BD0-AE64-0A79379B420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8" authorId="0" shapeId="0" xr:uid="{750DC878-D37D-444E-AE89-1DC7A14FE86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9" authorId="0" shapeId="0" xr:uid="{CFB12773-756E-4726-88D2-E0EE2BA6DD5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0" authorId="0" shapeId="0" xr:uid="{9865F505-59DA-46E2-AB85-F282BDD37DA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</commentList>
</comments>
</file>

<file path=xl/sharedStrings.xml><?xml version="1.0" encoding="utf-8"?>
<sst xmlns="http://schemas.openxmlformats.org/spreadsheetml/2006/main" count="1042" uniqueCount="533">
  <si>
    <t>UPC</t>
  </si>
  <si>
    <t>DESCRIPTION</t>
  </si>
  <si>
    <t>ITEM SIZE</t>
  </si>
  <si>
    <t>N/A</t>
  </si>
  <si>
    <t>Price</t>
  </si>
  <si>
    <t>Order</t>
  </si>
  <si>
    <t>Total</t>
  </si>
  <si>
    <t>WhatsApp → +380-9871-54085</t>
  </si>
  <si>
    <t>E-mail → info@dsn.group</t>
  </si>
  <si>
    <t>Instagram → https://www.instagram.com/dsngroup.official/</t>
  </si>
  <si>
    <r>
      <rPr>
        <b/>
        <sz val="10"/>
        <color rgb="FFFF0000"/>
        <rFont val="Cambria"/>
        <family val="1"/>
        <charset val="204"/>
        <scheme val="major"/>
      </rPr>
      <t>Importantly!</t>
    </r>
    <r>
      <rPr>
        <sz val="10"/>
        <rFont val="Cambria"/>
        <family val="1"/>
        <charset val="204"/>
        <scheme val="maj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</si>
  <si>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+13-322-093-910</t>
  </si>
  <si>
    <t>Poland → +48-459-568-603</t>
  </si>
  <si>
    <t>Item</t>
  </si>
  <si>
    <t>Dose</t>
  </si>
  <si>
    <t>Case</t>
  </si>
  <si>
    <t>500LC</t>
  </si>
  <si>
    <t>L-Carnitine  500 MG 50ct</t>
  </si>
  <si>
    <t>500 MG</t>
  </si>
  <si>
    <t>500SLC</t>
  </si>
  <si>
    <t>L-Carnitine  500 MG 100ct</t>
  </si>
  <si>
    <t>5M1000</t>
  </si>
  <si>
    <t>Methyl Folate 1000 MCG 100ct</t>
  </si>
  <si>
    <t>1000 MCG</t>
  </si>
  <si>
    <t>5MTHF</t>
  </si>
  <si>
    <t>Methyl Folate 400 MCG 60ct</t>
  </si>
  <si>
    <t>400 MCG</t>
  </si>
  <si>
    <t>ACE</t>
  </si>
  <si>
    <t>Acetyl L-Carnitine 500 MG 60ct</t>
  </si>
  <si>
    <t>ACEBG</t>
  </si>
  <si>
    <t>Acetyl L-Carnitine 500 MG 120ct</t>
  </si>
  <si>
    <t>AGPC</t>
  </si>
  <si>
    <t>Alpha GPC 300 MG 60ct</t>
  </si>
  <si>
    <t>300 MG</t>
  </si>
  <si>
    <t>ALA300</t>
  </si>
  <si>
    <t>Alpha Lipoic Sustain 300 MG 60ct</t>
  </si>
  <si>
    <t>ALAS120</t>
  </si>
  <si>
    <t>Alpha Lipoic Sustain - Value Size 300 MG 120ct</t>
  </si>
  <si>
    <t>ARGCIT</t>
  </si>
  <si>
    <t>Arginine-Citrulline Sustain™ 120ct</t>
  </si>
  <si>
    <t>ART500</t>
  </si>
  <si>
    <t>Artichoke 500 MG 180ct</t>
  </si>
  <si>
    <t>ASHWA</t>
  </si>
  <si>
    <t>Ashwagandha 300 MG 120ct</t>
  </si>
  <si>
    <t>ASTAHP</t>
  </si>
  <si>
    <t>Astaxanthin 12 MG 30ct</t>
  </si>
  <si>
    <t>12 MG</t>
  </si>
  <si>
    <t>ASTAHP60</t>
  </si>
  <si>
    <t>Astaxanthin 12 MG 60ct</t>
  </si>
  <si>
    <t>B</t>
  </si>
  <si>
    <t>B-Right® 100ct</t>
  </si>
  <si>
    <t>B12</t>
  </si>
  <si>
    <t>Methyl B12, Methylcobalamin 1000 MCG 100ct</t>
  </si>
  <si>
    <t>B2500</t>
  </si>
  <si>
    <t>Methyl B12, Methylcobalamin 2500 MCG 100ct</t>
  </si>
  <si>
    <t>2500 MCG</t>
  </si>
  <si>
    <t>B5</t>
  </si>
  <si>
    <t>Pantothenic Acid 500 MG 100ct</t>
  </si>
  <si>
    <t>B5000</t>
  </si>
  <si>
    <t>Methyl B-12, Methylcobalamin 5000 MCG 60ct</t>
  </si>
  <si>
    <t>5000 MCG</t>
  </si>
  <si>
    <t>B500090</t>
  </si>
  <si>
    <t>Methyl B-12, Methylcobalamin 5000 MCG 90ct</t>
  </si>
  <si>
    <t>BERG</t>
  </si>
  <si>
    <t>Citrus Bergamot 500 MG 60ct</t>
  </si>
  <si>
    <t>BERG120</t>
  </si>
  <si>
    <t>Citrus Bergamot 500 MG 120ct</t>
  </si>
  <si>
    <t>BFGUM</t>
  </si>
  <si>
    <t>B12 Energy 1500 MCG 60ct</t>
  </si>
  <si>
    <t>1500 MCG</t>
  </si>
  <si>
    <t>BMCG</t>
  </si>
  <si>
    <t>Methyl B-12, Methylcobalamin 500 MCG 100ct</t>
  </si>
  <si>
    <t>500 MCG</t>
  </si>
  <si>
    <t>BMF14</t>
  </si>
  <si>
    <t>Methyl B-12 &amp; Methyl Folate 100ct</t>
  </si>
  <si>
    <t>BMF58</t>
  </si>
  <si>
    <t>Methyl B-12 &amp; Methyl Folate 60ct</t>
  </si>
  <si>
    <t>BROC</t>
  </si>
  <si>
    <t>BroccoMax® 60ct</t>
  </si>
  <si>
    <t>BROC120</t>
  </si>
  <si>
    <t>BroccoMax® 30 MG 120ct</t>
  </si>
  <si>
    <t>30 MG</t>
  </si>
  <si>
    <t>BTN</t>
  </si>
  <si>
    <t>Biotin 5000 MCG 100ct</t>
  </si>
  <si>
    <t>BU120</t>
  </si>
  <si>
    <t>BoneUp® 120ct</t>
  </si>
  <si>
    <t>BU240</t>
  </si>
  <si>
    <t>BoneUp® 240ct</t>
  </si>
  <si>
    <t>BU360</t>
  </si>
  <si>
    <t>BoneUp® - Value Size 360ct</t>
  </si>
  <si>
    <t>BUTPD</t>
  </si>
  <si>
    <t>BoneUp® - Three Per Day 90ct</t>
  </si>
  <si>
    <t>BUTPD180</t>
  </si>
  <si>
    <t>BoneUp® - Three Per Day 180ct</t>
  </si>
  <si>
    <t>CDP</t>
  </si>
  <si>
    <t>Citicoline CDP Choline 250 MG 60ct</t>
  </si>
  <si>
    <t>250 MG</t>
  </si>
  <si>
    <t>CDP120</t>
  </si>
  <si>
    <t>Citicoline CDP Choline 250 MG 120ct</t>
  </si>
  <si>
    <t>CDVOPT</t>
  </si>
  <si>
    <t>Cardiovascular Optimizer™ TBD Per Cap 120ct</t>
  </si>
  <si>
    <t>TBD Per Cap</t>
  </si>
  <si>
    <t>COLLAGEN</t>
  </si>
  <si>
    <t>Type II Collagen Complex 500 MG 60ct</t>
  </si>
  <si>
    <t>CUR</t>
  </si>
  <si>
    <t>Curcumin 95 500 MG 60ct</t>
  </si>
  <si>
    <t>CUR120</t>
  </si>
  <si>
    <t>Curcumin 95 500 MG 120ct</t>
  </si>
  <si>
    <t>CURPH</t>
  </si>
  <si>
    <t>Curcumin Phytosome 500 MG 60ct</t>
  </si>
  <si>
    <t>CURPH120</t>
  </si>
  <si>
    <t>Curcumin Phytosome 500 MG 120ct</t>
  </si>
  <si>
    <t>D2500</t>
  </si>
  <si>
    <t>Vitamin D3 2500 IU 100ct</t>
  </si>
  <si>
    <t>2500 IU</t>
  </si>
  <si>
    <t>D5000</t>
  </si>
  <si>
    <t>Vitamin D3 5000 IU 100ct</t>
  </si>
  <si>
    <t>5000 IU</t>
  </si>
  <si>
    <t>DIM</t>
  </si>
  <si>
    <t>DIM + CDG 30ct</t>
  </si>
  <si>
    <t>ENGOPT</t>
  </si>
  <si>
    <t>Energy Optimizer™ TBD Per Cap 90ct</t>
  </si>
  <si>
    <t>EPADHA120</t>
  </si>
  <si>
    <t>EPA-DHA Balance® 600 MG 120ct</t>
  </si>
  <si>
    <t>600 MG</t>
  </si>
  <si>
    <t>EPADHA240</t>
  </si>
  <si>
    <t>EPA-DHA Balance® 600 MG 240ct</t>
  </si>
  <si>
    <t>FEM</t>
  </si>
  <si>
    <t>Fem-Dophilus® - Refrig. 5BIL 30ct</t>
  </si>
  <si>
    <t>5 BILLION ORGANISMS Per Cap</t>
  </si>
  <si>
    <t>FEM60</t>
  </si>
  <si>
    <t>Fem-Dophilus® - Refrig. 5BIL 60ct</t>
  </si>
  <si>
    <t>FEMAC</t>
  </si>
  <si>
    <t>Fem-Dophilus® Advanced - Refrig. 10 BIL 30ct</t>
  </si>
  <si>
    <t>10 BILLION ORGANISMS Per Cap</t>
  </si>
  <si>
    <t>FEMS</t>
  </si>
  <si>
    <t>Fem-Dophilus® - Shelf Stable 1 BIL 30ct</t>
  </si>
  <si>
    <t>1 BILLION ORGANISMS Per Cap</t>
  </si>
  <si>
    <t>FEMS60</t>
  </si>
  <si>
    <t>Fem-Dophilus® Shelf Stable 1 BIL 60ct</t>
  </si>
  <si>
    <t>FEMSAC</t>
  </si>
  <si>
    <t>Fem-Dophilus® Advanced - Shelf Stable 10 BIL 30ct</t>
  </si>
  <si>
    <t>FEMSUL30</t>
  </si>
  <si>
    <t>Fem-Dophilus® Ultra - Shelf Stable 30ct</t>
  </si>
  <si>
    <t>FEMUL30</t>
  </si>
  <si>
    <t>Fem-Dohilus® Ultra - Refrig. 30ct</t>
  </si>
  <si>
    <t>GABA</t>
  </si>
  <si>
    <t>GABA Soothe® 30ct</t>
  </si>
  <si>
    <t>GCM120</t>
  </si>
  <si>
    <t>Glucosamine+Chondroitin+MSM 120ct</t>
  </si>
  <si>
    <t>GCM240</t>
  </si>
  <si>
    <t>Glucosamine+Chondroitin+MSM 240ct</t>
  </si>
  <si>
    <t>GLRED</t>
  </si>
  <si>
    <t>Reduced Glutathione 500 MG 60ct</t>
  </si>
  <si>
    <t>GLRED120</t>
  </si>
  <si>
    <t>Reduced Glutathione 500 MG 120ct</t>
  </si>
  <si>
    <t>GLRED150</t>
  </si>
  <si>
    <t>Reduced Glutathione 500 MG 150ct</t>
  </si>
  <si>
    <t>GLUCAN</t>
  </si>
  <si>
    <t>Beta Glucan  250 MG 60ct</t>
  </si>
  <si>
    <t>GMCAP</t>
  </si>
  <si>
    <t>L-Glutamine 750 MG 120ct</t>
  </si>
  <si>
    <t>750 MG</t>
  </si>
  <si>
    <t>GMKILO</t>
  </si>
  <si>
    <t>L-Glutamine 2 GM/Scoop 1000ct</t>
  </si>
  <si>
    <t>2 GM/Scoop</t>
  </si>
  <si>
    <t>GMTAB</t>
  </si>
  <si>
    <t>L-Glutamine  1000 MG 100ct</t>
  </si>
  <si>
    <t>1000 MG</t>
  </si>
  <si>
    <t>GSC240</t>
  </si>
  <si>
    <t>Glucosamine + Chondroitin 240ct</t>
  </si>
  <si>
    <t>GUTDS</t>
  </si>
  <si>
    <t>Jarro-Dophilus® Gut Calm 8 BIL 30ct</t>
  </si>
  <si>
    <t>8 BILLION ORGANISMS Per Cap</t>
  </si>
  <si>
    <t>HTP100</t>
  </si>
  <si>
    <t>5-HTP 100 MG 60ct</t>
  </si>
  <si>
    <t>100 MG</t>
  </si>
  <si>
    <t>HTP50</t>
  </si>
  <si>
    <t>5-HTP 50 MG 90ct</t>
  </si>
  <si>
    <t>50 MG</t>
  </si>
  <si>
    <t>HYAL</t>
  </si>
  <si>
    <t>Hyaluronic Acid  60 MG 60ct</t>
  </si>
  <si>
    <t>60 MG</t>
  </si>
  <si>
    <t>HYAL120</t>
  </si>
  <si>
    <t>Hyaluronic Acid  60 MG 120ct</t>
  </si>
  <si>
    <t>IBS</t>
  </si>
  <si>
    <t>Ideal Bowel Support® 10 BIL 30ct</t>
  </si>
  <si>
    <t>IMUOPT</t>
  </si>
  <si>
    <t>Immune Optimizer™ TBD Per Cap 90ct</t>
  </si>
  <si>
    <t>INCAP</t>
  </si>
  <si>
    <t>Inositol 750 MG 100ct</t>
  </si>
  <si>
    <t>JD</t>
  </si>
  <si>
    <t>Jarro-Dophilus®+FOS 3.4 BIL 100ct</t>
  </si>
  <si>
    <t>3.4 BILLION ORGANISMS Per Cap</t>
  </si>
  <si>
    <t>JD300</t>
  </si>
  <si>
    <t>Jarro-Dophilus®+FOS - Value Size 3.4 BIL 300ct</t>
  </si>
  <si>
    <t>JDKR160</t>
  </si>
  <si>
    <t>Jarro-Dophilus® Kids 1 BIL 60ct</t>
  </si>
  <si>
    <t>1 BILLION ORGANISMS Per Chewtab</t>
  </si>
  <si>
    <t>JEPS</t>
  </si>
  <si>
    <t>Jarro-Dophilus® EPS 5 BIL 60ct</t>
  </si>
  <si>
    <t>JEPS120</t>
  </si>
  <si>
    <t>Jarro-Dophilus® EPS  5 BIL 120ct</t>
  </si>
  <si>
    <t>JEPSHP</t>
  </si>
  <si>
    <t>Jarro-Dophilus® EPS 25 BIL 30ct</t>
  </si>
  <si>
    <t>25 BILLION VIABLE CELLS Per Cap</t>
  </si>
  <si>
    <t>JEPSHP60</t>
  </si>
  <si>
    <t>Jarro-Dophilus® EPS 60ct</t>
  </si>
  <si>
    <t>JEPSM55</t>
  </si>
  <si>
    <t>Jarro-Dophilus® EPS Advanced 55 BIL 30ct</t>
  </si>
  <si>
    <t>55 BILLION ORGANISMS Per Cap</t>
  </si>
  <si>
    <t>KETO</t>
  </si>
  <si>
    <t>7-Keto® DHEA 100 MG 30ct</t>
  </si>
  <si>
    <t>KETO90</t>
  </si>
  <si>
    <t>7-Keto® DHEA 100 MG 90ct</t>
  </si>
  <si>
    <t>KO120</t>
  </si>
  <si>
    <t>Krill Oil 120ct</t>
  </si>
  <si>
    <t>KO60</t>
  </si>
  <si>
    <t>Krill Oil 60ct</t>
  </si>
  <si>
    <t>KR</t>
  </si>
  <si>
    <t>K-Right® 60ct</t>
  </si>
  <si>
    <t>LACFE</t>
  </si>
  <si>
    <t>Lactoferrin 250 MG 60ct</t>
  </si>
  <si>
    <t>LACFE30</t>
  </si>
  <si>
    <t>Lactoferrin 250 MG 30ct</t>
  </si>
  <si>
    <t>LCAR</t>
  </si>
  <si>
    <t>L-Carnosine 500 MG 90ct</t>
  </si>
  <si>
    <t>LTS</t>
  </si>
  <si>
    <t>L-Tyrosine 500 MG 100ct</t>
  </si>
  <si>
    <t>LU120</t>
  </si>
  <si>
    <t>Lutein 20 MG 120ct</t>
  </si>
  <si>
    <t>20 MG</t>
  </si>
  <si>
    <t>LU60</t>
  </si>
  <si>
    <t>Lutein 20 MG 60ct</t>
  </si>
  <si>
    <t>MAGGLY90</t>
  </si>
  <si>
    <t>Mag Glycinate 360MG 90ct</t>
  </si>
  <si>
    <t>360 MG</t>
  </si>
  <si>
    <t>MAGIMUS</t>
  </si>
  <si>
    <t>MagMind® Immuno Stress Caps 60ct</t>
  </si>
  <si>
    <t>MAGMNTL</t>
  </si>
  <si>
    <t>MagMind® Productivity TBD Per Cap 60ct</t>
  </si>
  <si>
    <t>MAGQSR</t>
  </si>
  <si>
    <t>MagMind® Quick Stress Relief Caps 60ct</t>
  </si>
  <si>
    <t>MAGSF</t>
  </si>
  <si>
    <t>MagMind® Stress Resistance TBD Per Cap 60ct</t>
  </si>
  <si>
    <t>MAGT</t>
  </si>
  <si>
    <t>MagMind® 90ct</t>
  </si>
  <si>
    <t>MAGT72</t>
  </si>
  <si>
    <t>MagMind® 72ct</t>
  </si>
  <si>
    <t>MAGTAU90</t>
  </si>
  <si>
    <t>Mag Taurate 90ct</t>
  </si>
  <si>
    <t>MGUM</t>
  </si>
  <si>
    <t>Mastic Gum 500 MG 60ct</t>
  </si>
  <si>
    <t>MGUM120</t>
  </si>
  <si>
    <t>Mastic Gum 500 MG 120ct</t>
  </si>
  <si>
    <t>MK7</t>
  </si>
  <si>
    <t>MK-7 90 MCG 60ct</t>
  </si>
  <si>
    <t>90 MCG</t>
  </si>
  <si>
    <t>MK7120</t>
  </si>
  <si>
    <t>MK-7 90 MCG 120ct</t>
  </si>
  <si>
    <t>MK7180</t>
  </si>
  <si>
    <t>MK-7 180 MCG 30ct</t>
  </si>
  <si>
    <t>180 MCG</t>
  </si>
  <si>
    <t>MK790</t>
  </si>
  <si>
    <t>MK-7 90 MCG 90ct</t>
  </si>
  <si>
    <t>MPF</t>
  </si>
  <si>
    <t>MaculaPF™ 30ct</t>
  </si>
  <si>
    <t>MPF60</t>
  </si>
  <si>
    <t>MaculaPF™ 60ct</t>
  </si>
  <si>
    <t>MSM200</t>
  </si>
  <si>
    <t>MSM 1000 MG 200ct</t>
  </si>
  <si>
    <t>MSMKILO</t>
  </si>
  <si>
    <t>MSM 1000 MG/Scoop 1000ct</t>
  </si>
  <si>
    <t>1000 MG/Scoop</t>
  </si>
  <si>
    <t>MVF60</t>
  </si>
  <si>
    <t>Women's Multi+™ 60ct</t>
  </si>
  <si>
    <t>MVM60</t>
  </si>
  <si>
    <t>Men's Multi+™ 60ct</t>
  </si>
  <si>
    <t>MVMD60</t>
  </si>
  <si>
    <t>Mood Multi+™  60ct</t>
  </si>
  <si>
    <t>NAC60</t>
  </si>
  <si>
    <t>N-A-C (N-Acetyl-L-Cysteine) 500 MG 60ct</t>
  </si>
  <si>
    <t>NAG120</t>
  </si>
  <si>
    <t>N-A-G 700 MG 120ct</t>
  </si>
  <si>
    <t>700 MG</t>
  </si>
  <si>
    <t>NEURO</t>
  </si>
  <si>
    <t>Neuro Optimizer® 120ct</t>
  </si>
  <si>
    <t>PPS</t>
  </si>
  <si>
    <t>PS100 100 MG 60ct</t>
  </si>
  <si>
    <t>PPSCAP</t>
  </si>
  <si>
    <t>PS100 100 MG 120ct</t>
  </si>
  <si>
    <t>PQ20</t>
  </si>
  <si>
    <t>PQQ (pyrroloquinoline quinone) 20 MG 30ct</t>
  </si>
  <si>
    <t>PQ260</t>
  </si>
  <si>
    <t>PQQ (pyrroloquinoline quinone) 20 MG 60ct</t>
  </si>
  <si>
    <t>PS120</t>
  </si>
  <si>
    <t>PTERO</t>
  </si>
  <si>
    <t>trans-Pterostilbene 50 MG 60ct</t>
  </si>
  <si>
    <t>Q100</t>
  </si>
  <si>
    <t>Co-Q10 100 MG 60ct</t>
  </si>
  <si>
    <t>Q260</t>
  </si>
  <si>
    <t>Co-Q10 200 MG 60ct</t>
  </si>
  <si>
    <t>200 MG</t>
  </si>
  <si>
    <t>QA120</t>
  </si>
  <si>
    <t>Q-absorb® 100 MG 120ct</t>
  </si>
  <si>
    <t>QH200</t>
  </si>
  <si>
    <t>QH-absorb® 200 MG 30ct</t>
  </si>
  <si>
    <t>QH260</t>
  </si>
  <si>
    <t>QH-absorb® 200 MG 60ct</t>
  </si>
  <si>
    <t>QH290</t>
  </si>
  <si>
    <t>QH-absorb® 200 MG 90ct</t>
  </si>
  <si>
    <t>QHAB120</t>
  </si>
  <si>
    <t>QH-absorb® 100 MG 120ct</t>
  </si>
  <si>
    <t>QHAB60</t>
  </si>
  <si>
    <t>QH-absorb® 100 MG 60ct</t>
  </si>
  <si>
    <t>QHPQ</t>
  </si>
  <si>
    <t>QH-absorb® + PQQ™ 30ct</t>
  </si>
  <si>
    <t>QHPQ60</t>
  </si>
  <si>
    <t>QH-absorb® + PQQ™ 60ct</t>
  </si>
  <si>
    <t>QQ160</t>
  </si>
  <si>
    <t>Q-absorb® 100 MG 60ct</t>
  </si>
  <si>
    <t>QUE200</t>
  </si>
  <si>
    <t>Quercetin 500 MG 200ct</t>
  </si>
  <si>
    <t>QUE30</t>
  </si>
  <si>
    <t>Quercetin 500 MG 30ct</t>
  </si>
  <si>
    <t>QUER</t>
  </si>
  <si>
    <t>Quercetin 500 MG 100ct</t>
  </si>
  <si>
    <t>RALA</t>
  </si>
  <si>
    <t>R-Alpha Lipoic Acid  60ct</t>
  </si>
  <si>
    <t>RIB200</t>
  </si>
  <si>
    <t>D-Ribose 200ct</t>
  </si>
  <si>
    <t>RYR</t>
  </si>
  <si>
    <t>Red Yeast Rice + Co-Q10 600 MG 120ct</t>
  </si>
  <si>
    <t>SAC</t>
  </si>
  <si>
    <t>Saccharomyces Boulardii + MOS - Shelf Stable 5 BIL 90ct</t>
  </si>
  <si>
    <t>SAC180</t>
  </si>
  <si>
    <t>Saccharomyces Boulardii + MOS - Shelf Stable 5 BIL 180ct</t>
  </si>
  <si>
    <t>SALG</t>
  </si>
  <si>
    <t>S-Acetyl L-Glutathione 100 MG 60ct</t>
  </si>
  <si>
    <t>SAM400</t>
  </si>
  <si>
    <t>SAMe 400 400 MG 30ct</t>
  </si>
  <si>
    <t>400 MG</t>
  </si>
  <si>
    <t>SAM460</t>
  </si>
  <si>
    <t>SAMe 400 400 MG 60ct</t>
  </si>
  <si>
    <t>SAM60</t>
  </si>
  <si>
    <t>SAMe 200  200 MG 60ct</t>
  </si>
  <si>
    <t>SAMEBX</t>
  </si>
  <si>
    <t>SAMe 200  200 MG 20ct</t>
  </si>
  <si>
    <t>SHIL60</t>
  </si>
  <si>
    <t>Shilajit Fulvic Acid Complex 250 MG 60ct</t>
  </si>
  <si>
    <t>SIL200</t>
  </si>
  <si>
    <t>Milk Thistle 150 MG 200ct</t>
  </si>
  <si>
    <t>150 MG</t>
  </si>
  <si>
    <t>SILY</t>
  </si>
  <si>
    <t>Milk Thistle 150 MG 100ct</t>
  </si>
  <si>
    <t>SJD</t>
  </si>
  <si>
    <t>Jarro-Dophilus®+FOS 3.4 BIL  200ct</t>
  </si>
  <si>
    <t>SUS60</t>
  </si>
  <si>
    <t>N-A-C Sustain® 600 MG 60ct</t>
  </si>
  <si>
    <t>TAU</t>
  </si>
  <si>
    <t>Taurine 1000 MG 100ct</t>
  </si>
  <si>
    <t>THE</t>
  </si>
  <si>
    <t>Theanine 100 MG 60ct</t>
  </si>
  <si>
    <t>THE200</t>
  </si>
  <si>
    <t>Theanine 200 MG 60ct</t>
  </si>
  <si>
    <t>THEGUM</t>
  </si>
  <si>
    <t>Theanine Gummies 100 MG 60ct</t>
  </si>
  <si>
    <t>TOCO</t>
  </si>
  <si>
    <t>Toco-Sorb® 60ct</t>
  </si>
  <si>
    <t>ULT240</t>
  </si>
  <si>
    <t>Ultra BoneUp® 240ct</t>
  </si>
  <si>
    <t>ULTJD</t>
  </si>
  <si>
    <t>Jarro-Dophilus® Ultra 50 BIL 60ct</t>
  </si>
  <si>
    <t>50 BILLION ORGANISMS Per Cap</t>
  </si>
  <si>
    <t>WBM</t>
  </si>
  <si>
    <t>Wild Bitter Melon Extract 750 MG 60ct</t>
  </si>
  <si>
    <t>WNAT</t>
  </si>
  <si>
    <t>Whey Protein, Unflavored 24g</t>
  </si>
  <si>
    <t>YUMJD</t>
  </si>
  <si>
    <t>Yum-Yum Dophilus® - Refrig. 1 BIL 60ct</t>
  </si>
  <si>
    <t>1 BILLION ORGANISMS Per 2 Chewtabs</t>
  </si>
  <si>
    <t>YUMJD120</t>
  </si>
  <si>
    <t>Yum-Yum Dophilus® - Refrig. 1 BIL 120ct</t>
  </si>
  <si>
    <t>ZB</t>
  </si>
  <si>
    <t>Zinc Balance® 15 MG 100ct</t>
  </si>
  <si>
    <t>15 MG</t>
  </si>
  <si>
    <t>ADREN120</t>
  </si>
  <si>
    <t>ARG</t>
  </si>
  <si>
    <t>BAB</t>
  </si>
  <si>
    <t>BABDROP</t>
  </si>
  <si>
    <t>BABS</t>
  </si>
  <si>
    <t>BILE</t>
  </si>
  <si>
    <t>CAROT</t>
  </si>
  <si>
    <t>FOSPD</t>
  </si>
  <si>
    <t>GOPT</t>
  </si>
  <si>
    <t>GTC</t>
  </si>
  <si>
    <t>IP6</t>
  </si>
  <si>
    <t>JDAF</t>
  </si>
  <si>
    <t>JDPN</t>
  </si>
  <si>
    <t>JEPS30</t>
  </si>
  <si>
    <t>LY</t>
  </si>
  <si>
    <t>MP</t>
  </si>
  <si>
    <t>MSM100</t>
  </si>
  <si>
    <t>MSM120</t>
  </si>
  <si>
    <t>NATT</t>
  </si>
  <si>
    <t>PANT</t>
  </si>
  <si>
    <t>PGUMPRE</t>
  </si>
  <si>
    <t>PGUMPRE50</t>
  </si>
  <si>
    <t>PQ10</t>
  </si>
  <si>
    <t>PR1300</t>
  </si>
  <si>
    <t>PRECHEW90</t>
  </si>
  <si>
    <t>PS</t>
  </si>
  <si>
    <t>RES100</t>
  </si>
  <si>
    <t>RESBG</t>
  </si>
  <si>
    <t>RESV200</t>
  </si>
  <si>
    <t>SBIL</t>
  </si>
  <si>
    <t>SD1000</t>
  </si>
  <si>
    <t>SG240</t>
  </si>
  <si>
    <t>SLP60</t>
  </si>
  <si>
    <t>SS</t>
  </si>
  <si>
    <t>TRYP</t>
  </si>
  <si>
    <t>VBU</t>
  </si>
  <si>
    <t>VIS180</t>
  </si>
  <si>
    <t>WCHOC</t>
  </si>
  <si>
    <t>WVAN</t>
  </si>
  <si>
    <t>Adrenal Optimizer®  120ct</t>
  </si>
  <si>
    <t>L-Arginine 1000 MG 100ct</t>
  </si>
  <si>
    <t>Jarro-Dophilus® Baby 3 BIL 2.5oz</t>
  </si>
  <si>
    <t>Jarro-Dophilus® Infant 1 BIL 15ml</t>
  </si>
  <si>
    <t>Jarro-Dophilus® Baby 3 BIL 2.1oz</t>
  </si>
  <si>
    <t>Bile Acid Factors 120ct</t>
  </si>
  <si>
    <t>CarotenAll® 60ct</t>
  </si>
  <si>
    <t>Prebiotic Inulin-FOS 180ct</t>
  </si>
  <si>
    <t>Glucose Optimizer®  20ct</t>
  </si>
  <si>
    <t>Green Tea 500 MG 100ct</t>
  </si>
  <si>
    <t>IP6 500 MG 120ct</t>
  </si>
  <si>
    <t>Jarro-Dophilus® Allergen Free 10 BIL 60ct</t>
  </si>
  <si>
    <t>Jarro-Dophilus® Prenatal 6 BIL 30ct</t>
  </si>
  <si>
    <t>Jarro-Dophilus® EPS 5 BIL 30ct</t>
  </si>
  <si>
    <t>L-Lysine 500 MG 100ct</t>
  </si>
  <si>
    <t>Magnesium Optimizer® 200ct</t>
  </si>
  <si>
    <t>MSM 1000 MG 100ct</t>
  </si>
  <si>
    <t>MSM 1000 MG 120ct</t>
  </si>
  <si>
    <t>N-Acetyl Tyrosine 350 MG 120ct</t>
  </si>
  <si>
    <t>Pantethine 450 MG 60ct</t>
  </si>
  <si>
    <t>Probiotic+ Prebiotic 2 BIL Gummies 60ct</t>
  </si>
  <si>
    <t>Probiotic+ Prebiotic 2 BIL Gummies 50ct</t>
  </si>
  <si>
    <t>PQQ (pyrroloquinoline quinone) 10 MG 30ct</t>
  </si>
  <si>
    <t>Evening Primrose 1300 MG 60ct</t>
  </si>
  <si>
    <t>Prebiotics XOS+GOS 90ct</t>
  </si>
  <si>
    <t>PS100 100 MG 30ct</t>
  </si>
  <si>
    <t>Resveratrol 100 MG 60ct</t>
  </si>
  <si>
    <t>Resveratrol 100 MG 120ct</t>
  </si>
  <si>
    <t>Resveratrol Synergy®  60ct</t>
  </si>
  <si>
    <t>Bilberry + Grapeskin Polyphenols 280 MG 120ct</t>
  </si>
  <si>
    <t>Vitamin D3 1000 IU 200ct</t>
  </si>
  <si>
    <t>Borage 240 MG 120ct</t>
  </si>
  <si>
    <t>Sleep Optimizer® 60ct</t>
  </si>
  <si>
    <t>Selenium Synergy® 60ct</t>
  </si>
  <si>
    <t>L-Tryptophan 500 MG 60ct</t>
  </si>
  <si>
    <t>Vegetarian BoneUp® 120ct</t>
  </si>
  <si>
    <t>Vision Optimizer® 180ct</t>
  </si>
  <si>
    <t>Whey Protein, Chocolate Flavored 26g</t>
  </si>
  <si>
    <t>Whey Protein, French Vanilla Flavored  25g</t>
  </si>
  <si>
    <t>3 BILLION ORGANISMS Per Gram</t>
  </si>
  <si>
    <t>1 BILLION ORGANISMS Per 10 Drops</t>
  </si>
  <si>
    <t>1000 IU</t>
  </si>
  <si>
    <t>6 BILLION ORGANISMS Per Cap</t>
  </si>
  <si>
    <t>350 MG</t>
  </si>
  <si>
    <t>450 MG</t>
  </si>
  <si>
    <t>2 BILLION ORGANISMS Per 2 Gummies</t>
  </si>
  <si>
    <t>10 MG</t>
  </si>
  <si>
    <t>1300 MG</t>
  </si>
  <si>
    <t>280 MG</t>
  </si>
  <si>
    <t>240 MG</t>
  </si>
  <si>
    <t>Weight 
kg</t>
  </si>
  <si>
    <t>90 CAPS</t>
  </si>
  <si>
    <t>60 CAPS</t>
  </si>
  <si>
    <t>60 TABS</t>
  </si>
  <si>
    <t>30 CAPS</t>
  </si>
  <si>
    <t>50 VCAPS</t>
  </si>
  <si>
    <t>100 VCAPS</t>
  </si>
  <si>
    <t>60 VCAPS</t>
  </si>
  <si>
    <t>120 VCAPS</t>
  </si>
  <si>
    <t>120 TABS</t>
  </si>
  <si>
    <t>100 TABS</t>
  </si>
  <si>
    <t>180 VCAPS</t>
  </si>
  <si>
    <t>30 SFTGELS</t>
  </si>
  <si>
    <t>60 SFTGELS</t>
  </si>
  <si>
    <t>100 CHEWTABS</t>
  </si>
  <si>
    <t>60 CHEWTABS</t>
  </si>
  <si>
    <t>90 CHEWTABS</t>
  </si>
  <si>
    <t>2,5 OZ</t>
  </si>
  <si>
    <t>15 ML</t>
  </si>
  <si>
    <t>2,1 OZ</t>
  </si>
  <si>
    <t>60 GUMMIES</t>
  </si>
  <si>
    <t>120 CAPS</t>
  </si>
  <si>
    <t>240 CAPS</t>
  </si>
  <si>
    <t>360 CAPS</t>
  </si>
  <si>
    <t>180 CAPS</t>
  </si>
  <si>
    <t>120 SFTGELS</t>
  </si>
  <si>
    <t>100 SFTGELS</t>
  </si>
  <si>
    <t>30 VCAPS</t>
  </si>
  <si>
    <t>90 VCAPS</t>
  </si>
  <si>
    <t>240 SFTGELS</t>
  </si>
  <si>
    <t>180 GM</t>
  </si>
  <si>
    <t>150 VCAPS</t>
  </si>
  <si>
    <t>1000 GM</t>
  </si>
  <si>
    <t>300 VCAPS</t>
  </si>
  <si>
    <t>30 TABS</t>
  </si>
  <si>
    <t>100 CAPS</t>
  </si>
  <si>
    <t>72 VCAPS</t>
  </si>
  <si>
    <t>90 SFTGELS</t>
  </si>
  <si>
    <t>200 TABS</t>
  </si>
  <si>
    <t>200 VCAPS</t>
  </si>
  <si>
    <t>50 GUMMIES</t>
  </si>
  <si>
    <t>90 TABS</t>
  </si>
  <si>
    <t>200 GM</t>
  </si>
  <si>
    <t>20 TABS</t>
  </si>
  <si>
    <t>200 SFTGELS</t>
  </si>
  <si>
    <t>240 TABS</t>
  </si>
  <si>
    <t>908 GM</t>
  </si>
  <si>
    <t>120 CHEWTABS</t>
  </si>
  <si>
    <t>Unіt Freight Cost</t>
  </si>
  <si>
    <t>unit, key</t>
  </si>
  <si>
    <t>Weight, kg</t>
  </si>
  <si>
    <t>Logistic Price</t>
  </si>
  <si>
    <t>Nicotinamide Mononucleotide (NMN)</t>
  </si>
  <si>
    <t>NMN</t>
  </si>
  <si>
    <t>RATING</t>
  </si>
  <si>
    <t>А</t>
  </si>
  <si>
    <t>В</t>
  </si>
  <si>
    <t>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</si>
</sst>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$-2809]* #,##0.00_-;\-[$$-2809]* #,##0.00_-;_-[$$-2809]* &quot;-&quot;??_-;_-@_-"/>
    <numFmt numFmtId="167" formatCode="0.000"/>
    <numFmt numFmtId="168" formatCode="_-[$$-409]* #,##0.00_ ;_-[$$-409]* \-#,##0.00\ ;_-[$$-409]* &quot;-&quot;??_ ;_-@_ "/>
    <numFmt numFmtId="169" formatCode="[$$-409]#,##0.00"/>
  </numFmts>
  <fonts count="23" x14ac:knownFonts="1">
    <font>
      <sz val="10"/>
      <name val="MS Sans Serif"/>
      <family val="2"/>
    </font>
    <font>
      <b/>
      <sz val="10"/>
      <color indexed="16"/>
      <name val="Verdana"/>
      <family val="2"/>
    </font>
    <font>
      <sz val="10"/>
      <name val="Verdana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b/>
      <sz val="10"/>
      <name val="MS Sans Serif"/>
      <charset val="204"/>
    </font>
    <font>
      <sz val="10"/>
      <name val="Cambria"/>
      <family val="1"/>
      <charset val="204"/>
      <scheme val="major"/>
    </font>
    <font>
      <b/>
      <sz val="10"/>
      <color rgb="FFFF0000"/>
      <name val="Cambria"/>
      <family val="1"/>
      <charset val="204"/>
      <scheme val="major"/>
    </font>
    <font>
      <sz val="12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11"/>
      <color theme="1"/>
      <name val="Segoe UI"/>
      <family val="2"/>
      <charset val="204"/>
    </font>
    <font>
      <b/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patternFill patternType="solid">
        <fgColor rgb="FFFFFF00"/>
        <bgColor rgb="FF0064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8">
    <xf numFmtId="0" fontId="0" fillId="0" borderId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6" fillId="0" borderId="0"/>
    <xf numFmtId="0" fontId="4" fillId="0" borderId="0"/>
    <xf numFmtId="49" fontId="3" fillId="0" borderId="0" applyFont="0" applyFill="0" applyBorder="0" applyProtection="0">
      <alignment wrapText="1"/>
    </xf>
    <xf numFmtId="0" fontId="8" fillId="0" borderId="0"/>
  </cellStyleXfs>
  <cellXfs count="47">
    <xf numFmtId="0" fontId="0" fillId="0" borderId="0" xfId="0"/>
    <xf numFmtId="166" fontId="1" fillId="0" borderId="1" xfId="5" quotePrefix="1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2" xfId="0" applyFont="1" applyBorder="1" applyAlignment="1" applyProtection="1">
      <alignment horizontal="center"/>
      <protection hidden="1"/>
    </xf>
    <xf numFmtId="0" fontId="9" fillId="0" borderId="3" xfId="7" applyFont="1" applyBorder="1" applyAlignment="1" applyProtection="1">
      <alignment horizontal="center"/>
      <protection hidden="1"/>
    </xf>
    <xf numFmtId="0" fontId="9" fillId="0" borderId="4" xfId="7" applyFont="1" applyBorder="1" applyAlignment="1" applyProtection="1">
      <alignment horizontal="center"/>
      <protection hidden="1"/>
    </xf>
    <xf numFmtId="0" fontId="9" fillId="0" borderId="5" xfId="7" applyFont="1" applyBorder="1" applyAlignment="1" applyProtection="1">
      <alignment horizontal="center"/>
      <protection hidden="1"/>
    </xf>
    <xf numFmtId="0" fontId="9" fillId="0" borderId="6" xfId="7" applyFont="1" applyBorder="1" applyAlignment="1" applyProtection="1">
      <alignment horizontal="center"/>
      <protection hidden="1"/>
    </xf>
    <xf numFmtId="0" fontId="9" fillId="0" borderId="7" xfId="7" applyFont="1" applyBorder="1" applyAlignment="1" applyProtection="1">
      <alignment horizontal="center"/>
      <protection hidden="1"/>
    </xf>
    <xf numFmtId="0" fontId="1" fillId="0" borderId="1" xfId="5" quotePrefix="1" applyFont="1" applyBorder="1" applyAlignment="1" applyProtection="1">
      <alignment horizontal="center" vertical="center" wrapText="1"/>
      <protection hidden="1"/>
    </xf>
    <xf numFmtId="1" fontId="1" fillId="0" borderId="1" xfId="5" quotePrefix="1" applyNumberFormat="1" applyFont="1" applyBorder="1" applyAlignment="1" applyProtection="1">
      <alignment horizontal="center" vertical="center" wrapText="1"/>
      <protection hidden="1"/>
    </xf>
    <xf numFmtId="166" fontId="1" fillId="0" borderId="1" xfId="5" quotePrefix="1" applyNumberFormat="1" applyFont="1" applyBorder="1" applyAlignment="1" applyProtection="1">
      <alignment horizontal="center" vertical="center" wrapText="1"/>
      <protection hidden="1"/>
    </xf>
    <xf numFmtId="166" fontId="2" fillId="0" borderId="1" xfId="5" applyNumberFormat="1" applyFon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1" fontId="0" fillId="0" borderId="0" xfId="0" applyNumberFormat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hidden="1"/>
    </xf>
    <xf numFmtId="166" fontId="0" fillId="0" borderId="0" xfId="0" applyNumberFormat="1" applyAlignment="1" applyProtection="1">
      <alignment horizontal="center" vertical="center"/>
      <protection hidden="1"/>
    </xf>
    <xf numFmtId="0" fontId="2" fillId="0" borderId="1" xfId="5" applyFont="1" applyBorder="1" applyAlignment="1" applyProtection="1">
      <alignment horizontal="center" vertical="center"/>
      <protection locked="0"/>
    </xf>
    <xf numFmtId="0" fontId="13" fillId="0" borderId="1" xfId="5" quotePrefix="1" applyFont="1" applyBorder="1" applyAlignment="1">
      <alignment horizontal="center" vertical="center"/>
    </xf>
    <xf numFmtId="1" fontId="13" fillId="0" borderId="1" xfId="5" applyNumberFormat="1" applyFont="1" applyBorder="1" applyAlignment="1">
      <alignment horizontal="center" vertical="center"/>
    </xf>
    <xf numFmtId="0" fontId="13" fillId="0" borderId="1" xfId="5" applyFont="1" applyBorder="1"/>
    <xf numFmtId="0" fontId="13" fillId="0" borderId="1" xfId="5" applyFont="1" applyBorder="1" applyAlignment="1">
      <alignment horizontal="center" vertical="center"/>
    </xf>
    <xf numFmtId="167" fontId="13" fillId="0" borderId="1" xfId="5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0" fontId="13" fillId="0" borderId="1" xfId="5" applyFont="1" applyBorder="1" applyAlignment="1" applyProtection="1">
      <alignment horizontal="center" vertical="center"/>
      <protection locked="0"/>
    </xf>
    <xf numFmtId="1" fontId="13" fillId="0" borderId="1" xfId="5" applyNumberFormat="1" applyFont="1" applyBorder="1" applyAlignment="1" applyProtection="1">
      <alignment horizontal="center" vertical="center"/>
      <protection locked="0"/>
    </xf>
    <xf numFmtId="2" fontId="1" fillId="0" borderId="1" xfId="5" quotePrefix="1" applyNumberFormat="1" applyFont="1" applyBorder="1" applyAlignment="1" applyProtection="1">
      <alignment horizontal="center" vertical="center" wrapText="1"/>
      <protection hidden="1"/>
    </xf>
    <xf numFmtId="2" fontId="2" fillId="0" borderId="1" xfId="5" applyNumberFormat="1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16" fillId="0" borderId="1" xfId="5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10" fillId="0" borderId="0" xfId="0" quotePrefix="1" applyNumberFormat="1" applyFont="1" applyAlignment="1">
      <alignment horizontal="center" vertical="center"/>
    </xf>
    <xf numFmtId="14" fontId="17" fillId="2" borderId="2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168" fontId="18" fillId="2" borderId="2" xfId="0" applyNumberFormat="1" applyFont="1" applyFill="1" applyBorder="1" applyAlignment="1" applyProtection="1">
      <alignment horizontal="center" vertical="center" wrapText="1" readingOrder="1"/>
      <protection hidden="1"/>
    </xf>
    <xf numFmtId="0" fontId="19" fillId="3" borderId="2" xfId="0" applyFont="1" applyFill="1" applyBorder="1" applyAlignment="1" applyProtection="1">
      <alignment horizontal="center" vertical="center" wrapText="1" readingOrder="1"/>
      <protection locked="0"/>
    </xf>
    <xf numFmtId="4" fontId="17" fillId="3" borderId="10" xfId="0" applyNumberFormat="1" applyFont="1" applyFill="1" applyBorder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9" fontId="17" fillId="0" borderId="0" xfId="0" applyNumberFormat="1" applyFont="1" applyAlignment="1">
      <alignment horizontal="center" vertical="center"/>
    </xf>
    <xf numFmtId="168" fontId="21" fillId="4" borderId="11" xfId="0" applyNumberFormat="1" applyFont="1" applyFill="1" applyBorder="1" applyAlignment="1" applyProtection="1">
      <alignment horizontal="center" vertical="center" readingOrder="1"/>
      <protection hidden="1"/>
    </xf>
    <xf numFmtId="0" fontId="17" fillId="0" borderId="12" xfId="0" applyFont="1" applyBorder="1" applyAlignment="1">
      <alignment horizontal="center"/>
    </xf>
    <xf numFmtId="0" fontId="11" fillId="0" borderId="8" xfId="0" applyFont="1" applyBorder="1" applyAlignment="1" applyProtection="1">
      <alignment horizontal="left" wrapText="1"/>
      <protection hidden="1"/>
    </xf>
    <xf numFmtId="14" fontId="17" fillId="2" borderId="9" xfId="0" applyNumberFormat="1" applyFont="1" applyFill="1" applyBorder="1" applyAlignment="1">
      <alignment horizontal="center" vertical="center" wrapText="1"/>
    </xf>
    <xf numFmtId="14" fontId="17" fillId="2" borderId="10" xfId="0" applyNumberFormat="1" applyFont="1" applyFill="1" applyBorder="1" applyAlignment="1">
      <alignment horizontal="center" vertical="center" wrapText="1"/>
    </xf>
  </cellXfs>
  <cellStyles count="8">
    <cellStyle name="Comma 2" xfId="1" xr:uid="{00000000-0005-0000-0000-000000000000}"/>
    <cellStyle name="Currency 2" xfId="2" xr:uid="{00000000-0005-0000-0000-000001000000}"/>
    <cellStyle name="Currency 3" xfId="3" xr:uid="{00000000-0005-0000-0000-000002000000}"/>
    <cellStyle name="Excel Built-in Normal" xfId="7" xr:uid="{5DF6F6A7-8B5F-4A17-AD2B-30E1A19599FA}"/>
    <cellStyle name="Normal 2" xfId="4" xr:uid="{00000000-0005-0000-0000-000003000000}"/>
    <cellStyle name="Normal 3" xfId="5" xr:uid="{00000000-0005-0000-0000-000004000000}"/>
    <cellStyle name="StringOnly" xfId="6" xr:uid="{00000000-0005-0000-0000-000005000000}"/>
    <cellStyle name="Звичайни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gradientFill degree="180">
          <stop position="0">
            <color rgb="FFFF6600"/>
          </stop>
          <stop position="1">
            <color rgb="FFFFFF00"/>
          </stop>
        </gradient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772055</xdr:colOff>
      <xdr:row>209</xdr:row>
      <xdr:rowOff>13607</xdr:rowOff>
    </xdr:from>
    <xdr:to>
      <xdr:col>2</xdr:col>
      <xdr:colOff>2716865</xdr:colOff>
      <xdr:row>209</xdr:row>
      <xdr:rowOff>376518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2E16A65F-CC32-4DE3-B090-9FC5FF86BBE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3255" y="41893127"/>
          <a:ext cx="1944810" cy="3629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617220</xdr:colOff>
      <xdr:row>0</xdr:row>
      <xdr:rowOff>1344</xdr:rowOff>
    </xdr:from>
    <xdr:to>
      <xdr:col>7</xdr:col>
      <xdr:colOff>516814</xdr:colOff>
      <xdr:row>0</xdr:row>
      <xdr:rowOff>971129</xdr:rowOff>
    </xdr:to>
    <xdr:pic>
      <xdr:nvPicPr>
        <xdr:cNvPr id="3" name="Рисунок 2" descr="Jarrow Formulas">
          <a:extLst>
            <a:ext uri="{FF2B5EF4-FFF2-40B4-BE49-F238E27FC236}">
              <a16:creationId xmlns:a16="http://schemas.microsoft.com/office/drawing/2014/main" id="{32743F78-F2E3-452B-8381-B05D8DB0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8660" y="1344"/>
          <a:ext cx="1537894" cy="969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A809-A1EE-4250-A995-B67E66150314}">
  <dimension ref="A1:Q720"/>
  <sheetViews>
    <sheetView tabSelected="1" zoomScale="80" zoomScaleNormal="80" workbookViewId="0">
      <selection activeCell="M7" sqref="M7"/>
    </sheetView>
  </sheetViews>
  <sheetFormatPr defaultRowHeight="12.6" x14ac:dyDescent="0.25"/>
  <cols>
    <col min="1" max="1" width="12.5546875" style="13" bestFit="1" customWidth="1"/>
    <col min="2" max="2" width="16.33203125" style="14" bestFit="1" customWidth="1"/>
    <col min="3" max="3" width="51.5546875" style="13" bestFit="1" customWidth="1"/>
    <col min="4" max="4" width="13.109375" style="15" customWidth="1"/>
    <col min="5" max="5" width="18.88671875" style="15" customWidth="1"/>
    <col min="6" max="6" width="12.6640625" style="15" customWidth="1"/>
    <col min="7" max="7" width="11.21875" style="15" customWidth="1"/>
    <col min="8" max="9" width="12.44140625" style="16" customWidth="1"/>
    <col min="10" max="10" width="9.21875" style="30" customWidth="1"/>
    <col min="11" max="11" width="15.21875" style="16" bestFit="1" customWidth="1"/>
    <col min="12" max="12" width="15.109375" customWidth="1"/>
    <col min="13" max="13" width="11.44140625"/>
    <col min="14" max="17" width="13.88671875" customWidth="1"/>
  </cols>
  <sheetData>
    <row r="1" spans="1:17" ht="90" customHeight="1" thickBot="1" x14ac:dyDescent="0.3">
      <c r="A1" s="44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33">
        <v>46135</v>
      </c>
      <c r="N1" s="34" t="s">
        <v>523</v>
      </c>
      <c r="O1" s="45" t="s">
        <v>524</v>
      </c>
      <c r="P1" s="35" t="s">
        <v>525</v>
      </c>
      <c r="Q1" s="36" t="s">
        <v>526</v>
      </c>
    </row>
    <row r="2" spans="1:17" ht="25.8" thickBot="1" x14ac:dyDescent="0.3">
      <c r="A2" s="9" t="s">
        <v>13</v>
      </c>
      <c r="B2" s="10" t="s">
        <v>0</v>
      </c>
      <c r="C2" s="9" t="s">
        <v>1</v>
      </c>
      <c r="D2" s="9" t="s">
        <v>2</v>
      </c>
      <c r="E2" s="9" t="s">
        <v>14</v>
      </c>
      <c r="F2" s="28" t="s">
        <v>475</v>
      </c>
      <c r="G2" s="9" t="s">
        <v>15</v>
      </c>
      <c r="H2" s="11" t="s">
        <v>4</v>
      </c>
      <c r="I2" s="42" t="s">
        <v>529</v>
      </c>
      <c r="J2" s="9" t="s">
        <v>5</v>
      </c>
      <c r="K2" s="11" t="s">
        <v>6</v>
      </c>
      <c r="L2" s="1">
        <f>SUM(K3:K207)</f>
        <v>0</v>
      </c>
      <c r="M2" s="2"/>
      <c r="N2" s="37"/>
      <c r="O2" s="46"/>
      <c r="P2" s="38" t="str">
        <f>IF(SUM(P3:P269)=0, "-", SUM(P3:P269))</f>
        <v>-</v>
      </c>
      <c r="Q2" s="38" t="str">
        <f>IF(SUM(Q3:Q269)=0, "-", SUM(Q3:Q269))</f>
        <v>-</v>
      </c>
    </row>
    <row r="3" spans="1:17" ht="15.6" x14ac:dyDescent="0.3">
      <c r="A3" s="18" t="s">
        <v>24</v>
      </c>
      <c r="B3" s="19">
        <v>790011300069</v>
      </c>
      <c r="C3" s="20" t="s">
        <v>25</v>
      </c>
      <c r="D3" s="31" t="s">
        <v>482</v>
      </c>
      <c r="E3" s="22" t="s">
        <v>26</v>
      </c>
      <c r="F3" s="29">
        <v>4.2902278329166668E-2</v>
      </c>
      <c r="G3" s="31">
        <v>12</v>
      </c>
      <c r="H3" s="12">
        <v>7.9128000000000007</v>
      </c>
      <c r="I3" s="43" t="s">
        <v>530</v>
      </c>
      <c r="J3" s="17"/>
      <c r="K3" s="12">
        <f>H3*J3</f>
        <v>0</v>
      </c>
      <c r="N3" s="39" t="str">
        <f>IFERROR(IF($N$2*F3=0, "-", $N$2*F3), "-")</f>
        <v>-</v>
      </c>
      <c r="O3" s="39" t="str">
        <f>IFERROR(IF(N3&gt;0,H3+N3,"-"),"-")</f>
        <v>-</v>
      </c>
      <c r="P3" s="40" t="str">
        <f>IF(J3&gt;0,J3*F3, "-")</f>
        <v>-</v>
      </c>
      <c r="Q3" s="41" t="str">
        <f>IFERROR(IF($N$2&gt;0, $N$2*P3, "-"), "-")</f>
        <v>-</v>
      </c>
    </row>
    <row r="4" spans="1:17" ht="15.6" x14ac:dyDescent="0.3">
      <c r="A4" s="21" t="s">
        <v>73</v>
      </c>
      <c r="B4" s="19">
        <v>790011180180</v>
      </c>
      <c r="C4" s="20" t="s">
        <v>74</v>
      </c>
      <c r="D4" s="31" t="s">
        <v>489</v>
      </c>
      <c r="E4" s="22" t="s">
        <v>3</v>
      </c>
      <c r="F4" s="29">
        <v>0.12012637932166667</v>
      </c>
      <c r="G4" s="31">
        <v>12</v>
      </c>
      <c r="H4" s="12">
        <v>14.392799999999998</v>
      </c>
      <c r="I4" s="43" t="s">
        <v>530</v>
      </c>
      <c r="J4" s="17"/>
      <c r="K4" s="12">
        <f t="shared" ref="K4:K67" si="0">H4*J4</f>
        <v>0</v>
      </c>
      <c r="N4" s="39" t="str">
        <f t="shared" ref="N4:N67" si="1">IFERROR(IF($N$2*F4=0, "-", $N$2*F4), "-")</f>
        <v>-</v>
      </c>
      <c r="O4" s="39" t="str">
        <f t="shared" ref="O4:O67" si="2">IFERROR(IF(N4&gt;0,H4+N4,"-"),"-")</f>
        <v>-</v>
      </c>
      <c r="P4" s="40" t="str">
        <f t="shared" ref="P4:P67" si="3">IF(J4&gt;0,J4*F4, "-")</f>
        <v>-</v>
      </c>
      <c r="Q4" s="41" t="str">
        <f t="shared" ref="Q4:Q67" si="4">IFERROR(IF($N$2&gt;0, $N$2*P4, "-"), "-")</f>
        <v>-</v>
      </c>
    </row>
    <row r="5" spans="1:17" ht="15.6" x14ac:dyDescent="0.3">
      <c r="A5" s="18" t="s">
        <v>102</v>
      </c>
      <c r="B5" s="19">
        <v>790011290513</v>
      </c>
      <c r="C5" s="20" t="s">
        <v>103</v>
      </c>
      <c r="D5" s="31" t="s">
        <v>477</v>
      </c>
      <c r="E5" s="22" t="s">
        <v>18</v>
      </c>
      <c r="F5" s="29">
        <v>0.12485</v>
      </c>
      <c r="G5" s="31">
        <v>12</v>
      </c>
      <c r="H5" s="12">
        <v>15.832799999999999</v>
      </c>
      <c r="I5" s="43" t="s">
        <v>530</v>
      </c>
      <c r="J5" s="17"/>
      <c r="K5" s="12">
        <f t="shared" si="0"/>
        <v>0</v>
      </c>
      <c r="N5" s="39" t="str">
        <f t="shared" si="1"/>
        <v>-</v>
      </c>
      <c r="O5" s="39" t="str">
        <f t="shared" si="2"/>
        <v>-</v>
      </c>
      <c r="P5" s="40" t="str">
        <f t="shared" si="3"/>
        <v>-</v>
      </c>
      <c r="Q5" s="41" t="str">
        <f t="shared" si="4"/>
        <v>-</v>
      </c>
    </row>
    <row r="6" spans="1:17" ht="15.6" x14ac:dyDescent="0.3">
      <c r="A6" s="21" t="s">
        <v>189</v>
      </c>
      <c r="B6" s="19">
        <v>790011010241</v>
      </c>
      <c r="C6" s="20" t="s">
        <v>190</v>
      </c>
      <c r="D6" s="31" t="s">
        <v>481</v>
      </c>
      <c r="E6" s="22" t="s">
        <v>162</v>
      </c>
      <c r="F6" s="29">
        <v>0.16302865765083333</v>
      </c>
      <c r="G6" s="31">
        <v>12</v>
      </c>
      <c r="H6" s="12">
        <v>13.672799999999999</v>
      </c>
      <c r="I6" s="43" t="s">
        <v>530</v>
      </c>
      <c r="J6" s="17"/>
      <c r="K6" s="12">
        <f t="shared" si="0"/>
        <v>0</v>
      </c>
      <c r="N6" s="39" t="str">
        <f t="shared" si="1"/>
        <v>-</v>
      </c>
      <c r="O6" s="39" t="str">
        <f t="shared" si="2"/>
        <v>-</v>
      </c>
      <c r="P6" s="40" t="str">
        <f t="shared" si="3"/>
        <v>-</v>
      </c>
      <c r="Q6" s="41" t="str">
        <f t="shared" si="4"/>
        <v>-</v>
      </c>
    </row>
    <row r="7" spans="1:17" ht="15.6" x14ac:dyDescent="0.3">
      <c r="A7" s="23" t="s">
        <v>227</v>
      </c>
      <c r="B7" s="24">
        <v>790011150015</v>
      </c>
      <c r="C7" s="20" t="s">
        <v>228</v>
      </c>
      <c r="D7" s="31" t="s">
        <v>510</v>
      </c>
      <c r="E7" s="25" t="s">
        <v>18</v>
      </c>
      <c r="F7" s="29">
        <v>0.13728729065333337</v>
      </c>
      <c r="G7" s="31">
        <v>12</v>
      </c>
      <c r="H7" s="12">
        <v>11.5128</v>
      </c>
      <c r="I7" s="43" t="s">
        <v>530</v>
      </c>
      <c r="J7" s="17"/>
      <c r="K7" s="12">
        <f t="shared" si="0"/>
        <v>0</v>
      </c>
      <c r="N7" s="39" t="str">
        <f t="shared" si="1"/>
        <v>-</v>
      </c>
      <c r="O7" s="39" t="str">
        <f t="shared" si="2"/>
        <v>-</v>
      </c>
      <c r="P7" s="40" t="str">
        <f t="shared" si="3"/>
        <v>-</v>
      </c>
      <c r="Q7" s="41" t="str">
        <f t="shared" si="4"/>
        <v>-</v>
      </c>
    </row>
    <row r="8" spans="1:17" ht="15.6" x14ac:dyDescent="0.3">
      <c r="A8" s="18" t="s">
        <v>232</v>
      </c>
      <c r="B8" s="19">
        <v>790011120254</v>
      </c>
      <c r="C8" s="20" t="s">
        <v>233</v>
      </c>
      <c r="D8" s="31" t="s">
        <v>488</v>
      </c>
      <c r="E8" s="22" t="s">
        <v>231</v>
      </c>
      <c r="F8" s="29">
        <v>7.7224100992500017E-2</v>
      </c>
      <c r="G8" s="31">
        <v>12</v>
      </c>
      <c r="H8" s="12">
        <v>13.672799999999999</v>
      </c>
      <c r="I8" s="43" t="s">
        <v>530</v>
      </c>
      <c r="J8" s="17"/>
      <c r="K8" s="12">
        <f t="shared" si="0"/>
        <v>0</v>
      </c>
      <c r="N8" s="39" t="str">
        <f t="shared" si="1"/>
        <v>-</v>
      </c>
      <c r="O8" s="39" t="str">
        <f t="shared" si="2"/>
        <v>-</v>
      </c>
      <c r="P8" s="40" t="str">
        <f t="shared" si="3"/>
        <v>-</v>
      </c>
      <c r="Q8" s="41" t="str">
        <f t="shared" si="4"/>
        <v>-</v>
      </c>
    </row>
    <row r="9" spans="1:17" ht="15.6" x14ac:dyDescent="0.3">
      <c r="A9" s="21" t="s">
        <v>251</v>
      </c>
      <c r="B9" s="19">
        <v>790011230076</v>
      </c>
      <c r="C9" s="20" t="s">
        <v>252</v>
      </c>
      <c r="D9" s="31" t="s">
        <v>482</v>
      </c>
      <c r="E9" s="22" t="s">
        <v>18</v>
      </c>
      <c r="F9" s="29">
        <v>9.4385012324166684E-2</v>
      </c>
      <c r="G9" s="31">
        <v>12</v>
      </c>
      <c r="H9" s="12">
        <v>25.192800000000002</v>
      </c>
      <c r="I9" s="43" t="s">
        <v>530</v>
      </c>
      <c r="J9" s="17"/>
      <c r="K9" s="12">
        <f t="shared" si="0"/>
        <v>0</v>
      </c>
      <c r="N9" s="39" t="str">
        <f t="shared" si="1"/>
        <v>-</v>
      </c>
      <c r="O9" s="39" t="str">
        <f t="shared" si="2"/>
        <v>-</v>
      </c>
      <c r="P9" s="40" t="str">
        <f t="shared" si="3"/>
        <v>-</v>
      </c>
      <c r="Q9" s="41" t="str">
        <f t="shared" si="4"/>
        <v>-</v>
      </c>
    </row>
    <row r="10" spans="1:17" ht="15.6" x14ac:dyDescent="0.3">
      <c r="A10" s="21" t="s">
        <v>333</v>
      </c>
      <c r="B10" s="19">
        <v>790011030041</v>
      </c>
      <c r="C10" s="20" t="s">
        <v>334</v>
      </c>
      <c r="D10" s="31" t="s">
        <v>503</v>
      </c>
      <c r="E10" s="22" t="s">
        <v>129</v>
      </c>
      <c r="F10" s="29">
        <v>0.15444820198500003</v>
      </c>
      <c r="G10" s="31">
        <v>12</v>
      </c>
      <c r="H10" s="12">
        <v>22.312799999999999</v>
      </c>
      <c r="I10" s="43" t="s">
        <v>530</v>
      </c>
      <c r="J10" s="17"/>
      <c r="K10" s="12">
        <f t="shared" si="0"/>
        <v>0</v>
      </c>
      <c r="N10" s="39" t="str">
        <f t="shared" si="1"/>
        <v>-</v>
      </c>
      <c r="O10" s="39" t="str">
        <f t="shared" si="2"/>
        <v>-</v>
      </c>
      <c r="P10" s="40" t="str">
        <f t="shared" si="3"/>
        <v>-</v>
      </c>
      <c r="Q10" s="41" t="str">
        <f t="shared" si="4"/>
        <v>-</v>
      </c>
    </row>
    <row r="11" spans="1:17" ht="15.6" x14ac:dyDescent="0.3">
      <c r="A11" s="21" t="s">
        <v>359</v>
      </c>
      <c r="B11" s="19">
        <v>790011150206</v>
      </c>
      <c r="C11" s="20" t="s">
        <v>360</v>
      </c>
      <c r="D11" s="31" t="s">
        <v>510</v>
      </c>
      <c r="E11" s="22" t="s">
        <v>168</v>
      </c>
      <c r="F11" s="29">
        <v>0.19735048031416672</v>
      </c>
      <c r="G11" s="31">
        <v>12</v>
      </c>
      <c r="H11" s="12">
        <v>10.072800000000001</v>
      </c>
      <c r="I11" s="43" t="s">
        <v>530</v>
      </c>
      <c r="J11" s="17"/>
      <c r="K11" s="12">
        <f t="shared" si="0"/>
        <v>0</v>
      </c>
      <c r="N11" s="39" t="str">
        <f t="shared" si="1"/>
        <v>-</v>
      </c>
      <c r="O11" s="39" t="str">
        <f t="shared" si="2"/>
        <v>-</v>
      </c>
      <c r="P11" s="40" t="str">
        <f t="shared" si="3"/>
        <v>-</v>
      </c>
      <c r="Q11" s="41" t="str">
        <f t="shared" si="4"/>
        <v>-</v>
      </c>
    </row>
    <row r="12" spans="1:17" ht="15.6" x14ac:dyDescent="0.3">
      <c r="A12" s="21" t="s">
        <v>361</v>
      </c>
      <c r="B12" s="19">
        <v>790011150503</v>
      </c>
      <c r="C12" s="20" t="s">
        <v>362</v>
      </c>
      <c r="D12" s="31" t="s">
        <v>482</v>
      </c>
      <c r="E12" s="22" t="s">
        <v>176</v>
      </c>
      <c r="F12" s="29">
        <v>6.0063189660833335E-2</v>
      </c>
      <c r="G12" s="31">
        <v>12</v>
      </c>
      <c r="H12" s="12">
        <v>12.232799999999997</v>
      </c>
      <c r="I12" s="43" t="s">
        <v>530</v>
      </c>
      <c r="J12" s="17"/>
      <c r="K12" s="12">
        <f t="shared" si="0"/>
        <v>0</v>
      </c>
      <c r="N12" s="39" t="str">
        <f t="shared" si="1"/>
        <v>-</v>
      </c>
      <c r="O12" s="39" t="str">
        <f t="shared" si="2"/>
        <v>-</v>
      </c>
      <c r="P12" s="40" t="str">
        <f t="shared" si="3"/>
        <v>-</v>
      </c>
      <c r="Q12" s="41" t="str">
        <f t="shared" si="4"/>
        <v>-</v>
      </c>
    </row>
    <row r="13" spans="1:17" ht="15.6" x14ac:dyDescent="0.3">
      <c r="A13" s="21" t="s">
        <v>383</v>
      </c>
      <c r="B13" s="19">
        <v>790011130086</v>
      </c>
      <c r="C13" s="20" t="s">
        <v>384</v>
      </c>
      <c r="D13" s="31" t="s">
        <v>481</v>
      </c>
      <c r="E13" s="22" t="s">
        <v>385</v>
      </c>
      <c r="F13" s="29">
        <v>6.8099999999999994E-2</v>
      </c>
      <c r="G13" s="31">
        <v>12</v>
      </c>
      <c r="H13" s="12">
        <v>10.072800000000001</v>
      </c>
      <c r="I13" s="43" t="s">
        <v>530</v>
      </c>
      <c r="J13" s="17"/>
      <c r="K13" s="12">
        <f t="shared" si="0"/>
        <v>0</v>
      </c>
      <c r="N13" s="39" t="str">
        <f t="shared" si="1"/>
        <v>-</v>
      </c>
      <c r="O13" s="39" t="str">
        <f t="shared" si="2"/>
        <v>-</v>
      </c>
      <c r="P13" s="40" t="str">
        <f t="shared" si="3"/>
        <v>-</v>
      </c>
      <c r="Q13" s="41" t="str">
        <f t="shared" si="4"/>
        <v>-</v>
      </c>
    </row>
    <row r="14" spans="1:17" ht="15.6" x14ac:dyDescent="0.3">
      <c r="A14" s="21" t="s">
        <v>21</v>
      </c>
      <c r="B14" s="19">
        <v>790011300083</v>
      </c>
      <c r="C14" s="20" t="s">
        <v>22</v>
      </c>
      <c r="D14" s="31" t="s">
        <v>481</v>
      </c>
      <c r="E14" s="22" t="s">
        <v>23</v>
      </c>
      <c r="F14" s="29">
        <v>7.7224100992500017E-2</v>
      </c>
      <c r="G14" s="31">
        <v>12</v>
      </c>
      <c r="H14" s="12">
        <v>20.152799999999999</v>
      </c>
      <c r="I14" s="43" t="s">
        <v>531</v>
      </c>
      <c r="J14" s="17"/>
      <c r="K14" s="12">
        <f t="shared" si="0"/>
        <v>0</v>
      </c>
      <c r="N14" s="39" t="str">
        <f t="shared" si="1"/>
        <v>-</v>
      </c>
      <c r="O14" s="39" t="str">
        <f t="shared" si="2"/>
        <v>-</v>
      </c>
      <c r="P14" s="40" t="str">
        <f t="shared" si="3"/>
        <v>-</v>
      </c>
      <c r="Q14" s="41" t="str">
        <f t="shared" si="4"/>
        <v>-</v>
      </c>
    </row>
    <row r="15" spans="1:17" ht="15.6" x14ac:dyDescent="0.3">
      <c r="A15" s="18" t="s">
        <v>31</v>
      </c>
      <c r="B15" s="19">
        <v>790011560029</v>
      </c>
      <c r="C15" s="20" t="s">
        <v>32</v>
      </c>
      <c r="D15" s="31" t="s">
        <v>482</v>
      </c>
      <c r="E15" s="22" t="s">
        <v>33</v>
      </c>
      <c r="F15" s="29">
        <v>0.11154592365583335</v>
      </c>
      <c r="G15" s="31">
        <v>12</v>
      </c>
      <c r="H15" s="12">
        <v>28.7928</v>
      </c>
      <c r="I15" s="43" t="s">
        <v>531</v>
      </c>
      <c r="J15" s="17"/>
      <c r="K15" s="12">
        <f t="shared" si="0"/>
        <v>0</v>
      </c>
      <c r="N15" s="39" t="str">
        <f t="shared" si="1"/>
        <v>-</v>
      </c>
      <c r="O15" s="39" t="str">
        <f t="shared" si="2"/>
        <v>-</v>
      </c>
      <c r="P15" s="40" t="str">
        <f t="shared" si="3"/>
        <v>-</v>
      </c>
      <c r="Q15" s="41" t="str">
        <f t="shared" si="4"/>
        <v>-</v>
      </c>
    </row>
    <row r="16" spans="1:17" ht="15.6" x14ac:dyDescent="0.3">
      <c r="A16" s="21" t="s">
        <v>42</v>
      </c>
      <c r="B16" s="19">
        <v>790011220145</v>
      </c>
      <c r="C16" s="20" t="s">
        <v>43</v>
      </c>
      <c r="D16" s="31" t="s">
        <v>483</v>
      </c>
      <c r="E16" s="22" t="s">
        <v>33</v>
      </c>
      <c r="F16" s="29">
        <v>0.12870683498750002</v>
      </c>
      <c r="G16" s="31">
        <v>12</v>
      </c>
      <c r="H16" s="12">
        <v>17.992799999999999</v>
      </c>
      <c r="I16" s="43" t="s">
        <v>531</v>
      </c>
      <c r="J16" s="17"/>
      <c r="K16" s="12">
        <f t="shared" si="0"/>
        <v>0</v>
      </c>
      <c r="N16" s="39" t="str">
        <f t="shared" si="1"/>
        <v>-</v>
      </c>
      <c r="O16" s="39" t="str">
        <f t="shared" si="2"/>
        <v>-</v>
      </c>
      <c r="P16" s="40" t="str">
        <f t="shared" si="3"/>
        <v>-</v>
      </c>
      <c r="Q16" s="41" t="str">
        <f t="shared" si="4"/>
        <v>-</v>
      </c>
    </row>
    <row r="17" spans="1:17" ht="15.6" x14ac:dyDescent="0.3">
      <c r="A17" s="21" t="s">
        <v>44</v>
      </c>
      <c r="B17" s="19">
        <v>790011200413</v>
      </c>
      <c r="C17" s="20" t="s">
        <v>45</v>
      </c>
      <c r="D17" s="31" t="s">
        <v>487</v>
      </c>
      <c r="E17" s="22" t="s">
        <v>46</v>
      </c>
      <c r="F17" s="29">
        <v>0.10214999999999999</v>
      </c>
      <c r="G17" s="31">
        <v>12</v>
      </c>
      <c r="H17" s="12">
        <v>20.152799999999999</v>
      </c>
      <c r="I17" s="43" t="s">
        <v>531</v>
      </c>
      <c r="J17" s="17"/>
      <c r="K17" s="12">
        <f t="shared" si="0"/>
        <v>0</v>
      </c>
      <c r="N17" s="39" t="str">
        <f t="shared" si="1"/>
        <v>-</v>
      </c>
      <c r="O17" s="39" t="str">
        <f t="shared" si="2"/>
        <v>-</v>
      </c>
      <c r="P17" s="40" t="str">
        <f t="shared" si="3"/>
        <v>-</v>
      </c>
      <c r="Q17" s="41" t="str">
        <f t="shared" si="4"/>
        <v>-</v>
      </c>
    </row>
    <row r="18" spans="1:17" ht="15.6" x14ac:dyDescent="0.3">
      <c r="A18" s="21" t="s">
        <v>49</v>
      </c>
      <c r="B18" s="19">
        <v>790011010067</v>
      </c>
      <c r="C18" s="20" t="s">
        <v>50</v>
      </c>
      <c r="D18" s="31" t="s">
        <v>481</v>
      </c>
      <c r="E18" s="22" t="s">
        <v>3</v>
      </c>
      <c r="F18" s="29">
        <v>0.14586774631916669</v>
      </c>
      <c r="G18" s="31">
        <v>12</v>
      </c>
      <c r="H18" s="12">
        <v>20.152799999999999</v>
      </c>
      <c r="I18" s="43" t="s">
        <v>531</v>
      </c>
      <c r="J18" s="17"/>
      <c r="K18" s="12">
        <f t="shared" si="0"/>
        <v>0</v>
      </c>
      <c r="N18" s="39" t="str">
        <f t="shared" si="1"/>
        <v>-</v>
      </c>
      <c r="O18" s="39" t="str">
        <f t="shared" si="2"/>
        <v>-</v>
      </c>
      <c r="P18" s="40" t="str">
        <f t="shared" si="3"/>
        <v>-</v>
      </c>
      <c r="Q18" s="41" t="str">
        <f t="shared" si="4"/>
        <v>-</v>
      </c>
    </row>
    <row r="19" spans="1:17" ht="15.6" x14ac:dyDescent="0.3">
      <c r="A19" s="21" t="s">
        <v>51</v>
      </c>
      <c r="B19" s="19">
        <v>790011180012</v>
      </c>
      <c r="C19" s="20" t="s">
        <v>52</v>
      </c>
      <c r="D19" s="31" t="s">
        <v>489</v>
      </c>
      <c r="E19" s="22" t="s">
        <v>23</v>
      </c>
      <c r="F19" s="29">
        <v>0.10296546798999999</v>
      </c>
      <c r="G19" s="31">
        <v>12</v>
      </c>
      <c r="H19" s="12">
        <v>9.3528000000000002</v>
      </c>
      <c r="I19" s="43" t="s">
        <v>531</v>
      </c>
      <c r="J19" s="17"/>
      <c r="K19" s="12">
        <f t="shared" si="0"/>
        <v>0</v>
      </c>
      <c r="N19" s="39" t="str">
        <f t="shared" si="1"/>
        <v>-</v>
      </c>
      <c r="O19" s="39" t="str">
        <f t="shared" si="2"/>
        <v>-</v>
      </c>
      <c r="P19" s="40" t="str">
        <f t="shared" si="3"/>
        <v>-</v>
      </c>
      <c r="Q19" s="41" t="str">
        <f t="shared" si="4"/>
        <v>-</v>
      </c>
    </row>
    <row r="20" spans="1:17" ht="15.6" x14ac:dyDescent="0.3">
      <c r="A20" s="21" t="s">
        <v>56</v>
      </c>
      <c r="B20" s="19">
        <v>790011180104</v>
      </c>
      <c r="C20" s="20" t="s">
        <v>57</v>
      </c>
      <c r="D20" s="31" t="s">
        <v>481</v>
      </c>
      <c r="E20" s="22" t="s">
        <v>18</v>
      </c>
      <c r="F20" s="29">
        <v>0.15444820198500003</v>
      </c>
      <c r="G20" s="31">
        <v>12</v>
      </c>
      <c r="H20" s="12">
        <v>12.232799999999997</v>
      </c>
      <c r="I20" s="43" t="s">
        <v>531</v>
      </c>
      <c r="J20" s="17"/>
      <c r="K20" s="12">
        <f t="shared" si="0"/>
        <v>0</v>
      </c>
      <c r="N20" s="39" t="str">
        <f t="shared" si="1"/>
        <v>-</v>
      </c>
      <c r="O20" s="39" t="str">
        <f t="shared" si="2"/>
        <v>-</v>
      </c>
      <c r="P20" s="40" t="str">
        <f t="shared" si="3"/>
        <v>-</v>
      </c>
      <c r="Q20" s="41" t="str">
        <f t="shared" si="4"/>
        <v>-</v>
      </c>
    </row>
    <row r="21" spans="1:17" ht="15.6" x14ac:dyDescent="0.3">
      <c r="A21" s="18" t="s">
        <v>58</v>
      </c>
      <c r="B21" s="19">
        <v>790011180043</v>
      </c>
      <c r="C21" s="20" t="s">
        <v>59</v>
      </c>
      <c r="D21" s="31" t="s">
        <v>490</v>
      </c>
      <c r="E21" s="22" t="s">
        <v>60</v>
      </c>
      <c r="F21" s="29">
        <v>7.7224100992500017E-2</v>
      </c>
      <c r="G21" s="31">
        <v>12</v>
      </c>
      <c r="H21" s="12">
        <v>21.5928</v>
      </c>
      <c r="I21" s="43" t="s">
        <v>531</v>
      </c>
      <c r="J21" s="17"/>
      <c r="K21" s="12">
        <f t="shared" si="0"/>
        <v>0</v>
      </c>
      <c r="N21" s="39" t="str">
        <f t="shared" si="1"/>
        <v>-</v>
      </c>
      <c r="O21" s="39" t="str">
        <f t="shared" si="2"/>
        <v>-</v>
      </c>
      <c r="P21" s="40" t="str">
        <f t="shared" si="3"/>
        <v>-</v>
      </c>
      <c r="Q21" s="41" t="str">
        <f t="shared" si="4"/>
        <v>-</v>
      </c>
    </row>
    <row r="22" spans="1:17" ht="15.6" x14ac:dyDescent="0.3">
      <c r="A22" s="18" t="s">
        <v>63</v>
      </c>
      <c r="B22" s="19">
        <v>790011140856</v>
      </c>
      <c r="C22" s="20" t="s">
        <v>64</v>
      </c>
      <c r="D22" s="31" t="s">
        <v>482</v>
      </c>
      <c r="E22" s="22" t="s">
        <v>18</v>
      </c>
      <c r="F22" s="29">
        <v>9.4385012324166684E-2</v>
      </c>
      <c r="G22" s="31">
        <v>12</v>
      </c>
      <c r="H22" s="12">
        <v>30.232800000000001</v>
      </c>
      <c r="I22" s="43" t="s">
        <v>531</v>
      </c>
      <c r="J22" s="17"/>
      <c r="K22" s="12">
        <f t="shared" si="0"/>
        <v>0</v>
      </c>
      <c r="N22" s="39" t="str">
        <f t="shared" si="1"/>
        <v>-</v>
      </c>
      <c r="O22" s="39" t="str">
        <f t="shared" si="2"/>
        <v>-</v>
      </c>
      <c r="P22" s="40" t="str">
        <f t="shared" si="3"/>
        <v>-</v>
      </c>
      <c r="Q22" s="41" t="str">
        <f t="shared" si="4"/>
        <v>-</v>
      </c>
    </row>
    <row r="23" spans="1:17" ht="15.6" x14ac:dyDescent="0.3">
      <c r="A23" s="18" t="s">
        <v>65</v>
      </c>
      <c r="B23" s="19">
        <v>790011140962</v>
      </c>
      <c r="C23" s="20" t="s">
        <v>66</v>
      </c>
      <c r="D23" s="31" t="s">
        <v>483</v>
      </c>
      <c r="E23" s="22" t="s">
        <v>18</v>
      </c>
      <c r="F23" s="29">
        <v>0.15444820198500003</v>
      </c>
      <c r="G23" s="31">
        <v>12</v>
      </c>
      <c r="H23" s="12">
        <v>53.992799999999995</v>
      </c>
      <c r="I23" s="43" t="s">
        <v>531</v>
      </c>
      <c r="J23" s="17"/>
      <c r="K23" s="12">
        <f t="shared" si="0"/>
        <v>0</v>
      </c>
      <c r="N23" s="39" t="str">
        <f t="shared" si="1"/>
        <v>-</v>
      </c>
      <c r="O23" s="39" t="str">
        <f t="shared" si="2"/>
        <v>-</v>
      </c>
      <c r="P23" s="40" t="str">
        <f t="shared" si="3"/>
        <v>-</v>
      </c>
      <c r="Q23" s="41" t="str">
        <f t="shared" si="4"/>
        <v>-</v>
      </c>
    </row>
    <row r="24" spans="1:17" ht="15.6" x14ac:dyDescent="0.3">
      <c r="A24" s="21" t="s">
        <v>70</v>
      </c>
      <c r="B24" s="19">
        <v>790011180159</v>
      </c>
      <c r="C24" s="20" t="s">
        <v>71</v>
      </c>
      <c r="D24" s="31" t="s">
        <v>489</v>
      </c>
      <c r="E24" s="22" t="s">
        <v>72</v>
      </c>
      <c r="F24" s="29">
        <v>0.10296546798999999</v>
      </c>
      <c r="G24" s="31">
        <v>12</v>
      </c>
      <c r="H24" s="12">
        <v>7.1928000000000001</v>
      </c>
      <c r="I24" s="43" t="s">
        <v>531</v>
      </c>
      <c r="J24" s="17"/>
      <c r="K24" s="12">
        <f t="shared" si="0"/>
        <v>0</v>
      </c>
      <c r="N24" s="39" t="str">
        <f t="shared" si="1"/>
        <v>-</v>
      </c>
      <c r="O24" s="39" t="str">
        <f t="shared" si="2"/>
        <v>-</v>
      </c>
      <c r="P24" s="40" t="str">
        <f t="shared" si="3"/>
        <v>-</v>
      </c>
      <c r="Q24" s="41" t="str">
        <f t="shared" si="4"/>
        <v>-</v>
      </c>
    </row>
    <row r="25" spans="1:17" ht="15.6" x14ac:dyDescent="0.3">
      <c r="A25" s="21" t="s">
        <v>77</v>
      </c>
      <c r="B25" s="19">
        <v>790011200277</v>
      </c>
      <c r="C25" s="20" t="s">
        <v>78</v>
      </c>
      <c r="D25" s="31" t="s">
        <v>482</v>
      </c>
      <c r="E25" s="22" t="s">
        <v>3</v>
      </c>
      <c r="F25" s="29">
        <v>6.8643645326666683E-2</v>
      </c>
      <c r="G25" s="31">
        <v>12</v>
      </c>
      <c r="H25" s="12">
        <v>18.712799999999998</v>
      </c>
      <c r="I25" s="43" t="s">
        <v>531</v>
      </c>
      <c r="J25" s="17"/>
      <c r="K25" s="12">
        <f t="shared" si="0"/>
        <v>0</v>
      </c>
      <c r="N25" s="39" t="str">
        <f t="shared" si="1"/>
        <v>-</v>
      </c>
      <c r="O25" s="39" t="str">
        <f t="shared" si="2"/>
        <v>-</v>
      </c>
      <c r="P25" s="40" t="str">
        <f t="shared" si="3"/>
        <v>-</v>
      </c>
      <c r="Q25" s="41" t="str">
        <f t="shared" si="4"/>
        <v>-</v>
      </c>
    </row>
    <row r="26" spans="1:17" ht="15.6" x14ac:dyDescent="0.3">
      <c r="A26" s="21" t="s">
        <v>84</v>
      </c>
      <c r="B26" s="19">
        <v>790011040019</v>
      </c>
      <c r="C26" s="20" t="s">
        <v>85</v>
      </c>
      <c r="D26" s="31" t="s">
        <v>496</v>
      </c>
      <c r="E26" s="22" t="s">
        <v>3</v>
      </c>
      <c r="F26" s="29">
        <v>0.21451139164583338</v>
      </c>
      <c r="G26" s="31">
        <v>12</v>
      </c>
      <c r="H26" s="12">
        <v>12.232799999999997</v>
      </c>
      <c r="I26" s="43" t="s">
        <v>531</v>
      </c>
      <c r="J26" s="17"/>
      <c r="K26" s="12">
        <f t="shared" si="0"/>
        <v>0</v>
      </c>
      <c r="N26" s="39" t="str">
        <f t="shared" si="1"/>
        <v>-</v>
      </c>
      <c r="O26" s="39" t="str">
        <f t="shared" si="2"/>
        <v>-</v>
      </c>
      <c r="P26" s="40" t="str">
        <f t="shared" si="3"/>
        <v>-</v>
      </c>
      <c r="Q26" s="41" t="str">
        <f t="shared" si="4"/>
        <v>-</v>
      </c>
    </row>
    <row r="27" spans="1:17" ht="15.6" x14ac:dyDescent="0.3">
      <c r="A27" s="18" t="s">
        <v>104</v>
      </c>
      <c r="B27" s="19">
        <v>790011140047</v>
      </c>
      <c r="C27" s="20" t="s">
        <v>105</v>
      </c>
      <c r="D27" s="31" t="s">
        <v>482</v>
      </c>
      <c r="E27" s="22" t="s">
        <v>18</v>
      </c>
      <c r="F27" s="29">
        <v>8.5804556658333336E-2</v>
      </c>
      <c r="G27" s="31">
        <v>12</v>
      </c>
      <c r="H27" s="12">
        <v>20.872799999999998</v>
      </c>
      <c r="I27" s="43" t="s">
        <v>531</v>
      </c>
      <c r="J27" s="17"/>
      <c r="K27" s="12">
        <f t="shared" si="0"/>
        <v>0</v>
      </c>
      <c r="N27" s="39" t="str">
        <f t="shared" si="1"/>
        <v>-</v>
      </c>
      <c r="O27" s="39" t="str">
        <f t="shared" si="2"/>
        <v>-</v>
      </c>
      <c r="P27" s="40" t="str">
        <f t="shared" si="3"/>
        <v>-</v>
      </c>
      <c r="Q27" s="41" t="str">
        <f t="shared" si="4"/>
        <v>-</v>
      </c>
    </row>
    <row r="28" spans="1:17" ht="15.6" x14ac:dyDescent="0.3">
      <c r="A28" s="21" t="s">
        <v>138</v>
      </c>
      <c r="B28" s="19">
        <v>790011030423</v>
      </c>
      <c r="C28" s="20" t="s">
        <v>139</v>
      </c>
      <c r="D28" s="31" t="s">
        <v>482</v>
      </c>
      <c r="E28" s="22" t="s">
        <v>137</v>
      </c>
      <c r="F28" s="29">
        <v>9.0800000000000006E-2</v>
      </c>
      <c r="G28" s="31">
        <v>12</v>
      </c>
      <c r="H28" s="12">
        <v>28.7928</v>
      </c>
      <c r="I28" s="43" t="s">
        <v>531</v>
      </c>
      <c r="J28" s="17"/>
      <c r="K28" s="12">
        <f t="shared" si="0"/>
        <v>0</v>
      </c>
      <c r="N28" s="39" t="str">
        <f t="shared" si="1"/>
        <v>-</v>
      </c>
      <c r="O28" s="39" t="str">
        <f t="shared" si="2"/>
        <v>-</v>
      </c>
      <c r="P28" s="40" t="str">
        <f t="shared" si="3"/>
        <v>-</v>
      </c>
      <c r="Q28" s="41" t="str">
        <f t="shared" si="4"/>
        <v>-</v>
      </c>
    </row>
    <row r="29" spans="1:17" ht="15.6" x14ac:dyDescent="0.3">
      <c r="A29" s="21" t="s">
        <v>152</v>
      </c>
      <c r="B29" s="19">
        <v>790011150398</v>
      </c>
      <c r="C29" s="20" t="s">
        <v>153</v>
      </c>
      <c r="D29" s="31" t="s">
        <v>482</v>
      </c>
      <c r="E29" s="22" t="s">
        <v>18</v>
      </c>
      <c r="F29" s="29">
        <v>8.5804556658333336E-2</v>
      </c>
      <c r="G29" s="31">
        <v>12</v>
      </c>
      <c r="H29" s="12">
        <v>28.7928</v>
      </c>
      <c r="I29" s="43" t="s">
        <v>531</v>
      </c>
      <c r="J29" s="17"/>
      <c r="K29" s="12">
        <f t="shared" si="0"/>
        <v>0</v>
      </c>
      <c r="N29" s="39" t="str">
        <f t="shared" si="1"/>
        <v>-</v>
      </c>
      <c r="O29" s="39" t="str">
        <f t="shared" si="2"/>
        <v>-</v>
      </c>
      <c r="P29" s="40" t="str">
        <f t="shared" si="3"/>
        <v>-</v>
      </c>
      <c r="Q29" s="41" t="str">
        <f t="shared" si="4"/>
        <v>-</v>
      </c>
    </row>
    <row r="30" spans="1:17" ht="15.6" x14ac:dyDescent="0.3">
      <c r="A30" s="21" t="s">
        <v>221</v>
      </c>
      <c r="B30" s="19">
        <v>790011210115</v>
      </c>
      <c r="C30" s="20" t="s">
        <v>222</v>
      </c>
      <c r="D30" s="31" t="s">
        <v>477</v>
      </c>
      <c r="E30" s="22" t="s">
        <v>96</v>
      </c>
      <c r="F30" s="29">
        <v>7.7224100992500017E-2</v>
      </c>
      <c r="G30" s="31">
        <v>12</v>
      </c>
      <c r="H30" s="12">
        <v>41.752800000000001</v>
      </c>
      <c r="I30" s="43" t="s">
        <v>531</v>
      </c>
      <c r="J30" s="17"/>
      <c r="K30" s="12">
        <f t="shared" si="0"/>
        <v>0</v>
      </c>
      <c r="N30" s="39" t="str">
        <f t="shared" si="1"/>
        <v>-</v>
      </c>
      <c r="O30" s="39" t="str">
        <f t="shared" si="2"/>
        <v>-</v>
      </c>
      <c r="P30" s="40" t="str">
        <f t="shared" si="3"/>
        <v>-</v>
      </c>
      <c r="Q30" s="41" t="str">
        <f t="shared" si="4"/>
        <v>-</v>
      </c>
    </row>
    <row r="31" spans="1:17" ht="15.6" x14ac:dyDescent="0.3">
      <c r="A31" s="18" t="s">
        <v>223</v>
      </c>
      <c r="B31" s="19">
        <v>790011210788</v>
      </c>
      <c r="C31" s="20" t="s">
        <v>224</v>
      </c>
      <c r="D31" s="31" t="s">
        <v>479</v>
      </c>
      <c r="E31" s="22" t="s">
        <v>96</v>
      </c>
      <c r="F31" s="29">
        <v>4.9144559826060419E-2</v>
      </c>
      <c r="G31" s="31">
        <v>12</v>
      </c>
      <c r="H31" s="12">
        <v>23.752800000000001</v>
      </c>
      <c r="I31" s="43" t="s">
        <v>531</v>
      </c>
      <c r="J31" s="17"/>
      <c r="K31" s="12">
        <f t="shared" si="0"/>
        <v>0</v>
      </c>
      <c r="N31" s="39" t="str">
        <f t="shared" si="1"/>
        <v>-</v>
      </c>
      <c r="O31" s="39" t="str">
        <f t="shared" si="2"/>
        <v>-</v>
      </c>
      <c r="P31" s="40" t="str">
        <f t="shared" si="3"/>
        <v>-</v>
      </c>
      <c r="Q31" s="41" t="str">
        <f t="shared" si="4"/>
        <v>-</v>
      </c>
    </row>
    <row r="32" spans="1:17" ht="15.6" x14ac:dyDescent="0.3">
      <c r="A32" s="21" t="s">
        <v>280</v>
      </c>
      <c r="B32" s="19">
        <v>790011077060</v>
      </c>
      <c r="C32" s="20" t="s">
        <v>281</v>
      </c>
      <c r="D32" s="31" t="s">
        <v>482</v>
      </c>
      <c r="E32" s="22" t="s">
        <v>18</v>
      </c>
      <c r="F32" s="29">
        <v>7.9450000000000007E-2</v>
      </c>
      <c r="G32" s="31">
        <v>12</v>
      </c>
      <c r="H32" s="12">
        <v>10.072800000000001</v>
      </c>
      <c r="I32" s="43" t="s">
        <v>531</v>
      </c>
      <c r="J32" s="17"/>
      <c r="K32" s="12">
        <f t="shared" si="0"/>
        <v>0</v>
      </c>
      <c r="N32" s="39" t="str">
        <f t="shared" si="1"/>
        <v>-</v>
      </c>
      <c r="O32" s="39" t="str">
        <f t="shared" si="2"/>
        <v>-</v>
      </c>
      <c r="P32" s="40" t="str">
        <f t="shared" si="3"/>
        <v>-</v>
      </c>
      <c r="Q32" s="41" t="str">
        <f t="shared" si="4"/>
        <v>-</v>
      </c>
    </row>
    <row r="33" spans="1:17" ht="15.6" x14ac:dyDescent="0.3">
      <c r="A33" s="21" t="s">
        <v>287</v>
      </c>
      <c r="B33" s="19">
        <v>790011160069</v>
      </c>
      <c r="C33" s="20" t="s">
        <v>288</v>
      </c>
      <c r="D33" s="31" t="s">
        <v>488</v>
      </c>
      <c r="E33" s="22" t="s">
        <v>176</v>
      </c>
      <c r="F33" s="29">
        <v>9.4385012324166684E-2</v>
      </c>
      <c r="G33" s="31">
        <v>12</v>
      </c>
      <c r="H33" s="12">
        <v>35.992800000000003</v>
      </c>
      <c r="I33" s="43" t="s">
        <v>531</v>
      </c>
      <c r="J33" s="17"/>
      <c r="K33" s="12">
        <f t="shared" si="0"/>
        <v>0</v>
      </c>
      <c r="N33" s="39" t="str">
        <f t="shared" si="1"/>
        <v>-</v>
      </c>
      <c r="O33" s="39" t="str">
        <f t="shared" si="2"/>
        <v>-</v>
      </c>
      <c r="P33" s="40" t="str">
        <f t="shared" si="3"/>
        <v>-</v>
      </c>
      <c r="Q33" s="41" t="str">
        <f t="shared" si="4"/>
        <v>-</v>
      </c>
    </row>
    <row r="34" spans="1:17" ht="15.6" x14ac:dyDescent="0.3">
      <c r="A34" s="21" t="s">
        <v>291</v>
      </c>
      <c r="B34" s="19">
        <v>790011120322</v>
      </c>
      <c r="C34" s="20" t="s">
        <v>292</v>
      </c>
      <c r="D34" s="31" t="s">
        <v>479</v>
      </c>
      <c r="E34" s="22" t="s">
        <v>231</v>
      </c>
      <c r="F34" s="29">
        <v>3.4321822663333341E-2</v>
      </c>
      <c r="G34" s="31">
        <v>12</v>
      </c>
      <c r="H34" s="12">
        <v>23.032800000000002</v>
      </c>
      <c r="I34" s="43" t="s">
        <v>531</v>
      </c>
      <c r="J34" s="17"/>
      <c r="K34" s="12">
        <f t="shared" si="0"/>
        <v>0</v>
      </c>
      <c r="N34" s="39" t="str">
        <f t="shared" si="1"/>
        <v>-</v>
      </c>
      <c r="O34" s="39" t="str">
        <f t="shared" si="2"/>
        <v>-</v>
      </c>
      <c r="P34" s="40" t="str">
        <f t="shared" si="3"/>
        <v>-</v>
      </c>
      <c r="Q34" s="41" t="str">
        <f t="shared" si="4"/>
        <v>-</v>
      </c>
    </row>
    <row r="35" spans="1:17" ht="15.6" x14ac:dyDescent="0.3">
      <c r="A35" s="18" t="s">
        <v>298</v>
      </c>
      <c r="B35" s="19">
        <v>790011060031</v>
      </c>
      <c r="C35" s="20" t="s">
        <v>299</v>
      </c>
      <c r="D35" s="31" t="s">
        <v>482</v>
      </c>
      <c r="E35" s="22" t="s">
        <v>176</v>
      </c>
      <c r="F35" s="29">
        <v>5.6750000000000002E-2</v>
      </c>
      <c r="G35" s="31">
        <v>12</v>
      </c>
      <c r="H35" s="12">
        <v>15.832799999999999</v>
      </c>
      <c r="I35" s="43" t="s">
        <v>531</v>
      </c>
      <c r="J35" s="17"/>
      <c r="K35" s="12">
        <f t="shared" si="0"/>
        <v>0</v>
      </c>
      <c r="N35" s="39" t="str">
        <f t="shared" si="1"/>
        <v>-</v>
      </c>
      <c r="O35" s="39" t="str">
        <f t="shared" si="2"/>
        <v>-</v>
      </c>
      <c r="P35" s="40" t="str">
        <f t="shared" si="3"/>
        <v>-</v>
      </c>
      <c r="Q35" s="41" t="str">
        <f t="shared" si="4"/>
        <v>-</v>
      </c>
    </row>
    <row r="36" spans="1:17" ht="15.6" x14ac:dyDescent="0.3">
      <c r="A36" s="21" t="s">
        <v>327</v>
      </c>
      <c r="B36" s="19">
        <v>790011200390</v>
      </c>
      <c r="C36" s="20" t="s">
        <v>328</v>
      </c>
      <c r="D36" s="31" t="s">
        <v>482</v>
      </c>
      <c r="E36" s="22" t="s">
        <v>3</v>
      </c>
      <c r="F36" s="29">
        <v>6.8643645326666683E-2</v>
      </c>
      <c r="G36" s="31">
        <v>12</v>
      </c>
      <c r="H36" s="12">
        <v>21.5928</v>
      </c>
      <c r="I36" s="43" t="s">
        <v>531</v>
      </c>
      <c r="J36" s="17"/>
      <c r="K36" s="12">
        <f t="shared" si="0"/>
        <v>0</v>
      </c>
      <c r="N36" s="39" t="str">
        <f t="shared" si="1"/>
        <v>-</v>
      </c>
      <c r="O36" s="39" t="str">
        <f t="shared" si="2"/>
        <v>-</v>
      </c>
      <c r="P36" s="40" t="str">
        <f t="shared" si="3"/>
        <v>-</v>
      </c>
      <c r="Q36" s="41" t="str">
        <f t="shared" si="4"/>
        <v>-</v>
      </c>
    </row>
    <row r="37" spans="1:17" ht="15.6" x14ac:dyDescent="0.3">
      <c r="A37" s="21" t="s">
        <v>331</v>
      </c>
      <c r="B37" s="19">
        <v>790011330011</v>
      </c>
      <c r="C37" s="20" t="s">
        <v>332</v>
      </c>
      <c r="D37" s="31" t="s">
        <v>483</v>
      </c>
      <c r="E37" s="22" t="s">
        <v>124</v>
      </c>
      <c r="F37" s="29">
        <v>0.17160911331666667</v>
      </c>
      <c r="G37" s="31">
        <v>12</v>
      </c>
      <c r="H37" s="12">
        <v>21.5928</v>
      </c>
      <c r="I37" s="43" t="s">
        <v>531</v>
      </c>
      <c r="J37" s="17"/>
      <c r="K37" s="12">
        <f t="shared" si="0"/>
        <v>0</v>
      </c>
      <c r="N37" s="39" t="str">
        <f t="shared" si="1"/>
        <v>-</v>
      </c>
      <c r="O37" s="39" t="str">
        <f t="shared" si="2"/>
        <v>-</v>
      </c>
      <c r="P37" s="40" t="str">
        <f t="shared" si="3"/>
        <v>-</v>
      </c>
      <c r="Q37" s="41" t="str">
        <f t="shared" si="4"/>
        <v>-</v>
      </c>
    </row>
    <row r="38" spans="1:17" ht="15.6" x14ac:dyDescent="0.3">
      <c r="A38" s="21" t="s">
        <v>335</v>
      </c>
      <c r="B38" s="19">
        <v>790011030294</v>
      </c>
      <c r="C38" s="20" t="s">
        <v>336</v>
      </c>
      <c r="D38" s="31" t="s">
        <v>486</v>
      </c>
      <c r="E38" s="22" t="s">
        <v>129</v>
      </c>
      <c r="F38" s="29">
        <v>0.27457458130666673</v>
      </c>
      <c r="G38" s="31">
        <v>12</v>
      </c>
      <c r="H38" s="12">
        <v>36.712800000000001</v>
      </c>
      <c r="I38" s="43" t="s">
        <v>531</v>
      </c>
      <c r="J38" s="17"/>
      <c r="K38" s="12">
        <f t="shared" si="0"/>
        <v>0</v>
      </c>
      <c r="N38" s="39" t="str">
        <f t="shared" si="1"/>
        <v>-</v>
      </c>
      <c r="O38" s="39" t="str">
        <f t="shared" si="2"/>
        <v>-</v>
      </c>
      <c r="P38" s="40" t="str">
        <f t="shared" si="3"/>
        <v>-</v>
      </c>
      <c r="Q38" s="41" t="str">
        <f t="shared" si="4"/>
        <v>-</v>
      </c>
    </row>
    <row r="39" spans="1:17" ht="15.6" x14ac:dyDescent="0.3">
      <c r="A39" s="21" t="s">
        <v>346</v>
      </c>
      <c r="B39" s="19">
        <v>790011200147</v>
      </c>
      <c r="C39" s="20" t="s">
        <v>347</v>
      </c>
      <c r="D39" s="31" t="s">
        <v>518</v>
      </c>
      <c r="E39" s="22" t="s">
        <v>302</v>
      </c>
      <c r="F39" s="29">
        <v>9.0800000000000006E-2</v>
      </c>
      <c r="G39" s="31">
        <v>12</v>
      </c>
      <c r="H39" s="12">
        <v>14.392799999999998</v>
      </c>
      <c r="I39" s="43" t="s">
        <v>531</v>
      </c>
      <c r="J39" s="17"/>
      <c r="K39" s="12">
        <f t="shared" si="0"/>
        <v>0</v>
      </c>
      <c r="N39" s="39" t="str">
        <f t="shared" si="1"/>
        <v>-</v>
      </c>
      <c r="O39" s="39" t="str">
        <f t="shared" si="2"/>
        <v>-</v>
      </c>
      <c r="P39" s="40" t="str">
        <f t="shared" si="3"/>
        <v>-</v>
      </c>
      <c r="Q39" s="41" t="str">
        <f t="shared" si="4"/>
        <v>-</v>
      </c>
    </row>
    <row r="40" spans="1:17" ht="15.6" x14ac:dyDescent="0.3">
      <c r="A40" s="21" t="s">
        <v>350</v>
      </c>
      <c r="B40" s="19">
        <v>790011140290</v>
      </c>
      <c r="C40" s="20" t="s">
        <v>351</v>
      </c>
      <c r="D40" s="31" t="s">
        <v>514</v>
      </c>
      <c r="E40" s="22" t="s">
        <v>352</v>
      </c>
      <c r="F40" s="29">
        <v>0.14586774631916669</v>
      </c>
      <c r="G40" s="31">
        <v>12</v>
      </c>
      <c r="H40" s="12">
        <v>23.032800000000002</v>
      </c>
      <c r="I40" s="43" t="s">
        <v>531</v>
      </c>
      <c r="J40" s="17"/>
      <c r="K40" s="12">
        <f t="shared" si="0"/>
        <v>0</v>
      </c>
      <c r="N40" s="39" t="str">
        <f t="shared" si="1"/>
        <v>-</v>
      </c>
      <c r="O40" s="39" t="str">
        <f t="shared" si="2"/>
        <v>-</v>
      </c>
      <c r="P40" s="40" t="str">
        <f t="shared" si="3"/>
        <v>-</v>
      </c>
      <c r="Q40" s="41" t="str">
        <f t="shared" si="4"/>
        <v>-</v>
      </c>
    </row>
    <row r="41" spans="1:17" ht="15.6" x14ac:dyDescent="0.3">
      <c r="A41" s="21" t="s">
        <v>363</v>
      </c>
      <c r="B41" s="19">
        <v>790011150572</v>
      </c>
      <c r="C41" s="20" t="s">
        <v>364</v>
      </c>
      <c r="D41" s="31" t="s">
        <v>482</v>
      </c>
      <c r="E41" s="22" t="s">
        <v>302</v>
      </c>
      <c r="F41" s="29">
        <v>6.0063189660833335E-2</v>
      </c>
      <c r="G41" s="31">
        <v>12</v>
      </c>
      <c r="H41" s="12">
        <v>20.872799999999998</v>
      </c>
      <c r="I41" s="43" t="s">
        <v>531</v>
      </c>
      <c r="J41" s="17"/>
      <c r="K41" s="12">
        <f t="shared" si="0"/>
        <v>0</v>
      </c>
      <c r="N41" s="39" t="str">
        <f t="shared" si="1"/>
        <v>-</v>
      </c>
      <c r="O41" s="39" t="str">
        <f t="shared" si="2"/>
        <v>-</v>
      </c>
      <c r="P41" s="40" t="str">
        <f t="shared" si="3"/>
        <v>-</v>
      </c>
      <c r="Q41" s="41" t="str">
        <f t="shared" si="4"/>
        <v>-</v>
      </c>
    </row>
    <row r="42" spans="1:17" ht="15.6" x14ac:dyDescent="0.3">
      <c r="A42" s="21" t="s">
        <v>367</v>
      </c>
      <c r="B42" s="19">
        <v>790011120261</v>
      </c>
      <c r="C42" s="20" t="s">
        <v>368</v>
      </c>
      <c r="D42" s="31" t="s">
        <v>488</v>
      </c>
      <c r="E42" s="22" t="s">
        <v>3</v>
      </c>
      <c r="F42" s="29">
        <v>9.4385012324166684E-2</v>
      </c>
      <c r="G42" s="31">
        <v>12</v>
      </c>
      <c r="H42" s="12">
        <v>20.152799999999999</v>
      </c>
      <c r="I42" s="43" t="s">
        <v>531</v>
      </c>
      <c r="J42" s="17"/>
      <c r="K42" s="12">
        <f t="shared" si="0"/>
        <v>0</v>
      </c>
      <c r="N42" s="39" t="str">
        <f t="shared" si="1"/>
        <v>-</v>
      </c>
      <c r="O42" s="39" t="str">
        <f t="shared" si="2"/>
        <v>-</v>
      </c>
      <c r="P42" s="40" t="str">
        <f t="shared" si="3"/>
        <v>-</v>
      </c>
      <c r="Q42" s="41" t="str">
        <f t="shared" si="4"/>
        <v>-</v>
      </c>
    </row>
    <row r="43" spans="1:17" ht="15.6" x14ac:dyDescent="0.3">
      <c r="A43" s="18" t="s">
        <v>249</v>
      </c>
      <c r="B43" s="19">
        <v>790011291145</v>
      </c>
      <c r="C43" s="20" t="s">
        <v>250</v>
      </c>
      <c r="D43" s="31" t="s">
        <v>476</v>
      </c>
      <c r="E43" s="22"/>
      <c r="F43" s="29">
        <v>0.13471315395358335</v>
      </c>
      <c r="G43" s="31">
        <v>12</v>
      </c>
      <c r="H43" s="12">
        <v>19.4328</v>
      </c>
      <c r="I43" s="43" t="s">
        <v>532</v>
      </c>
      <c r="J43" s="17"/>
      <c r="K43" s="12">
        <f t="shared" si="0"/>
        <v>0</v>
      </c>
      <c r="N43" s="39" t="str">
        <f t="shared" si="1"/>
        <v>-</v>
      </c>
      <c r="O43" s="39" t="str">
        <f t="shared" si="2"/>
        <v>-</v>
      </c>
      <c r="P43" s="40" t="str">
        <f t="shared" si="3"/>
        <v>-</v>
      </c>
      <c r="Q43" s="41" t="str">
        <f t="shared" si="4"/>
        <v>-</v>
      </c>
    </row>
    <row r="44" spans="1:17" ht="15.6" x14ac:dyDescent="0.3">
      <c r="A44" s="21" t="s">
        <v>276</v>
      </c>
      <c r="B44" s="19">
        <v>790011010500</v>
      </c>
      <c r="C44" s="20" t="s">
        <v>277</v>
      </c>
      <c r="D44" s="31" t="s">
        <v>478</v>
      </c>
      <c r="E44" s="22" t="s">
        <v>3</v>
      </c>
      <c r="F44" s="29">
        <v>0.18319272846554169</v>
      </c>
      <c r="G44" s="31">
        <v>12</v>
      </c>
      <c r="H44" s="12">
        <v>27.352800000000002</v>
      </c>
      <c r="I44" s="43" t="s">
        <v>532</v>
      </c>
      <c r="J44" s="17"/>
      <c r="K44" s="12">
        <f t="shared" si="0"/>
        <v>0</v>
      </c>
      <c r="N44" s="39" t="str">
        <f t="shared" si="1"/>
        <v>-</v>
      </c>
      <c r="O44" s="39" t="str">
        <f t="shared" si="2"/>
        <v>-</v>
      </c>
      <c r="P44" s="40" t="str">
        <f t="shared" si="3"/>
        <v>-</v>
      </c>
      <c r="Q44" s="41" t="str">
        <f t="shared" si="4"/>
        <v>-</v>
      </c>
    </row>
    <row r="45" spans="1:17" ht="15.6" x14ac:dyDescent="0.3">
      <c r="A45" s="21" t="s">
        <v>274</v>
      </c>
      <c r="B45" s="19">
        <v>790011010517</v>
      </c>
      <c r="C45" s="20" t="s">
        <v>275</v>
      </c>
      <c r="D45" s="31" t="s">
        <v>478</v>
      </c>
      <c r="E45" s="22" t="s">
        <v>3</v>
      </c>
      <c r="F45" s="29">
        <v>0.18319272846554169</v>
      </c>
      <c r="G45" s="31">
        <v>12</v>
      </c>
      <c r="H45" s="12">
        <v>27.352800000000002</v>
      </c>
      <c r="I45" s="43" t="s">
        <v>532</v>
      </c>
      <c r="J45" s="17"/>
      <c r="K45" s="12">
        <f t="shared" si="0"/>
        <v>0</v>
      </c>
      <c r="N45" s="39" t="str">
        <f t="shared" si="1"/>
        <v>-</v>
      </c>
      <c r="O45" s="39" t="str">
        <f t="shared" si="2"/>
        <v>-</v>
      </c>
      <c r="P45" s="40" t="str">
        <f t="shared" si="3"/>
        <v>-</v>
      </c>
      <c r="Q45" s="41" t="str">
        <f t="shared" si="4"/>
        <v>-</v>
      </c>
    </row>
    <row r="46" spans="1:17" ht="15.6" x14ac:dyDescent="0.3">
      <c r="A46" s="18" t="s">
        <v>16</v>
      </c>
      <c r="B46" s="19">
        <v>790011020011</v>
      </c>
      <c r="C46" s="20" t="s">
        <v>17</v>
      </c>
      <c r="D46" s="31" t="s">
        <v>480</v>
      </c>
      <c r="E46" s="22" t="s">
        <v>18</v>
      </c>
      <c r="F46" s="29">
        <v>9.4385012324166684E-2</v>
      </c>
      <c r="G46" s="31">
        <v>12</v>
      </c>
      <c r="H46" s="12">
        <v>17.992799999999999</v>
      </c>
      <c r="I46" s="43" t="s">
        <v>532</v>
      </c>
      <c r="J46" s="17"/>
      <c r="K46" s="12">
        <f t="shared" si="0"/>
        <v>0</v>
      </c>
      <c r="N46" s="39" t="str">
        <f t="shared" si="1"/>
        <v>-</v>
      </c>
      <c r="O46" s="39" t="str">
        <f t="shared" si="2"/>
        <v>-</v>
      </c>
      <c r="P46" s="40" t="str">
        <f t="shared" si="3"/>
        <v>-</v>
      </c>
      <c r="Q46" s="41" t="str">
        <f t="shared" si="4"/>
        <v>-</v>
      </c>
    </row>
    <row r="47" spans="1:17" ht="15.6" x14ac:dyDescent="0.3">
      <c r="A47" s="18" t="s">
        <v>19</v>
      </c>
      <c r="B47" s="19">
        <v>790011020028</v>
      </c>
      <c r="C47" s="20" t="s">
        <v>20</v>
      </c>
      <c r="D47" s="31" t="s">
        <v>481</v>
      </c>
      <c r="E47" s="22" t="s">
        <v>18</v>
      </c>
      <c r="F47" s="29">
        <v>0.15444820198500003</v>
      </c>
      <c r="G47" s="31">
        <v>12</v>
      </c>
      <c r="H47" s="12">
        <v>30.232800000000001</v>
      </c>
      <c r="I47" s="43" t="s">
        <v>532</v>
      </c>
      <c r="J47" s="17"/>
      <c r="K47" s="12">
        <f t="shared" si="0"/>
        <v>0</v>
      </c>
      <c r="N47" s="39" t="str">
        <f t="shared" si="1"/>
        <v>-</v>
      </c>
      <c r="O47" s="39" t="str">
        <f t="shared" si="2"/>
        <v>-</v>
      </c>
      <c r="P47" s="40" t="str">
        <f t="shared" si="3"/>
        <v>-</v>
      </c>
      <c r="Q47" s="41" t="str">
        <f t="shared" si="4"/>
        <v>-</v>
      </c>
    </row>
    <row r="48" spans="1:17" ht="15.6" x14ac:dyDescent="0.3">
      <c r="A48" s="18" t="s">
        <v>27</v>
      </c>
      <c r="B48" s="19">
        <v>790011150374</v>
      </c>
      <c r="C48" s="20" t="s">
        <v>28</v>
      </c>
      <c r="D48" s="31" t="s">
        <v>482</v>
      </c>
      <c r="E48" s="22" t="s">
        <v>18</v>
      </c>
      <c r="F48" s="29">
        <v>9.4385012324166684E-2</v>
      </c>
      <c r="G48" s="31">
        <v>12</v>
      </c>
      <c r="H48" s="12">
        <v>16.552799999999998</v>
      </c>
      <c r="I48" s="43" t="s">
        <v>532</v>
      </c>
      <c r="J48" s="17"/>
      <c r="K48" s="12">
        <f t="shared" si="0"/>
        <v>0</v>
      </c>
      <c r="N48" s="39" t="str">
        <f t="shared" si="1"/>
        <v>-</v>
      </c>
      <c r="O48" s="39" t="str">
        <f t="shared" si="2"/>
        <v>-</v>
      </c>
      <c r="P48" s="40" t="str">
        <f t="shared" si="3"/>
        <v>-</v>
      </c>
      <c r="Q48" s="41" t="str">
        <f t="shared" si="4"/>
        <v>-</v>
      </c>
    </row>
    <row r="49" spans="1:17" ht="15.6" x14ac:dyDescent="0.3">
      <c r="A49" s="21" t="s">
        <v>29</v>
      </c>
      <c r="B49" s="19">
        <v>790011150626</v>
      </c>
      <c r="C49" s="20" t="s">
        <v>30</v>
      </c>
      <c r="D49" s="31" t="s">
        <v>483</v>
      </c>
      <c r="E49" s="22" t="s">
        <v>18</v>
      </c>
      <c r="F49" s="29">
        <v>0.15444820198500003</v>
      </c>
      <c r="G49" s="31">
        <v>12</v>
      </c>
      <c r="H49" s="12">
        <v>27.352800000000002</v>
      </c>
      <c r="I49" s="43" t="s">
        <v>532</v>
      </c>
      <c r="J49" s="17"/>
      <c r="K49" s="12">
        <f t="shared" si="0"/>
        <v>0</v>
      </c>
      <c r="N49" s="39" t="str">
        <f t="shared" si="1"/>
        <v>-</v>
      </c>
      <c r="O49" s="39" t="str">
        <f t="shared" si="2"/>
        <v>-</v>
      </c>
      <c r="P49" s="40" t="str">
        <f t="shared" si="3"/>
        <v>-</v>
      </c>
      <c r="Q49" s="41" t="str">
        <f t="shared" si="4"/>
        <v>-</v>
      </c>
    </row>
    <row r="50" spans="1:17" ht="15.6" x14ac:dyDescent="0.3">
      <c r="A50" s="18" t="s">
        <v>34</v>
      </c>
      <c r="B50" s="19">
        <v>790011200109</v>
      </c>
      <c r="C50" s="20" t="s">
        <v>35</v>
      </c>
      <c r="D50" s="31" t="s">
        <v>478</v>
      </c>
      <c r="E50" s="22" t="s">
        <v>33</v>
      </c>
      <c r="F50" s="29">
        <v>0.12012637932166667</v>
      </c>
      <c r="G50" s="31">
        <v>12</v>
      </c>
      <c r="H50" s="12">
        <v>17.12988</v>
      </c>
      <c r="I50" s="43" t="s">
        <v>532</v>
      </c>
      <c r="J50" s="17"/>
      <c r="K50" s="12">
        <f t="shared" si="0"/>
        <v>0</v>
      </c>
      <c r="N50" s="39" t="str">
        <f t="shared" si="1"/>
        <v>-</v>
      </c>
      <c r="O50" s="39" t="str">
        <f t="shared" si="2"/>
        <v>-</v>
      </c>
      <c r="P50" s="40" t="str">
        <f t="shared" si="3"/>
        <v>-</v>
      </c>
      <c r="Q50" s="41" t="str">
        <f t="shared" si="4"/>
        <v>-</v>
      </c>
    </row>
    <row r="51" spans="1:17" ht="15.6" x14ac:dyDescent="0.3">
      <c r="A51" s="21" t="s">
        <v>36</v>
      </c>
      <c r="B51" s="19">
        <v>790011200369</v>
      </c>
      <c r="C51" s="20" t="s">
        <v>37</v>
      </c>
      <c r="D51" s="31" t="s">
        <v>484</v>
      </c>
      <c r="E51" s="22" t="s">
        <v>33</v>
      </c>
      <c r="F51" s="29">
        <v>0.21451139164583335</v>
      </c>
      <c r="G51" s="31">
        <v>12</v>
      </c>
      <c r="H51" s="12">
        <v>28.072800000000004</v>
      </c>
      <c r="I51" s="43" t="s">
        <v>532</v>
      </c>
      <c r="J51" s="17"/>
      <c r="K51" s="12">
        <f t="shared" si="0"/>
        <v>0</v>
      </c>
      <c r="N51" s="39" t="str">
        <f t="shared" si="1"/>
        <v>-</v>
      </c>
      <c r="O51" s="39" t="str">
        <f t="shared" si="2"/>
        <v>-</v>
      </c>
      <c r="P51" s="40" t="str">
        <f t="shared" si="3"/>
        <v>-</v>
      </c>
      <c r="Q51" s="41" t="str">
        <f t="shared" si="4"/>
        <v>-</v>
      </c>
    </row>
    <row r="52" spans="1:17" ht="15.6" x14ac:dyDescent="0.3">
      <c r="A52" s="21" t="s">
        <v>53</v>
      </c>
      <c r="B52" s="19">
        <v>790011180166</v>
      </c>
      <c r="C52" s="20" t="s">
        <v>54</v>
      </c>
      <c r="D52" s="31" t="s">
        <v>489</v>
      </c>
      <c r="E52" s="22" t="s">
        <v>55</v>
      </c>
      <c r="F52" s="29">
        <v>0.11154592365583335</v>
      </c>
      <c r="G52" s="31">
        <v>12</v>
      </c>
      <c r="H52" s="12">
        <v>15.832799999999999</v>
      </c>
      <c r="I52" s="43" t="s">
        <v>532</v>
      </c>
      <c r="J52" s="17"/>
      <c r="K52" s="12">
        <f t="shared" si="0"/>
        <v>0</v>
      </c>
      <c r="N52" s="39" t="str">
        <f t="shared" si="1"/>
        <v>-</v>
      </c>
      <c r="O52" s="39" t="str">
        <f t="shared" si="2"/>
        <v>-</v>
      </c>
      <c r="P52" s="40" t="str">
        <f t="shared" si="3"/>
        <v>-</v>
      </c>
      <c r="Q52" s="41" t="str">
        <f t="shared" si="4"/>
        <v>-</v>
      </c>
    </row>
    <row r="53" spans="1:17" ht="15.6" x14ac:dyDescent="0.3">
      <c r="A53" s="18" t="s">
        <v>61</v>
      </c>
      <c r="B53" s="19">
        <v>790011180289</v>
      </c>
      <c r="C53" s="20" t="s">
        <v>62</v>
      </c>
      <c r="D53" s="31" t="s">
        <v>491</v>
      </c>
      <c r="E53" s="22" t="s">
        <v>60</v>
      </c>
      <c r="F53" s="29">
        <v>9.4385012324166684E-2</v>
      </c>
      <c r="G53" s="31">
        <v>12</v>
      </c>
      <c r="H53" s="12">
        <v>26.632799999999996</v>
      </c>
      <c r="I53" s="43" t="s">
        <v>532</v>
      </c>
      <c r="J53" s="17"/>
      <c r="K53" s="12">
        <f t="shared" si="0"/>
        <v>0</v>
      </c>
      <c r="N53" s="39" t="str">
        <f t="shared" si="1"/>
        <v>-</v>
      </c>
      <c r="O53" s="39" t="str">
        <f t="shared" si="2"/>
        <v>-</v>
      </c>
      <c r="P53" s="40" t="str">
        <f t="shared" si="3"/>
        <v>-</v>
      </c>
      <c r="Q53" s="41" t="str">
        <f t="shared" si="4"/>
        <v>-</v>
      </c>
    </row>
    <row r="54" spans="1:17" ht="15.6" x14ac:dyDescent="0.3">
      <c r="A54" s="21" t="s">
        <v>75</v>
      </c>
      <c r="B54" s="19">
        <v>790011180197</v>
      </c>
      <c r="C54" s="20" t="s">
        <v>76</v>
      </c>
      <c r="D54" s="31" t="s">
        <v>490</v>
      </c>
      <c r="E54" s="22" t="s">
        <v>3</v>
      </c>
      <c r="F54" s="29">
        <v>8.5804556658333336E-2</v>
      </c>
      <c r="G54" s="31">
        <v>12</v>
      </c>
      <c r="H54" s="12">
        <v>28.7928</v>
      </c>
      <c r="I54" s="43" t="s">
        <v>532</v>
      </c>
      <c r="J54" s="17"/>
      <c r="K54" s="12">
        <f t="shared" si="0"/>
        <v>0</v>
      </c>
      <c r="N54" s="39" t="str">
        <f t="shared" si="1"/>
        <v>-</v>
      </c>
      <c r="O54" s="39" t="str">
        <f t="shared" si="2"/>
        <v>-</v>
      </c>
      <c r="P54" s="40" t="str">
        <f t="shared" si="3"/>
        <v>-</v>
      </c>
      <c r="Q54" s="41" t="str">
        <f t="shared" si="4"/>
        <v>-</v>
      </c>
    </row>
    <row r="55" spans="1:17" ht="15.6" x14ac:dyDescent="0.3">
      <c r="A55" s="18" t="s">
        <v>79</v>
      </c>
      <c r="B55" s="19">
        <v>790011202110</v>
      </c>
      <c r="C55" s="20" t="s">
        <v>80</v>
      </c>
      <c r="D55" s="31" t="s">
        <v>483</v>
      </c>
      <c r="E55" s="22" t="s">
        <v>81</v>
      </c>
      <c r="F55" s="29">
        <v>0.14586774631916669</v>
      </c>
      <c r="G55" s="31">
        <v>12</v>
      </c>
      <c r="H55" s="12">
        <v>33.832799999999999</v>
      </c>
      <c r="I55" s="43" t="s">
        <v>532</v>
      </c>
      <c r="J55" s="17"/>
      <c r="K55" s="12">
        <f t="shared" si="0"/>
        <v>0</v>
      </c>
      <c r="N55" s="39" t="str">
        <f t="shared" si="1"/>
        <v>-</v>
      </c>
      <c r="O55" s="39" t="str">
        <f t="shared" si="2"/>
        <v>-</v>
      </c>
      <c r="P55" s="40" t="str">
        <f t="shared" si="3"/>
        <v>-</v>
      </c>
      <c r="Q55" s="41" t="str">
        <f t="shared" si="4"/>
        <v>-</v>
      </c>
    </row>
    <row r="56" spans="1:17" ht="15.6" x14ac:dyDescent="0.3">
      <c r="A56" s="21" t="s">
        <v>82</v>
      </c>
      <c r="B56" s="19">
        <v>790011180050</v>
      </c>
      <c r="C56" s="20" t="s">
        <v>83</v>
      </c>
      <c r="D56" s="31" t="s">
        <v>481</v>
      </c>
      <c r="E56" s="22" t="s">
        <v>60</v>
      </c>
      <c r="F56" s="29">
        <v>0.12870683498750002</v>
      </c>
      <c r="G56" s="31">
        <v>12</v>
      </c>
      <c r="H56" s="12">
        <v>12.232799999999997</v>
      </c>
      <c r="I56" s="43" t="s">
        <v>532</v>
      </c>
      <c r="J56" s="17"/>
      <c r="K56" s="12">
        <f t="shared" si="0"/>
        <v>0</v>
      </c>
      <c r="N56" s="39" t="str">
        <f t="shared" si="1"/>
        <v>-</v>
      </c>
      <c r="O56" s="39" t="str">
        <f t="shared" si="2"/>
        <v>-</v>
      </c>
      <c r="P56" s="40" t="str">
        <f t="shared" si="3"/>
        <v>-</v>
      </c>
      <c r="Q56" s="41" t="str">
        <f t="shared" si="4"/>
        <v>-</v>
      </c>
    </row>
    <row r="57" spans="1:17" ht="15.6" x14ac:dyDescent="0.3">
      <c r="A57" s="18" t="s">
        <v>86</v>
      </c>
      <c r="B57" s="19">
        <v>790011040033</v>
      </c>
      <c r="C57" s="20" t="s">
        <v>87</v>
      </c>
      <c r="D57" s="31" t="s">
        <v>497</v>
      </c>
      <c r="E57" s="22" t="s">
        <v>3</v>
      </c>
      <c r="F57" s="29">
        <v>0.41186187195999996</v>
      </c>
      <c r="G57" s="31">
        <v>12</v>
      </c>
      <c r="H57" s="12">
        <v>20.872799999999998</v>
      </c>
      <c r="I57" s="43" t="s">
        <v>532</v>
      </c>
      <c r="J57" s="17"/>
      <c r="K57" s="12">
        <f t="shared" si="0"/>
        <v>0</v>
      </c>
      <c r="N57" s="39" t="str">
        <f t="shared" si="1"/>
        <v>-</v>
      </c>
      <c r="O57" s="39" t="str">
        <f t="shared" si="2"/>
        <v>-</v>
      </c>
      <c r="P57" s="40" t="str">
        <f t="shared" si="3"/>
        <v>-</v>
      </c>
      <c r="Q57" s="41" t="str">
        <f t="shared" si="4"/>
        <v>-</v>
      </c>
    </row>
    <row r="58" spans="1:17" ht="15.6" x14ac:dyDescent="0.3">
      <c r="A58" s="21" t="s">
        <v>90</v>
      </c>
      <c r="B58" s="19">
        <v>790011048060</v>
      </c>
      <c r="C58" s="20" t="s">
        <v>91</v>
      </c>
      <c r="D58" s="31" t="s">
        <v>476</v>
      </c>
      <c r="E58" s="22" t="s">
        <v>3</v>
      </c>
      <c r="F58" s="29">
        <v>0.24883321430916669</v>
      </c>
      <c r="G58" s="31">
        <v>12</v>
      </c>
      <c r="H58" s="12">
        <v>15.1128</v>
      </c>
      <c r="I58" s="43" t="s">
        <v>532</v>
      </c>
      <c r="J58" s="17"/>
      <c r="K58" s="12">
        <f t="shared" si="0"/>
        <v>0</v>
      </c>
      <c r="N58" s="39" t="str">
        <f t="shared" si="1"/>
        <v>-</v>
      </c>
      <c r="O58" s="39" t="str">
        <f t="shared" si="2"/>
        <v>-</v>
      </c>
      <c r="P58" s="40" t="str">
        <f t="shared" si="3"/>
        <v>-</v>
      </c>
      <c r="Q58" s="41" t="str">
        <f t="shared" si="4"/>
        <v>-</v>
      </c>
    </row>
    <row r="59" spans="1:17" ht="15.6" x14ac:dyDescent="0.3">
      <c r="A59" s="18" t="s">
        <v>92</v>
      </c>
      <c r="B59" s="19">
        <v>790011040088</v>
      </c>
      <c r="C59" s="20" t="s">
        <v>93</v>
      </c>
      <c r="D59" s="31" t="s">
        <v>499</v>
      </c>
      <c r="E59" s="22" t="s">
        <v>3</v>
      </c>
      <c r="F59" s="29">
        <v>0.48050551728666668</v>
      </c>
      <c r="G59" s="31">
        <v>12</v>
      </c>
      <c r="H59" s="12">
        <v>28.7928</v>
      </c>
      <c r="I59" s="43" t="s">
        <v>532</v>
      </c>
      <c r="J59" s="17"/>
      <c r="K59" s="12">
        <f t="shared" si="0"/>
        <v>0</v>
      </c>
      <c r="N59" s="39" t="str">
        <f t="shared" si="1"/>
        <v>-</v>
      </c>
      <c r="O59" s="39" t="str">
        <f t="shared" si="2"/>
        <v>-</v>
      </c>
      <c r="P59" s="40" t="str">
        <f t="shared" si="3"/>
        <v>-</v>
      </c>
      <c r="Q59" s="41" t="str">
        <f t="shared" si="4"/>
        <v>-</v>
      </c>
    </row>
    <row r="60" spans="1:17" ht="15.6" x14ac:dyDescent="0.3">
      <c r="A60" s="18" t="s">
        <v>94</v>
      </c>
      <c r="B60" s="19">
        <v>790011200123</v>
      </c>
      <c r="C60" s="20" t="s">
        <v>95</v>
      </c>
      <c r="D60" s="31" t="s">
        <v>477</v>
      </c>
      <c r="E60" s="22" t="s">
        <v>96</v>
      </c>
      <c r="F60" s="29">
        <v>6.8643645326666683E-2</v>
      </c>
      <c r="G60" s="31">
        <v>12</v>
      </c>
      <c r="H60" s="12">
        <v>24.472799999999999</v>
      </c>
      <c r="I60" s="43" t="s">
        <v>532</v>
      </c>
      <c r="J60" s="17"/>
      <c r="K60" s="12">
        <f t="shared" si="0"/>
        <v>0</v>
      </c>
      <c r="N60" s="39" t="str">
        <f t="shared" si="1"/>
        <v>-</v>
      </c>
      <c r="O60" s="39" t="str">
        <f t="shared" si="2"/>
        <v>-</v>
      </c>
      <c r="P60" s="40" t="str">
        <f t="shared" si="3"/>
        <v>-</v>
      </c>
      <c r="Q60" s="41" t="str">
        <f t="shared" si="4"/>
        <v>-</v>
      </c>
    </row>
    <row r="61" spans="1:17" ht="15.6" x14ac:dyDescent="0.3">
      <c r="A61" s="21" t="s">
        <v>97</v>
      </c>
      <c r="B61" s="19">
        <v>790011180142</v>
      </c>
      <c r="C61" s="20" t="s">
        <v>98</v>
      </c>
      <c r="D61" s="31" t="s">
        <v>496</v>
      </c>
      <c r="E61" s="22" t="s">
        <v>96</v>
      </c>
      <c r="F61" s="29">
        <v>9.4385012324166684E-2</v>
      </c>
      <c r="G61" s="31">
        <v>12</v>
      </c>
      <c r="H61" s="12">
        <v>41.752800000000001</v>
      </c>
      <c r="I61" s="43" t="s">
        <v>532</v>
      </c>
      <c r="J61" s="17"/>
      <c r="K61" s="12">
        <f t="shared" si="0"/>
        <v>0</v>
      </c>
      <c r="N61" s="39" t="str">
        <f t="shared" si="1"/>
        <v>-</v>
      </c>
      <c r="O61" s="39" t="str">
        <f t="shared" si="2"/>
        <v>-</v>
      </c>
      <c r="P61" s="40" t="str">
        <f t="shared" si="3"/>
        <v>-</v>
      </c>
      <c r="Q61" s="41" t="str">
        <f t="shared" si="4"/>
        <v>-</v>
      </c>
    </row>
    <row r="62" spans="1:17" ht="15.6" x14ac:dyDescent="0.3">
      <c r="A62" s="18" t="s">
        <v>106</v>
      </c>
      <c r="B62" s="19">
        <v>790011140764</v>
      </c>
      <c r="C62" s="20" t="s">
        <v>107</v>
      </c>
      <c r="D62" s="31" t="s">
        <v>483</v>
      </c>
      <c r="E62" s="22" t="s">
        <v>18</v>
      </c>
      <c r="F62" s="29">
        <v>0.15890000000000001</v>
      </c>
      <c r="G62" s="31">
        <v>12</v>
      </c>
      <c r="H62" s="12">
        <v>35.992800000000003</v>
      </c>
      <c r="I62" s="43" t="s">
        <v>532</v>
      </c>
      <c r="J62" s="17"/>
      <c r="K62" s="12">
        <f t="shared" si="0"/>
        <v>0</v>
      </c>
      <c r="N62" s="39" t="str">
        <f t="shared" si="1"/>
        <v>-</v>
      </c>
      <c r="O62" s="39" t="str">
        <f t="shared" si="2"/>
        <v>-</v>
      </c>
      <c r="P62" s="40" t="str">
        <f t="shared" si="3"/>
        <v>-</v>
      </c>
      <c r="Q62" s="41" t="str">
        <f t="shared" si="4"/>
        <v>-</v>
      </c>
    </row>
    <row r="63" spans="1:17" ht="15.6" x14ac:dyDescent="0.3">
      <c r="A63" s="18" t="s">
        <v>108</v>
      </c>
      <c r="B63" s="19">
        <v>790011140863</v>
      </c>
      <c r="C63" s="20" t="s">
        <v>109</v>
      </c>
      <c r="D63" s="31" t="s">
        <v>482</v>
      </c>
      <c r="E63" s="22" t="s">
        <v>18</v>
      </c>
      <c r="F63" s="29">
        <v>0.10214999999999999</v>
      </c>
      <c r="G63" s="31">
        <v>12</v>
      </c>
      <c r="H63" s="12">
        <v>21.5928</v>
      </c>
      <c r="I63" s="43" t="s">
        <v>532</v>
      </c>
      <c r="J63" s="17"/>
      <c r="K63" s="12">
        <f t="shared" si="0"/>
        <v>0</v>
      </c>
      <c r="N63" s="39" t="str">
        <f t="shared" si="1"/>
        <v>-</v>
      </c>
      <c r="O63" s="39" t="str">
        <f t="shared" si="2"/>
        <v>-</v>
      </c>
      <c r="P63" s="40" t="str">
        <f t="shared" si="3"/>
        <v>-</v>
      </c>
      <c r="Q63" s="41" t="str">
        <f t="shared" si="4"/>
        <v>-</v>
      </c>
    </row>
    <row r="64" spans="1:17" ht="15.6" x14ac:dyDescent="0.3">
      <c r="A64" s="21" t="s">
        <v>115</v>
      </c>
      <c r="B64" s="19">
        <v>790011300052</v>
      </c>
      <c r="C64" s="20" t="s">
        <v>116</v>
      </c>
      <c r="D64" s="31" t="s">
        <v>501</v>
      </c>
      <c r="E64" s="22" t="s">
        <v>117</v>
      </c>
      <c r="F64" s="29">
        <v>6.8099999999999994E-2</v>
      </c>
      <c r="G64" s="31">
        <v>12</v>
      </c>
      <c r="H64" s="12">
        <v>10.7928</v>
      </c>
      <c r="I64" s="43" t="s">
        <v>532</v>
      </c>
      <c r="J64" s="17"/>
      <c r="K64" s="12">
        <f t="shared" si="0"/>
        <v>0</v>
      </c>
      <c r="N64" s="39" t="str">
        <f t="shared" si="1"/>
        <v>-</v>
      </c>
      <c r="O64" s="39" t="str">
        <f t="shared" si="2"/>
        <v>-</v>
      </c>
      <c r="P64" s="40" t="str">
        <f t="shared" si="3"/>
        <v>-</v>
      </c>
      <c r="Q64" s="41" t="str">
        <f t="shared" si="4"/>
        <v>-</v>
      </c>
    </row>
    <row r="65" spans="1:17" ht="15.6" x14ac:dyDescent="0.3">
      <c r="A65" s="21" t="s">
        <v>122</v>
      </c>
      <c r="B65" s="19">
        <v>790011160366</v>
      </c>
      <c r="C65" s="20" t="s">
        <v>123</v>
      </c>
      <c r="D65" s="31" t="s">
        <v>500</v>
      </c>
      <c r="E65" s="22" t="s">
        <v>124</v>
      </c>
      <c r="F65" s="29">
        <v>0.25741366997500004</v>
      </c>
      <c r="G65" s="31">
        <v>12</v>
      </c>
      <c r="H65" s="12">
        <v>44.155658504049555</v>
      </c>
      <c r="I65" s="43" t="s">
        <v>532</v>
      </c>
      <c r="J65" s="17"/>
      <c r="K65" s="12">
        <f t="shared" si="0"/>
        <v>0</v>
      </c>
      <c r="N65" s="39" t="str">
        <f t="shared" si="1"/>
        <v>-</v>
      </c>
      <c r="O65" s="39" t="str">
        <f t="shared" si="2"/>
        <v>-</v>
      </c>
      <c r="P65" s="40" t="str">
        <f t="shared" si="3"/>
        <v>-</v>
      </c>
      <c r="Q65" s="41" t="str">
        <f t="shared" si="4"/>
        <v>-</v>
      </c>
    </row>
    <row r="66" spans="1:17" ht="15.6" x14ac:dyDescent="0.3">
      <c r="A66" s="21" t="s">
        <v>127</v>
      </c>
      <c r="B66" s="19">
        <v>790011030058</v>
      </c>
      <c r="C66" s="20" t="s">
        <v>128</v>
      </c>
      <c r="D66" s="31" t="s">
        <v>502</v>
      </c>
      <c r="E66" s="22" t="s">
        <v>129</v>
      </c>
      <c r="F66" s="29">
        <v>6.8643645326666683E-2</v>
      </c>
      <c r="G66" s="31">
        <v>12</v>
      </c>
      <c r="H66" s="12">
        <v>20.152799999999999</v>
      </c>
      <c r="I66" s="43" t="s">
        <v>532</v>
      </c>
      <c r="J66" s="17"/>
      <c r="K66" s="12">
        <f t="shared" si="0"/>
        <v>0</v>
      </c>
      <c r="N66" s="39" t="str">
        <f t="shared" si="1"/>
        <v>-</v>
      </c>
      <c r="O66" s="39" t="str">
        <f t="shared" si="2"/>
        <v>-</v>
      </c>
      <c r="P66" s="40" t="str">
        <f t="shared" si="3"/>
        <v>-</v>
      </c>
      <c r="Q66" s="41" t="str">
        <f t="shared" si="4"/>
        <v>-</v>
      </c>
    </row>
    <row r="67" spans="1:17" ht="15.6" x14ac:dyDescent="0.3">
      <c r="A67" s="18" t="s">
        <v>135</v>
      </c>
      <c r="B67" s="19">
        <v>790011030416</v>
      </c>
      <c r="C67" s="20" t="s">
        <v>136</v>
      </c>
      <c r="D67" s="31" t="s">
        <v>502</v>
      </c>
      <c r="E67" s="22" t="s">
        <v>137</v>
      </c>
      <c r="F67" s="29">
        <v>6.8643645326666683E-2</v>
      </c>
      <c r="G67" s="31">
        <v>12</v>
      </c>
      <c r="H67" s="12">
        <v>17.992799999999999</v>
      </c>
      <c r="I67" s="43" t="s">
        <v>532</v>
      </c>
      <c r="J67" s="17"/>
      <c r="K67" s="12">
        <f t="shared" si="0"/>
        <v>0</v>
      </c>
      <c r="N67" s="39" t="str">
        <f t="shared" si="1"/>
        <v>-</v>
      </c>
      <c r="O67" s="39" t="str">
        <f t="shared" si="2"/>
        <v>-</v>
      </c>
      <c r="P67" s="40" t="str">
        <f t="shared" si="3"/>
        <v>-</v>
      </c>
      <c r="Q67" s="41" t="str">
        <f t="shared" si="4"/>
        <v>-</v>
      </c>
    </row>
    <row r="68" spans="1:17" ht="15.6" x14ac:dyDescent="0.3">
      <c r="A68" s="21" t="s">
        <v>140</v>
      </c>
      <c r="B68" s="19">
        <v>790011037354</v>
      </c>
      <c r="C68" s="20" t="s">
        <v>141</v>
      </c>
      <c r="D68" s="31" t="s">
        <v>502</v>
      </c>
      <c r="E68" s="22" t="s">
        <v>134</v>
      </c>
      <c r="F68" s="29">
        <v>7.0788759243124999E-2</v>
      </c>
      <c r="G68" s="31">
        <v>12</v>
      </c>
      <c r="H68" s="12">
        <v>25.912800000000004</v>
      </c>
      <c r="I68" s="43" t="s">
        <v>532</v>
      </c>
      <c r="J68" s="17"/>
      <c r="K68" s="12">
        <f t="shared" ref="K68:K131" si="5">H68*J68</f>
        <v>0</v>
      </c>
      <c r="N68" s="39" t="str">
        <f t="shared" ref="N68:N131" si="6">IFERROR(IF($N$2*F68=0, "-", $N$2*F68), "-")</f>
        <v>-</v>
      </c>
      <c r="O68" s="39" t="str">
        <f t="shared" ref="O68:O131" si="7">IFERROR(IF(N68&gt;0,H68+N68,"-"),"-")</f>
        <v>-</v>
      </c>
      <c r="P68" s="40" t="str">
        <f t="shared" ref="P68:P131" si="8">IF(J68&gt;0,J68*F68, "-")</f>
        <v>-</v>
      </c>
      <c r="Q68" s="41" t="str">
        <f t="shared" ref="Q68:Q131" si="9">IFERROR(IF($N$2&gt;0, $N$2*P68, "-"), "-")</f>
        <v>-</v>
      </c>
    </row>
    <row r="69" spans="1:17" ht="15.6" x14ac:dyDescent="0.3">
      <c r="A69" s="21" t="s">
        <v>146</v>
      </c>
      <c r="B69" s="19">
        <v>790011290445</v>
      </c>
      <c r="C69" s="20" t="s">
        <v>147</v>
      </c>
      <c r="D69" s="31" t="s">
        <v>502</v>
      </c>
      <c r="E69" s="22" t="s">
        <v>3</v>
      </c>
      <c r="F69" s="29">
        <v>6.0063189660833335E-2</v>
      </c>
      <c r="G69" s="31">
        <v>12</v>
      </c>
      <c r="H69" s="12">
        <v>17.2728</v>
      </c>
      <c r="I69" s="43" t="s">
        <v>532</v>
      </c>
      <c r="J69" s="17"/>
      <c r="K69" s="12">
        <f t="shared" si="5"/>
        <v>0</v>
      </c>
      <c r="N69" s="39" t="str">
        <f t="shared" si="6"/>
        <v>-</v>
      </c>
      <c r="O69" s="39" t="str">
        <f t="shared" si="7"/>
        <v>-</v>
      </c>
      <c r="P69" s="40" t="str">
        <f t="shared" si="8"/>
        <v>-</v>
      </c>
      <c r="Q69" s="41" t="str">
        <f t="shared" si="9"/>
        <v>-</v>
      </c>
    </row>
    <row r="70" spans="1:17" ht="15.6" x14ac:dyDescent="0.3">
      <c r="A70" s="18" t="s">
        <v>154</v>
      </c>
      <c r="B70" s="19">
        <v>790011150664</v>
      </c>
      <c r="C70" s="20" t="s">
        <v>155</v>
      </c>
      <c r="D70" s="31" t="s">
        <v>483</v>
      </c>
      <c r="E70" s="22" t="s">
        <v>18</v>
      </c>
      <c r="F70" s="29">
        <v>0.14586774631916669</v>
      </c>
      <c r="G70" s="31">
        <v>12</v>
      </c>
      <c r="H70" s="12">
        <v>50.392799999999994</v>
      </c>
      <c r="I70" s="43" t="s">
        <v>532</v>
      </c>
      <c r="J70" s="17"/>
      <c r="K70" s="12">
        <f t="shared" si="5"/>
        <v>0</v>
      </c>
      <c r="N70" s="39" t="str">
        <f t="shared" si="6"/>
        <v>-</v>
      </c>
      <c r="O70" s="39" t="str">
        <f t="shared" si="7"/>
        <v>-</v>
      </c>
      <c r="P70" s="40" t="str">
        <f t="shared" si="8"/>
        <v>-</v>
      </c>
      <c r="Q70" s="41" t="str">
        <f t="shared" si="9"/>
        <v>-</v>
      </c>
    </row>
    <row r="71" spans="1:17" ht="15.6" x14ac:dyDescent="0.3">
      <c r="A71" s="21" t="s">
        <v>158</v>
      </c>
      <c r="B71" s="19">
        <v>790011030232</v>
      </c>
      <c r="C71" s="20" t="s">
        <v>159</v>
      </c>
      <c r="D71" s="31" t="s">
        <v>477</v>
      </c>
      <c r="E71" s="22" t="s">
        <v>96</v>
      </c>
      <c r="F71" s="29">
        <v>7.7224100992500017E-2</v>
      </c>
      <c r="G71" s="31">
        <v>12</v>
      </c>
      <c r="H71" s="12">
        <v>27.352800000000002</v>
      </c>
      <c r="I71" s="43" t="s">
        <v>532</v>
      </c>
      <c r="J71" s="17"/>
      <c r="K71" s="12">
        <f t="shared" si="5"/>
        <v>0</v>
      </c>
      <c r="N71" s="39" t="str">
        <f t="shared" si="6"/>
        <v>-</v>
      </c>
      <c r="O71" s="39" t="str">
        <f t="shared" si="7"/>
        <v>-</v>
      </c>
      <c r="P71" s="40" t="str">
        <f t="shared" si="8"/>
        <v>-</v>
      </c>
      <c r="Q71" s="41" t="str">
        <f t="shared" si="9"/>
        <v>-</v>
      </c>
    </row>
    <row r="72" spans="1:17" ht="15.6" x14ac:dyDescent="0.3">
      <c r="A72" s="18" t="s">
        <v>160</v>
      </c>
      <c r="B72" s="19">
        <v>790011150121</v>
      </c>
      <c r="C72" s="20" t="s">
        <v>161</v>
      </c>
      <c r="D72" s="31" t="s">
        <v>496</v>
      </c>
      <c r="E72" s="22" t="s">
        <v>162</v>
      </c>
      <c r="F72" s="29">
        <v>0.18018956898250002</v>
      </c>
      <c r="G72" s="31">
        <v>12</v>
      </c>
      <c r="H72" s="12">
        <v>13.672799999999999</v>
      </c>
      <c r="I72" s="43" t="s">
        <v>532</v>
      </c>
      <c r="J72" s="17"/>
      <c r="K72" s="12">
        <f t="shared" si="5"/>
        <v>0</v>
      </c>
      <c r="N72" s="39" t="str">
        <f t="shared" si="6"/>
        <v>-</v>
      </c>
      <c r="O72" s="39" t="str">
        <f t="shared" si="7"/>
        <v>-</v>
      </c>
      <c r="P72" s="40" t="str">
        <f t="shared" si="8"/>
        <v>-</v>
      </c>
      <c r="Q72" s="41" t="str">
        <f t="shared" si="9"/>
        <v>-</v>
      </c>
    </row>
    <row r="73" spans="1:17" ht="15.6" x14ac:dyDescent="0.3">
      <c r="A73" s="21" t="s">
        <v>166</v>
      </c>
      <c r="B73" s="19">
        <v>790011150336</v>
      </c>
      <c r="C73" s="20" t="s">
        <v>167</v>
      </c>
      <c r="D73" s="31" t="s">
        <v>485</v>
      </c>
      <c r="E73" s="22" t="s">
        <v>168</v>
      </c>
      <c r="F73" s="29">
        <v>0.20593093597999998</v>
      </c>
      <c r="G73" s="31">
        <v>12</v>
      </c>
      <c r="H73" s="12">
        <v>14.234400000000001</v>
      </c>
      <c r="I73" s="43" t="s">
        <v>532</v>
      </c>
      <c r="J73" s="17"/>
      <c r="K73" s="12">
        <f t="shared" si="5"/>
        <v>0</v>
      </c>
      <c r="N73" s="39" t="str">
        <f t="shared" si="6"/>
        <v>-</v>
      </c>
      <c r="O73" s="39" t="str">
        <f t="shared" si="7"/>
        <v>-</v>
      </c>
      <c r="P73" s="40" t="str">
        <f t="shared" si="8"/>
        <v>-</v>
      </c>
      <c r="Q73" s="41" t="str">
        <f t="shared" si="9"/>
        <v>-</v>
      </c>
    </row>
    <row r="74" spans="1:17" ht="15.6" x14ac:dyDescent="0.3">
      <c r="A74" s="18" t="s">
        <v>174</v>
      </c>
      <c r="B74" s="19">
        <v>790011150435</v>
      </c>
      <c r="C74" s="20" t="s">
        <v>175</v>
      </c>
      <c r="D74" s="31" t="s">
        <v>482</v>
      </c>
      <c r="E74" s="22" t="s">
        <v>176</v>
      </c>
      <c r="F74" s="29">
        <v>7.7224100992500017E-2</v>
      </c>
      <c r="G74" s="31">
        <v>12</v>
      </c>
      <c r="H74" s="12">
        <v>20.152799999999999</v>
      </c>
      <c r="I74" s="43" t="s">
        <v>532</v>
      </c>
      <c r="J74" s="17"/>
      <c r="K74" s="12">
        <f t="shared" si="5"/>
        <v>0</v>
      </c>
      <c r="N74" s="39" t="str">
        <f t="shared" si="6"/>
        <v>-</v>
      </c>
      <c r="O74" s="39" t="str">
        <f t="shared" si="7"/>
        <v>-</v>
      </c>
      <c r="P74" s="40" t="str">
        <f t="shared" si="8"/>
        <v>-</v>
      </c>
      <c r="Q74" s="41" t="str">
        <f t="shared" si="9"/>
        <v>-</v>
      </c>
    </row>
    <row r="75" spans="1:17" ht="15.6" x14ac:dyDescent="0.3">
      <c r="A75" s="21" t="s">
        <v>180</v>
      </c>
      <c r="B75" s="19">
        <v>790011290186</v>
      </c>
      <c r="C75" s="20" t="s">
        <v>181</v>
      </c>
      <c r="D75" s="31" t="s">
        <v>482</v>
      </c>
      <c r="E75" s="22" t="s">
        <v>182</v>
      </c>
      <c r="F75" s="29">
        <v>5.1482733994999995E-2</v>
      </c>
      <c r="G75" s="31">
        <v>12</v>
      </c>
      <c r="H75" s="12">
        <v>14.392799999999998</v>
      </c>
      <c r="I75" s="43" t="s">
        <v>532</v>
      </c>
      <c r="J75" s="17"/>
      <c r="K75" s="12">
        <f t="shared" si="5"/>
        <v>0</v>
      </c>
      <c r="N75" s="39" t="str">
        <f t="shared" si="6"/>
        <v>-</v>
      </c>
      <c r="O75" s="39" t="str">
        <f t="shared" si="7"/>
        <v>-</v>
      </c>
      <c r="P75" s="40" t="str">
        <f t="shared" si="8"/>
        <v>-</v>
      </c>
      <c r="Q75" s="41" t="str">
        <f t="shared" si="9"/>
        <v>-</v>
      </c>
    </row>
    <row r="76" spans="1:17" ht="15.6" x14ac:dyDescent="0.3">
      <c r="A76" s="21" t="s">
        <v>194</v>
      </c>
      <c r="B76" s="19">
        <v>790011030324</v>
      </c>
      <c r="C76" s="20" t="s">
        <v>195</v>
      </c>
      <c r="D76" s="31" t="s">
        <v>508</v>
      </c>
      <c r="E76" s="22" t="s">
        <v>193</v>
      </c>
      <c r="F76" s="29">
        <v>0.19735048031416672</v>
      </c>
      <c r="G76" s="31">
        <v>12</v>
      </c>
      <c r="H76" s="12">
        <v>33.112800000000007</v>
      </c>
      <c r="I76" s="43" t="s">
        <v>532</v>
      </c>
      <c r="J76" s="17"/>
      <c r="K76" s="12">
        <f t="shared" si="5"/>
        <v>0</v>
      </c>
      <c r="N76" s="39" t="str">
        <f t="shared" si="6"/>
        <v>-</v>
      </c>
      <c r="O76" s="39" t="str">
        <f t="shared" si="7"/>
        <v>-</v>
      </c>
      <c r="P76" s="40" t="str">
        <f t="shared" si="8"/>
        <v>-</v>
      </c>
      <c r="Q76" s="41" t="str">
        <f t="shared" si="9"/>
        <v>-</v>
      </c>
    </row>
    <row r="77" spans="1:17" ht="15.6" x14ac:dyDescent="0.3">
      <c r="A77" s="21" t="s">
        <v>199</v>
      </c>
      <c r="B77" s="19">
        <v>790011030201</v>
      </c>
      <c r="C77" s="20" t="s">
        <v>200</v>
      </c>
      <c r="D77" s="31" t="s">
        <v>482</v>
      </c>
      <c r="E77" s="22" t="s">
        <v>129</v>
      </c>
      <c r="F77" s="29">
        <v>0.14755000000000001</v>
      </c>
      <c r="G77" s="31">
        <v>12</v>
      </c>
      <c r="H77" s="12">
        <v>21.5928</v>
      </c>
      <c r="I77" s="43" t="s">
        <v>532</v>
      </c>
      <c r="J77" s="17"/>
      <c r="K77" s="12">
        <f t="shared" si="5"/>
        <v>0</v>
      </c>
      <c r="N77" s="39" t="str">
        <f t="shared" si="6"/>
        <v>-</v>
      </c>
      <c r="O77" s="39" t="str">
        <f t="shared" si="7"/>
        <v>-</v>
      </c>
      <c r="P77" s="40" t="str">
        <f t="shared" si="8"/>
        <v>-</v>
      </c>
      <c r="Q77" s="41" t="str">
        <f t="shared" si="9"/>
        <v>-</v>
      </c>
    </row>
    <row r="78" spans="1:17" ht="15.6" x14ac:dyDescent="0.3">
      <c r="A78" s="21" t="s">
        <v>201</v>
      </c>
      <c r="B78" s="19">
        <v>790011030249</v>
      </c>
      <c r="C78" s="20" t="s">
        <v>202</v>
      </c>
      <c r="D78" s="31" t="s">
        <v>483</v>
      </c>
      <c r="E78" s="22" t="s">
        <v>129</v>
      </c>
      <c r="F78" s="29">
        <v>0.31780000000000003</v>
      </c>
      <c r="G78" s="31">
        <v>12</v>
      </c>
      <c r="H78" s="12">
        <v>33.112800000000007</v>
      </c>
      <c r="I78" s="43" t="s">
        <v>532</v>
      </c>
      <c r="J78" s="17"/>
      <c r="K78" s="12">
        <f t="shared" si="5"/>
        <v>0</v>
      </c>
      <c r="N78" s="39" t="str">
        <f t="shared" si="6"/>
        <v>-</v>
      </c>
      <c r="O78" s="39" t="str">
        <f t="shared" si="7"/>
        <v>-</v>
      </c>
      <c r="P78" s="40" t="str">
        <f t="shared" si="8"/>
        <v>-</v>
      </c>
      <c r="Q78" s="41" t="str">
        <f t="shared" si="9"/>
        <v>-</v>
      </c>
    </row>
    <row r="79" spans="1:17" ht="15.6" x14ac:dyDescent="0.3">
      <c r="A79" s="21" t="s">
        <v>203</v>
      </c>
      <c r="B79" s="19">
        <v>790011030409</v>
      </c>
      <c r="C79" s="20" t="s">
        <v>204</v>
      </c>
      <c r="D79" s="31" t="s">
        <v>502</v>
      </c>
      <c r="E79" s="22" t="s">
        <v>205</v>
      </c>
      <c r="F79" s="29">
        <v>0.12485</v>
      </c>
      <c r="G79" s="31">
        <v>12</v>
      </c>
      <c r="H79" s="12">
        <v>28.7928</v>
      </c>
      <c r="I79" s="43" t="s">
        <v>532</v>
      </c>
      <c r="J79" s="17"/>
      <c r="K79" s="12">
        <f t="shared" si="5"/>
        <v>0</v>
      </c>
      <c r="N79" s="39" t="str">
        <f t="shared" si="6"/>
        <v>-</v>
      </c>
      <c r="O79" s="39" t="str">
        <f t="shared" si="7"/>
        <v>-</v>
      </c>
      <c r="P79" s="40" t="str">
        <f t="shared" si="8"/>
        <v>-</v>
      </c>
      <c r="Q79" s="41" t="str">
        <f t="shared" si="9"/>
        <v>-</v>
      </c>
    </row>
    <row r="80" spans="1:17" ht="15.6" x14ac:dyDescent="0.3">
      <c r="A80" s="21" t="s">
        <v>206</v>
      </c>
      <c r="B80" s="19">
        <v>790011030430</v>
      </c>
      <c r="C80" s="20" t="s">
        <v>207</v>
      </c>
      <c r="D80" s="31" t="s">
        <v>482</v>
      </c>
      <c r="E80" s="22" t="s">
        <v>3</v>
      </c>
      <c r="F80" s="29">
        <v>0.14755000000000001</v>
      </c>
      <c r="G80" s="31">
        <v>12</v>
      </c>
      <c r="H80" s="12">
        <v>55.4328</v>
      </c>
      <c r="I80" s="43" t="s">
        <v>532</v>
      </c>
      <c r="J80" s="17"/>
      <c r="K80" s="12">
        <f t="shared" si="5"/>
        <v>0</v>
      </c>
      <c r="N80" s="39" t="str">
        <f t="shared" si="6"/>
        <v>-</v>
      </c>
      <c r="O80" s="39" t="str">
        <f t="shared" si="7"/>
        <v>-</v>
      </c>
      <c r="P80" s="40" t="str">
        <f t="shared" si="8"/>
        <v>-</v>
      </c>
      <c r="Q80" s="41" t="str">
        <f t="shared" si="9"/>
        <v>-</v>
      </c>
    </row>
    <row r="81" spans="1:17" ht="15.6" x14ac:dyDescent="0.3">
      <c r="A81" s="21" t="s">
        <v>217</v>
      </c>
      <c r="B81" s="19">
        <v>790011160274</v>
      </c>
      <c r="C81" s="20" t="s">
        <v>218</v>
      </c>
      <c r="D81" s="31" t="s">
        <v>488</v>
      </c>
      <c r="E81" s="22" t="s">
        <v>3</v>
      </c>
      <c r="F81" s="29">
        <v>0.10296546798999999</v>
      </c>
      <c r="G81" s="31">
        <v>12</v>
      </c>
      <c r="H81" s="12">
        <v>24.472799999999999</v>
      </c>
      <c r="I81" s="43" t="s">
        <v>532</v>
      </c>
      <c r="J81" s="17"/>
      <c r="K81" s="12">
        <f t="shared" si="5"/>
        <v>0</v>
      </c>
      <c r="N81" s="39" t="str">
        <f t="shared" si="6"/>
        <v>-</v>
      </c>
      <c r="O81" s="39" t="str">
        <f t="shared" si="7"/>
        <v>-</v>
      </c>
      <c r="P81" s="40" t="str">
        <f t="shared" si="8"/>
        <v>-</v>
      </c>
      <c r="Q81" s="41" t="str">
        <f t="shared" si="9"/>
        <v>-</v>
      </c>
    </row>
    <row r="82" spans="1:17" ht="15.6" x14ac:dyDescent="0.3">
      <c r="A82" s="21" t="s">
        <v>219</v>
      </c>
      <c r="B82" s="19">
        <v>790011300090</v>
      </c>
      <c r="C82" s="20" t="s">
        <v>220</v>
      </c>
      <c r="D82" s="31" t="s">
        <v>488</v>
      </c>
      <c r="E82" s="22" t="s">
        <v>3</v>
      </c>
      <c r="F82" s="29">
        <v>0.12012637932166667</v>
      </c>
      <c r="G82" s="31">
        <v>12</v>
      </c>
      <c r="H82" s="12">
        <v>33.112800000000007</v>
      </c>
      <c r="I82" s="43" t="s">
        <v>532</v>
      </c>
      <c r="J82" s="17"/>
      <c r="K82" s="12">
        <f t="shared" si="5"/>
        <v>0</v>
      </c>
      <c r="N82" s="39" t="str">
        <f t="shared" si="6"/>
        <v>-</v>
      </c>
      <c r="O82" s="39" t="str">
        <f t="shared" si="7"/>
        <v>-</v>
      </c>
      <c r="P82" s="40" t="str">
        <f t="shared" si="8"/>
        <v>-</v>
      </c>
      <c r="Q82" s="41" t="str">
        <f t="shared" si="9"/>
        <v>-</v>
      </c>
    </row>
    <row r="83" spans="1:17" ht="15.6" x14ac:dyDescent="0.3">
      <c r="A83" s="21" t="s">
        <v>225</v>
      </c>
      <c r="B83" s="19">
        <v>790011150527</v>
      </c>
      <c r="C83" s="20" t="s">
        <v>226</v>
      </c>
      <c r="D83" s="31" t="s">
        <v>503</v>
      </c>
      <c r="E83" s="22" t="s">
        <v>18</v>
      </c>
      <c r="F83" s="29">
        <v>0.13728729065333337</v>
      </c>
      <c r="G83" s="31">
        <v>12</v>
      </c>
      <c r="H83" s="12">
        <v>35.992800000000003</v>
      </c>
      <c r="I83" s="43" t="s">
        <v>532</v>
      </c>
      <c r="J83" s="17"/>
      <c r="K83" s="12">
        <f t="shared" si="5"/>
        <v>0</v>
      </c>
      <c r="N83" s="39" t="str">
        <f t="shared" si="6"/>
        <v>-</v>
      </c>
      <c r="O83" s="39" t="str">
        <f t="shared" si="7"/>
        <v>-</v>
      </c>
      <c r="P83" s="40" t="str">
        <f t="shared" si="8"/>
        <v>-</v>
      </c>
      <c r="Q83" s="41" t="str">
        <f t="shared" si="9"/>
        <v>-</v>
      </c>
    </row>
    <row r="84" spans="1:17" ht="15.6" x14ac:dyDescent="0.3">
      <c r="A84" s="21" t="s">
        <v>229</v>
      </c>
      <c r="B84" s="19">
        <v>790011120353</v>
      </c>
      <c r="C84" s="20" t="s">
        <v>230</v>
      </c>
      <c r="D84" s="31" t="s">
        <v>500</v>
      </c>
      <c r="E84" s="22" t="s">
        <v>231</v>
      </c>
      <c r="F84" s="29">
        <v>0.12870683498750002</v>
      </c>
      <c r="G84" s="31">
        <v>12</v>
      </c>
      <c r="H84" s="12">
        <v>23.752800000000001</v>
      </c>
      <c r="I84" s="43" t="s">
        <v>532</v>
      </c>
      <c r="J84" s="17"/>
      <c r="K84" s="12">
        <f t="shared" si="5"/>
        <v>0</v>
      </c>
      <c r="N84" s="39" t="str">
        <f t="shared" si="6"/>
        <v>-</v>
      </c>
      <c r="O84" s="39" t="str">
        <f t="shared" si="7"/>
        <v>-</v>
      </c>
      <c r="P84" s="40" t="str">
        <f t="shared" si="8"/>
        <v>-</v>
      </c>
      <c r="Q84" s="41" t="str">
        <f t="shared" si="9"/>
        <v>-</v>
      </c>
    </row>
    <row r="85" spans="1:17" ht="15.6" x14ac:dyDescent="0.3">
      <c r="A85" s="18" t="s">
        <v>245</v>
      </c>
      <c r="B85" s="19">
        <v>790011290629</v>
      </c>
      <c r="C85" s="20" t="s">
        <v>246</v>
      </c>
      <c r="D85" s="31" t="s">
        <v>503</v>
      </c>
      <c r="E85" s="22" t="s">
        <v>3</v>
      </c>
      <c r="F85" s="29">
        <v>0.14586774631916669</v>
      </c>
      <c r="G85" s="31">
        <v>12</v>
      </c>
      <c r="H85" s="12">
        <v>33.112800000000007</v>
      </c>
      <c r="I85" s="43" t="s">
        <v>532</v>
      </c>
      <c r="J85" s="17"/>
      <c r="K85" s="12">
        <f t="shared" si="5"/>
        <v>0</v>
      </c>
      <c r="N85" s="39" t="str">
        <f t="shared" si="6"/>
        <v>-</v>
      </c>
      <c r="O85" s="39" t="str">
        <f t="shared" si="7"/>
        <v>-</v>
      </c>
      <c r="P85" s="40" t="str">
        <f t="shared" si="8"/>
        <v>-</v>
      </c>
      <c r="Q85" s="41" t="str">
        <f t="shared" si="9"/>
        <v>-</v>
      </c>
    </row>
    <row r="86" spans="1:17" ht="15.6" x14ac:dyDescent="0.3">
      <c r="A86" s="21" t="s">
        <v>253</v>
      </c>
      <c r="B86" s="19">
        <v>790011230144</v>
      </c>
      <c r="C86" s="20" t="s">
        <v>254</v>
      </c>
      <c r="D86" s="31" t="s">
        <v>483</v>
      </c>
      <c r="E86" s="22" t="s">
        <v>18</v>
      </c>
      <c r="F86" s="29">
        <v>0.15444820198500003</v>
      </c>
      <c r="G86" s="31">
        <v>12</v>
      </c>
      <c r="H86" s="12">
        <v>43.192800000000005</v>
      </c>
      <c r="I86" s="43" t="s">
        <v>532</v>
      </c>
      <c r="J86" s="17"/>
      <c r="K86" s="12">
        <f t="shared" si="5"/>
        <v>0</v>
      </c>
      <c r="N86" s="39" t="str">
        <f t="shared" si="6"/>
        <v>-</v>
      </c>
      <c r="O86" s="39" t="str">
        <f t="shared" si="7"/>
        <v>-</v>
      </c>
      <c r="P86" s="40" t="str">
        <f t="shared" si="8"/>
        <v>-</v>
      </c>
      <c r="Q86" s="41" t="str">
        <f t="shared" si="9"/>
        <v>-</v>
      </c>
    </row>
    <row r="87" spans="1:17" ht="15.6" x14ac:dyDescent="0.3">
      <c r="A87" s="21" t="s">
        <v>255</v>
      </c>
      <c r="B87" s="19">
        <v>790011300014</v>
      </c>
      <c r="C87" s="20" t="s">
        <v>256</v>
      </c>
      <c r="D87" s="31" t="s">
        <v>488</v>
      </c>
      <c r="E87" s="22" t="s">
        <v>257</v>
      </c>
      <c r="F87" s="29">
        <v>5.1482733994999995E-2</v>
      </c>
      <c r="G87" s="31">
        <v>12</v>
      </c>
      <c r="H87" s="12">
        <v>16.552799999999998</v>
      </c>
      <c r="I87" s="43" t="s">
        <v>532</v>
      </c>
      <c r="J87" s="17"/>
      <c r="K87" s="12">
        <f t="shared" si="5"/>
        <v>0</v>
      </c>
      <c r="N87" s="39" t="str">
        <f t="shared" si="6"/>
        <v>-</v>
      </c>
      <c r="O87" s="39" t="str">
        <f t="shared" si="7"/>
        <v>-</v>
      </c>
      <c r="P87" s="40" t="str">
        <f t="shared" si="8"/>
        <v>-</v>
      </c>
      <c r="Q87" s="41" t="str">
        <f t="shared" si="9"/>
        <v>-</v>
      </c>
    </row>
    <row r="88" spans="1:17" ht="15.6" x14ac:dyDescent="0.3">
      <c r="A88" s="18" t="s">
        <v>285</v>
      </c>
      <c r="B88" s="19">
        <v>790011560012</v>
      </c>
      <c r="C88" s="20" t="s">
        <v>286</v>
      </c>
      <c r="D88" s="31" t="s">
        <v>496</v>
      </c>
      <c r="E88" s="22" t="s">
        <v>3</v>
      </c>
      <c r="F88" s="29">
        <v>0.18018956898250002</v>
      </c>
      <c r="G88" s="31">
        <v>12</v>
      </c>
      <c r="H88" s="12">
        <v>35.992800000000003</v>
      </c>
      <c r="I88" s="43" t="s">
        <v>532</v>
      </c>
      <c r="J88" s="17"/>
      <c r="K88" s="12">
        <f t="shared" si="5"/>
        <v>0</v>
      </c>
      <c r="N88" s="39" t="str">
        <f t="shared" si="6"/>
        <v>-</v>
      </c>
      <c r="O88" s="39" t="str">
        <f t="shared" si="7"/>
        <v>-</v>
      </c>
      <c r="P88" s="40" t="str">
        <f t="shared" si="8"/>
        <v>-</v>
      </c>
      <c r="Q88" s="41" t="str">
        <f t="shared" si="9"/>
        <v>-</v>
      </c>
    </row>
    <row r="89" spans="1:17" ht="15.6" x14ac:dyDescent="0.3">
      <c r="A89" s="21" t="s">
        <v>295</v>
      </c>
      <c r="B89" s="19">
        <v>790011160595</v>
      </c>
      <c r="C89" s="20" t="s">
        <v>290</v>
      </c>
      <c r="D89" s="31" t="s">
        <v>500</v>
      </c>
      <c r="E89" s="22" t="s">
        <v>176</v>
      </c>
      <c r="F89" s="29">
        <v>0.17024999999999998</v>
      </c>
      <c r="G89" s="31">
        <v>12</v>
      </c>
      <c r="H89" s="12">
        <v>67.672799999999995</v>
      </c>
      <c r="I89" s="43" t="s">
        <v>532</v>
      </c>
      <c r="J89" s="17"/>
      <c r="K89" s="12">
        <f t="shared" si="5"/>
        <v>0</v>
      </c>
      <c r="N89" s="39" t="str">
        <f t="shared" si="6"/>
        <v>-</v>
      </c>
      <c r="O89" s="39" t="str">
        <f t="shared" si="7"/>
        <v>-</v>
      </c>
      <c r="P89" s="40" t="str">
        <f t="shared" si="8"/>
        <v>-</v>
      </c>
      <c r="Q89" s="41" t="str">
        <f t="shared" si="9"/>
        <v>-</v>
      </c>
    </row>
    <row r="90" spans="1:17" ht="15.6" x14ac:dyDescent="0.3">
      <c r="A90" s="18" t="s">
        <v>300</v>
      </c>
      <c r="B90" s="19">
        <v>790011060161</v>
      </c>
      <c r="C90" s="20" t="s">
        <v>301</v>
      </c>
      <c r="D90" s="31" t="s">
        <v>482</v>
      </c>
      <c r="E90" s="22" t="s">
        <v>302</v>
      </c>
      <c r="F90" s="29">
        <v>6.8643645326666683E-2</v>
      </c>
      <c r="G90" s="31">
        <v>12</v>
      </c>
      <c r="H90" s="12">
        <v>25.192800000000002</v>
      </c>
      <c r="I90" s="43" t="s">
        <v>532</v>
      </c>
      <c r="J90" s="17"/>
      <c r="K90" s="12">
        <f t="shared" si="5"/>
        <v>0</v>
      </c>
      <c r="N90" s="39" t="str">
        <f t="shared" si="6"/>
        <v>-</v>
      </c>
      <c r="O90" s="39" t="str">
        <f t="shared" si="7"/>
        <v>-</v>
      </c>
      <c r="P90" s="40" t="str">
        <f t="shared" si="8"/>
        <v>-</v>
      </c>
      <c r="Q90" s="41" t="str">
        <f t="shared" si="9"/>
        <v>-</v>
      </c>
    </row>
    <row r="91" spans="1:17" ht="15.6" x14ac:dyDescent="0.3">
      <c r="A91" s="21" t="s">
        <v>313</v>
      </c>
      <c r="B91" s="19">
        <v>790011060192</v>
      </c>
      <c r="C91" s="20" t="s">
        <v>314</v>
      </c>
      <c r="D91" s="31" t="s">
        <v>488</v>
      </c>
      <c r="E91" s="22" t="s">
        <v>176</v>
      </c>
      <c r="F91" s="29">
        <v>0.14586774631916669</v>
      </c>
      <c r="G91" s="31">
        <v>12</v>
      </c>
      <c r="H91" s="12">
        <v>36.712800000000001</v>
      </c>
      <c r="I91" s="43" t="s">
        <v>532</v>
      </c>
      <c r="J91" s="17"/>
      <c r="K91" s="12">
        <f t="shared" si="5"/>
        <v>0</v>
      </c>
      <c r="N91" s="39" t="str">
        <f t="shared" si="6"/>
        <v>-</v>
      </c>
      <c r="O91" s="39" t="str">
        <f t="shared" si="7"/>
        <v>-</v>
      </c>
      <c r="P91" s="40" t="str">
        <f t="shared" si="8"/>
        <v>-</v>
      </c>
      <c r="Q91" s="41" t="str">
        <f t="shared" si="9"/>
        <v>-</v>
      </c>
    </row>
    <row r="92" spans="1:17" ht="15.6" x14ac:dyDescent="0.3">
      <c r="A92" s="21" t="s">
        <v>323</v>
      </c>
      <c r="B92" s="19">
        <v>790011141235</v>
      </c>
      <c r="C92" s="20" t="s">
        <v>324</v>
      </c>
      <c r="D92" s="31" t="s">
        <v>502</v>
      </c>
      <c r="E92" s="22" t="s">
        <v>18</v>
      </c>
      <c r="F92" s="29">
        <v>6.1350258010708342E-2</v>
      </c>
      <c r="G92" s="31">
        <v>12</v>
      </c>
      <c r="H92" s="12">
        <v>12.232799999999997</v>
      </c>
      <c r="I92" s="43" t="s">
        <v>532</v>
      </c>
      <c r="J92" s="17"/>
      <c r="K92" s="12">
        <f t="shared" si="5"/>
        <v>0</v>
      </c>
      <c r="N92" s="39" t="str">
        <f t="shared" si="6"/>
        <v>-</v>
      </c>
      <c r="O92" s="39" t="str">
        <f t="shared" si="7"/>
        <v>-</v>
      </c>
      <c r="P92" s="40" t="str">
        <f t="shared" si="8"/>
        <v>-</v>
      </c>
      <c r="Q92" s="41" t="str">
        <f t="shared" si="9"/>
        <v>-</v>
      </c>
    </row>
    <row r="93" spans="1:17" ht="15.6" x14ac:dyDescent="0.3">
      <c r="A93" s="21" t="s">
        <v>337</v>
      </c>
      <c r="B93" s="19">
        <v>790011150695</v>
      </c>
      <c r="C93" s="20" t="s">
        <v>338</v>
      </c>
      <c r="D93" s="31" t="s">
        <v>478</v>
      </c>
      <c r="E93" s="22" t="s">
        <v>176</v>
      </c>
      <c r="F93" s="29">
        <v>6.0063189660833335E-2</v>
      </c>
      <c r="G93" s="31">
        <v>12</v>
      </c>
      <c r="H93" s="12">
        <v>28.7928</v>
      </c>
      <c r="I93" s="43" t="s">
        <v>532</v>
      </c>
      <c r="J93" s="17"/>
      <c r="K93" s="12">
        <f t="shared" si="5"/>
        <v>0</v>
      </c>
      <c r="N93" s="39" t="str">
        <f t="shared" si="6"/>
        <v>-</v>
      </c>
      <c r="O93" s="39" t="str">
        <f t="shared" si="7"/>
        <v>-</v>
      </c>
      <c r="P93" s="40" t="str">
        <f t="shared" si="8"/>
        <v>-</v>
      </c>
      <c r="Q93" s="41" t="str">
        <f t="shared" si="9"/>
        <v>-</v>
      </c>
    </row>
    <row r="94" spans="1:17" ht="15.6" x14ac:dyDescent="0.3">
      <c r="A94" s="21" t="s">
        <v>339</v>
      </c>
      <c r="B94" s="19">
        <v>790011200208</v>
      </c>
      <c r="C94" s="20" t="s">
        <v>340</v>
      </c>
      <c r="D94" s="31" t="s">
        <v>509</v>
      </c>
      <c r="E94" s="22" t="s">
        <v>341</v>
      </c>
      <c r="F94" s="29">
        <v>0.12485</v>
      </c>
      <c r="G94" s="31">
        <v>12</v>
      </c>
      <c r="H94" s="12">
        <v>35.272800000000004</v>
      </c>
      <c r="I94" s="43" t="s">
        <v>532</v>
      </c>
      <c r="J94" s="17"/>
      <c r="K94" s="12">
        <f t="shared" si="5"/>
        <v>0</v>
      </c>
      <c r="N94" s="39" t="str">
        <f t="shared" si="6"/>
        <v>-</v>
      </c>
      <c r="O94" s="39" t="str">
        <f t="shared" si="7"/>
        <v>-</v>
      </c>
      <c r="P94" s="40" t="str">
        <f t="shared" si="8"/>
        <v>-</v>
      </c>
      <c r="Q94" s="41" t="str">
        <f t="shared" si="9"/>
        <v>-</v>
      </c>
    </row>
    <row r="95" spans="1:17" ht="15.6" x14ac:dyDescent="0.3">
      <c r="A95" s="21" t="s">
        <v>342</v>
      </c>
      <c r="B95" s="19">
        <v>790011200420</v>
      </c>
      <c r="C95" s="20" t="s">
        <v>343</v>
      </c>
      <c r="D95" s="31" t="s">
        <v>478</v>
      </c>
      <c r="E95" s="22" t="s">
        <v>341</v>
      </c>
      <c r="F95" s="29">
        <v>0.17024999999999998</v>
      </c>
      <c r="G95" s="31">
        <v>12</v>
      </c>
      <c r="H95" s="12">
        <v>54.712799999999987</v>
      </c>
      <c r="I95" s="43" t="s">
        <v>532</v>
      </c>
      <c r="J95" s="17"/>
      <c r="K95" s="12">
        <f t="shared" si="5"/>
        <v>0</v>
      </c>
      <c r="N95" s="39" t="str">
        <f t="shared" si="6"/>
        <v>-</v>
      </c>
      <c r="O95" s="39" t="str">
        <f t="shared" si="7"/>
        <v>-</v>
      </c>
      <c r="P95" s="40" t="str">
        <f t="shared" si="8"/>
        <v>-</v>
      </c>
      <c r="Q95" s="41" t="str">
        <f t="shared" si="9"/>
        <v>-</v>
      </c>
    </row>
    <row r="96" spans="1:17" ht="15.6" x14ac:dyDescent="0.3">
      <c r="A96" s="21" t="s">
        <v>344</v>
      </c>
      <c r="B96" s="19">
        <v>790011200161</v>
      </c>
      <c r="C96" s="20" t="s">
        <v>345</v>
      </c>
      <c r="D96" s="31" t="s">
        <v>478</v>
      </c>
      <c r="E96" s="22" t="s">
        <v>302</v>
      </c>
      <c r="F96" s="29">
        <v>0.17024999999999998</v>
      </c>
      <c r="G96" s="31">
        <v>12</v>
      </c>
      <c r="H96" s="12">
        <v>33.832799999999999</v>
      </c>
      <c r="I96" s="43" t="s">
        <v>532</v>
      </c>
      <c r="J96" s="17"/>
      <c r="K96" s="12">
        <f t="shared" si="5"/>
        <v>0</v>
      </c>
      <c r="N96" s="39" t="str">
        <f t="shared" si="6"/>
        <v>-</v>
      </c>
      <c r="O96" s="39" t="str">
        <f t="shared" si="7"/>
        <v>-</v>
      </c>
      <c r="P96" s="40" t="str">
        <f t="shared" si="8"/>
        <v>-</v>
      </c>
      <c r="Q96" s="41" t="str">
        <f t="shared" si="9"/>
        <v>-</v>
      </c>
    </row>
    <row r="97" spans="1:17" ht="15.6" x14ac:dyDescent="0.3">
      <c r="A97" s="21" t="s">
        <v>348</v>
      </c>
      <c r="B97" s="19">
        <v>790011290605</v>
      </c>
      <c r="C97" s="20" t="s">
        <v>349</v>
      </c>
      <c r="D97" s="31" t="s">
        <v>482</v>
      </c>
      <c r="E97" s="22" t="s">
        <v>96</v>
      </c>
      <c r="F97" s="29">
        <v>0.12485</v>
      </c>
      <c r="G97" s="31">
        <v>12</v>
      </c>
      <c r="H97" s="12">
        <v>17.12988</v>
      </c>
      <c r="I97" s="43" t="s">
        <v>532</v>
      </c>
      <c r="J97" s="17"/>
      <c r="K97" s="12">
        <f t="shared" si="5"/>
        <v>0</v>
      </c>
      <c r="N97" s="39" t="str">
        <f t="shared" si="6"/>
        <v>-</v>
      </c>
      <c r="O97" s="39" t="str">
        <f t="shared" si="7"/>
        <v>-</v>
      </c>
      <c r="P97" s="40" t="str">
        <f t="shared" si="8"/>
        <v>-</v>
      </c>
      <c r="Q97" s="41" t="str">
        <f t="shared" si="9"/>
        <v>-</v>
      </c>
    </row>
    <row r="98" spans="1:17" ht="15.6" x14ac:dyDescent="0.3">
      <c r="A98" s="21" t="s">
        <v>353</v>
      </c>
      <c r="B98" s="19">
        <v>790011140030</v>
      </c>
      <c r="C98" s="20" t="s">
        <v>354</v>
      </c>
      <c r="D98" s="31" t="s">
        <v>481</v>
      </c>
      <c r="E98" s="22" t="s">
        <v>352</v>
      </c>
      <c r="F98" s="29">
        <v>0.1135</v>
      </c>
      <c r="G98" s="31">
        <v>12</v>
      </c>
      <c r="H98" s="12">
        <v>12.9528</v>
      </c>
      <c r="I98" s="43" t="s">
        <v>532</v>
      </c>
      <c r="J98" s="17"/>
      <c r="K98" s="12">
        <f t="shared" si="5"/>
        <v>0</v>
      </c>
      <c r="N98" s="39" t="str">
        <f t="shared" si="6"/>
        <v>-</v>
      </c>
      <c r="O98" s="39" t="str">
        <f t="shared" si="7"/>
        <v>-</v>
      </c>
      <c r="P98" s="40" t="str">
        <f t="shared" si="8"/>
        <v>-</v>
      </c>
      <c r="Q98" s="41" t="str">
        <f t="shared" si="9"/>
        <v>-</v>
      </c>
    </row>
    <row r="99" spans="1:17" ht="15.6" x14ac:dyDescent="0.3">
      <c r="A99" s="21" t="s">
        <v>357</v>
      </c>
      <c r="B99" s="19">
        <v>790011077077</v>
      </c>
      <c r="C99" s="20" t="s">
        <v>358</v>
      </c>
      <c r="D99" s="31" t="s">
        <v>478</v>
      </c>
      <c r="E99" s="22" t="s">
        <v>124</v>
      </c>
      <c r="F99" s="29">
        <v>0.10214999999999999</v>
      </c>
      <c r="G99" s="31">
        <v>12</v>
      </c>
      <c r="H99" s="12">
        <v>15.832799999999999</v>
      </c>
      <c r="I99" s="43" t="s">
        <v>532</v>
      </c>
      <c r="J99" s="17"/>
      <c r="K99" s="12">
        <f t="shared" si="5"/>
        <v>0</v>
      </c>
      <c r="N99" s="39" t="str">
        <f t="shared" si="6"/>
        <v>-</v>
      </c>
      <c r="O99" s="39" t="str">
        <f t="shared" si="7"/>
        <v>-</v>
      </c>
      <c r="P99" s="40" t="str">
        <f t="shared" si="8"/>
        <v>-</v>
      </c>
      <c r="Q99" s="41" t="str">
        <f t="shared" si="9"/>
        <v>-</v>
      </c>
    </row>
    <row r="100" spans="1:17" ht="15.6" x14ac:dyDescent="0.3">
      <c r="A100" s="21" t="s">
        <v>376</v>
      </c>
      <c r="B100" s="19">
        <v>790011210146</v>
      </c>
      <c r="C100" s="20" t="s">
        <v>377</v>
      </c>
      <c r="D100" s="31" t="s">
        <v>521</v>
      </c>
      <c r="E100" s="22" t="s">
        <v>3</v>
      </c>
      <c r="F100" s="29">
        <v>1.3900338178649998</v>
      </c>
      <c r="G100" s="31">
        <v>6</v>
      </c>
      <c r="H100" s="12">
        <v>30.952800000000003</v>
      </c>
      <c r="I100" s="43" t="s">
        <v>532</v>
      </c>
      <c r="J100" s="17"/>
      <c r="K100" s="12">
        <f t="shared" si="5"/>
        <v>0</v>
      </c>
      <c r="N100" s="39" t="str">
        <f t="shared" si="6"/>
        <v>-</v>
      </c>
      <c r="O100" s="39" t="str">
        <f t="shared" si="7"/>
        <v>-</v>
      </c>
      <c r="P100" s="40" t="str">
        <f t="shared" si="8"/>
        <v>-</v>
      </c>
      <c r="Q100" s="41" t="str">
        <f t="shared" si="9"/>
        <v>-</v>
      </c>
    </row>
    <row r="101" spans="1:17" ht="15.6" x14ac:dyDescent="0.3">
      <c r="A101" s="18" t="s">
        <v>234</v>
      </c>
      <c r="B101" s="19">
        <v>790011291138</v>
      </c>
      <c r="C101" s="20" t="s">
        <v>235</v>
      </c>
      <c r="D101" s="31" t="s">
        <v>476</v>
      </c>
      <c r="E101" s="22" t="s">
        <v>236</v>
      </c>
      <c r="F101" s="29">
        <v>0.13471315395358335</v>
      </c>
      <c r="G101" s="31">
        <v>12</v>
      </c>
      <c r="H101" s="12">
        <v>17.992799999999999</v>
      </c>
      <c r="I101" s="43" t="s">
        <v>532</v>
      </c>
      <c r="J101" s="17"/>
      <c r="K101" s="12">
        <f t="shared" si="5"/>
        <v>0</v>
      </c>
      <c r="N101" s="39" t="str">
        <f t="shared" si="6"/>
        <v>-</v>
      </c>
      <c r="O101" s="39" t="str">
        <f t="shared" si="7"/>
        <v>-</v>
      </c>
      <c r="P101" s="40" t="str">
        <f t="shared" si="8"/>
        <v>-</v>
      </c>
      <c r="Q101" s="41" t="str">
        <f t="shared" si="9"/>
        <v>-</v>
      </c>
    </row>
    <row r="102" spans="1:17" ht="15.6" x14ac:dyDescent="0.3">
      <c r="A102" s="18" t="s">
        <v>237</v>
      </c>
      <c r="B102" s="19">
        <v>790011291084</v>
      </c>
      <c r="C102" s="20" t="s">
        <v>238</v>
      </c>
      <c r="D102" s="31" t="s">
        <v>477</v>
      </c>
      <c r="E102" s="22" t="s">
        <v>3</v>
      </c>
      <c r="F102" s="29">
        <v>8.1171110598783347E-2</v>
      </c>
      <c r="G102" s="31">
        <v>12</v>
      </c>
      <c r="H102" s="12">
        <v>34.912800000000004</v>
      </c>
      <c r="I102" s="43" t="s">
        <v>532</v>
      </c>
      <c r="J102" s="17"/>
      <c r="K102" s="12">
        <f t="shared" si="5"/>
        <v>0</v>
      </c>
      <c r="N102" s="39" t="str">
        <f t="shared" si="6"/>
        <v>-</v>
      </c>
      <c r="O102" s="39" t="str">
        <f t="shared" si="7"/>
        <v>-</v>
      </c>
      <c r="P102" s="40" t="str">
        <f t="shared" si="8"/>
        <v>-</v>
      </c>
      <c r="Q102" s="41" t="str">
        <f t="shared" si="9"/>
        <v>-</v>
      </c>
    </row>
    <row r="103" spans="1:17" ht="15.6" x14ac:dyDescent="0.3">
      <c r="A103" s="21" t="s">
        <v>241</v>
      </c>
      <c r="B103" s="19">
        <v>790011291091</v>
      </c>
      <c r="C103" s="20" t="s">
        <v>242</v>
      </c>
      <c r="D103" s="31" t="s">
        <v>477</v>
      </c>
      <c r="E103" s="22" t="s">
        <v>3</v>
      </c>
      <c r="F103" s="29">
        <v>7.1646804809708323E-2</v>
      </c>
      <c r="G103" s="31">
        <v>12</v>
      </c>
      <c r="H103" s="12">
        <v>34.912800000000004</v>
      </c>
      <c r="I103" s="43" t="s">
        <v>532</v>
      </c>
      <c r="J103" s="17"/>
      <c r="K103" s="12">
        <f t="shared" si="5"/>
        <v>0</v>
      </c>
      <c r="N103" s="39" t="str">
        <f t="shared" si="6"/>
        <v>-</v>
      </c>
      <c r="O103" s="39" t="str">
        <f t="shared" si="7"/>
        <v>-</v>
      </c>
      <c r="P103" s="40" t="str">
        <f t="shared" si="8"/>
        <v>-</v>
      </c>
      <c r="Q103" s="41" t="str">
        <f t="shared" si="9"/>
        <v>-</v>
      </c>
    </row>
    <row r="104" spans="1:17" ht="15.6" x14ac:dyDescent="0.3">
      <c r="A104" s="18" t="s">
        <v>278</v>
      </c>
      <c r="B104" s="19">
        <v>790011010524</v>
      </c>
      <c r="C104" s="20" t="s">
        <v>279</v>
      </c>
      <c r="D104" s="31" t="s">
        <v>478</v>
      </c>
      <c r="E104" s="22" t="s">
        <v>3</v>
      </c>
      <c r="F104" s="29">
        <v>0.14715481466904168</v>
      </c>
      <c r="G104" s="31">
        <v>12</v>
      </c>
      <c r="H104" s="12">
        <v>27.352800000000002</v>
      </c>
      <c r="I104" s="43" t="s">
        <v>532</v>
      </c>
      <c r="J104" s="17"/>
      <c r="K104" s="12">
        <f t="shared" si="5"/>
        <v>0</v>
      </c>
      <c r="N104" s="39" t="str">
        <f t="shared" si="6"/>
        <v>-</v>
      </c>
      <c r="O104" s="39" t="str">
        <f t="shared" si="7"/>
        <v>-</v>
      </c>
      <c r="P104" s="40" t="str">
        <f t="shared" si="8"/>
        <v>-</v>
      </c>
      <c r="Q104" s="41" t="str">
        <f t="shared" si="9"/>
        <v>-</v>
      </c>
    </row>
    <row r="105" spans="1:17" ht="15.6" x14ac:dyDescent="0.3">
      <c r="A105" s="18" t="s">
        <v>142</v>
      </c>
      <c r="B105" s="19">
        <v>790011037446</v>
      </c>
      <c r="C105" s="20" t="s">
        <v>143</v>
      </c>
      <c r="D105" s="31" t="s">
        <v>479</v>
      </c>
      <c r="E105" s="22"/>
      <c r="F105" s="29">
        <v>8.2801397175291669E-2</v>
      </c>
      <c r="G105" s="31">
        <v>12</v>
      </c>
      <c r="H105" s="12">
        <v>33.832799999999999</v>
      </c>
      <c r="I105" s="43" t="s">
        <v>532</v>
      </c>
      <c r="J105" s="17"/>
      <c r="K105" s="12">
        <f t="shared" si="5"/>
        <v>0</v>
      </c>
      <c r="N105" s="39" t="str">
        <f t="shared" si="6"/>
        <v>-</v>
      </c>
      <c r="O105" s="39" t="str">
        <f t="shared" si="7"/>
        <v>-</v>
      </c>
      <c r="P105" s="40" t="str">
        <f t="shared" si="8"/>
        <v>-</v>
      </c>
      <c r="Q105" s="41" t="str">
        <f t="shared" si="9"/>
        <v>-</v>
      </c>
    </row>
    <row r="106" spans="1:17" ht="15.6" x14ac:dyDescent="0.3">
      <c r="A106" s="21" t="s">
        <v>144</v>
      </c>
      <c r="B106" s="19">
        <v>790011037453</v>
      </c>
      <c r="C106" s="20" t="s">
        <v>145</v>
      </c>
      <c r="D106" s="31" t="s">
        <v>479</v>
      </c>
      <c r="E106" s="22"/>
      <c r="F106" s="29">
        <v>6.606950862691667E-2</v>
      </c>
      <c r="G106" s="31">
        <v>12</v>
      </c>
      <c r="H106" s="12">
        <v>33.832799999999999</v>
      </c>
      <c r="I106" s="43" t="s">
        <v>532</v>
      </c>
      <c r="J106" s="17"/>
      <c r="K106" s="12">
        <f t="shared" si="5"/>
        <v>0</v>
      </c>
      <c r="N106" s="39" t="str">
        <f t="shared" si="6"/>
        <v>-</v>
      </c>
      <c r="O106" s="39" t="str">
        <f t="shared" si="7"/>
        <v>-</v>
      </c>
      <c r="P106" s="40" t="str">
        <f t="shared" si="8"/>
        <v>-</v>
      </c>
      <c r="Q106" s="41" t="str">
        <f t="shared" si="9"/>
        <v>-</v>
      </c>
    </row>
    <row r="107" spans="1:17" ht="15.6" x14ac:dyDescent="0.3">
      <c r="A107" s="18" t="s">
        <v>386</v>
      </c>
      <c r="B107" s="19">
        <v>790011290322</v>
      </c>
      <c r="C107" s="20" t="s">
        <v>425</v>
      </c>
      <c r="D107" s="31" t="s">
        <v>484</v>
      </c>
      <c r="E107" s="22" t="s">
        <v>3</v>
      </c>
      <c r="F107" s="29">
        <v>0.21451139164583335</v>
      </c>
      <c r="G107" s="31">
        <v>12</v>
      </c>
      <c r="H107" s="12">
        <v>23.392800000000001</v>
      </c>
      <c r="I107" s="43" t="s">
        <v>532</v>
      </c>
      <c r="J107" s="17"/>
      <c r="K107" s="12">
        <f t="shared" si="5"/>
        <v>0</v>
      </c>
      <c r="N107" s="39" t="str">
        <f t="shared" si="6"/>
        <v>-</v>
      </c>
      <c r="O107" s="39" t="str">
        <f t="shared" si="7"/>
        <v>-</v>
      </c>
      <c r="P107" s="40" t="str">
        <f t="shared" si="8"/>
        <v>-</v>
      </c>
      <c r="Q107" s="41" t="str">
        <f t="shared" si="9"/>
        <v>-</v>
      </c>
    </row>
    <row r="108" spans="1:17" ht="15.6" x14ac:dyDescent="0.3">
      <c r="A108" s="21" t="s">
        <v>387</v>
      </c>
      <c r="B108" s="19">
        <v>790011150367</v>
      </c>
      <c r="C108" s="20" t="s">
        <v>426</v>
      </c>
      <c r="D108" s="31" t="s">
        <v>485</v>
      </c>
      <c r="E108" s="22" t="s">
        <v>168</v>
      </c>
      <c r="F108" s="29">
        <v>0.24883321430916669</v>
      </c>
      <c r="G108" s="31">
        <v>12</v>
      </c>
      <c r="H108" s="12">
        <v>15.832799999999999</v>
      </c>
      <c r="I108" s="43" t="s">
        <v>532</v>
      </c>
      <c r="J108" s="17"/>
      <c r="K108" s="12">
        <f t="shared" si="5"/>
        <v>0</v>
      </c>
      <c r="N108" s="39" t="str">
        <f t="shared" si="6"/>
        <v>-</v>
      </c>
      <c r="O108" s="39" t="str">
        <f t="shared" si="7"/>
        <v>-</v>
      </c>
      <c r="P108" s="40" t="str">
        <f t="shared" si="8"/>
        <v>-</v>
      </c>
      <c r="Q108" s="41" t="str">
        <f t="shared" si="9"/>
        <v>-</v>
      </c>
    </row>
    <row r="109" spans="1:17" ht="15.6" x14ac:dyDescent="0.3">
      <c r="A109" s="18" t="s">
        <v>38</v>
      </c>
      <c r="B109" s="19">
        <v>790011290728</v>
      </c>
      <c r="C109" s="20" t="s">
        <v>39</v>
      </c>
      <c r="D109" s="31" t="s">
        <v>484</v>
      </c>
      <c r="E109" s="22" t="s">
        <v>3</v>
      </c>
      <c r="F109" s="29">
        <v>0.18877002464833337</v>
      </c>
      <c r="G109" s="31">
        <v>12</v>
      </c>
      <c r="H109" s="12">
        <v>21.5928</v>
      </c>
      <c r="I109" s="43" t="s">
        <v>532</v>
      </c>
      <c r="J109" s="17"/>
      <c r="K109" s="12">
        <f t="shared" si="5"/>
        <v>0</v>
      </c>
      <c r="N109" s="39" t="str">
        <f t="shared" si="6"/>
        <v>-</v>
      </c>
      <c r="O109" s="39" t="str">
        <f t="shared" si="7"/>
        <v>-</v>
      </c>
      <c r="P109" s="40" t="str">
        <f t="shared" si="8"/>
        <v>-</v>
      </c>
      <c r="Q109" s="41" t="str">
        <f t="shared" si="9"/>
        <v>-</v>
      </c>
    </row>
    <row r="110" spans="1:17" ht="15.6" x14ac:dyDescent="0.3">
      <c r="A110" s="21" t="s">
        <v>40</v>
      </c>
      <c r="B110" s="19">
        <v>790011140627</v>
      </c>
      <c r="C110" s="20" t="s">
        <v>41</v>
      </c>
      <c r="D110" s="31" t="s">
        <v>486</v>
      </c>
      <c r="E110" s="22" t="s">
        <v>18</v>
      </c>
      <c r="F110" s="29">
        <v>0.24883321430916669</v>
      </c>
      <c r="G110" s="31">
        <v>12</v>
      </c>
      <c r="H110" s="12">
        <v>25.912800000000004</v>
      </c>
      <c r="I110" s="43" t="s">
        <v>532</v>
      </c>
      <c r="J110" s="17"/>
      <c r="K110" s="12">
        <f t="shared" si="5"/>
        <v>0</v>
      </c>
      <c r="N110" s="39" t="str">
        <f t="shared" si="6"/>
        <v>-</v>
      </c>
      <c r="O110" s="39" t="str">
        <f t="shared" si="7"/>
        <v>-</v>
      </c>
      <c r="P110" s="40" t="str">
        <f t="shared" si="8"/>
        <v>-</v>
      </c>
      <c r="Q110" s="41" t="str">
        <f t="shared" si="9"/>
        <v>-</v>
      </c>
    </row>
    <row r="111" spans="1:17" ht="15.6" x14ac:dyDescent="0.3">
      <c r="A111" s="18" t="s">
        <v>47</v>
      </c>
      <c r="B111" s="19">
        <v>790011202127</v>
      </c>
      <c r="C111" s="20" t="s">
        <v>48</v>
      </c>
      <c r="D111" s="31" t="s">
        <v>488</v>
      </c>
      <c r="E111" s="22" t="s">
        <v>46</v>
      </c>
      <c r="F111" s="29">
        <v>8.5804556658333336E-2</v>
      </c>
      <c r="G111" s="31">
        <v>12</v>
      </c>
      <c r="H111" s="12">
        <v>35.992800000000003</v>
      </c>
      <c r="I111" s="43" t="s">
        <v>532</v>
      </c>
      <c r="J111" s="17"/>
      <c r="K111" s="12">
        <f t="shared" si="5"/>
        <v>0</v>
      </c>
      <c r="N111" s="39" t="str">
        <f t="shared" si="6"/>
        <v>-</v>
      </c>
      <c r="O111" s="39" t="str">
        <f t="shared" si="7"/>
        <v>-</v>
      </c>
      <c r="P111" s="40" t="str">
        <f t="shared" si="8"/>
        <v>-</v>
      </c>
      <c r="Q111" s="41" t="str">
        <f t="shared" si="9"/>
        <v>-</v>
      </c>
    </row>
    <row r="112" spans="1:17" ht="15.6" x14ac:dyDescent="0.3">
      <c r="A112" s="21" t="s">
        <v>388</v>
      </c>
      <c r="B112" s="19">
        <v>790011030133</v>
      </c>
      <c r="C112" s="20" t="s">
        <v>427</v>
      </c>
      <c r="D112" s="31" t="s">
        <v>492</v>
      </c>
      <c r="E112" s="22" t="s">
        <v>464</v>
      </c>
      <c r="F112" s="29">
        <v>0.12870683498750002</v>
      </c>
      <c r="G112" s="31">
        <v>12</v>
      </c>
      <c r="H112" s="12">
        <v>16.552799999999998</v>
      </c>
      <c r="I112" s="43" t="s">
        <v>532</v>
      </c>
      <c r="J112" s="17"/>
      <c r="K112" s="12">
        <f t="shared" si="5"/>
        <v>0</v>
      </c>
      <c r="N112" s="39" t="str">
        <f t="shared" si="6"/>
        <v>-</v>
      </c>
      <c r="O112" s="39" t="str">
        <f t="shared" si="7"/>
        <v>-</v>
      </c>
      <c r="P112" s="40" t="str">
        <f t="shared" si="8"/>
        <v>-</v>
      </c>
      <c r="Q112" s="41" t="str">
        <f t="shared" si="9"/>
        <v>-</v>
      </c>
    </row>
    <row r="113" spans="1:17" ht="15.6" x14ac:dyDescent="0.3">
      <c r="A113" s="18" t="s">
        <v>389</v>
      </c>
      <c r="B113" s="19">
        <v>790011030140</v>
      </c>
      <c r="C113" s="20" t="s">
        <v>428</v>
      </c>
      <c r="D113" s="31" t="s">
        <v>493</v>
      </c>
      <c r="E113" s="22" t="s">
        <v>465</v>
      </c>
      <c r="F113" s="29">
        <v>8.5804556658333336E-2</v>
      </c>
      <c r="G113" s="31">
        <v>12</v>
      </c>
      <c r="H113" s="12">
        <v>15.832799999999999</v>
      </c>
      <c r="I113" s="43" t="s">
        <v>532</v>
      </c>
      <c r="J113" s="17"/>
      <c r="K113" s="12">
        <f t="shared" si="5"/>
        <v>0</v>
      </c>
      <c r="N113" s="39" t="str">
        <f t="shared" si="6"/>
        <v>-</v>
      </c>
      <c r="O113" s="39" t="str">
        <f t="shared" si="7"/>
        <v>-</v>
      </c>
      <c r="P113" s="40" t="str">
        <f t="shared" si="8"/>
        <v>-</v>
      </c>
      <c r="Q113" s="41" t="str">
        <f t="shared" si="9"/>
        <v>-</v>
      </c>
    </row>
    <row r="114" spans="1:17" ht="15.6" x14ac:dyDescent="0.3">
      <c r="A114" s="18" t="s">
        <v>390</v>
      </c>
      <c r="B114" s="19">
        <v>790011030584</v>
      </c>
      <c r="C114" s="20" t="s">
        <v>429</v>
      </c>
      <c r="D114" s="31" t="s">
        <v>494</v>
      </c>
      <c r="E114" s="22" t="s">
        <v>464</v>
      </c>
      <c r="F114" s="29">
        <v>0.15444820198500003</v>
      </c>
      <c r="G114" s="31">
        <v>12</v>
      </c>
      <c r="H114" s="12">
        <v>26.992800000000003</v>
      </c>
      <c r="I114" s="43" t="s">
        <v>532</v>
      </c>
      <c r="J114" s="17"/>
      <c r="K114" s="12">
        <f t="shared" si="5"/>
        <v>0</v>
      </c>
      <c r="N114" s="39" t="str">
        <f t="shared" si="6"/>
        <v>-</v>
      </c>
      <c r="O114" s="39" t="str">
        <f t="shared" si="7"/>
        <v>-</v>
      </c>
      <c r="P114" s="40" t="str">
        <f t="shared" si="8"/>
        <v>-</v>
      </c>
      <c r="Q114" s="41" t="str">
        <f t="shared" si="9"/>
        <v>-</v>
      </c>
    </row>
    <row r="115" spans="1:17" ht="15.6" x14ac:dyDescent="0.3">
      <c r="A115" s="21" t="s">
        <v>67</v>
      </c>
      <c r="B115" s="19">
        <v>790011180364</v>
      </c>
      <c r="C115" s="20" t="s">
        <v>68</v>
      </c>
      <c r="D115" s="31" t="s">
        <v>495</v>
      </c>
      <c r="E115" s="22" t="s">
        <v>69</v>
      </c>
      <c r="F115" s="29">
        <v>0.43331301112458337</v>
      </c>
      <c r="G115" s="31">
        <v>12</v>
      </c>
      <c r="H115" s="12">
        <v>14.392799999999998</v>
      </c>
      <c r="I115" s="43" t="s">
        <v>532</v>
      </c>
      <c r="J115" s="17"/>
      <c r="K115" s="12">
        <f t="shared" si="5"/>
        <v>0</v>
      </c>
      <c r="N115" s="39" t="str">
        <f t="shared" si="6"/>
        <v>-</v>
      </c>
      <c r="O115" s="39" t="str">
        <f t="shared" si="7"/>
        <v>-</v>
      </c>
      <c r="P115" s="40" t="str">
        <f t="shared" si="8"/>
        <v>-</v>
      </c>
      <c r="Q115" s="41" t="str">
        <f t="shared" si="9"/>
        <v>-</v>
      </c>
    </row>
    <row r="116" spans="1:17" ht="15.6" x14ac:dyDescent="0.3">
      <c r="A116" s="18" t="s">
        <v>391</v>
      </c>
      <c r="B116" s="19">
        <v>790011240020</v>
      </c>
      <c r="C116" s="20" t="s">
        <v>430</v>
      </c>
      <c r="D116" s="31" t="s">
        <v>496</v>
      </c>
      <c r="E116" s="22" t="s">
        <v>3</v>
      </c>
      <c r="F116" s="29">
        <v>0.15444820198500003</v>
      </c>
      <c r="G116" s="31">
        <v>12</v>
      </c>
      <c r="H116" s="12">
        <v>28.788</v>
      </c>
      <c r="I116" s="43" t="s">
        <v>532</v>
      </c>
      <c r="J116" s="17"/>
      <c r="K116" s="12">
        <f t="shared" si="5"/>
        <v>0</v>
      </c>
      <c r="N116" s="39" t="str">
        <f t="shared" si="6"/>
        <v>-</v>
      </c>
      <c r="O116" s="39" t="str">
        <f t="shared" si="7"/>
        <v>-</v>
      </c>
      <c r="P116" s="40" t="str">
        <f t="shared" si="8"/>
        <v>-</v>
      </c>
      <c r="Q116" s="41" t="str">
        <f t="shared" si="9"/>
        <v>-</v>
      </c>
    </row>
    <row r="117" spans="1:17" ht="15.6" x14ac:dyDescent="0.3">
      <c r="A117" s="21" t="s">
        <v>88</v>
      </c>
      <c r="B117" s="19">
        <v>790011048053</v>
      </c>
      <c r="C117" s="20" t="s">
        <v>89</v>
      </c>
      <c r="D117" s="31" t="s">
        <v>498</v>
      </c>
      <c r="E117" s="22" t="s">
        <v>3</v>
      </c>
      <c r="F117" s="29">
        <v>0.59205144094250006</v>
      </c>
      <c r="G117" s="31">
        <v>12</v>
      </c>
      <c r="H117" s="12">
        <v>30.232800000000001</v>
      </c>
      <c r="I117" s="43" t="s">
        <v>532</v>
      </c>
      <c r="J117" s="17"/>
      <c r="K117" s="12">
        <f t="shared" si="5"/>
        <v>0</v>
      </c>
      <c r="N117" s="39" t="str">
        <f t="shared" si="6"/>
        <v>-</v>
      </c>
      <c r="O117" s="39" t="str">
        <f t="shared" si="7"/>
        <v>-</v>
      </c>
      <c r="P117" s="40" t="str">
        <f t="shared" si="8"/>
        <v>-</v>
      </c>
      <c r="Q117" s="41" t="str">
        <f t="shared" si="9"/>
        <v>-</v>
      </c>
    </row>
    <row r="118" spans="1:17" ht="15.6" x14ac:dyDescent="0.3">
      <c r="A118" s="21" t="s">
        <v>392</v>
      </c>
      <c r="B118" s="19">
        <v>790011120186</v>
      </c>
      <c r="C118" s="20" t="s">
        <v>431</v>
      </c>
      <c r="D118" s="31" t="s">
        <v>488</v>
      </c>
      <c r="E118" s="22" t="s">
        <v>3</v>
      </c>
      <c r="F118" s="29">
        <v>9.4385012324166684E-2</v>
      </c>
      <c r="G118" s="31">
        <v>12</v>
      </c>
      <c r="H118" s="12">
        <v>21.952799999999996</v>
      </c>
      <c r="I118" s="43" t="s">
        <v>532</v>
      </c>
      <c r="J118" s="17"/>
      <c r="K118" s="12">
        <f t="shared" si="5"/>
        <v>0</v>
      </c>
      <c r="N118" s="39" t="str">
        <f t="shared" si="6"/>
        <v>-</v>
      </c>
      <c r="O118" s="39" t="str">
        <f t="shared" si="7"/>
        <v>-</v>
      </c>
      <c r="P118" s="40" t="str">
        <f t="shared" si="8"/>
        <v>-</v>
      </c>
      <c r="Q118" s="41" t="str">
        <f t="shared" si="9"/>
        <v>-</v>
      </c>
    </row>
    <row r="119" spans="1:17" ht="15.6" x14ac:dyDescent="0.3">
      <c r="A119" s="21" t="s">
        <v>99</v>
      </c>
      <c r="B119" s="19">
        <v>790011350026</v>
      </c>
      <c r="C119" s="20" t="s">
        <v>100</v>
      </c>
      <c r="D119" s="31" t="s">
        <v>483</v>
      </c>
      <c r="E119" s="22" t="s">
        <v>101</v>
      </c>
      <c r="F119" s="29">
        <v>0.17568482975793753</v>
      </c>
      <c r="G119" s="31">
        <v>12</v>
      </c>
      <c r="H119" s="12">
        <v>23.032800000000002</v>
      </c>
      <c r="I119" s="43" t="s">
        <v>532</v>
      </c>
      <c r="J119" s="17"/>
      <c r="K119" s="12">
        <f t="shared" si="5"/>
        <v>0</v>
      </c>
      <c r="N119" s="39" t="str">
        <f t="shared" si="6"/>
        <v>-</v>
      </c>
      <c r="O119" s="39" t="str">
        <f t="shared" si="7"/>
        <v>-</v>
      </c>
      <c r="P119" s="40" t="str">
        <f t="shared" si="8"/>
        <v>-</v>
      </c>
      <c r="Q119" s="41" t="str">
        <f t="shared" si="9"/>
        <v>-</v>
      </c>
    </row>
    <row r="120" spans="1:17" ht="15.6" x14ac:dyDescent="0.3">
      <c r="A120" s="18" t="s">
        <v>110</v>
      </c>
      <c r="B120" s="19">
        <v>790011140931</v>
      </c>
      <c r="C120" s="20" t="s">
        <v>111</v>
      </c>
      <c r="D120" s="31" t="s">
        <v>483</v>
      </c>
      <c r="E120" s="22" t="s">
        <v>18</v>
      </c>
      <c r="F120" s="29">
        <v>0.15444820198500003</v>
      </c>
      <c r="G120" s="31">
        <v>12</v>
      </c>
      <c r="H120" s="12">
        <v>35.992800000000003</v>
      </c>
      <c r="I120" s="43" t="s">
        <v>532</v>
      </c>
      <c r="J120" s="17"/>
      <c r="K120" s="12">
        <f t="shared" si="5"/>
        <v>0</v>
      </c>
      <c r="N120" s="39" t="str">
        <f t="shared" si="6"/>
        <v>-</v>
      </c>
      <c r="O120" s="39" t="str">
        <f t="shared" si="7"/>
        <v>-</v>
      </c>
      <c r="P120" s="40" t="str">
        <f t="shared" si="8"/>
        <v>-</v>
      </c>
      <c r="Q120" s="41" t="str">
        <f t="shared" si="9"/>
        <v>-</v>
      </c>
    </row>
    <row r="121" spans="1:17" ht="15.6" x14ac:dyDescent="0.3">
      <c r="A121" s="18" t="s">
        <v>112</v>
      </c>
      <c r="B121" s="19">
        <v>790011290421</v>
      </c>
      <c r="C121" s="20" t="s">
        <v>113</v>
      </c>
      <c r="D121" s="31" t="s">
        <v>501</v>
      </c>
      <c r="E121" s="22" t="s">
        <v>114</v>
      </c>
      <c r="F121" s="29">
        <v>6.8643645326666683E-2</v>
      </c>
      <c r="G121" s="31">
        <v>12</v>
      </c>
      <c r="H121" s="12">
        <v>10.072800000000001</v>
      </c>
      <c r="I121" s="43" t="s">
        <v>532</v>
      </c>
      <c r="J121" s="17"/>
      <c r="K121" s="12">
        <f t="shared" si="5"/>
        <v>0</v>
      </c>
      <c r="N121" s="39" t="str">
        <f t="shared" si="6"/>
        <v>-</v>
      </c>
      <c r="O121" s="39" t="str">
        <f t="shared" si="7"/>
        <v>-</v>
      </c>
      <c r="P121" s="40" t="str">
        <f t="shared" si="8"/>
        <v>-</v>
      </c>
      <c r="Q121" s="41" t="str">
        <f t="shared" si="9"/>
        <v>-</v>
      </c>
    </row>
    <row r="122" spans="1:17" ht="15.6" x14ac:dyDescent="0.3">
      <c r="A122" s="18" t="s">
        <v>118</v>
      </c>
      <c r="B122" s="19">
        <v>790011290650</v>
      </c>
      <c r="C122" s="20" t="s">
        <v>119</v>
      </c>
      <c r="D122" s="31" t="s">
        <v>502</v>
      </c>
      <c r="E122" s="22" t="s">
        <v>3</v>
      </c>
      <c r="F122" s="29">
        <v>4.2902278329166668E-2</v>
      </c>
      <c r="G122" s="31">
        <v>12</v>
      </c>
      <c r="H122" s="12">
        <v>21.5928</v>
      </c>
      <c r="I122" s="43" t="s">
        <v>532</v>
      </c>
      <c r="J122" s="17"/>
      <c r="K122" s="12">
        <f t="shared" si="5"/>
        <v>0</v>
      </c>
      <c r="N122" s="39" t="str">
        <f t="shared" si="6"/>
        <v>-</v>
      </c>
      <c r="O122" s="39" t="str">
        <f t="shared" si="7"/>
        <v>-</v>
      </c>
      <c r="P122" s="40" t="str">
        <f t="shared" si="8"/>
        <v>-</v>
      </c>
      <c r="Q122" s="41" t="str">
        <f t="shared" si="9"/>
        <v>-</v>
      </c>
    </row>
    <row r="123" spans="1:17" ht="15.6" x14ac:dyDescent="0.3">
      <c r="A123" s="21" t="s">
        <v>120</v>
      </c>
      <c r="B123" s="19">
        <v>790011350019</v>
      </c>
      <c r="C123" s="20" t="s">
        <v>121</v>
      </c>
      <c r="D123" s="31" t="s">
        <v>503</v>
      </c>
      <c r="E123" s="22" t="s">
        <v>101</v>
      </c>
      <c r="F123" s="29">
        <v>0.13278255142877085</v>
      </c>
      <c r="G123" s="31">
        <v>12</v>
      </c>
      <c r="H123" s="12">
        <v>21.5928</v>
      </c>
      <c r="I123" s="43" t="s">
        <v>532</v>
      </c>
      <c r="J123" s="17"/>
      <c r="K123" s="12">
        <f t="shared" si="5"/>
        <v>0</v>
      </c>
      <c r="N123" s="39" t="str">
        <f t="shared" si="6"/>
        <v>-</v>
      </c>
      <c r="O123" s="39" t="str">
        <f t="shared" si="7"/>
        <v>-</v>
      </c>
      <c r="P123" s="40" t="str">
        <f t="shared" si="8"/>
        <v>-</v>
      </c>
      <c r="Q123" s="41" t="str">
        <f t="shared" si="9"/>
        <v>-</v>
      </c>
    </row>
    <row r="124" spans="1:17" ht="15.6" x14ac:dyDescent="0.3">
      <c r="A124" s="18" t="s">
        <v>125</v>
      </c>
      <c r="B124" s="19">
        <v>790011160397</v>
      </c>
      <c r="C124" s="20" t="s">
        <v>126</v>
      </c>
      <c r="D124" s="31" t="s">
        <v>504</v>
      </c>
      <c r="E124" s="22" t="s">
        <v>124</v>
      </c>
      <c r="F124" s="29">
        <v>0.48050551728666668</v>
      </c>
      <c r="G124" s="31">
        <v>12</v>
      </c>
      <c r="H124" s="12">
        <v>78.705098922413811</v>
      </c>
      <c r="I124" s="43" t="s">
        <v>532</v>
      </c>
      <c r="J124" s="17"/>
      <c r="K124" s="12">
        <f t="shared" si="5"/>
        <v>0</v>
      </c>
      <c r="N124" s="39" t="str">
        <f t="shared" si="6"/>
        <v>-</v>
      </c>
      <c r="O124" s="39" t="str">
        <f t="shared" si="7"/>
        <v>-</v>
      </c>
      <c r="P124" s="40" t="str">
        <f t="shared" si="8"/>
        <v>-</v>
      </c>
      <c r="Q124" s="41" t="str">
        <f t="shared" si="9"/>
        <v>-</v>
      </c>
    </row>
    <row r="125" spans="1:17" ht="15.6" x14ac:dyDescent="0.3">
      <c r="A125" s="18" t="s">
        <v>130</v>
      </c>
      <c r="B125" s="19">
        <v>790011030300</v>
      </c>
      <c r="C125" s="20" t="s">
        <v>131</v>
      </c>
      <c r="D125" s="31" t="s">
        <v>482</v>
      </c>
      <c r="E125" s="22" t="s">
        <v>129</v>
      </c>
      <c r="F125" s="29">
        <v>7.7224100992500017E-2</v>
      </c>
      <c r="G125" s="31">
        <v>12</v>
      </c>
      <c r="H125" s="12">
        <v>30.232800000000001</v>
      </c>
      <c r="I125" s="43" t="s">
        <v>532</v>
      </c>
      <c r="J125" s="17"/>
      <c r="K125" s="12">
        <f t="shared" si="5"/>
        <v>0</v>
      </c>
      <c r="N125" s="39" t="str">
        <f t="shared" si="6"/>
        <v>-</v>
      </c>
      <c r="O125" s="39" t="str">
        <f t="shared" si="7"/>
        <v>-</v>
      </c>
      <c r="P125" s="40" t="str">
        <f t="shared" si="8"/>
        <v>-</v>
      </c>
      <c r="Q125" s="41" t="str">
        <f t="shared" si="9"/>
        <v>-</v>
      </c>
    </row>
    <row r="126" spans="1:17" ht="15.6" x14ac:dyDescent="0.3">
      <c r="A126" s="18" t="s">
        <v>132</v>
      </c>
      <c r="B126" s="19">
        <v>790011037347</v>
      </c>
      <c r="C126" s="20" t="s">
        <v>133</v>
      </c>
      <c r="D126" s="31" t="s">
        <v>502</v>
      </c>
      <c r="E126" s="22" t="s">
        <v>134</v>
      </c>
      <c r="F126" s="29">
        <v>7.0788759243124999E-2</v>
      </c>
      <c r="G126" s="31">
        <v>12</v>
      </c>
      <c r="H126" s="12">
        <v>25.912800000000004</v>
      </c>
      <c r="I126" s="43" t="s">
        <v>532</v>
      </c>
      <c r="J126" s="17"/>
      <c r="K126" s="12">
        <f t="shared" si="5"/>
        <v>0</v>
      </c>
      <c r="N126" s="39" t="str">
        <f t="shared" si="6"/>
        <v>-</v>
      </c>
      <c r="O126" s="39" t="str">
        <f t="shared" si="7"/>
        <v>-</v>
      </c>
      <c r="P126" s="40" t="str">
        <f t="shared" si="8"/>
        <v>-</v>
      </c>
      <c r="Q126" s="41" t="str">
        <f t="shared" si="9"/>
        <v>-</v>
      </c>
    </row>
    <row r="127" spans="1:17" ht="15.6" x14ac:dyDescent="0.3">
      <c r="A127" s="21" t="s">
        <v>393</v>
      </c>
      <c r="B127" s="19">
        <v>790011030256</v>
      </c>
      <c r="C127" s="20" t="s">
        <v>432</v>
      </c>
      <c r="D127" s="31" t="s">
        <v>505</v>
      </c>
      <c r="E127" s="22" t="s">
        <v>3</v>
      </c>
      <c r="F127" s="29">
        <v>0.27457458130666673</v>
      </c>
      <c r="G127" s="31">
        <v>12</v>
      </c>
      <c r="H127" s="12">
        <v>8.3520000000000003</v>
      </c>
      <c r="I127" s="43" t="s">
        <v>532</v>
      </c>
      <c r="J127" s="17"/>
      <c r="K127" s="12">
        <f t="shared" si="5"/>
        <v>0</v>
      </c>
      <c r="N127" s="39" t="str">
        <f t="shared" si="6"/>
        <v>-</v>
      </c>
      <c r="O127" s="39" t="str">
        <f t="shared" si="7"/>
        <v>-</v>
      </c>
      <c r="P127" s="40" t="str">
        <f t="shared" si="8"/>
        <v>-</v>
      </c>
      <c r="Q127" s="41" t="str">
        <f t="shared" si="9"/>
        <v>-</v>
      </c>
    </row>
    <row r="128" spans="1:17" ht="15.6" x14ac:dyDescent="0.3">
      <c r="A128" s="21" t="s">
        <v>148</v>
      </c>
      <c r="B128" s="19">
        <v>790011190233</v>
      </c>
      <c r="C128" s="20" t="s">
        <v>149</v>
      </c>
      <c r="D128" s="31" t="s">
        <v>496</v>
      </c>
      <c r="E128" s="22" t="s">
        <v>3</v>
      </c>
      <c r="F128" s="29">
        <v>0.21451139164583335</v>
      </c>
      <c r="G128" s="31">
        <v>12</v>
      </c>
      <c r="H128" s="12">
        <v>23.032800000000002</v>
      </c>
      <c r="I128" s="43" t="s">
        <v>532</v>
      </c>
      <c r="J128" s="17"/>
      <c r="K128" s="12">
        <f t="shared" si="5"/>
        <v>0</v>
      </c>
      <c r="N128" s="39" t="str">
        <f t="shared" si="6"/>
        <v>-</v>
      </c>
      <c r="O128" s="39" t="str">
        <f t="shared" si="7"/>
        <v>-</v>
      </c>
      <c r="P128" s="40" t="str">
        <f t="shared" si="8"/>
        <v>-</v>
      </c>
      <c r="Q128" s="41" t="str">
        <f t="shared" si="9"/>
        <v>-</v>
      </c>
    </row>
    <row r="129" spans="1:17" ht="15.6" x14ac:dyDescent="0.3">
      <c r="A129" s="21" t="s">
        <v>150</v>
      </c>
      <c r="B129" s="19">
        <v>790011190226</v>
      </c>
      <c r="C129" s="20" t="s">
        <v>151</v>
      </c>
      <c r="D129" s="31" t="s">
        <v>497</v>
      </c>
      <c r="E129" s="22" t="s">
        <v>3</v>
      </c>
      <c r="F129" s="29">
        <v>0.39470096062833343</v>
      </c>
      <c r="G129" s="31">
        <v>12</v>
      </c>
      <c r="H129" s="12">
        <v>39.592800000000004</v>
      </c>
      <c r="I129" s="43" t="s">
        <v>532</v>
      </c>
      <c r="J129" s="17"/>
      <c r="K129" s="12">
        <f t="shared" si="5"/>
        <v>0</v>
      </c>
      <c r="N129" s="39" t="str">
        <f t="shared" si="6"/>
        <v>-</v>
      </c>
      <c r="O129" s="39" t="str">
        <f t="shared" si="7"/>
        <v>-</v>
      </c>
      <c r="P129" s="40" t="str">
        <f t="shared" si="8"/>
        <v>-</v>
      </c>
      <c r="Q129" s="41" t="str">
        <f t="shared" si="9"/>
        <v>-</v>
      </c>
    </row>
    <row r="130" spans="1:17" ht="15.6" x14ac:dyDescent="0.3">
      <c r="A130" s="21" t="s">
        <v>156</v>
      </c>
      <c r="B130" s="19">
        <v>790011150916</v>
      </c>
      <c r="C130" s="20" t="s">
        <v>157</v>
      </c>
      <c r="D130" s="31" t="s">
        <v>506</v>
      </c>
      <c r="E130" s="22" t="s">
        <v>18</v>
      </c>
      <c r="F130" s="29">
        <v>0.18018956898250002</v>
      </c>
      <c r="G130" s="31">
        <v>12</v>
      </c>
      <c r="H130" s="12">
        <v>57.592799999999997</v>
      </c>
      <c r="I130" s="43" t="s">
        <v>532</v>
      </c>
      <c r="J130" s="17"/>
      <c r="K130" s="12">
        <f t="shared" si="5"/>
        <v>0</v>
      </c>
      <c r="N130" s="39" t="str">
        <f t="shared" si="6"/>
        <v>-</v>
      </c>
      <c r="O130" s="39" t="str">
        <f t="shared" si="7"/>
        <v>-</v>
      </c>
      <c r="P130" s="40" t="str">
        <f t="shared" si="8"/>
        <v>-</v>
      </c>
      <c r="Q130" s="41" t="str">
        <f t="shared" si="9"/>
        <v>-</v>
      </c>
    </row>
    <row r="131" spans="1:17" ht="15.6" x14ac:dyDescent="0.3">
      <c r="A131" s="18" t="s">
        <v>163</v>
      </c>
      <c r="B131" s="19">
        <v>790011150350</v>
      </c>
      <c r="C131" s="20" t="s">
        <v>164</v>
      </c>
      <c r="D131" s="31" t="s">
        <v>507</v>
      </c>
      <c r="E131" s="22" t="s">
        <v>165</v>
      </c>
      <c r="F131" s="29">
        <v>1.3900338178649998</v>
      </c>
      <c r="G131" s="31">
        <v>6</v>
      </c>
      <c r="H131" s="12">
        <v>43.192800000000005</v>
      </c>
      <c r="I131" s="43" t="s">
        <v>532</v>
      </c>
      <c r="J131" s="17"/>
      <c r="K131" s="12">
        <f t="shared" si="5"/>
        <v>0</v>
      </c>
      <c r="N131" s="39" t="str">
        <f t="shared" si="6"/>
        <v>-</v>
      </c>
      <c r="O131" s="39" t="str">
        <f t="shared" si="7"/>
        <v>-</v>
      </c>
      <c r="P131" s="40" t="str">
        <f t="shared" si="8"/>
        <v>-</v>
      </c>
      <c r="Q131" s="41" t="str">
        <f t="shared" si="9"/>
        <v>-</v>
      </c>
    </row>
    <row r="132" spans="1:17" ht="15.6" x14ac:dyDescent="0.3">
      <c r="A132" s="18" t="s">
        <v>394</v>
      </c>
      <c r="B132" s="19">
        <v>790011290025</v>
      </c>
      <c r="C132" s="20" t="s">
        <v>433</v>
      </c>
      <c r="D132" s="31" t="s">
        <v>484</v>
      </c>
      <c r="E132" s="22" t="s">
        <v>3</v>
      </c>
      <c r="F132" s="29">
        <v>0.27457458130666673</v>
      </c>
      <c r="G132" s="31">
        <v>12</v>
      </c>
      <c r="H132" s="12">
        <v>26.632799999999996</v>
      </c>
      <c r="I132" s="43" t="s">
        <v>532</v>
      </c>
      <c r="J132" s="17"/>
      <c r="K132" s="12">
        <f t="shared" ref="K132:K195" si="10">H132*J132</f>
        <v>0</v>
      </c>
      <c r="N132" s="39" t="str">
        <f t="shared" ref="N132:N195" si="11">IFERROR(IF($N$2*F132=0, "-", $N$2*F132), "-")</f>
        <v>-</v>
      </c>
      <c r="O132" s="39" t="str">
        <f t="shared" ref="O132:O195" si="12">IFERROR(IF(N132&gt;0,H132+N132,"-"),"-")</f>
        <v>-</v>
      </c>
      <c r="P132" s="40" t="str">
        <f t="shared" ref="P132:P195" si="13">IF(J132&gt;0,J132*F132, "-")</f>
        <v>-</v>
      </c>
      <c r="Q132" s="41" t="str">
        <f t="shared" ref="Q132:Q195" si="14">IFERROR(IF($N$2&gt;0, $N$2*P132, "-"), "-")</f>
        <v>-</v>
      </c>
    </row>
    <row r="133" spans="1:17" ht="15.6" x14ac:dyDescent="0.3">
      <c r="A133" s="18" t="s">
        <v>169</v>
      </c>
      <c r="B133" s="19">
        <v>790011190219</v>
      </c>
      <c r="C133" s="20" t="s">
        <v>170</v>
      </c>
      <c r="D133" s="31" t="s">
        <v>497</v>
      </c>
      <c r="E133" s="22" t="s">
        <v>3</v>
      </c>
      <c r="F133" s="29">
        <v>0.37754004929666674</v>
      </c>
      <c r="G133" s="31">
        <v>12</v>
      </c>
      <c r="H133" s="12">
        <v>40.312800000000003</v>
      </c>
      <c r="I133" s="43" t="s">
        <v>532</v>
      </c>
      <c r="J133" s="17"/>
      <c r="K133" s="12">
        <f t="shared" si="10"/>
        <v>0</v>
      </c>
      <c r="N133" s="39" t="str">
        <f t="shared" si="11"/>
        <v>-</v>
      </c>
      <c r="O133" s="39" t="str">
        <f t="shared" si="12"/>
        <v>-</v>
      </c>
      <c r="P133" s="40" t="str">
        <f t="shared" si="13"/>
        <v>-</v>
      </c>
      <c r="Q133" s="41" t="str">
        <f t="shared" si="14"/>
        <v>-</v>
      </c>
    </row>
    <row r="134" spans="1:17" ht="15.6" x14ac:dyDescent="0.3">
      <c r="A134" s="18" t="s">
        <v>395</v>
      </c>
      <c r="B134" s="19">
        <v>790011170075</v>
      </c>
      <c r="C134" s="20" t="s">
        <v>434</v>
      </c>
      <c r="D134" s="31" t="s">
        <v>481</v>
      </c>
      <c r="E134" s="22" t="s">
        <v>18</v>
      </c>
      <c r="F134" s="29">
        <v>0.12012637932166667</v>
      </c>
      <c r="G134" s="31">
        <v>12</v>
      </c>
      <c r="H134" s="12">
        <v>10.7928</v>
      </c>
      <c r="I134" s="43" t="s">
        <v>532</v>
      </c>
      <c r="J134" s="17"/>
      <c r="K134" s="12">
        <f t="shared" si="10"/>
        <v>0</v>
      </c>
      <c r="N134" s="39" t="str">
        <f t="shared" si="11"/>
        <v>-</v>
      </c>
      <c r="O134" s="39" t="str">
        <f t="shared" si="12"/>
        <v>-</v>
      </c>
      <c r="P134" s="40" t="str">
        <f t="shared" si="13"/>
        <v>-</v>
      </c>
      <c r="Q134" s="41" t="str">
        <f t="shared" si="14"/>
        <v>-</v>
      </c>
    </row>
    <row r="135" spans="1:17" ht="15.6" x14ac:dyDescent="0.3">
      <c r="A135" s="21" t="s">
        <v>171</v>
      </c>
      <c r="B135" s="19">
        <v>790011030775</v>
      </c>
      <c r="C135" s="20" t="s">
        <v>172</v>
      </c>
      <c r="D135" s="31" t="s">
        <v>502</v>
      </c>
      <c r="E135" s="22" t="s">
        <v>173</v>
      </c>
      <c r="F135" s="29">
        <v>8.5804556658333336E-2</v>
      </c>
      <c r="G135" s="32">
        <v>12</v>
      </c>
      <c r="H135" s="12">
        <v>20.152799999999999</v>
      </c>
      <c r="I135" s="43" t="s">
        <v>532</v>
      </c>
      <c r="J135" s="17"/>
      <c r="K135" s="12">
        <f t="shared" si="10"/>
        <v>0</v>
      </c>
      <c r="N135" s="39" t="str">
        <f t="shared" si="11"/>
        <v>-</v>
      </c>
      <c r="O135" s="39" t="str">
        <f t="shared" si="12"/>
        <v>-</v>
      </c>
      <c r="P135" s="40" t="str">
        <f t="shared" si="13"/>
        <v>-</v>
      </c>
      <c r="Q135" s="41" t="str">
        <f t="shared" si="14"/>
        <v>-</v>
      </c>
    </row>
    <row r="136" spans="1:17" ht="15.6" x14ac:dyDescent="0.3">
      <c r="A136" s="18" t="s">
        <v>177</v>
      </c>
      <c r="B136" s="19">
        <v>790011150442</v>
      </c>
      <c r="C136" s="20" t="s">
        <v>178</v>
      </c>
      <c r="D136" s="31" t="s">
        <v>503</v>
      </c>
      <c r="E136" s="22" t="s">
        <v>179</v>
      </c>
      <c r="F136" s="29">
        <v>7.7224100992500017E-2</v>
      </c>
      <c r="G136" s="31">
        <v>12</v>
      </c>
      <c r="H136" s="12">
        <v>15.1128</v>
      </c>
      <c r="I136" s="43" t="s">
        <v>532</v>
      </c>
      <c r="J136" s="17"/>
      <c r="K136" s="12">
        <f t="shared" si="10"/>
        <v>0</v>
      </c>
      <c r="N136" s="39" t="str">
        <f t="shared" si="11"/>
        <v>-</v>
      </c>
      <c r="O136" s="39" t="str">
        <f t="shared" si="12"/>
        <v>-</v>
      </c>
      <c r="P136" s="40" t="str">
        <f t="shared" si="13"/>
        <v>-</v>
      </c>
      <c r="Q136" s="41" t="str">
        <f t="shared" si="14"/>
        <v>-</v>
      </c>
    </row>
    <row r="137" spans="1:17" ht="15.6" x14ac:dyDescent="0.3">
      <c r="A137" s="18" t="s">
        <v>183</v>
      </c>
      <c r="B137" s="19">
        <v>790011290247</v>
      </c>
      <c r="C137" s="20" t="s">
        <v>184</v>
      </c>
      <c r="D137" s="31" t="s">
        <v>483</v>
      </c>
      <c r="E137" s="22" t="s">
        <v>182</v>
      </c>
      <c r="F137" s="29">
        <v>6.8643645326666683E-2</v>
      </c>
      <c r="G137" s="31">
        <v>12</v>
      </c>
      <c r="H137" s="12">
        <v>25.912800000000004</v>
      </c>
      <c r="I137" s="43" t="s">
        <v>532</v>
      </c>
      <c r="J137" s="17"/>
      <c r="K137" s="12">
        <f t="shared" si="10"/>
        <v>0</v>
      </c>
      <c r="N137" s="39" t="str">
        <f t="shared" si="11"/>
        <v>-</v>
      </c>
      <c r="O137" s="39" t="str">
        <f t="shared" si="12"/>
        <v>-</v>
      </c>
      <c r="P137" s="40" t="str">
        <f t="shared" si="13"/>
        <v>-</v>
      </c>
      <c r="Q137" s="41" t="str">
        <f t="shared" si="14"/>
        <v>-</v>
      </c>
    </row>
    <row r="138" spans="1:17" ht="15.6" x14ac:dyDescent="0.3">
      <c r="A138" s="21" t="s">
        <v>185</v>
      </c>
      <c r="B138" s="19">
        <v>790011030287</v>
      </c>
      <c r="C138" s="20" t="s">
        <v>186</v>
      </c>
      <c r="D138" s="31" t="s">
        <v>502</v>
      </c>
      <c r="E138" s="22" t="s">
        <v>134</v>
      </c>
      <c r="F138" s="29">
        <v>5.1482733994999995E-2</v>
      </c>
      <c r="G138" s="31">
        <v>12</v>
      </c>
      <c r="H138" s="12">
        <v>17.992799999999999</v>
      </c>
      <c r="I138" s="43" t="s">
        <v>532</v>
      </c>
      <c r="J138" s="17"/>
      <c r="K138" s="12">
        <f t="shared" si="10"/>
        <v>0</v>
      </c>
      <c r="N138" s="39" t="str">
        <f t="shared" si="11"/>
        <v>-</v>
      </c>
      <c r="O138" s="39" t="str">
        <f t="shared" si="12"/>
        <v>-</v>
      </c>
      <c r="P138" s="40" t="str">
        <f t="shared" si="13"/>
        <v>-</v>
      </c>
      <c r="Q138" s="41" t="str">
        <f t="shared" si="14"/>
        <v>-</v>
      </c>
    </row>
    <row r="139" spans="1:17" ht="15.6" x14ac:dyDescent="0.3">
      <c r="A139" s="21" t="s">
        <v>187</v>
      </c>
      <c r="B139" s="19">
        <v>790011350002</v>
      </c>
      <c r="C139" s="20" t="s">
        <v>188</v>
      </c>
      <c r="D139" s="31" t="s">
        <v>503</v>
      </c>
      <c r="E139" s="22" t="s">
        <v>101</v>
      </c>
      <c r="F139" s="29">
        <v>0.13020841472902084</v>
      </c>
      <c r="G139" s="31">
        <v>12</v>
      </c>
      <c r="H139" s="12">
        <v>21.5928</v>
      </c>
      <c r="I139" s="43" t="s">
        <v>532</v>
      </c>
      <c r="J139" s="17"/>
      <c r="K139" s="12">
        <f t="shared" si="10"/>
        <v>0</v>
      </c>
      <c r="N139" s="39" t="str">
        <f t="shared" si="11"/>
        <v>-</v>
      </c>
      <c r="O139" s="39" t="str">
        <f t="shared" si="12"/>
        <v>-</v>
      </c>
      <c r="P139" s="40" t="str">
        <f t="shared" si="13"/>
        <v>-</v>
      </c>
      <c r="Q139" s="41" t="str">
        <f t="shared" si="14"/>
        <v>-</v>
      </c>
    </row>
    <row r="140" spans="1:17" ht="15.6" x14ac:dyDescent="0.3">
      <c r="A140" s="21" t="s">
        <v>396</v>
      </c>
      <c r="B140" s="19">
        <v>790011200116</v>
      </c>
      <c r="C140" s="20" t="s">
        <v>435</v>
      </c>
      <c r="D140" s="31" t="s">
        <v>483</v>
      </c>
      <c r="E140" s="22" t="s">
        <v>18</v>
      </c>
      <c r="F140" s="29">
        <v>0.18018956898250002</v>
      </c>
      <c r="G140" s="31">
        <v>12</v>
      </c>
      <c r="H140" s="12">
        <v>16.912800000000001</v>
      </c>
      <c r="I140" s="43" t="s">
        <v>532</v>
      </c>
      <c r="J140" s="17"/>
      <c r="K140" s="12">
        <f t="shared" si="10"/>
        <v>0</v>
      </c>
      <c r="N140" s="39" t="str">
        <f t="shared" si="11"/>
        <v>-</v>
      </c>
      <c r="O140" s="39" t="str">
        <f t="shared" si="12"/>
        <v>-</v>
      </c>
      <c r="P140" s="40" t="str">
        <f t="shared" si="13"/>
        <v>-</v>
      </c>
      <c r="Q140" s="41" t="str">
        <f t="shared" si="14"/>
        <v>-</v>
      </c>
    </row>
    <row r="141" spans="1:17" ht="15.6" x14ac:dyDescent="0.3">
      <c r="A141" s="18" t="s">
        <v>191</v>
      </c>
      <c r="B141" s="19">
        <v>790011030010</v>
      </c>
      <c r="C141" s="20" t="s">
        <v>192</v>
      </c>
      <c r="D141" s="31" t="s">
        <v>481</v>
      </c>
      <c r="E141" s="22" t="s">
        <v>193</v>
      </c>
      <c r="F141" s="29">
        <v>8.5804556658333336E-2</v>
      </c>
      <c r="G141" s="31">
        <v>12</v>
      </c>
      <c r="H141" s="12">
        <v>14.392799999999998</v>
      </c>
      <c r="I141" s="43" t="s">
        <v>532</v>
      </c>
      <c r="J141" s="17"/>
      <c r="K141" s="12">
        <f t="shared" si="10"/>
        <v>0</v>
      </c>
      <c r="N141" s="39" t="str">
        <f t="shared" si="11"/>
        <v>-</v>
      </c>
      <c r="O141" s="39" t="str">
        <f t="shared" si="12"/>
        <v>-</v>
      </c>
      <c r="P141" s="40" t="str">
        <f t="shared" si="13"/>
        <v>-</v>
      </c>
      <c r="Q141" s="41" t="str">
        <f t="shared" si="14"/>
        <v>-</v>
      </c>
    </row>
    <row r="142" spans="1:17" ht="15.6" x14ac:dyDescent="0.3">
      <c r="A142" s="21" t="s">
        <v>397</v>
      </c>
      <c r="B142" s="19">
        <v>790011030331</v>
      </c>
      <c r="C142" s="20" t="s">
        <v>436</v>
      </c>
      <c r="D142" s="31" t="s">
        <v>482</v>
      </c>
      <c r="E142" s="22" t="s">
        <v>134</v>
      </c>
      <c r="F142" s="29">
        <v>6.8643645326666683E-2</v>
      </c>
      <c r="G142" s="31">
        <v>12</v>
      </c>
      <c r="H142" s="12">
        <v>13.836</v>
      </c>
      <c r="I142" s="43" t="s">
        <v>532</v>
      </c>
      <c r="J142" s="17"/>
      <c r="K142" s="12">
        <f t="shared" si="10"/>
        <v>0</v>
      </c>
      <c r="N142" s="39" t="str">
        <f t="shared" si="11"/>
        <v>-</v>
      </c>
      <c r="O142" s="39" t="str">
        <f t="shared" si="12"/>
        <v>-</v>
      </c>
      <c r="P142" s="40" t="str">
        <f t="shared" si="13"/>
        <v>-</v>
      </c>
      <c r="Q142" s="41" t="str">
        <f t="shared" si="14"/>
        <v>-</v>
      </c>
    </row>
    <row r="143" spans="1:17" ht="15.6" x14ac:dyDescent="0.3">
      <c r="A143" s="18" t="s">
        <v>196</v>
      </c>
      <c r="B143" s="19">
        <v>790011030690</v>
      </c>
      <c r="C143" s="20" t="s">
        <v>197</v>
      </c>
      <c r="D143" s="31" t="s">
        <v>490</v>
      </c>
      <c r="E143" s="22" t="s">
        <v>198</v>
      </c>
      <c r="F143" s="29">
        <v>0.11154592365583335</v>
      </c>
      <c r="G143" s="31">
        <v>12</v>
      </c>
      <c r="H143" s="12">
        <v>12.232799999999997</v>
      </c>
      <c r="I143" s="43" t="s">
        <v>532</v>
      </c>
      <c r="J143" s="17"/>
      <c r="K143" s="12">
        <f t="shared" si="10"/>
        <v>0</v>
      </c>
      <c r="N143" s="39" t="str">
        <f t="shared" si="11"/>
        <v>-</v>
      </c>
      <c r="O143" s="39" t="str">
        <f t="shared" si="12"/>
        <v>-</v>
      </c>
      <c r="P143" s="40" t="str">
        <f t="shared" si="13"/>
        <v>-</v>
      </c>
      <c r="Q143" s="41" t="str">
        <f t="shared" si="14"/>
        <v>-</v>
      </c>
    </row>
    <row r="144" spans="1:17" ht="15.6" x14ac:dyDescent="0.3">
      <c r="A144" s="21" t="s">
        <v>398</v>
      </c>
      <c r="B144" s="19">
        <v>790011030751</v>
      </c>
      <c r="C144" s="20" t="s">
        <v>437</v>
      </c>
      <c r="D144" s="31" t="s">
        <v>502</v>
      </c>
      <c r="E144" s="22" t="s">
        <v>467</v>
      </c>
      <c r="F144" s="29">
        <v>7.7224100992500017E-2</v>
      </c>
      <c r="G144" s="31">
        <v>12</v>
      </c>
      <c r="H144" s="12">
        <v>30.816000000000003</v>
      </c>
      <c r="I144" s="43" t="s">
        <v>532</v>
      </c>
      <c r="J144" s="17"/>
      <c r="K144" s="12">
        <f t="shared" si="10"/>
        <v>0</v>
      </c>
      <c r="N144" s="39" t="str">
        <f t="shared" si="11"/>
        <v>-</v>
      </c>
      <c r="O144" s="39" t="str">
        <f t="shared" si="12"/>
        <v>-</v>
      </c>
      <c r="P144" s="40" t="str">
        <f t="shared" si="13"/>
        <v>-</v>
      </c>
      <c r="Q144" s="41" t="str">
        <f t="shared" si="14"/>
        <v>-</v>
      </c>
    </row>
    <row r="145" spans="1:17" ht="15.6" x14ac:dyDescent="0.3">
      <c r="A145" s="21" t="s">
        <v>399</v>
      </c>
      <c r="B145" s="19">
        <v>790011037071</v>
      </c>
      <c r="C145" s="20" t="s">
        <v>438</v>
      </c>
      <c r="D145" s="31" t="s">
        <v>502</v>
      </c>
      <c r="E145" s="22" t="s">
        <v>129</v>
      </c>
      <c r="F145" s="29">
        <v>0.11154592365583335</v>
      </c>
      <c r="G145" s="31">
        <v>12</v>
      </c>
      <c r="H145" s="12">
        <v>9.3528000000000002</v>
      </c>
      <c r="I145" s="43" t="s">
        <v>532</v>
      </c>
      <c r="J145" s="17"/>
      <c r="K145" s="12">
        <f t="shared" si="10"/>
        <v>0</v>
      </c>
      <c r="N145" s="39" t="str">
        <f t="shared" si="11"/>
        <v>-</v>
      </c>
      <c r="O145" s="39" t="str">
        <f t="shared" si="12"/>
        <v>-</v>
      </c>
      <c r="P145" s="40" t="str">
        <f t="shared" si="13"/>
        <v>-</v>
      </c>
      <c r="Q145" s="41" t="str">
        <f t="shared" si="14"/>
        <v>-</v>
      </c>
    </row>
    <row r="146" spans="1:17" ht="15.6" x14ac:dyDescent="0.3">
      <c r="A146" s="18" t="s">
        <v>208</v>
      </c>
      <c r="B146" s="19">
        <v>790011037378</v>
      </c>
      <c r="C146" s="20" t="s">
        <v>209</v>
      </c>
      <c r="D146" s="31" t="s">
        <v>502</v>
      </c>
      <c r="E146" s="22" t="s">
        <v>210</v>
      </c>
      <c r="F146" s="29">
        <v>8.5804556658333336E-2</v>
      </c>
      <c r="G146" s="31">
        <v>12</v>
      </c>
      <c r="H146" s="12">
        <v>32.392800000000001</v>
      </c>
      <c r="I146" s="43" t="s">
        <v>532</v>
      </c>
      <c r="J146" s="17"/>
      <c r="K146" s="12">
        <f t="shared" si="10"/>
        <v>0</v>
      </c>
      <c r="N146" s="39" t="str">
        <f t="shared" si="11"/>
        <v>-</v>
      </c>
      <c r="O146" s="39" t="str">
        <f t="shared" si="12"/>
        <v>-</v>
      </c>
      <c r="P146" s="40" t="str">
        <f t="shared" si="13"/>
        <v>-</v>
      </c>
      <c r="Q146" s="41" t="str">
        <f t="shared" si="14"/>
        <v>-</v>
      </c>
    </row>
    <row r="147" spans="1:17" ht="15.6" x14ac:dyDescent="0.3">
      <c r="A147" s="18" t="s">
        <v>211</v>
      </c>
      <c r="B147" s="19">
        <v>790011150619</v>
      </c>
      <c r="C147" s="20" t="s">
        <v>212</v>
      </c>
      <c r="D147" s="31" t="s">
        <v>502</v>
      </c>
      <c r="E147" s="22" t="s">
        <v>176</v>
      </c>
      <c r="F147" s="29">
        <v>4.2902278329166668E-2</v>
      </c>
      <c r="G147" s="31">
        <v>12</v>
      </c>
      <c r="H147" s="12">
        <v>16.552799999999998</v>
      </c>
      <c r="I147" s="43" t="s">
        <v>532</v>
      </c>
      <c r="J147" s="17"/>
      <c r="K147" s="12">
        <f t="shared" si="10"/>
        <v>0</v>
      </c>
      <c r="N147" s="39" t="str">
        <f t="shared" si="11"/>
        <v>-</v>
      </c>
      <c r="O147" s="39" t="str">
        <f t="shared" si="12"/>
        <v>-</v>
      </c>
      <c r="P147" s="40" t="str">
        <f t="shared" si="13"/>
        <v>-</v>
      </c>
      <c r="Q147" s="41" t="str">
        <f t="shared" si="14"/>
        <v>-</v>
      </c>
    </row>
    <row r="148" spans="1:17" ht="15.6" x14ac:dyDescent="0.3">
      <c r="A148" s="21" t="s">
        <v>213</v>
      </c>
      <c r="B148" s="19">
        <v>790011150657</v>
      </c>
      <c r="C148" s="20" t="s">
        <v>214</v>
      </c>
      <c r="D148" s="31" t="s">
        <v>503</v>
      </c>
      <c r="E148" s="22" t="s">
        <v>176</v>
      </c>
      <c r="F148" s="29">
        <v>6.8643645326666683E-2</v>
      </c>
      <c r="G148" s="31">
        <v>12</v>
      </c>
      <c r="H148" s="12">
        <v>39.592800000000004</v>
      </c>
      <c r="I148" s="43" t="s">
        <v>532</v>
      </c>
      <c r="J148" s="17"/>
      <c r="K148" s="12">
        <f t="shared" si="10"/>
        <v>0</v>
      </c>
      <c r="N148" s="39" t="str">
        <f t="shared" si="11"/>
        <v>-</v>
      </c>
      <c r="O148" s="39" t="str">
        <f t="shared" si="12"/>
        <v>-</v>
      </c>
      <c r="P148" s="40" t="str">
        <f t="shared" si="13"/>
        <v>-</v>
      </c>
      <c r="Q148" s="41" t="str">
        <f t="shared" si="14"/>
        <v>-</v>
      </c>
    </row>
    <row r="149" spans="1:17" ht="15.6" x14ac:dyDescent="0.3">
      <c r="A149" s="21" t="s">
        <v>215</v>
      </c>
      <c r="B149" s="19">
        <v>790011160588</v>
      </c>
      <c r="C149" s="20" t="s">
        <v>216</v>
      </c>
      <c r="D149" s="31" t="s">
        <v>500</v>
      </c>
      <c r="E149" s="22" t="s">
        <v>3</v>
      </c>
      <c r="F149" s="29">
        <v>0.18018956898250002</v>
      </c>
      <c r="G149" s="31">
        <v>12</v>
      </c>
      <c r="H149" s="12">
        <v>44.632800000000003</v>
      </c>
      <c r="I149" s="43" t="s">
        <v>532</v>
      </c>
      <c r="J149" s="17"/>
      <c r="K149" s="12">
        <f t="shared" si="10"/>
        <v>0</v>
      </c>
      <c r="N149" s="39" t="str">
        <f t="shared" si="11"/>
        <v>-</v>
      </c>
      <c r="O149" s="39" t="str">
        <f t="shared" si="12"/>
        <v>-</v>
      </c>
      <c r="P149" s="40" t="str">
        <f t="shared" si="13"/>
        <v>-</v>
      </c>
      <c r="Q149" s="41" t="str">
        <f t="shared" si="14"/>
        <v>-</v>
      </c>
    </row>
    <row r="150" spans="1:17" ht="15.6" x14ac:dyDescent="0.3">
      <c r="A150" s="21" t="s">
        <v>400</v>
      </c>
      <c r="B150" s="19">
        <v>790011150046</v>
      </c>
      <c r="C150" s="20" t="s">
        <v>439</v>
      </c>
      <c r="D150" s="31" t="s">
        <v>510</v>
      </c>
      <c r="E150" s="22" t="s">
        <v>18</v>
      </c>
      <c r="F150" s="29">
        <v>0.14586774631916669</v>
      </c>
      <c r="G150" s="31">
        <v>12</v>
      </c>
      <c r="H150" s="12">
        <v>8.2728000000000002</v>
      </c>
      <c r="I150" s="43" t="s">
        <v>532</v>
      </c>
      <c r="J150" s="17"/>
      <c r="K150" s="12">
        <f t="shared" si="10"/>
        <v>0</v>
      </c>
      <c r="N150" s="39" t="str">
        <f t="shared" si="11"/>
        <v>-</v>
      </c>
      <c r="O150" s="39" t="str">
        <f t="shared" si="12"/>
        <v>-</v>
      </c>
      <c r="P150" s="40" t="str">
        <f t="shared" si="13"/>
        <v>-</v>
      </c>
      <c r="Q150" s="41" t="str">
        <f t="shared" si="14"/>
        <v>-</v>
      </c>
    </row>
    <row r="151" spans="1:17" ht="15.6" x14ac:dyDescent="0.3">
      <c r="A151" s="21" t="s">
        <v>247</v>
      </c>
      <c r="B151" s="19">
        <v>790011291046</v>
      </c>
      <c r="C151" s="20" t="s">
        <v>248</v>
      </c>
      <c r="D151" s="31" t="s">
        <v>511</v>
      </c>
      <c r="E151" s="22" t="s">
        <v>3</v>
      </c>
      <c r="F151" s="29">
        <v>0.14157751848625</v>
      </c>
      <c r="G151" s="31">
        <v>12</v>
      </c>
      <c r="H151" s="12">
        <v>25.192800000000002</v>
      </c>
      <c r="I151" s="43" t="s">
        <v>532</v>
      </c>
      <c r="J151" s="17"/>
      <c r="K151" s="12">
        <f t="shared" si="10"/>
        <v>0</v>
      </c>
      <c r="N151" s="39" t="str">
        <f t="shared" si="11"/>
        <v>-</v>
      </c>
      <c r="O151" s="39" t="str">
        <f t="shared" si="12"/>
        <v>-</v>
      </c>
      <c r="P151" s="40" t="str">
        <f t="shared" si="13"/>
        <v>-</v>
      </c>
      <c r="Q151" s="41" t="str">
        <f t="shared" si="14"/>
        <v>-</v>
      </c>
    </row>
    <row r="152" spans="1:17" ht="15.6" x14ac:dyDescent="0.3">
      <c r="A152" s="18" t="s">
        <v>243</v>
      </c>
      <c r="B152" s="19">
        <v>790011291039</v>
      </c>
      <c r="C152" s="20" t="s">
        <v>244</v>
      </c>
      <c r="D152" s="31" t="s">
        <v>482</v>
      </c>
      <c r="E152" s="22" t="s">
        <v>101</v>
      </c>
      <c r="F152" s="29">
        <v>9.4728230550800013E-2</v>
      </c>
      <c r="G152" s="31">
        <v>12</v>
      </c>
      <c r="H152" s="12">
        <v>30.952800000000003</v>
      </c>
      <c r="I152" s="43" t="s">
        <v>532</v>
      </c>
      <c r="J152" s="17"/>
      <c r="K152" s="12">
        <f t="shared" si="10"/>
        <v>0</v>
      </c>
      <c r="N152" s="39" t="str">
        <f t="shared" si="11"/>
        <v>-</v>
      </c>
      <c r="O152" s="39" t="str">
        <f t="shared" si="12"/>
        <v>-</v>
      </c>
      <c r="P152" s="40" t="str">
        <f t="shared" si="13"/>
        <v>-</v>
      </c>
      <c r="Q152" s="41" t="str">
        <f t="shared" si="14"/>
        <v>-</v>
      </c>
    </row>
    <row r="153" spans="1:17" ht="15.6" x14ac:dyDescent="0.3">
      <c r="A153" s="18" t="s">
        <v>239</v>
      </c>
      <c r="B153" s="19">
        <v>790011291022</v>
      </c>
      <c r="C153" s="20" t="s">
        <v>240</v>
      </c>
      <c r="D153" s="31" t="s">
        <v>482</v>
      </c>
      <c r="E153" s="22" t="s">
        <v>101</v>
      </c>
      <c r="F153" s="29">
        <v>9.5757885230700016E-2</v>
      </c>
      <c r="G153" s="31">
        <v>12</v>
      </c>
      <c r="H153" s="12">
        <v>30.952800000000003</v>
      </c>
      <c r="I153" s="43" t="s">
        <v>532</v>
      </c>
      <c r="J153" s="17"/>
      <c r="K153" s="12">
        <f t="shared" si="10"/>
        <v>0</v>
      </c>
      <c r="N153" s="39" t="str">
        <f t="shared" si="11"/>
        <v>-</v>
      </c>
      <c r="O153" s="39" t="str">
        <f t="shared" si="12"/>
        <v>-</v>
      </c>
      <c r="P153" s="40" t="str">
        <f t="shared" si="13"/>
        <v>-</v>
      </c>
      <c r="Q153" s="41" t="str">
        <f t="shared" si="14"/>
        <v>-</v>
      </c>
    </row>
    <row r="154" spans="1:17" ht="15.6" x14ac:dyDescent="0.3">
      <c r="A154" s="21" t="s">
        <v>258</v>
      </c>
      <c r="B154" s="19">
        <v>790011300076</v>
      </c>
      <c r="C154" s="20" t="s">
        <v>259</v>
      </c>
      <c r="D154" s="31" t="s">
        <v>500</v>
      </c>
      <c r="E154" s="22" t="s">
        <v>257</v>
      </c>
      <c r="F154" s="29">
        <v>6.8643645326666683E-2</v>
      </c>
      <c r="G154" s="31">
        <v>12</v>
      </c>
      <c r="H154" s="12">
        <v>28.7928</v>
      </c>
      <c r="I154" s="43" t="s">
        <v>532</v>
      </c>
      <c r="J154" s="17"/>
      <c r="K154" s="12">
        <f t="shared" si="10"/>
        <v>0</v>
      </c>
      <c r="N154" s="39" t="str">
        <f t="shared" si="11"/>
        <v>-</v>
      </c>
      <c r="O154" s="39" t="str">
        <f t="shared" si="12"/>
        <v>-</v>
      </c>
      <c r="P154" s="40" t="str">
        <f t="shared" si="13"/>
        <v>-</v>
      </c>
      <c r="Q154" s="41" t="str">
        <f t="shared" si="14"/>
        <v>-</v>
      </c>
    </row>
    <row r="155" spans="1:17" ht="15.6" x14ac:dyDescent="0.3">
      <c r="A155" s="18" t="s">
        <v>260</v>
      </c>
      <c r="B155" s="19">
        <v>790011300120</v>
      </c>
      <c r="C155" s="20" t="s">
        <v>261</v>
      </c>
      <c r="D155" s="31" t="s">
        <v>487</v>
      </c>
      <c r="E155" s="22" t="s">
        <v>262</v>
      </c>
      <c r="F155" s="29">
        <v>3.4321822663333341E-2</v>
      </c>
      <c r="G155" s="31">
        <v>12</v>
      </c>
      <c r="H155" s="12">
        <v>15.832799999999999</v>
      </c>
      <c r="I155" s="43" t="s">
        <v>532</v>
      </c>
      <c r="J155" s="17"/>
      <c r="K155" s="12">
        <f t="shared" si="10"/>
        <v>0</v>
      </c>
      <c r="N155" s="39" t="str">
        <f t="shared" si="11"/>
        <v>-</v>
      </c>
      <c r="O155" s="39" t="str">
        <f t="shared" si="12"/>
        <v>-</v>
      </c>
      <c r="P155" s="40" t="str">
        <f t="shared" si="13"/>
        <v>-</v>
      </c>
      <c r="Q155" s="41" t="str">
        <f t="shared" si="14"/>
        <v>-</v>
      </c>
    </row>
    <row r="156" spans="1:17" ht="15.6" x14ac:dyDescent="0.3">
      <c r="A156" s="21" t="s">
        <v>263</v>
      </c>
      <c r="B156" s="19">
        <v>790011300212</v>
      </c>
      <c r="C156" s="20" t="s">
        <v>264</v>
      </c>
      <c r="D156" s="31" t="s">
        <v>512</v>
      </c>
      <c r="E156" s="22" t="s">
        <v>257</v>
      </c>
      <c r="F156" s="29">
        <v>6.0063189660833335E-2</v>
      </c>
      <c r="G156" s="31">
        <v>12</v>
      </c>
      <c r="H156" s="12">
        <v>22.312799999999999</v>
      </c>
      <c r="I156" s="43" t="s">
        <v>532</v>
      </c>
      <c r="J156" s="17"/>
      <c r="K156" s="12">
        <f t="shared" si="10"/>
        <v>0</v>
      </c>
      <c r="N156" s="39" t="str">
        <f t="shared" si="11"/>
        <v>-</v>
      </c>
      <c r="O156" s="39" t="str">
        <f t="shared" si="12"/>
        <v>-</v>
      </c>
      <c r="P156" s="40" t="str">
        <f t="shared" si="13"/>
        <v>-</v>
      </c>
      <c r="Q156" s="41" t="str">
        <f t="shared" si="14"/>
        <v>-</v>
      </c>
    </row>
    <row r="157" spans="1:17" ht="15.6" x14ac:dyDescent="0.3">
      <c r="A157" s="21" t="s">
        <v>401</v>
      </c>
      <c r="B157" s="19">
        <v>790011130079</v>
      </c>
      <c r="C157" s="20" t="s">
        <v>440</v>
      </c>
      <c r="D157" s="31" t="s">
        <v>513</v>
      </c>
      <c r="E157" s="22" t="s">
        <v>3</v>
      </c>
      <c r="F157" s="29">
        <v>0.33463777096750003</v>
      </c>
      <c r="G157" s="31">
        <v>12</v>
      </c>
      <c r="H157" s="12">
        <v>12.592799999999999</v>
      </c>
      <c r="I157" s="43" t="s">
        <v>532</v>
      </c>
      <c r="J157" s="17"/>
      <c r="K157" s="12">
        <f t="shared" si="10"/>
        <v>0</v>
      </c>
      <c r="N157" s="39" t="str">
        <f t="shared" si="11"/>
        <v>-</v>
      </c>
      <c r="O157" s="39" t="str">
        <f t="shared" si="12"/>
        <v>-</v>
      </c>
      <c r="P157" s="40" t="str">
        <f t="shared" si="13"/>
        <v>-</v>
      </c>
      <c r="Q157" s="41" t="str">
        <f t="shared" si="14"/>
        <v>-</v>
      </c>
    </row>
    <row r="158" spans="1:17" ht="15.6" x14ac:dyDescent="0.3">
      <c r="A158" s="21" t="s">
        <v>265</v>
      </c>
      <c r="B158" s="19">
        <v>790011290742</v>
      </c>
      <c r="C158" s="20" t="s">
        <v>266</v>
      </c>
      <c r="D158" s="31" t="s">
        <v>487</v>
      </c>
      <c r="E158" s="22" t="s">
        <v>3</v>
      </c>
      <c r="F158" s="29">
        <v>6.0063189660833335E-2</v>
      </c>
      <c r="G158" s="31">
        <v>12</v>
      </c>
      <c r="H158" s="12">
        <v>17.992799999999999</v>
      </c>
      <c r="I158" s="43" t="s">
        <v>532</v>
      </c>
      <c r="J158" s="17"/>
      <c r="K158" s="12">
        <f t="shared" si="10"/>
        <v>0</v>
      </c>
      <c r="N158" s="39" t="str">
        <f t="shared" si="11"/>
        <v>-</v>
      </c>
      <c r="O158" s="39" t="str">
        <f t="shared" si="12"/>
        <v>-</v>
      </c>
      <c r="P158" s="40" t="str">
        <f t="shared" si="13"/>
        <v>-</v>
      </c>
      <c r="Q158" s="41" t="str">
        <f t="shared" si="14"/>
        <v>-</v>
      </c>
    </row>
    <row r="159" spans="1:17" ht="15.6" x14ac:dyDescent="0.3">
      <c r="A159" s="21" t="s">
        <v>267</v>
      </c>
      <c r="B159" s="19">
        <v>790011290773</v>
      </c>
      <c r="C159" s="20" t="s">
        <v>268</v>
      </c>
      <c r="D159" s="31" t="s">
        <v>488</v>
      </c>
      <c r="E159" s="22" t="s">
        <v>3</v>
      </c>
      <c r="F159" s="29">
        <v>0.10296546798999999</v>
      </c>
      <c r="G159" s="31">
        <v>12</v>
      </c>
      <c r="H159" s="12">
        <v>26.632799999999996</v>
      </c>
      <c r="I159" s="43" t="s">
        <v>532</v>
      </c>
      <c r="J159" s="17"/>
      <c r="K159" s="12">
        <f t="shared" si="10"/>
        <v>0</v>
      </c>
      <c r="N159" s="39" t="str">
        <f t="shared" si="11"/>
        <v>-</v>
      </c>
      <c r="O159" s="39" t="str">
        <f t="shared" si="12"/>
        <v>-</v>
      </c>
      <c r="P159" s="40" t="str">
        <f t="shared" si="13"/>
        <v>-</v>
      </c>
      <c r="Q159" s="41" t="str">
        <f t="shared" si="14"/>
        <v>-</v>
      </c>
    </row>
    <row r="160" spans="1:17" ht="15.6" x14ac:dyDescent="0.3">
      <c r="A160" s="18" t="s">
        <v>402</v>
      </c>
      <c r="B160" s="19">
        <v>790011190110</v>
      </c>
      <c r="C160" s="20" t="s">
        <v>441</v>
      </c>
      <c r="D160" s="31" t="s">
        <v>481</v>
      </c>
      <c r="E160" s="22" t="s">
        <v>168</v>
      </c>
      <c r="F160" s="29">
        <v>0.18877002464833337</v>
      </c>
      <c r="G160" s="31">
        <v>12</v>
      </c>
      <c r="H160" s="12">
        <v>12.684000000000001</v>
      </c>
      <c r="I160" s="43" t="s">
        <v>532</v>
      </c>
      <c r="J160" s="17"/>
      <c r="K160" s="12">
        <f t="shared" si="10"/>
        <v>0</v>
      </c>
      <c r="N160" s="39" t="str">
        <f t="shared" si="11"/>
        <v>-</v>
      </c>
      <c r="O160" s="39" t="str">
        <f t="shared" si="12"/>
        <v>-</v>
      </c>
      <c r="P160" s="40" t="str">
        <f t="shared" si="13"/>
        <v>-</v>
      </c>
      <c r="Q160" s="41" t="str">
        <f t="shared" si="14"/>
        <v>-</v>
      </c>
    </row>
    <row r="161" spans="1:17" ht="15.6" x14ac:dyDescent="0.3">
      <c r="A161" s="18" t="s">
        <v>403</v>
      </c>
      <c r="B161" s="19">
        <v>790011190165</v>
      </c>
      <c r="C161" s="20" t="s">
        <v>442</v>
      </c>
      <c r="D161" s="31" t="s">
        <v>496</v>
      </c>
      <c r="E161" s="22" t="s">
        <v>168</v>
      </c>
      <c r="F161" s="29">
        <v>0.26599412564083336</v>
      </c>
      <c r="G161" s="31">
        <v>12</v>
      </c>
      <c r="H161" s="12">
        <v>10.776000000000002</v>
      </c>
      <c r="I161" s="43" t="s">
        <v>532</v>
      </c>
      <c r="J161" s="17"/>
      <c r="K161" s="12">
        <f t="shared" si="10"/>
        <v>0</v>
      </c>
      <c r="N161" s="39" t="str">
        <f t="shared" si="11"/>
        <v>-</v>
      </c>
      <c r="O161" s="39" t="str">
        <f t="shared" si="12"/>
        <v>-</v>
      </c>
      <c r="P161" s="40" t="str">
        <f t="shared" si="13"/>
        <v>-</v>
      </c>
      <c r="Q161" s="41" t="str">
        <f t="shared" si="14"/>
        <v>-</v>
      </c>
    </row>
    <row r="162" spans="1:17" ht="15.6" x14ac:dyDescent="0.3">
      <c r="A162" s="21" t="s">
        <v>269</v>
      </c>
      <c r="B162" s="19">
        <v>790011190134</v>
      </c>
      <c r="C162" s="20" t="s">
        <v>270</v>
      </c>
      <c r="D162" s="31" t="s">
        <v>514</v>
      </c>
      <c r="E162" s="22" t="s">
        <v>168</v>
      </c>
      <c r="F162" s="29">
        <v>0.37754004929666674</v>
      </c>
      <c r="G162" s="31">
        <v>12</v>
      </c>
      <c r="H162" s="12">
        <v>28.072800000000004</v>
      </c>
      <c r="I162" s="43" t="s">
        <v>532</v>
      </c>
      <c r="J162" s="17"/>
      <c r="K162" s="12">
        <f t="shared" si="10"/>
        <v>0</v>
      </c>
      <c r="N162" s="39" t="str">
        <f t="shared" si="11"/>
        <v>-</v>
      </c>
      <c r="O162" s="39" t="str">
        <f t="shared" si="12"/>
        <v>-</v>
      </c>
      <c r="P162" s="40" t="str">
        <f t="shared" si="13"/>
        <v>-</v>
      </c>
      <c r="Q162" s="41" t="str">
        <f t="shared" si="14"/>
        <v>-</v>
      </c>
    </row>
    <row r="163" spans="1:17" ht="15.6" x14ac:dyDescent="0.3">
      <c r="A163" s="18" t="s">
        <v>271</v>
      </c>
      <c r="B163" s="19">
        <v>790011190172</v>
      </c>
      <c r="C163" s="20" t="s">
        <v>272</v>
      </c>
      <c r="D163" s="31" t="s">
        <v>507</v>
      </c>
      <c r="E163" s="22" t="s">
        <v>273</v>
      </c>
      <c r="F163" s="29">
        <v>1.3728729065333334</v>
      </c>
      <c r="G163" s="31">
        <v>6</v>
      </c>
      <c r="H163" s="12">
        <v>60.948000000000008</v>
      </c>
      <c r="I163" s="43" t="s">
        <v>532</v>
      </c>
      <c r="J163" s="17"/>
      <c r="K163" s="12">
        <f t="shared" si="10"/>
        <v>0</v>
      </c>
      <c r="N163" s="39" t="str">
        <f t="shared" si="11"/>
        <v>-</v>
      </c>
      <c r="O163" s="39" t="str">
        <f t="shared" si="12"/>
        <v>-</v>
      </c>
      <c r="P163" s="40" t="str">
        <f t="shared" si="13"/>
        <v>-</v>
      </c>
      <c r="Q163" s="41" t="str">
        <f t="shared" si="14"/>
        <v>-</v>
      </c>
    </row>
    <row r="164" spans="1:17" ht="15.6" x14ac:dyDescent="0.3">
      <c r="A164" s="18" t="s">
        <v>282</v>
      </c>
      <c r="B164" s="19">
        <v>790011190028</v>
      </c>
      <c r="C164" s="20" t="s">
        <v>283</v>
      </c>
      <c r="D164" s="31" t="s">
        <v>483</v>
      </c>
      <c r="E164" s="22" t="s">
        <v>284</v>
      </c>
      <c r="F164" s="29">
        <v>0.18018956898250002</v>
      </c>
      <c r="G164" s="31">
        <v>12</v>
      </c>
      <c r="H164" s="12">
        <v>20.152799999999999</v>
      </c>
      <c r="I164" s="43" t="s">
        <v>532</v>
      </c>
      <c r="J164" s="17"/>
      <c r="K164" s="12">
        <f t="shared" si="10"/>
        <v>0</v>
      </c>
      <c r="N164" s="39" t="str">
        <f t="shared" si="11"/>
        <v>-</v>
      </c>
      <c r="O164" s="39" t="str">
        <f t="shared" si="12"/>
        <v>-</v>
      </c>
      <c r="P164" s="40" t="str">
        <f t="shared" si="13"/>
        <v>-</v>
      </c>
      <c r="Q164" s="41" t="str">
        <f t="shared" si="14"/>
        <v>-</v>
      </c>
    </row>
    <row r="165" spans="1:17" ht="15.6" x14ac:dyDescent="0.3">
      <c r="A165" s="18" t="s">
        <v>404</v>
      </c>
      <c r="B165" s="19">
        <v>790011150510</v>
      </c>
      <c r="C165" s="20" t="s">
        <v>443</v>
      </c>
      <c r="D165" s="31" t="s">
        <v>496</v>
      </c>
      <c r="E165" s="22" t="s">
        <v>468</v>
      </c>
      <c r="F165" s="29">
        <v>0.13728729065333337</v>
      </c>
      <c r="G165" s="31">
        <v>12</v>
      </c>
      <c r="H165" s="12">
        <v>16.912800000000001</v>
      </c>
      <c r="I165" s="43" t="s">
        <v>532</v>
      </c>
      <c r="J165" s="17"/>
      <c r="K165" s="12">
        <f t="shared" si="10"/>
        <v>0</v>
      </c>
      <c r="N165" s="39" t="str">
        <f t="shared" si="11"/>
        <v>-</v>
      </c>
      <c r="O165" s="39" t="str">
        <f t="shared" si="12"/>
        <v>-</v>
      </c>
      <c r="P165" s="40" t="str">
        <f t="shared" si="13"/>
        <v>-</v>
      </c>
      <c r="Q165" s="41" t="str">
        <f t="shared" si="14"/>
        <v>-</v>
      </c>
    </row>
    <row r="166" spans="1:17" ht="15.6" x14ac:dyDescent="0.3">
      <c r="A166" s="18" t="s">
        <v>405</v>
      </c>
      <c r="B166" s="19">
        <v>790011180067</v>
      </c>
      <c r="C166" s="20" t="s">
        <v>444</v>
      </c>
      <c r="D166" s="31" t="s">
        <v>488</v>
      </c>
      <c r="E166" s="22" t="s">
        <v>469</v>
      </c>
      <c r="F166" s="29">
        <v>9.4385012324166684E-2</v>
      </c>
      <c r="G166" s="31">
        <v>12</v>
      </c>
      <c r="H166" s="12">
        <v>25.192800000000002</v>
      </c>
      <c r="I166" s="43" t="s">
        <v>532</v>
      </c>
      <c r="J166" s="17"/>
      <c r="K166" s="12">
        <f t="shared" si="10"/>
        <v>0</v>
      </c>
      <c r="N166" s="39" t="str">
        <f t="shared" si="11"/>
        <v>-</v>
      </c>
      <c r="O166" s="39" t="str">
        <f t="shared" si="12"/>
        <v>-</v>
      </c>
      <c r="P166" s="40" t="str">
        <f t="shared" si="13"/>
        <v>-</v>
      </c>
      <c r="Q166" s="41" t="str">
        <f t="shared" si="14"/>
        <v>-</v>
      </c>
    </row>
    <row r="167" spans="1:17" ht="15.6" x14ac:dyDescent="0.3">
      <c r="A167" s="21" t="s">
        <v>406</v>
      </c>
      <c r="B167" s="19">
        <v>790011037101</v>
      </c>
      <c r="C167" s="20" t="s">
        <v>445</v>
      </c>
      <c r="D167" s="31" t="s">
        <v>495</v>
      </c>
      <c r="E167" s="22" t="s">
        <v>470</v>
      </c>
      <c r="F167" s="29">
        <v>0.24883321430916669</v>
      </c>
      <c r="G167" s="31">
        <v>12</v>
      </c>
      <c r="H167" s="12">
        <v>15.216000000000001</v>
      </c>
      <c r="I167" s="43" t="s">
        <v>532</v>
      </c>
      <c r="J167" s="17"/>
      <c r="K167" s="12">
        <f t="shared" si="10"/>
        <v>0</v>
      </c>
      <c r="N167" s="39" t="str">
        <f t="shared" si="11"/>
        <v>-</v>
      </c>
      <c r="O167" s="39" t="str">
        <f t="shared" si="12"/>
        <v>-</v>
      </c>
      <c r="P167" s="40" t="str">
        <f t="shared" si="13"/>
        <v>-</v>
      </c>
      <c r="Q167" s="41" t="str">
        <f t="shared" si="14"/>
        <v>-</v>
      </c>
    </row>
    <row r="168" spans="1:17" ht="15.6" x14ac:dyDescent="0.3">
      <c r="A168" s="21" t="s">
        <v>407</v>
      </c>
      <c r="B168" s="19">
        <v>790011037163</v>
      </c>
      <c r="C168" s="20" t="s">
        <v>446</v>
      </c>
      <c r="D168" s="31" t="s">
        <v>515</v>
      </c>
      <c r="E168" s="22" t="s">
        <v>470</v>
      </c>
      <c r="F168" s="29">
        <v>0.24883321430916669</v>
      </c>
      <c r="G168" s="31">
        <v>12</v>
      </c>
      <c r="H168" s="12">
        <v>13.932</v>
      </c>
      <c r="I168" s="43" t="s">
        <v>532</v>
      </c>
      <c r="J168" s="17"/>
      <c r="K168" s="12">
        <f t="shared" si="10"/>
        <v>0</v>
      </c>
      <c r="N168" s="39" t="str">
        <f t="shared" si="11"/>
        <v>-</v>
      </c>
      <c r="O168" s="39" t="str">
        <f t="shared" si="12"/>
        <v>-</v>
      </c>
      <c r="P168" s="40" t="str">
        <f t="shared" si="13"/>
        <v>-</v>
      </c>
      <c r="Q168" s="41" t="str">
        <f t="shared" si="14"/>
        <v>-</v>
      </c>
    </row>
    <row r="169" spans="1:17" ht="15.6" x14ac:dyDescent="0.3">
      <c r="A169" s="18" t="s">
        <v>289</v>
      </c>
      <c r="B169" s="19">
        <v>790011160205</v>
      </c>
      <c r="C169" s="20" t="s">
        <v>290</v>
      </c>
      <c r="D169" s="31" t="s">
        <v>496</v>
      </c>
      <c r="E169" s="22" t="s">
        <v>176</v>
      </c>
      <c r="F169" s="29">
        <v>0.13728729065333337</v>
      </c>
      <c r="G169" s="31">
        <v>12</v>
      </c>
      <c r="H169" s="12">
        <v>59.5152</v>
      </c>
      <c r="I169" s="43" t="s">
        <v>532</v>
      </c>
      <c r="J169" s="17"/>
      <c r="K169" s="12">
        <f t="shared" si="10"/>
        <v>0</v>
      </c>
      <c r="N169" s="39" t="str">
        <f t="shared" si="11"/>
        <v>-</v>
      </c>
      <c r="O169" s="39" t="str">
        <f t="shared" si="12"/>
        <v>-</v>
      </c>
      <c r="P169" s="40" t="str">
        <f t="shared" si="13"/>
        <v>-</v>
      </c>
      <c r="Q169" s="41" t="str">
        <f t="shared" si="14"/>
        <v>-</v>
      </c>
    </row>
    <row r="170" spans="1:17" ht="15.6" x14ac:dyDescent="0.3">
      <c r="A170" s="18" t="s">
        <v>408</v>
      </c>
      <c r="B170" s="19">
        <v>790011120315</v>
      </c>
      <c r="C170" s="20" t="s">
        <v>447</v>
      </c>
      <c r="D170" s="31" t="s">
        <v>479</v>
      </c>
      <c r="E170" s="22" t="s">
        <v>471</v>
      </c>
      <c r="F170" s="29">
        <v>3.4321822663333341E-2</v>
      </c>
      <c r="G170" s="31">
        <v>12</v>
      </c>
      <c r="H170" s="12">
        <v>14.148</v>
      </c>
      <c r="I170" s="43" t="s">
        <v>532</v>
      </c>
      <c r="J170" s="17"/>
      <c r="K170" s="12">
        <f t="shared" si="10"/>
        <v>0</v>
      </c>
      <c r="N170" s="39" t="str">
        <f t="shared" si="11"/>
        <v>-</v>
      </c>
      <c r="O170" s="39" t="str">
        <f t="shared" si="12"/>
        <v>-</v>
      </c>
      <c r="P170" s="40" t="str">
        <f t="shared" si="13"/>
        <v>-</v>
      </c>
      <c r="Q170" s="41" t="str">
        <f t="shared" si="14"/>
        <v>-</v>
      </c>
    </row>
    <row r="171" spans="1:17" ht="15.6" x14ac:dyDescent="0.3">
      <c r="A171" s="21" t="s">
        <v>293</v>
      </c>
      <c r="B171" s="19">
        <v>790011120346</v>
      </c>
      <c r="C171" s="20" t="s">
        <v>294</v>
      </c>
      <c r="D171" s="31" t="s">
        <v>477</v>
      </c>
      <c r="E171" s="22" t="s">
        <v>231</v>
      </c>
      <c r="F171" s="29">
        <v>4.2902278329166668E-2</v>
      </c>
      <c r="G171" s="31">
        <v>12</v>
      </c>
      <c r="H171" s="12">
        <v>43.192800000000005</v>
      </c>
      <c r="I171" s="43" t="s">
        <v>532</v>
      </c>
      <c r="J171" s="17"/>
      <c r="K171" s="12">
        <f t="shared" si="10"/>
        <v>0</v>
      </c>
      <c r="N171" s="39" t="str">
        <f t="shared" si="11"/>
        <v>-</v>
      </c>
      <c r="O171" s="39" t="str">
        <f t="shared" si="12"/>
        <v>-</v>
      </c>
      <c r="P171" s="40" t="str">
        <f t="shared" si="13"/>
        <v>-</v>
      </c>
      <c r="Q171" s="41" t="str">
        <f t="shared" si="14"/>
        <v>-</v>
      </c>
    </row>
    <row r="172" spans="1:17" ht="15.6" x14ac:dyDescent="0.3">
      <c r="A172" s="18" t="s">
        <v>409</v>
      </c>
      <c r="B172" s="19">
        <v>790011090021</v>
      </c>
      <c r="C172" s="20" t="s">
        <v>448</v>
      </c>
      <c r="D172" s="31" t="s">
        <v>488</v>
      </c>
      <c r="E172" s="22" t="s">
        <v>472</v>
      </c>
      <c r="F172" s="29">
        <v>0.18018956898250002</v>
      </c>
      <c r="G172" s="31">
        <v>12</v>
      </c>
      <c r="H172" s="12">
        <v>14.392799999999998</v>
      </c>
      <c r="I172" s="43" t="s">
        <v>532</v>
      </c>
      <c r="J172" s="17"/>
      <c r="K172" s="12">
        <f t="shared" si="10"/>
        <v>0</v>
      </c>
      <c r="N172" s="39" t="str">
        <f t="shared" si="11"/>
        <v>-</v>
      </c>
      <c r="O172" s="39" t="str">
        <f t="shared" si="12"/>
        <v>-</v>
      </c>
      <c r="P172" s="40" t="str">
        <f t="shared" si="13"/>
        <v>-</v>
      </c>
      <c r="Q172" s="41" t="str">
        <f t="shared" si="14"/>
        <v>-</v>
      </c>
    </row>
    <row r="173" spans="1:17" ht="15.6" x14ac:dyDescent="0.3">
      <c r="A173" s="18" t="s">
        <v>410</v>
      </c>
      <c r="B173" s="19">
        <v>790011037361</v>
      </c>
      <c r="C173" s="20" t="s">
        <v>449</v>
      </c>
      <c r="D173" s="31" t="s">
        <v>516</v>
      </c>
      <c r="E173" s="22" t="s">
        <v>3</v>
      </c>
      <c r="F173" s="29">
        <v>0.17160911331666667</v>
      </c>
      <c r="G173" s="31">
        <v>12</v>
      </c>
      <c r="H173" s="12">
        <v>18.712799999999998</v>
      </c>
      <c r="I173" s="43" t="s">
        <v>532</v>
      </c>
      <c r="J173" s="17"/>
      <c r="K173" s="12">
        <f t="shared" si="10"/>
        <v>0</v>
      </c>
      <c r="N173" s="39" t="str">
        <f t="shared" si="11"/>
        <v>-</v>
      </c>
      <c r="O173" s="39" t="str">
        <f t="shared" si="12"/>
        <v>-</v>
      </c>
      <c r="P173" s="40" t="str">
        <f t="shared" si="13"/>
        <v>-</v>
      </c>
      <c r="Q173" s="41" t="str">
        <f t="shared" si="14"/>
        <v>-</v>
      </c>
    </row>
    <row r="174" spans="1:17" ht="15.6" x14ac:dyDescent="0.3">
      <c r="A174" s="21" t="s">
        <v>411</v>
      </c>
      <c r="B174" s="19">
        <v>790011160052</v>
      </c>
      <c r="C174" s="20" t="s">
        <v>450</v>
      </c>
      <c r="D174" s="31" t="s">
        <v>487</v>
      </c>
      <c r="E174" s="22" t="s">
        <v>176</v>
      </c>
      <c r="F174" s="29">
        <v>6.0063189660833335E-2</v>
      </c>
      <c r="G174" s="31">
        <v>12</v>
      </c>
      <c r="H174" s="12">
        <v>19.1952</v>
      </c>
      <c r="I174" s="43" t="s">
        <v>532</v>
      </c>
      <c r="J174" s="17"/>
      <c r="K174" s="12">
        <f t="shared" si="10"/>
        <v>0</v>
      </c>
      <c r="N174" s="39" t="str">
        <f t="shared" si="11"/>
        <v>-</v>
      </c>
      <c r="O174" s="39" t="str">
        <f t="shared" si="12"/>
        <v>-</v>
      </c>
      <c r="P174" s="40" t="str">
        <f t="shared" si="13"/>
        <v>-</v>
      </c>
      <c r="Q174" s="41" t="str">
        <f t="shared" si="14"/>
        <v>-</v>
      </c>
    </row>
    <row r="175" spans="1:17" ht="15.6" x14ac:dyDescent="0.3">
      <c r="A175" s="26" t="s">
        <v>296</v>
      </c>
      <c r="B175" s="27">
        <v>790011200406</v>
      </c>
      <c r="C175" s="20" t="s">
        <v>297</v>
      </c>
      <c r="D175" s="31" t="s">
        <v>482</v>
      </c>
      <c r="E175" s="22" t="s">
        <v>179</v>
      </c>
      <c r="F175" s="29">
        <v>4.2902278329166668E-2</v>
      </c>
      <c r="G175" s="31">
        <v>12</v>
      </c>
      <c r="H175" s="12">
        <v>21.5928</v>
      </c>
      <c r="I175" s="43" t="s">
        <v>532</v>
      </c>
      <c r="J175" s="17"/>
      <c r="K175" s="12">
        <f t="shared" si="10"/>
        <v>0</v>
      </c>
      <c r="N175" s="39" t="str">
        <f t="shared" si="11"/>
        <v>-</v>
      </c>
      <c r="O175" s="39" t="str">
        <f t="shared" si="12"/>
        <v>-</v>
      </c>
      <c r="P175" s="40" t="str">
        <f t="shared" si="13"/>
        <v>-</v>
      </c>
      <c r="Q175" s="41" t="str">
        <f t="shared" si="14"/>
        <v>-</v>
      </c>
    </row>
    <row r="176" spans="1:17" ht="15.6" x14ac:dyDescent="0.3">
      <c r="A176" s="21" t="s">
        <v>303</v>
      </c>
      <c r="B176" s="19">
        <v>790011060185</v>
      </c>
      <c r="C176" s="20" t="s">
        <v>304</v>
      </c>
      <c r="D176" s="31" t="s">
        <v>500</v>
      </c>
      <c r="E176" s="22" t="s">
        <v>176</v>
      </c>
      <c r="F176" s="29">
        <v>0.24883321430916669</v>
      </c>
      <c r="G176" s="31">
        <v>12</v>
      </c>
      <c r="H176" s="12">
        <v>35.992800000000003</v>
      </c>
      <c r="I176" s="43" t="s">
        <v>532</v>
      </c>
      <c r="J176" s="17"/>
      <c r="K176" s="12">
        <f t="shared" si="10"/>
        <v>0</v>
      </c>
      <c r="N176" s="39" t="str">
        <f t="shared" si="11"/>
        <v>-</v>
      </c>
      <c r="O176" s="39" t="str">
        <f t="shared" si="12"/>
        <v>-</v>
      </c>
      <c r="P176" s="40" t="str">
        <f t="shared" si="13"/>
        <v>-</v>
      </c>
      <c r="Q176" s="41" t="str">
        <f t="shared" si="14"/>
        <v>-</v>
      </c>
    </row>
    <row r="177" spans="1:17" ht="15.6" x14ac:dyDescent="0.3">
      <c r="A177" s="21" t="s">
        <v>305</v>
      </c>
      <c r="B177" s="19">
        <v>790011060246</v>
      </c>
      <c r="C177" s="20" t="s">
        <v>306</v>
      </c>
      <c r="D177" s="31" t="s">
        <v>487</v>
      </c>
      <c r="E177" s="22" t="s">
        <v>302</v>
      </c>
      <c r="F177" s="29">
        <v>8.5804556658333336E-2</v>
      </c>
      <c r="G177" s="31">
        <v>12</v>
      </c>
      <c r="H177" s="12">
        <v>36.712800000000001</v>
      </c>
      <c r="I177" s="43" t="s">
        <v>532</v>
      </c>
      <c r="J177" s="17"/>
      <c r="K177" s="12">
        <f t="shared" si="10"/>
        <v>0</v>
      </c>
      <c r="N177" s="39" t="str">
        <f t="shared" si="11"/>
        <v>-</v>
      </c>
      <c r="O177" s="39" t="str">
        <f t="shared" si="12"/>
        <v>-</v>
      </c>
      <c r="P177" s="40" t="str">
        <f t="shared" si="13"/>
        <v>-</v>
      </c>
      <c r="Q177" s="41" t="str">
        <f t="shared" si="14"/>
        <v>-</v>
      </c>
    </row>
    <row r="178" spans="1:17" ht="15.6" x14ac:dyDescent="0.3">
      <c r="A178" s="21" t="s">
        <v>307</v>
      </c>
      <c r="B178" s="19">
        <v>790011060260</v>
      </c>
      <c r="C178" s="20" t="s">
        <v>308</v>
      </c>
      <c r="D178" s="31" t="s">
        <v>488</v>
      </c>
      <c r="E178" s="22" t="s">
        <v>302</v>
      </c>
      <c r="F178" s="29">
        <v>0.14586774631916669</v>
      </c>
      <c r="G178" s="31">
        <v>12</v>
      </c>
      <c r="H178" s="12">
        <v>61.912799999999997</v>
      </c>
      <c r="I178" s="43" t="s">
        <v>532</v>
      </c>
      <c r="J178" s="17"/>
      <c r="K178" s="12">
        <f t="shared" si="10"/>
        <v>0</v>
      </c>
      <c r="N178" s="39" t="str">
        <f t="shared" si="11"/>
        <v>-</v>
      </c>
      <c r="O178" s="39" t="str">
        <f t="shared" si="12"/>
        <v>-</v>
      </c>
      <c r="P178" s="40" t="str">
        <f t="shared" si="13"/>
        <v>-</v>
      </c>
      <c r="Q178" s="41" t="str">
        <f t="shared" si="14"/>
        <v>-</v>
      </c>
    </row>
    <row r="179" spans="1:17" ht="15.6" x14ac:dyDescent="0.3">
      <c r="A179" s="21" t="s">
        <v>309</v>
      </c>
      <c r="B179" s="19">
        <v>790011060376</v>
      </c>
      <c r="C179" s="20" t="s">
        <v>310</v>
      </c>
      <c r="D179" s="31" t="s">
        <v>512</v>
      </c>
      <c r="E179" s="22" t="s">
        <v>302</v>
      </c>
      <c r="F179" s="29">
        <v>0.20593093597999998</v>
      </c>
      <c r="G179" s="31">
        <v>12</v>
      </c>
      <c r="H179" s="12">
        <v>93.592800000000011</v>
      </c>
      <c r="I179" s="43" t="s">
        <v>532</v>
      </c>
      <c r="J179" s="17"/>
      <c r="K179" s="12">
        <f t="shared" si="10"/>
        <v>0</v>
      </c>
      <c r="N179" s="39" t="str">
        <f t="shared" si="11"/>
        <v>-</v>
      </c>
      <c r="O179" s="39" t="str">
        <f t="shared" si="12"/>
        <v>-</v>
      </c>
      <c r="P179" s="40" t="str">
        <f t="shared" si="13"/>
        <v>-</v>
      </c>
      <c r="Q179" s="41" t="str">
        <f t="shared" si="14"/>
        <v>-</v>
      </c>
    </row>
    <row r="180" spans="1:17" ht="15.6" x14ac:dyDescent="0.3">
      <c r="A180" s="21" t="s">
        <v>311</v>
      </c>
      <c r="B180" s="19">
        <v>790011060253</v>
      </c>
      <c r="C180" s="20" t="s">
        <v>312</v>
      </c>
      <c r="D180" s="31" t="s">
        <v>500</v>
      </c>
      <c r="E180" s="22" t="s">
        <v>176</v>
      </c>
      <c r="F180" s="29">
        <v>0.25741366997500004</v>
      </c>
      <c r="G180" s="31">
        <v>12</v>
      </c>
      <c r="H180" s="12">
        <v>61.912799999999997</v>
      </c>
      <c r="I180" s="43" t="s">
        <v>532</v>
      </c>
      <c r="J180" s="17"/>
      <c r="K180" s="12">
        <f t="shared" si="10"/>
        <v>0</v>
      </c>
      <c r="N180" s="39" t="str">
        <f t="shared" si="11"/>
        <v>-</v>
      </c>
      <c r="O180" s="39" t="str">
        <f t="shared" si="12"/>
        <v>-</v>
      </c>
      <c r="P180" s="40" t="str">
        <f t="shared" si="13"/>
        <v>-</v>
      </c>
      <c r="Q180" s="41" t="str">
        <f t="shared" si="14"/>
        <v>-</v>
      </c>
    </row>
    <row r="181" spans="1:17" ht="15.6" x14ac:dyDescent="0.3">
      <c r="A181" s="21" t="s">
        <v>315</v>
      </c>
      <c r="B181" s="19">
        <v>790011060277</v>
      </c>
      <c r="C181" s="20" t="s">
        <v>316</v>
      </c>
      <c r="D181" s="31" t="s">
        <v>487</v>
      </c>
      <c r="E181" s="22" t="s">
        <v>3</v>
      </c>
      <c r="F181" s="29">
        <v>9.4385012324166684E-2</v>
      </c>
      <c r="G181" s="31">
        <v>12</v>
      </c>
      <c r="H181" s="12">
        <v>31.672800000000002</v>
      </c>
      <c r="I181" s="43" t="s">
        <v>532</v>
      </c>
      <c r="J181" s="17"/>
      <c r="K181" s="12">
        <f t="shared" si="10"/>
        <v>0</v>
      </c>
      <c r="N181" s="39" t="str">
        <f t="shared" si="11"/>
        <v>-</v>
      </c>
      <c r="O181" s="39" t="str">
        <f t="shared" si="12"/>
        <v>-</v>
      </c>
      <c r="P181" s="40" t="str">
        <f t="shared" si="13"/>
        <v>-</v>
      </c>
      <c r="Q181" s="41" t="str">
        <f t="shared" si="14"/>
        <v>-</v>
      </c>
    </row>
    <row r="182" spans="1:17" ht="15.6" x14ac:dyDescent="0.3">
      <c r="A182" s="21" t="s">
        <v>317</v>
      </c>
      <c r="B182" s="19">
        <v>790011060284</v>
      </c>
      <c r="C182" s="20" t="s">
        <v>318</v>
      </c>
      <c r="D182" s="31" t="s">
        <v>488</v>
      </c>
      <c r="E182" s="22" t="s">
        <v>3</v>
      </c>
      <c r="F182" s="29">
        <v>0.14586774631916669</v>
      </c>
      <c r="G182" s="31">
        <v>12</v>
      </c>
      <c r="H182" s="12">
        <v>61.192799999999991</v>
      </c>
      <c r="I182" s="43" t="s">
        <v>532</v>
      </c>
      <c r="J182" s="17"/>
      <c r="K182" s="12">
        <f t="shared" si="10"/>
        <v>0</v>
      </c>
      <c r="N182" s="39" t="str">
        <f t="shared" si="11"/>
        <v>-</v>
      </c>
      <c r="O182" s="39" t="str">
        <f t="shared" si="12"/>
        <v>-</v>
      </c>
      <c r="P182" s="40" t="str">
        <f t="shared" si="13"/>
        <v>-</v>
      </c>
      <c r="Q182" s="41" t="str">
        <f t="shared" si="14"/>
        <v>-</v>
      </c>
    </row>
    <row r="183" spans="1:17" ht="15.6" x14ac:dyDescent="0.3">
      <c r="A183" s="21" t="s">
        <v>319</v>
      </c>
      <c r="B183" s="19">
        <v>790011060123</v>
      </c>
      <c r="C183" s="20" t="s">
        <v>320</v>
      </c>
      <c r="D183" s="31" t="s">
        <v>488</v>
      </c>
      <c r="E183" s="22" t="s">
        <v>176</v>
      </c>
      <c r="F183" s="29">
        <v>0.14586774631916669</v>
      </c>
      <c r="G183" s="31">
        <v>12</v>
      </c>
      <c r="H183" s="12">
        <v>25.192800000000002</v>
      </c>
      <c r="I183" s="43" t="s">
        <v>532</v>
      </c>
      <c r="J183" s="17"/>
      <c r="K183" s="12">
        <f t="shared" si="10"/>
        <v>0</v>
      </c>
      <c r="N183" s="39" t="str">
        <f t="shared" si="11"/>
        <v>-</v>
      </c>
      <c r="O183" s="39" t="str">
        <f t="shared" si="12"/>
        <v>-</v>
      </c>
      <c r="P183" s="40" t="str">
        <f t="shared" si="13"/>
        <v>-</v>
      </c>
      <c r="Q183" s="41" t="str">
        <f t="shared" si="14"/>
        <v>-</v>
      </c>
    </row>
    <row r="184" spans="1:17" ht="15.6" x14ac:dyDescent="0.3">
      <c r="A184" s="21" t="s">
        <v>321</v>
      </c>
      <c r="B184" s="19">
        <v>790011140528</v>
      </c>
      <c r="C184" s="20" t="s">
        <v>322</v>
      </c>
      <c r="D184" s="31" t="s">
        <v>514</v>
      </c>
      <c r="E184" s="22" t="s">
        <v>18</v>
      </c>
      <c r="F184" s="29">
        <v>0.26599412564083336</v>
      </c>
      <c r="G184" s="31">
        <v>12</v>
      </c>
      <c r="H184" s="12">
        <v>48.952799999999996</v>
      </c>
      <c r="I184" s="43" t="s">
        <v>532</v>
      </c>
      <c r="J184" s="17"/>
      <c r="K184" s="12">
        <f t="shared" si="10"/>
        <v>0</v>
      </c>
      <c r="N184" s="39" t="str">
        <f t="shared" si="11"/>
        <v>-</v>
      </c>
      <c r="O184" s="39" t="str">
        <f t="shared" si="12"/>
        <v>-</v>
      </c>
      <c r="P184" s="40" t="str">
        <f t="shared" si="13"/>
        <v>-</v>
      </c>
      <c r="Q184" s="41" t="str">
        <f t="shared" si="14"/>
        <v>-</v>
      </c>
    </row>
    <row r="185" spans="1:17" ht="15.6" x14ac:dyDescent="0.3">
      <c r="A185" s="21" t="s">
        <v>325</v>
      </c>
      <c r="B185" s="19">
        <v>790011140160</v>
      </c>
      <c r="C185" s="20" t="s">
        <v>326</v>
      </c>
      <c r="D185" s="31" t="s">
        <v>481</v>
      </c>
      <c r="E185" s="22" t="s">
        <v>18</v>
      </c>
      <c r="F185" s="29">
        <v>0.22700000000000001</v>
      </c>
      <c r="G185" s="31">
        <v>12</v>
      </c>
      <c r="H185" s="12">
        <v>26.632799999999996</v>
      </c>
      <c r="I185" s="43" t="s">
        <v>532</v>
      </c>
      <c r="J185" s="17"/>
      <c r="K185" s="12">
        <f t="shared" si="10"/>
        <v>0</v>
      </c>
      <c r="N185" s="39" t="str">
        <f t="shared" si="11"/>
        <v>-</v>
      </c>
      <c r="O185" s="39" t="str">
        <f t="shared" si="12"/>
        <v>-</v>
      </c>
      <c r="P185" s="40" t="str">
        <f t="shared" si="13"/>
        <v>-</v>
      </c>
      <c r="Q185" s="41" t="str">
        <f t="shared" si="14"/>
        <v>-</v>
      </c>
    </row>
    <row r="186" spans="1:17" ht="15.6" x14ac:dyDescent="0.3">
      <c r="A186" s="21" t="s">
        <v>412</v>
      </c>
      <c r="B186" s="19">
        <v>790011140818</v>
      </c>
      <c r="C186" s="20" t="s">
        <v>451</v>
      </c>
      <c r="D186" s="31" t="s">
        <v>482</v>
      </c>
      <c r="E186" s="22" t="s">
        <v>176</v>
      </c>
      <c r="F186" s="29">
        <v>8.5804556658333336E-2</v>
      </c>
      <c r="G186" s="31">
        <v>12</v>
      </c>
      <c r="H186" s="12">
        <v>17.6328</v>
      </c>
      <c r="I186" s="43" t="s">
        <v>532</v>
      </c>
      <c r="J186" s="17"/>
      <c r="K186" s="12">
        <f t="shared" si="10"/>
        <v>0</v>
      </c>
      <c r="N186" s="39" t="str">
        <f t="shared" si="11"/>
        <v>-</v>
      </c>
      <c r="O186" s="39" t="str">
        <f t="shared" si="12"/>
        <v>-</v>
      </c>
      <c r="P186" s="40" t="str">
        <f t="shared" si="13"/>
        <v>-</v>
      </c>
      <c r="Q186" s="41" t="str">
        <f t="shared" si="14"/>
        <v>-</v>
      </c>
    </row>
    <row r="187" spans="1:17" ht="15.6" x14ac:dyDescent="0.3">
      <c r="A187" s="21" t="s">
        <v>413</v>
      </c>
      <c r="B187" s="19">
        <v>790011140849</v>
      </c>
      <c r="C187" s="20" t="s">
        <v>452</v>
      </c>
      <c r="D187" s="31" t="s">
        <v>483</v>
      </c>
      <c r="E187" s="22" t="s">
        <v>176</v>
      </c>
      <c r="F187" s="29">
        <v>0.15444820198500003</v>
      </c>
      <c r="G187" s="31">
        <v>12</v>
      </c>
      <c r="H187" s="12">
        <v>31.672800000000002</v>
      </c>
      <c r="I187" s="43" t="s">
        <v>532</v>
      </c>
      <c r="J187" s="17"/>
      <c r="K187" s="12">
        <f t="shared" si="10"/>
        <v>0</v>
      </c>
      <c r="N187" s="39" t="str">
        <f t="shared" si="11"/>
        <v>-</v>
      </c>
      <c r="O187" s="39" t="str">
        <f t="shared" si="12"/>
        <v>-</v>
      </c>
      <c r="P187" s="40" t="str">
        <f t="shared" si="13"/>
        <v>-</v>
      </c>
      <c r="Q187" s="41" t="str">
        <f t="shared" si="14"/>
        <v>-</v>
      </c>
    </row>
    <row r="188" spans="1:17" ht="15.6" x14ac:dyDescent="0.3">
      <c r="A188" s="21" t="s">
        <v>414</v>
      </c>
      <c r="B188" s="19">
        <v>790011140832</v>
      </c>
      <c r="C188" s="20" t="s">
        <v>453</v>
      </c>
      <c r="D188" s="31" t="s">
        <v>478</v>
      </c>
      <c r="E188" s="22" t="s">
        <v>3</v>
      </c>
      <c r="F188" s="29">
        <v>0.11154592365583335</v>
      </c>
      <c r="G188" s="31">
        <v>12</v>
      </c>
      <c r="H188" s="12">
        <v>30.923999999999999</v>
      </c>
      <c r="I188" s="43" t="s">
        <v>532</v>
      </c>
      <c r="J188" s="17"/>
      <c r="K188" s="12">
        <f t="shared" si="10"/>
        <v>0</v>
      </c>
      <c r="N188" s="39" t="str">
        <f t="shared" si="11"/>
        <v>-</v>
      </c>
      <c r="O188" s="39" t="str">
        <f t="shared" si="12"/>
        <v>-</v>
      </c>
      <c r="P188" s="40" t="str">
        <f t="shared" si="13"/>
        <v>-</v>
      </c>
      <c r="Q188" s="41" t="str">
        <f t="shared" si="14"/>
        <v>-</v>
      </c>
    </row>
    <row r="189" spans="1:17" ht="15.6" x14ac:dyDescent="0.3">
      <c r="A189" s="21" t="s">
        <v>329</v>
      </c>
      <c r="B189" s="19">
        <v>790011010302</v>
      </c>
      <c r="C189" s="20" t="s">
        <v>330</v>
      </c>
      <c r="D189" s="31" t="s">
        <v>517</v>
      </c>
      <c r="E189" s="22" t="s">
        <v>3</v>
      </c>
      <c r="F189" s="29">
        <v>0.31747685963583333</v>
      </c>
      <c r="G189" s="31">
        <v>12</v>
      </c>
      <c r="H189" s="12">
        <v>28.7928</v>
      </c>
      <c r="I189" s="43" t="s">
        <v>532</v>
      </c>
      <c r="J189" s="17"/>
      <c r="K189" s="12">
        <f t="shared" si="10"/>
        <v>0</v>
      </c>
      <c r="N189" s="39" t="str">
        <f t="shared" si="11"/>
        <v>-</v>
      </c>
      <c r="O189" s="39" t="str">
        <f t="shared" si="12"/>
        <v>-</v>
      </c>
      <c r="P189" s="40" t="str">
        <f t="shared" si="13"/>
        <v>-</v>
      </c>
      <c r="Q189" s="41" t="str">
        <f t="shared" si="14"/>
        <v>-</v>
      </c>
    </row>
    <row r="190" spans="1:17" ht="15.6" x14ac:dyDescent="0.3">
      <c r="A190" s="21" t="s">
        <v>415</v>
      </c>
      <c r="B190" s="19">
        <v>790011140283</v>
      </c>
      <c r="C190" s="20" t="s">
        <v>454</v>
      </c>
      <c r="D190" s="31" t="s">
        <v>483</v>
      </c>
      <c r="E190" s="22" t="s">
        <v>473</v>
      </c>
      <c r="F190" s="29">
        <v>0.13728729065333337</v>
      </c>
      <c r="G190" s="31">
        <v>12</v>
      </c>
      <c r="H190" s="12">
        <v>32.392800000000001</v>
      </c>
      <c r="I190" s="43" t="s">
        <v>532</v>
      </c>
      <c r="J190" s="17"/>
      <c r="K190" s="12">
        <f t="shared" si="10"/>
        <v>0</v>
      </c>
      <c r="N190" s="39" t="str">
        <f t="shared" si="11"/>
        <v>-</v>
      </c>
      <c r="O190" s="39" t="str">
        <f t="shared" si="12"/>
        <v>-</v>
      </c>
      <c r="P190" s="40" t="str">
        <f t="shared" si="13"/>
        <v>-</v>
      </c>
      <c r="Q190" s="41" t="str">
        <f t="shared" si="14"/>
        <v>-</v>
      </c>
    </row>
    <row r="191" spans="1:17" ht="15.6" x14ac:dyDescent="0.3">
      <c r="A191" s="21" t="s">
        <v>416</v>
      </c>
      <c r="B191" s="19">
        <v>790011300045</v>
      </c>
      <c r="C191" s="20" t="s">
        <v>455</v>
      </c>
      <c r="D191" s="31" t="s">
        <v>519</v>
      </c>
      <c r="E191" s="22" t="s">
        <v>466</v>
      </c>
      <c r="F191" s="29">
        <v>0.10296546798999999</v>
      </c>
      <c r="G191" s="31">
        <v>12</v>
      </c>
      <c r="H191" s="12">
        <v>11.152800000000001</v>
      </c>
      <c r="I191" s="43" t="s">
        <v>532</v>
      </c>
      <c r="J191" s="17"/>
      <c r="K191" s="12">
        <f t="shared" si="10"/>
        <v>0</v>
      </c>
      <c r="N191" s="39" t="str">
        <f t="shared" si="11"/>
        <v>-</v>
      </c>
      <c r="O191" s="39" t="str">
        <f t="shared" si="12"/>
        <v>-</v>
      </c>
      <c r="P191" s="40" t="str">
        <f t="shared" si="13"/>
        <v>-</v>
      </c>
      <c r="Q191" s="41" t="str">
        <f t="shared" si="14"/>
        <v>-</v>
      </c>
    </row>
    <row r="192" spans="1:17" ht="15.6" x14ac:dyDescent="0.3">
      <c r="A192" s="21" t="s">
        <v>417</v>
      </c>
      <c r="B192" s="19">
        <v>790011090090</v>
      </c>
      <c r="C192" s="20" t="s">
        <v>456</v>
      </c>
      <c r="D192" s="31" t="s">
        <v>500</v>
      </c>
      <c r="E192" s="22" t="s">
        <v>474</v>
      </c>
      <c r="F192" s="29">
        <v>0.30889640397000007</v>
      </c>
      <c r="G192" s="31">
        <v>12</v>
      </c>
      <c r="H192" s="12">
        <v>25.912800000000004</v>
      </c>
      <c r="I192" s="43" t="s">
        <v>532</v>
      </c>
      <c r="J192" s="17"/>
      <c r="K192" s="12">
        <f t="shared" si="10"/>
        <v>0</v>
      </c>
      <c r="N192" s="39" t="str">
        <f t="shared" si="11"/>
        <v>-</v>
      </c>
      <c r="O192" s="39" t="str">
        <f t="shared" si="12"/>
        <v>-</v>
      </c>
      <c r="P192" s="40" t="str">
        <f t="shared" si="13"/>
        <v>-</v>
      </c>
      <c r="Q192" s="41" t="str">
        <f t="shared" si="14"/>
        <v>-</v>
      </c>
    </row>
    <row r="193" spans="1:17" ht="15.6" x14ac:dyDescent="0.3">
      <c r="A193" s="21" t="s">
        <v>355</v>
      </c>
      <c r="B193" s="19">
        <v>790011030126</v>
      </c>
      <c r="C193" s="20" t="s">
        <v>356</v>
      </c>
      <c r="D193" s="31" t="s">
        <v>514</v>
      </c>
      <c r="E193" s="22" t="s">
        <v>193</v>
      </c>
      <c r="F193" s="29">
        <v>0.14586774631916669</v>
      </c>
      <c r="G193" s="31">
        <v>12</v>
      </c>
      <c r="H193" s="12">
        <v>23.032800000000002</v>
      </c>
      <c r="I193" s="43" t="s">
        <v>532</v>
      </c>
      <c r="J193" s="17"/>
      <c r="K193" s="12">
        <f t="shared" si="10"/>
        <v>0</v>
      </c>
      <c r="N193" s="39" t="str">
        <f t="shared" si="11"/>
        <v>-</v>
      </c>
      <c r="O193" s="39" t="str">
        <f t="shared" si="12"/>
        <v>-</v>
      </c>
      <c r="P193" s="40" t="str">
        <f t="shared" si="13"/>
        <v>-</v>
      </c>
      <c r="Q193" s="41" t="str">
        <f t="shared" si="14"/>
        <v>-</v>
      </c>
    </row>
    <row r="194" spans="1:17" ht="15.6" x14ac:dyDescent="0.3">
      <c r="A194" s="21" t="s">
        <v>418</v>
      </c>
      <c r="B194" s="19">
        <v>790011290490</v>
      </c>
      <c r="C194" s="20" t="s">
        <v>457</v>
      </c>
      <c r="D194" s="31" t="s">
        <v>482</v>
      </c>
      <c r="E194" s="22" t="s">
        <v>3</v>
      </c>
      <c r="F194" s="29">
        <v>6.8643645326666683E-2</v>
      </c>
      <c r="G194" s="31">
        <v>12</v>
      </c>
      <c r="H194" s="12">
        <v>18.712799999999998</v>
      </c>
      <c r="I194" s="43" t="s">
        <v>532</v>
      </c>
      <c r="J194" s="17"/>
      <c r="K194" s="12">
        <f t="shared" si="10"/>
        <v>0</v>
      </c>
      <c r="N194" s="39" t="str">
        <f t="shared" si="11"/>
        <v>-</v>
      </c>
      <c r="O194" s="39" t="str">
        <f t="shared" si="12"/>
        <v>-</v>
      </c>
      <c r="P194" s="40" t="str">
        <f t="shared" si="13"/>
        <v>-</v>
      </c>
      <c r="Q194" s="41" t="str">
        <f t="shared" si="14"/>
        <v>-</v>
      </c>
    </row>
    <row r="195" spans="1:17" ht="15.6" x14ac:dyDescent="0.3">
      <c r="A195" s="21" t="s">
        <v>419</v>
      </c>
      <c r="B195" s="19">
        <v>790011130062</v>
      </c>
      <c r="C195" s="20" t="s">
        <v>458</v>
      </c>
      <c r="D195" s="31" t="s">
        <v>477</v>
      </c>
      <c r="E195" s="22" t="s">
        <v>3</v>
      </c>
      <c r="F195" s="29">
        <v>6.0063189660833335E-2</v>
      </c>
      <c r="G195" s="31">
        <v>12</v>
      </c>
      <c r="H195" s="12">
        <v>12.592799999999999</v>
      </c>
      <c r="I195" s="43" t="s">
        <v>532</v>
      </c>
      <c r="J195" s="17"/>
      <c r="K195" s="12">
        <f t="shared" si="10"/>
        <v>0</v>
      </c>
      <c r="N195" s="39" t="str">
        <f t="shared" si="11"/>
        <v>-</v>
      </c>
      <c r="O195" s="39" t="str">
        <f t="shared" si="12"/>
        <v>-</v>
      </c>
      <c r="P195" s="40" t="str">
        <f t="shared" si="13"/>
        <v>-</v>
      </c>
      <c r="Q195" s="41" t="str">
        <f t="shared" si="14"/>
        <v>-</v>
      </c>
    </row>
    <row r="196" spans="1:17" ht="15.6" x14ac:dyDescent="0.3">
      <c r="A196" s="21" t="s">
        <v>365</v>
      </c>
      <c r="B196" s="19">
        <v>790011320081</v>
      </c>
      <c r="C196" s="20" t="s">
        <v>366</v>
      </c>
      <c r="D196" s="31" t="s">
        <v>495</v>
      </c>
      <c r="E196" s="22" t="s">
        <v>176</v>
      </c>
      <c r="F196" s="29">
        <v>0.25741366997500004</v>
      </c>
      <c r="G196" s="31">
        <v>12</v>
      </c>
      <c r="H196" s="12">
        <v>19.4328</v>
      </c>
      <c r="I196" s="43" t="s">
        <v>532</v>
      </c>
      <c r="J196" s="17"/>
      <c r="K196" s="12">
        <f t="shared" ref="K196:K207" si="15">H196*J196</f>
        <v>0</v>
      </c>
      <c r="N196" s="39" t="str">
        <f t="shared" ref="N196:N207" si="16">IFERROR(IF($N$2*F196=0, "-", $N$2*F196), "-")</f>
        <v>-</v>
      </c>
      <c r="O196" s="39" t="str">
        <f t="shared" ref="O196:O207" si="17">IFERROR(IF(N196&gt;0,H196+N196,"-"),"-")</f>
        <v>-</v>
      </c>
      <c r="P196" s="40" t="str">
        <f t="shared" ref="P196:P207" si="18">IF(J196&gt;0,J196*F196, "-")</f>
        <v>-</v>
      </c>
      <c r="Q196" s="41" t="str">
        <f t="shared" ref="Q196:Q207" si="19">IFERROR(IF($N$2&gt;0, $N$2*P196, "-"), "-")</f>
        <v>-</v>
      </c>
    </row>
    <row r="197" spans="1:17" ht="15.6" x14ac:dyDescent="0.3">
      <c r="A197" s="21" t="s">
        <v>420</v>
      </c>
      <c r="B197" s="19">
        <v>790011150565</v>
      </c>
      <c r="C197" s="20" t="s">
        <v>459</v>
      </c>
      <c r="D197" s="31" t="s">
        <v>482</v>
      </c>
      <c r="E197" s="22" t="s">
        <v>18</v>
      </c>
      <c r="F197" s="29">
        <v>8.5804556658333336E-2</v>
      </c>
      <c r="G197" s="31">
        <v>12</v>
      </c>
      <c r="H197" s="12">
        <v>18.352799999999998</v>
      </c>
      <c r="I197" s="43" t="s">
        <v>532</v>
      </c>
      <c r="J197" s="17"/>
      <c r="K197" s="12">
        <f t="shared" si="15"/>
        <v>0</v>
      </c>
      <c r="N197" s="39" t="str">
        <f t="shared" si="16"/>
        <v>-</v>
      </c>
      <c r="O197" s="39" t="str">
        <f t="shared" si="17"/>
        <v>-</v>
      </c>
      <c r="P197" s="40" t="str">
        <f t="shared" si="18"/>
        <v>-</v>
      </c>
      <c r="Q197" s="41" t="str">
        <f t="shared" si="19"/>
        <v>-</v>
      </c>
    </row>
    <row r="198" spans="1:17" ht="15.6" x14ac:dyDescent="0.3">
      <c r="A198" s="21" t="s">
        <v>369</v>
      </c>
      <c r="B198" s="19">
        <v>790011040057</v>
      </c>
      <c r="C198" s="20" t="s">
        <v>370</v>
      </c>
      <c r="D198" s="31" t="s">
        <v>520</v>
      </c>
      <c r="E198" s="22" t="s">
        <v>3</v>
      </c>
      <c r="F198" s="29">
        <v>0.54914916261333346</v>
      </c>
      <c r="G198" s="31">
        <v>12</v>
      </c>
      <c r="H198" s="12">
        <v>35.272800000000004</v>
      </c>
      <c r="I198" s="43" t="s">
        <v>532</v>
      </c>
      <c r="J198" s="17"/>
      <c r="K198" s="12">
        <f t="shared" si="15"/>
        <v>0</v>
      </c>
      <c r="N198" s="39" t="str">
        <f t="shared" si="16"/>
        <v>-</v>
      </c>
      <c r="O198" s="39" t="str">
        <f t="shared" si="17"/>
        <v>-</v>
      </c>
      <c r="P198" s="40" t="str">
        <f t="shared" si="18"/>
        <v>-</v>
      </c>
      <c r="Q198" s="41" t="str">
        <f t="shared" si="19"/>
        <v>-</v>
      </c>
    </row>
    <row r="199" spans="1:17" ht="15.6" x14ac:dyDescent="0.3">
      <c r="A199" s="21" t="s">
        <v>371</v>
      </c>
      <c r="B199" s="19">
        <v>790011030263</v>
      </c>
      <c r="C199" s="20" t="s">
        <v>372</v>
      </c>
      <c r="D199" s="31" t="s">
        <v>482</v>
      </c>
      <c r="E199" s="22" t="s">
        <v>373</v>
      </c>
      <c r="F199" s="29">
        <v>0.10296546798999999</v>
      </c>
      <c r="G199" s="31">
        <v>12</v>
      </c>
      <c r="H199" s="12">
        <v>34.552800000000005</v>
      </c>
      <c r="I199" s="43" t="s">
        <v>532</v>
      </c>
      <c r="J199" s="17"/>
      <c r="K199" s="12">
        <f t="shared" si="15"/>
        <v>0</v>
      </c>
      <c r="N199" s="39" t="str">
        <f t="shared" si="16"/>
        <v>-</v>
      </c>
      <c r="O199" s="39" t="str">
        <f t="shared" si="17"/>
        <v>-</v>
      </c>
      <c r="P199" s="40" t="str">
        <f t="shared" si="18"/>
        <v>-</v>
      </c>
      <c r="Q199" s="41" t="str">
        <f t="shared" si="19"/>
        <v>-</v>
      </c>
    </row>
    <row r="200" spans="1:17" ht="15.6" x14ac:dyDescent="0.3">
      <c r="A200" s="21" t="s">
        <v>421</v>
      </c>
      <c r="B200" s="19">
        <v>790011040026</v>
      </c>
      <c r="C200" s="20" t="s">
        <v>460</v>
      </c>
      <c r="D200" s="31" t="s">
        <v>484</v>
      </c>
      <c r="E200" s="22" t="s">
        <v>3</v>
      </c>
      <c r="F200" s="29">
        <v>0.26599412564083336</v>
      </c>
      <c r="G200" s="31">
        <v>12</v>
      </c>
      <c r="H200" s="12">
        <v>15.832799999999999</v>
      </c>
      <c r="I200" s="43" t="s">
        <v>532</v>
      </c>
      <c r="J200" s="17"/>
      <c r="K200" s="12">
        <f t="shared" si="15"/>
        <v>0</v>
      </c>
      <c r="N200" s="39" t="str">
        <f t="shared" si="16"/>
        <v>-</v>
      </c>
      <c r="O200" s="39" t="str">
        <f t="shared" si="17"/>
        <v>-</v>
      </c>
      <c r="P200" s="40" t="str">
        <f t="shared" si="18"/>
        <v>-</v>
      </c>
      <c r="Q200" s="41" t="str">
        <f t="shared" si="19"/>
        <v>-</v>
      </c>
    </row>
    <row r="201" spans="1:17" ht="15.6" x14ac:dyDescent="0.3">
      <c r="A201" s="21" t="s">
        <v>422</v>
      </c>
      <c r="B201" s="19">
        <v>790011290520</v>
      </c>
      <c r="C201" s="20" t="s">
        <v>461</v>
      </c>
      <c r="D201" s="31" t="s">
        <v>486</v>
      </c>
      <c r="E201" s="22" t="s">
        <v>3</v>
      </c>
      <c r="F201" s="29">
        <v>0.24025275864333334</v>
      </c>
      <c r="G201" s="31">
        <v>12</v>
      </c>
      <c r="H201" s="12">
        <v>47.512799999999999</v>
      </c>
      <c r="I201" s="43" t="s">
        <v>532</v>
      </c>
      <c r="J201" s="17"/>
      <c r="K201" s="12">
        <f t="shared" si="15"/>
        <v>0</v>
      </c>
      <c r="N201" s="39" t="str">
        <f t="shared" si="16"/>
        <v>-</v>
      </c>
      <c r="O201" s="39" t="str">
        <f t="shared" si="17"/>
        <v>-</v>
      </c>
      <c r="P201" s="40" t="str">
        <f t="shared" si="18"/>
        <v>-</v>
      </c>
      <c r="Q201" s="41" t="str">
        <f t="shared" si="19"/>
        <v>-</v>
      </c>
    </row>
    <row r="202" spans="1:17" ht="15.6" x14ac:dyDescent="0.3">
      <c r="A202" s="21" t="s">
        <v>374</v>
      </c>
      <c r="B202" s="19">
        <v>790011140900</v>
      </c>
      <c r="C202" s="20" t="s">
        <v>375</v>
      </c>
      <c r="D202" s="31" t="s">
        <v>478</v>
      </c>
      <c r="E202" s="22" t="s">
        <v>162</v>
      </c>
      <c r="F202" s="29">
        <v>0.13728729065333337</v>
      </c>
      <c r="G202" s="31">
        <v>12</v>
      </c>
      <c r="H202" s="12">
        <v>17.992799999999999</v>
      </c>
      <c r="I202" s="43" t="s">
        <v>532</v>
      </c>
      <c r="J202" s="17"/>
      <c r="K202" s="12">
        <f t="shared" si="15"/>
        <v>0</v>
      </c>
      <c r="N202" s="39" t="str">
        <f t="shared" si="16"/>
        <v>-</v>
      </c>
      <c r="O202" s="39" t="str">
        <f t="shared" si="17"/>
        <v>-</v>
      </c>
      <c r="P202" s="40" t="str">
        <f t="shared" si="18"/>
        <v>-</v>
      </c>
      <c r="Q202" s="41" t="str">
        <f t="shared" si="19"/>
        <v>-</v>
      </c>
    </row>
    <row r="203" spans="1:17" ht="15.6" x14ac:dyDescent="0.3">
      <c r="A203" s="21" t="s">
        <v>423</v>
      </c>
      <c r="B203" s="19">
        <v>790011210085</v>
      </c>
      <c r="C203" s="20" t="s">
        <v>462</v>
      </c>
      <c r="D203" s="31" t="s">
        <v>521</v>
      </c>
      <c r="E203" s="22" t="s">
        <v>3</v>
      </c>
      <c r="F203" s="29">
        <v>1.4071947291966667</v>
      </c>
      <c r="G203" s="31">
        <v>6</v>
      </c>
      <c r="H203" s="12">
        <v>31.692</v>
      </c>
      <c r="I203" s="43" t="s">
        <v>532</v>
      </c>
      <c r="J203" s="17"/>
      <c r="K203" s="12">
        <f t="shared" si="15"/>
        <v>0</v>
      </c>
      <c r="N203" s="39" t="str">
        <f t="shared" si="16"/>
        <v>-</v>
      </c>
      <c r="O203" s="39" t="str">
        <f t="shared" si="17"/>
        <v>-</v>
      </c>
      <c r="P203" s="40" t="str">
        <f t="shared" si="18"/>
        <v>-</v>
      </c>
      <c r="Q203" s="41" t="str">
        <f t="shared" si="19"/>
        <v>-</v>
      </c>
    </row>
    <row r="204" spans="1:17" ht="15.6" x14ac:dyDescent="0.3">
      <c r="A204" s="21" t="s">
        <v>424</v>
      </c>
      <c r="B204" s="19">
        <v>790011210030</v>
      </c>
      <c r="C204" s="20" t="s">
        <v>463</v>
      </c>
      <c r="D204" s="31" t="s">
        <v>521</v>
      </c>
      <c r="E204" s="22" t="s">
        <v>3</v>
      </c>
      <c r="F204" s="29">
        <v>1.4071947291966667</v>
      </c>
      <c r="G204" s="31">
        <v>6</v>
      </c>
      <c r="H204" s="12">
        <v>29.152800000000003</v>
      </c>
      <c r="I204" s="43" t="s">
        <v>532</v>
      </c>
      <c r="J204" s="17"/>
      <c r="K204" s="12">
        <f t="shared" si="15"/>
        <v>0</v>
      </c>
      <c r="N204" s="39" t="str">
        <f t="shared" si="16"/>
        <v>-</v>
      </c>
      <c r="O204" s="39" t="str">
        <f t="shared" si="17"/>
        <v>-</v>
      </c>
      <c r="P204" s="40" t="str">
        <f t="shared" si="18"/>
        <v>-</v>
      </c>
      <c r="Q204" s="41" t="str">
        <f t="shared" si="19"/>
        <v>-</v>
      </c>
    </row>
    <row r="205" spans="1:17" ht="15.6" x14ac:dyDescent="0.3">
      <c r="A205" s="21" t="s">
        <v>378</v>
      </c>
      <c r="B205" s="19">
        <v>790011030218</v>
      </c>
      <c r="C205" s="20" t="s">
        <v>379</v>
      </c>
      <c r="D205" s="31" t="s">
        <v>490</v>
      </c>
      <c r="E205" s="22" t="s">
        <v>380</v>
      </c>
      <c r="F205" s="29">
        <v>0.11154592365583335</v>
      </c>
      <c r="G205" s="31">
        <v>12</v>
      </c>
      <c r="H205" s="12">
        <v>10.7928</v>
      </c>
      <c r="I205" s="43" t="s">
        <v>532</v>
      </c>
      <c r="J205" s="17"/>
      <c r="K205" s="12">
        <f t="shared" si="15"/>
        <v>0</v>
      </c>
      <c r="N205" s="39" t="str">
        <f t="shared" si="16"/>
        <v>-</v>
      </c>
      <c r="O205" s="39" t="str">
        <f t="shared" si="17"/>
        <v>-</v>
      </c>
      <c r="P205" s="40" t="str">
        <f t="shared" si="18"/>
        <v>-</v>
      </c>
      <c r="Q205" s="41" t="str">
        <f t="shared" si="19"/>
        <v>-</v>
      </c>
    </row>
    <row r="206" spans="1:17" ht="15.6" x14ac:dyDescent="0.3">
      <c r="A206" s="21" t="s">
        <v>381</v>
      </c>
      <c r="B206" s="19">
        <v>790011320050</v>
      </c>
      <c r="C206" s="20" t="s">
        <v>382</v>
      </c>
      <c r="D206" s="31" t="s">
        <v>522</v>
      </c>
      <c r="E206" s="22" t="s">
        <v>380</v>
      </c>
      <c r="F206" s="29">
        <v>0.18877002464833337</v>
      </c>
      <c r="G206" s="31">
        <v>12</v>
      </c>
      <c r="H206" s="12">
        <v>17.992799999999999</v>
      </c>
      <c r="I206" s="43" t="s">
        <v>532</v>
      </c>
      <c r="J206" s="17"/>
      <c r="K206" s="12">
        <f t="shared" si="15"/>
        <v>0</v>
      </c>
      <c r="N206" s="39" t="str">
        <f t="shared" si="16"/>
        <v>-</v>
      </c>
      <c r="O206" s="39" t="str">
        <f t="shared" si="17"/>
        <v>-</v>
      </c>
      <c r="P206" s="40" t="str">
        <f t="shared" si="18"/>
        <v>-</v>
      </c>
      <c r="Q206" s="41" t="str">
        <f t="shared" si="19"/>
        <v>-</v>
      </c>
    </row>
    <row r="207" spans="1:17" ht="15.6" x14ac:dyDescent="0.3">
      <c r="A207" s="21" t="s">
        <v>528</v>
      </c>
      <c r="B207" s="19">
        <v>790011260233</v>
      </c>
      <c r="C207" s="20" t="s">
        <v>527</v>
      </c>
      <c r="D207" s="31" t="s">
        <v>478</v>
      </c>
      <c r="E207" s="22"/>
      <c r="F207" s="29">
        <v>0</v>
      </c>
      <c r="G207" s="31">
        <v>12</v>
      </c>
      <c r="H207" s="12">
        <v>44.94</v>
      </c>
      <c r="I207" s="43" t="s">
        <v>532</v>
      </c>
      <c r="J207" s="17"/>
      <c r="K207" s="12">
        <f t="shared" si="15"/>
        <v>0</v>
      </c>
      <c r="N207" s="39" t="str">
        <f t="shared" si="16"/>
        <v>-</v>
      </c>
      <c r="O207" s="39" t="str">
        <f t="shared" si="17"/>
        <v>-</v>
      </c>
      <c r="P207" s="40" t="str">
        <f t="shared" si="18"/>
        <v>-</v>
      </c>
      <c r="Q207" s="41" t="str">
        <f t="shared" si="19"/>
        <v>-</v>
      </c>
    </row>
    <row r="208" spans="1:17" ht="14.4" x14ac:dyDescent="0.25">
      <c r="N208" s="39"/>
      <c r="O208" s="39"/>
      <c r="P208" s="40"/>
      <c r="Q208" s="41"/>
    </row>
    <row r="209" spans="3:17" ht="15" thickBot="1" x14ac:dyDescent="0.3">
      <c r="N209" s="39"/>
      <c r="O209" s="39"/>
      <c r="P209" s="40"/>
      <c r="Q209" s="41"/>
    </row>
    <row r="210" spans="3:17" ht="15" thickBot="1" x14ac:dyDescent="0.35">
      <c r="C210" s="3"/>
      <c r="N210" s="39"/>
      <c r="O210" s="39"/>
      <c r="P210" s="40"/>
      <c r="Q210" s="41"/>
    </row>
    <row r="211" spans="3:17" ht="14.4" x14ac:dyDescent="0.25">
      <c r="C211" s="4" t="s">
        <v>11</v>
      </c>
      <c r="N211" s="39"/>
      <c r="O211" s="39"/>
      <c r="P211" s="40"/>
      <c r="Q211" s="41"/>
    </row>
    <row r="212" spans="3:17" ht="14.4" x14ac:dyDescent="0.25">
      <c r="C212" s="5" t="s">
        <v>12</v>
      </c>
      <c r="N212" s="39"/>
      <c r="O212" s="39"/>
      <c r="P212" s="40"/>
      <c r="Q212" s="41"/>
    </row>
    <row r="213" spans="3:17" ht="15" thickBot="1" x14ac:dyDescent="0.3">
      <c r="C213" s="6" t="s">
        <v>7</v>
      </c>
      <c r="N213" s="39"/>
      <c r="O213" s="39"/>
      <c r="P213" s="40"/>
      <c r="Q213" s="41"/>
    </row>
    <row r="214" spans="3:17" ht="14.4" x14ac:dyDescent="0.25">
      <c r="C214" s="7" t="s">
        <v>8</v>
      </c>
      <c r="N214" s="39"/>
      <c r="O214" s="39"/>
      <c r="P214" s="40"/>
      <c r="Q214" s="41"/>
    </row>
    <row r="215" spans="3:17" ht="15" thickBot="1" x14ac:dyDescent="0.3">
      <c r="C215" s="8" t="s">
        <v>9</v>
      </c>
      <c r="N215" s="39"/>
      <c r="O215" s="39"/>
      <c r="P215" s="40"/>
      <c r="Q215" s="41"/>
    </row>
    <row r="216" spans="3:17" ht="14.4" x14ac:dyDescent="0.25">
      <c r="N216" s="39"/>
      <c r="O216" s="39"/>
      <c r="P216" s="40"/>
      <c r="Q216" s="41"/>
    </row>
    <row r="217" spans="3:17" ht="14.4" x14ac:dyDescent="0.25">
      <c r="N217" s="39"/>
      <c r="O217" s="39"/>
      <c r="P217" s="40"/>
      <c r="Q217" s="41"/>
    </row>
    <row r="218" spans="3:17" ht="14.4" x14ac:dyDescent="0.25">
      <c r="N218" s="39"/>
      <c r="O218" s="39"/>
      <c r="P218" s="40"/>
      <c r="Q218" s="41"/>
    </row>
    <row r="219" spans="3:17" ht="14.4" x14ac:dyDescent="0.25">
      <c r="N219" s="39"/>
      <c r="O219" s="39"/>
      <c r="P219" s="40"/>
      <c r="Q219" s="41"/>
    </row>
    <row r="220" spans="3:17" ht="14.4" x14ac:dyDescent="0.25">
      <c r="N220" s="39"/>
      <c r="O220" s="39"/>
      <c r="P220" s="40"/>
      <c r="Q220" s="41"/>
    </row>
    <row r="221" spans="3:17" ht="14.4" x14ac:dyDescent="0.25">
      <c r="N221" s="39"/>
      <c r="O221" s="39"/>
      <c r="P221" s="40"/>
      <c r="Q221" s="41"/>
    </row>
    <row r="222" spans="3:17" ht="14.4" x14ac:dyDescent="0.25">
      <c r="N222" s="39"/>
      <c r="O222" s="39"/>
      <c r="P222" s="40"/>
      <c r="Q222" s="41"/>
    </row>
    <row r="223" spans="3:17" ht="14.4" x14ac:dyDescent="0.25">
      <c r="N223" s="39"/>
      <c r="O223" s="39"/>
      <c r="P223" s="40"/>
      <c r="Q223" s="41"/>
    </row>
    <row r="224" spans="3:17" ht="14.4" x14ac:dyDescent="0.25">
      <c r="N224" s="39"/>
      <c r="O224" s="39"/>
      <c r="P224" s="40"/>
      <c r="Q224" s="41"/>
    </row>
    <row r="225" spans="14:17" ht="14.4" x14ac:dyDescent="0.25">
      <c r="N225" s="39"/>
      <c r="O225" s="39"/>
      <c r="P225" s="40"/>
      <c r="Q225" s="41"/>
    </row>
    <row r="226" spans="14:17" ht="14.4" x14ac:dyDescent="0.25">
      <c r="N226" s="39"/>
      <c r="O226" s="39"/>
      <c r="P226" s="40"/>
      <c r="Q226" s="41"/>
    </row>
    <row r="227" spans="14:17" ht="14.4" x14ac:dyDescent="0.25">
      <c r="N227" s="39"/>
      <c r="O227" s="39"/>
      <c r="P227" s="40"/>
      <c r="Q227" s="41"/>
    </row>
    <row r="228" spans="14:17" ht="14.4" x14ac:dyDescent="0.25">
      <c r="N228" s="39"/>
      <c r="O228" s="39"/>
      <c r="P228" s="40"/>
      <c r="Q228" s="41"/>
    </row>
    <row r="229" spans="14:17" ht="14.4" x14ac:dyDescent="0.25">
      <c r="N229" s="39"/>
      <c r="O229" s="39"/>
      <c r="P229" s="40"/>
      <c r="Q229" s="41"/>
    </row>
    <row r="230" spans="14:17" ht="14.4" x14ac:dyDescent="0.25">
      <c r="N230" s="39"/>
      <c r="O230" s="39"/>
      <c r="P230" s="40"/>
      <c r="Q230" s="41"/>
    </row>
    <row r="231" spans="14:17" ht="14.4" x14ac:dyDescent="0.25">
      <c r="N231" s="39"/>
      <c r="O231" s="39"/>
      <c r="P231" s="40"/>
      <c r="Q231" s="41"/>
    </row>
    <row r="232" spans="14:17" ht="14.4" x14ac:dyDescent="0.25">
      <c r="N232" s="39"/>
      <c r="O232" s="39"/>
      <c r="P232" s="40"/>
      <c r="Q232" s="41"/>
    </row>
    <row r="233" spans="14:17" ht="14.4" x14ac:dyDescent="0.25">
      <c r="N233" s="39"/>
      <c r="O233" s="39"/>
      <c r="P233" s="40"/>
      <c r="Q233" s="41"/>
    </row>
    <row r="234" spans="14:17" ht="14.4" x14ac:dyDescent="0.25">
      <c r="N234" s="39"/>
      <c r="O234" s="39"/>
      <c r="P234" s="40"/>
      <c r="Q234" s="41"/>
    </row>
    <row r="235" spans="14:17" ht="14.4" x14ac:dyDescent="0.25">
      <c r="N235" s="39"/>
      <c r="O235" s="39"/>
      <c r="P235" s="40"/>
      <c r="Q235" s="41"/>
    </row>
    <row r="236" spans="14:17" ht="14.4" x14ac:dyDescent="0.25">
      <c r="N236" s="39"/>
      <c r="O236" s="39"/>
      <c r="P236" s="40"/>
      <c r="Q236" s="41"/>
    </row>
    <row r="237" spans="14:17" ht="14.4" x14ac:dyDescent="0.25">
      <c r="N237" s="39"/>
      <c r="O237" s="39"/>
      <c r="P237" s="40"/>
      <c r="Q237" s="41"/>
    </row>
    <row r="238" spans="14:17" ht="14.4" x14ac:dyDescent="0.25">
      <c r="N238" s="39"/>
      <c r="O238" s="39"/>
      <c r="P238" s="40"/>
      <c r="Q238" s="41"/>
    </row>
    <row r="239" spans="14:17" ht="14.4" x14ac:dyDescent="0.25">
      <c r="N239" s="39"/>
      <c r="O239" s="39"/>
      <c r="P239" s="40"/>
      <c r="Q239" s="41"/>
    </row>
    <row r="240" spans="14:17" ht="14.4" x14ac:dyDescent="0.25">
      <c r="N240" s="39"/>
      <c r="O240" s="39"/>
      <c r="P240" s="40"/>
      <c r="Q240" s="41"/>
    </row>
    <row r="241" spans="14:17" ht="14.4" x14ac:dyDescent="0.25">
      <c r="N241" s="39"/>
      <c r="O241" s="39"/>
      <c r="P241" s="40"/>
      <c r="Q241" s="41"/>
    </row>
    <row r="242" spans="14:17" ht="14.4" x14ac:dyDescent="0.25">
      <c r="N242" s="39"/>
      <c r="O242" s="39"/>
      <c r="P242" s="40"/>
      <c r="Q242" s="41"/>
    </row>
    <row r="243" spans="14:17" ht="14.4" x14ac:dyDescent="0.25">
      <c r="N243" s="39"/>
      <c r="O243" s="39"/>
      <c r="P243" s="40"/>
      <c r="Q243" s="41"/>
    </row>
    <row r="244" spans="14:17" ht="14.4" x14ac:dyDescent="0.25">
      <c r="N244" s="39"/>
      <c r="O244" s="39"/>
      <c r="P244" s="40"/>
      <c r="Q244" s="41"/>
    </row>
    <row r="245" spans="14:17" ht="14.4" x14ac:dyDescent="0.25">
      <c r="N245" s="39"/>
      <c r="O245" s="39"/>
      <c r="P245" s="40"/>
      <c r="Q245" s="41"/>
    </row>
    <row r="246" spans="14:17" ht="14.4" x14ac:dyDescent="0.25">
      <c r="N246" s="39"/>
      <c r="O246" s="39"/>
      <c r="P246" s="40"/>
      <c r="Q246" s="41"/>
    </row>
    <row r="247" spans="14:17" ht="14.4" x14ac:dyDescent="0.25">
      <c r="N247" s="39"/>
      <c r="O247" s="39"/>
      <c r="P247" s="40"/>
      <c r="Q247" s="41"/>
    </row>
    <row r="248" spans="14:17" ht="14.4" x14ac:dyDescent="0.25">
      <c r="N248" s="39"/>
      <c r="O248" s="39"/>
      <c r="P248" s="40"/>
      <c r="Q248" s="41"/>
    </row>
    <row r="249" spans="14:17" ht="14.4" x14ac:dyDescent="0.25">
      <c r="N249" s="39"/>
      <c r="O249" s="39"/>
      <c r="P249" s="40"/>
      <c r="Q249" s="41"/>
    </row>
    <row r="250" spans="14:17" ht="14.4" x14ac:dyDescent="0.25">
      <c r="N250" s="39"/>
      <c r="O250" s="39"/>
      <c r="P250" s="40"/>
      <c r="Q250" s="41"/>
    </row>
    <row r="251" spans="14:17" ht="14.4" x14ac:dyDescent="0.25">
      <c r="N251" s="39"/>
      <c r="O251" s="39"/>
      <c r="P251" s="40"/>
      <c r="Q251" s="41"/>
    </row>
    <row r="252" spans="14:17" ht="14.4" x14ac:dyDescent="0.25">
      <c r="N252" s="39"/>
      <c r="O252" s="39"/>
      <c r="P252" s="40"/>
      <c r="Q252" s="41"/>
    </row>
    <row r="253" spans="14:17" ht="14.4" x14ac:dyDescent="0.25">
      <c r="N253" s="39"/>
      <c r="O253" s="39"/>
      <c r="P253" s="40"/>
      <c r="Q253" s="41"/>
    </row>
    <row r="254" spans="14:17" ht="14.4" x14ac:dyDescent="0.25">
      <c r="N254" s="39"/>
      <c r="O254" s="39"/>
      <c r="P254" s="40"/>
      <c r="Q254" s="41"/>
    </row>
    <row r="255" spans="14:17" ht="14.4" x14ac:dyDescent="0.25">
      <c r="N255" s="39"/>
      <c r="O255" s="39"/>
      <c r="P255" s="40"/>
      <c r="Q255" s="41"/>
    </row>
    <row r="256" spans="14:17" ht="14.4" x14ac:dyDescent="0.25">
      <c r="N256" s="39"/>
      <c r="O256" s="39"/>
      <c r="P256" s="40"/>
      <c r="Q256" s="41"/>
    </row>
    <row r="257" spans="14:17" ht="14.4" x14ac:dyDescent="0.25">
      <c r="N257" s="39"/>
      <c r="O257" s="39"/>
      <c r="P257" s="40"/>
      <c r="Q257" s="41"/>
    </row>
    <row r="258" spans="14:17" ht="14.4" x14ac:dyDescent="0.25">
      <c r="N258" s="39"/>
      <c r="O258" s="39"/>
      <c r="P258" s="40"/>
      <c r="Q258" s="41"/>
    </row>
    <row r="259" spans="14:17" ht="14.4" x14ac:dyDescent="0.25">
      <c r="N259" s="39"/>
      <c r="O259" s="39"/>
      <c r="P259" s="40"/>
      <c r="Q259" s="41"/>
    </row>
    <row r="260" spans="14:17" ht="14.4" x14ac:dyDescent="0.25">
      <c r="N260" s="39"/>
      <c r="O260" s="39"/>
      <c r="P260" s="40"/>
      <c r="Q260" s="41"/>
    </row>
    <row r="261" spans="14:17" ht="14.4" x14ac:dyDescent="0.25">
      <c r="N261" s="39"/>
      <c r="O261" s="39"/>
      <c r="P261" s="40"/>
      <c r="Q261" s="41"/>
    </row>
    <row r="262" spans="14:17" ht="14.4" x14ac:dyDescent="0.25">
      <c r="N262" s="39"/>
      <c r="O262" s="39"/>
      <c r="P262" s="40"/>
      <c r="Q262" s="41"/>
    </row>
    <row r="263" spans="14:17" ht="14.4" x14ac:dyDescent="0.25">
      <c r="N263" s="39"/>
      <c r="O263" s="39"/>
      <c r="P263" s="40"/>
      <c r="Q263" s="41"/>
    </row>
    <row r="264" spans="14:17" ht="14.4" x14ac:dyDescent="0.25">
      <c r="N264" s="39"/>
      <c r="O264" s="39"/>
      <c r="P264" s="40"/>
      <c r="Q264" s="41"/>
    </row>
    <row r="265" spans="14:17" ht="14.4" x14ac:dyDescent="0.25">
      <c r="N265" s="39"/>
      <c r="O265" s="39"/>
      <c r="P265" s="40"/>
      <c r="Q265" s="41"/>
    </row>
    <row r="266" spans="14:17" ht="14.4" x14ac:dyDescent="0.25">
      <c r="N266" s="39"/>
      <c r="O266" s="39"/>
      <c r="P266" s="40"/>
      <c r="Q266" s="41"/>
    </row>
    <row r="267" spans="14:17" ht="14.4" x14ac:dyDescent="0.25">
      <c r="N267" s="39"/>
      <c r="O267" s="39"/>
      <c r="P267" s="40"/>
      <c r="Q267" s="41"/>
    </row>
    <row r="268" spans="14:17" ht="14.4" x14ac:dyDescent="0.25">
      <c r="N268" s="39"/>
      <c r="O268" s="39"/>
      <c r="P268" s="40"/>
      <c r="Q268" s="41"/>
    </row>
    <row r="269" spans="14:17" ht="14.4" x14ac:dyDescent="0.25">
      <c r="N269" s="39"/>
      <c r="O269" s="39"/>
      <c r="P269" s="40"/>
      <c r="Q269" s="41"/>
    </row>
    <row r="270" spans="14:17" ht="14.4" x14ac:dyDescent="0.25">
      <c r="N270" s="39"/>
      <c r="O270" s="39"/>
      <c r="P270" s="40"/>
      <c r="Q270" s="41"/>
    </row>
    <row r="271" spans="14:17" ht="14.4" x14ac:dyDescent="0.25">
      <c r="N271" s="39"/>
      <c r="O271" s="39"/>
      <c r="P271" s="40"/>
      <c r="Q271" s="41"/>
    </row>
    <row r="272" spans="14:17" ht="14.4" x14ac:dyDescent="0.25">
      <c r="N272" s="39"/>
      <c r="O272" s="39"/>
      <c r="P272" s="40"/>
      <c r="Q272" s="41"/>
    </row>
    <row r="273" spans="14:17" ht="14.4" x14ac:dyDescent="0.25">
      <c r="N273" s="39"/>
      <c r="O273" s="39"/>
      <c r="P273" s="40"/>
      <c r="Q273" s="41"/>
    </row>
    <row r="274" spans="14:17" ht="14.4" x14ac:dyDescent="0.25">
      <c r="N274" s="39"/>
      <c r="O274" s="39"/>
      <c r="P274" s="40"/>
      <c r="Q274" s="41"/>
    </row>
    <row r="275" spans="14:17" ht="14.4" x14ac:dyDescent="0.25">
      <c r="N275" s="39"/>
      <c r="O275" s="39"/>
      <c r="P275" s="40"/>
      <c r="Q275" s="41"/>
    </row>
    <row r="276" spans="14:17" ht="14.4" x14ac:dyDescent="0.25">
      <c r="N276" s="39"/>
      <c r="O276" s="39"/>
      <c r="P276" s="40"/>
      <c r="Q276" s="41"/>
    </row>
    <row r="277" spans="14:17" ht="14.4" x14ac:dyDescent="0.25">
      <c r="N277" s="39"/>
      <c r="O277" s="39"/>
      <c r="P277" s="40"/>
      <c r="Q277" s="41"/>
    </row>
    <row r="278" spans="14:17" ht="14.4" x14ac:dyDescent="0.25">
      <c r="N278" s="39"/>
      <c r="O278" s="39"/>
      <c r="P278" s="40"/>
      <c r="Q278" s="41"/>
    </row>
    <row r="279" spans="14:17" ht="14.4" x14ac:dyDescent="0.25">
      <c r="N279" s="39"/>
      <c r="O279" s="39"/>
      <c r="P279" s="40"/>
      <c r="Q279" s="41"/>
    </row>
    <row r="280" spans="14:17" ht="14.4" x14ac:dyDescent="0.25">
      <c r="N280" s="39"/>
      <c r="O280" s="39"/>
      <c r="P280" s="40"/>
      <c r="Q280" s="41"/>
    </row>
    <row r="281" spans="14:17" ht="14.4" x14ac:dyDescent="0.25">
      <c r="N281" s="39"/>
      <c r="O281" s="39"/>
      <c r="P281" s="40"/>
      <c r="Q281" s="41"/>
    </row>
    <row r="282" spans="14:17" ht="14.4" x14ac:dyDescent="0.25">
      <c r="N282" s="39"/>
      <c r="O282" s="39"/>
      <c r="P282" s="40"/>
      <c r="Q282" s="41"/>
    </row>
    <row r="283" spans="14:17" ht="14.4" x14ac:dyDescent="0.25">
      <c r="N283" s="39"/>
      <c r="O283" s="39"/>
      <c r="P283" s="40"/>
      <c r="Q283" s="41"/>
    </row>
    <row r="284" spans="14:17" ht="14.4" x14ac:dyDescent="0.25">
      <c r="N284" s="39"/>
      <c r="O284" s="39"/>
      <c r="P284" s="40"/>
      <c r="Q284" s="41"/>
    </row>
    <row r="285" spans="14:17" ht="14.4" x14ac:dyDescent="0.25">
      <c r="N285" s="39"/>
      <c r="O285" s="39"/>
      <c r="P285" s="40"/>
      <c r="Q285" s="41"/>
    </row>
    <row r="286" spans="14:17" ht="14.4" x14ac:dyDescent="0.25">
      <c r="N286" s="39"/>
      <c r="O286" s="39"/>
      <c r="P286" s="40"/>
      <c r="Q286" s="41"/>
    </row>
    <row r="287" spans="14:17" ht="14.4" x14ac:dyDescent="0.25">
      <c r="N287" s="39"/>
      <c r="O287" s="39"/>
      <c r="P287" s="40"/>
      <c r="Q287" s="41"/>
    </row>
    <row r="288" spans="14:17" ht="14.4" x14ac:dyDescent="0.25">
      <c r="N288" s="39"/>
      <c r="O288" s="39"/>
      <c r="P288" s="40"/>
      <c r="Q288" s="41"/>
    </row>
    <row r="289" spans="14:17" ht="14.4" x14ac:dyDescent="0.25">
      <c r="N289" s="39"/>
      <c r="O289" s="39"/>
      <c r="P289" s="40"/>
      <c r="Q289" s="41"/>
    </row>
    <row r="290" spans="14:17" ht="14.4" x14ac:dyDescent="0.25">
      <c r="N290" s="39"/>
      <c r="O290" s="39"/>
      <c r="P290" s="40"/>
      <c r="Q290" s="41"/>
    </row>
    <row r="291" spans="14:17" ht="14.4" x14ac:dyDescent="0.25">
      <c r="N291" s="39"/>
      <c r="O291" s="39"/>
      <c r="P291" s="40"/>
      <c r="Q291" s="41"/>
    </row>
    <row r="292" spans="14:17" ht="14.4" x14ac:dyDescent="0.25">
      <c r="N292" s="39"/>
      <c r="O292" s="39"/>
      <c r="P292" s="40"/>
      <c r="Q292" s="41"/>
    </row>
    <row r="293" spans="14:17" ht="14.4" x14ac:dyDescent="0.25">
      <c r="N293" s="39"/>
      <c r="O293" s="39"/>
      <c r="P293" s="40"/>
      <c r="Q293" s="41"/>
    </row>
    <row r="294" spans="14:17" ht="14.4" x14ac:dyDescent="0.25">
      <c r="N294" s="39"/>
      <c r="O294" s="39"/>
      <c r="P294" s="40"/>
      <c r="Q294" s="41"/>
    </row>
    <row r="295" spans="14:17" ht="14.4" x14ac:dyDescent="0.25">
      <c r="N295" s="39"/>
      <c r="O295" s="39"/>
      <c r="P295" s="40"/>
      <c r="Q295" s="41"/>
    </row>
    <row r="296" spans="14:17" ht="14.4" x14ac:dyDescent="0.25">
      <c r="N296" s="39"/>
      <c r="O296" s="39"/>
      <c r="P296" s="40"/>
      <c r="Q296" s="41"/>
    </row>
    <row r="297" spans="14:17" ht="14.4" x14ac:dyDescent="0.25">
      <c r="N297" s="39"/>
      <c r="O297" s="39"/>
      <c r="P297" s="40"/>
      <c r="Q297" s="41"/>
    </row>
    <row r="298" spans="14:17" ht="14.4" x14ac:dyDescent="0.25">
      <c r="N298" s="39"/>
      <c r="O298" s="39"/>
      <c r="P298" s="40"/>
      <c r="Q298" s="41"/>
    </row>
    <row r="299" spans="14:17" ht="14.4" x14ac:dyDescent="0.25">
      <c r="N299" s="39"/>
      <c r="O299" s="39"/>
      <c r="P299" s="40"/>
      <c r="Q299" s="41"/>
    </row>
    <row r="300" spans="14:17" ht="14.4" x14ac:dyDescent="0.25">
      <c r="N300" s="39"/>
      <c r="O300" s="39"/>
      <c r="P300" s="40"/>
      <c r="Q300" s="41"/>
    </row>
    <row r="301" spans="14:17" ht="14.4" x14ac:dyDescent="0.25">
      <c r="N301" s="39"/>
      <c r="O301" s="39"/>
      <c r="P301" s="40"/>
      <c r="Q301" s="41"/>
    </row>
    <row r="302" spans="14:17" ht="14.4" x14ac:dyDescent="0.25">
      <c r="N302" s="39"/>
      <c r="O302" s="39"/>
      <c r="P302" s="40"/>
      <c r="Q302" s="41"/>
    </row>
    <row r="303" spans="14:17" ht="14.4" x14ac:dyDescent="0.25">
      <c r="N303" s="39"/>
      <c r="O303" s="39"/>
      <c r="P303" s="40"/>
      <c r="Q303" s="41"/>
    </row>
    <row r="304" spans="14:17" ht="14.4" x14ac:dyDescent="0.25">
      <c r="N304" s="39"/>
      <c r="O304" s="39"/>
      <c r="P304" s="40"/>
      <c r="Q304" s="41"/>
    </row>
    <row r="305" spans="14:17" ht="14.4" x14ac:dyDescent="0.25">
      <c r="N305" s="39"/>
      <c r="O305" s="39"/>
      <c r="P305" s="40"/>
      <c r="Q305" s="41"/>
    </row>
    <row r="306" spans="14:17" ht="14.4" x14ac:dyDescent="0.25">
      <c r="N306" s="39"/>
      <c r="O306" s="39"/>
      <c r="P306" s="40"/>
      <c r="Q306" s="41"/>
    </row>
    <row r="307" spans="14:17" ht="14.4" x14ac:dyDescent="0.25">
      <c r="N307" s="39"/>
      <c r="O307" s="39"/>
      <c r="P307" s="40"/>
      <c r="Q307" s="41"/>
    </row>
    <row r="308" spans="14:17" ht="14.4" x14ac:dyDescent="0.25">
      <c r="N308" s="39"/>
      <c r="O308" s="39"/>
      <c r="P308" s="40"/>
      <c r="Q308" s="41"/>
    </row>
    <row r="309" spans="14:17" ht="14.4" x14ac:dyDescent="0.25">
      <c r="N309" s="39"/>
      <c r="O309" s="39"/>
      <c r="P309" s="40"/>
      <c r="Q309" s="41"/>
    </row>
    <row r="310" spans="14:17" ht="14.4" x14ac:dyDescent="0.25">
      <c r="N310" s="39"/>
      <c r="O310" s="39"/>
      <c r="P310" s="40"/>
      <c r="Q310" s="41"/>
    </row>
    <row r="311" spans="14:17" ht="14.4" x14ac:dyDescent="0.25">
      <c r="N311" s="39"/>
      <c r="O311" s="39"/>
      <c r="P311" s="40"/>
      <c r="Q311" s="41"/>
    </row>
    <row r="312" spans="14:17" ht="14.4" x14ac:dyDescent="0.25">
      <c r="N312" s="39"/>
      <c r="O312" s="39"/>
      <c r="P312" s="40"/>
      <c r="Q312" s="41"/>
    </row>
    <row r="313" spans="14:17" ht="14.4" x14ac:dyDescent="0.25">
      <c r="N313" s="39"/>
      <c r="O313" s="39"/>
      <c r="P313" s="40"/>
      <c r="Q313" s="41"/>
    </row>
    <row r="314" spans="14:17" ht="14.4" x14ac:dyDescent="0.25">
      <c r="N314" s="39"/>
      <c r="O314" s="39"/>
      <c r="P314" s="40"/>
      <c r="Q314" s="41"/>
    </row>
    <row r="315" spans="14:17" ht="14.4" x14ac:dyDescent="0.25">
      <c r="N315" s="39"/>
      <c r="O315" s="39"/>
      <c r="P315" s="40"/>
      <c r="Q315" s="41"/>
    </row>
    <row r="316" spans="14:17" ht="14.4" x14ac:dyDescent="0.25">
      <c r="N316" s="39"/>
      <c r="O316" s="39"/>
      <c r="P316" s="40"/>
      <c r="Q316" s="41"/>
    </row>
    <row r="317" spans="14:17" ht="14.4" x14ac:dyDescent="0.25">
      <c r="N317" s="39"/>
      <c r="O317" s="39"/>
      <c r="P317" s="40"/>
      <c r="Q317" s="41"/>
    </row>
    <row r="318" spans="14:17" ht="14.4" x14ac:dyDescent="0.25">
      <c r="N318" s="39"/>
      <c r="O318" s="39"/>
      <c r="P318" s="40"/>
      <c r="Q318" s="41"/>
    </row>
    <row r="319" spans="14:17" ht="14.4" x14ac:dyDescent="0.25">
      <c r="N319" s="39"/>
      <c r="O319" s="39"/>
      <c r="P319" s="40"/>
      <c r="Q319" s="41"/>
    </row>
    <row r="320" spans="14:17" ht="14.4" x14ac:dyDescent="0.25">
      <c r="N320" s="39"/>
      <c r="O320" s="39"/>
      <c r="P320" s="40"/>
      <c r="Q320" s="41"/>
    </row>
    <row r="321" spans="14:17" ht="14.4" x14ac:dyDescent="0.25">
      <c r="N321" s="39"/>
      <c r="O321" s="39"/>
      <c r="P321" s="40"/>
      <c r="Q321" s="41"/>
    </row>
    <row r="322" spans="14:17" ht="14.4" x14ac:dyDescent="0.25">
      <c r="N322" s="39"/>
      <c r="O322" s="39"/>
      <c r="P322" s="40"/>
      <c r="Q322" s="41"/>
    </row>
    <row r="323" spans="14:17" ht="14.4" x14ac:dyDescent="0.25">
      <c r="N323" s="39"/>
      <c r="O323" s="39"/>
      <c r="P323" s="40"/>
      <c r="Q323" s="41"/>
    </row>
    <row r="324" spans="14:17" ht="14.4" x14ac:dyDescent="0.25">
      <c r="N324" s="39"/>
      <c r="O324" s="39"/>
      <c r="P324" s="40"/>
      <c r="Q324" s="41"/>
    </row>
    <row r="325" spans="14:17" ht="14.4" x14ac:dyDescent="0.25">
      <c r="N325" s="39"/>
      <c r="O325" s="39"/>
      <c r="P325" s="40"/>
      <c r="Q325" s="41"/>
    </row>
    <row r="326" spans="14:17" ht="14.4" x14ac:dyDescent="0.25">
      <c r="N326" s="39"/>
      <c r="O326" s="39"/>
      <c r="P326" s="40"/>
      <c r="Q326" s="41"/>
    </row>
    <row r="327" spans="14:17" ht="14.4" x14ac:dyDescent="0.25">
      <c r="N327" s="39"/>
      <c r="O327" s="39"/>
      <c r="P327" s="40"/>
      <c r="Q327" s="41"/>
    </row>
    <row r="328" spans="14:17" ht="14.4" x14ac:dyDescent="0.25">
      <c r="N328" s="39"/>
      <c r="O328" s="39"/>
      <c r="P328" s="40"/>
      <c r="Q328" s="41"/>
    </row>
    <row r="329" spans="14:17" ht="14.4" x14ac:dyDescent="0.25">
      <c r="N329" s="39"/>
      <c r="O329" s="39"/>
      <c r="P329" s="40"/>
      <c r="Q329" s="41"/>
    </row>
    <row r="330" spans="14:17" ht="14.4" x14ac:dyDescent="0.25">
      <c r="N330" s="39"/>
      <c r="O330" s="39"/>
      <c r="P330" s="40"/>
      <c r="Q330" s="41"/>
    </row>
    <row r="331" spans="14:17" ht="14.4" x14ac:dyDescent="0.25">
      <c r="N331" s="39"/>
      <c r="O331" s="39"/>
      <c r="P331" s="40"/>
      <c r="Q331" s="41"/>
    </row>
    <row r="332" spans="14:17" ht="14.4" x14ac:dyDescent="0.25">
      <c r="N332" s="39"/>
      <c r="O332" s="39"/>
      <c r="P332" s="40"/>
      <c r="Q332" s="41"/>
    </row>
    <row r="333" spans="14:17" ht="14.4" x14ac:dyDescent="0.25">
      <c r="N333" s="39"/>
      <c r="O333" s="39"/>
      <c r="P333" s="40"/>
      <c r="Q333" s="41"/>
    </row>
    <row r="334" spans="14:17" ht="14.4" x14ac:dyDescent="0.25">
      <c r="N334" s="39"/>
      <c r="O334" s="39"/>
      <c r="P334" s="40"/>
      <c r="Q334" s="41"/>
    </row>
    <row r="335" spans="14:17" ht="14.4" x14ac:dyDescent="0.25">
      <c r="N335" s="39"/>
      <c r="O335" s="39"/>
      <c r="P335" s="40"/>
      <c r="Q335" s="41"/>
    </row>
    <row r="336" spans="14:17" ht="14.4" x14ac:dyDescent="0.25">
      <c r="N336" s="39"/>
      <c r="O336" s="39"/>
      <c r="P336" s="40"/>
      <c r="Q336" s="41"/>
    </row>
    <row r="337" spans="14:17" ht="14.4" x14ac:dyDescent="0.25">
      <c r="N337" s="39"/>
      <c r="O337" s="39"/>
      <c r="P337" s="40"/>
      <c r="Q337" s="41"/>
    </row>
    <row r="338" spans="14:17" ht="14.4" x14ac:dyDescent="0.25">
      <c r="N338" s="39"/>
      <c r="O338" s="39"/>
      <c r="P338" s="40"/>
      <c r="Q338" s="41"/>
    </row>
    <row r="339" spans="14:17" ht="14.4" x14ac:dyDescent="0.25">
      <c r="N339" s="39"/>
      <c r="O339" s="39"/>
      <c r="P339" s="40"/>
      <c r="Q339" s="41"/>
    </row>
    <row r="340" spans="14:17" ht="14.4" x14ac:dyDescent="0.25">
      <c r="N340" s="39"/>
      <c r="O340" s="39"/>
      <c r="P340" s="40"/>
      <c r="Q340" s="41"/>
    </row>
    <row r="341" spans="14:17" ht="14.4" x14ac:dyDescent="0.25">
      <c r="N341" s="39"/>
      <c r="O341" s="39"/>
      <c r="P341" s="40"/>
      <c r="Q341" s="41"/>
    </row>
    <row r="342" spans="14:17" ht="14.4" x14ac:dyDescent="0.25">
      <c r="N342" s="39"/>
      <c r="O342" s="39"/>
      <c r="P342" s="40"/>
      <c r="Q342" s="41"/>
    </row>
    <row r="343" spans="14:17" ht="14.4" x14ac:dyDescent="0.25">
      <c r="N343" s="39"/>
      <c r="O343" s="39"/>
      <c r="P343" s="40"/>
      <c r="Q343" s="41"/>
    </row>
    <row r="344" spans="14:17" ht="14.4" x14ac:dyDescent="0.25">
      <c r="N344" s="39"/>
      <c r="O344" s="39"/>
      <c r="P344" s="40"/>
      <c r="Q344" s="41"/>
    </row>
    <row r="345" spans="14:17" ht="14.4" x14ac:dyDescent="0.25">
      <c r="N345" s="39"/>
      <c r="O345" s="39"/>
      <c r="P345" s="40"/>
      <c r="Q345" s="41"/>
    </row>
    <row r="346" spans="14:17" ht="14.4" x14ac:dyDescent="0.25">
      <c r="N346" s="39"/>
      <c r="O346" s="39"/>
      <c r="P346" s="40"/>
      <c r="Q346" s="41"/>
    </row>
    <row r="347" spans="14:17" ht="14.4" x14ac:dyDescent="0.25">
      <c r="N347" s="39"/>
      <c r="O347" s="39"/>
      <c r="P347" s="40"/>
      <c r="Q347" s="41"/>
    </row>
    <row r="348" spans="14:17" ht="14.4" x14ac:dyDescent="0.25">
      <c r="N348" s="39"/>
      <c r="O348" s="39"/>
      <c r="P348" s="40"/>
      <c r="Q348" s="41"/>
    </row>
    <row r="349" spans="14:17" ht="14.4" x14ac:dyDescent="0.25">
      <c r="N349" s="39"/>
      <c r="O349" s="39"/>
      <c r="P349" s="40"/>
      <c r="Q349" s="41"/>
    </row>
    <row r="350" spans="14:17" ht="14.4" x14ac:dyDescent="0.25">
      <c r="N350" s="39"/>
      <c r="O350" s="39"/>
      <c r="P350" s="40"/>
      <c r="Q350" s="41"/>
    </row>
    <row r="351" spans="14:17" ht="14.4" x14ac:dyDescent="0.25">
      <c r="N351" s="39"/>
      <c r="O351" s="39"/>
      <c r="P351" s="40"/>
      <c r="Q351" s="41"/>
    </row>
    <row r="352" spans="14:17" ht="14.4" x14ac:dyDescent="0.25">
      <c r="N352" s="39"/>
      <c r="O352" s="39"/>
      <c r="P352" s="40"/>
      <c r="Q352" s="41"/>
    </row>
    <row r="353" spans="14:17" ht="14.4" x14ac:dyDescent="0.25">
      <c r="N353" s="39"/>
      <c r="O353" s="39"/>
      <c r="P353" s="40"/>
      <c r="Q353" s="41"/>
    </row>
    <row r="354" spans="14:17" ht="14.4" x14ac:dyDescent="0.25">
      <c r="N354" s="39"/>
      <c r="O354" s="39"/>
      <c r="P354" s="40"/>
      <c r="Q354" s="41"/>
    </row>
    <row r="355" spans="14:17" ht="14.4" x14ac:dyDescent="0.25">
      <c r="N355" s="39"/>
      <c r="O355" s="39"/>
      <c r="P355" s="40"/>
      <c r="Q355" s="41"/>
    </row>
    <row r="356" spans="14:17" ht="14.4" x14ac:dyDescent="0.25">
      <c r="N356" s="39"/>
      <c r="O356" s="39"/>
      <c r="P356" s="40"/>
      <c r="Q356" s="41"/>
    </row>
    <row r="357" spans="14:17" ht="14.4" x14ac:dyDescent="0.25">
      <c r="N357" s="39"/>
      <c r="O357" s="39"/>
      <c r="P357" s="40"/>
      <c r="Q357" s="41"/>
    </row>
    <row r="358" spans="14:17" ht="14.4" x14ac:dyDescent="0.25">
      <c r="N358" s="39"/>
      <c r="O358" s="39"/>
      <c r="P358" s="40"/>
      <c r="Q358" s="41"/>
    </row>
    <row r="359" spans="14:17" ht="14.4" x14ac:dyDescent="0.25">
      <c r="N359" s="39"/>
      <c r="O359" s="39"/>
      <c r="P359" s="40"/>
      <c r="Q359" s="41"/>
    </row>
    <row r="360" spans="14:17" ht="14.4" x14ac:dyDescent="0.25">
      <c r="N360" s="39"/>
      <c r="O360" s="39"/>
      <c r="P360" s="40"/>
      <c r="Q360" s="41"/>
    </row>
    <row r="361" spans="14:17" ht="14.4" x14ac:dyDescent="0.25">
      <c r="N361" s="39"/>
      <c r="O361" s="39"/>
      <c r="P361" s="40"/>
      <c r="Q361" s="41"/>
    </row>
    <row r="362" spans="14:17" ht="14.4" x14ac:dyDescent="0.25">
      <c r="N362" s="39"/>
      <c r="O362" s="39"/>
      <c r="P362" s="40"/>
      <c r="Q362" s="41"/>
    </row>
    <row r="363" spans="14:17" ht="14.4" x14ac:dyDescent="0.25">
      <c r="N363" s="39"/>
      <c r="O363" s="39"/>
      <c r="P363" s="40"/>
      <c r="Q363" s="41"/>
    </row>
    <row r="364" spans="14:17" ht="14.4" x14ac:dyDescent="0.25">
      <c r="N364" s="39"/>
      <c r="O364" s="39"/>
      <c r="P364" s="40"/>
      <c r="Q364" s="41"/>
    </row>
    <row r="365" spans="14:17" ht="14.4" x14ac:dyDescent="0.25">
      <c r="N365" s="39"/>
      <c r="O365" s="39"/>
      <c r="P365" s="40"/>
      <c r="Q365" s="41"/>
    </row>
    <row r="366" spans="14:17" ht="14.4" x14ac:dyDescent="0.25">
      <c r="N366" s="39"/>
      <c r="O366" s="39"/>
      <c r="P366" s="40"/>
      <c r="Q366" s="41"/>
    </row>
    <row r="367" spans="14:17" ht="14.4" x14ac:dyDescent="0.25">
      <c r="N367" s="39"/>
      <c r="O367" s="39"/>
      <c r="P367" s="40"/>
      <c r="Q367" s="41"/>
    </row>
    <row r="368" spans="14:17" ht="14.4" x14ac:dyDescent="0.25">
      <c r="N368" s="39"/>
      <c r="O368" s="39"/>
      <c r="P368" s="40"/>
      <c r="Q368" s="41"/>
    </row>
    <row r="369" spans="14:17" ht="14.4" x14ac:dyDescent="0.25">
      <c r="N369" s="39"/>
      <c r="O369" s="39"/>
      <c r="P369" s="40"/>
      <c r="Q369" s="41"/>
    </row>
    <row r="370" spans="14:17" ht="14.4" x14ac:dyDescent="0.25">
      <c r="N370" s="39"/>
      <c r="O370" s="39"/>
      <c r="P370" s="40"/>
      <c r="Q370" s="41"/>
    </row>
    <row r="371" spans="14:17" ht="14.4" x14ac:dyDescent="0.25">
      <c r="N371" s="39"/>
      <c r="O371" s="39"/>
      <c r="P371" s="40"/>
      <c r="Q371" s="41"/>
    </row>
    <row r="372" spans="14:17" ht="14.4" x14ac:dyDescent="0.25">
      <c r="N372" s="39"/>
      <c r="O372" s="39"/>
      <c r="P372" s="40"/>
      <c r="Q372" s="41"/>
    </row>
    <row r="373" spans="14:17" ht="14.4" x14ac:dyDescent="0.25">
      <c r="N373" s="39"/>
      <c r="O373" s="39"/>
      <c r="P373" s="40"/>
      <c r="Q373" s="41"/>
    </row>
    <row r="374" spans="14:17" ht="14.4" x14ac:dyDescent="0.25">
      <c r="N374" s="39"/>
      <c r="O374" s="39"/>
      <c r="P374" s="40"/>
      <c r="Q374" s="41"/>
    </row>
    <row r="375" spans="14:17" ht="14.4" x14ac:dyDescent="0.25">
      <c r="N375" s="39"/>
      <c r="O375" s="39"/>
      <c r="P375" s="40"/>
      <c r="Q375" s="41"/>
    </row>
    <row r="376" spans="14:17" ht="14.4" x14ac:dyDescent="0.25">
      <c r="N376" s="39"/>
      <c r="O376" s="39"/>
      <c r="P376" s="40"/>
      <c r="Q376" s="41"/>
    </row>
    <row r="377" spans="14:17" ht="14.4" x14ac:dyDescent="0.25">
      <c r="N377" s="39"/>
      <c r="O377" s="39"/>
      <c r="P377" s="40"/>
      <c r="Q377" s="41"/>
    </row>
    <row r="378" spans="14:17" ht="14.4" x14ac:dyDescent="0.25">
      <c r="N378" s="39"/>
      <c r="O378" s="39"/>
      <c r="P378" s="40"/>
      <c r="Q378" s="41"/>
    </row>
    <row r="379" spans="14:17" ht="14.4" x14ac:dyDescent="0.25">
      <c r="N379" s="39"/>
      <c r="O379" s="39"/>
      <c r="P379" s="40"/>
      <c r="Q379" s="41"/>
    </row>
    <row r="380" spans="14:17" ht="14.4" x14ac:dyDescent="0.25">
      <c r="N380" s="39"/>
      <c r="O380" s="39"/>
      <c r="P380" s="40"/>
      <c r="Q380" s="41"/>
    </row>
    <row r="381" spans="14:17" ht="14.4" x14ac:dyDescent="0.25">
      <c r="N381" s="39"/>
      <c r="O381" s="39"/>
      <c r="P381" s="40"/>
      <c r="Q381" s="41"/>
    </row>
    <row r="382" spans="14:17" ht="14.4" x14ac:dyDescent="0.25">
      <c r="N382" s="39"/>
      <c r="O382" s="39"/>
      <c r="P382" s="40"/>
      <c r="Q382" s="41"/>
    </row>
    <row r="383" spans="14:17" ht="14.4" x14ac:dyDescent="0.25">
      <c r="N383" s="39"/>
      <c r="O383" s="39"/>
      <c r="P383" s="40"/>
      <c r="Q383" s="41"/>
    </row>
    <row r="384" spans="14:17" ht="14.4" x14ac:dyDescent="0.25">
      <c r="N384" s="39"/>
      <c r="O384" s="39"/>
      <c r="P384" s="40"/>
      <c r="Q384" s="41"/>
    </row>
    <row r="385" spans="14:17" ht="14.4" x14ac:dyDescent="0.25">
      <c r="N385" s="39"/>
      <c r="O385" s="39"/>
      <c r="P385" s="40"/>
      <c r="Q385" s="41"/>
    </row>
    <row r="386" spans="14:17" ht="14.4" x14ac:dyDescent="0.25">
      <c r="N386" s="39"/>
      <c r="O386" s="39"/>
      <c r="P386" s="40"/>
      <c r="Q386" s="41"/>
    </row>
    <row r="387" spans="14:17" ht="14.4" x14ac:dyDescent="0.25">
      <c r="N387" s="39"/>
      <c r="O387" s="39"/>
      <c r="P387" s="40"/>
      <c r="Q387" s="41"/>
    </row>
    <row r="388" spans="14:17" ht="14.4" x14ac:dyDescent="0.25">
      <c r="N388" s="39"/>
      <c r="O388" s="39"/>
      <c r="P388" s="40"/>
      <c r="Q388" s="41"/>
    </row>
    <row r="389" spans="14:17" ht="14.4" x14ac:dyDescent="0.25">
      <c r="N389" s="39"/>
      <c r="O389" s="39"/>
      <c r="P389" s="40"/>
      <c r="Q389" s="41"/>
    </row>
    <row r="390" spans="14:17" ht="14.4" x14ac:dyDescent="0.25">
      <c r="N390" s="39"/>
      <c r="O390" s="39"/>
      <c r="P390" s="40"/>
      <c r="Q390" s="41"/>
    </row>
    <row r="391" spans="14:17" ht="14.4" x14ac:dyDescent="0.25">
      <c r="N391" s="39"/>
      <c r="O391" s="39"/>
      <c r="P391" s="40"/>
      <c r="Q391" s="41"/>
    </row>
    <row r="392" spans="14:17" ht="14.4" x14ac:dyDescent="0.25">
      <c r="N392" s="39"/>
      <c r="O392" s="39"/>
      <c r="P392" s="40"/>
      <c r="Q392" s="41"/>
    </row>
    <row r="393" spans="14:17" ht="14.4" x14ac:dyDescent="0.25">
      <c r="N393" s="39"/>
      <c r="O393" s="39"/>
      <c r="P393" s="40"/>
      <c r="Q393" s="41"/>
    </row>
    <row r="394" spans="14:17" ht="14.4" x14ac:dyDescent="0.25">
      <c r="N394" s="39"/>
      <c r="O394" s="39"/>
      <c r="P394" s="40"/>
      <c r="Q394" s="41"/>
    </row>
    <row r="395" spans="14:17" ht="14.4" x14ac:dyDescent="0.25">
      <c r="N395" s="39"/>
      <c r="O395" s="39"/>
      <c r="P395" s="40"/>
      <c r="Q395" s="41"/>
    </row>
    <row r="396" spans="14:17" ht="14.4" x14ac:dyDescent="0.25">
      <c r="N396" s="39"/>
      <c r="O396" s="39"/>
      <c r="P396" s="40"/>
      <c r="Q396" s="41"/>
    </row>
    <row r="397" spans="14:17" ht="14.4" x14ac:dyDescent="0.25">
      <c r="N397" s="39"/>
      <c r="O397" s="39"/>
      <c r="P397" s="40"/>
      <c r="Q397" s="41"/>
    </row>
    <row r="398" spans="14:17" ht="14.4" x14ac:dyDescent="0.25">
      <c r="N398" s="39"/>
      <c r="O398" s="39"/>
      <c r="P398" s="40"/>
      <c r="Q398" s="41"/>
    </row>
    <row r="399" spans="14:17" ht="14.4" x14ac:dyDescent="0.25">
      <c r="N399" s="39"/>
      <c r="O399" s="39"/>
      <c r="P399" s="40"/>
      <c r="Q399" s="41"/>
    </row>
    <row r="400" spans="14:17" ht="14.4" x14ac:dyDescent="0.25">
      <c r="N400" s="39"/>
      <c r="O400" s="39"/>
      <c r="P400" s="40"/>
      <c r="Q400" s="41"/>
    </row>
    <row r="401" spans="14:17" ht="14.4" x14ac:dyDescent="0.25">
      <c r="N401" s="39"/>
      <c r="O401" s="39"/>
      <c r="P401" s="40"/>
      <c r="Q401" s="41"/>
    </row>
    <row r="402" spans="14:17" ht="14.4" x14ac:dyDescent="0.25">
      <c r="N402" s="39"/>
      <c r="O402" s="39"/>
      <c r="P402" s="40"/>
      <c r="Q402" s="41"/>
    </row>
    <row r="403" spans="14:17" ht="14.4" x14ac:dyDescent="0.25">
      <c r="N403" s="39"/>
      <c r="O403" s="39"/>
      <c r="P403" s="40"/>
      <c r="Q403" s="41"/>
    </row>
    <row r="404" spans="14:17" ht="14.4" x14ac:dyDescent="0.25">
      <c r="N404" s="39"/>
      <c r="O404" s="39"/>
      <c r="P404" s="40"/>
      <c r="Q404" s="41"/>
    </row>
    <row r="405" spans="14:17" ht="14.4" x14ac:dyDescent="0.25">
      <c r="N405" s="39"/>
      <c r="O405" s="39"/>
      <c r="P405" s="40"/>
      <c r="Q405" s="41"/>
    </row>
    <row r="406" spans="14:17" ht="14.4" x14ac:dyDescent="0.25">
      <c r="N406" s="39"/>
      <c r="O406" s="39"/>
      <c r="P406" s="40"/>
      <c r="Q406" s="41"/>
    </row>
    <row r="407" spans="14:17" ht="14.4" x14ac:dyDescent="0.25">
      <c r="N407" s="39"/>
      <c r="O407" s="39"/>
      <c r="P407" s="40"/>
      <c r="Q407" s="41"/>
    </row>
    <row r="408" spans="14:17" ht="14.4" x14ac:dyDescent="0.25">
      <c r="N408" s="39"/>
      <c r="O408" s="39"/>
      <c r="P408" s="40"/>
      <c r="Q408" s="41"/>
    </row>
    <row r="409" spans="14:17" ht="14.4" x14ac:dyDescent="0.25">
      <c r="N409" s="39"/>
      <c r="O409" s="39"/>
      <c r="P409" s="40"/>
      <c r="Q409" s="41"/>
    </row>
    <row r="410" spans="14:17" ht="14.4" x14ac:dyDescent="0.25">
      <c r="N410" s="39"/>
      <c r="O410" s="39"/>
      <c r="P410" s="40"/>
      <c r="Q410" s="41"/>
    </row>
    <row r="411" spans="14:17" ht="14.4" x14ac:dyDescent="0.25">
      <c r="N411" s="39"/>
      <c r="O411" s="39"/>
      <c r="P411" s="40"/>
      <c r="Q411" s="41"/>
    </row>
    <row r="412" spans="14:17" ht="14.4" x14ac:dyDescent="0.25">
      <c r="N412" s="39"/>
      <c r="O412" s="39"/>
      <c r="P412" s="40"/>
      <c r="Q412" s="41"/>
    </row>
    <row r="413" spans="14:17" ht="14.4" x14ac:dyDescent="0.25">
      <c r="N413" s="39"/>
      <c r="O413" s="39"/>
      <c r="P413" s="40"/>
      <c r="Q413" s="41"/>
    </row>
    <row r="414" spans="14:17" ht="14.4" x14ac:dyDescent="0.25">
      <c r="N414" s="39"/>
      <c r="O414" s="39"/>
      <c r="P414" s="40"/>
      <c r="Q414" s="41"/>
    </row>
    <row r="415" spans="14:17" ht="14.4" x14ac:dyDescent="0.25">
      <c r="N415" s="39"/>
      <c r="O415" s="39"/>
      <c r="P415" s="40"/>
      <c r="Q415" s="41"/>
    </row>
    <row r="416" spans="14:17" ht="14.4" x14ac:dyDescent="0.25">
      <c r="N416" s="39"/>
      <c r="O416" s="39"/>
      <c r="P416" s="40"/>
      <c r="Q416" s="41"/>
    </row>
    <row r="417" spans="14:17" ht="14.4" x14ac:dyDescent="0.25">
      <c r="N417" s="39"/>
      <c r="O417" s="39"/>
      <c r="P417" s="40"/>
      <c r="Q417" s="41"/>
    </row>
    <row r="418" spans="14:17" ht="14.4" x14ac:dyDescent="0.25">
      <c r="N418" s="39"/>
      <c r="O418" s="39"/>
      <c r="P418" s="40"/>
      <c r="Q418" s="41"/>
    </row>
    <row r="419" spans="14:17" ht="14.4" x14ac:dyDescent="0.25">
      <c r="N419" s="39"/>
      <c r="O419" s="39"/>
      <c r="P419" s="40"/>
      <c r="Q419" s="41"/>
    </row>
    <row r="420" spans="14:17" ht="14.4" x14ac:dyDescent="0.25">
      <c r="N420" s="39"/>
      <c r="O420" s="39"/>
      <c r="P420" s="40"/>
      <c r="Q420" s="41"/>
    </row>
    <row r="421" spans="14:17" ht="14.4" x14ac:dyDescent="0.25">
      <c r="N421" s="39"/>
      <c r="O421" s="39"/>
      <c r="P421" s="40"/>
      <c r="Q421" s="41"/>
    </row>
    <row r="422" spans="14:17" ht="14.4" x14ac:dyDescent="0.25">
      <c r="N422" s="39"/>
      <c r="O422" s="39"/>
      <c r="P422" s="40"/>
      <c r="Q422" s="41"/>
    </row>
    <row r="423" spans="14:17" ht="14.4" x14ac:dyDescent="0.25">
      <c r="N423" s="39"/>
      <c r="O423" s="39"/>
      <c r="P423" s="40"/>
      <c r="Q423" s="41"/>
    </row>
    <row r="424" spans="14:17" ht="14.4" x14ac:dyDescent="0.25">
      <c r="N424" s="39"/>
      <c r="O424" s="39"/>
      <c r="P424" s="40"/>
      <c r="Q424" s="41"/>
    </row>
    <row r="425" spans="14:17" ht="14.4" x14ac:dyDescent="0.25">
      <c r="N425" s="39"/>
      <c r="O425" s="39"/>
      <c r="P425" s="40"/>
      <c r="Q425" s="41"/>
    </row>
    <row r="426" spans="14:17" ht="14.4" x14ac:dyDescent="0.25">
      <c r="N426" s="39"/>
      <c r="O426" s="39"/>
      <c r="P426" s="40"/>
      <c r="Q426" s="41"/>
    </row>
    <row r="427" spans="14:17" ht="14.4" x14ac:dyDescent="0.25">
      <c r="N427" s="39"/>
      <c r="O427" s="39"/>
      <c r="P427" s="40"/>
      <c r="Q427" s="41"/>
    </row>
    <row r="428" spans="14:17" ht="14.4" x14ac:dyDescent="0.25">
      <c r="N428" s="39"/>
      <c r="O428" s="39"/>
      <c r="P428" s="40"/>
      <c r="Q428" s="41"/>
    </row>
    <row r="429" spans="14:17" ht="14.4" x14ac:dyDescent="0.25">
      <c r="N429" s="39"/>
      <c r="O429" s="39"/>
      <c r="P429" s="40"/>
      <c r="Q429" s="41"/>
    </row>
    <row r="430" spans="14:17" ht="14.4" x14ac:dyDescent="0.25">
      <c r="N430" s="39"/>
      <c r="O430" s="39"/>
      <c r="P430" s="40"/>
      <c r="Q430" s="41"/>
    </row>
    <row r="431" spans="14:17" ht="14.4" x14ac:dyDescent="0.25">
      <c r="N431" s="39"/>
      <c r="O431" s="39"/>
      <c r="P431" s="40"/>
      <c r="Q431" s="41"/>
    </row>
    <row r="432" spans="14:17" ht="14.4" x14ac:dyDescent="0.25">
      <c r="N432" s="39"/>
      <c r="O432" s="39"/>
      <c r="P432" s="40"/>
      <c r="Q432" s="41"/>
    </row>
    <row r="433" spans="14:17" ht="14.4" x14ac:dyDescent="0.25">
      <c r="N433" s="39"/>
      <c r="O433" s="39"/>
      <c r="P433" s="40"/>
      <c r="Q433" s="41"/>
    </row>
    <row r="434" spans="14:17" ht="14.4" x14ac:dyDescent="0.25">
      <c r="N434" s="39"/>
      <c r="O434" s="39"/>
      <c r="P434" s="40"/>
      <c r="Q434" s="41"/>
    </row>
    <row r="435" spans="14:17" ht="14.4" x14ac:dyDescent="0.25">
      <c r="N435" s="39"/>
      <c r="O435" s="39"/>
      <c r="P435" s="40"/>
      <c r="Q435" s="41"/>
    </row>
    <row r="436" spans="14:17" ht="14.4" x14ac:dyDescent="0.25">
      <c r="N436" s="39"/>
      <c r="O436" s="39"/>
      <c r="P436" s="40"/>
      <c r="Q436" s="41"/>
    </row>
    <row r="437" spans="14:17" ht="14.4" x14ac:dyDescent="0.25">
      <c r="N437" s="39"/>
      <c r="O437" s="39"/>
      <c r="P437" s="40"/>
      <c r="Q437" s="41"/>
    </row>
    <row r="438" spans="14:17" ht="14.4" x14ac:dyDescent="0.25">
      <c r="N438" s="39"/>
      <c r="O438" s="39"/>
      <c r="P438" s="40"/>
      <c r="Q438" s="41"/>
    </row>
    <row r="439" spans="14:17" ht="14.4" x14ac:dyDescent="0.25">
      <c r="N439" s="39"/>
      <c r="O439" s="39"/>
      <c r="P439" s="40"/>
      <c r="Q439" s="41"/>
    </row>
    <row r="440" spans="14:17" ht="14.4" x14ac:dyDescent="0.25">
      <c r="N440" s="39"/>
      <c r="O440" s="39"/>
      <c r="P440" s="40"/>
      <c r="Q440" s="41"/>
    </row>
    <row r="441" spans="14:17" ht="14.4" x14ac:dyDescent="0.25">
      <c r="N441" s="39"/>
      <c r="O441" s="39"/>
      <c r="P441" s="40"/>
      <c r="Q441" s="41"/>
    </row>
    <row r="442" spans="14:17" ht="14.4" x14ac:dyDescent="0.25">
      <c r="N442" s="39"/>
      <c r="O442" s="39"/>
      <c r="P442" s="40"/>
      <c r="Q442" s="41"/>
    </row>
    <row r="443" spans="14:17" ht="14.4" x14ac:dyDescent="0.25">
      <c r="N443" s="39"/>
      <c r="O443" s="39"/>
      <c r="P443" s="40"/>
      <c r="Q443" s="41"/>
    </row>
    <row r="444" spans="14:17" ht="14.4" x14ac:dyDescent="0.25">
      <c r="N444" s="39"/>
      <c r="O444" s="39"/>
      <c r="P444" s="40"/>
      <c r="Q444" s="41"/>
    </row>
    <row r="445" spans="14:17" ht="14.4" x14ac:dyDescent="0.25">
      <c r="N445" s="39"/>
      <c r="O445" s="39"/>
      <c r="P445" s="40"/>
      <c r="Q445" s="41"/>
    </row>
    <row r="446" spans="14:17" ht="14.4" x14ac:dyDescent="0.25">
      <c r="N446" s="39"/>
      <c r="O446" s="39"/>
      <c r="P446" s="40"/>
      <c r="Q446" s="41"/>
    </row>
    <row r="447" spans="14:17" ht="14.4" x14ac:dyDescent="0.25">
      <c r="N447" s="39"/>
      <c r="O447" s="39"/>
      <c r="P447" s="40"/>
      <c r="Q447" s="41"/>
    </row>
    <row r="448" spans="14:17" ht="14.4" x14ac:dyDescent="0.25">
      <c r="N448" s="39"/>
      <c r="O448" s="39"/>
      <c r="P448" s="40"/>
      <c r="Q448" s="41"/>
    </row>
    <row r="449" spans="14:17" ht="14.4" x14ac:dyDescent="0.25">
      <c r="N449" s="39"/>
      <c r="O449" s="39"/>
      <c r="P449" s="40"/>
      <c r="Q449" s="41"/>
    </row>
    <row r="450" spans="14:17" ht="14.4" x14ac:dyDescent="0.25">
      <c r="N450" s="39"/>
      <c r="O450" s="39"/>
      <c r="P450" s="40"/>
      <c r="Q450" s="41"/>
    </row>
    <row r="451" spans="14:17" ht="14.4" x14ac:dyDescent="0.25">
      <c r="N451" s="39"/>
      <c r="O451" s="39"/>
      <c r="P451" s="40"/>
      <c r="Q451" s="41"/>
    </row>
    <row r="452" spans="14:17" ht="14.4" x14ac:dyDescent="0.25">
      <c r="N452" s="39"/>
      <c r="O452" s="39"/>
      <c r="P452" s="40"/>
      <c r="Q452" s="41"/>
    </row>
    <row r="453" spans="14:17" ht="14.4" x14ac:dyDescent="0.25">
      <c r="N453" s="39"/>
      <c r="O453" s="39"/>
      <c r="P453" s="40"/>
      <c r="Q453" s="41"/>
    </row>
    <row r="454" spans="14:17" ht="14.4" x14ac:dyDescent="0.25">
      <c r="N454" s="39"/>
      <c r="O454" s="39"/>
      <c r="P454" s="40"/>
      <c r="Q454" s="41"/>
    </row>
    <row r="455" spans="14:17" ht="14.4" x14ac:dyDescent="0.25">
      <c r="N455" s="39"/>
      <c r="O455" s="39"/>
      <c r="P455" s="40"/>
      <c r="Q455" s="41"/>
    </row>
    <row r="456" spans="14:17" ht="14.4" x14ac:dyDescent="0.25">
      <c r="N456" s="39"/>
      <c r="O456" s="39"/>
      <c r="P456" s="40"/>
      <c r="Q456" s="41"/>
    </row>
    <row r="457" spans="14:17" ht="14.4" x14ac:dyDescent="0.25">
      <c r="N457" s="39"/>
      <c r="O457" s="39"/>
      <c r="P457" s="40"/>
      <c r="Q457" s="41"/>
    </row>
    <row r="458" spans="14:17" ht="14.4" x14ac:dyDescent="0.25">
      <c r="N458" s="39"/>
      <c r="O458" s="39"/>
      <c r="P458" s="40"/>
      <c r="Q458" s="41"/>
    </row>
    <row r="459" spans="14:17" ht="14.4" x14ac:dyDescent="0.25">
      <c r="N459" s="39"/>
      <c r="O459" s="39"/>
      <c r="P459" s="40"/>
      <c r="Q459" s="41"/>
    </row>
    <row r="460" spans="14:17" ht="14.4" x14ac:dyDescent="0.25">
      <c r="N460" s="39"/>
      <c r="O460" s="39"/>
      <c r="P460" s="40"/>
      <c r="Q460" s="41"/>
    </row>
    <row r="461" spans="14:17" ht="14.4" x14ac:dyDescent="0.25">
      <c r="N461" s="39"/>
      <c r="O461" s="39"/>
      <c r="P461" s="40"/>
      <c r="Q461" s="41"/>
    </row>
    <row r="462" spans="14:17" ht="14.4" x14ac:dyDescent="0.25">
      <c r="N462" s="39"/>
      <c r="O462" s="39"/>
      <c r="P462" s="40"/>
      <c r="Q462" s="41"/>
    </row>
    <row r="463" spans="14:17" ht="14.4" x14ac:dyDescent="0.25">
      <c r="N463" s="39"/>
      <c r="O463" s="39"/>
      <c r="P463" s="40"/>
      <c r="Q463" s="41"/>
    </row>
    <row r="464" spans="14:17" ht="14.4" x14ac:dyDescent="0.25">
      <c r="N464" s="39"/>
      <c r="O464" s="39"/>
      <c r="P464" s="40"/>
      <c r="Q464" s="41"/>
    </row>
    <row r="465" spans="14:17" ht="14.4" x14ac:dyDescent="0.25">
      <c r="N465" s="39"/>
      <c r="O465" s="39"/>
      <c r="P465" s="40"/>
      <c r="Q465" s="41"/>
    </row>
    <row r="466" spans="14:17" ht="14.4" x14ac:dyDescent="0.25">
      <c r="N466" s="39"/>
      <c r="O466" s="39"/>
      <c r="P466" s="40"/>
      <c r="Q466" s="41"/>
    </row>
    <row r="467" spans="14:17" ht="14.4" x14ac:dyDescent="0.25">
      <c r="N467" s="39"/>
      <c r="O467" s="39"/>
      <c r="P467" s="40"/>
      <c r="Q467" s="41"/>
    </row>
    <row r="468" spans="14:17" ht="14.4" x14ac:dyDescent="0.25">
      <c r="N468" s="39"/>
      <c r="O468" s="39"/>
      <c r="P468" s="40"/>
      <c r="Q468" s="41"/>
    </row>
    <row r="469" spans="14:17" ht="14.4" x14ac:dyDescent="0.25">
      <c r="N469" s="39"/>
      <c r="O469" s="39"/>
      <c r="P469" s="40"/>
      <c r="Q469" s="41"/>
    </row>
    <row r="470" spans="14:17" ht="14.4" x14ac:dyDescent="0.25">
      <c r="N470" s="39"/>
      <c r="O470" s="39"/>
      <c r="P470" s="40"/>
      <c r="Q470" s="41"/>
    </row>
    <row r="471" spans="14:17" ht="14.4" x14ac:dyDescent="0.25">
      <c r="N471" s="39"/>
      <c r="O471" s="39"/>
      <c r="P471" s="40"/>
      <c r="Q471" s="41"/>
    </row>
    <row r="472" spans="14:17" ht="14.4" x14ac:dyDescent="0.25">
      <c r="N472" s="39"/>
      <c r="O472" s="39"/>
      <c r="P472" s="40"/>
      <c r="Q472" s="41"/>
    </row>
    <row r="473" spans="14:17" ht="14.4" x14ac:dyDescent="0.25">
      <c r="N473" s="39"/>
      <c r="O473" s="39"/>
      <c r="P473" s="40"/>
      <c r="Q473" s="41"/>
    </row>
    <row r="474" spans="14:17" ht="14.4" x14ac:dyDescent="0.25">
      <c r="N474" s="39"/>
      <c r="O474" s="39"/>
      <c r="P474" s="40"/>
      <c r="Q474" s="41"/>
    </row>
    <row r="475" spans="14:17" ht="14.4" x14ac:dyDescent="0.25">
      <c r="N475" s="39"/>
      <c r="O475" s="39"/>
      <c r="P475" s="40"/>
      <c r="Q475" s="41"/>
    </row>
    <row r="476" spans="14:17" ht="14.4" x14ac:dyDescent="0.25">
      <c r="N476" s="39"/>
      <c r="O476" s="39"/>
      <c r="P476" s="40"/>
      <c r="Q476" s="41"/>
    </row>
    <row r="477" spans="14:17" ht="14.4" x14ac:dyDescent="0.25">
      <c r="N477" s="39"/>
      <c r="O477" s="39"/>
      <c r="P477" s="40"/>
      <c r="Q477" s="41"/>
    </row>
    <row r="478" spans="14:17" ht="14.4" x14ac:dyDescent="0.25">
      <c r="N478" s="39"/>
      <c r="O478" s="39"/>
      <c r="P478" s="40"/>
      <c r="Q478" s="41"/>
    </row>
    <row r="479" spans="14:17" ht="14.4" x14ac:dyDescent="0.25">
      <c r="N479" s="39"/>
      <c r="O479" s="39"/>
      <c r="P479" s="40"/>
      <c r="Q479" s="41"/>
    </row>
    <row r="480" spans="14:17" ht="14.4" x14ac:dyDescent="0.25">
      <c r="N480" s="39"/>
      <c r="O480" s="39"/>
      <c r="P480" s="40"/>
      <c r="Q480" s="41"/>
    </row>
    <row r="481" spans="14:17" ht="14.4" x14ac:dyDescent="0.25">
      <c r="N481" s="39"/>
      <c r="O481" s="39"/>
      <c r="P481" s="40"/>
      <c r="Q481" s="41"/>
    </row>
    <row r="482" spans="14:17" ht="14.4" x14ac:dyDescent="0.25">
      <c r="N482" s="39"/>
      <c r="O482" s="39"/>
      <c r="P482" s="40"/>
      <c r="Q482" s="41"/>
    </row>
    <row r="483" spans="14:17" ht="14.4" x14ac:dyDescent="0.25">
      <c r="N483" s="39"/>
      <c r="O483" s="39"/>
      <c r="P483" s="40"/>
      <c r="Q483" s="41"/>
    </row>
    <row r="484" spans="14:17" ht="14.4" x14ac:dyDescent="0.25">
      <c r="N484" s="39"/>
      <c r="O484" s="39"/>
      <c r="P484" s="40"/>
      <c r="Q484" s="41"/>
    </row>
    <row r="485" spans="14:17" ht="14.4" x14ac:dyDescent="0.25">
      <c r="N485" s="39"/>
      <c r="O485" s="39"/>
      <c r="P485" s="40"/>
      <c r="Q485" s="41"/>
    </row>
    <row r="486" spans="14:17" ht="14.4" x14ac:dyDescent="0.25">
      <c r="N486" s="39"/>
      <c r="O486" s="39"/>
      <c r="P486" s="40"/>
      <c r="Q486" s="41"/>
    </row>
    <row r="487" spans="14:17" ht="14.4" x14ac:dyDescent="0.25">
      <c r="N487" s="39"/>
      <c r="O487" s="39"/>
      <c r="P487" s="40"/>
      <c r="Q487" s="41"/>
    </row>
    <row r="488" spans="14:17" ht="14.4" x14ac:dyDescent="0.25">
      <c r="N488" s="39"/>
      <c r="O488" s="39"/>
      <c r="P488" s="40"/>
      <c r="Q488" s="41"/>
    </row>
    <row r="489" spans="14:17" ht="14.4" x14ac:dyDescent="0.25">
      <c r="N489" s="39"/>
      <c r="O489" s="39"/>
      <c r="P489" s="40"/>
      <c r="Q489" s="41"/>
    </row>
    <row r="490" spans="14:17" ht="14.4" x14ac:dyDescent="0.25">
      <c r="N490" s="39"/>
      <c r="O490" s="39"/>
      <c r="P490" s="40"/>
      <c r="Q490" s="41"/>
    </row>
    <row r="491" spans="14:17" ht="14.4" x14ac:dyDescent="0.25">
      <c r="N491" s="39"/>
      <c r="O491" s="39"/>
      <c r="P491" s="40"/>
      <c r="Q491" s="41"/>
    </row>
    <row r="492" spans="14:17" ht="14.4" x14ac:dyDescent="0.25">
      <c r="N492" s="39"/>
      <c r="O492" s="39"/>
      <c r="P492" s="40"/>
      <c r="Q492" s="41"/>
    </row>
    <row r="493" spans="14:17" ht="14.4" x14ac:dyDescent="0.25">
      <c r="N493" s="39"/>
      <c r="O493" s="39"/>
      <c r="P493" s="40"/>
      <c r="Q493" s="41"/>
    </row>
    <row r="494" spans="14:17" ht="14.4" x14ac:dyDescent="0.25">
      <c r="N494" s="39"/>
      <c r="O494" s="39"/>
      <c r="P494" s="40"/>
      <c r="Q494" s="41"/>
    </row>
    <row r="495" spans="14:17" ht="14.4" x14ac:dyDescent="0.25">
      <c r="N495" s="39"/>
      <c r="O495" s="39"/>
      <c r="P495" s="40"/>
      <c r="Q495" s="41"/>
    </row>
    <row r="496" spans="14:17" ht="14.4" x14ac:dyDescent="0.25">
      <c r="N496" s="39"/>
      <c r="O496" s="39"/>
      <c r="P496" s="40"/>
      <c r="Q496" s="41"/>
    </row>
    <row r="497" spans="14:17" ht="14.4" x14ac:dyDescent="0.25">
      <c r="N497" s="39"/>
      <c r="O497" s="39"/>
      <c r="P497" s="40"/>
      <c r="Q497" s="41"/>
    </row>
    <row r="498" spans="14:17" ht="14.4" x14ac:dyDescent="0.25">
      <c r="N498" s="39"/>
      <c r="O498" s="39"/>
      <c r="P498" s="40"/>
      <c r="Q498" s="41"/>
    </row>
    <row r="499" spans="14:17" ht="14.4" x14ac:dyDescent="0.25">
      <c r="N499" s="39"/>
      <c r="O499" s="39"/>
      <c r="P499" s="40"/>
      <c r="Q499" s="41"/>
    </row>
    <row r="500" spans="14:17" ht="14.4" x14ac:dyDescent="0.25">
      <c r="N500" s="39"/>
      <c r="O500" s="39"/>
      <c r="P500" s="40"/>
      <c r="Q500" s="41"/>
    </row>
    <row r="501" spans="14:17" ht="14.4" x14ac:dyDescent="0.25">
      <c r="N501" s="39"/>
      <c r="O501" s="39"/>
      <c r="P501" s="40"/>
      <c r="Q501" s="41"/>
    </row>
    <row r="502" spans="14:17" ht="14.4" x14ac:dyDescent="0.25">
      <c r="N502" s="39"/>
      <c r="O502" s="39"/>
      <c r="P502" s="40"/>
      <c r="Q502" s="41"/>
    </row>
    <row r="503" spans="14:17" ht="14.4" x14ac:dyDescent="0.25">
      <c r="N503" s="39"/>
      <c r="O503" s="39"/>
      <c r="P503" s="40"/>
      <c r="Q503" s="41"/>
    </row>
    <row r="504" spans="14:17" ht="14.4" x14ac:dyDescent="0.25">
      <c r="N504" s="39"/>
      <c r="O504" s="39"/>
      <c r="P504" s="40"/>
      <c r="Q504" s="41"/>
    </row>
    <row r="505" spans="14:17" ht="14.4" x14ac:dyDescent="0.25">
      <c r="N505" s="39"/>
      <c r="O505" s="39"/>
      <c r="P505" s="40"/>
      <c r="Q505" s="41"/>
    </row>
    <row r="506" spans="14:17" ht="14.4" x14ac:dyDescent="0.25">
      <c r="N506" s="39"/>
      <c r="O506" s="39"/>
      <c r="P506" s="40"/>
      <c r="Q506" s="41"/>
    </row>
    <row r="507" spans="14:17" ht="14.4" x14ac:dyDescent="0.25">
      <c r="N507" s="39"/>
      <c r="O507" s="39"/>
      <c r="P507" s="40"/>
      <c r="Q507" s="41"/>
    </row>
    <row r="508" spans="14:17" ht="14.4" x14ac:dyDescent="0.25">
      <c r="N508" s="39"/>
      <c r="O508" s="39"/>
      <c r="P508" s="40"/>
      <c r="Q508" s="41"/>
    </row>
    <row r="509" spans="14:17" ht="14.4" x14ac:dyDescent="0.25">
      <c r="N509" s="39"/>
      <c r="O509" s="39"/>
      <c r="P509" s="40"/>
      <c r="Q509" s="41"/>
    </row>
    <row r="510" spans="14:17" ht="14.4" x14ac:dyDescent="0.25">
      <c r="N510" s="39"/>
      <c r="O510" s="39"/>
      <c r="P510" s="40"/>
      <c r="Q510" s="41"/>
    </row>
    <row r="511" spans="14:17" ht="14.4" x14ac:dyDescent="0.25">
      <c r="N511" s="39"/>
      <c r="O511" s="39"/>
      <c r="P511" s="40"/>
      <c r="Q511" s="41"/>
    </row>
    <row r="512" spans="14:17" ht="14.4" x14ac:dyDescent="0.25">
      <c r="N512" s="39"/>
      <c r="O512" s="39"/>
      <c r="P512" s="40"/>
      <c r="Q512" s="41"/>
    </row>
    <row r="513" spans="14:17" ht="14.4" x14ac:dyDescent="0.25">
      <c r="N513" s="39"/>
      <c r="O513" s="39"/>
      <c r="P513" s="40"/>
      <c r="Q513" s="41"/>
    </row>
    <row r="514" spans="14:17" ht="14.4" x14ac:dyDescent="0.25">
      <c r="N514" s="39"/>
      <c r="O514" s="39"/>
      <c r="P514" s="40"/>
      <c r="Q514" s="41"/>
    </row>
    <row r="515" spans="14:17" ht="14.4" x14ac:dyDescent="0.25">
      <c r="N515" s="39"/>
      <c r="O515" s="39"/>
      <c r="P515" s="40"/>
      <c r="Q515" s="41"/>
    </row>
    <row r="516" spans="14:17" ht="14.4" x14ac:dyDescent="0.25">
      <c r="N516" s="39"/>
      <c r="O516" s="39"/>
      <c r="P516" s="40"/>
      <c r="Q516" s="41"/>
    </row>
    <row r="517" spans="14:17" ht="14.4" x14ac:dyDescent="0.25">
      <c r="N517" s="39"/>
      <c r="O517" s="39"/>
      <c r="P517" s="40"/>
      <c r="Q517" s="41"/>
    </row>
    <row r="518" spans="14:17" ht="14.4" x14ac:dyDescent="0.25">
      <c r="N518" s="39"/>
      <c r="O518" s="39"/>
      <c r="P518" s="40"/>
      <c r="Q518" s="41"/>
    </row>
    <row r="519" spans="14:17" ht="14.4" x14ac:dyDescent="0.25">
      <c r="N519" s="39"/>
      <c r="O519" s="39"/>
      <c r="P519" s="40"/>
      <c r="Q519" s="41"/>
    </row>
    <row r="520" spans="14:17" ht="14.4" x14ac:dyDescent="0.25">
      <c r="N520" s="39"/>
      <c r="O520" s="39"/>
      <c r="P520" s="40"/>
      <c r="Q520" s="41"/>
    </row>
    <row r="521" spans="14:17" ht="14.4" x14ac:dyDescent="0.25">
      <c r="N521" s="39"/>
      <c r="O521" s="39"/>
      <c r="P521" s="40"/>
      <c r="Q521" s="41"/>
    </row>
    <row r="522" spans="14:17" ht="14.4" x14ac:dyDescent="0.25">
      <c r="N522" s="39"/>
      <c r="O522" s="39"/>
      <c r="P522" s="40"/>
      <c r="Q522" s="41"/>
    </row>
    <row r="523" spans="14:17" ht="14.4" x14ac:dyDescent="0.25">
      <c r="N523" s="39"/>
      <c r="O523" s="39"/>
      <c r="P523" s="40"/>
      <c r="Q523" s="41"/>
    </row>
    <row r="524" spans="14:17" ht="14.4" x14ac:dyDescent="0.25">
      <c r="N524" s="39"/>
      <c r="O524" s="39"/>
      <c r="P524" s="40"/>
      <c r="Q524" s="41"/>
    </row>
    <row r="525" spans="14:17" ht="14.4" x14ac:dyDescent="0.25">
      <c r="N525" s="39"/>
      <c r="O525" s="39"/>
      <c r="P525" s="40"/>
      <c r="Q525" s="41"/>
    </row>
    <row r="526" spans="14:17" ht="14.4" x14ac:dyDescent="0.25">
      <c r="N526" s="39"/>
      <c r="O526" s="39"/>
      <c r="P526" s="40"/>
      <c r="Q526" s="41"/>
    </row>
    <row r="527" spans="14:17" ht="14.4" x14ac:dyDescent="0.25">
      <c r="N527" s="39"/>
      <c r="O527" s="39"/>
      <c r="P527" s="40"/>
      <c r="Q527" s="41"/>
    </row>
    <row r="528" spans="14:17" ht="14.4" x14ac:dyDescent="0.25">
      <c r="N528" s="39"/>
      <c r="O528" s="39"/>
      <c r="P528" s="40"/>
      <c r="Q528" s="41"/>
    </row>
    <row r="529" spans="14:17" ht="14.4" x14ac:dyDescent="0.25">
      <c r="N529" s="39"/>
      <c r="O529" s="39"/>
      <c r="P529" s="40"/>
      <c r="Q529" s="41"/>
    </row>
    <row r="530" spans="14:17" ht="14.4" x14ac:dyDescent="0.25">
      <c r="N530" s="39"/>
      <c r="O530" s="39"/>
      <c r="P530" s="40"/>
      <c r="Q530" s="41"/>
    </row>
    <row r="531" spans="14:17" ht="14.4" x14ac:dyDescent="0.25">
      <c r="N531" s="39"/>
      <c r="O531" s="39"/>
      <c r="P531" s="40"/>
      <c r="Q531" s="41"/>
    </row>
    <row r="532" spans="14:17" ht="14.4" x14ac:dyDescent="0.25">
      <c r="N532" s="39"/>
      <c r="O532" s="39"/>
      <c r="P532" s="40"/>
      <c r="Q532" s="41"/>
    </row>
    <row r="533" spans="14:17" ht="14.4" x14ac:dyDescent="0.25">
      <c r="N533" s="39"/>
      <c r="O533" s="39"/>
      <c r="P533" s="40"/>
      <c r="Q533" s="41"/>
    </row>
    <row r="534" spans="14:17" ht="14.4" x14ac:dyDescent="0.25">
      <c r="N534" s="39"/>
      <c r="O534" s="39"/>
      <c r="P534" s="40"/>
      <c r="Q534" s="41"/>
    </row>
    <row r="535" spans="14:17" ht="14.4" x14ac:dyDescent="0.25">
      <c r="N535" s="39"/>
      <c r="O535" s="39"/>
      <c r="P535" s="40"/>
      <c r="Q535" s="41"/>
    </row>
    <row r="536" spans="14:17" ht="14.4" x14ac:dyDescent="0.25">
      <c r="N536" s="39"/>
      <c r="O536" s="39"/>
      <c r="P536" s="40"/>
      <c r="Q536" s="41"/>
    </row>
    <row r="537" spans="14:17" ht="14.4" x14ac:dyDescent="0.25">
      <c r="N537" s="39"/>
      <c r="O537" s="39"/>
      <c r="P537" s="40"/>
      <c r="Q537" s="41"/>
    </row>
    <row r="538" spans="14:17" ht="14.4" x14ac:dyDescent="0.25">
      <c r="N538" s="39"/>
      <c r="O538" s="39"/>
      <c r="P538" s="40"/>
      <c r="Q538" s="41"/>
    </row>
    <row r="539" spans="14:17" ht="14.4" x14ac:dyDescent="0.25">
      <c r="N539" s="39"/>
      <c r="O539" s="39"/>
      <c r="P539" s="40"/>
      <c r="Q539" s="41"/>
    </row>
    <row r="540" spans="14:17" ht="14.4" x14ac:dyDescent="0.25">
      <c r="N540" s="39"/>
      <c r="O540" s="39"/>
      <c r="P540" s="40"/>
      <c r="Q540" s="41"/>
    </row>
    <row r="541" spans="14:17" ht="14.4" x14ac:dyDescent="0.25">
      <c r="N541" s="39"/>
      <c r="O541" s="39"/>
      <c r="P541" s="40"/>
      <c r="Q541" s="41"/>
    </row>
    <row r="542" spans="14:17" ht="14.4" x14ac:dyDescent="0.25">
      <c r="N542" s="39"/>
      <c r="O542" s="39"/>
      <c r="P542" s="40"/>
      <c r="Q542" s="41"/>
    </row>
    <row r="543" spans="14:17" ht="14.4" x14ac:dyDescent="0.25">
      <c r="N543" s="39"/>
      <c r="O543" s="39"/>
      <c r="P543" s="40"/>
      <c r="Q543" s="41"/>
    </row>
    <row r="544" spans="14:17" ht="14.4" x14ac:dyDescent="0.25">
      <c r="N544" s="39"/>
      <c r="O544" s="39"/>
      <c r="P544" s="40"/>
      <c r="Q544" s="41"/>
    </row>
    <row r="545" spans="14:17" ht="14.4" x14ac:dyDescent="0.25">
      <c r="N545" s="39"/>
      <c r="O545" s="39"/>
      <c r="P545" s="40"/>
      <c r="Q545" s="41"/>
    </row>
    <row r="546" spans="14:17" ht="14.4" x14ac:dyDescent="0.25">
      <c r="N546" s="39"/>
      <c r="O546" s="39"/>
      <c r="P546" s="40"/>
      <c r="Q546" s="41"/>
    </row>
    <row r="547" spans="14:17" ht="14.4" x14ac:dyDescent="0.25">
      <c r="N547" s="39"/>
      <c r="O547" s="39"/>
      <c r="P547" s="40"/>
      <c r="Q547" s="41"/>
    </row>
    <row r="548" spans="14:17" ht="14.4" x14ac:dyDescent="0.25">
      <c r="N548" s="39"/>
      <c r="O548" s="39"/>
      <c r="P548" s="40"/>
      <c r="Q548" s="41"/>
    </row>
    <row r="549" spans="14:17" ht="14.4" x14ac:dyDescent="0.25">
      <c r="N549" s="39"/>
      <c r="O549" s="39"/>
      <c r="P549" s="40"/>
      <c r="Q549" s="41"/>
    </row>
    <row r="550" spans="14:17" ht="14.4" x14ac:dyDescent="0.25">
      <c r="N550" s="39"/>
      <c r="O550" s="39"/>
      <c r="P550" s="40"/>
      <c r="Q550" s="41"/>
    </row>
    <row r="551" spans="14:17" ht="14.4" x14ac:dyDescent="0.25">
      <c r="N551" s="39"/>
      <c r="O551" s="39"/>
      <c r="P551" s="40"/>
      <c r="Q551" s="41"/>
    </row>
    <row r="552" spans="14:17" ht="14.4" x14ac:dyDescent="0.25">
      <c r="N552" s="39"/>
      <c r="O552" s="39"/>
      <c r="P552" s="40"/>
      <c r="Q552" s="41"/>
    </row>
    <row r="553" spans="14:17" ht="14.4" x14ac:dyDescent="0.25">
      <c r="N553" s="39"/>
      <c r="O553" s="39"/>
      <c r="P553" s="40"/>
      <c r="Q553" s="41"/>
    </row>
    <row r="554" spans="14:17" ht="14.4" x14ac:dyDescent="0.25">
      <c r="N554" s="39"/>
      <c r="O554" s="39"/>
      <c r="P554" s="40"/>
      <c r="Q554" s="41"/>
    </row>
    <row r="555" spans="14:17" ht="14.4" x14ac:dyDescent="0.25">
      <c r="N555" s="39"/>
      <c r="O555" s="39"/>
      <c r="P555" s="40"/>
      <c r="Q555" s="41"/>
    </row>
    <row r="556" spans="14:17" ht="14.4" x14ac:dyDescent="0.25">
      <c r="N556" s="39"/>
      <c r="O556" s="39"/>
      <c r="P556" s="40"/>
      <c r="Q556" s="41"/>
    </row>
    <row r="557" spans="14:17" ht="14.4" x14ac:dyDescent="0.25">
      <c r="N557" s="39"/>
      <c r="O557" s="39"/>
      <c r="P557" s="40"/>
      <c r="Q557" s="41"/>
    </row>
    <row r="558" spans="14:17" ht="14.4" x14ac:dyDescent="0.25">
      <c r="N558" s="39"/>
      <c r="O558" s="39"/>
      <c r="P558" s="40"/>
      <c r="Q558" s="41"/>
    </row>
    <row r="559" spans="14:17" ht="14.4" x14ac:dyDescent="0.25">
      <c r="N559" s="39"/>
      <c r="O559" s="39"/>
      <c r="P559" s="40"/>
      <c r="Q559" s="41"/>
    </row>
    <row r="560" spans="14:17" ht="14.4" x14ac:dyDescent="0.25">
      <c r="N560" s="39"/>
      <c r="O560" s="39"/>
      <c r="P560" s="40"/>
      <c r="Q560" s="41"/>
    </row>
    <row r="561" spans="14:17" ht="14.4" x14ac:dyDescent="0.25">
      <c r="N561" s="39"/>
      <c r="O561" s="39"/>
      <c r="P561" s="40"/>
      <c r="Q561" s="41"/>
    </row>
    <row r="562" spans="14:17" ht="14.4" x14ac:dyDescent="0.25">
      <c r="N562" s="39"/>
      <c r="O562" s="39"/>
      <c r="P562" s="40"/>
      <c r="Q562" s="41"/>
    </row>
    <row r="563" spans="14:17" ht="14.4" x14ac:dyDescent="0.25">
      <c r="N563" s="39"/>
      <c r="O563" s="39"/>
      <c r="P563" s="40"/>
      <c r="Q563" s="41"/>
    </row>
    <row r="564" spans="14:17" ht="14.4" x14ac:dyDescent="0.25">
      <c r="N564" s="39"/>
      <c r="O564" s="39"/>
      <c r="P564" s="40"/>
      <c r="Q564" s="41"/>
    </row>
    <row r="565" spans="14:17" ht="14.4" x14ac:dyDescent="0.25">
      <c r="N565" s="39"/>
      <c r="O565" s="39"/>
      <c r="P565" s="40"/>
      <c r="Q565" s="41"/>
    </row>
    <row r="566" spans="14:17" ht="14.4" x14ac:dyDescent="0.25">
      <c r="N566" s="39"/>
      <c r="O566" s="39"/>
      <c r="P566" s="40"/>
      <c r="Q566" s="41"/>
    </row>
    <row r="567" spans="14:17" ht="14.4" x14ac:dyDescent="0.25">
      <c r="N567" s="39"/>
      <c r="O567" s="39"/>
      <c r="P567" s="40"/>
      <c r="Q567" s="41"/>
    </row>
    <row r="568" spans="14:17" ht="14.4" x14ac:dyDescent="0.25">
      <c r="N568" s="39"/>
      <c r="O568" s="39"/>
      <c r="P568" s="40"/>
      <c r="Q568" s="41"/>
    </row>
    <row r="569" spans="14:17" ht="14.4" x14ac:dyDescent="0.25">
      <c r="N569" s="39"/>
      <c r="O569" s="39"/>
      <c r="P569" s="40"/>
      <c r="Q569" s="41"/>
    </row>
    <row r="570" spans="14:17" ht="14.4" x14ac:dyDescent="0.25">
      <c r="N570" s="39"/>
      <c r="O570" s="39"/>
      <c r="P570" s="40"/>
      <c r="Q570" s="41"/>
    </row>
    <row r="571" spans="14:17" ht="14.4" x14ac:dyDescent="0.25">
      <c r="N571" s="39"/>
      <c r="O571" s="39"/>
      <c r="P571" s="40"/>
      <c r="Q571" s="41"/>
    </row>
    <row r="572" spans="14:17" ht="14.4" x14ac:dyDescent="0.25">
      <c r="N572" s="39"/>
      <c r="O572" s="39"/>
      <c r="P572" s="40"/>
      <c r="Q572" s="41"/>
    </row>
    <row r="573" spans="14:17" ht="14.4" x14ac:dyDescent="0.25">
      <c r="N573" s="39"/>
      <c r="O573" s="39"/>
      <c r="P573" s="40"/>
      <c r="Q573" s="41"/>
    </row>
    <row r="574" spans="14:17" ht="14.4" x14ac:dyDescent="0.25">
      <c r="N574" s="39"/>
      <c r="O574" s="39"/>
      <c r="P574" s="40"/>
      <c r="Q574" s="41"/>
    </row>
    <row r="575" spans="14:17" ht="14.4" x14ac:dyDescent="0.25">
      <c r="N575" s="39"/>
      <c r="O575" s="39"/>
      <c r="P575" s="40"/>
      <c r="Q575" s="41"/>
    </row>
    <row r="576" spans="14:17" ht="14.4" x14ac:dyDescent="0.25">
      <c r="N576" s="39"/>
      <c r="O576" s="39"/>
      <c r="P576" s="40"/>
      <c r="Q576" s="41"/>
    </row>
    <row r="577" spans="14:17" ht="14.4" x14ac:dyDescent="0.25">
      <c r="N577" s="39"/>
      <c r="O577" s="39"/>
      <c r="P577" s="40"/>
      <c r="Q577" s="41"/>
    </row>
    <row r="578" spans="14:17" ht="14.4" x14ac:dyDescent="0.25">
      <c r="N578" s="39"/>
      <c r="O578" s="39"/>
      <c r="P578" s="40"/>
      <c r="Q578" s="41"/>
    </row>
    <row r="579" spans="14:17" ht="14.4" x14ac:dyDescent="0.25">
      <c r="N579" s="39"/>
      <c r="O579" s="39"/>
      <c r="P579" s="40"/>
      <c r="Q579" s="41"/>
    </row>
    <row r="580" spans="14:17" ht="14.4" x14ac:dyDescent="0.25">
      <c r="N580" s="39"/>
      <c r="O580" s="39"/>
      <c r="P580" s="40"/>
      <c r="Q580" s="41"/>
    </row>
    <row r="581" spans="14:17" ht="14.4" x14ac:dyDescent="0.25">
      <c r="N581" s="39"/>
      <c r="O581" s="39"/>
      <c r="P581" s="40"/>
      <c r="Q581" s="41"/>
    </row>
    <row r="582" spans="14:17" ht="14.4" x14ac:dyDescent="0.25">
      <c r="N582" s="39"/>
      <c r="O582" s="39"/>
      <c r="P582" s="40"/>
      <c r="Q582" s="41"/>
    </row>
    <row r="583" spans="14:17" ht="14.4" x14ac:dyDescent="0.25">
      <c r="N583" s="39"/>
      <c r="O583" s="39"/>
      <c r="P583" s="40"/>
      <c r="Q583" s="41"/>
    </row>
    <row r="584" spans="14:17" ht="14.4" x14ac:dyDescent="0.25">
      <c r="N584" s="39"/>
      <c r="O584" s="39"/>
      <c r="P584" s="40"/>
      <c r="Q584" s="41"/>
    </row>
    <row r="585" spans="14:17" ht="14.4" x14ac:dyDescent="0.25">
      <c r="N585" s="39"/>
      <c r="O585" s="39"/>
      <c r="P585" s="40"/>
      <c r="Q585" s="41"/>
    </row>
    <row r="586" spans="14:17" ht="14.4" x14ac:dyDescent="0.25">
      <c r="N586" s="39"/>
      <c r="O586" s="39"/>
      <c r="P586" s="40"/>
      <c r="Q586" s="41"/>
    </row>
    <row r="587" spans="14:17" ht="14.4" x14ac:dyDescent="0.25">
      <c r="N587" s="39"/>
      <c r="O587" s="39"/>
      <c r="P587" s="40"/>
      <c r="Q587" s="41"/>
    </row>
    <row r="588" spans="14:17" ht="14.4" x14ac:dyDescent="0.25">
      <c r="N588" s="39"/>
      <c r="O588" s="39"/>
      <c r="P588" s="40"/>
      <c r="Q588" s="41"/>
    </row>
    <row r="589" spans="14:17" ht="14.4" x14ac:dyDescent="0.25">
      <c r="N589" s="39"/>
      <c r="O589" s="39"/>
      <c r="P589" s="40"/>
      <c r="Q589" s="41"/>
    </row>
    <row r="590" spans="14:17" ht="14.4" x14ac:dyDescent="0.25">
      <c r="N590" s="39"/>
      <c r="O590" s="39"/>
      <c r="P590" s="40"/>
      <c r="Q590" s="41"/>
    </row>
    <row r="591" spans="14:17" ht="14.4" x14ac:dyDescent="0.25">
      <c r="N591" s="39"/>
      <c r="O591" s="39"/>
      <c r="P591" s="40"/>
      <c r="Q591" s="41"/>
    </row>
    <row r="592" spans="14:17" ht="14.4" x14ac:dyDescent="0.25">
      <c r="N592" s="39"/>
      <c r="O592" s="39"/>
      <c r="P592" s="40"/>
      <c r="Q592" s="41"/>
    </row>
    <row r="593" spans="14:17" ht="14.4" x14ac:dyDescent="0.25">
      <c r="N593" s="39"/>
      <c r="O593" s="39"/>
      <c r="P593" s="40"/>
      <c r="Q593" s="41"/>
    </row>
    <row r="594" spans="14:17" ht="14.4" x14ac:dyDescent="0.25">
      <c r="N594" s="39"/>
      <c r="O594" s="39"/>
      <c r="P594" s="40"/>
      <c r="Q594" s="41"/>
    </row>
    <row r="595" spans="14:17" ht="14.4" x14ac:dyDescent="0.25">
      <c r="N595" s="39"/>
      <c r="O595" s="39"/>
      <c r="P595" s="40"/>
      <c r="Q595" s="41"/>
    </row>
    <row r="596" spans="14:17" ht="14.4" x14ac:dyDescent="0.25">
      <c r="N596" s="39"/>
      <c r="O596" s="39"/>
      <c r="P596" s="40"/>
      <c r="Q596" s="41"/>
    </row>
    <row r="597" spans="14:17" ht="14.4" x14ac:dyDescent="0.25">
      <c r="N597" s="39"/>
      <c r="O597" s="39"/>
      <c r="P597" s="40"/>
      <c r="Q597" s="41"/>
    </row>
    <row r="598" spans="14:17" ht="14.4" x14ac:dyDescent="0.25">
      <c r="N598" s="39"/>
      <c r="O598" s="39"/>
      <c r="P598" s="40"/>
      <c r="Q598" s="41"/>
    </row>
    <row r="599" spans="14:17" ht="14.4" x14ac:dyDescent="0.25">
      <c r="N599" s="39"/>
      <c r="O599" s="39"/>
      <c r="P599" s="40"/>
      <c r="Q599" s="41"/>
    </row>
    <row r="600" spans="14:17" ht="14.4" x14ac:dyDescent="0.25">
      <c r="N600" s="39"/>
      <c r="O600" s="39"/>
      <c r="P600" s="40"/>
      <c r="Q600" s="41"/>
    </row>
    <row r="601" spans="14:17" ht="14.4" x14ac:dyDescent="0.25">
      <c r="N601" s="39"/>
      <c r="O601" s="39"/>
      <c r="P601" s="40"/>
      <c r="Q601" s="41"/>
    </row>
    <row r="602" spans="14:17" ht="14.4" x14ac:dyDescent="0.25">
      <c r="N602" s="39"/>
      <c r="O602" s="39"/>
      <c r="P602" s="40"/>
      <c r="Q602" s="41"/>
    </row>
    <row r="603" spans="14:17" ht="14.4" x14ac:dyDescent="0.25">
      <c r="N603" s="39"/>
      <c r="O603" s="39"/>
      <c r="P603" s="40"/>
      <c r="Q603" s="41"/>
    </row>
    <row r="604" spans="14:17" ht="14.4" x14ac:dyDescent="0.25">
      <c r="N604" s="39"/>
      <c r="O604" s="39"/>
      <c r="P604" s="40"/>
      <c r="Q604" s="41"/>
    </row>
    <row r="605" spans="14:17" ht="14.4" x14ac:dyDescent="0.25">
      <c r="N605" s="39"/>
      <c r="O605" s="39"/>
      <c r="P605" s="40"/>
      <c r="Q605" s="41"/>
    </row>
    <row r="606" spans="14:17" ht="14.4" x14ac:dyDescent="0.25">
      <c r="N606" s="39"/>
      <c r="O606" s="39"/>
      <c r="P606" s="40"/>
      <c r="Q606" s="41"/>
    </row>
    <row r="607" spans="14:17" ht="14.4" x14ac:dyDescent="0.25">
      <c r="N607" s="39"/>
      <c r="O607" s="39"/>
      <c r="P607" s="40"/>
      <c r="Q607" s="41"/>
    </row>
    <row r="608" spans="14:17" ht="14.4" x14ac:dyDescent="0.25">
      <c r="N608" s="39"/>
      <c r="O608" s="39"/>
      <c r="P608" s="40"/>
      <c r="Q608" s="41"/>
    </row>
    <row r="609" spans="14:17" ht="14.4" x14ac:dyDescent="0.25">
      <c r="N609" s="39"/>
      <c r="O609" s="39"/>
      <c r="P609" s="40"/>
      <c r="Q609" s="41"/>
    </row>
    <row r="610" spans="14:17" ht="14.4" x14ac:dyDescent="0.25">
      <c r="N610" s="39"/>
      <c r="O610" s="39"/>
      <c r="P610" s="40"/>
      <c r="Q610" s="41"/>
    </row>
    <row r="611" spans="14:17" ht="14.4" x14ac:dyDescent="0.25">
      <c r="N611" s="39"/>
      <c r="O611" s="39"/>
      <c r="P611" s="40"/>
      <c r="Q611" s="41"/>
    </row>
    <row r="612" spans="14:17" ht="14.4" x14ac:dyDescent="0.25">
      <c r="N612" s="39"/>
      <c r="O612" s="39"/>
      <c r="P612" s="40"/>
      <c r="Q612" s="41"/>
    </row>
    <row r="613" spans="14:17" ht="14.4" x14ac:dyDescent="0.25">
      <c r="N613" s="39"/>
      <c r="O613" s="39"/>
      <c r="P613" s="40"/>
      <c r="Q613" s="41"/>
    </row>
    <row r="614" spans="14:17" ht="14.4" x14ac:dyDescent="0.25">
      <c r="N614" s="39"/>
      <c r="O614" s="39"/>
      <c r="P614" s="40"/>
      <c r="Q614" s="41"/>
    </row>
    <row r="615" spans="14:17" ht="14.4" x14ac:dyDescent="0.25">
      <c r="N615" s="39"/>
      <c r="O615" s="39"/>
      <c r="P615" s="40"/>
      <c r="Q615" s="41"/>
    </row>
    <row r="616" spans="14:17" ht="14.4" x14ac:dyDescent="0.25">
      <c r="N616" s="39"/>
      <c r="O616" s="39"/>
      <c r="P616" s="40"/>
      <c r="Q616" s="41"/>
    </row>
    <row r="617" spans="14:17" ht="14.4" x14ac:dyDescent="0.25">
      <c r="N617" s="39"/>
      <c r="O617" s="39"/>
      <c r="P617" s="40"/>
      <c r="Q617" s="41"/>
    </row>
    <row r="618" spans="14:17" ht="14.4" x14ac:dyDescent="0.25">
      <c r="N618" s="39"/>
      <c r="O618" s="39"/>
      <c r="P618" s="40"/>
      <c r="Q618" s="41"/>
    </row>
    <row r="619" spans="14:17" ht="14.4" x14ac:dyDescent="0.25">
      <c r="N619" s="39"/>
      <c r="O619" s="39"/>
      <c r="P619" s="40"/>
      <c r="Q619" s="41"/>
    </row>
    <row r="620" spans="14:17" ht="14.4" x14ac:dyDescent="0.25">
      <c r="N620" s="39"/>
      <c r="O620" s="39"/>
      <c r="P620" s="40"/>
      <c r="Q620" s="41"/>
    </row>
    <row r="621" spans="14:17" ht="14.4" x14ac:dyDescent="0.25">
      <c r="N621" s="39"/>
      <c r="O621" s="39"/>
      <c r="P621" s="40"/>
      <c r="Q621" s="41"/>
    </row>
    <row r="622" spans="14:17" ht="14.4" x14ac:dyDescent="0.25">
      <c r="N622" s="39"/>
      <c r="O622" s="39"/>
      <c r="P622" s="40"/>
      <c r="Q622" s="41"/>
    </row>
    <row r="623" spans="14:17" ht="14.4" x14ac:dyDescent="0.25">
      <c r="N623" s="39"/>
      <c r="O623" s="39"/>
      <c r="P623" s="40"/>
      <c r="Q623" s="41"/>
    </row>
    <row r="624" spans="14:17" ht="14.4" x14ac:dyDescent="0.25">
      <c r="N624" s="39"/>
      <c r="O624" s="39"/>
      <c r="P624" s="40"/>
      <c r="Q624" s="41"/>
    </row>
    <row r="625" spans="14:17" ht="14.4" x14ac:dyDescent="0.25">
      <c r="N625" s="39"/>
      <c r="O625" s="39"/>
      <c r="P625" s="40"/>
      <c r="Q625" s="41"/>
    </row>
    <row r="626" spans="14:17" ht="14.4" x14ac:dyDescent="0.25">
      <c r="N626" s="39"/>
      <c r="O626" s="39"/>
      <c r="P626" s="40"/>
      <c r="Q626" s="41"/>
    </row>
    <row r="627" spans="14:17" ht="14.4" x14ac:dyDescent="0.25">
      <c r="N627" s="39"/>
      <c r="O627" s="39"/>
      <c r="P627" s="40"/>
      <c r="Q627" s="41"/>
    </row>
    <row r="628" spans="14:17" ht="14.4" x14ac:dyDescent="0.25">
      <c r="N628" s="39"/>
      <c r="O628" s="39"/>
      <c r="P628" s="40"/>
      <c r="Q628" s="41"/>
    </row>
    <row r="629" spans="14:17" ht="14.4" x14ac:dyDescent="0.25">
      <c r="N629" s="39"/>
      <c r="O629" s="39"/>
      <c r="P629" s="40"/>
      <c r="Q629" s="41"/>
    </row>
    <row r="630" spans="14:17" ht="14.4" x14ac:dyDescent="0.25">
      <c r="N630" s="39"/>
      <c r="O630" s="39"/>
      <c r="P630" s="40"/>
      <c r="Q630" s="41"/>
    </row>
    <row r="631" spans="14:17" ht="14.4" x14ac:dyDescent="0.25">
      <c r="N631" s="39"/>
      <c r="O631" s="39"/>
      <c r="P631" s="40"/>
      <c r="Q631" s="41"/>
    </row>
    <row r="632" spans="14:17" ht="14.4" x14ac:dyDescent="0.25">
      <c r="N632" s="39"/>
      <c r="O632" s="39"/>
      <c r="P632" s="40"/>
      <c r="Q632" s="41"/>
    </row>
    <row r="633" spans="14:17" ht="14.4" x14ac:dyDescent="0.25">
      <c r="N633" s="39"/>
      <c r="O633" s="39"/>
      <c r="P633" s="40"/>
      <c r="Q633" s="41"/>
    </row>
    <row r="634" spans="14:17" ht="14.4" x14ac:dyDescent="0.25">
      <c r="N634" s="39"/>
      <c r="O634" s="39"/>
      <c r="P634" s="40"/>
      <c r="Q634" s="41"/>
    </row>
    <row r="635" spans="14:17" ht="14.4" x14ac:dyDescent="0.25">
      <c r="N635" s="39"/>
      <c r="O635" s="39"/>
      <c r="P635" s="40"/>
      <c r="Q635" s="41"/>
    </row>
    <row r="636" spans="14:17" ht="14.4" x14ac:dyDescent="0.25">
      <c r="N636" s="39"/>
      <c r="O636" s="39"/>
      <c r="P636" s="40"/>
      <c r="Q636" s="41"/>
    </row>
    <row r="637" spans="14:17" ht="14.4" x14ac:dyDescent="0.25">
      <c r="N637" s="39"/>
      <c r="O637" s="39"/>
      <c r="P637" s="40"/>
      <c r="Q637" s="41"/>
    </row>
    <row r="638" spans="14:17" ht="14.4" x14ac:dyDescent="0.25">
      <c r="N638" s="39"/>
      <c r="O638" s="39"/>
      <c r="P638" s="40"/>
      <c r="Q638" s="41"/>
    </row>
    <row r="639" spans="14:17" ht="14.4" x14ac:dyDescent="0.25">
      <c r="N639" s="39"/>
      <c r="O639" s="39"/>
      <c r="P639" s="40"/>
      <c r="Q639" s="41"/>
    </row>
    <row r="640" spans="14:17" ht="14.4" x14ac:dyDescent="0.25">
      <c r="N640" s="39"/>
      <c r="O640" s="39"/>
      <c r="P640" s="40"/>
      <c r="Q640" s="41"/>
    </row>
    <row r="641" spans="14:17" ht="14.4" x14ac:dyDescent="0.25">
      <c r="N641" s="39"/>
      <c r="O641" s="39"/>
      <c r="P641" s="40"/>
      <c r="Q641" s="41"/>
    </row>
    <row r="642" spans="14:17" ht="14.4" x14ac:dyDescent="0.25">
      <c r="N642" s="39"/>
      <c r="O642" s="39"/>
      <c r="P642" s="40"/>
      <c r="Q642" s="41"/>
    </row>
    <row r="643" spans="14:17" ht="14.4" x14ac:dyDescent="0.25">
      <c r="N643" s="39"/>
      <c r="O643" s="39"/>
      <c r="P643" s="40"/>
      <c r="Q643" s="41"/>
    </row>
    <row r="644" spans="14:17" ht="14.4" x14ac:dyDescent="0.25">
      <c r="N644" s="39"/>
      <c r="O644" s="39"/>
      <c r="P644" s="40"/>
      <c r="Q644" s="41"/>
    </row>
    <row r="645" spans="14:17" ht="14.4" x14ac:dyDescent="0.25">
      <c r="N645" s="39"/>
      <c r="O645" s="39"/>
      <c r="P645" s="40"/>
      <c r="Q645" s="41"/>
    </row>
    <row r="646" spans="14:17" ht="14.4" x14ac:dyDescent="0.25">
      <c r="N646" s="39"/>
      <c r="O646" s="39"/>
      <c r="P646" s="40"/>
      <c r="Q646" s="41"/>
    </row>
    <row r="647" spans="14:17" ht="14.4" x14ac:dyDescent="0.25">
      <c r="N647" s="39"/>
      <c r="O647" s="39"/>
      <c r="P647" s="40"/>
      <c r="Q647" s="41"/>
    </row>
    <row r="648" spans="14:17" ht="14.4" x14ac:dyDescent="0.25">
      <c r="N648" s="39"/>
      <c r="O648" s="39"/>
      <c r="P648" s="40"/>
      <c r="Q648" s="41"/>
    </row>
    <row r="649" spans="14:17" ht="14.4" x14ac:dyDescent="0.25">
      <c r="N649" s="39"/>
      <c r="O649" s="39"/>
      <c r="P649" s="40"/>
      <c r="Q649" s="41"/>
    </row>
    <row r="650" spans="14:17" ht="14.4" x14ac:dyDescent="0.25">
      <c r="N650" s="39"/>
      <c r="O650" s="39"/>
      <c r="P650" s="40"/>
      <c r="Q650" s="41"/>
    </row>
    <row r="651" spans="14:17" ht="14.4" x14ac:dyDescent="0.25">
      <c r="N651" s="39"/>
      <c r="O651" s="39"/>
      <c r="P651" s="40"/>
      <c r="Q651" s="41"/>
    </row>
    <row r="652" spans="14:17" ht="14.4" x14ac:dyDescent="0.25">
      <c r="N652" s="39"/>
      <c r="O652" s="39"/>
      <c r="P652" s="40"/>
      <c r="Q652" s="41"/>
    </row>
    <row r="653" spans="14:17" ht="14.4" x14ac:dyDescent="0.25">
      <c r="N653" s="39"/>
      <c r="O653" s="39"/>
      <c r="P653" s="40"/>
      <c r="Q653" s="41"/>
    </row>
    <row r="654" spans="14:17" ht="14.4" x14ac:dyDescent="0.25">
      <c r="N654" s="39"/>
      <c r="O654" s="39"/>
      <c r="P654" s="40"/>
      <c r="Q654" s="41"/>
    </row>
    <row r="655" spans="14:17" ht="14.4" x14ac:dyDescent="0.25">
      <c r="N655" s="39"/>
      <c r="O655" s="39"/>
      <c r="P655" s="40"/>
      <c r="Q655" s="41"/>
    </row>
    <row r="656" spans="14:17" ht="14.4" x14ac:dyDescent="0.25">
      <c r="N656" s="39"/>
      <c r="O656" s="39"/>
      <c r="P656" s="40"/>
      <c r="Q656" s="41"/>
    </row>
    <row r="657" spans="14:17" ht="14.4" x14ac:dyDescent="0.25">
      <c r="N657" s="39"/>
      <c r="O657" s="39"/>
      <c r="P657" s="40"/>
      <c r="Q657" s="41"/>
    </row>
    <row r="658" spans="14:17" ht="14.4" x14ac:dyDescent="0.25">
      <c r="N658" s="39"/>
      <c r="O658" s="39"/>
      <c r="P658" s="40"/>
      <c r="Q658" s="41"/>
    </row>
    <row r="659" spans="14:17" ht="14.4" x14ac:dyDescent="0.25">
      <c r="N659" s="39"/>
      <c r="O659" s="39"/>
      <c r="P659" s="40"/>
      <c r="Q659" s="41"/>
    </row>
    <row r="660" spans="14:17" ht="14.4" x14ac:dyDescent="0.25">
      <c r="N660" s="39"/>
      <c r="O660" s="39"/>
      <c r="P660" s="40"/>
      <c r="Q660" s="41"/>
    </row>
    <row r="661" spans="14:17" ht="14.4" x14ac:dyDescent="0.25">
      <c r="N661" s="39"/>
      <c r="O661" s="39"/>
      <c r="P661" s="40"/>
      <c r="Q661" s="41"/>
    </row>
    <row r="662" spans="14:17" ht="14.4" x14ac:dyDescent="0.25">
      <c r="N662" s="39"/>
      <c r="O662" s="39"/>
      <c r="P662" s="40"/>
      <c r="Q662" s="41"/>
    </row>
    <row r="663" spans="14:17" ht="14.4" x14ac:dyDescent="0.25">
      <c r="N663" s="39"/>
      <c r="O663" s="39"/>
      <c r="P663" s="40"/>
      <c r="Q663" s="41"/>
    </row>
    <row r="664" spans="14:17" ht="14.4" x14ac:dyDescent="0.25">
      <c r="N664" s="39"/>
      <c r="O664" s="39"/>
      <c r="P664" s="40"/>
      <c r="Q664" s="41"/>
    </row>
    <row r="665" spans="14:17" ht="14.4" x14ac:dyDescent="0.25">
      <c r="N665" s="39"/>
      <c r="O665" s="39"/>
      <c r="P665" s="40"/>
      <c r="Q665" s="41"/>
    </row>
    <row r="666" spans="14:17" ht="14.4" x14ac:dyDescent="0.25">
      <c r="N666" s="39"/>
      <c r="O666" s="39"/>
      <c r="P666" s="40"/>
      <c r="Q666" s="41"/>
    </row>
    <row r="667" spans="14:17" ht="14.4" x14ac:dyDescent="0.25">
      <c r="N667" s="39"/>
      <c r="O667" s="39"/>
      <c r="P667" s="40"/>
      <c r="Q667" s="41"/>
    </row>
    <row r="668" spans="14:17" ht="14.4" x14ac:dyDescent="0.25">
      <c r="N668" s="39"/>
      <c r="O668" s="39"/>
      <c r="P668" s="40"/>
      <c r="Q668" s="41"/>
    </row>
    <row r="669" spans="14:17" ht="14.4" x14ac:dyDescent="0.25">
      <c r="N669" s="39"/>
      <c r="O669" s="39"/>
      <c r="P669" s="40"/>
      <c r="Q669" s="41"/>
    </row>
    <row r="670" spans="14:17" ht="14.4" x14ac:dyDescent="0.25">
      <c r="N670" s="39"/>
      <c r="O670" s="39"/>
      <c r="P670" s="40"/>
      <c r="Q670" s="41"/>
    </row>
    <row r="671" spans="14:17" ht="14.4" x14ac:dyDescent="0.25">
      <c r="N671" s="39"/>
      <c r="O671" s="39"/>
      <c r="P671" s="40"/>
      <c r="Q671" s="41"/>
    </row>
    <row r="672" spans="14:17" ht="14.4" x14ac:dyDescent="0.25">
      <c r="N672" s="39"/>
      <c r="O672" s="39"/>
      <c r="P672" s="40"/>
      <c r="Q672" s="41"/>
    </row>
    <row r="673" spans="14:17" ht="14.4" x14ac:dyDescent="0.25">
      <c r="N673" s="39"/>
      <c r="O673" s="39"/>
      <c r="P673" s="40"/>
      <c r="Q673" s="41"/>
    </row>
    <row r="674" spans="14:17" ht="14.4" x14ac:dyDescent="0.25">
      <c r="N674" s="39"/>
      <c r="O674" s="39"/>
      <c r="P674" s="40"/>
      <c r="Q674" s="41"/>
    </row>
    <row r="675" spans="14:17" ht="14.4" x14ac:dyDescent="0.25">
      <c r="N675" s="39"/>
      <c r="O675" s="39"/>
      <c r="P675" s="40"/>
      <c r="Q675" s="41"/>
    </row>
    <row r="676" spans="14:17" ht="14.4" x14ac:dyDescent="0.25">
      <c r="N676" s="39"/>
      <c r="O676" s="39"/>
      <c r="P676" s="40"/>
      <c r="Q676" s="41"/>
    </row>
    <row r="677" spans="14:17" ht="14.4" x14ac:dyDescent="0.25">
      <c r="N677" s="39"/>
      <c r="O677" s="39"/>
      <c r="P677" s="40"/>
      <c r="Q677" s="41"/>
    </row>
    <row r="678" spans="14:17" ht="14.4" x14ac:dyDescent="0.25">
      <c r="N678" s="39"/>
      <c r="O678" s="39"/>
      <c r="P678" s="40"/>
      <c r="Q678" s="41"/>
    </row>
    <row r="679" spans="14:17" ht="14.4" x14ac:dyDescent="0.25">
      <c r="N679" s="39"/>
      <c r="O679" s="39"/>
      <c r="P679" s="40"/>
      <c r="Q679" s="41"/>
    </row>
    <row r="680" spans="14:17" ht="14.4" x14ac:dyDescent="0.25">
      <c r="N680" s="39"/>
      <c r="O680" s="39"/>
      <c r="P680" s="40"/>
      <c r="Q680" s="41"/>
    </row>
    <row r="681" spans="14:17" ht="14.4" x14ac:dyDescent="0.25">
      <c r="N681" s="39"/>
      <c r="O681" s="39"/>
      <c r="P681" s="40"/>
      <c r="Q681" s="41"/>
    </row>
    <row r="682" spans="14:17" ht="14.4" x14ac:dyDescent="0.25">
      <c r="N682" s="39"/>
      <c r="O682" s="39"/>
      <c r="P682" s="40"/>
      <c r="Q682" s="41"/>
    </row>
    <row r="683" spans="14:17" ht="14.4" x14ac:dyDescent="0.25">
      <c r="N683" s="39"/>
      <c r="O683" s="39"/>
      <c r="P683" s="40"/>
      <c r="Q683" s="41"/>
    </row>
    <row r="684" spans="14:17" ht="14.4" x14ac:dyDescent="0.25">
      <c r="N684" s="39"/>
      <c r="O684" s="39"/>
      <c r="P684" s="40"/>
      <c r="Q684" s="41"/>
    </row>
    <row r="685" spans="14:17" ht="14.4" x14ac:dyDescent="0.25">
      <c r="N685" s="39"/>
      <c r="O685" s="39"/>
      <c r="P685" s="40"/>
      <c r="Q685" s="41"/>
    </row>
    <row r="686" spans="14:17" ht="14.4" x14ac:dyDescent="0.25">
      <c r="N686" s="39"/>
      <c r="O686" s="39"/>
      <c r="P686" s="40"/>
      <c r="Q686" s="41"/>
    </row>
    <row r="687" spans="14:17" ht="14.4" x14ac:dyDescent="0.25">
      <c r="N687" s="39"/>
      <c r="O687" s="39"/>
      <c r="P687" s="40"/>
      <c r="Q687" s="41"/>
    </row>
    <row r="688" spans="14:17" ht="14.4" x14ac:dyDescent="0.25">
      <c r="N688" s="39"/>
      <c r="O688" s="39"/>
      <c r="P688" s="40"/>
      <c r="Q688" s="41"/>
    </row>
    <row r="689" spans="14:17" ht="14.4" x14ac:dyDescent="0.25">
      <c r="N689" s="39"/>
      <c r="O689" s="39"/>
      <c r="P689" s="40"/>
      <c r="Q689" s="41"/>
    </row>
    <row r="690" spans="14:17" ht="14.4" x14ac:dyDescent="0.25">
      <c r="N690" s="39"/>
      <c r="O690" s="39"/>
      <c r="P690" s="40"/>
      <c r="Q690" s="41"/>
    </row>
    <row r="691" spans="14:17" ht="14.4" x14ac:dyDescent="0.25">
      <c r="N691" s="39"/>
      <c r="O691" s="39"/>
      <c r="P691" s="40"/>
      <c r="Q691" s="41"/>
    </row>
    <row r="692" spans="14:17" ht="14.4" x14ac:dyDescent="0.25">
      <c r="N692" s="39"/>
      <c r="O692" s="39"/>
      <c r="P692" s="40"/>
      <c r="Q692" s="41"/>
    </row>
    <row r="693" spans="14:17" ht="14.4" x14ac:dyDescent="0.25">
      <c r="N693" s="39"/>
      <c r="O693" s="39"/>
      <c r="P693" s="40"/>
      <c r="Q693" s="41"/>
    </row>
    <row r="694" spans="14:17" ht="14.4" x14ac:dyDescent="0.25">
      <c r="N694" s="39"/>
      <c r="O694" s="39"/>
      <c r="P694" s="40"/>
      <c r="Q694" s="41"/>
    </row>
    <row r="695" spans="14:17" ht="14.4" x14ac:dyDescent="0.25">
      <c r="N695" s="39"/>
      <c r="O695" s="39"/>
      <c r="P695" s="40"/>
      <c r="Q695" s="41"/>
    </row>
    <row r="696" spans="14:17" ht="14.4" x14ac:dyDescent="0.25">
      <c r="N696" s="39"/>
      <c r="O696" s="39"/>
      <c r="P696" s="40"/>
      <c r="Q696" s="41"/>
    </row>
    <row r="697" spans="14:17" ht="14.4" x14ac:dyDescent="0.25">
      <c r="N697" s="39"/>
      <c r="O697" s="39"/>
      <c r="P697" s="40"/>
      <c r="Q697" s="41"/>
    </row>
    <row r="698" spans="14:17" ht="14.4" x14ac:dyDescent="0.25">
      <c r="N698" s="39"/>
      <c r="O698" s="39"/>
      <c r="P698" s="40"/>
      <c r="Q698" s="41"/>
    </row>
    <row r="699" spans="14:17" ht="14.4" x14ac:dyDescent="0.25">
      <c r="N699" s="39"/>
      <c r="O699" s="39"/>
      <c r="P699" s="40"/>
      <c r="Q699" s="41"/>
    </row>
    <row r="700" spans="14:17" ht="14.4" x14ac:dyDescent="0.25">
      <c r="N700" s="39"/>
      <c r="O700" s="39"/>
      <c r="P700" s="40"/>
      <c r="Q700" s="41"/>
    </row>
    <row r="701" spans="14:17" ht="14.4" x14ac:dyDescent="0.25">
      <c r="N701" s="39"/>
      <c r="O701" s="39"/>
      <c r="P701" s="40"/>
      <c r="Q701" s="41"/>
    </row>
    <row r="702" spans="14:17" ht="14.4" x14ac:dyDescent="0.25">
      <c r="N702" s="39"/>
      <c r="O702" s="39"/>
      <c r="P702" s="40"/>
      <c r="Q702" s="41"/>
    </row>
    <row r="703" spans="14:17" ht="14.4" x14ac:dyDescent="0.25">
      <c r="N703" s="39"/>
      <c r="O703" s="39"/>
      <c r="P703" s="40"/>
      <c r="Q703" s="41"/>
    </row>
    <row r="704" spans="14:17" ht="14.4" x14ac:dyDescent="0.25">
      <c r="N704" s="39"/>
      <c r="O704" s="39"/>
      <c r="P704" s="40"/>
      <c r="Q704" s="41"/>
    </row>
    <row r="705" spans="14:17" ht="14.4" x14ac:dyDescent="0.25">
      <c r="N705" s="39"/>
      <c r="O705" s="39"/>
      <c r="P705" s="40"/>
      <c r="Q705" s="41"/>
    </row>
    <row r="706" spans="14:17" ht="14.4" x14ac:dyDescent="0.25">
      <c r="N706" s="39"/>
      <c r="O706" s="39"/>
      <c r="P706" s="40"/>
      <c r="Q706" s="41"/>
    </row>
    <row r="707" spans="14:17" ht="14.4" x14ac:dyDescent="0.25">
      <c r="N707" s="39"/>
      <c r="O707" s="39"/>
      <c r="P707" s="40"/>
      <c r="Q707" s="41"/>
    </row>
    <row r="708" spans="14:17" ht="14.4" x14ac:dyDescent="0.25">
      <c r="N708" s="39"/>
      <c r="O708" s="39"/>
      <c r="P708" s="40"/>
      <c r="Q708" s="41"/>
    </row>
    <row r="709" spans="14:17" ht="14.4" x14ac:dyDescent="0.25">
      <c r="N709" s="39"/>
      <c r="O709" s="39"/>
      <c r="P709" s="40"/>
      <c r="Q709" s="41"/>
    </row>
    <row r="710" spans="14:17" ht="14.4" x14ac:dyDescent="0.25">
      <c r="N710" s="39"/>
      <c r="O710" s="39"/>
      <c r="P710" s="40"/>
      <c r="Q710" s="41"/>
    </row>
    <row r="711" spans="14:17" ht="14.4" x14ac:dyDescent="0.25">
      <c r="N711" s="39"/>
      <c r="O711" s="39"/>
      <c r="P711" s="40"/>
      <c r="Q711" s="41"/>
    </row>
    <row r="712" spans="14:17" ht="14.4" x14ac:dyDescent="0.25">
      <c r="N712" s="39"/>
      <c r="O712" s="39"/>
      <c r="P712" s="40"/>
      <c r="Q712" s="41"/>
    </row>
    <row r="713" spans="14:17" ht="14.4" x14ac:dyDescent="0.25">
      <c r="N713" s="39"/>
      <c r="O713" s="39"/>
      <c r="P713" s="40"/>
      <c r="Q713" s="41"/>
    </row>
    <row r="714" spans="14:17" ht="14.4" x14ac:dyDescent="0.25">
      <c r="N714" s="39"/>
      <c r="O714" s="39"/>
      <c r="P714" s="40"/>
      <c r="Q714" s="41"/>
    </row>
    <row r="715" spans="14:17" ht="14.4" x14ac:dyDescent="0.25">
      <c r="N715" s="39"/>
      <c r="O715" s="39"/>
      <c r="P715" s="40"/>
      <c r="Q715" s="41"/>
    </row>
    <row r="716" spans="14:17" ht="14.4" x14ac:dyDescent="0.25">
      <c r="N716" s="39"/>
      <c r="O716" s="39"/>
      <c r="P716" s="40"/>
      <c r="Q716" s="41"/>
    </row>
    <row r="717" spans="14:17" ht="14.4" x14ac:dyDescent="0.25">
      <c r="N717" s="39"/>
      <c r="O717" s="39"/>
      <c r="P717" s="40"/>
      <c r="Q717" s="41"/>
    </row>
    <row r="718" spans="14:17" ht="14.4" x14ac:dyDescent="0.25">
      <c r="N718" s="39"/>
      <c r="O718" s="39"/>
      <c r="P718" s="40"/>
      <c r="Q718" s="41"/>
    </row>
    <row r="719" spans="14:17" ht="14.4" x14ac:dyDescent="0.25">
      <c r="N719" s="39"/>
      <c r="O719" s="39"/>
      <c r="P719" s="40"/>
      <c r="Q719" s="41"/>
    </row>
    <row r="720" spans="14:17" ht="14.4" x14ac:dyDescent="0.25">
      <c r="N720" s="39"/>
      <c r="O720" s="39"/>
      <c r="P720" s="40"/>
      <c r="Q720" s="41"/>
    </row>
  </sheetData>
  <sheetProtection algorithmName="SHA-512" hashValue="GDACyvkNEVDr5F2wxIrXJ3VMkkjsTwqLAPdseK1w4fOSAMAlsX9d8mwTs/7hp4A9XzMi43eQkbhUdVMiFGXzIA==" saltValue="QEVCgo8Sbn6yRkgdlkWsqA==" spinCount="100000" sheet="1" formatCells="0" formatColumns="0" formatRows="0" insertColumns="0" insertRows="0" insertHyperlinks="0" deleteColumns="0" deleteRows="0" sort="0" autoFilter="0" pivotTables="0"/>
  <autoFilter ref="A2:L207" xr:uid="{2AEAA809-A1EE-4250-A995-B67E66150314}">
    <sortState xmlns:xlrd2="http://schemas.microsoft.com/office/spreadsheetml/2017/richdata2" ref="A3:L207">
      <sortCondition ref="I2:I207"/>
    </sortState>
  </autoFilter>
  <mergeCells count="2">
    <mergeCell ref="A1:K1"/>
    <mergeCell ref="O1:O2"/>
  </mergeCells>
  <conditionalFormatting sqref="I2">
    <cfRule type="containsText" dxfId="3" priority="17" operator="containsText" text="Please">
      <formula>NOT(ISERROR(SEARCH("Please",I2)))</formula>
    </cfRule>
  </conditionalFormatting>
  <conditionalFormatting sqref="I3:I1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207">
    <cfRule type="containsText" dxfId="2" priority="1" operator="containsText" text="В">
      <formula>NOT(ISERROR(SEARCH("В",I3)))</formula>
    </cfRule>
    <cfRule type="containsText" dxfId="1" priority="2" operator="containsText" text="А">
      <formula>NOT(ISERROR(SEARCH("А",I3)))</formula>
    </cfRule>
    <cfRule type="containsText" dxfId="0" priority="3" operator="containsText" text="С">
      <formula>NOT(ISERROR(SEARCH("С",I3)))</formula>
    </cfRule>
  </conditionalFormatting>
  <conditionalFormatting sqref="I14:I4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3:I20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1:I20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custom" allowBlank="1" showInputMessage="1" showErrorMessage="1" error="Order quantity must be a multiple of Sales per Unit Case (See Column G)." prompt="Order quantity must be a multiple of Sales per Unit Case (See Column G)." sqref="J3:J207" xr:uid="{DF6751AC-A011-4771-9919-6B3E91C6A4E8}">
      <formula1>MOD(J3,G3)=0</formula1>
    </dataValidation>
  </dataValidation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8B3BA9DEB4C645A1BB2A88A3627C25" ma:contentTypeVersion="13" ma:contentTypeDescription="Create a new document." ma:contentTypeScope="" ma:versionID="4896d0239d4f3885d47916d322e7831a">
  <xsd:schema xmlns:xsd="http://www.w3.org/2001/XMLSchema" xmlns:xs="http://www.w3.org/2001/XMLSchema" xmlns:p="http://schemas.microsoft.com/office/2006/metadata/properties" xmlns:ns3="26ff222b-ebce-4669-97aa-a2bdd4bb7c13" xmlns:ns4="7b74f9a5-4c85-48fa-af14-b737fd01748c" targetNamespace="http://schemas.microsoft.com/office/2006/metadata/properties" ma:root="true" ma:fieldsID="d86f68cf60938304b205280ffcbf04b9" ns3:_="" ns4:_="">
    <xsd:import namespace="26ff222b-ebce-4669-97aa-a2bdd4bb7c13"/>
    <xsd:import namespace="7b74f9a5-4c85-48fa-af14-b737fd01748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ff222b-ebce-4669-97aa-a2bdd4bb7c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4f9a5-4c85-48fa-af14-b737fd017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FA5EAE-9C7C-4559-A5FB-F9891FD3105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6ff222b-ebce-4669-97aa-a2bdd4bb7c13"/>
    <ds:schemaRef ds:uri="http://schemas.microsoft.com/office/infopath/2007/PartnerControls"/>
    <ds:schemaRef ds:uri="http://purl.org/dc/elements/1.1/"/>
    <ds:schemaRef ds:uri="http://schemas.microsoft.com/office/2006/metadata/properties"/>
    <ds:schemaRef ds:uri="7b74f9a5-4c85-48fa-af14-b737fd01748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7A4520D-7E58-4FC5-8818-3A8FC574ED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D3BC6B-A28A-4C7B-A485-C240739410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ff222b-ebce-4669-97aa-a2bdd4bb7c13"/>
    <ds:schemaRef ds:uri="7b74f9a5-4c85-48fa-af14-b737fd0174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(Jarrow Formula)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Денис Хомик</cp:lastModifiedBy>
  <cp:revision/>
  <dcterms:created xsi:type="dcterms:W3CDTF">2006-05-09T17:04:37Z</dcterms:created>
  <dcterms:modified xsi:type="dcterms:W3CDTF">2026-04-28T14:02:54Z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  <property fmtid="{D5CDD505-2E9C-101B-9397-08002B2CF9AE}" pid="3" name="ContentTypeId">
    <vt:lpwstr>0x010100278B3BA9DEB4C645A1BB2A88A3627C25</vt:lpwstr>
  </property>
</Properties>
</file>