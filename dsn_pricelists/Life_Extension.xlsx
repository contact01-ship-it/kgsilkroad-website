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13_ncr:1_{D9E6A3C8-7CC3-48ED-8E60-7698A7549792}" xr6:coauthVersionLast="47" xr6:coauthVersionMax="47" xr10:uidLastSave="{00000000-0000-0000-0000-000000000000}"/>
  <bookViews>
    <workbookView xWindow="-108" yWindow="-108" windowWidth="23256" windowHeight="13896" xr2:uid="{DCC1E87C-FAE0-458A-B62C-EE8EC1F53429}"/>
  </bookViews>
  <sheets>
    <sheet name="DSN GROUP (Life Extension)" sheetId="5" r:id="rId1"/>
    <sheet name="Promo May" sheetId="4" r:id="rId2"/>
  </sheets>
  <definedNames>
    <definedName name="_xlnm._FilterDatabase" localSheetId="0" hidden="1">'DSN GROUP (Life Extension)'!$A$2:$S$355</definedName>
    <definedName name="_xlnm._FilterDatabase" localSheetId="1" hidden="1">'Promo May'!$A$1:$J$3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 a="1"/>
  <c r="F3" i="4" s="1"/>
  <c r="E3" i="4" a="1"/>
  <c r="E3" i="4" s="1"/>
  <c r="C3" i="4" a="1"/>
  <c r="C3" i="4" s="1"/>
  <c r="P95" i="5"/>
  <c r="Q95" i="5"/>
  <c r="P224" i="5"/>
  <c r="Q224" i="5"/>
  <c r="P3" i="5"/>
  <c r="Q3" i="5"/>
  <c r="P35" i="5"/>
  <c r="Q35" i="5"/>
  <c r="P36" i="5"/>
  <c r="Q36" i="5"/>
  <c r="P37" i="5"/>
  <c r="Q37" i="5"/>
  <c r="P96" i="5"/>
  <c r="Q96" i="5"/>
  <c r="P78" i="5"/>
  <c r="Q78" i="5"/>
  <c r="P240" i="5"/>
  <c r="Q240" i="5"/>
  <c r="P29" i="5"/>
  <c r="Q29" i="5"/>
  <c r="Q222" i="5"/>
  <c r="P222" i="5"/>
  <c r="Q355" i="5"/>
  <c r="P355" i="5"/>
  <c r="Q354" i="5"/>
  <c r="P354" i="5"/>
  <c r="Q353" i="5"/>
  <c r="P353" i="5"/>
  <c r="Q352" i="5"/>
  <c r="P352" i="5"/>
  <c r="Q351" i="5"/>
  <c r="P351" i="5"/>
  <c r="Q350" i="5"/>
  <c r="P350" i="5"/>
  <c r="Q349" i="5"/>
  <c r="P349" i="5"/>
  <c r="Q221" i="5"/>
  <c r="P221" i="5"/>
  <c r="Q348" i="5"/>
  <c r="P348" i="5"/>
  <c r="Q27" i="5"/>
  <c r="P27" i="5"/>
  <c r="Q220" i="5"/>
  <c r="P220" i="5"/>
  <c r="Q347" i="5"/>
  <c r="P347" i="5"/>
  <c r="Q346" i="5"/>
  <c r="P346" i="5"/>
  <c r="Q345" i="5"/>
  <c r="P345" i="5"/>
  <c r="Q344" i="5"/>
  <c r="P344" i="5"/>
  <c r="Q26" i="5"/>
  <c r="P26" i="5"/>
  <c r="Q219" i="5"/>
  <c r="P219" i="5"/>
  <c r="Q218" i="5"/>
  <c r="P218" i="5"/>
  <c r="Q343" i="5"/>
  <c r="P343" i="5"/>
  <c r="Q342" i="5"/>
  <c r="P342" i="5"/>
  <c r="Q341" i="5"/>
  <c r="P341" i="5"/>
  <c r="Q340" i="5"/>
  <c r="P340" i="5"/>
  <c r="Q339" i="5"/>
  <c r="P339" i="5"/>
  <c r="Q338" i="5"/>
  <c r="P338" i="5"/>
  <c r="Q217" i="5"/>
  <c r="P217" i="5"/>
  <c r="Q216" i="5"/>
  <c r="P216" i="5"/>
  <c r="Q215" i="5"/>
  <c r="P215" i="5"/>
  <c r="Q73" i="5"/>
  <c r="P73" i="5"/>
  <c r="Q337" i="5"/>
  <c r="P337" i="5"/>
  <c r="Q336" i="5"/>
  <c r="P336" i="5"/>
  <c r="Q214" i="5"/>
  <c r="S214" i="5" s="1"/>
  <c r="P214" i="5"/>
  <c r="Q335" i="5"/>
  <c r="P335" i="5"/>
  <c r="Q334" i="5"/>
  <c r="P334" i="5"/>
  <c r="Q213" i="5"/>
  <c r="P213" i="5"/>
  <c r="Q333" i="5"/>
  <c r="S333" i="5" s="1"/>
  <c r="P333" i="5"/>
  <c r="Q332" i="5"/>
  <c r="P332" i="5"/>
  <c r="Q331" i="5"/>
  <c r="P331" i="5"/>
  <c r="Q212" i="5"/>
  <c r="P212" i="5"/>
  <c r="Q211" i="5"/>
  <c r="P211" i="5"/>
  <c r="Q330" i="5"/>
  <c r="P330" i="5"/>
  <c r="Q93" i="5"/>
  <c r="P93" i="5"/>
  <c r="Q210" i="5"/>
  <c r="P210" i="5"/>
  <c r="Q329" i="5"/>
  <c r="P329" i="5"/>
  <c r="Q328" i="5"/>
  <c r="P328" i="5"/>
  <c r="Q209" i="5"/>
  <c r="P209" i="5"/>
  <c r="Q327" i="5"/>
  <c r="P327" i="5"/>
  <c r="Q326" i="5"/>
  <c r="P326" i="5"/>
  <c r="Q325" i="5"/>
  <c r="P325" i="5"/>
  <c r="Q208" i="5"/>
  <c r="P208" i="5"/>
  <c r="Q324" i="5"/>
  <c r="S324" i="5" s="1"/>
  <c r="P324" i="5"/>
  <c r="Q207" i="5"/>
  <c r="P207" i="5"/>
  <c r="Q206" i="5"/>
  <c r="P206" i="5"/>
  <c r="Q238" i="5"/>
  <c r="P238" i="5"/>
  <c r="Q205" i="5"/>
  <c r="S205" i="5" s="1"/>
  <c r="P205" i="5"/>
  <c r="Q92" i="5"/>
  <c r="P92" i="5"/>
  <c r="Q204" i="5"/>
  <c r="P204" i="5"/>
  <c r="Q323" i="5"/>
  <c r="P323" i="5"/>
  <c r="Q322" i="5"/>
  <c r="P322" i="5"/>
  <c r="Q237" i="5"/>
  <c r="P237" i="5"/>
  <c r="Q321" i="5"/>
  <c r="S321" i="5" s="1"/>
  <c r="P321" i="5"/>
  <c r="Q320" i="5"/>
  <c r="P320" i="5"/>
  <c r="Q203" i="5"/>
  <c r="P203" i="5"/>
  <c r="Q202" i="5"/>
  <c r="P202" i="5"/>
  <c r="Q201" i="5"/>
  <c r="P201" i="5"/>
  <c r="Q33" i="5"/>
  <c r="S33" i="5" s="1"/>
  <c r="P33" i="5"/>
  <c r="Q200" i="5"/>
  <c r="S200" i="5" s="1"/>
  <c r="P200" i="5"/>
  <c r="Q199" i="5"/>
  <c r="S199" i="5" s="1"/>
  <c r="P199" i="5"/>
  <c r="Q198" i="5"/>
  <c r="S198" i="5" s="1"/>
  <c r="P198" i="5"/>
  <c r="Q197" i="5"/>
  <c r="P197" i="5"/>
  <c r="Q319" i="5"/>
  <c r="P319" i="5"/>
  <c r="Q318" i="5"/>
  <c r="P318" i="5"/>
  <c r="Q317" i="5"/>
  <c r="P317" i="5"/>
  <c r="Q316" i="5"/>
  <c r="P316" i="5"/>
  <c r="Q315" i="5"/>
  <c r="P315" i="5"/>
  <c r="Q314" i="5"/>
  <c r="P314" i="5"/>
  <c r="Q313" i="5"/>
  <c r="S313" i="5" s="1"/>
  <c r="P313" i="5"/>
  <c r="Q196" i="5"/>
  <c r="P196" i="5"/>
  <c r="Q195" i="5"/>
  <c r="P195" i="5"/>
  <c r="Q72" i="5"/>
  <c r="P72" i="5"/>
  <c r="Q194" i="5"/>
  <c r="P194" i="5"/>
  <c r="Q193" i="5"/>
  <c r="P193" i="5"/>
  <c r="Q312" i="5"/>
  <c r="P312" i="5"/>
  <c r="Q25" i="5"/>
  <c r="P25" i="5"/>
  <c r="Q24" i="5"/>
  <c r="P24" i="5"/>
  <c r="Q23" i="5"/>
  <c r="P23" i="5"/>
  <c r="Q22" i="5"/>
  <c r="P22" i="5"/>
  <c r="Q21" i="5"/>
  <c r="P21" i="5"/>
  <c r="Q20" i="5"/>
  <c r="P20" i="5"/>
  <c r="Q192" i="5"/>
  <c r="P192" i="5"/>
  <c r="Q191" i="5"/>
  <c r="P191" i="5"/>
  <c r="Q91" i="5"/>
  <c r="P91" i="5"/>
  <c r="Q311" i="5"/>
  <c r="P311" i="5"/>
  <c r="Q71" i="5"/>
  <c r="S71" i="5" s="1"/>
  <c r="P71" i="5"/>
  <c r="Q70" i="5"/>
  <c r="P70" i="5"/>
  <c r="Q310" i="5"/>
  <c r="P310" i="5"/>
  <c r="Q309" i="5"/>
  <c r="P309" i="5"/>
  <c r="Q190" i="5"/>
  <c r="P190" i="5"/>
  <c r="Q308" i="5"/>
  <c r="P308" i="5"/>
  <c r="Q236" i="5"/>
  <c r="P236" i="5"/>
  <c r="Q90" i="5"/>
  <c r="S90" i="5" s="1"/>
  <c r="P90" i="5"/>
  <c r="Q189" i="5"/>
  <c r="P189" i="5"/>
  <c r="Q188" i="5"/>
  <c r="P188" i="5"/>
  <c r="Q307" i="5"/>
  <c r="P307" i="5"/>
  <c r="Q187" i="5"/>
  <c r="P187" i="5"/>
  <c r="Q186" i="5"/>
  <c r="P186" i="5"/>
  <c r="Q306" i="5"/>
  <c r="P306" i="5"/>
  <c r="Q185" i="5"/>
  <c r="P185" i="5"/>
  <c r="Q305" i="5"/>
  <c r="P305" i="5"/>
  <c r="Q89" i="5"/>
  <c r="P89" i="5"/>
  <c r="Q304" i="5"/>
  <c r="P304" i="5"/>
  <c r="Q303" i="5"/>
  <c r="P303" i="5"/>
  <c r="Q302" i="5"/>
  <c r="P302" i="5"/>
  <c r="Q301" i="5"/>
  <c r="P301" i="5"/>
  <c r="Q184" i="5"/>
  <c r="P184" i="5"/>
  <c r="Q69" i="5"/>
  <c r="P69" i="5"/>
  <c r="Q235" i="5"/>
  <c r="P235" i="5"/>
  <c r="Q68" i="5"/>
  <c r="S68" i="5" s="1"/>
  <c r="P68" i="5"/>
  <c r="Q183" i="5"/>
  <c r="P183" i="5"/>
  <c r="Q300" i="5"/>
  <c r="P300" i="5"/>
  <c r="Q299" i="5"/>
  <c r="P299" i="5"/>
  <c r="Q182" i="5"/>
  <c r="P182" i="5"/>
  <c r="Q181" i="5"/>
  <c r="P181" i="5"/>
  <c r="Q234" i="5"/>
  <c r="P234" i="5"/>
  <c r="Q88" i="5"/>
  <c r="P88" i="5"/>
  <c r="Q180" i="5"/>
  <c r="P180" i="5"/>
  <c r="Q179" i="5"/>
  <c r="P179" i="5"/>
  <c r="Q178" i="5"/>
  <c r="P178" i="5"/>
  <c r="Q177" i="5"/>
  <c r="P177" i="5"/>
  <c r="Q298" i="5"/>
  <c r="P298" i="5"/>
  <c r="Q297" i="5"/>
  <c r="P297" i="5"/>
  <c r="Q296" i="5"/>
  <c r="P296" i="5"/>
  <c r="Q295" i="5"/>
  <c r="P295" i="5"/>
  <c r="Q294" i="5"/>
  <c r="P294" i="5"/>
  <c r="Q67" i="5"/>
  <c r="P67" i="5"/>
  <c r="Q176" i="5"/>
  <c r="P176" i="5"/>
  <c r="Q293" i="5"/>
  <c r="P293" i="5"/>
  <c r="Q233" i="5"/>
  <c r="P233" i="5"/>
  <c r="Q292" i="5"/>
  <c r="P292" i="5"/>
  <c r="Q291" i="5"/>
  <c r="P291" i="5"/>
  <c r="Q175" i="5"/>
  <c r="P175" i="5"/>
  <c r="Q174" i="5"/>
  <c r="S174" i="5" s="1"/>
  <c r="P174" i="5"/>
  <c r="Q232" i="5"/>
  <c r="P232" i="5"/>
  <c r="Q66" i="5"/>
  <c r="P66" i="5"/>
  <c r="Q19" i="5"/>
  <c r="P19" i="5"/>
  <c r="Q290" i="5"/>
  <c r="P290" i="5"/>
  <c r="Q18" i="5"/>
  <c r="P18" i="5"/>
  <c r="Q173" i="5"/>
  <c r="P173" i="5"/>
  <c r="Q289" i="5"/>
  <c r="P289" i="5"/>
  <c r="Q172" i="5"/>
  <c r="P172" i="5"/>
  <c r="Q171" i="5"/>
  <c r="P171" i="5"/>
  <c r="Q65" i="5"/>
  <c r="P65" i="5"/>
  <c r="Q288" i="5"/>
  <c r="P288" i="5"/>
  <c r="Q287" i="5"/>
  <c r="P287" i="5"/>
  <c r="Q286" i="5"/>
  <c r="P286" i="5"/>
  <c r="Q170" i="5"/>
  <c r="S170" i="5" s="1"/>
  <c r="P170" i="5"/>
  <c r="Q285" i="5"/>
  <c r="S285" i="5" s="1"/>
  <c r="P285" i="5"/>
  <c r="Q284" i="5"/>
  <c r="S284" i="5" s="1"/>
  <c r="P284" i="5"/>
  <c r="Q169" i="5"/>
  <c r="P169" i="5"/>
  <c r="Q168" i="5"/>
  <c r="P168" i="5"/>
  <c r="Q167" i="5"/>
  <c r="P167" i="5"/>
  <c r="Q166" i="5"/>
  <c r="P166" i="5"/>
  <c r="Q17" i="5"/>
  <c r="P17" i="5"/>
  <c r="Q76" i="5"/>
  <c r="P76" i="5"/>
  <c r="Q64" i="5"/>
  <c r="P64" i="5"/>
  <c r="Q63" i="5"/>
  <c r="P63" i="5"/>
  <c r="Q62" i="5"/>
  <c r="P62" i="5"/>
  <c r="Q165" i="5"/>
  <c r="P165" i="5"/>
  <c r="Q164" i="5"/>
  <c r="P164" i="5"/>
  <c r="Q283" i="5"/>
  <c r="P283" i="5"/>
  <c r="Q282" i="5"/>
  <c r="P282" i="5"/>
  <c r="Q281" i="5"/>
  <c r="P281" i="5"/>
  <c r="Q163" i="5"/>
  <c r="P163" i="5"/>
  <c r="Q16" i="5"/>
  <c r="P16" i="5"/>
  <c r="Q280" i="5"/>
  <c r="P280" i="5"/>
  <c r="Q279" i="5"/>
  <c r="P279" i="5"/>
  <c r="Q61" i="5"/>
  <c r="P61" i="5"/>
  <c r="Q278" i="5"/>
  <c r="P278" i="5"/>
  <c r="Q60" i="5"/>
  <c r="P60" i="5"/>
  <c r="Q75" i="5"/>
  <c r="P75" i="5"/>
  <c r="Q231" i="5"/>
  <c r="P231" i="5"/>
  <c r="Q230" i="5"/>
  <c r="P230" i="5"/>
  <c r="Q162" i="5"/>
  <c r="P162" i="5"/>
  <c r="Q161" i="5"/>
  <c r="P161" i="5"/>
  <c r="Q160" i="5"/>
  <c r="P160" i="5"/>
  <c r="Q159" i="5"/>
  <c r="P159" i="5"/>
  <c r="Q158" i="5"/>
  <c r="P158" i="5"/>
  <c r="Q277" i="5"/>
  <c r="P277" i="5"/>
  <c r="Q276" i="5"/>
  <c r="P276" i="5"/>
  <c r="Q157" i="5"/>
  <c r="P157" i="5"/>
  <c r="Q156" i="5"/>
  <c r="P156" i="5"/>
  <c r="Q155" i="5"/>
  <c r="P155" i="5"/>
  <c r="Q275" i="5"/>
  <c r="P275" i="5"/>
  <c r="Q15" i="5"/>
  <c r="P15" i="5"/>
  <c r="Q274" i="5"/>
  <c r="P274" i="5"/>
  <c r="Q154" i="5"/>
  <c r="P154" i="5"/>
  <c r="Q59" i="5"/>
  <c r="P59" i="5"/>
  <c r="Q153" i="5"/>
  <c r="P153" i="5"/>
  <c r="Q273" i="5"/>
  <c r="P273" i="5"/>
  <c r="Q229" i="5"/>
  <c r="P229" i="5"/>
  <c r="Q152" i="5"/>
  <c r="P152" i="5"/>
  <c r="Q272" i="5"/>
  <c r="P272" i="5"/>
  <c r="Q58" i="5"/>
  <c r="P58" i="5"/>
  <c r="Q57" i="5"/>
  <c r="P57" i="5"/>
  <c r="Q271" i="5"/>
  <c r="P271" i="5"/>
  <c r="Q151" i="5"/>
  <c r="P151" i="5"/>
  <c r="Q14" i="5"/>
  <c r="P14" i="5"/>
  <c r="Q270" i="5"/>
  <c r="P270" i="5"/>
  <c r="Q269" i="5"/>
  <c r="P269" i="5"/>
  <c r="Q150" i="5"/>
  <c r="S150" i="5" s="1"/>
  <c r="P150" i="5"/>
  <c r="Q13" i="5"/>
  <c r="P13" i="5"/>
  <c r="Q149" i="5"/>
  <c r="P149" i="5"/>
  <c r="Q148" i="5"/>
  <c r="P148" i="5"/>
  <c r="Q147" i="5"/>
  <c r="P147" i="5"/>
  <c r="Q268" i="5"/>
  <c r="P268" i="5"/>
  <c r="Q267" i="5"/>
  <c r="P267" i="5"/>
  <c r="Q146" i="5"/>
  <c r="P146" i="5"/>
  <c r="Q266" i="5"/>
  <c r="P266" i="5"/>
  <c r="Q145" i="5"/>
  <c r="P145" i="5"/>
  <c r="Q144" i="5"/>
  <c r="P144" i="5"/>
  <c r="Q143" i="5"/>
  <c r="P143" i="5"/>
  <c r="Q12" i="5"/>
  <c r="P12" i="5"/>
  <c r="Q56" i="5"/>
  <c r="P56" i="5"/>
  <c r="Q87" i="5"/>
  <c r="P87" i="5"/>
  <c r="Q142" i="5"/>
  <c r="S142" i="5" s="1"/>
  <c r="P142" i="5"/>
  <c r="Q11" i="5"/>
  <c r="P11" i="5"/>
  <c r="Q141" i="5"/>
  <c r="P141" i="5"/>
  <c r="Q140" i="5"/>
  <c r="P140" i="5"/>
  <c r="Q10" i="5"/>
  <c r="S10" i="5" s="1"/>
  <c r="P10" i="5"/>
  <c r="Q139" i="5"/>
  <c r="P139" i="5"/>
  <c r="Q138" i="5"/>
  <c r="P138" i="5"/>
  <c r="Q137" i="5"/>
  <c r="P137" i="5"/>
  <c r="Q228" i="5"/>
  <c r="P228" i="5"/>
  <c r="Q136" i="5"/>
  <c r="P136" i="5"/>
  <c r="Q77" i="5"/>
  <c r="P77" i="5"/>
  <c r="Q32" i="5"/>
  <c r="P32" i="5"/>
  <c r="Q55" i="5"/>
  <c r="P55" i="5"/>
  <c r="Q135" i="5"/>
  <c r="P135" i="5"/>
  <c r="Q134" i="5"/>
  <c r="P134" i="5"/>
  <c r="Q86" i="5"/>
  <c r="P86" i="5"/>
  <c r="Q9" i="5"/>
  <c r="P9" i="5"/>
  <c r="Q133" i="5"/>
  <c r="P133" i="5"/>
  <c r="Q85" i="5"/>
  <c r="S85" i="5" s="1"/>
  <c r="P85" i="5"/>
  <c r="Q132" i="5"/>
  <c r="P132" i="5"/>
  <c r="Q74" i="5"/>
  <c r="P74" i="5"/>
  <c r="Q54" i="5"/>
  <c r="P54" i="5"/>
  <c r="Q227" i="5"/>
  <c r="P227" i="5"/>
  <c r="Q53" i="5"/>
  <c r="P53" i="5"/>
  <c r="Q131" i="5"/>
  <c r="P131" i="5"/>
  <c r="Q52" i="5"/>
  <c r="P52" i="5"/>
  <c r="Q265" i="5"/>
  <c r="P265" i="5"/>
  <c r="Q264" i="5"/>
  <c r="P264" i="5"/>
  <c r="Q8" i="5"/>
  <c r="P8" i="5"/>
  <c r="Q130" i="5"/>
  <c r="P130" i="5"/>
  <c r="Q84" i="5"/>
  <c r="P84" i="5"/>
  <c r="Q129" i="5"/>
  <c r="P129" i="5"/>
  <c r="Q128" i="5"/>
  <c r="P128" i="5"/>
  <c r="Q226" i="5"/>
  <c r="P226" i="5"/>
  <c r="Q127" i="5"/>
  <c r="P127" i="5"/>
  <c r="Q263" i="5"/>
  <c r="P263" i="5"/>
  <c r="Q126" i="5"/>
  <c r="P126" i="5"/>
  <c r="Q262" i="5"/>
  <c r="P262" i="5"/>
  <c r="Q261" i="5"/>
  <c r="P261" i="5"/>
  <c r="Q125" i="5"/>
  <c r="P125" i="5"/>
  <c r="Q7" i="5"/>
  <c r="P7" i="5"/>
  <c r="Q124" i="5"/>
  <c r="P124" i="5"/>
  <c r="Q123" i="5"/>
  <c r="P123" i="5"/>
  <c r="Q83" i="5"/>
  <c r="S83" i="5" s="1"/>
  <c r="P83" i="5"/>
  <c r="Q51" i="5"/>
  <c r="P51" i="5"/>
  <c r="Q122" i="5"/>
  <c r="S122" i="5" s="1"/>
  <c r="P122" i="5"/>
  <c r="Q121" i="5"/>
  <c r="P121" i="5"/>
  <c r="Q82" i="5"/>
  <c r="P82" i="5"/>
  <c r="Q50" i="5"/>
  <c r="S50" i="5" s="1"/>
  <c r="P50" i="5"/>
  <c r="Q6" i="5"/>
  <c r="P6" i="5"/>
  <c r="Q260" i="5"/>
  <c r="P260" i="5"/>
  <c r="Q120" i="5"/>
  <c r="P120" i="5"/>
  <c r="Q49" i="5"/>
  <c r="P49" i="5"/>
  <c r="Q119" i="5"/>
  <c r="P119" i="5"/>
  <c r="Q48" i="5"/>
  <c r="P48" i="5"/>
  <c r="Q118" i="5"/>
  <c r="P118" i="5"/>
  <c r="Q259" i="5"/>
  <c r="P259" i="5"/>
  <c r="Q258" i="5"/>
  <c r="P258" i="5"/>
  <c r="Q117" i="5"/>
  <c r="P117" i="5"/>
  <c r="Q116" i="5"/>
  <c r="P116" i="5"/>
  <c r="Q47" i="5"/>
  <c r="P47" i="5"/>
  <c r="Q257" i="5"/>
  <c r="P257" i="5"/>
  <c r="Q46" i="5"/>
  <c r="P46" i="5"/>
  <c r="Q256" i="5"/>
  <c r="P256" i="5"/>
  <c r="Q255" i="5"/>
  <c r="P255" i="5"/>
  <c r="Q254" i="5"/>
  <c r="P254" i="5"/>
  <c r="Q225" i="5"/>
  <c r="P225" i="5"/>
  <c r="Q5" i="5"/>
  <c r="P5" i="5"/>
  <c r="Q115" i="5"/>
  <c r="P115" i="5"/>
  <c r="Q253" i="5"/>
  <c r="P253" i="5"/>
  <c r="Q45" i="5"/>
  <c r="P45" i="5"/>
  <c r="Q114" i="5"/>
  <c r="P114" i="5"/>
  <c r="Q113" i="5"/>
  <c r="P113" i="5"/>
  <c r="Q44" i="5"/>
  <c r="P44" i="5"/>
  <c r="Q43" i="5"/>
  <c r="P43" i="5"/>
  <c r="Q112" i="5"/>
  <c r="P112" i="5"/>
  <c r="Q252" i="5"/>
  <c r="P252" i="5"/>
  <c r="Q111" i="5"/>
  <c r="P111" i="5"/>
  <c r="Q110" i="5"/>
  <c r="P110" i="5"/>
  <c r="Q109" i="5"/>
  <c r="P109" i="5"/>
  <c r="Q42" i="5"/>
  <c r="P42" i="5"/>
  <c r="Q251" i="5"/>
  <c r="P251" i="5"/>
  <c r="Q108" i="5"/>
  <c r="P108" i="5"/>
  <c r="Q250" i="5"/>
  <c r="P250" i="5"/>
  <c r="Q249" i="5"/>
  <c r="P249" i="5"/>
  <c r="Q107" i="5"/>
  <c r="P107" i="5"/>
  <c r="Q81" i="5"/>
  <c r="P81" i="5"/>
  <c r="Q248" i="5"/>
  <c r="P248" i="5"/>
  <c r="Q106" i="5"/>
  <c r="P106" i="5"/>
  <c r="Q41" i="5"/>
  <c r="P41" i="5"/>
  <c r="Q105" i="5"/>
  <c r="P105" i="5"/>
  <c r="Q104" i="5"/>
  <c r="P104" i="5"/>
  <c r="Q247" i="5"/>
  <c r="P247" i="5"/>
  <c r="Q246" i="5"/>
  <c r="P246" i="5"/>
  <c r="Q103" i="5"/>
  <c r="P103" i="5"/>
  <c r="Q245" i="5"/>
  <c r="P245" i="5"/>
  <c r="Q244" i="5"/>
  <c r="P244" i="5"/>
  <c r="Q102" i="5"/>
  <c r="P102" i="5"/>
  <c r="Q80" i="5"/>
  <c r="P80" i="5"/>
  <c r="Q31" i="5"/>
  <c r="P31" i="5"/>
  <c r="Q101" i="5"/>
  <c r="P101" i="5"/>
  <c r="Q4" i="5"/>
  <c r="P4" i="5"/>
  <c r="Q243" i="5"/>
  <c r="P243" i="5"/>
  <c r="Q242" i="5"/>
  <c r="P242" i="5"/>
  <c r="Q40" i="5"/>
  <c r="P40" i="5"/>
  <c r="Q79" i="5"/>
  <c r="P79" i="5"/>
  <c r="Q100" i="5"/>
  <c r="P100" i="5"/>
  <c r="Q99" i="5"/>
  <c r="P99" i="5"/>
  <c r="Q98" i="5"/>
  <c r="P98" i="5"/>
  <c r="Q39" i="5"/>
  <c r="P39" i="5"/>
  <c r="Q241" i="5"/>
  <c r="P241" i="5"/>
  <c r="Q97" i="5"/>
  <c r="P97" i="5"/>
  <c r="Q38" i="5"/>
  <c r="P38" i="5"/>
  <c r="Q30" i="5"/>
  <c r="P30" i="5"/>
  <c r="Q34" i="5"/>
  <c r="P34" i="5"/>
  <c r="Q28" i="5"/>
  <c r="P28" i="5"/>
  <c r="Q94" i="5"/>
  <c r="P94" i="5"/>
  <c r="Q223" i="5"/>
  <c r="P223" i="5"/>
  <c r="Q239" i="5"/>
  <c r="P239" i="5"/>
  <c r="J12" i="4"/>
  <c r="P12" i="4"/>
  <c r="Q12" i="4"/>
  <c r="N239" i="5" l="1"/>
  <c r="N106" i="5"/>
  <c r="O106" i="5" s="1"/>
  <c r="N95" i="5"/>
  <c r="O95" i="5" s="1"/>
  <c r="N175" i="5"/>
  <c r="O175" i="5" s="1"/>
  <c r="N224" i="5"/>
  <c r="O224" i="5" s="1"/>
  <c r="N174" i="5"/>
  <c r="O174" i="5" s="1"/>
  <c r="N3" i="5"/>
  <c r="O3" i="5" s="1"/>
  <c r="N232" i="5"/>
  <c r="O232" i="5" s="1"/>
  <c r="N35" i="5"/>
  <c r="O35" i="5" s="1"/>
  <c r="N66" i="5"/>
  <c r="O66" i="5" s="1"/>
  <c r="N36" i="5"/>
  <c r="O36" i="5" s="1"/>
  <c r="N19" i="5"/>
  <c r="O19" i="5" s="1"/>
  <c r="N37" i="5"/>
  <c r="O37" i="5" s="1"/>
  <c r="N290" i="5"/>
  <c r="O290" i="5" s="1"/>
  <c r="N96" i="5"/>
  <c r="O96" i="5" s="1"/>
  <c r="N18" i="5"/>
  <c r="O18" i="5" s="1"/>
  <c r="N78" i="5"/>
  <c r="O78" i="5" s="1"/>
  <c r="N173" i="5"/>
  <c r="O173" i="5" s="1"/>
  <c r="N240" i="5"/>
  <c r="O240" i="5" s="1"/>
  <c r="N289" i="5"/>
  <c r="O289" i="5" s="1"/>
  <c r="N29" i="5"/>
  <c r="O29" i="5" s="1"/>
  <c r="N293" i="5"/>
  <c r="O293" i="5" s="1"/>
  <c r="N292" i="5"/>
  <c r="O292" i="5" s="1"/>
  <c r="N172" i="5"/>
  <c r="O172" i="5" s="1"/>
  <c r="N291" i="5"/>
  <c r="O291" i="5" s="1"/>
  <c r="N171" i="5"/>
  <c r="O171" i="5" s="1"/>
  <c r="N287" i="5"/>
  <c r="O287" i="5" s="1"/>
  <c r="N65" i="5"/>
  <c r="O65" i="5" s="1"/>
  <c r="N167" i="5"/>
  <c r="O167" i="5" s="1"/>
  <c r="N64" i="5"/>
  <c r="O64" i="5" s="1"/>
  <c r="N288" i="5"/>
  <c r="O288" i="5" s="1"/>
  <c r="N286" i="5"/>
  <c r="O286" i="5" s="1"/>
  <c r="N170" i="5"/>
  <c r="O170" i="5" s="1"/>
  <c r="N231" i="5"/>
  <c r="O231" i="5" s="1"/>
  <c r="N285" i="5"/>
  <c r="O285" i="5" s="1"/>
  <c r="N284" i="5"/>
  <c r="O284" i="5" s="1"/>
  <c r="N169" i="5"/>
  <c r="O169" i="5" s="1"/>
  <c r="N168" i="5"/>
  <c r="O168" i="5" s="1"/>
  <c r="N166" i="5"/>
  <c r="O166" i="5" s="1"/>
  <c r="N17" i="5"/>
  <c r="O17" i="5" s="1"/>
  <c r="N155" i="5"/>
  <c r="O155" i="5" s="1"/>
  <c r="N76" i="5"/>
  <c r="O76" i="5" s="1"/>
  <c r="N275" i="5"/>
  <c r="O275" i="5" s="1"/>
  <c r="N15" i="5"/>
  <c r="O15" i="5" s="1"/>
  <c r="N62" i="5"/>
  <c r="O62" i="5" s="1"/>
  <c r="N165" i="5"/>
  <c r="O165" i="5" s="1"/>
  <c r="N59" i="5"/>
  <c r="O59" i="5" s="1"/>
  <c r="N153" i="5"/>
  <c r="O153" i="5" s="1"/>
  <c r="N164" i="5"/>
  <c r="O164" i="5" s="1"/>
  <c r="N283" i="5"/>
  <c r="O283" i="5" s="1"/>
  <c r="N282" i="5"/>
  <c r="O282" i="5" s="1"/>
  <c r="N163" i="5"/>
  <c r="O163" i="5" s="1"/>
  <c r="N135" i="5"/>
  <c r="O135" i="5" s="1"/>
  <c r="N16" i="5"/>
  <c r="O16" i="5" s="1"/>
  <c r="N280" i="5"/>
  <c r="O280" i="5" s="1"/>
  <c r="N265" i="5"/>
  <c r="O265" i="5" s="1"/>
  <c r="N264" i="5"/>
  <c r="O264" i="5" s="1"/>
  <c r="N279" i="5"/>
  <c r="O279" i="5" s="1"/>
  <c r="N128" i="5"/>
  <c r="O128" i="5" s="1"/>
  <c r="N127" i="5"/>
  <c r="O127" i="5" s="1"/>
  <c r="N61" i="5"/>
  <c r="O61" i="5" s="1"/>
  <c r="N278" i="5"/>
  <c r="O278" i="5" s="1"/>
  <c r="N123" i="5"/>
  <c r="O123" i="5" s="1"/>
  <c r="N60" i="5"/>
  <c r="O60" i="5" s="1"/>
  <c r="N122" i="5"/>
  <c r="O122" i="5" s="1"/>
  <c r="N75" i="5"/>
  <c r="O75" i="5" s="1"/>
  <c r="N230" i="5"/>
  <c r="O230" i="5" s="1"/>
  <c r="N162" i="5"/>
  <c r="O162" i="5" s="1"/>
  <c r="N161" i="5"/>
  <c r="O161" i="5" s="1"/>
  <c r="N160" i="5"/>
  <c r="O160" i="5" s="1"/>
  <c r="N159" i="5"/>
  <c r="O159" i="5" s="1"/>
  <c r="N158" i="5"/>
  <c r="O158" i="5" s="1"/>
  <c r="N277" i="5"/>
  <c r="O277" i="5" s="1"/>
  <c r="N276" i="5"/>
  <c r="O276" i="5" s="1"/>
  <c r="N113" i="5"/>
  <c r="O113" i="5" s="1"/>
  <c r="N274" i="5"/>
  <c r="O274" i="5" s="1"/>
  <c r="N273" i="5"/>
  <c r="O273" i="5" s="1"/>
  <c r="N252" i="5"/>
  <c r="O252" i="5" s="1"/>
  <c r="N229" i="5"/>
  <c r="O229" i="5" s="1"/>
  <c r="N228" i="5"/>
  <c r="O228" i="5" s="1"/>
  <c r="N42" i="5"/>
  <c r="O42" i="5" s="1"/>
  <c r="N136" i="5"/>
  <c r="O136" i="5" s="1"/>
  <c r="N250" i="5"/>
  <c r="O250" i="5" s="1"/>
  <c r="N77" i="5"/>
  <c r="O77" i="5" s="1"/>
  <c r="N32" i="5"/>
  <c r="O32" i="5" s="1"/>
  <c r="N248" i="5"/>
  <c r="O248" i="5" s="1"/>
  <c r="N334" i="5"/>
  <c r="O334" i="5" s="1"/>
  <c r="N134" i="5"/>
  <c r="O134" i="5" s="1"/>
  <c r="N133" i="5"/>
  <c r="O133" i="5" s="1"/>
  <c r="N244" i="5"/>
  <c r="O244" i="5" s="1"/>
  <c r="N102" i="5"/>
  <c r="O102" i="5" s="1"/>
  <c r="N80" i="5"/>
  <c r="O80" i="5" s="1"/>
  <c r="N85" i="5"/>
  <c r="O85" i="5" s="1"/>
  <c r="N54" i="5"/>
  <c r="O54" i="5" s="1"/>
  <c r="N227" i="5"/>
  <c r="O227" i="5" s="1"/>
  <c r="N53" i="5"/>
  <c r="O53" i="5" s="1"/>
  <c r="N40" i="5"/>
  <c r="O40" i="5" s="1"/>
  <c r="N52" i="5"/>
  <c r="O52" i="5" s="1"/>
  <c r="N99" i="5"/>
  <c r="O99" i="5" s="1"/>
  <c r="N8" i="5"/>
  <c r="O8" i="5" s="1"/>
  <c r="N39" i="5"/>
  <c r="O39" i="5" s="1"/>
  <c r="N130" i="5"/>
  <c r="O130" i="5" s="1"/>
  <c r="N84" i="5"/>
  <c r="O84" i="5" s="1"/>
  <c r="N261" i="5"/>
  <c r="O261" i="5" s="1"/>
  <c r="N7" i="5"/>
  <c r="O7" i="5" s="1"/>
  <c r="N51" i="5"/>
  <c r="O51" i="5" s="1"/>
  <c r="N222" i="5"/>
  <c r="O222" i="5" s="1"/>
  <c r="N121" i="5"/>
  <c r="O121" i="5" s="1"/>
  <c r="N355" i="5"/>
  <c r="O355" i="5" s="1"/>
  <c r="N82" i="5"/>
  <c r="O82" i="5" s="1"/>
  <c r="N354" i="5"/>
  <c r="O354" i="5" s="1"/>
  <c r="N6" i="5"/>
  <c r="O6" i="5" s="1"/>
  <c r="N353" i="5"/>
  <c r="O353" i="5" s="1"/>
  <c r="N260" i="5"/>
  <c r="O260" i="5" s="1"/>
  <c r="N352" i="5"/>
  <c r="O352" i="5" s="1"/>
  <c r="N120" i="5"/>
  <c r="O120" i="5" s="1"/>
  <c r="N351" i="5"/>
  <c r="O351" i="5" s="1"/>
  <c r="N119" i="5"/>
  <c r="O119" i="5" s="1"/>
  <c r="N350" i="5"/>
  <c r="O350" i="5" s="1"/>
  <c r="N118" i="5"/>
  <c r="O118" i="5" s="1"/>
  <c r="N349" i="5"/>
  <c r="O349" i="5" s="1"/>
  <c r="N259" i="5"/>
  <c r="O259" i="5" s="1"/>
  <c r="N221" i="5"/>
  <c r="O221" i="5" s="1"/>
  <c r="N258" i="5"/>
  <c r="O258" i="5" s="1"/>
  <c r="N348" i="5"/>
  <c r="O348" i="5" s="1"/>
  <c r="N257" i="5"/>
  <c r="O257" i="5" s="1"/>
  <c r="N27" i="5"/>
  <c r="O27" i="5" s="1"/>
  <c r="N117" i="5"/>
  <c r="O117" i="5" s="1"/>
  <c r="N220" i="5"/>
  <c r="O220" i="5" s="1"/>
  <c r="N116" i="5"/>
  <c r="O116" i="5" s="1"/>
  <c r="N347" i="5"/>
  <c r="O347" i="5" s="1"/>
  <c r="N47" i="5"/>
  <c r="O47" i="5" s="1"/>
  <c r="N346" i="5"/>
  <c r="O346" i="5" s="1"/>
  <c r="N46" i="5"/>
  <c r="O46" i="5" s="1"/>
  <c r="N345" i="5"/>
  <c r="O345" i="5" s="1"/>
  <c r="N256" i="5"/>
  <c r="O256" i="5" s="1"/>
  <c r="N344" i="5"/>
  <c r="O344" i="5" s="1"/>
  <c r="N255" i="5"/>
  <c r="O255" i="5" s="1"/>
  <c r="N26" i="5"/>
  <c r="O26" i="5" s="1"/>
  <c r="N254" i="5"/>
  <c r="O254" i="5" s="1"/>
  <c r="N219" i="5"/>
  <c r="O219" i="5" s="1"/>
  <c r="N225" i="5"/>
  <c r="O225" i="5" s="1"/>
  <c r="N218" i="5"/>
  <c r="O218" i="5" s="1"/>
  <c r="N5" i="5"/>
  <c r="O5" i="5" s="1"/>
  <c r="N115" i="5"/>
  <c r="O115" i="5" s="1"/>
  <c r="N343" i="5"/>
  <c r="O343" i="5" s="1"/>
  <c r="N342" i="5"/>
  <c r="O342" i="5" s="1"/>
  <c r="N253" i="5"/>
  <c r="O253" i="5" s="1"/>
  <c r="N341" i="5"/>
  <c r="O341" i="5" s="1"/>
  <c r="N45" i="5"/>
  <c r="O45" i="5" s="1"/>
  <c r="N340" i="5"/>
  <c r="O340" i="5" s="1"/>
  <c r="N114" i="5"/>
  <c r="O114" i="5" s="1"/>
  <c r="N339" i="5"/>
  <c r="O339" i="5" s="1"/>
  <c r="N44" i="5"/>
  <c r="O44" i="5" s="1"/>
  <c r="N338" i="5"/>
  <c r="O338" i="5" s="1"/>
  <c r="N43" i="5"/>
  <c r="O43" i="5" s="1"/>
  <c r="N217" i="5"/>
  <c r="O217" i="5" s="1"/>
  <c r="N112" i="5"/>
  <c r="O112" i="5" s="1"/>
  <c r="N216" i="5"/>
  <c r="O216" i="5" s="1"/>
  <c r="N111" i="5"/>
  <c r="O111" i="5" s="1"/>
  <c r="N215" i="5"/>
  <c r="O215" i="5" s="1"/>
  <c r="N110" i="5"/>
  <c r="O110" i="5" s="1"/>
  <c r="N73" i="5"/>
  <c r="O73" i="5" s="1"/>
  <c r="N109" i="5"/>
  <c r="O109" i="5" s="1"/>
  <c r="N337" i="5"/>
  <c r="O337" i="5" s="1"/>
  <c r="N108" i="5"/>
  <c r="O108" i="5" s="1"/>
  <c r="N336" i="5"/>
  <c r="O336" i="5" s="1"/>
  <c r="N107" i="5"/>
  <c r="O107" i="5" s="1"/>
  <c r="N214" i="5"/>
  <c r="O214" i="5" s="1"/>
  <c r="N335" i="5"/>
  <c r="O335" i="5" s="1"/>
  <c r="N81" i="5"/>
  <c r="O81" i="5" s="1"/>
  <c r="N41" i="5"/>
  <c r="O41" i="5" s="1"/>
  <c r="N105" i="5"/>
  <c r="O105" i="5" s="1"/>
  <c r="N213" i="5"/>
  <c r="O213" i="5" s="1"/>
  <c r="N104" i="5"/>
  <c r="O104" i="5" s="1"/>
  <c r="N333" i="5"/>
  <c r="O333" i="5" s="1"/>
  <c r="N332" i="5"/>
  <c r="O332" i="5" s="1"/>
  <c r="N247" i="5"/>
  <c r="O247" i="5" s="1"/>
  <c r="N331" i="5"/>
  <c r="O331" i="5" s="1"/>
  <c r="N246" i="5"/>
  <c r="O246" i="5" s="1"/>
  <c r="N212" i="5"/>
  <c r="O212" i="5" s="1"/>
  <c r="N103" i="5"/>
  <c r="O103" i="5" s="1"/>
  <c r="N211" i="5"/>
  <c r="O211" i="5" s="1"/>
  <c r="N245" i="5"/>
  <c r="O245" i="5" s="1"/>
  <c r="N330" i="5"/>
  <c r="O330" i="5" s="1"/>
  <c r="N31" i="5"/>
  <c r="O31" i="5" s="1"/>
  <c r="N93" i="5"/>
  <c r="O93" i="5" s="1"/>
  <c r="N101" i="5"/>
  <c r="O101" i="5" s="1"/>
  <c r="N210" i="5"/>
  <c r="O210" i="5" s="1"/>
  <c r="N4" i="5"/>
  <c r="O4" i="5" s="1"/>
  <c r="N329" i="5"/>
  <c r="O329" i="5" s="1"/>
  <c r="N243" i="5"/>
  <c r="O243" i="5" s="1"/>
  <c r="N328" i="5"/>
  <c r="O328" i="5" s="1"/>
  <c r="N242" i="5"/>
  <c r="O242" i="5" s="1"/>
  <c r="N209" i="5"/>
  <c r="O209" i="5" s="1"/>
  <c r="N79" i="5"/>
  <c r="O79" i="5" s="1"/>
  <c r="N327" i="5"/>
  <c r="O327" i="5" s="1"/>
  <c r="N100" i="5"/>
  <c r="O100" i="5" s="1"/>
  <c r="N326" i="5"/>
  <c r="O326" i="5" s="1"/>
  <c r="N98" i="5"/>
  <c r="O98" i="5" s="1"/>
  <c r="N325" i="5"/>
  <c r="O325" i="5" s="1"/>
  <c r="N241" i="5"/>
  <c r="O241" i="5" s="1"/>
  <c r="N208" i="5"/>
  <c r="O208" i="5" s="1"/>
  <c r="N97" i="5"/>
  <c r="O97" i="5" s="1"/>
  <c r="N324" i="5"/>
  <c r="O324" i="5" s="1"/>
  <c r="N207" i="5"/>
  <c r="O207" i="5" s="1"/>
  <c r="N38" i="5"/>
  <c r="O38" i="5" s="1"/>
  <c r="N206" i="5"/>
  <c r="O206" i="5" s="1"/>
  <c r="N30" i="5"/>
  <c r="O30" i="5" s="1"/>
  <c r="N238" i="5"/>
  <c r="O238" i="5" s="1"/>
  <c r="N94" i="5"/>
  <c r="O94" i="5" s="1"/>
  <c r="N205" i="5"/>
  <c r="O205" i="5" s="1"/>
  <c r="N92" i="5"/>
  <c r="O92" i="5" s="1"/>
  <c r="N86" i="5"/>
  <c r="O86" i="5" s="1"/>
  <c r="N204" i="5"/>
  <c r="O204" i="5" s="1"/>
  <c r="N263" i="5"/>
  <c r="O263" i="5" s="1"/>
  <c r="N323" i="5"/>
  <c r="O323" i="5" s="1"/>
  <c r="N262" i="5"/>
  <c r="O262" i="5" s="1"/>
  <c r="N322" i="5"/>
  <c r="O322" i="5" s="1"/>
  <c r="N125" i="5"/>
  <c r="O125" i="5" s="1"/>
  <c r="N237" i="5"/>
  <c r="O237" i="5" s="1"/>
  <c r="N124" i="5"/>
  <c r="O124" i="5" s="1"/>
  <c r="N321" i="5"/>
  <c r="O321" i="5" s="1"/>
  <c r="N320" i="5"/>
  <c r="O320" i="5" s="1"/>
  <c r="N83" i="5"/>
  <c r="O83" i="5" s="1"/>
  <c r="N203" i="5"/>
  <c r="O203" i="5" s="1"/>
  <c r="N48" i="5"/>
  <c r="O48" i="5" s="1"/>
  <c r="N202" i="5"/>
  <c r="O202" i="5" s="1"/>
  <c r="N223" i="5"/>
  <c r="O223" i="5" s="1"/>
  <c r="N201" i="5"/>
  <c r="O201" i="5" s="1"/>
  <c r="N251" i="5"/>
  <c r="O251" i="5" s="1"/>
  <c r="N33" i="5"/>
  <c r="O33" i="5" s="1"/>
  <c r="N200" i="5"/>
  <c r="O200" i="5" s="1"/>
  <c r="N199" i="5"/>
  <c r="O199" i="5" s="1"/>
  <c r="N198" i="5"/>
  <c r="O198" i="5" s="1"/>
  <c r="N197" i="5"/>
  <c r="O197" i="5" s="1"/>
  <c r="N34" i="5"/>
  <c r="O34" i="5" s="1"/>
  <c r="N319" i="5"/>
  <c r="O319" i="5" s="1"/>
  <c r="N177" i="5"/>
  <c r="O177" i="5" s="1"/>
  <c r="N318" i="5"/>
  <c r="O318" i="5" s="1"/>
  <c r="N63" i="5"/>
  <c r="O63" i="5" s="1"/>
  <c r="N317" i="5"/>
  <c r="O317" i="5" s="1"/>
  <c r="N281" i="5"/>
  <c r="O281" i="5" s="1"/>
  <c r="N316" i="5"/>
  <c r="O316" i="5" s="1"/>
  <c r="N157" i="5"/>
  <c r="O157" i="5" s="1"/>
  <c r="N315" i="5"/>
  <c r="O315" i="5" s="1"/>
  <c r="N156" i="5"/>
  <c r="O156" i="5" s="1"/>
  <c r="N314" i="5"/>
  <c r="O314" i="5" s="1"/>
  <c r="N154" i="5"/>
  <c r="O154" i="5" s="1"/>
  <c r="N313" i="5"/>
  <c r="O313" i="5" s="1"/>
  <c r="N196" i="5"/>
  <c r="O196" i="5" s="1"/>
  <c r="N55" i="5"/>
  <c r="O55" i="5" s="1"/>
  <c r="N195" i="5"/>
  <c r="O195" i="5" s="1"/>
  <c r="N9" i="5"/>
  <c r="O9" i="5" s="1"/>
  <c r="N72" i="5"/>
  <c r="O72" i="5" s="1"/>
  <c r="N132" i="5"/>
  <c r="O132" i="5" s="1"/>
  <c r="N194" i="5"/>
  <c r="O194" i="5" s="1"/>
  <c r="N74" i="5"/>
  <c r="O74" i="5" s="1"/>
  <c r="N193" i="5"/>
  <c r="O193" i="5" s="1"/>
  <c r="N131" i="5"/>
  <c r="O131" i="5" s="1"/>
  <c r="N312" i="5"/>
  <c r="O312" i="5" s="1"/>
  <c r="N129" i="5"/>
  <c r="O129" i="5" s="1"/>
  <c r="N25" i="5"/>
  <c r="O25" i="5" s="1"/>
  <c r="N226" i="5"/>
  <c r="O226" i="5" s="1"/>
  <c r="N24" i="5"/>
  <c r="O24" i="5" s="1"/>
  <c r="N126" i="5"/>
  <c r="O126" i="5" s="1"/>
  <c r="N23" i="5"/>
  <c r="O23" i="5" s="1"/>
  <c r="N50" i="5"/>
  <c r="O50" i="5" s="1"/>
  <c r="N22" i="5"/>
  <c r="O22" i="5" s="1"/>
  <c r="N28" i="5"/>
  <c r="O28" i="5" s="1"/>
  <c r="N21" i="5"/>
  <c r="O21" i="5" s="1"/>
  <c r="N152" i="5"/>
  <c r="O152" i="5" s="1"/>
  <c r="N20" i="5"/>
  <c r="O20" i="5" s="1"/>
  <c r="N272" i="5"/>
  <c r="O272" i="5" s="1"/>
  <c r="N192" i="5"/>
  <c r="O192" i="5" s="1"/>
  <c r="N58" i="5"/>
  <c r="O58" i="5" s="1"/>
  <c r="N191" i="5"/>
  <c r="O191" i="5" s="1"/>
  <c r="N57" i="5"/>
  <c r="O57" i="5" s="1"/>
  <c r="N91" i="5"/>
  <c r="O91" i="5" s="1"/>
  <c r="N271" i="5"/>
  <c r="O271" i="5" s="1"/>
  <c r="N311" i="5"/>
  <c r="O311" i="5" s="1"/>
  <c r="N151" i="5"/>
  <c r="O151" i="5" s="1"/>
  <c r="N71" i="5"/>
  <c r="O71" i="5" s="1"/>
  <c r="N70" i="5"/>
  <c r="O70" i="5" s="1"/>
  <c r="N14" i="5"/>
  <c r="O14" i="5" s="1"/>
  <c r="N310" i="5"/>
  <c r="O310" i="5" s="1"/>
  <c r="N270" i="5"/>
  <c r="O270" i="5" s="1"/>
  <c r="N309" i="5"/>
  <c r="O309" i="5" s="1"/>
  <c r="N269" i="5"/>
  <c r="O269" i="5" s="1"/>
  <c r="N190" i="5"/>
  <c r="O190" i="5" s="1"/>
  <c r="N150" i="5"/>
  <c r="O150" i="5" s="1"/>
  <c r="N308" i="5"/>
  <c r="O308" i="5" s="1"/>
  <c r="N13" i="5"/>
  <c r="O13" i="5" s="1"/>
  <c r="N236" i="5"/>
  <c r="O236" i="5" s="1"/>
  <c r="N149" i="5"/>
  <c r="O149" i="5" s="1"/>
  <c r="N90" i="5"/>
  <c r="O90" i="5" s="1"/>
  <c r="N189" i="5"/>
  <c r="O189" i="5" s="1"/>
  <c r="N148" i="5"/>
  <c r="O148" i="5" s="1"/>
  <c r="N188" i="5"/>
  <c r="O188" i="5" s="1"/>
  <c r="N147" i="5"/>
  <c r="O147" i="5" s="1"/>
  <c r="N307" i="5"/>
  <c r="O307" i="5" s="1"/>
  <c r="N268" i="5"/>
  <c r="O268" i="5" s="1"/>
  <c r="N187" i="5"/>
  <c r="O187" i="5" s="1"/>
  <c r="N267" i="5"/>
  <c r="O267" i="5" s="1"/>
  <c r="N186" i="5"/>
  <c r="O186" i="5" s="1"/>
  <c r="N146" i="5"/>
  <c r="O146" i="5" s="1"/>
  <c r="N306" i="5"/>
  <c r="O306" i="5" s="1"/>
  <c r="N266" i="5"/>
  <c r="O266" i="5" s="1"/>
  <c r="N185" i="5"/>
  <c r="O185" i="5" s="1"/>
  <c r="N145" i="5"/>
  <c r="O145" i="5" s="1"/>
  <c r="N305" i="5"/>
  <c r="O305" i="5" s="1"/>
  <c r="N144" i="5"/>
  <c r="O144" i="5" s="1"/>
  <c r="N89" i="5"/>
  <c r="O89" i="5" s="1"/>
  <c r="N143" i="5"/>
  <c r="O143" i="5" s="1"/>
  <c r="N304" i="5"/>
  <c r="O304" i="5" s="1"/>
  <c r="N12" i="5"/>
  <c r="O12" i="5" s="1"/>
  <c r="N303" i="5"/>
  <c r="O303" i="5" s="1"/>
  <c r="N56" i="5"/>
  <c r="O56" i="5" s="1"/>
  <c r="N302" i="5"/>
  <c r="O302" i="5" s="1"/>
  <c r="N87" i="5"/>
  <c r="O87" i="5" s="1"/>
  <c r="N301" i="5"/>
  <c r="O301" i="5" s="1"/>
  <c r="N142" i="5"/>
  <c r="O142" i="5" s="1"/>
  <c r="N184" i="5"/>
  <c r="O184" i="5" s="1"/>
  <c r="N11" i="5"/>
  <c r="O11" i="5" s="1"/>
  <c r="N69" i="5"/>
  <c r="O69" i="5" s="1"/>
  <c r="N141" i="5"/>
  <c r="O141" i="5" s="1"/>
  <c r="N235" i="5"/>
  <c r="O235" i="5" s="1"/>
  <c r="N140" i="5"/>
  <c r="O140" i="5" s="1"/>
  <c r="N68" i="5"/>
  <c r="O68" i="5" s="1"/>
  <c r="N183" i="5"/>
  <c r="O183" i="5" s="1"/>
  <c r="N10" i="5"/>
  <c r="O10" i="5" s="1"/>
  <c r="N139" i="5"/>
  <c r="O139" i="5" s="1"/>
  <c r="N300" i="5"/>
  <c r="O300" i="5" s="1"/>
  <c r="N299" i="5"/>
  <c r="O299" i="5" s="1"/>
  <c r="N138" i="5"/>
  <c r="O138" i="5" s="1"/>
  <c r="N182" i="5"/>
  <c r="O182" i="5" s="1"/>
  <c r="N137" i="5"/>
  <c r="O137" i="5" s="1"/>
  <c r="N181" i="5"/>
  <c r="O181" i="5" s="1"/>
  <c r="N49" i="5"/>
  <c r="O49" i="5" s="1"/>
  <c r="N234" i="5"/>
  <c r="O234" i="5" s="1"/>
  <c r="N249" i="5"/>
  <c r="O249" i="5" s="1"/>
  <c r="N88" i="5"/>
  <c r="O88" i="5" s="1"/>
  <c r="N180" i="5"/>
  <c r="O180" i="5" s="1"/>
  <c r="N179" i="5"/>
  <c r="O179" i="5" s="1"/>
  <c r="N178" i="5"/>
  <c r="O178" i="5" s="1"/>
  <c r="N298" i="5"/>
  <c r="O298" i="5" s="1"/>
  <c r="N297" i="5"/>
  <c r="O297" i="5" s="1"/>
  <c r="N296" i="5"/>
  <c r="O296" i="5" s="1"/>
  <c r="N295" i="5"/>
  <c r="O295" i="5" s="1"/>
  <c r="N294" i="5"/>
  <c r="O294" i="5" s="1"/>
  <c r="N67" i="5"/>
  <c r="O67" i="5" s="1"/>
  <c r="N176" i="5"/>
  <c r="O176" i="5" s="1"/>
  <c r="N233" i="5"/>
  <c r="O233" i="5" s="1"/>
  <c r="K224" i="5"/>
  <c r="S224" i="5" s="1"/>
  <c r="K3" i="5"/>
  <c r="S3" i="5" s="1"/>
  <c r="K35" i="5"/>
  <c r="S35" i="5" s="1"/>
  <c r="K36" i="5"/>
  <c r="S36" i="5" s="1"/>
  <c r="K37" i="5"/>
  <c r="S37" i="5" s="1"/>
  <c r="K96" i="5"/>
  <c r="S96" i="5" s="1"/>
  <c r="K78" i="5"/>
  <c r="S78" i="5" s="1"/>
  <c r="K240" i="5"/>
  <c r="S240" i="5" s="1"/>
  <c r="K29" i="5"/>
  <c r="S29" i="5" s="1"/>
  <c r="K292" i="5"/>
  <c r="S292" i="5" s="1"/>
  <c r="K173" i="5"/>
  <c r="S173" i="5" s="1"/>
  <c r="K169" i="5"/>
  <c r="S169" i="5" s="1"/>
  <c r="K163" i="5"/>
  <c r="S163" i="5" s="1"/>
  <c r="K16" i="5"/>
  <c r="S16" i="5" s="1"/>
  <c r="K278" i="5"/>
  <c r="S278" i="5" s="1"/>
  <c r="K230" i="5"/>
  <c r="S230" i="5" s="1"/>
  <c r="K159" i="5"/>
  <c r="S159" i="5" s="1"/>
  <c r="K158" i="5"/>
  <c r="S158" i="5" s="1"/>
  <c r="K277" i="5"/>
  <c r="S277" i="5" s="1"/>
  <c r="K157" i="5"/>
  <c r="S157" i="5" s="1"/>
  <c r="K156" i="5"/>
  <c r="S156" i="5" s="1"/>
  <c r="K155" i="5"/>
  <c r="S155" i="5" s="1"/>
  <c r="K15" i="5"/>
  <c r="S15" i="5" s="1"/>
  <c r="K154" i="5"/>
  <c r="S154" i="5" s="1"/>
  <c r="K273" i="5"/>
  <c r="S273" i="5" s="1"/>
  <c r="K228" i="5"/>
  <c r="S228" i="5" s="1"/>
  <c r="K77" i="5"/>
  <c r="S77" i="5" s="1"/>
  <c r="K55" i="5"/>
  <c r="S55" i="5" s="1"/>
  <c r="K134" i="5"/>
  <c r="S134" i="5" s="1"/>
  <c r="K52" i="5"/>
  <c r="S52" i="5" s="1"/>
  <c r="K264" i="5"/>
  <c r="S264" i="5" s="1"/>
  <c r="K262" i="5"/>
  <c r="S262" i="5" s="1"/>
  <c r="K124" i="5"/>
  <c r="S124" i="5" s="1"/>
  <c r="K51" i="5"/>
  <c r="S51" i="5" s="1"/>
  <c r="K82" i="5"/>
  <c r="S82" i="5" s="1"/>
  <c r="K6" i="5"/>
  <c r="S6" i="5" s="1"/>
  <c r="K257" i="5"/>
  <c r="S257" i="5" s="1"/>
  <c r="K256" i="5"/>
  <c r="S256" i="5" s="1"/>
  <c r="K255" i="5"/>
  <c r="S255" i="5" s="1"/>
  <c r="K225" i="5"/>
  <c r="S225" i="5" s="1"/>
  <c r="K5" i="5"/>
  <c r="S5" i="5" s="1"/>
  <c r="K115" i="5"/>
  <c r="S115" i="5" s="1"/>
  <c r="K45" i="5"/>
  <c r="S45" i="5" s="1"/>
  <c r="K44" i="5"/>
  <c r="S44" i="5" s="1"/>
  <c r="K43" i="5"/>
  <c r="S43" i="5" s="1"/>
  <c r="K111" i="5"/>
  <c r="S111" i="5" s="1"/>
  <c r="K110" i="5"/>
  <c r="S110" i="5" s="1"/>
  <c r="K251" i="5"/>
  <c r="S251" i="5" s="1"/>
  <c r="K249" i="5"/>
  <c r="S249" i="5" s="1"/>
  <c r="K81" i="5"/>
  <c r="S81" i="5" s="1"/>
  <c r="K246" i="5"/>
  <c r="S246" i="5" s="1"/>
  <c r="K245" i="5"/>
  <c r="S245" i="5" s="1"/>
  <c r="K31" i="5"/>
  <c r="S31" i="5" s="1"/>
  <c r="K101" i="5"/>
  <c r="S101" i="5" s="1"/>
  <c r="K243" i="5"/>
  <c r="S243" i="5" s="1"/>
  <c r="K242" i="5"/>
  <c r="S242" i="5" s="1"/>
  <c r="K79" i="5"/>
  <c r="S79" i="5" s="1"/>
  <c r="K99" i="5"/>
  <c r="S99" i="5" s="1"/>
  <c r="K97" i="5"/>
  <c r="S97" i="5" s="1"/>
  <c r="K38" i="5"/>
  <c r="S38" i="5" s="1"/>
  <c r="K30" i="5"/>
  <c r="S30" i="5" s="1"/>
  <c r="K28" i="5"/>
  <c r="S28" i="5" s="1"/>
  <c r="K223" i="5"/>
  <c r="S223" i="5" s="1"/>
  <c r="K222" i="5"/>
  <c r="S222" i="5" s="1"/>
  <c r="K355" i="5"/>
  <c r="S355" i="5" s="1"/>
  <c r="K354" i="5"/>
  <c r="S354" i="5" s="1"/>
  <c r="K353" i="5"/>
  <c r="S353" i="5" s="1"/>
  <c r="K352" i="5"/>
  <c r="S352" i="5" s="1"/>
  <c r="K351" i="5"/>
  <c r="S351" i="5" s="1"/>
  <c r="K350" i="5"/>
  <c r="S350" i="5" s="1"/>
  <c r="K349" i="5"/>
  <c r="S349" i="5" s="1"/>
  <c r="K221" i="5"/>
  <c r="S221" i="5" s="1"/>
  <c r="K348" i="5"/>
  <c r="S348" i="5" s="1"/>
  <c r="K27" i="5"/>
  <c r="S27" i="5" s="1"/>
  <c r="K220" i="5"/>
  <c r="S220" i="5" s="1"/>
  <c r="K347" i="5"/>
  <c r="S347" i="5" s="1"/>
  <c r="K346" i="5"/>
  <c r="S346" i="5" s="1"/>
  <c r="K345" i="5"/>
  <c r="S345" i="5" s="1"/>
  <c r="K344" i="5"/>
  <c r="S344" i="5" s="1"/>
  <c r="K26" i="5"/>
  <c r="S26" i="5" s="1"/>
  <c r="K219" i="5"/>
  <c r="S219" i="5" s="1"/>
  <c r="K218" i="5"/>
  <c r="S218" i="5" s="1"/>
  <c r="K343" i="5"/>
  <c r="S343" i="5" s="1"/>
  <c r="K342" i="5"/>
  <c r="S342" i="5" s="1"/>
  <c r="K341" i="5"/>
  <c r="S341" i="5" s="1"/>
  <c r="K340" i="5"/>
  <c r="S340" i="5" s="1"/>
  <c r="K339" i="5"/>
  <c r="S339" i="5" s="1"/>
  <c r="K338" i="5"/>
  <c r="S338" i="5" s="1"/>
  <c r="K217" i="5"/>
  <c r="S217" i="5" s="1"/>
  <c r="K216" i="5"/>
  <c r="S216" i="5" s="1"/>
  <c r="K215" i="5"/>
  <c r="S215" i="5" s="1"/>
  <c r="K73" i="5"/>
  <c r="S73" i="5" s="1"/>
  <c r="K337" i="5"/>
  <c r="S337" i="5" s="1"/>
  <c r="K336" i="5"/>
  <c r="S336" i="5" s="1"/>
  <c r="K335" i="5"/>
  <c r="S335" i="5" s="1"/>
  <c r="K95" i="5"/>
  <c r="S95" i="5" s="1"/>
  <c r="K334" i="5"/>
  <c r="S334" i="5" s="1"/>
  <c r="K213" i="5"/>
  <c r="S213" i="5" s="1"/>
  <c r="K332" i="5"/>
  <c r="S332" i="5" s="1"/>
  <c r="K331" i="5"/>
  <c r="S331" i="5" s="1"/>
  <c r="K212" i="5"/>
  <c r="S212" i="5" s="1"/>
  <c r="K211" i="5"/>
  <c r="S211" i="5" s="1"/>
  <c r="K330" i="5"/>
  <c r="S330" i="5" s="1"/>
  <c r="K93" i="5"/>
  <c r="S93" i="5" s="1"/>
  <c r="K210" i="5"/>
  <c r="S210" i="5" s="1"/>
  <c r="K329" i="5"/>
  <c r="S329" i="5" s="1"/>
  <c r="K328" i="5"/>
  <c r="S328" i="5" s="1"/>
  <c r="K209" i="5"/>
  <c r="S209" i="5" s="1"/>
  <c r="K327" i="5"/>
  <c r="S327" i="5" s="1"/>
  <c r="K326" i="5"/>
  <c r="S326" i="5" s="1"/>
  <c r="K325" i="5"/>
  <c r="S325" i="5" s="1"/>
  <c r="K208" i="5"/>
  <c r="S208" i="5" s="1"/>
  <c r="K207" i="5"/>
  <c r="S207" i="5" s="1"/>
  <c r="K206" i="5"/>
  <c r="S206" i="5" s="1"/>
  <c r="K238" i="5"/>
  <c r="S238" i="5" s="1"/>
  <c r="K92" i="5"/>
  <c r="S92" i="5" s="1"/>
  <c r="K204" i="5"/>
  <c r="S204" i="5" s="1"/>
  <c r="K323" i="5"/>
  <c r="S323" i="5" s="1"/>
  <c r="K322" i="5"/>
  <c r="S322" i="5" s="1"/>
  <c r="K237" i="5"/>
  <c r="S237" i="5" s="1"/>
  <c r="K320" i="5"/>
  <c r="S320" i="5" s="1"/>
  <c r="K203" i="5"/>
  <c r="S203" i="5" s="1"/>
  <c r="K202" i="5"/>
  <c r="S202" i="5" s="1"/>
  <c r="K201" i="5"/>
  <c r="S201" i="5" s="1"/>
  <c r="K197" i="5"/>
  <c r="S197" i="5" s="1"/>
  <c r="K319" i="5"/>
  <c r="S319" i="5" s="1"/>
  <c r="K318" i="5"/>
  <c r="S318" i="5" s="1"/>
  <c r="K317" i="5"/>
  <c r="S317" i="5" s="1"/>
  <c r="K316" i="5"/>
  <c r="S316" i="5" s="1"/>
  <c r="K315" i="5"/>
  <c r="S315" i="5" s="1"/>
  <c r="K314" i="5"/>
  <c r="S314" i="5" s="1"/>
  <c r="K196" i="5"/>
  <c r="S196" i="5" s="1"/>
  <c r="K195" i="5"/>
  <c r="S195" i="5" s="1"/>
  <c r="K72" i="5"/>
  <c r="S72" i="5" s="1"/>
  <c r="K194" i="5"/>
  <c r="S194" i="5" s="1"/>
  <c r="K193" i="5"/>
  <c r="S193" i="5" s="1"/>
  <c r="K312" i="5"/>
  <c r="S312" i="5" s="1"/>
  <c r="K25" i="5"/>
  <c r="S25" i="5" s="1"/>
  <c r="K24" i="5"/>
  <c r="S24" i="5" s="1"/>
  <c r="K23" i="5"/>
  <c r="S23" i="5" s="1"/>
  <c r="K22" i="5"/>
  <c r="S22" i="5" s="1"/>
  <c r="K21" i="5"/>
  <c r="S21" i="5" s="1"/>
  <c r="K20" i="5"/>
  <c r="S20" i="5" s="1"/>
  <c r="K192" i="5"/>
  <c r="S192" i="5" s="1"/>
  <c r="K191" i="5"/>
  <c r="S191" i="5" s="1"/>
  <c r="K91" i="5"/>
  <c r="S91" i="5" s="1"/>
  <c r="K311" i="5"/>
  <c r="S311" i="5" s="1"/>
  <c r="K70" i="5"/>
  <c r="S70" i="5" s="1"/>
  <c r="K310" i="5"/>
  <c r="S310" i="5" s="1"/>
  <c r="K309" i="5"/>
  <c r="S309" i="5" s="1"/>
  <c r="K190" i="5"/>
  <c r="S190" i="5" s="1"/>
  <c r="K308" i="5"/>
  <c r="S308" i="5" s="1"/>
  <c r="K236" i="5"/>
  <c r="S236" i="5" s="1"/>
  <c r="K189" i="5"/>
  <c r="S189" i="5" s="1"/>
  <c r="K188" i="5"/>
  <c r="S188" i="5" s="1"/>
  <c r="K307" i="5"/>
  <c r="S307" i="5" s="1"/>
  <c r="K187" i="5"/>
  <c r="S187" i="5" s="1"/>
  <c r="K186" i="5"/>
  <c r="S186" i="5" s="1"/>
  <c r="K306" i="5"/>
  <c r="S306" i="5" s="1"/>
  <c r="K185" i="5"/>
  <c r="S185" i="5" s="1"/>
  <c r="K305" i="5"/>
  <c r="S305" i="5" s="1"/>
  <c r="K89" i="5"/>
  <c r="S89" i="5" s="1"/>
  <c r="K304" i="5"/>
  <c r="S304" i="5" s="1"/>
  <c r="K303" i="5"/>
  <c r="S303" i="5" s="1"/>
  <c r="K302" i="5"/>
  <c r="S302" i="5" s="1"/>
  <c r="K301" i="5"/>
  <c r="S301" i="5" s="1"/>
  <c r="K184" i="5"/>
  <c r="S184" i="5" s="1"/>
  <c r="K69" i="5"/>
  <c r="S69" i="5" s="1"/>
  <c r="K235" i="5"/>
  <c r="S235" i="5" s="1"/>
  <c r="K183" i="5"/>
  <c r="S183" i="5" s="1"/>
  <c r="K300" i="5"/>
  <c r="S300" i="5" s="1"/>
  <c r="K299" i="5"/>
  <c r="S299" i="5" s="1"/>
  <c r="K182" i="5"/>
  <c r="S182" i="5" s="1"/>
  <c r="K181" i="5"/>
  <c r="S181" i="5" s="1"/>
  <c r="K234" i="5"/>
  <c r="S234" i="5" s="1"/>
  <c r="K162" i="5"/>
  <c r="S162" i="5" s="1"/>
  <c r="K179" i="5"/>
  <c r="S179" i="5" s="1"/>
  <c r="K114" i="5"/>
  <c r="S114" i="5" s="1"/>
  <c r="K161" i="5"/>
  <c r="S161" i="5" s="1"/>
  <c r="K288" i="5"/>
  <c r="S288" i="5" s="1"/>
  <c r="K160" i="5"/>
  <c r="S160" i="5" s="1"/>
  <c r="K112" i="5"/>
  <c r="S112" i="5" s="1"/>
  <c r="K252" i="5"/>
  <c r="S252" i="5" s="1"/>
  <c r="K287" i="5"/>
  <c r="S287" i="5" s="1"/>
  <c r="K233" i="5"/>
  <c r="S233" i="5" s="1"/>
  <c r="K286" i="5"/>
  <c r="S286" i="5" s="1"/>
  <c r="K109" i="5"/>
  <c r="S109" i="5" s="1"/>
  <c r="K42" i="5"/>
  <c r="S42" i="5" s="1"/>
  <c r="K291" i="5"/>
  <c r="S291" i="5" s="1"/>
  <c r="K108" i="5"/>
  <c r="S108" i="5" s="1"/>
  <c r="K250" i="5"/>
  <c r="S250" i="5" s="1"/>
  <c r="K276" i="5"/>
  <c r="S276" i="5" s="1"/>
  <c r="K107" i="5"/>
  <c r="S107" i="5" s="1"/>
  <c r="K297" i="5"/>
  <c r="S297" i="5" s="1"/>
  <c r="K248" i="5"/>
  <c r="S248" i="5" s="1"/>
  <c r="K106" i="5"/>
  <c r="S106" i="5" s="1"/>
  <c r="K274" i="5"/>
  <c r="S274" i="5" s="1"/>
  <c r="K41" i="5"/>
  <c r="S41" i="5" s="1"/>
  <c r="K59" i="5"/>
  <c r="S59" i="5" s="1"/>
  <c r="K105" i="5"/>
  <c r="S105" i="5" s="1"/>
  <c r="K175" i="5"/>
  <c r="S175" i="5" s="1"/>
  <c r="K104" i="5"/>
  <c r="S104" i="5" s="1"/>
  <c r="K180" i="5"/>
  <c r="S180" i="5" s="1"/>
  <c r="K247" i="5"/>
  <c r="S247" i="5" s="1"/>
  <c r="K296" i="5"/>
  <c r="S296" i="5" s="1"/>
  <c r="K168" i="5"/>
  <c r="S168" i="5" s="1"/>
  <c r="K103" i="5"/>
  <c r="S103" i="5" s="1"/>
  <c r="K136" i="5"/>
  <c r="S136" i="5" s="1"/>
  <c r="K244" i="5"/>
  <c r="S244" i="5" s="1"/>
  <c r="K102" i="5"/>
  <c r="S102" i="5" s="1"/>
  <c r="K80" i="5"/>
  <c r="S80" i="5" s="1"/>
  <c r="K167" i="5"/>
  <c r="S167" i="5" s="1"/>
  <c r="K232" i="5"/>
  <c r="S232" i="5" s="1"/>
  <c r="K32" i="5"/>
  <c r="S32" i="5" s="1"/>
  <c r="K4" i="5"/>
  <c r="S4" i="5" s="1"/>
  <c r="K135" i="5"/>
  <c r="S135" i="5" s="1"/>
  <c r="K166" i="5"/>
  <c r="S166" i="5" s="1"/>
  <c r="K40" i="5"/>
  <c r="S40" i="5" s="1"/>
  <c r="K86" i="5"/>
  <c r="S86" i="5" s="1"/>
  <c r="K9" i="5"/>
  <c r="S9" i="5" s="1"/>
  <c r="K100" i="5"/>
  <c r="S100" i="5" s="1"/>
  <c r="K178" i="5"/>
  <c r="S178" i="5" s="1"/>
  <c r="K98" i="5"/>
  <c r="S98" i="5" s="1"/>
  <c r="K39" i="5"/>
  <c r="S39" i="5" s="1"/>
  <c r="K133" i="5"/>
  <c r="S133" i="5" s="1"/>
  <c r="K241" i="5"/>
  <c r="S241" i="5" s="1"/>
  <c r="K17" i="5"/>
  <c r="S17" i="5" s="1"/>
  <c r="K132" i="5"/>
  <c r="S132" i="5" s="1"/>
  <c r="K74" i="5"/>
  <c r="S74" i="5" s="1"/>
  <c r="K34" i="5"/>
  <c r="S34" i="5" s="1"/>
  <c r="K66" i="5"/>
  <c r="S66" i="5" s="1"/>
  <c r="K94" i="5"/>
  <c r="S94" i="5" s="1"/>
  <c r="K275" i="5"/>
  <c r="S275" i="5" s="1"/>
  <c r="K153" i="5"/>
  <c r="S153" i="5" s="1"/>
  <c r="K54" i="5"/>
  <c r="S54" i="5" s="1"/>
  <c r="K128" i="5"/>
  <c r="S128" i="5" s="1"/>
  <c r="K76" i="5"/>
  <c r="S76" i="5" s="1"/>
  <c r="K227" i="5"/>
  <c r="S227" i="5" s="1"/>
  <c r="K64" i="5"/>
  <c r="S64" i="5" s="1"/>
  <c r="K53" i="5"/>
  <c r="S53" i="5" s="1"/>
  <c r="K131" i="5"/>
  <c r="S131" i="5" s="1"/>
  <c r="K63" i="5"/>
  <c r="S63" i="5" s="1"/>
  <c r="K265" i="5"/>
  <c r="S265" i="5" s="1"/>
  <c r="K295" i="5"/>
  <c r="S295" i="5" s="1"/>
  <c r="K8" i="5"/>
  <c r="S8" i="5" s="1"/>
  <c r="K62" i="5"/>
  <c r="S62" i="5" s="1"/>
  <c r="K130" i="5"/>
  <c r="S130" i="5" s="1"/>
  <c r="K19" i="5"/>
  <c r="S19" i="5" s="1"/>
  <c r="K84" i="5"/>
  <c r="S84" i="5" s="1"/>
  <c r="K129" i="5"/>
  <c r="S129" i="5" s="1"/>
  <c r="K226" i="5"/>
  <c r="S226" i="5" s="1"/>
  <c r="K127" i="5"/>
  <c r="S127" i="5" s="1"/>
  <c r="K263" i="5"/>
  <c r="S263" i="5" s="1"/>
  <c r="K126" i="5"/>
  <c r="S126" i="5" s="1"/>
  <c r="K261" i="5"/>
  <c r="S261" i="5" s="1"/>
  <c r="K165" i="5"/>
  <c r="S165" i="5" s="1"/>
  <c r="K125" i="5"/>
  <c r="S125" i="5" s="1"/>
  <c r="K177" i="5"/>
  <c r="S177" i="5" s="1"/>
  <c r="K123" i="5"/>
  <c r="S123" i="5" s="1"/>
  <c r="K7" i="5"/>
  <c r="S7" i="5" s="1"/>
  <c r="K164" i="5"/>
  <c r="S164" i="5" s="1"/>
  <c r="K290" i="5"/>
  <c r="S290" i="5" s="1"/>
  <c r="K229" i="5"/>
  <c r="S229" i="5" s="1"/>
  <c r="K121" i="5"/>
  <c r="S121" i="5" s="1"/>
  <c r="K152" i="5"/>
  <c r="S152" i="5" s="1"/>
  <c r="K283" i="5"/>
  <c r="S283" i="5" s="1"/>
  <c r="K272" i="5"/>
  <c r="S272" i="5" s="1"/>
  <c r="K294" i="5"/>
  <c r="S294" i="5" s="1"/>
  <c r="K58" i="5"/>
  <c r="K282" i="5"/>
  <c r="S282" i="5" s="1"/>
  <c r="K57" i="5"/>
  <c r="S57" i="5" s="1"/>
  <c r="K260" i="5"/>
  <c r="K271" i="5"/>
  <c r="K281" i="5"/>
  <c r="K151" i="5"/>
  <c r="K120" i="5"/>
  <c r="S120" i="5" s="1"/>
  <c r="K14" i="5"/>
  <c r="K49" i="5"/>
  <c r="K270" i="5"/>
  <c r="K18" i="5"/>
  <c r="S18" i="5" s="1"/>
  <c r="K269" i="5"/>
  <c r="K119" i="5"/>
  <c r="S119" i="5" s="1"/>
  <c r="K48" i="5"/>
  <c r="K13" i="5"/>
  <c r="S13" i="5" s="1"/>
  <c r="K88" i="5"/>
  <c r="K149" i="5"/>
  <c r="K118" i="5"/>
  <c r="K148" i="5"/>
  <c r="K67" i="5"/>
  <c r="K147" i="5"/>
  <c r="S147" i="5" s="1"/>
  <c r="K259" i="5"/>
  <c r="S259" i="5" s="1"/>
  <c r="K268" i="5"/>
  <c r="K280" i="5"/>
  <c r="S280" i="5" s="1"/>
  <c r="K267" i="5"/>
  <c r="K289" i="5"/>
  <c r="S289" i="5" s="1"/>
  <c r="K146" i="5"/>
  <c r="S146" i="5" s="1"/>
  <c r="K279" i="5"/>
  <c r="S279" i="5" s="1"/>
  <c r="K266" i="5"/>
  <c r="S266" i="5" s="1"/>
  <c r="K117" i="5"/>
  <c r="S117" i="5" s="1"/>
  <c r="K145" i="5"/>
  <c r="K298" i="5"/>
  <c r="S298" i="5" s="1"/>
  <c r="K144" i="5"/>
  <c r="S144" i="5" s="1"/>
  <c r="K116" i="5"/>
  <c r="S116" i="5" s="1"/>
  <c r="K143" i="5"/>
  <c r="K61" i="5"/>
  <c r="S61" i="5" s="1"/>
  <c r="K12" i="5"/>
  <c r="S12" i="5" s="1"/>
  <c r="K47" i="5"/>
  <c r="K56" i="5"/>
  <c r="S56" i="5" s="1"/>
  <c r="K172" i="5"/>
  <c r="S172" i="5" s="1"/>
  <c r="K87" i="5"/>
  <c r="S87" i="5" s="1"/>
  <c r="K46" i="5"/>
  <c r="S46" i="5" s="1"/>
  <c r="K176" i="5"/>
  <c r="S176" i="5" s="1"/>
  <c r="K11" i="5"/>
  <c r="S11" i="5" s="1"/>
  <c r="K60" i="5"/>
  <c r="S60" i="5" s="1"/>
  <c r="K141" i="5"/>
  <c r="S141" i="5" s="1"/>
  <c r="K171" i="5"/>
  <c r="K140" i="5"/>
  <c r="S140" i="5" s="1"/>
  <c r="K254" i="5"/>
  <c r="K75" i="5"/>
  <c r="K139" i="5"/>
  <c r="S139" i="5" s="1"/>
  <c r="K231" i="5"/>
  <c r="K138" i="5"/>
  <c r="S138" i="5" s="1"/>
  <c r="K293" i="5"/>
  <c r="K137" i="5"/>
  <c r="S137" i="5" s="1"/>
  <c r="K65" i="5"/>
  <c r="K113" i="5"/>
  <c r="K253" i="5"/>
  <c r="S253" i="5" s="1"/>
  <c r="K258" i="5"/>
  <c r="S258" i="5" s="1"/>
  <c r="S65" i="5"/>
  <c r="P2" i="5"/>
  <c r="Q2" i="5"/>
  <c r="S151" i="5"/>
  <c r="S270" i="5"/>
  <c r="S269" i="5"/>
  <c r="S149" i="5"/>
  <c r="S148" i="5"/>
  <c r="S268" i="5"/>
  <c r="S260" i="5"/>
  <c r="S49" i="5"/>
  <c r="S48" i="5"/>
  <c r="S118" i="5"/>
  <c r="S47" i="5"/>
  <c r="S88" i="5"/>
  <c r="S67" i="5"/>
  <c r="S293" i="5"/>
  <c r="S281" i="5"/>
  <c r="S58" i="5"/>
  <c r="S271" i="5"/>
  <c r="S14" i="5"/>
  <c r="S267" i="5"/>
  <c r="S145" i="5"/>
  <c r="S143" i="5"/>
  <c r="S113" i="5"/>
  <c r="S75" i="5"/>
  <c r="S231" i="5"/>
  <c r="S171" i="5"/>
  <c r="S254" i="5"/>
  <c r="S12" i="4"/>
  <c r="K239" i="5" l="1"/>
  <c r="O239" i="5"/>
  <c r="N12" i="4"/>
  <c r="O12" i="4" s="1"/>
  <c r="N3" i="4"/>
  <c r="O3" i="4" s="1"/>
  <c r="N4" i="4"/>
  <c r="O4" i="4" s="1"/>
  <c r="P4" i="4"/>
  <c r="Q4" i="4"/>
  <c r="S4" i="4" s="1"/>
  <c r="N5" i="4"/>
  <c r="O5" i="4" s="1"/>
  <c r="P5" i="4"/>
  <c r="Q5" i="4"/>
  <c r="S5" i="4" s="1"/>
  <c r="N6" i="4"/>
  <c r="O6" i="4" s="1"/>
  <c r="P6" i="4"/>
  <c r="Q6" i="4"/>
  <c r="S6" i="4" s="1"/>
  <c r="N7" i="4"/>
  <c r="O7" i="4" s="1"/>
  <c r="P7" i="4"/>
  <c r="Q7" i="4"/>
  <c r="S7" i="4" s="1"/>
  <c r="N8" i="4"/>
  <c r="O8" i="4" s="1"/>
  <c r="P8" i="4"/>
  <c r="Q8" i="4"/>
  <c r="S8" i="4" s="1"/>
  <c r="N9" i="4"/>
  <c r="O9" i="4" s="1"/>
  <c r="P9" i="4"/>
  <c r="Q9" i="4"/>
  <c r="S9" i="4" s="1"/>
  <c r="N10" i="4"/>
  <c r="O10" i="4" s="1"/>
  <c r="P10" i="4"/>
  <c r="Q10" i="4"/>
  <c r="S10" i="4" s="1"/>
  <c r="N11" i="4"/>
  <c r="O11" i="4" s="1"/>
  <c r="P11" i="4"/>
  <c r="Q11" i="4"/>
  <c r="S11" i="4" s="1"/>
  <c r="P3" i="4"/>
  <c r="Q3" i="4"/>
  <c r="S3" i="4" s="1"/>
  <c r="L2" i="5" l="1"/>
  <c r="S239" i="5"/>
  <c r="S1" i="5" s="1"/>
  <c r="S1" i="4"/>
  <c r="Q2" i="4"/>
  <c r="J5" i="4"/>
  <c r="J6" i="4"/>
  <c r="J7" i="4"/>
  <c r="J8" i="4"/>
  <c r="J9" i="4"/>
  <c r="J10" i="4"/>
  <c r="J11" i="4"/>
  <c r="J4" i="4"/>
  <c r="J3" i="4" l="1"/>
  <c r="K1" i="4" s="1"/>
  <c r="P2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<sst xmlns="http://schemas.openxmlformats.org/spreadsheetml/2006/main" count="2174" uniqueCount="1255">
  <si>
    <t>Item #</t>
  </si>
  <si>
    <t>Product Name</t>
  </si>
  <si>
    <t>Product Category</t>
  </si>
  <si>
    <t>UPC</t>
  </si>
  <si>
    <t>Case Count</t>
  </si>
  <si>
    <t>01628C</t>
  </si>
  <si>
    <t>02498C</t>
  </si>
  <si>
    <t>Order Quantity</t>
  </si>
  <si>
    <t>Unit Weight
KG</t>
  </si>
  <si>
    <t>Price
USD</t>
  </si>
  <si>
    <t>Total
USD</t>
  </si>
  <si>
    <r>
      <rPr>
        <b/>
        <sz val="11"/>
        <color indexed="18"/>
        <rFont val="Calibri"/>
        <family val="2"/>
        <charset val="204"/>
      </rPr>
      <t>Importantly!</t>
    </r>
    <r>
      <rPr>
        <sz val="11"/>
        <rFont val="Calibri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</si>
  <si>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SK0100</t>
  </si>
  <si>
    <t>SK0101</t>
  </si>
  <si>
    <t>SK0102</t>
  </si>
  <si>
    <t>SK0103</t>
  </si>
  <si>
    <t>SK0104</t>
  </si>
  <si>
    <t>Arginine Ornithine Powder</t>
  </si>
  <si>
    <t>Buffered Vitamin C Powder</t>
  </si>
  <si>
    <t>Biotin</t>
  </si>
  <si>
    <t>Taurine Powder</t>
  </si>
  <si>
    <t>L-Glutamine Powder</t>
  </si>
  <si>
    <t>Vanadyl Sulfate</t>
  </si>
  <si>
    <t>L-Glutamine</t>
  </si>
  <si>
    <t>TMG Powder</t>
  </si>
  <si>
    <t>Vitamin B12 Methylcobalamin</t>
  </si>
  <si>
    <t>Vitamin B3 Niacin</t>
  </si>
  <si>
    <t>No Flush Niacin</t>
  </si>
  <si>
    <t>Super Bio-Curcumin® Turmeric Extract</t>
  </si>
  <si>
    <t>Venotone</t>
  </si>
  <si>
    <t>MSM</t>
  </si>
  <si>
    <t>Mega Lycopene</t>
  </si>
  <si>
    <t>Alpha-Lipoic Acid with Biotin</t>
  </si>
  <si>
    <t>Glucosamine/Chondroitin Capsules</t>
  </si>
  <si>
    <t xml:space="preserve">Potassium Iodide Tablets </t>
  </si>
  <si>
    <t>Migra-Eeze™</t>
  </si>
  <si>
    <t xml:space="preserve">Cran-Max® </t>
  </si>
  <si>
    <t>Optimized Ashwagandha</t>
  </si>
  <si>
    <t xml:space="preserve">Rhodiola Extract </t>
  </si>
  <si>
    <t>Benfotiamine with Thiamine</t>
  </si>
  <si>
    <t>Mega Benfotiamine</t>
  </si>
  <si>
    <t>Lightly Caffeinated Mega Green Tea Extract</t>
  </si>
  <si>
    <t>Decaffeinated Mega Green Tea Extract</t>
  </si>
  <si>
    <t>Pomegranate Fruit Extract</t>
  </si>
  <si>
    <t>Fast-Acting Joint Formula</t>
  </si>
  <si>
    <t>D-Ribose Powder</t>
  </si>
  <si>
    <t>Enhanced Stress Relief</t>
  </si>
  <si>
    <t>Specially-Coated Bromelain</t>
  </si>
  <si>
    <t>Super R-Lipoic Acid</t>
  </si>
  <si>
    <t>Water-Soluble Pumpkin Seed Extract</t>
  </si>
  <si>
    <t>Blueberry Extract Capsules</t>
  </si>
  <si>
    <t>Pyridoxal 5'-Phosphate Caps</t>
  </si>
  <si>
    <t>Branched Chain Amino Acids</t>
  </si>
  <si>
    <t>Theaflavin Standardized Extract</t>
  </si>
  <si>
    <t>Optimized Quercetin</t>
  </si>
  <si>
    <t>Vinpocetine</t>
  </si>
  <si>
    <t>Only Trace Minerals</t>
  </si>
  <si>
    <t xml:space="preserve">HepatoPro </t>
  </si>
  <si>
    <t>Optimized Garlic</t>
  </si>
  <si>
    <t>Super Absorbable Tocotrienols</t>
  </si>
  <si>
    <t>Optimized Cran-Max®</t>
  </si>
  <si>
    <t>Super Ubiquinol CoQ10 with Enhanced Mitochondrial Support™</t>
  </si>
  <si>
    <t>Optimized Saffron</t>
  </si>
  <si>
    <t>Blueberry Extract and Pomegranate</t>
  </si>
  <si>
    <t>Magnesium Caps</t>
  </si>
  <si>
    <t>D-Ribose Tablets</t>
  </si>
  <si>
    <t>Strontium Caps</t>
  </si>
  <si>
    <t>PQQ</t>
  </si>
  <si>
    <t>CinSulin® with InSea2® and Crominex® 3+</t>
  </si>
  <si>
    <t>Optimized Chromium with Crominex® 3+</t>
  </si>
  <si>
    <t>Enhanced Sleep without Melatonin</t>
  </si>
  <si>
    <t>Bioactive Milk Peptides</t>
  </si>
  <si>
    <t>Optimized Fucoidan with Maritech® 926</t>
  </si>
  <si>
    <t>Eye Pressure Support with Mirtogenol®</t>
  </si>
  <si>
    <t xml:space="preserve">Milk Thistle </t>
  </si>
  <si>
    <t>Acetyl-L-Carnitine</t>
  </si>
  <si>
    <t>Huperzine A</t>
  </si>
  <si>
    <t>Creatine Capsules</t>
  </si>
  <si>
    <t>L-Carnitine</t>
  </si>
  <si>
    <t>Ascorbyl Palmitate</t>
  </si>
  <si>
    <t>N-Acetyl-L-Cysteine (NAC)</t>
  </si>
  <si>
    <t>Vitamin B6</t>
  </si>
  <si>
    <t xml:space="preserve">DMAE Bitartrate </t>
  </si>
  <si>
    <t>Glutathione, Cysteine &amp; C</t>
  </si>
  <si>
    <t>Forskolin</t>
  </si>
  <si>
    <t>Zinc Lozenges (Citrus-Orange Flavor)</t>
  </si>
  <si>
    <t>Chlorophyllin</t>
  </si>
  <si>
    <t>Neuro-Mag® Magnesium L-Threonate</t>
  </si>
  <si>
    <t>Liver Efficiency Formula</t>
  </si>
  <si>
    <t>CoffeeGenic® Green Coffee Extract</t>
  </si>
  <si>
    <t>Bifido GI Balance</t>
  </si>
  <si>
    <t>L-Arginine Caps</t>
  </si>
  <si>
    <t>Adrenal Energy Formula</t>
  </si>
  <si>
    <t>Pycnogenol®</t>
  </si>
  <si>
    <t>5-LOX Inhibitor with AprèsFlex®</t>
  </si>
  <si>
    <t>Vegetarian DHA</t>
  </si>
  <si>
    <t xml:space="preserve">PQQ </t>
  </si>
  <si>
    <t>Calcium D-Glucarate</t>
  </si>
  <si>
    <t>Ginkgo Biloba Certified Extract™</t>
  </si>
  <si>
    <t>Citicoline (CDP-Choline)</t>
  </si>
  <si>
    <t>Boron</t>
  </si>
  <si>
    <t>Glycine</t>
  </si>
  <si>
    <t>D, L-Phenylalanine Capsules</t>
  </si>
  <si>
    <t>Inositol Caps</t>
  </si>
  <si>
    <t>PS Caps</t>
  </si>
  <si>
    <t>Iron Protein Plus</t>
  </si>
  <si>
    <t>L-Lysine</t>
  </si>
  <si>
    <t>Lactoferrin Caps</t>
  </si>
  <si>
    <t>Magnesium (Citrate)</t>
  </si>
  <si>
    <t>L-Theanine</t>
  </si>
  <si>
    <t>Extraordinary Enzymes</t>
  </si>
  <si>
    <t>Reishi Extract Mushroom Complex</t>
  </si>
  <si>
    <t>Black Cumin Seed Oil</t>
  </si>
  <si>
    <t>Vitamin D3</t>
  </si>
  <si>
    <t>Optimized Tryptophan Plus</t>
  </si>
  <si>
    <t>L-Tryptophan</t>
  </si>
  <si>
    <t>Bone Strength Collagen Formula</t>
  </si>
  <si>
    <t>Bone Restore</t>
  </si>
  <si>
    <t>Bone Restore with Vitamin K2</t>
  </si>
  <si>
    <t>Super Ubiquinol CoQ10 with PQQ</t>
  </si>
  <si>
    <t>Effervescent Vitamin C Magnesium Crystals</t>
  </si>
  <si>
    <t>Sea-Iodine™</t>
  </si>
  <si>
    <t>Vitamin D3 with Sea-Iodine™</t>
  </si>
  <si>
    <t>Super Selenium Complex</t>
  </si>
  <si>
    <t>PalmettoGuard® Saw Palmetto and Beta-Sitosterol</t>
  </si>
  <si>
    <t>PalmettoGuard® Saw Palmetto, Nettle Root and Beta-Sitosterol</t>
  </si>
  <si>
    <t>Tri Sugar Shield®</t>
  </si>
  <si>
    <t>Cytokine Suppress® with EGCG</t>
  </si>
  <si>
    <t>Ginseng Energy Boost</t>
  </si>
  <si>
    <t>Peony Immune</t>
  </si>
  <si>
    <t>Provinal® Purified Omega-7</t>
  </si>
  <si>
    <t>Zinc Caps</t>
  </si>
  <si>
    <t>FLORASSIST® Probiotic Heart Health</t>
  </si>
  <si>
    <t>Advanced Olive Leaf Vascular Support</t>
  </si>
  <si>
    <t>Taurine</t>
  </si>
  <si>
    <t>Advanced Lipid Control</t>
  </si>
  <si>
    <t>Carnosine</t>
  </si>
  <si>
    <t>BioActive Folate &amp; Vitamin B12</t>
  </si>
  <si>
    <t>TMG</t>
  </si>
  <si>
    <t>Super Vitamin E</t>
  </si>
  <si>
    <t>Mitochondrial Energy Optimizer with PQQ</t>
  </si>
  <si>
    <t>Mitochondrial Basics with PQQ</t>
  </si>
  <si>
    <t>Standardized European Bilberry Extract</t>
  </si>
  <si>
    <t>Se-Methyl L-Selenocysteine</t>
  </si>
  <si>
    <t>Silymarin</t>
  </si>
  <si>
    <t>Standardized Cistanche</t>
  </si>
  <si>
    <t>Triple Strength ProstaPollen™</t>
  </si>
  <si>
    <t>CHOL-Support™</t>
  </si>
  <si>
    <t>High Potency Optimized Folate</t>
  </si>
  <si>
    <t>Tear Support with MaquiBright®</t>
  </si>
  <si>
    <t>Uric Acid Control</t>
  </si>
  <si>
    <t>Advanced Milk Thistle</t>
  </si>
  <si>
    <t>Astaxanthin with Phospholipids</t>
  </si>
  <si>
    <t>Super Ubiquinol CoQ10</t>
  </si>
  <si>
    <t>Dog Mix</t>
  </si>
  <si>
    <t>Cat Mix</t>
  </si>
  <si>
    <t>Low Dose Vitamin K2</t>
  </si>
  <si>
    <t>Mega EPA/DHA</t>
  </si>
  <si>
    <t>Shade Factor™</t>
  </si>
  <si>
    <t>Optimized Folate</t>
  </si>
  <si>
    <t>Super Miraforte with Standardized Lignans</t>
  </si>
  <si>
    <t>BioActive Complete B-Complex</t>
  </si>
  <si>
    <t>Pomegranate Complete</t>
  </si>
  <si>
    <t>Calcium Citrate with Vitamin D</t>
  </si>
  <si>
    <t>Acetyl-L-Carnitine Arginate</t>
  </si>
  <si>
    <t>Super Omega-3 EPA/DHA Fish Oil, Sesame Lignans &amp; Olive Extract</t>
  </si>
  <si>
    <t>Super Omega-3 EPA/DHA Fish Oil, Sesame Lignans &amp; Olive Extract (Enteric Coated)</t>
  </si>
  <si>
    <t>Super Omega-3 Plus EPA/DHA Fish Oil, Sesame Lignans, Olive Extract, Krill &amp; Astaxanthin</t>
  </si>
  <si>
    <t>MacuGuard® Ocular Support with Saffron</t>
  </si>
  <si>
    <t>MacuGuard® Ocular Support with Saffron &amp; Astaxanthin</t>
  </si>
  <si>
    <t>Thyroid Support Complex</t>
  </si>
  <si>
    <t>Arterial Protect</t>
  </si>
  <si>
    <t>Immune Senescence Protection Formula™</t>
  </si>
  <si>
    <t>Dopa-Mind™</t>
  </si>
  <si>
    <t>California Estate Extra Virgin Olive Oil</t>
  </si>
  <si>
    <t>Optimized Carnitine</t>
  </si>
  <si>
    <t>Super Carnosine</t>
  </si>
  <si>
    <t>Enhanced Super Digestive Enzymes</t>
  </si>
  <si>
    <t>Enhanced Super Digestive Enzymes and Probiotics</t>
  </si>
  <si>
    <t>Tart Cherry with CherryPURE®</t>
  </si>
  <si>
    <t>Pantothenic Acid</t>
  </si>
  <si>
    <t>Neuro-Mag® Magnesium L-Threonate (Tropical Punch)</t>
  </si>
  <si>
    <t>Vitamins D and K with Sea-Iodine™</t>
  </si>
  <si>
    <t>Gamma E Mixed Tocopherols &amp; Tocotrienols</t>
  </si>
  <si>
    <t>Gamma E Mixed Tocopherols</t>
  </si>
  <si>
    <t>Gastro-Ease™</t>
  </si>
  <si>
    <t>VenoFlow™</t>
  </si>
  <si>
    <t>Extend-Release Magnesium</t>
  </si>
  <si>
    <t>GEROPROTECT® Ageless Cell™</t>
  </si>
  <si>
    <t>FLORASSIST® Probiotic Oral Hygiene</t>
  </si>
  <si>
    <t>Homocysteine Resist</t>
  </si>
  <si>
    <t>Glycemic Guard™</t>
  </si>
  <si>
    <t>FLORASSIST® Probiotic GI with Phage Technology</t>
  </si>
  <si>
    <t>Skin Care Collection Anti-Aging Serum</t>
  </si>
  <si>
    <t>Rainforest Blend Ground Coffee</t>
  </si>
  <si>
    <t>Rainforest Blend Decaf Ground Coffee</t>
  </si>
  <si>
    <t>Rainforest Blend Whole Bean Coffee</t>
  </si>
  <si>
    <t>SAMe</t>
  </si>
  <si>
    <t>Children's Formula Life Extension Mix™</t>
  </si>
  <si>
    <t>ComfortMAX™</t>
  </si>
  <si>
    <t>FLORASSIST® Prebiotic Chewable (Strawberry)</t>
  </si>
  <si>
    <t>Menopause Relief</t>
  </si>
  <si>
    <t>FLORASSIST® Probiotic Immune &amp; Nasal Defense</t>
  </si>
  <si>
    <t>Male Vascular Sexual Support</t>
  </si>
  <si>
    <t>Resveratrol Elite™</t>
  </si>
  <si>
    <t>Grapeseed Extract</t>
  </si>
  <si>
    <t>Mega GLA Sesame Lignans</t>
  </si>
  <si>
    <t>Wellness Code® Muscle Strength &amp; Restore Formula</t>
  </si>
  <si>
    <t>Optimized Resveratrol Elite™</t>
  </si>
  <si>
    <t>NT2 Collagen™</t>
  </si>
  <si>
    <t>Liquid Vitamin D3 (Mint)</t>
  </si>
  <si>
    <t>ArthroMax® Advanced with NT2 Collagen™ &amp; AprèsFlex®</t>
  </si>
  <si>
    <t>Wellness Code® Whey Protein Isolate (Vanilla)</t>
  </si>
  <si>
    <t>Liquid Vitamin D3</t>
  </si>
  <si>
    <t>FLORASSIST® Probiotic Mood Improve</t>
  </si>
  <si>
    <t>Wellness Code® Whey Protein Concentrate (Vanilla)</t>
  </si>
  <si>
    <t>Once-Daily Health Booster</t>
  </si>
  <si>
    <t>Bio-Quercetin</t>
  </si>
  <si>
    <t>Discomfort Relief (Berry)</t>
  </si>
  <si>
    <t>Potassium with Extend-Release Magnesium</t>
  </si>
  <si>
    <t xml:space="preserve">Black Cumin Seed Oil and Curcumin Elite™ </t>
  </si>
  <si>
    <t>One-Per-Day Multivitamin</t>
  </si>
  <si>
    <t>Two-Per-Day Multivitamin</t>
  </si>
  <si>
    <t>Prenatal Advantage</t>
  </si>
  <si>
    <t xml:space="preserve"> NitroVasc™ Boost (Berry) </t>
  </si>
  <si>
    <t>Cognitex® Alpha GPC</t>
  </si>
  <si>
    <t>Advanced Curcumin Elite™ Turmeric Extract, Ginger &amp; Turmerones</t>
  </si>
  <si>
    <t xml:space="preserve">Super K </t>
  </si>
  <si>
    <t>Life Extension Mix™ Capsules</t>
  </si>
  <si>
    <t>Life Extension Mix™ Tablets</t>
  </si>
  <si>
    <t>Life Extension Mix™ Tablets with Extra Niacin</t>
  </si>
  <si>
    <t>SOD Booster</t>
  </si>
  <si>
    <t>Life Extension Mix™ Capsules without Copper</t>
  </si>
  <si>
    <t>Life Extension Mix™ Tablets without Copper</t>
  </si>
  <si>
    <t>Optimized Broccoli with Myrosinase</t>
  </si>
  <si>
    <t>Cognitex® Elite</t>
  </si>
  <si>
    <t>Cognitex® Elite Pregnenolone</t>
  </si>
  <si>
    <t>GEROPROTECT® Stem Cell</t>
  </si>
  <si>
    <t>Quick Brain Nootropic</t>
  </si>
  <si>
    <t>Curcumin Elite™ Turmeric Extract</t>
  </si>
  <si>
    <t>Bloat Relief</t>
  </si>
  <si>
    <t>Bio-Fisetin</t>
  </si>
  <si>
    <t>GEROPROTECT® Autophagy Renew</t>
  </si>
  <si>
    <t>Bone Restore Elite with Super Potent K2</t>
  </si>
  <si>
    <t>Mega Vitamin K2</t>
  </si>
  <si>
    <t>B12 Elite</t>
  </si>
  <si>
    <t>Glucosamine Sulfate</t>
  </si>
  <si>
    <t>Vegan Vitamin D3</t>
  </si>
  <si>
    <t>Daily Skin Defense</t>
  </si>
  <si>
    <t>Joint Mobility</t>
  </si>
  <si>
    <t>Mushroom Immune with Beta Glucans</t>
  </si>
  <si>
    <t>Whole Food Multivitamin</t>
  </si>
  <si>
    <t>Theanine XR™ Stress Relief</t>
  </si>
  <si>
    <t>Fast Acting Relief</t>
  </si>
  <si>
    <t>Essential Youth L-Ergothioneine</t>
  </si>
  <si>
    <t>Echinacea Elite</t>
  </si>
  <si>
    <t>Calm-Mag</t>
  </si>
  <si>
    <t>Comprehensive Nutrient Packs ADVANCED</t>
  </si>
  <si>
    <t>Testosterone Elite</t>
  </si>
  <si>
    <t>Vitamin C 24-Hour Liposomal Hydrogel™ Formula</t>
  </si>
  <si>
    <t>Body Trim and Appetite Control</t>
  </si>
  <si>
    <t>Omega-3 Fish Oil Gummy Bites (Tropical Fruit)</t>
  </si>
  <si>
    <t>Waistline Control™</t>
  </si>
  <si>
    <t>Brain Fog Relief</t>
  </si>
  <si>
    <t>Thermo Weight Control</t>
  </si>
  <si>
    <t>Healthy Lungs</t>
  </si>
  <si>
    <t>Easy Fiber (Orange)</t>
  </si>
  <si>
    <t>Ashwagandha Plus Calm &amp; Focus</t>
  </si>
  <si>
    <t>Glutathione</t>
  </si>
  <si>
    <t>Serene Sleep</t>
  </si>
  <si>
    <t>Lower Back Relief</t>
  </si>
  <si>
    <t>Aged Black Garlic</t>
  </si>
  <si>
    <t>Cardio Peak™</t>
  </si>
  <si>
    <t>Creatine &amp; Acetyl-L-Carnitine Energy Plus</t>
  </si>
  <si>
    <t>Food Sensitivity Relief with Diamine Oxidase (DAO)</t>
  </si>
  <si>
    <t>Estrogen Balance Elite</t>
  </si>
  <si>
    <t>Magnesium Glycinate</t>
  </si>
  <si>
    <t>Sexual Health for Her</t>
  </si>
  <si>
    <t>Two-Per-Day Multivitamin (South Korea Only)</t>
  </si>
  <si>
    <t>Two-Per-Day Multivitamin, 120 Tablets (South Korea Only)</t>
  </si>
  <si>
    <t>Two-Per-Day Multivitamin, 60 Tablets (South Korea)</t>
  </si>
  <si>
    <t>Daily PMS Relief</t>
  </si>
  <si>
    <t>CoQ10 (Ubiquinone) with d-Limonene</t>
  </si>
  <si>
    <t>Gummy Science™ Neuro-Mag® Magnesium L-Threonate (Orange)</t>
  </si>
  <si>
    <t>Bone Restore, 120 Capsules</t>
  </si>
  <si>
    <t>Skin Restoring Ceramides*</t>
  </si>
  <si>
    <t>AMPK Metabolic Activator*</t>
  </si>
  <si>
    <t>Fast-C® and Bio-Quercetin®</t>
  </si>
  <si>
    <t>Senolytic Activator®*</t>
  </si>
  <si>
    <t>FLORASSIST® Daily Bowel Regularity</t>
  </si>
  <si>
    <t>Mega L-Ergothioneine</t>
  </si>
  <si>
    <t>GABA</t>
  </si>
  <si>
    <t>Creatine Powder</t>
  </si>
  <si>
    <t>Magnesium Caps 500 mg (100 Vegetarian Capsules)</t>
  </si>
  <si>
    <t>Unіt Freight Cost</t>
  </si>
  <si>
    <t>unit, key</t>
  </si>
  <si>
    <t>Weight, kg</t>
  </si>
  <si>
    <t>Logistic Price</t>
  </si>
  <si>
    <t>Landed Cost</t>
  </si>
  <si>
    <t>Cruciferous Vegetable Extract Blend</t>
  </si>
  <si>
    <t>Cruciferous Vegetable Extract Blend and Resveratrol</t>
  </si>
  <si>
    <t>01630C</t>
  </si>
  <si>
    <t>Soy Isoflavones</t>
  </si>
  <si>
    <t>FLORASSIST® PROBIOTIC Balance</t>
  </si>
  <si>
    <t>Estrogen For Women</t>
  </si>
  <si>
    <t>Breast Health Formula</t>
  </si>
  <si>
    <t>Vitamin C and Bio-Quercetin®</t>
  </si>
  <si>
    <t>02240C</t>
  </si>
  <si>
    <t>Anti-Alcohol Complex</t>
  </si>
  <si>
    <t>Life Extension Mix™ Powder</t>
  </si>
  <si>
    <t>02506C</t>
  </si>
  <si>
    <t>Gummy Science™ Mediterranean Weight Management (Berry)</t>
  </si>
  <si>
    <t>02334</t>
  </si>
  <si>
    <t>01676</t>
  </si>
  <si>
    <t>02315</t>
  </si>
  <si>
    <t>01208</t>
  </si>
  <si>
    <t>01328</t>
  </si>
  <si>
    <t>01921</t>
  </si>
  <si>
    <t>01683</t>
  </si>
  <si>
    <t>02207</t>
  </si>
  <si>
    <t>00345</t>
  </si>
  <si>
    <t>01541</t>
  </si>
  <si>
    <t>01651</t>
  </si>
  <si>
    <t>02209</t>
  </si>
  <si>
    <t>02204</t>
  </si>
  <si>
    <t>02238</t>
  </si>
  <si>
    <t>01476</t>
  </si>
  <si>
    <t>01925</t>
  </si>
  <si>
    <t>02004</t>
  </si>
  <si>
    <t>02509</t>
  </si>
  <si>
    <t>02229</t>
  </si>
  <si>
    <t>737870038153</t>
  </si>
  <si>
    <t>737870084457</t>
  </si>
  <si>
    <t>737870102106</t>
  </si>
  <si>
    <t>737870133308</t>
  </si>
  <si>
    <t>737870141105</t>
  </si>
  <si>
    <t>737870213109</t>
  </si>
  <si>
    <t>737870345107</t>
  </si>
  <si>
    <t>737870349051</t>
  </si>
  <si>
    <t>737870361107</t>
  </si>
  <si>
    <t>737870372103</t>
  </si>
  <si>
    <t>737870373100</t>
  </si>
  <si>
    <t>737870407065</t>
  </si>
  <si>
    <t>737870408062</t>
  </si>
  <si>
    <t>737870451105</t>
  </si>
  <si>
    <t>737870455097</t>
  </si>
  <si>
    <t>737870457060</t>
  </si>
  <si>
    <t>737870522102</t>
  </si>
  <si>
    <t>737870577140</t>
  </si>
  <si>
    <t>737870709060</t>
  </si>
  <si>
    <t>737870862062</t>
  </si>
  <si>
    <t>737870888062</t>
  </si>
  <si>
    <t>737870889069</t>
  </si>
  <si>
    <t>737870920120</t>
  </si>
  <si>
    <t>737870925125</t>
  </si>
  <si>
    <t>737870953104</t>
  </si>
  <si>
    <t>737870954101</t>
  </si>
  <si>
    <t>737870956037</t>
  </si>
  <si>
    <t>737870965039</t>
  </si>
  <si>
    <t>737870972150</t>
  </si>
  <si>
    <t>737870987031</t>
  </si>
  <si>
    <t>737870120360</t>
  </si>
  <si>
    <t>737870120865</t>
  </si>
  <si>
    <t>737870120964</t>
  </si>
  <si>
    <t>737870121466</t>
  </si>
  <si>
    <t>737870121763</t>
  </si>
  <si>
    <t>737870125396</t>
  </si>
  <si>
    <t>737870130437</t>
  </si>
  <si>
    <t>737870130963</t>
  </si>
  <si>
    <t>737870132714</t>
  </si>
  <si>
    <t>737870132899</t>
  </si>
  <si>
    <t>737870139362</t>
  </si>
  <si>
    <t>737870139423</t>
  </si>
  <si>
    <t>737870140061</t>
  </si>
  <si>
    <t>737870142461</t>
  </si>
  <si>
    <t>737870142515</t>
  </si>
  <si>
    <t>737870142669</t>
  </si>
  <si>
    <t>737870142737</t>
  </si>
  <si>
    <t>737870143123</t>
  </si>
  <si>
    <t>737870143260</t>
  </si>
  <si>
    <t>737870143734</t>
  </si>
  <si>
    <t>737870143864</t>
  </si>
  <si>
    <t>737870145912</t>
  </si>
  <si>
    <t>737870146865</t>
  </si>
  <si>
    <t>737870146964</t>
  </si>
  <si>
    <t>737870147336</t>
  </si>
  <si>
    <t>737870147695</t>
  </si>
  <si>
    <t>737870150039</t>
  </si>
  <si>
    <t>737870150398</t>
  </si>
  <si>
    <t>737870150466</t>
  </si>
  <si>
    <t>737870151135</t>
  </si>
  <si>
    <t>737870151234</t>
  </si>
  <si>
    <t>737870151364</t>
  </si>
  <si>
    <t>737870151432</t>
  </si>
  <si>
    <t>737870152262</t>
  </si>
  <si>
    <t>737870152415</t>
  </si>
  <si>
    <t>737870152767</t>
  </si>
  <si>
    <t>737870152910</t>
  </si>
  <si>
    <t>737870153238</t>
  </si>
  <si>
    <t>737870153313</t>
  </si>
  <si>
    <t>737870154365</t>
  </si>
  <si>
    <t>737870153511</t>
  </si>
  <si>
    <t>737870153665</t>
  </si>
  <si>
    <t>737870153764</t>
  </si>
  <si>
    <t>737870154020</t>
  </si>
  <si>
    <t>737870154112</t>
  </si>
  <si>
    <t>737870154464</t>
  </si>
  <si>
    <t>737870156161</t>
  </si>
  <si>
    <t>737870157113</t>
  </si>
  <si>
    <t>737870160397</t>
  </si>
  <si>
    <t>737870160830</t>
  </si>
  <si>
    <t>737870162094</t>
  </si>
  <si>
    <t>737870162261</t>
  </si>
  <si>
    <t>737870162421</t>
  </si>
  <si>
    <t>737870162803</t>
  </si>
  <si>
    <t>737870163008</t>
  </si>
  <si>
    <t>737870163763</t>
  </si>
  <si>
    <t>737870163961</t>
  </si>
  <si>
    <t>737870164036</t>
  </si>
  <si>
    <t>737870164739</t>
  </si>
  <si>
    <t>737870164968</t>
  </si>
  <si>
    <t>737870165163</t>
  </si>
  <si>
    <t>737870165835</t>
  </si>
  <si>
    <t>737870165965</t>
  </si>
  <si>
    <t>737870166115</t>
  </si>
  <si>
    <t>737870166917</t>
  </si>
  <si>
    <t>737870167112</t>
  </si>
  <si>
    <t>737870167433</t>
  </si>
  <si>
    <t>737870167617</t>
  </si>
  <si>
    <t>737870167716</t>
  </si>
  <si>
    <t>737870167815</t>
  </si>
  <si>
    <t>737870168164</t>
  </si>
  <si>
    <t>737870168218</t>
  </si>
  <si>
    <t>737870168362</t>
  </si>
  <si>
    <t>737870170662</t>
  </si>
  <si>
    <t>737870170860</t>
  </si>
  <si>
    <t>737870170969</t>
  </si>
  <si>
    <t>737870171362</t>
  </si>
  <si>
    <t>737870171867</t>
  </si>
  <si>
    <t>737870172192</t>
  </si>
  <si>
    <t>737870172291</t>
  </si>
  <si>
    <t>737870172512</t>
  </si>
  <si>
    <t>737870172611</t>
  </si>
  <si>
    <t>737870172710</t>
  </si>
  <si>
    <t>737870173335</t>
  </si>
  <si>
    <t>737870173618</t>
  </si>
  <si>
    <t>737870174066</t>
  </si>
  <si>
    <t>737870175124</t>
  </si>
  <si>
    <t>737870175391</t>
  </si>
  <si>
    <t>737870175865</t>
  </si>
  <si>
    <t>737870177814</t>
  </si>
  <si>
    <t>737870178934</t>
  </si>
  <si>
    <t>737870179061</t>
  </si>
  <si>
    <t>737870180364</t>
  </si>
  <si>
    <t>737870180432</t>
  </si>
  <si>
    <t>737870180593</t>
  </si>
  <si>
    <t>737870181163</t>
  </si>
  <si>
    <t>737870181231</t>
  </si>
  <si>
    <t>737870181392</t>
  </si>
  <si>
    <t>737870182160</t>
  </si>
  <si>
    <t>737870182467</t>
  </si>
  <si>
    <t>737870182535</t>
  </si>
  <si>
    <t>737870182795</t>
  </si>
  <si>
    <t>737870182863</t>
  </si>
  <si>
    <t>737870182962</t>
  </si>
  <si>
    <t>737870184294</t>
  </si>
  <si>
    <t>737870185963</t>
  </si>
  <si>
    <t>737870186397</t>
  </si>
  <si>
    <t>737870186816</t>
  </si>
  <si>
    <t>737870186939</t>
  </si>
  <si>
    <t>737870187394</t>
  </si>
  <si>
    <t>737870187998</t>
  </si>
  <si>
    <t>737870188490</t>
  </si>
  <si>
    <t>737870189435</t>
  </si>
  <si>
    <t>737870190035</t>
  </si>
  <si>
    <t>737870190639</t>
  </si>
  <si>
    <t>737870190936</t>
  </si>
  <si>
    <t>737870191063</t>
  </si>
  <si>
    <t>737870191339</t>
  </si>
  <si>
    <t>737870191834</t>
  </si>
  <si>
    <t>737870192169</t>
  </si>
  <si>
    <t>737870192268</t>
  </si>
  <si>
    <t>737870192336</t>
  </si>
  <si>
    <t>737870192510</t>
  </si>
  <si>
    <t>737870192961</t>
  </si>
  <si>
    <t>737870193111</t>
  </si>
  <si>
    <t>737870193210</t>
  </si>
  <si>
    <t>737870193692</t>
  </si>
  <si>
    <t>737870193715</t>
  </si>
  <si>
    <t>737870193814</t>
  </si>
  <si>
    <t>737870193913</t>
  </si>
  <si>
    <t>737870194019</t>
  </si>
  <si>
    <t>737870194262</t>
  </si>
  <si>
    <t>737870194569</t>
  </si>
  <si>
    <t>737870194965</t>
  </si>
  <si>
    <t>737870195160</t>
  </si>
  <si>
    <t>737870195337</t>
  </si>
  <si>
    <t>737870196327</t>
  </si>
  <si>
    <t>737870197492</t>
  </si>
  <si>
    <t>737870198215</t>
  </si>
  <si>
    <t>737870198369</t>
  </si>
  <si>
    <t>737870198413</t>
  </si>
  <si>
    <t>737870198567</t>
  </si>
  <si>
    <t>737870198628</t>
  </si>
  <si>
    <t>737870198819</t>
  </si>
  <si>
    <t>737870199267</t>
  </si>
  <si>
    <t>737870199366</t>
  </si>
  <si>
    <t>737870200369</t>
  </si>
  <si>
    <t>737870200437</t>
  </si>
  <si>
    <t>737870200567</t>
  </si>
  <si>
    <t>737870200666</t>
  </si>
  <si>
    <t>737870200857</t>
  </si>
  <si>
    <t>737870201861</t>
  </si>
  <si>
    <t>737870202066</t>
  </si>
  <si>
    <t>737870202165</t>
  </si>
  <si>
    <t>737870202264</t>
  </si>
  <si>
    <t>737870202363</t>
  </si>
  <si>
    <t>737870202813</t>
  </si>
  <si>
    <t>737870203292</t>
  </si>
  <si>
    <t>737870204060</t>
  </si>
  <si>
    <t>737870207061</t>
  </si>
  <si>
    <t>737870207566</t>
  </si>
  <si>
    <t>737870209638</t>
  </si>
  <si>
    <t>737870210061</t>
  </si>
  <si>
    <t>737870210238</t>
  </si>
  <si>
    <t>737870210764</t>
  </si>
  <si>
    <t>737870211938</t>
  </si>
  <si>
    <t>737870212034</t>
  </si>
  <si>
    <t>737870212164</t>
  </si>
  <si>
    <t>737870212232</t>
  </si>
  <si>
    <t>737870212539</t>
  </si>
  <si>
    <t>737870212911</t>
  </si>
  <si>
    <t>737870216919</t>
  </si>
  <si>
    <t>737870217015</t>
  </si>
  <si>
    <t>737870217114</t>
  </si>
  <si>
    <t>737870217466</t>
  </si>
  <si>
    <t>737870217534</t>
  </si>
  <si>
    <t>737870217633</t>
  </si>
  <si>
    <t>737870219910</t>
  </si>
  <si>
    <t>737870220268</t>
  </si>
  <si>
    <t>737870220367</t>
  </si>
  <si>
    <t>737870220435</t>
  </si>
  <si>
    <t>737870220732</t>
  </si>
  <si>
    <t>737870220831</t>
  </si>
  <si>
    <t>737870220930</t>
  </si>
  <si>
    <t>737870221067</t>
  </si>
  <si>
    <t>737870221166</t>
  </si>
  <si>
    <t>737870221838</t>
  </si>
  <si>
    <t>737870222194</t>
  </si>
  <si>
    <t>737870222729</t>
  </si>
  <si>
    <t>737870222866</t>
  </si>
  <si>
    <t>737870222965</t>
  </si>
  <si>
    <t>737870223061</t>
  </si>
  <si>
    <t>737870223160</t>
  </si>
  <si>
    <t>737870223214</t>
  </si>
  <si>
    <t>737870223863</t>
  </si>
  <si>
    <t>737870224006</t>
  </si>
  <si>
    <t>737870224211</t>
  </si>
  <si>
    <t>737870224419</t>
  </si>
  <si>
    <t>737870225034</t>
  </si>
  <si>
    <t>737870226017</t>
  </si>
  <si>
    <t>737870229162</t>
  </si>
  <si>
    <t>737870229230</t>
  </si>
  <si>
    <t>737870230120</t>
  </si>
  <si>
    <t>737870230236</t>
  </si>
  <si>
    <t>737870230366</t>
  </si>
  <si>
    <t>737870230960</t>
  </si>
  <si>
    <t>737870231066</t>
  </si>
  <si>
    <t>737870231363</t>
  </si>
  <si>
    <t>737870231417</t>
  </si>
  <si>
    <t>737870231516</t>
  </si>
  <si>
    <t>737870231660</t>
  </si>
  <si>
    <t>737870231769</t>
  </si>
  <si>
    <t>737870231912</t>
  </si>
  <si>
    <t>737870232032</t>
  </si>
  <si>
    <t>737870232131</t>
  </si>
  <si>
    <t>737870232438</t>
  </si>
  <si>
    <t>737870233435</t>
  </si>
  <si>
    <t>737870235439</t>
  </si>
  <si>
    <t>737870235521</t>
  </si>
  <si>
    <t>737870235613</t>
  </si>
  <si>
    <t>737870235729</t>
  </si>
  <si>
    <t>737870236139</t>
  </si>
  <si>
    <t>737870236436</t>
  </si>
  <si>
    <t>737870236528</t>
  </si>
  <si>
    <t>737870236832</t>
  </si>
  <si>
    <t>737870239666</t>
  </si>
  <si>
    <t>737870239765</t>
  </si>
  <si>
    <t>737870240167</t>
  </si>
  <si>
    <t>737870240631</t>
  </si>
  <si>
    <t>737870240761</t>
  </si>
  <si>
    <t>737870241263</t>
  </si>
  <si>
    <t>737870241430</t>
  </si>
  <si>
    <t>737870241539</t>
  </si>
  <si>
    <t>737870241614</t>
  </si>
  <si>
    <t>737870241737</t>
  </si>
  <si>
    <t>737870241966</t>
  </si>
  <si>
    <t>737870242062</t>
  </si>
  <si>
    <t>737870242130</t>
  </si>
  <si>
    <t>737870242260</t>
  </si>
  <si>
    <t>737870242338</t>
  </si>
  <si>
    <t>737870242468</t>
  </si>
  <si>
    <t>737870242635</t>
  </si>
  <si>
    <t>737870242895</t>
  </si>
  <si>
    <t>737870242932</t>
  </si>
  <si>
    <t>737870243069</t>
  </si>
  <si>
    <t>737870243137</t>
  </si>
  <si>
    <t>737870243366</t>
  </si>
  <si>
    <t>737870243434</t>
  </si>
  <si>
    <t>737870246732</t>
  </si>
  <si>
    <t>737870249801</t>
  </si>
  <si>
    <t>737870250036</t>
  </si>
  <si>
    <t>737870250166</t>
  </si>
  <si>
    <t>737870250432</t>
  </si>
  <si>
    <t>737870250609</t>
  </si>
  <si>
    <t>737870250838</t>
  </si>
  <si>
    <t>737870250968</t>
  </si>
  <si>
    <t>737870251033</t>
  </si>
  <si>
    <t>737870251163</t>
  </si>
  <si>
    <t>737870251231</t>
  </si>
  <si>
    <t>737870251491</t>
  </si>
  <si>
    <t>737870251965</t>
  </si>
  <si>
    <t>737870252061</t>
  </si>
  <si>
    <t>737870252139</t>
  </si>
  <si>
    <t>737870252634</t>
  </si>
  <si>
    <t>737870252962</t>
  </si>
  <si>
    <t>737870253037</t>
  </si>
  <si>
    <t>737870253136</t>
  </si>
  <si>
    <t>737870253228</t>
  </si>
  <si>
    <t>737870253365</t>
  </si>
  <si>
    <t>737870253464</t>
  </si>
  <si>
    <t>737870253594</t>
  </si>
  <si>
    <t>737870253662</t>
  </si>
  <si>
    <t>737870253761</t>
  </si>
  <si>
    <t>737870254034</t>
  </si>
  <si>
    <t>737870254263</t>
  </si>
  <si>
    <t>737870254331</t>
  </si>
  <si>
    <t>737870010012</t>
  </si>
  <si>
    <t>737870010111</t>
  </si>
  <si>
    <t>737870010265</t>
  </si>
  <si>
    <t>737870010319</t>
  </si>
  <si>
    <t>737870010418</t>
  </si>
  <si>
    <t>00038</t>
  </si>
  <si>
    <t>Active lifestyle fitness</t>
  </si>
  <si>
    <t>00084</t>
  </si>
  <si>
    <t>Immune support</t>
  </si>
  <si>
    <t>00102</t>
  </si>
  <si>
    <t>Hair nails</t>
  </si>
  <si>
    <t>00133</t>
  </si>
  <si>
    <t>Heart health</t>
  </si>
  <si>
    <t>00141</t>
  </si>
  <si>
    <t>00213</t>
  </si>
  <si>
    <t>Glucose management blood sugar</t>
  </si>
  <si>
    <t>Hormone balance</t>
  </si>
  <si>
    <t>Sleep</t>
  </si>
  <si>
    <t>00349</t>
  </si>
  <si>
    <t>00361</t>
  </si>
  <si>
    <t>General health wellness</t>
  </si>
  <si>
    <t>00372</t>
  </si>
  <si>
    <t>Cholesterol management</t>
  </si>
  <si>
    <t>00373</t>
  </si>
  <si>
    <t>00407</t>
  </si>
  <si>
    <t>Inflammation management</t>
  </si>
  <si>
    <t>00408</t>
  </si>
  <si>
    <t>Blood pressure vascular health</t>
  </si>
  <si>
    <t>00451</t>
  </si>
  <si>
    <t>Joint health</t>
  </si>
  <si>
    <t>00455</t>
  </si>
  <si>
    <t>Prostate health</t>
  </si>
  <si>
    <t>00457</t>
  </si>
  <si>
    <t>Anti-aging longevity</t>
  </si>
  <si>
    <t>00522</t>
  </si>
  <si>
    <t>00577</t>
  </si>
  <si>
    <t>Thyroid adrenal</t>
  </si>
  <si>
    <t>00709</t>
  </si>
  <si>
    <t>Head discomfort</t>
  </si>
  <si>
    <t>00862</t>
  </si>
  <si>
    <t>Health urinary tract</t>
  </si>
  <si>
    <t>00888</t>
  </si>
  <si>
    <t>Stress management</t>
  </si>
  <si>
    <t>00889</t>
  </si>
  <si>
    <t>Energy management</t>
  </si>
  <si>
    <t>00920</t>
  </si>
  <si>
    <t>00925</t>
  </si>
  <si>
    <t>00953</t>
  </si>
  <si>
    <t>00954</t>
  </si>
  <si>
    <t>00956</t>
  </si>
  <si>
    <t>00965</t>
  </si>
  <si>
    <t>00972</t>
  </si>
  <si>
    <t>00987</t>
  </si>
  <si>
    <t>01203</t>
  </si>
  <si>
    <t>01209</t>
  </si>
  <si>
    <t>Bladder support</t>
  </si>
  <si>
    <t>01214</t>
  </si>
  <si>
    <t>01217</t>
  </si>
  <si>
    <t>01253</t>
  </si>
  <si>
    <t>Oral care</t>
  </si>
  <si>
    <t>01304</t>
  </si>
  <si>
    <t>01309</t>
  </si>
  <si>
    <t>01327</t>
  </si>
  <si>
    <t>Brain health</t>
  </si>
  <si>
    <t>Mens sexual health</t>
  </si>
  <si>
    <t>01393</t>
  </si>
  <si>
    <t>Liver health detoxification</t>
  </si>
  <si>
    <t>01394</t>
  </si>
  <si>
    <t>01400</t>
  </si>
  <si>
    <t>01424</t>
  </si>
  <si>
    <t>01425</t>
  </si>
  <si>
    <t>01426</t>
  </si>
  <si>
    <t>01427</t>
  </si>
  <si>
    <t>01431</t>
  </si>
  <si>
    <t>01432</t>
  </si>
  <si>
    <t>Weight management</t>
  </si>
  <si>
    <t>01437</t>
  </si>
  <si>
    <t>01438</t>
  </si>
  <si>
    <t>01459</t>
  </si>
  <si>
    <t>01468</t>
  </si>
  <si>
    <t>01469</t>
  </si>
  <si>
    <t>01473</t>
  </si>
  <si>
    <t>Bone health</t>
  </si>
  <si>
    <t>01500</t>
  </si>
  <si>
    <t>01503</t>
  </si>
  <si>
    <t>01504</t>
  </si>
  <si>
    <t>01511</t>
  </si>
  <si>
    <t>01512</t>
  </si>
  <si>
    <t>01513</t>
  </si>
  <si>
    <t>01514</t>
  </si>
  <si>
    <t>Eye health</t>
  </si>
  <si>
    <t>01522</t>
  </si>
  <si>
    <t>01524</t>
  </si>
  <si>
    <t>Memory cognition</t>
  </si>
  <si>
    <t>01527</t>
  </si>
  <si>
    <t>01529</t>
  </si>
  <si>
    <t>01532</t>
  </si>
  <si>
    <t>01533</t>
  </si>
  <si>
    <t>01534</t>
  </si>
  <si>
    <t>01535</t>
  </si>
  <si>
    <t>01536</t>
  </si>
  <si>
    <t>Nerve health comfort support</t>
  </si>
  <si>
    <t>01537</t>
  </si>
  <si>
    <t>01540</t>
  </si>
  <si>
    <t>01544</t>
  </si>
  <si>
    <t>01561</t>
  </si>
  <si>
    <t>Immune seasonal support</t>
  </si>
  <si>
    <t>01571</t>
  </si>
  <si>
    <t>01603</t>
  </si>
  <si>
    <t>01608</t>
  </si>
  <si>
    <t>01620</t>
  </si>
  <si>
    <t>01622</t>
  </si>
  <si>
    <t>Microbiome</t>
  </si>
  <si>
    <t>01624</t>
  </si>
  <si>
    <t>01637</t>
  </si>
  <si>
    <t>01639</t>
  </si>
  <si>
    <t>01640</t>
  </si>
  <si>
    <t>01647</t>
  </si>
  <si>
    <t>01649</t>
  </si>
  <si>
    <t>Womens hormone health</t>
  </si>
  <si>
    <t>01658</t>
  </si>
  <si>
    <t>01659</t>
  </si>
  <si>
    <t>01661</t>
  </si>
  <si>
    <t>01669</t>
  </si>
  <si>
    <t>01671</t>
  </si>
  <si>
    <t>Mood support</t>
  </si>
  <si>
    <t>01674</t>
  </si>
  <si>
    <t>01677</t>
  </si>
  <si>
    <t>01678</t>
  </si>
  <si>
    <t>01681</t>
  </si>
  <si>
    <t>01682</t>
  </si>
  <si>
    <t>01706</t>
  </si>
  <si>
    <t>Digestive health</t>
  </si>
  <si>
    <t>01708</t>
  </si>
  <si>
    <t>01709</t>
  </si>
  <si>
    <t>01713</t>
  </si>
  <si>
    <t>01718</t>
  </si>
  <si>
    <t>01721</t>
  </si>
  <si>
    <t>01722</t>
  </si>
  <si>
    <t>01725</t>
  </si>
  <si>
    <t>01726</t>
  </si>
  <si>
    <t>01727</t>
  </si>
  <si>
    <t>01733</t>
  </si>
  <si>
    <t>01736</t>
  </si>
  <si>
    <t>Gi health</t>
  </si>
  <si>
    <t>Gastric discomfort</t>
  </si>
  <si>
    <t>01740</t>
  </si>
  <si>
    <t>01751</t>
  </si>
  <si>
    <t>01753</t>
  </si>
  <si>
    <t>01758</t>
  </si>
  <si>
    <t>01778</t>
  </si>
  <si>
    <t>01789</t>
  </si>
  <si>
    <t>01790</t>
  </si>
  <si>
    <t>01803</t>
  </si>
  <si>
    <t>01804</t>
  </si>
  <si>
    <t>01805</t>
  </si>
  <si>
    <t>01811</t>
  </si>
  <si>
    <t>01812</t>
  </si>
  <si>
    <t>01813</t>
  </si>
  <si>
    <t>01821</t>
  </si>
  <si>
    <t>01824</t>
  </si>
  <si>
    <t>01825</t>
  </si>
  <si>
    <t>01827</t>
  </si>
  <si>
    <t>01828</t>
  </si>
  <si>
    <t>01829</t>
  </si>
  <si>
    <t>01842</t>
  </si>
  <si>
    <t>01859</t>
  </si>
  <si>
    <t>01863</t>
  </si>
  <si>
    <t>01868</t>
  </si>
  <si>
    <t>01869</t>
  </si>
  <si>
    <t>01873</t>
  </si>
  <si>
    <t>01879</t>
  </si>
  <si>
    <t>01884</t>
  </si>
  <si>
    <t>01894</t>
  </si>
  <si>
    <t>Womens health</t>
  </si>
  <si>
    <t>01900</t>
  </si>
  <si>
    <t>01904</t>
  </si>
  <si>
    <t>01906</t>
  </si>
  <si>
    <t>01909</t>
  </si>
  <si>
    <t>01910</t>
  </si>
  <si>
    <t>01913</t>
  </si>
  <si>
    <t>01918</t>
  </si>
  <si>
    <t>Uric acid management</t>
  </si>
  <si>
    <t>01922</t>
  </si>
  <si>
    <t>01923</t>
  </si>
  <si>
    <t>01929</t>
  </si>
  <si>
    <t>01931</t>
  </si>
  <si>
    <t>01932</t>
  </si>
  <si>
    <t>01936</t>
  </si>
  <si>
    <t>01937</t>
  </si>
  <si>
    <t>01938</t>
  </si>
  <si>
    <t>Skin care special purpose</t>
  </si>
  <si>
    <t>01939</t>
  </si>
  <si>
    <t>01940</t>
  </si>
  <si>
    <t>Mens hormone health</t>
  </si>
  <si>
    <t>01942</t>
  </si>
  <si>
    <t>01945</t>
  </si>
  <si>
    <t>01949</t>
  </si>
  <si>
    <t>01951</t>
  </si>
  <si>
    <t>01953</t>
  </si>
  <si>
    <t>01963</t>
  </si>
  <si>
    <t>01974</t>
  </si>
  <si>
    <t>01982</t>
  </si>
  <si>
    <t>01983</t>
  </si>
  <si>
    <t>01984</t>
  </si>
  <si>
    <t>01985</t>
  </si>
  <si>
    <t>01986</t>
  </si>
  <si>
    <t>01988</t>
  </si>
  <si>
    <t>01992</t>
  </si>
  <si>
    <t>01993</t>
  </si>
  <si>
    <t>02003</t>
  </si>
  <si>
    <t>02005</t>
  </si>
  <si>
    <t>02006</t>
  </si>
  <si>
    <t>02008</t>
  </si>
  <si>
    <t>02018</t>
  </si>
  <si>
    <t>02020</t>
  </si>
  <si>
    <t>02021</t>
  </si>
  <si>
    <t>02022</t>
  </si>
  <si>
    <t>02023</t>
  </si>
  <si>
    <t>02028</t>
  </si>
  <si>
    <t>02032</t>
  </si>
  <si>
    <t>02040</t>
  </si>
  <si>
    <t>02070</t>
  </si>
  <si>
    <t>02075</t>
  </si>
  <si>
    <t>02096</t>
  </si>
  <si>
    <t>Skin care moisturizers</t>
  </si>
  <si>
    <t>02100</t>
  </si>
  <si>
    <t>02102</t>
  </si>
  <si>
    <t>02107</t>
  </si>
  <si>
    <t>02119</t>
  </si>
  <si>
    <t>02120</t>
  </si>
  <si>
    <t>02121</t>
  </si>
  <si>
    <t>02122</t>
  </si>
  <si>
    <t>02125</t>
  </si>
  <si>
    <t>02129</t>
  </si>
  <si>
    <t>Skin care</t>
  </si>
  <si>
    <t>02169</t>
  </si>
  <si>
    <t>02170</t>
  </si>
  <si>
    <t>02171</t>
  </si>
  <si>
    <t>02174</t>
  </si>
  <si>
    <t>02175</t>
  </si>
  <si>
    <t>02176</t>
  </si>
  <si>
    <t>02199</t>
  </si>
  <si>
    <t>02202</t>
  </si>
  <si>
    <t>02203</t>
  </si>
  <si>
    <t>02208</t>
  </si>
  <si>
    <t>02210</t>
  </si>
  <si>
    <t>02211</t>
  </si>
  <si>
    <t>02218</t>
  </si>
  <si>
    <t>02221</t>
  </si>
  <si>
    <t>02227</t>
  </si>
  <si>
    <t>02228</t>
  </si>
  <si>
    <t>02230</t>
  </si>
  <si>
    <t>02231</t>
  </si>
  <si>
    <t>02232</t>
  </si>
  <si>
    <t>Aging joints</t>
  </si>
  <si>
    <t>02242</t>
  </si>
  <si>
    <t>02244</t>
  </si>
  <si>
    <t>02250</t>
  </si>
  <si>
    <t>02260</t>
  </si>
  <si>
    <t>02291</t>
  </si>
  <si>
    <t>02292</t>
  </si>
  <si>
    <t>02301</t>
  </si>
  <si>
    <t>02302</t>
  </si>
  <si>
    <t>02303</t>
  </si>
  <si>
    <t>02309</t>
  </si>
  <si>
    <t>02310</t>
  </si>
  <si>
    <t>02313</t>
  </si>
  <si>
    <t>02314</t>
  </si>
  <si>
    <t>02316</t>
  </si>
  <si>
    <t>02317</t>
  </si>
  <si>
    <t>02319</t>
  </si>
  <si>
    <t>02320</t>
  </si>
  <si>
    <t>02321</t>
  </si>
  <si>
    <t>02324</t>
  </si>
  <si>
    <t>02354</t>
  </si>
  <si>
    <t>02355</t>
  </si>
  <si>
    <t>02356</t>
  </si>
  <si>
    <t>02357</t>
  </si>
  <si>
    <t>02361</t>
  </si>
  <si>
    <t>02364</t>
  </si>
  <si>
    <t>02365</t>
  </si>
  <si>
    <t>02368</t>
  </si>
  <si>
    <t>02396</t>
  </si>
  <si>
    <t>02397</t>
  </si>
  <si>
    <t>02401</t>
  </si>
  <si>
    <t>02406</t>
  </si>
  <si>
    <t>Attention focus</t>
  </si>
  <si>
    <t>02407</t>
  </si>
  <si>
    <t>02412</t>
  </si>
  <si>
    <t>02414</t>
  </si>
  <si>
    <t>02415</t>
  </si>
  <si>
    <t>02416</t>
  </si>
  <si>
    <t>02417</t>
  </si>
  <si>
    <t>02419</t>
  </si>
  <si>
    <t>02420</t>
  </si>
  <si>
    <t>02421</t>
  </si>
  <si>
    <t>02422</t>
  </si>
  <si>
    <t>02423</t>
  </si>
  <si>
    <t>02424</t>
  </si>
  <si>
    <t>02426</t>
  </si>
  <si>
    <t>02428</t>
  </si>
  <si>
    <t>02429</t>
  </si>
  <si>
    <t>02430</t>
  </si>
  <si>
    <t>02431</t>
  </si>
  <si>
    <t>02433</t>
  </si>
  <si>
    <t>02434</t>
  </si>
  <si>
    <t>02467</t>
  </si>
  <si>
    <t>02500</t>
  </si>
  <si>
    <t>02501</t>
  </si>
  <si>
    <t>02504</t>
  </si>
  <si>
    <t>02508</t>
  </si>
  <si>
    <t>02510</t>
  </si>
  <si>
    <t>02511</t>
  </si>
  <si>
    <t>02512</t>
  </si>
  <si>
    <t>Lung respitory</t>
  </si>
  <si>
    <t>02514</t>
  </si>
  <si>
    <t>02519</t>
  </si>
  <si>
    <t>02520</t>
  </si>
  <si>
    <t>02521</t>
  </si>
  <si>
    <t>02526</t>
  </si>
  <si>
    <t>02529</t>
  </si>
  <si>
    <t>02530</t>
  </si>
  <si>
    <t>02531</t>
  </si>
  <si>
    <t>02532</t>
  </si>
  <si>
    <t>02533</t>
  </si>
  <si>
    <t>02534</t>
  </si>
  <si>
    <t>02535</t>
  </si>
  <si>
    <t>02536</t>
  </si>
  <si>
    <t>Womens sexual health</t>
  </si>
  <si>
    <t>02537</t>
  </si>
  <si>
    <t>02540</t>
  </si>
  <si>
    <t>02542</t>
  </si>
  <si>
    <t>02543</t>
  </si>
  <si>
    <t>USA → +14-1770-86052</t>
  </si>
  <si>
    <t>Poland → +48-2260-22010</t>
  </si>
  <si>
    <t>WhatsApp → +380-9871-54085</t>
  </si>
  <si>
    <t>E-mail → info@dsn.group</t>
  </si>
  <si>
    <t>Instagram → https://www.instagram.com/dsngroup.official/</t>
  </si>
  <si>
    <t>Category</t>
  </si>
  <si>
    <t>С</t>
  </si>
  <si>
    <t>А</t>
  </si>
  <si>
    <t>В</t>
  </si>
  <si>
    <t>Units of Measure</t>
  </si>
  <si>
    <t>600 mcg, 100 capsules</t>
  </si>
  <si>
    <t>500 mcg, 100 vegetarian lozenges</t>
  </si>
  <si>
    <t>500 mg, 100 capsules</t>
  </si>
  <si>
    <t>60 vegetarian capsules</t>
  </si>
  <si>
    <t>100 mg, 120 vegetarian capsules</t>
  </si>
  <si>
    <t>500 mg, 100 vegetarian capsules</t>
  </si>
  <si>
    <t>600 mg, 60 capsules</t>
  </si>
  <si>
    <t>90 vegetarian capsules</t>
  </si>
  <si>
    <t>200 mg, 60 vegetarian capsules</t>
  </si>
  <si>
    <t>100 mg, 100 vegetarian capsules</t>
  </si>
  <si>
    <t>125 mcg (5000 IU), 60 softgels</t>
  </si>
  <si>
    <t>175 mcg (7000 IU), 60 softgels</t>
  </si>
  <si>
    <t>100 mg, 30 softgels</t>
  </si>
  <si>
    <t>1000 mcg, 60  vegetarian capsules</t>
  </si>
  <si>
    <t>200 mcg, 100 vegetarian capsules</t>
  </si>
  <si>
    <t>50 mg, 90 vegetarian capsules</t>
  </si>
  <si>
    <t>1000 mg, 90 vegetarian capsules</t>
  </si>
  <si>
    <t>100 mg, 30 vegetarian capsules</t>
  </si>
  <si>
    <t>1700 mcg DFE, 100 vegetarian tablets</t>
  </si>
  <si>
    <t>240 softgels</t>
  </si>
  <si>
    <t>93.35 grams</t>
  </si>
  <si>
    <t>60 capsules</t>
  </si>
  <si>
    <t>60 vegetarian tablets</t>
  </si>
  <si>
    <t>60 tablets</t>
  </si>
  <si>
    <t>120 capsules</t>
  </si>
  <si>
    <t>120 tablets</t>
  </si>
  <si>
    <t>60 vegetarian lozenges</t>
  </si>
  <si>
    <t>300 grams</t>
  </si>
  <si>
    <t>100 grams</t>
  </si>
  <si>
    <t>640 mg, 100 capsules</t>
  </si>
  <si>
    <t>1000 mg, 100 capsules</t>
  </si>
  <si>
    <t>130 mg, 14 vegetarian tablets</t>
  </si>
  <si>
    <t>250 mg, 120 vegetarian capsules</t>
  </si>
  <si>
    <t>240 mg, 60 vegetarian capsules</t>
  </si>
  <si>
    <t>100 mg, 60 vegetarian capsules</t>
  </si>
  <si>
    <t>100 mg, 60 softgels</t>
  </si>
  <si>
    <t>50 mg, 30 softgels</t>
  </si>
  <si>
    <t>10 mg, 60 vegetarian capsules</t>
  </si>
  <si>
    <t>500 mcg, 60 vegetarian capsules</t>
  </si>
  <si>
    <t>250 mg, 100 vegetarian capsules</t>
  </si>
  <si>
    <t>1 mg, 60 vegetarian lozenges</t>
  </si>
  <si>
    <t>100 capsules</t>
  </si>
  <si>
    <t>20 mg, 30 vegetarian capsules</t>
  </si>
  <si>
    <t>3 mg, 100 vegetarian capsules</t>
  </si>
  <si>
    <t>1000 mg, 100 vegetarian capsules</t>
  </si>
  <si>
    <t>1000 mg, 360 vegetarian capsules</t>
  </si>
  <si>
    <t>620 mg, 100 vegetarian capsules</t>
  </si>
  <si>
    <t>60 softgels</t>
  </si>
  <si>
    <t>25 mcg (1000 IU), 90 softgels</t>
  </si>
  <si>
    <t>125 mcg (5000 IU), 60 capsules</t>
  </si>
  <si>
    <t>500 mg, 60 liquid vegetarian capsules</t>
  </si>
  <si>
    <t>100 mg, 90 vegetarian capsules</t>
  </si>
  <si>
    <t>45 mcg, 90 softgels</t>
  </si>
  <si>
    <t>120 softgels</t>
  </si>
  <si>
    <t>120 enteric-coated softgels</t>
  </si>
  <si>
    <t>200 mg, 30 enteric-coated vegetarian tablets</t>
  </si>
  <si>
    <t>30 vegetarian tablets</t>
  </si>
  <si>
    <t>50 mcg (2000 IU), 29.57 ml</t>
  </si>
  <si>
    <t>36 vegetarian capsules</t>
  </si>
  <si>
    <t>30 vegetarian capsules</t>
  </si>
  <si>
    <t>120 easy-to-swallow softgels</t>
  </si>
  <si>
    <t>90 softgels</t>
  </si>
  <si>
    <t>150 grams</t>
  </si>
  <si>
    <t>454 grams</t>
  </si>
  <si>
    <t>7.5 mg, 100 vegetarian tablets</t>
  </si>
  <si>
    <t>15 mg, 90 softgels</t>
  </si>
  <si>
    <t>90 capsules</t>
  </si>
  <si>
    <t>250 mg, 60 vegetarian capsules</t>
  </si>
  <si>
    <t>100 vegetarian capsules</t>
  </si>
  <si>
    <t>30 capsules</t>
  </si>
  <si>
    <t>500 mg, 60 enteric-coated vegetarian tablets</t>
  </si>
  <si>
    <t>900 mg, 60 softgels</t>
  </si>
  <si>
    <t>200 vegetarian capsules</t>
  </si>
  <si>
    <t>50 mg, 100 softgels</t>
  </si>
  <si>
    <t>200 mg, 30 softgels</t>
  </si>
  <si>
    <t>200 mcg, 60 vegetarian capsules</t>
  </si>
  <si>
    <t>500 mg, 30 vegetarian capsules</t>
  </si>
  <si>
    <t>5 mg, 60 vegetarian lozenges</t>
  </si>
  <si>
    <t>150 mg, 200 vegetarian capsules</t>
  </si>
  <si>
    <t>700 mg, 200 capsules</t>
  </si>
  <si>
    <t>120 vegetarian capsules</t>
  </si>
  <si>
    <t>30 vegetarian softgels</t>
  </si>
  <si>
    <t>300 mg, 100 vegetarian capsules</t>
  </si>
  <si>
    <t>500 mg, 90  vegetarian capsules</t>
  </si>
  <si>
    <t>180 grams</t>
  </si>
  <si>
    <t>25 mcg (1000 IU), 250 softgels</t>
  </si>
  <si>
    <t>30 softgels</t>
  </si>
  <si>
    <t>200 mcg, 90 vegetarian capsules</t>
  </si>
  <si>
    <t>60 liquid vegetarian capsules</t>
  </si>
  <si>
    <t>8500 mcg DFE, 30 vegetarian tablets</t>
  </si>
  <si>
    <t>4 mg, 30 softgels</t>
  </si>
  <si>
    <t>50 mg, 60 softgels</t>
  </si>
  <si>
    <t>200 capsules</t>
  </si>
  <si>
    <t>60 enteric-coated softgels</t>
  </si>
  <si>
    <t>30 liquid vegetarian capsules</t>
  </si>
  <si>
    <t>30 vegetarian lozenges</t>
  </si>
  <si>
    <t>12 oz</t>
  </si>
  <si>
    <t>400 mg, 60 enteric-coated vegetarian tablets</t>
  </si>
  <si>
    <t>400 mg, 30 enteric-coated vegetarian tablets</t>
  </si>
  <si>
    <t>120 chewable tablets</t>
  </si>
  <si>
    <t>30 enteric-coated vegetarian tablets</t>
  </si>
  <si>
    <t>403 grams</t>
  </si>
  <si>
    <t>45000 mcg (45 mg), 30 capsules</t>
  </si>
  <si>
    <t>125 mcg (5000 IU), 60 vegan capsules</t>
  </si>
  <si>
    <t>30 packets</t>
  </si>
  <si>
    <t>36 gummies</t>
  </si>
  <si>
    <t>60 gummies</t>
  </si>
  <si>
    <t>50 grams</t>
  </si>
  <si>
    <t>500 mg, 60 vegetarian capsules</t>
  </si>
  <si>
    <t>10 mg, 100 vegetarian tablets</t>
  </si>
  <si>
    <t>100 vegetarian tablets</t>
  </si>
  <si>
    <t>750 mg, 90 vegetarian capsules</t>
  </si>
  <si>
    <t>400 mg, 90 vegetarian capsules</t>
  </si>
  <si>
    <t>120 mg, 365 vegetarian capsules</t>
  </si>
  <si>
    <t>500 mg, 60  vegetarian capsules</t>
  </si>
  <si>
    <t>268 mg (400 IU), 90 softgels</t>
  </si>
  <si>
    <t>200 mg, 30 vegetarian capsules</t>
  </si>
  <si>
    <t>60 mg, 30 vegetarian capsules</t>
  </si>
  <si>
    <t>500 ml</t>
  </si>
  <si>
    <t>1.75 fl oz</t>
  </si>
  <si>
    <t>60 AM/PM vegetarian tablets</t>
  </si>
  <si>
    <t>60 vegetarian chewable tablets</t>
  </si>
  <si>
    <t>3.32 oz</t>
  </si>
  <si>
    <t>250 vegetarian tablets</t>
  </si>
  <si>
    <t>40 mg, 60 small capsules</t>
  </si>
  <si>
    <t>500 grams</t>
  </si>
  <si>
    <t>78.60 grams</t>
  </si>
  <si>
    <t>360 capsules</t>
  </si>
  <si>
    <t>240 tablets</t>
  </si>
  <si>
    <t>12.70 oz</t>
  </si>
  <si>
    <t>5 mg, 30 vegetarian capsules</t>
  </si>
  <si>
    <t>0.37 lb</t>
  </si>
  <si>
    <t>0.51 lb</t>
  </si>
  <si>
    <t>60 delayed release capsule</t>
  </si>
  <si>
    <t xml:space="preserve"> 30 vegetarian capsules</t>
  </si>
  <si>
    <t>02312</t>
  </si>
  <si>
    <t>Pregnenolone</t>
  </si>
  <si>
    <t>00329</t>
  </si>
  <si>
    <t>Melatonin</t>
  </si>
  <si>
    <t>1 mg, 60 capsules</t>
  </si>
  <si>
    <t>737870329060</t>
  </si>
  <si>
    <t>00330</t>
  </si>
  <si>
    <t>3 mg, 60 vegetarian capsules</t>
  </si>
  <si>
    <t>737870330066</t>
  </si>
  <si>
    <t>00331</t>
  </si>
  <si>
    <t>737870331063</t>
  </si>
  <si>
    <t>00332</t>
  </si>
  <si>
    <t>3 mg, 60 vegetarian lozenges</t>
  </si>
  <si>
    <t>737870332060</t>
  </si>
  <si>
    <t>00700</t>
  </si>
  <si>
    <t>100 mg, 100 capsules</t>
  </si>
  <si>
    <t>737870700104</t>
  </si>
  <si>
    <t>01083</t>
  </si>
  <si>
    <t>500 mcg, 200 vegetarian capsules</t>
  </si>
  <si>
    <t>737870108320</t>
  </si>
  <si>
    <t>01278</t>
  </si>
  <si>
    <t>Life Extension Toothpaste (Mint)</t>
  </si>
  <si>
    <t>4 oz</t>
  </si>
  <si>
    <t>737870127840</t>
  </si>
  <si>
    <t>01445</t>
  </si>
  <si>
    <t>Quiet Sleep Melatonin</t>
  </si>
  <si>
    <t>5 mg, 60 vegetarian capsules</t>
  </si>
  <si>
    <t>737870144564</t>
  </si>
  <si>
    <t>01668</t>
  </si>
  <si>
    <t>300 mcg, 100 vegetarian capsules</t>
  </si>
  <si>
    <t>737870166818</t>
  </si>
  <si>
    <t>01737</t>
  </si>
  <si>
    <t>Esophageal Guardian (Berry)</t>
  </si>
  <si>
    <t>737870173762</t>
  </si>
  <si>
    <t>01786</t>
  </si>
  <si>
    <t>Melatonin 6 Hour Timed Release</t>
  </si>
  <si>
    <t>3 mg, 60 vegetarian  tablets</t>
  </si>
  <si>
    <t>737870178668</t>
  </si>
  <si>
    <t>01787</t>
  </si>
  <si>
    <t>300 mcg, 100 vegetarian tablets</t>
  </si>
  <si>
    <t>737870178712</t>
  </si>
  <si>
    <t>01788</t>
  </si>
  <si>
    <t>750 mcg, 60 vegetarian tablets</t>
  </si>
  <si>
    <t>737870178866</t>
  </si>
  <si>
    <t>NAD+ Cell Regenerator™</t>
  </si>
  <si>
    <t>737870190431</t>
  </si>
  <si>
    <t>01919</t>
  </si>
  <si>
    <t>X-R Shield</t>
  </si>
  <si>
    <t>737870191933</t>
  </si>
  <si>
    <t>01961</t>
  </si>
  <si>
    <t>Enhanced Zinc Lozenges (Peppermint)</t>
  </si>
  <si>
    <t>737870196136</t>
  </si>
  <si>
    <t>02024</t>
  </si>
  <si>
    <t>Triple Action Blood Pressure</t>
  </si>
  <si>
    <t>737870202462</t>
  </si>
  <si>
    <t>02033</t>
  </si>
  <si>
    <t>EsophaCool™ (Berry)</t>
  </si>
  <si>
    <t>737870203360</t>
  </si>
  <si>
    <t>02101</t>
  </si>
  <si>
    <t>Memory Protect</t>
  </si>
  <si>
    <t>12 Colostrinin-Lithium (C-Li) Capsules | 24 Lithium (Li) Capsules</t>
  </si>
  <si>
    <t>737870210139</t>
  </si>
  <si>
    <t>02123</t>
  </si>
  <si>
    <t>Bone Restore Chewable Tablets (Chocolate)</t>
  </si>
  <si>
    <t>60 chewable tablets</t>
  </si>
  <si>
    <t>737870212362</t>
  </si>
  <si>
    <t>02127</t>
  </si>
  <si>
    <t>Wellness Code® Plant Protein Complete &amp; Amino Acid Complex (Vanilla)</t>
  </si>
  <si>
    <t>450 grams</t>
  </si>
  <si>
    <t>737870212744</t>
  </si>
  <si>
    <t>02201</t>
  </si>
  <si>
    <t>Melatonin IR/XR</t>
  </si>
  <si>
    <t>737870220169</t>
  </si>
  <si>
    <t>02234</t>
  </si>
  <si>
    <t xml:space="preserve">Fast-Acting Liquid Melatonin (Citrus-Vanilla) </t>
  </si>
  <si>
    <t>2 fl oz</t>
  </si>
  <si>
    <t>737870223429</t>
  </si>
  <si>
    <t>Cortisol-Stress Balance</t>
  </si>
  <si>
    <t>737870231233</t>
  </si>
  <si>
    <t>02344</t>
  </si>
  <si>
    <t>NAD+ Cell Regenerator™*</t>
  </si>
  <si>
    <t>300 mg, 30 vegetarian capsules</t>
  </si>
  <si>
    <t>737870234432</t>
  </si>
  <si>
    <t>02348</t>
  </si>
  <si>
    <t>NAD+ Cell Regenerator™ and Resveratrol Elite™</t>
  </si>
  <si>
    <t>737870234838</t>
  </si>
  <si>
    <t>02403</t>
  </si>
  <si>
    <t>Lithium</t>
  </si>
  <si>
    <t>1000 mcg, 100 capsules</t>
  </si>
  <si>
    <t>737870240310</t>
  </si>
  <si>
    <t>02408</t>
  </si>
  <si>
    <t>Collagen Peptides for Skin &amp; Joints</t>
  </si>
  <si>
    <t>343 grams</t>
  </si>
  <si>
    <t>737870240839</t>
  </si>
  <si>
    <t>02413</t>
  </si>
  <si>
    <t>Dopamine Advantage</t>
  </si>
  <si>
    <t>737870241331</t>
  </si>
  <si>
    <t>02425</t>
  </si>
  <si>
    <t>Immune Packs with Vitamin C &amp; D, Zinc and Probiotic</t>
  </si>
  <si>
    <t>737870242536</t>
  </si>
  <si>
    <t>02502</t>
  </si>
  <si>
    <t>Rest &amp; Renew</t>
  </si>
  <si>
    <t>737870250234</t>
  </si>
  <si>
    <t>02527</t>
  </si>
  <si>
    <t>Healthy Aging Powder</t>
  </si>
  <si>
    <t>0.46 lb</t>
  </si>
  <si>
    <t>737870252771</t>
  </si>
  <si>
    <t>02548</t>
  </si>
  <si>
    <t>Biological Aging Defense</t>
  </si>
  <si>
    <t>737870254836</t>
  </si>
  <si>
    <t>00302</t>
  </si>
  <si>
    <t>00020</t>
  </si>
  <si>
    <t>02270</t>
  </si>
  <si>
    <t>02529R</t>
  </si>
  <si>
    <t>02539</t>
  </si>
  <si>
    <t>02545</t>
  </si>
  <si>
    <t>02546</t>
  </si>
  <si>
    <t>02547</t>
  </si>
  <si>
    <t>02550</t>
  </si>
  <si>
    <t>Lecithin</t>
  </si>
  <si>
    <t>EnergyGain™</t>
  </si>
  <si>
    <t>DNA Protection Formula</t>
  </si>
  <si>
    <t>Lower Back Relief*</t>
  </si>
  <si>
    <t>FLORASSIST® Probiotic Youthful Gut</t>
  </si>
  <si>
    <t>Active Vitality &amp; Strength</t>
  </si>
  <si>
    <t>Bee Immune Propolis Capsules</t>
  </si>
  <si>
    <t>Bio-Luteolin™</t>
  </si>
  <si>
    <t>Bee Immune Propolis Spray</t>
  </si>
  <si>
    <t>50 mg, 100 capsules</t>
  </si>
  <si>
    <t>15 ml</t>
  </si>
  <si>
    <t>Unit Weight, KG</t>
  </si>
  <si>
    <t>737870020165</t>
  </si>
  <si>
    <t>737870302100</t>
  </si>
  <si>
    <t>737870227038</t>
  </si>
  <si>
    <t>737870253938</t>
  </si>
  <si>
    <t>737870254539</t>
  </si>
  <si>
    <t>737870254669</t>
  </si>
  <si>
    <t>737870254737</t>
  </si>
  <si>
    <t>737870255017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</si>
</sst>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&quot;$&quot;#,##0.00;\(&quot;$&quot;#,##0.00\)"/>
    <numFmt numFmtId="165" formatCode="_-[$$-3C09]* #,##0.00_-;\-[$$-3C09]* #,##0.00_-;_-[$$-3C09]* &quot;-&quot;??_-;_-@_-"/>
    <numFmt numFmtId="166" formatCode="_-[$$-409]* #,##0.00_ ;_-[$$-409]* \-#,##0.00\ ;_-[$$-409]* &quot;-&quot;??_ ;_-@_ "/>
    <numFmt numFmtId="167" formatCode="[$$-409]#,##0.00"/>
  </numFmts>
  <fonts count="2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  <charset val="204"/>
    </font>
    <font>
      <sz val="11"/>
      <name val="Calibri"/>
      <family val="2"/>
      <charset val="204"/>
    </font>
    <font>
      <b/>
      <sz val="11"/>
      <color indexed="18"/>
      <name val="Calibri"/>
      <family val="2"/>
      <charset val="204"/>
    </font>
    <font>
      <sz val="10"/>
      <color rgb="FF000000"/>
      <name val="Arial"/>
      <family val="2"/>
    </font>
    <font>
      <sz val="10"/>
      <color rgb="FF000000"/>
      <name val="Arial"/>
      <family val="2"/>
      <charset val="204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  <charset val="204"/>
    </font>
    <font>
      <strike/>
      <sz val="10"/>
      <color rgb="FFFF0000"/>
      <name val="Arial"/>
      <family val="2"/>
    </font>
    <font>
      <b/>
      <sz val="10"/>
      <color rgb="FF000000"/>
      <name val="Arial"/>
      <family val="2"/>
      <charset val="204"/>
    </font>
    <font>
      <sz val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rgb="FFFF0000"/>
      <name val="Calibri"/>
      <family val="2"/>
      <charset val="204"/>
    </font>
    <font>
      <sz val="11"/>
      <name val="Arial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9" fillId="0" borderId="0"/>
    <xf numFmtId="0" fontId="19" fillId="0" borderId="0"/>
  </cellStyleXfs>
  <cellXfs count="118">
    <xf numFmtId="0" fontId="1" fillId="0" borderId="0" xfId="0" applyFont="1"/>
    <xf numFmtId="0" fontId="1" fillId="0" borderId="0" xfId="0" applyFont="1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vertical="top" wrapText="1" readingOrder="1"/>
      <protection hidden="1"/>
    </xf>
    <xf numFmtId="0" fontId="5" fillId="0" borderId="1" xfId="0" applyFont="1" applyBorder="1" applyAlignment="1" applyProtection="1">
      <alignment vertical="top" readingOrder="1"/>
      <protection hidden="1"/>
    </xf>
    <xf numFmtId="0" fontId="1" fillId="0" borderId="0" xfId="0" applyFont="1" applyAlignment="1">
      <alignment vertical="center"/>
    </xf>
    <xf numFmtId="0" fontId="5" fillId="0" borderId="3" xfId="0" applyFont="1" applyBorder="1" applyAlignment="1" applyProtection="1">
      <alignment vertical="top" readingOrder="1"/>
      <protection hidden="1"/>
    </xf>
    <xf numFmtId="0" fontId="10" fillId="0" borderId="12" xfId="1" applyFont="1" applyBorder="1" applyAlignment="1">
      <alignment vertical="top" readingOrder="1"/>
    </xf>
    <xf numFmtId="0" fontId="10" fillId="0" borderId="13" xfId="1" applyFont="1" applyBorder="1" applyAlignment="1">
      <alignment vertical="top" readingOrder="1"/>
    </xf>
    <xf numFmtId="0" fontId="5" fillId="0" borderId="14" xfId="0" applyFont="1" applyBorder="1" applyAlignment="1" applyProtection="1">
      <alignment vertical="top" readingOrder="1"/>
      <protection hidden="1"/>
    </xf>
    <xf numFmtId="0" fontId="8" fillId="2" borderId="18" xfId="0" applyFont="1" applyFill="1" applyBorder="1" applyAlignment="1" applyProtection="1">
      <alignment horizontal="center" vertical="center" wrapText="1" readingOrder="1"/>
      <protection hidden="1"/>
    </xf>
    <xf numFmtId="0" fontId="8" fillId="2" borderId="18" xfId="0" applyFont="1" applyFill="1" applyBorder="1" applyAlignment="1" applyProtection="1">
      <alignment vertical="center" readingOrder="1"/>
      <protection hidden="1"/>
    </xf>
    <xf numFmtId="0" fontId="10" fillId="0" borderId="11" xfId="1" applyFont="1" applyBorder="1" applyAlignment="1">
      <alignment vertical="top" readingOrder="1"/>
    </xf>
    <xf numFmtId="14" fontId="2" fillId="0" borderId="0" xfId="0" quotePrefix="1" applyNumberFormat="1" applyFont="1" applyAlignment="1" applyProtection="1">
      <alignment horizontal="center" vertical="center"/>
      <protection hidden="1"/>
    </xf>
    <xf numFmtId="164" fontId="5" fillId="0" borderId="9" xfId="0" applyNumberFormat="1" applyFont="1" applyBorder="1" applyAlignment="1" applyProtection="1">
      <alignment horizontal="center" vertical="top" wrapText="1" readingOrder="1"/>
      <protection hidden="1"/>
    </xf>
    <xf numFmtId="0" fontId="13" fillId="0" borderId="0" xfId="0" applyFont="1"/>
    <xf numFmtId="14" fontId="14" fillId="3" borderId="10" xfId="0" applyNumberFormat="1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166" fontId="15" fillId="3" borderId="10" xfId="0" applyNumberFormat="1" applyFont="1" applyFill="1" applyBorder="1" applyAlignment="1" applyProtection="1">
      <alignment horizontal="center" vertical="center" wrapText="1" readingOrder="1"/>
      <protection hidden="1"/>
    </xf>
    <xf numFmtId="0" fontId="16" fillId="0" borderId="0" xfId="0" applyFont="1"/>
    <xf numFmtId="167" fontId="14" fillId="3" borderId="10" xfId="0" applyNumberFormat="1" applyFont="1" applyFill="1" applyBorder="1" applyAlignment="1">
      <alignment horizontal="center" vertical="center" wrapText="1"/>
    </xf>
    <xf numFmtId="0" fontId="17" fillId="4" borderId="10" xfId="0" applyFont="1" applyFill="1" applyBorder="1" applyAlignment="1" applyProtection="1">
      <alignment horizontal="center" vertical="center" wrapText="1" readingOrder="1"/>
      <protection locked="0"/>
    </xf>
    <xf numFmtId="4" fontId="14" fillId="4" borderId="25" xfId="0" applyNumberFormat="1" applyFont="1" applyFill="1" applyBorder="1" applyAlignment="1">
      <alignment horizontal="center" vertical="center"/>
    </xf>
    <xf numFmtId="166" fontId="15" fillId="0" borderId="0" xfId="0" applyNumberFormat="1" applyFont="1" applyAlignment="1" applyProtection="1">
      <alignment vertical="center" wrapText="1" readingOrder="1"/>
      <protection hidden="1"/>
    </xf>
    <xf numFmtId="0" fontId="14" fillId="5" borderId="10" xfId="0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7" fontId="14" fillId="0" borderId="0" xfId="0" applyNumberFormat="1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1" fillId="0" borderId="29" xfId="0" applyFont="1" applyBorder="1" applyAlignment="1" applyProtection="1">
      <alignment horizontal="center"/>
      <protection hidden="1"/>
    </xf>
    <xf numFmtId="0" fontId="1" fillId="0" borderId="31" xfId="0" applyFont="1" applyBorder="1" applyAlignment="1" applyProtection="1">
      <alignment horizontal="center"/>
      <protection hidden="1"/>
    </xf>
    <xf numFmtId="0" fontId="18" fillId="0" borderId="31" xfId="0" applyFont="1" applyBorder="1"/>
    <xf numFmtId="2" fontId="5" fillId="0" borderId="14" xfId="0" applyNumberFormat="1" applyFont="1" applyBorder="1" applyAlignment="1" applyProtection="1">
      <alignment horizontal="center" vertical="top" wrapText="1" readingOrder="1"/>
      <protection hidden="1"/>
    </xf>
    <xf numFmtId="164" fontId="11" fillId="0" borderId="14" xfId="0" applyNumberFormat="1" applyFont="1" applyBorder="1" applyAlignment="1" applyProtection="1">
      <alignment horizontal="center" vertical="top" wrapText="1" readingOrder="1"/>
      <protection hidden="1"/>
    </xf>
    <xf numFmtId="164" fontId="5" fillId="0" borderId="15" xfId="0" applyNumberFormat="1" applyFont="1" applyBorder="1" applyAlignment="1" applyProtection="1">
      <alignment horizontal="center" vertical="top" wrapText="1" readingOrder="1"/>
      <protection hidden="1"/>
    </xf>
    <xf numFmtId="1" fontId="5" fillId="0" borderId="9" xfId="0" applyNumberFormat="1" applyFont="1" applyBorder="1" applyAlignment="1" applyProtection="1">
      <alignment horizontal="center" vertical="top" wrapText="1" readingOrder="1"/>
      <protection locked="0"/>
    </xf>
    <xf numFmtId="1" fontId="18" fillId="0" borderId="14" xfId="0" applyNumberFormat="1" applyFont="1" applyBorder="1"/>
    <xf numFmtId="1" fontId="5" fillId="0" borderId="14" xfId="0" applyNumberFormat="1" applyFont="1" applyBorder="1" applyAlignment="1" applyProtection="1">
      <alignment horizontal="center" vertical="top" wrapText="1" readingOrder="1"/>
      <protection hidden="1"/>
    </xf>
    <xf numFmtId="0" fontId="14" fillId="0" borderId="43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8" fillId="0" borderId="45" xfId="0" applyFont="1" applyBorder="1"/>
    <xf numFmtId="0" fontId="5" fillId="0" borderId="46" xfId="0" applyFont="1" applyBorder="1" applyAlignment="1" applyProtection="1">
      <alignment vertical="top" readingOrder="1"/>
      <protection hidden="1"/>
    </xf>
    <xf numFmtId="1" fontId="18" fillId="0" borderId="46" xfId="0" applyNumberFormat="1" applyFont="1" applyBorder="1"/>
    <xf numFmtId="1" fontId="5" fillId="0" borderId="46" xfId="0" applyNumberFormat="1" applyFont="1" applyBorder="1" applyAlignment="1" applyProtection="1">
      <alignment horizontal="center" vertical="top" wrapText="1" readingOrder="1"/>
      <protection hidden="1"/>
    </xf>
    <xf numFmtId="2" fontId="5" fillId="0" borderId="46" xfId="0" applyNumberFormat="1" applyFont="1" applyBorder="1" applyAlignment="1" applyProtection="1">
      <alignment horizontal="center" vertical="top" wrapText="1" readingOrder="1"/>
      <protection hidden="1"/>
    </xf>
    <xf numFmtId="164" fontId="11" fillId="0" borderId="46" xfId="0" applyNumberFormat="1" applyFont="1" applyBorder="1" applyAlignment="1" applyProtection="1">
      <alignment horizontal="center" vertical="top" wrapText="1" readingOrder="1"/>
      <protection hidden="1"/>
    </xf>
    <xf numFmtId="164" fontId="5" fillId="0" borderId="47" xfId="0" applyNumberFormat="1" applyFont="1" applyBorder="1" applyAlignment="1" applyProtection="1">
      <alignment horizontal="center" vertical="top" wrapText="1" readingOrder="1"/>
      <protection hidden="1"/>
    </xf>
    <xf numFmtId="1" fontId="5" fillId="0" borderId="33" xfId="0" applyNumberFormat="1" applyFont="1" applyBorder="1" applyAlignment="1" applyProtection="1">
      <alignment horizontal="center" vertical="top" wrapText="1" readingOrder="1"/>
      <protection locked="0"/>
    </xf>
    <xf numFmtId="164" fontId="5" fillId="0" borderId="33" xfId="0" applyNumberFormat="1" applyFont="1" applyBorder="1" applyAlignment="1" applyProtection="1">
      <alignment horizontal="center" vertical="top" wrapText="1" readingOrder="1"/>
      <protection hidden="1"/>
    </xf>
    <xf numFmtId="4" fontId="1" fillId="0" borderId="0" xfId="0" applyNumberFormat="1" applyFont="1"/>
    <xf numFmtId="0" fontId="10" fillId="0" borderId="48" xfId="1" applyFont="1" applyBorder="1" applyAlignment="1">
      <alignment vertical="top" readingOrder="1"/>
    </xf>
    <xf numFmtId="0" fontId="5" fillId="0" borderId="49" xfId="0" applyFont="1" applyBorder="1" applyAlignment="1" applyProtection="1">
      <alignment vertical="top" readingOrder="1"/>
      <protection hidden="1"/>
    </xf>
    <xf numFmtId="0" fontId="1" fillId="0" borderId="51" xfId="0" applyFont="1" applyBorder="1" applyAlignment="1" applyProtection="1">
      <alignment horizontal="center"/>
      <protection hidden="1"/>
    </xf>
    <xf numFmtId="0" fontId="8" fillId="2" borderId="17" xfId="0" applyFont="1" applyFill="1" applyBorder="1" applyAlignment="1" applyProtection="1">
      <alignment horizontal="center" vertical="center" readingOrder="1"/>
      <protection hidden="1"/>
    </xf>
    <xf numFmtId="0" fontId="8" fillId="2" borderId="18" xfId="0" applyFont="1" applyFill="1" applyBorder="1" applyAlignment="1" applyProtection="1">
      <alignment horizontal="center" vertical="center" readingOrder="1"/>
      <protection hidden="1"/>
    </xf>
    <xf numFmtId="1" fontId="8" fillId="2" borderId="18" xfId="0" applyNumberFormat="1" applyFont="1" applyFill="1" applyBorder="1" applyAlignment="1" applyProtection="1">
      <alignment horizontal="center" vertical="center" readingOrder="1"/>
      <protection hidden="1"/>
    </xf>
    <xf numFmtId="2" fontId="8" fillId="2" borderId="20" xfId="0" applyNumberFormat="1" applyFont="1" applyFill="1" applyBorder="1" applyAlignment="1" applyProtection="1">
      <alignment horizontal="center" vertical="center" readingOrder="1"/>
      <protection hidden="1"/>
    </xf>
    <xf numFmtId="0" fontId="8" fillId="2" borderId="26" xfId="0" applyFont="1" applyFill="1" applyBorder="1" applyAlignment="1" applyProtection="1">
      <alignment horizontal="center" vertical="center" readingOrder="1"/>
      <protection hidden="1"/>
    </xf>
    <xf numFmtId="0" fontId="8" fillId="2" borderId="42" xfId="0" applyFont="1" applyFill="1" applyBorder="1" applyAlignment="1" applyProtection="1">
      <alignment horizontal="center" vertical="center" readingOrder="1"/>
      <protection hidden="1"/>
    </xf>
    <xf numFmtId="0" fontId="8" fillId="2" borderId="19" xfId="0" applyFont="1" applyFill="1" applyBorder="1" applyAlignment="1" applyProtection="1">
      <alignment horizontal="center" vertical="center" readingOrder="1"/>
      <protection hidden="1"/>
    </xf>
    <xf numFmtId="1" fontId="8" fillId="2" borderId="10" xfId="0" applyNumberFormat="1" applyFont="1" applyFill="1" applyBorder="1" applyAlignment="1" applyProtection="1">
      <alignment horizontal="center" vertical="center" readingOrder="1"/>
      <protection hidden="1"/>
    </xf>
    <xf numFmtId="0" fontId="8" fillId="2" borderId="2" xfId="0" applyFont="1" applyFill="1" applyBorder="1" applyAlignment="1" applyProtection="1">
      <alignment horizontal="center" vertical="center" readingOrder="1"/>
      <protection hidden="1"/>
    </xf>
    <xf numFmtId="166" fontId="7" fillId="2" borderId="2" xfId="0" applyNumberFormat="1" applyFont="1" applyFill="1" applyBorder="1" applyAlignment="1" applyProtection="1">
      <alignment horizontal="center" vertical="center" readingOrder="1"/>
      <protection hidden="1"/>
    </xf>
    <xf numFmtId="0" fontId="17" fillId="4" borderId="10" xfId="0" applyFont="1" applyFill="1" applyBorder="1" applyAlignment="1" applyProtection="1">
      <alignment horizontal="center" vertical="center" readingOrder="1"/>
      <protection locked="0"/>
    </xf>
    <xf numFmtId="166" fontId="15" fillId="0" borderId="0" xfId="0" applyNumberFormat="1" applyFont="1" applyAlignment="1" applyProtection="1">
      <alignment vertical="center" readingOrder="1"/>
      <protection hidden="1"/>
    </xf>
    <xf numFmtId="0" fontId="14" fillId="5" borderId="10" xfId="0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top" readingOrder="1"/>
    </xf>
    <xf numFmtId="2" fontId="5" fillId="0" borderId="22" xfId="0" applyNumberFormat="1" applyFont="1" applyBorder="1" applyAlignment="1" applyProtection="1">
      <alignment horizontal="center" vertical="top" readingOrder="1"/>
      <protection hidden="1"/>
    </xf>
    <xf numFmtId="0" fontId="5" fillId="0" borderId="27" xfId="0" applyFont="1" applyBorder="1" applyAlignment="1" applyProtection="1">
      <alignment horizontal="center" vertical="top" readingOrder="1"/>
      <protection hidden="1"/>
    </xf>
    <xf numFmtId="164" fontId="5" fillId="0" borderId="28" xfId="0" applyNumberFormat="1" applyFont="1" applyBorder="1" applyAlignment="1" applyProtection="1">
      <alignment horizontal="center" vertical="top" readingOrder="1"/>
      <protection hidden="1"/>
    </xf>
    <xf numFmtId="1" fontId="5" fillId="0" borderId="7" xfId="0" applyNumberFormat="1" applyFont="1" applyBorder="1" applyAlignment="1" applyProtection="1">
      <alignment horizontal="center" vertical="top" readingOrder="1"/>
      <protection locked="0"/>
    </xf>
    <xf numFmtId="164" fontId="5" fillId="0" borderId="5" xfId="0" applyNumberFormat="1" applyFont="1" applyBorder="1" applyAlignment="1" applyProtection="1">
      <alignment horizontal="center" vertical="top" readingOrder="1"/>
      <protection hidden="1"/>
    </xf>
    <xf numFmtId="164" fontId="5" fillId="0" borderId="0" xfId="0" applyNumberFormat="1" applyFont="1" applyAlignment="1" applyProtection="1">
      <alignment horizontal="center" vertical="top" readingOrder="1"/>
      <protection hidden="1"/>
    </xf>
    <xf numFmtId="1" fontId="6" fillId="0" borderId="1" xfId="0" applyNumberFormat="1" applyFont="1" applyBorder="1" applyAlignment="1">
      <alignment horizontal="center" vertical="top" readingOrder="1"/>
    </xf>
    <xf numFmtId="2" fontId="5" fillId="0" borderId="23" xfId="0" applyNumberFormat="1" applyFont="1" applyBorder="1" applyAlignment="1" applyProtection="1">
      <alignment horizontal="center" vertical="top" readingOrder="1"/>
      <protection hidden="1"/>
    </xf>
    <xf numFmtId="0" fontId="5" fillId="0" borderId="29" xfId="0" applyFont="1" applyBorder="1" applyAlignment="1" applyProtection="1">
      <alignment horizontal="center" vertical="top" readingOrder="1"/>
      <protection hidden="1"/>
    </xf>
    <xf numFmtId="164" fontId="5" fillId="0" borderId="30" xfId="0" applyNumberFormat="1" applyFont="1" applyBorder="1" applyAlignment="1" applyProtection="1">
      <alignment horizontal="center" vertical="top" readingOrder="1"/>
      <protection hidden="1"/>
    </xf>
    <xf numFmtId="1" fontId="5" fillId="0" borderId="8" xfId="0" applyNumberFormat="1" applyFont="1" applyBorder="1" applyAlignment="1" applyProtection="1">
      <alignment horizontal="center" vertical="top" readingOrder="1"/>
      <protection locked="0"/>
    </xf>
    <xf numFmtId="164" fontId="5" fillId="0" borderId="6" xfId="0" applyNumberFormat="1" applyFont="1" applyBorder="1" applyAlignment="1" applyProtection="1">
      <alignment horizontal="center" vertical="top" readingOrder="1"/>
      <protection hidden="1"/>
    </xf>
    <xf numFmtId="0" fontId="1" fillId="0" borderId="1" xfId="0" applyFont="1" applyBorder="1" applyProtection="1">
      <protection hidden="1"/>
    </xf>
    <xf numFmtId="0" fontId="1" fillId="0" borderId="49" xfId="0" applyFont="1" applyBorder="1" applyProtection="1">
      <protection hidden="1"/>
    </xf>
    <xf numFmtId="1" fontId="6" fillId="0" borderId="49" xfId="0" applyNumberFormat="1" applyFont="1" applyBorder="1" applyAlignment="1">
      <alignment horizontal="center" vertical="top" readingOrder="1"/>
    </xf>
    <xf numFmtId="2" fontId="5" fillId="0" borderId="50" xfId="0" applyNumberFormat="1" applyFont="1" applyBorder="1" applyAlignment="1" applyProtection="1">
      <alignment horizontal="center" vertical="top" readingOrder="1"/>
      <protection hidden="1"/>
    </xf>
    <xf numFmtId="164" fontId="5" fillId="0" borderId="52" xfId="0" applyNumberFormat="1" applyFont="1" applyBorder="1" applyAlignment="1" applyProtection="1">
      <alignment horizontal="center" vertical="top" readingOrder="1"/>
      <protection hidden="1"/>
    </xf>
    <xf numFmtId="1" fontId="5" fillId="0" borderId="53" xfId="0" applyNumberFormat="1" applyFont="1" applyBorder="1" applyAlignment="1" applyProtection="1">
      <alignment horizontal="center" vertical="top" readingOrder="1"/>
      <protection locked="0"/>
    </xf>
    <xf numFmtId="0" fontId="1" fillId="0" borderId="14" xfId="0" applyFont="1" applyBorder="1" applyProtection="1">
      <protection hidden="1"/>
    </xf>
    <xf numFmtId="1" fontId="6" fillId="0" borderId="14" xfId="0" applyNumberFormat="1" applyFont="1" applyBorder="1" applyAlignment="1">
      <alignment horizontal="center" vertical="top" readingOrder="1"/>
    </xf>
    <xf numFmtId="2" fontId="5" fillId="0" borderId="24" xfId="0" applyNumberFormat="1" applyFont="1" applyBorder="1" applyAlignment="1" applyProtection="1">
      <alignment horizontal="center" vertical="top" readingOrder="1"/>
      <protection hidden="1"/>
    </xf>
    <xf numFmtId="164" fontId="5" fillId="0" borderId="32" xfId="0" applyNumberFormat="1" applyFont="1" applyBorder="1" applyAlignment="1" applyProtection="1">
      <alignment horizontal="center" vertical="top" readingOrder="1"/>
      <protection hidden="1"/>
    </xf>
    <xf numFmtId="1" fontId="5" fillId="0" borderId="16" xfId="0" applyNumberFormat="1" applyFont="1" applyBorder="1" applyAlignment="1" applyProtection="1">
      <alignment horizontal="center" vertical="top" readingOrder="1"/>
      <protection locked="0"/>
    </xf>
    <xf numFmtId="164" fontId="5" fillId="0" borderId="9" xfId="0" applyNumberFormat="1" applyFont="1" applyBorder="1" applyAlignment="1" applyProtection="1">
      <alignment horizontal="center" vertical="top" readingOrder="1"/>
      <protection hidden="1"/>
    </xf>
    <xf numFmtId="0" fontId="5" fillId="0" borderId="3" xfId="0" applyFont="1" applyBorder="1" applyAlignment="1" applyProtection="1">
      <alignment vertical="top" wrapText="1" readingOrder="1"/>
      <protection hidden="1"/>
    </xf>
    <xf numFmtId="0" fontId="5" fillId="0" borderId="1" xfId="0" applyFont="1" applyBorder="1" applyAlignment="1" applyProtection="1">
      <alignment vertical="top" wrapText="1" readingOrder="1"/>
      <protection hidden="1"/>
    </xf>
    <xf numFmtId="0" fontId="1" fillId="0" borderId="1" xfId="0" applyFont="1" applyBorder="1" applyAlignment="1" applyProtection="1">
      <alignment wrapText="1"/>
      <protection hidden="1"/>
    </xf>
    <xf numFmtId="0" fontId="5" fillId="0" borderId="49" xfId="0" applyFont="1" applyBorder="1" applyAlignment="1" applyProtection="1">
      <alignment vertical="top" wrapText="1" readingOrder="1"/>
      <protection hidden="1"/>
    </xf>
    <xf numFmtId="0" fontId="5" fillId="0" borderId="14" xfId="0" applyFont="1" applyBorder="1" applyAlignment="1" applyProtection="1">
      <alignment vertical="top" wrapText="1" readingOrder="1"/>
      <protection hidden="1"/>
    </xf>
    <xf numFmtId="0" fontId="1" fillId="0" borderId="0" xfId="0" applyFont="1" applyAlignment="1">
      <alignment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5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 applyProtection="1">
      <alignment horizontal="left" vertical="center" wrapText="1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0" fillId="0" borderId="34" xfId="0" applyBorder="1" applyAlignment="1" applyProtection="1">
      <alignment horizontal="center" vertical="center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0" fontId="20" fillId="0" borderId="36" xfId="2" applyFont="1" applyBorder="1" applyAlignment="1" applyProtection="1">
      <alignment horizontal="center"/>
      <protection hidden="1"/>
    </xf>
    <xf numFmtId="0" fontId="20" fillId="0" borderId="37" xfId="2" applyFont="1" applyBorder="1" applyAlignment="1" applyProtection="1">
      <alignment horizontal="center"/>
      <protection hidden="1"/>
    </xf>
    <xf numFmtId="0" fontId="20" fillId="0" borderId="38" xfId="2" applyFont="1" applyBorder="1" applyAlignment="1" applyProtection="1">
      <alignment horizontal="center"/>
      <protection hidden="1"/>
    </xf>
    <xf numFmtId="0" fontId="20" fillId="0" borderId="39" xfId="2" applyFont="1" applyBorder="1" applyAlignment="1" applyProtection="1">
      <alignment horizontal="center"/>
      <protection hidden="1"/>
    </xf>
    <xf numFmtId="0" fontId="20" fillId="0" borderId="40" xfId="2" applyFont="1" applyBorder="1" applyAlignment="1" applyProtection="1">
      <alignment horizontal="center"/>
      <protection hidden="1"/>
    </xf>
    <xf numFmtId="0" fontId="20" fillId="0" borderId="41" xfId="2" applyFont="1" applyBorder="1" applyAlignment="1" applyProtection="1">
      <alignment horizontal="center"/>
      <protection hidden="1"/>
    </xf>
    <xf numFmtId="0" fontId="12" fillId="2" borderId="5" xfId="0" applyFont="1" applyFill="1" applyBorder="1" applyAlignment="1" applyProtection="1">
      <alignment horizontal="center" vertical="center" wrapText="1" readingOrder="1"/>
      <protection hidden="1"/>
    </xf>
    <xf numFmtId="0" fontId="12" fillId="2" borderId="9" xfId="0" applyFont="1" applyFill="1" applyBorder="1" applyAlignment="1" applyProtection="1">
      <alignment horizontal="center" vertical="center" wrapText="1" readingOrder="1"/>
      <protection hidden="1"/>
    </xf>
    <xf numFmtId="165" fontId="12" fillId="2" borderId="5" xfId="0" applyNumberFormat="1" applyFont="1" applyFill="1" applyBorder="1" applyAlignment="1" applyProtection="1">
      <alignment horizontal="center" vertical="center" wrapText="1" readingOrder="1"/>
      <protection hidden="1"/>
    </xf>
    <xf numFmtId="165" fontId="12" fillId="2" borderId="9" xfId="0" applyNumberFormat="1" applyFont="1" applyFill="1" applyBorder="1" applyAlignment="1" applyProtection="1">
      <alignment horizontal="center" vertical="center" wrapText="1" readingOrder="1"/>
      <protection hidden="1"/>
    </xf>
    <xf numFmtId="1" fontId="12" fillId="2" borderId="5" xfId="0" applyNumberFormat="1" applyFont="1" applyFill="1" applyBorder="1" applyAlignment="1" applyProtection="1">
      <alignment horizontal="center" vertical="center" wrapText="1" readingOrder="1"/>
      <protection hidden="1"/>
    </xf>
    <xf numFmtId="1" fontId="12" fillId="2" borderId="9" xfId="0" applyNumberFormat="1" applyFont="1" applyFill="1" applyBorder="1" applyAlignment="1" applyProtection="1">
      <alignment horizontal="center" vertical="center" wrapText="1" readingOrder="1"/>
      <protection hidden="1"/>
    </xf>
    <xf numFmtId="2" fontId="12" fillId="2" borderId="5" xfId="0" applyNumberFormat="1" applyFont="1" applyFill="1" applyBorder="1" applyAlignment="1" applyProtection="1">
      <alignment horizontal="center" vertical="center" wrapText="1" readingOrder="1"/>
      <protection hidden="1"/>
    </xf>
    <xf numFmtId="2" fontId="12" fillId="2" borderId="9" xfId="0" applyNumberFormat="1" applyFont="1" applyFill="1" applyBorder="1" applyAlignment="1" applyProtection="1">
      <alignment horizontal="center" vertical="center" wrapText="1" readingOrder="1"/>
      <protection hidden="1"/>
    </xf>
  </cellXfs>
  <cellStyles count="3">
    <cellStyle name="Excel Built-in Normal" xfId="2" xr:uid="{176ED03C-87AB-4516-9837-BD5AA7C718A4}"/>
    <cellStyle name="Normal" xfId="1" xr:uid="{94DEB3B5-FEC0-4586-AA1D-B4974DD0FB84}"/>
    <cellStyle name="Звичайний" xfId="0" builtinId="0"/>
  </cellStyles>
  <dxfs count="7"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576BA"/>
      <rgbColor rgb="006495ED"/>
      <rgbColor rgb="00D3D3D3"/>
      <rgbColor rgb="00FFFF00"/>
      <rgbColor rgb="009ACD32"/>
      <rgbColor rgb="00FF6347"/>
      <rgbColor rgb="00191970"/>
      <rgbColor rgb="00FFFFFF"/>
      <rgbColor rgb="00008000"/>
      <rgbColor rgb="00FF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1070-814A-4413-97C9-81BC38068CCA}">
  <dimension ref="A1:S365"/>
  <sheetViews>
    <sheetView tabSelected="1" topLeftCell="B1" zoomScale="70" zoomScaleNormal="70" workbookViewId="0">
      <pane ySplit="2" topLeftCell="A3" activePane="bottomLeft" state="frozen"/>
      <selection activeCell="B1" sqref="B1"/>
      <selection pane="bottomLeft" activeCell="M8" sqref="M8"/>
    </sheetView>
  </sheetViews>
  <sheetFormatPr defaultRowHeight="14.4" x14ac:dyDescent="0.3"/>
  <cols>
    <col min="1" max="1" width="8" customWidth="1"/>
    <col min="2" max="2" width="63.77734375" style="97" customWidth="1"/>
    <col min="3" max="3" width="59.44140625" bestFit="1" customWidth="1"/>
    <col min="4" max="4" width="32.21875" bestFit="1" customWidth="1"/>
    <col min="5" max="5" width="14.5546875" bestFit="1" customWidth="1"/>
    <col min="6" max="6" width="17.5546875" bestFit="1" customWidth="1"/>
    <col min="7" max="7" width="12.44140625" bestFit="1" customWidth="1"/>
    <col min="8" max="8" width="10.109375" bestFit="1" customWidth="1"/>
    <col min="9" max="9" width="12.21875" bestFit="1" customWidth="1"/>
    <col min="10" max="10" width="16" bestFit="1" customWidth="1"/>
    <col min="11" max="11" width="12" bestFit="1" customWidth="1"/>
    <col min="12" max="12" width="24.44140625" customWidth="1"/>
    <col min="14" max="14" width="12.33203125" customWidth="1"/>
    <col min="15" max="15" width="8.5546875" bestFit="1" customWidth="1"/>
    <col min="16" max="16" width="12" customWidth="1"/>
    <col min="17" max="17" width="12.6640625" customWidth="1"/>
    <col min="19" max="19" width="11.6640625" bestFit="1" customWidth="1"/>
  </cols>
  <sheetData>
    <row r="1" spans="1:19" s="4" customFormat="1" ht="102.6" customHeight="1" thickBot="1" x14ac:dyDescent="0.3">
      <c r="A1" s="100" t="s">
        <v>11</v>
      </c>
      <c r="B1" s="100"/>
      <c r="C1" s="100"/>
      <c r="D1" s="100"/>
      <c r="E1" s="100"/>
      <c r="F1" s="100"/>
      <c r="G1" s="100"/>
      <c r="H1" s="100"/>
      <c r="I1" s="101" t="e" vm="1">
        <v>#VALUE!</v>
      </c>
      <c r="J1" s="101"/>
      <c r="K1" s="101"/>
      <c r="L1" s="12">
        <v>46143</v>
      </c>
      <c r="M1" s="12"/>
      <c r="N1" s="15" t="s">
        <v>294</v>
      </c>
      <c r="O1" s="98" t="s">
        <v>295</v>
      </c>
      <c r="P1" s="16" t="s">
        <v>296</v>
      </c>
      <c r="Q1" s="17" t="s">
        <v>297</v>
      </c>
      <c r="R1" s="18"/>
      <c r="S1" s="19" t="str">
        <f>IFERROR(IF(SUM(S3:S355)=0, "-", L2+Q2), "-")</f>
        <v>-</v>
      </c>
    </row>
    <row r="2" spans="1:19" ht="39.6" customHeight="1" thickBot="1" x14ac:dyDescent="0.35">
      <c r="A2" s="54" t="s">
        <v>0</v>
      </c>
      <c r="B2" s="9" t="s">
        <v>1</v>
      </c>
      <c r="C2" s="55" t="s">
        <v>980</v>
      </c>
      <c r="D2" s="10" t="s">
        <v>2</v>
      </c>
      <c r="E2" s="56" t="s">
        <v>3</v>
      </c>
      <c r="F2" s="57" t="s">
        <v>1246</v>
      </c>
      <c r="G2" s="58" t="s">
        <v>4</v>
      </c>
      <c r="H2" s="59" t="s">
        <v>976</v>
      </c>
      <c r="I2" s="60" t="s">
        <v>9</v>
      </c>
      <c r="J2" s="61" t="s">
        <v>7</v>
      </c>
      <c r="K2" s="62" t="s">
        <v>10</v>
      </c>
      <c r="L2" s="63">
        <f>SUBTOTAL(9,K3:K355)</f>
        <v>0</v>
      </c>
      <c r="M2" s="12"/>
      <c r="N2" s="64"/>
      <c r="O2" s="99"/>
      <c r="P2" s="21" t="str">
        <f>IF(SUM(P3:P355)=0, "-", SUM(P3:P355))</f>
        <v>-</v>
      </c>
      <c r="Q2" s="21" t="str">
        <f>IF(SUM(Q3:Q355)=0, "-", SUM(Q3:Q355))</f>
        <v>-</v>
      </c>
      <c r="R2" s="65"/>
      <c r="S2" s="66" t="s">
        <v>298</v>
      </c>
    </row>
    <row r="3" spans="1:19" x14ac:dyDescent="0.3">
      <c r="A3" s="11" t="s">
        <v>1226</v>
      </c>
      <c r="B3" s="92" t="s">
        <v>1117</v>
      </c>
      <c r="C3" s="5" t="s">
        <v>1244</v>
      </c>
      <c r="D3" s="5" t="s">
        <v>653</v>
      </c>
      <c r="E3" s="67" t="s">
        <v>1248</v>
      </c>
      <c r="F3" s="68">
        <v>6.8099999999999994E-2</v>
      </c>
      <c r="G3" s="69">
        <v>24</v>
      </c>
      <c r="H3" s="39" t="s">
        <v>978</v>
      </c>
      <c r="I3" s="70">
        <v>15.600000000000001</v>
      </c>
      <c r="J3" s="71"/>
      <c r="K3" s="72">
        <f>J3*I3</f>
        <v>0</v>
      </c>
      <c r="L3" s="73"/>
      <c r="M3" s="73"/>
      <c r="N3" s="24" t="str">
        <f>IFERROR(IF($N$2*F3=0, "-", $N$2*F3), "-")</f>
        <v>-</v>
      </c>
      <c r="O3" s="24" t="str">
        <f>IFERROR(IF(N3&gt;0,I3+N3,"-"),"-")</f>
        <v>-</v>
      </c>
      <c r="P3" s="24" t="str">
        <f>IF(J3&gt;0,J3*F3, "-")</f>
        <v>-</v>
      </c>
      <c r="Q3" s="26" t="str">
        <f>IFERROR(IF($N$2&gt;0, $N$2*P3, "-"), "-")</f>
        <v>-</v>
      </c>
      <c r="R3" s="18"/>
      <c r="S3" s="26" t="str">
        <f>IFERROR(IF(Q3+K3=0, "-", IF(Q3&gt;0, Q3+K3, "-")), "-")</f>
        <v>-</v>
      </c>
    </row>
    <row r="4" spans="1:19" x14ac:dyDescent="0.3">
      <c r="A4" s="6" t="s">
        <v>678</v>
      </c>
      <c r="B4" s="93" t="s">
        <v>37</v>
      </c>
      <c r="C4" s="3" t="s">
        <v>984</v>
      </c>
      <c r="D4" s="3" t="s">
        <v>679</v>
      </c>
      <c r="E4" s="74" t="s">
        <v>351</v>
      </c>
      <c r="F4" s="75">
        <v>6.9716202284895834E-2</v>
      </c>
      <c r="G4" s="76">
        <v>24</v>
      </c>
      <c r="H4" s="39" t="s">
        <v>978</v>
      </c>
      <c r="I4" s="77">
        <v>7.4850000000000003</v>
      </c>
      <c r="J4" s="78"/>
      <c r="K4" s="79">
        <f>J4*I4</f>
        <v>0</v>
      </c>
      <c r="L4" s="73"/>
      <c r="M4" s="73"/>
      <c r="N4" s="24" t="str">
        <f>IFERROR(IF($N$2*F4=0, "-", $N$2*F4), "-")</f>
        <v>-</v>
      </c>
      <c r="O4" s="24" t="str">
        <f>IFERROR(IF(N4&gt;0,I4+N4,"-"),"-")</f>
        <v>-</v>
      </c>
      <c r="P4" s="24" t="str">
        <f>IF(J4&gt;0,J4*F4, "-")</f>
        <v>-</v>
      </c>
      <c r="Q4" s="26" t="str">
        <f>IFERROR(IF($N$2&gt;0, $N$2*P4, "-"), "-")</f>
        <v>-</v>
      </c>
      <c r="R4" s="18"/>
      <c r="S4" s="26" t="str">
        <f>IFERROR(IF(Q4+K4=0, "-", IF(Q4&gt;0, Q4+K4, "-")), "-")</f>
        <v>-</v>
      </c>
    </row>
    <row r="5" spans="1:19" x14ac:dyDescent="0.3">
      <c r="A5" s="6" t="s">
        <v>715</v>
      </c>
      <c r="B5" s="93" t="s">
        <v>64</v>
      </c>
      <c r="C5" s="3" t="s">
        <v>986</v>
      </c>
      <c r="D5" s="3" t="s">
        <v>649</v>
      </c>
      <c r="E5" s="74" t="s">
        <v>382</v>
      </c>
      <c r="F5" s="75">
        <v>0.18160000000000001</v>
      </c>
      <c r="G5" s="76">
        <v>24</v>
      </c>
      <c r="H5" s="39" t="s">
        <v>978</v>
      </c>
      <c r="I5" s="77">
        <v>7.1999999999999993</v>
      </c>
      <c r="J5" s="78"/>
      <c r="K5" s="79">
        <f>J5*I5</f>
        <v>0</v>
      </c>
      <c r="L5" s="73"/>
      <c r="M5" s="73"/>
      <c r="N5" s="24" t="str">
        <f>IFERROR(IF($N$2*F5=0, "-", $N$2*F5), "-")</f>
        <v>-</v>
      </c>
      <c r="O5" s="24" t="str">
        <f>IFERROR(IF(N5&gt;0,I5+N5,"-"),"-")</f>
        <v>-</v>
      </c>
      <c r="P5" s="24" t="str">
        <f>IF(J5&gt;0,J5*F5, "-")</f>
        <v>-</v>
      </c>
      <c r="Q5" s="26" t="str">
        <f>IFERROR(IF($N$2&gt;0, $N$2*P5, "-"), "-")</f>
        <v>-</v>
      </c>
      <c r="R5" s="18"/>
      <c r="S5" s="26" t="str">
        <f>IFERROR(IF(Q5+K5=0, "-", IF(Q5&gt;0, Q5+K5, "-")), "-")</f>
        <v>-</v>
      </c>
    </row>
    <row r="6" spans="1:19" x14ac:dyDescent="0.3">
      <c r="A6" s="6" t="s">
        <v>735</v>
      </c>
      <c r="B6" s="93" t="s">
        <v>80</v>
      </c>
      <c r="C6" s="3" t="s">
        <v>987</v>
      </c>
      <c r="D6" s="3" t="s">
        <v>703</v>
      </c>
      <c r="E6" s="74" t="s">
        <v>400</v>
      </c>
      <c r="F6" s="75">
        <v>0.1070840867096</v>
      </c>
      <c r="G6" s="76">
        <v>24</v>
      </c>
      <c r="H6" s="39" t="s">
        <v>978</v>
      </c>
      <c r="I6" s="77">
        <v>9</v>
      </c>
      <c r="J6" s="78"/>
      <c r="K6" s="79">
        <f>J6*I6</f>
        <v>0</v>
      </c>
      <c r="L6" s="73"/>
      <c r="M6" s="73"/>
      <c r="N6" s="24" t="str">
        <f>IFERROR(IF($N$2*F6=0, "-", $N$2*F6), "-")</f>
        <v>-</v>
      </c>
      <c r="O6" s="24" t="str">
        <f>IFERROR(IF(N6&gt;0,I6+N6,"-"),"-")</f>
        <v>-</v>
      </c>
      <c r="P6" s="24" t="str">
        <f>IF(J6&gt;0,J6*F6, "-")</f>
        <v>-</v>
      </c>
      <c r="Q6" s="26" t="str">
        <f>IFERROR(IF($N$2&gt;0, $N$2*P6, "-"), "-")</f>
        <v>-</v>
      </c>
      <c r="R6" s="18"/>
      <c r="S6" s="26" t="str">
        <f>IFERROR(IF(Q6+K6=0, "-", IF(Q6&gt;0, Q6+K6, "-")), "-")</f>
        <v>-</v>
      </c>
    </row>
    <row r="7" spans="1:19" x14ac:dyDescent="0.3">
      <c r="A7" s="6" t="s">
        <v>745</v>
      </c>
      <c r="B7" s="93" t="s">
        <v>87</v>
      </c>
      <c r="C7" s="3" t="s">
        <v>988</v>
      </c>
      <c r="D7" s="80" t="s">
        <v>730</v>
      </c>
      <c r="E7" s="74" t="s">
        <v>409</v>
      </c>
      <c r="F7" s="75">
        <v>0.16302865765083333</v>
      </c>
      <c r="G7" s="30">
        <v>24</v>
      </c>
      <c r="H7" s="39" t="s">
        <v>978</v>
      </c>
      <c r="I7" s="77">
        <v>30</v>
      </c>
      <c r="J7" s="78"/>
      <c r="K7" s="79">
        <f>J7*I7</f>
        <v>0</v>
      </c>
      <c r="L7" s="73"/>
      <c r="M7" s="73"/>
      <c r="N7" s="24" t="str">
        <f>IFERROR(IF($N$2*F7=0, "-", $N$2*F7), "-")</f>
        <v>-</v>
      </c>
      <c r="O7" s="24" t="str">
        <f>IFERROR(IF(N7&gt;0,I7+N7,"-"),"-")</f>
        <v>-</v>
      </c>
      <c r="P7" s="24" t="str">
        <f>IF(J7&gt;0,J7*F7, "-")</f>
        <v>-</v>
      </c>
      <c r="Q7" s="26" t="str">
        <f>IFERROR(IF($N$2&gt;0, $N$2*P7, "-"), "-")</f>
        <v>-</v>
      </c>
      <c r="R7" s="18"/>
      <c r="S7" s="26" t="str">
        <f>IFERROR(IF(Q7+K7=0, "-", IF(Q7&gt;0, Q7+K7, "-")), "-")</f>
        <v>-</v>
      </c>
    </row>
    <row r="8" spans="1:19" x14ac:dyDescent="0.3">
      <c r="A8" s="6" t="s">
        <v>322</v>
      </c>
      <c r="B8" s="93" t="s">
        <v>97</v>
      </c>
      <c r="C8" s="3" t="s">
        <v>989</v>
      </c>
      <c r="D8" s="3" t="s">
        <v>703</v>
      </c>
      <c r="E8" s="74" t="s">
        <v>421</v>
      </c>
      <c r="F8" s="75">
        <v>6.3924394710458327E-2</v>
      </c>
      <c r="G8" s="76">
        <v>24</v>
      </c>
      <c r="H8" s="39" t="s">
        <v>978</v>
      </c>
      <c r="I8" s="77">
        <v>11.399999999999999</v>
      </c>
      <c r="J8" s="78"/>
      <c r="K8" s="79">
        <f>J8*I8</f>
        <v>0</v>
      </c>
      <c r="L8" s="73"/>
      <c r="M8" s="73"/>
      <c r="N8" s="24" t="str">
        <f>IFERROR(IF($N$2*F8=0, "-", $N$2*F8), "-")</f>
        <v>-</v>
      </c>
      <c r="O8" s="24" t="str">
        <f>IFERROR(IF(N8&gt;0,I8+N8,"-"),"-")</f>
        <v>-</v>
      </c>
      <c r="P8" s="24" t="str">
        <f>IF(J8&gt;0,J8*F8, "-")</f>
        <v>-</v>
      </c>
      <c r="Q8" s="26" t="str">
        <f>IFERROR(IF($N$2&gt;0, $N$2*P8, "-"), "-")</f>
        <v>-</v>
      </c>
      <c r="R8" s="18"/>
      <c r="S8" s="26" t="str">
        <f>IFERROR(IF(Q8+K8=0, "-", IF(Q8&gt;0, Q8+K8, "-")), "-")</f>
        <v>-</v>
      </c>
    </row>
    <row r="9" spans="1:19" x14ac:dyDescent="0.3">
      <c r="A9" s="6" t="s">
        <v>767</v>
      </c>
      <c r="B9" s="93" t="s">
        <v>108</v>
      </c>
      <c r="C9" s="3" t="s">
        <v>990</v>
      </c>
      <c r="D9" s="3" t="s">
        <v>649</v>
      </c>
      <c r="E9" s="74" t="s">
        <v>432</v>
      </c>
      <c r="F9" s="75">
        <v>0.22450762249652917</v>
      </c>
      <c r="G9" s="76">
        <v>24</v>
      </c>
      <c r="H9" s="39" t="s">
        <v>978</v>
      </c>
      <c r="I9" s="77">
        <v>7.8000000000000007</v>
      </c>
      <c r="J9" s="78"/>
      <c r="K9" s="79">
        <f>J9*I9</f>
        <v>0</v>
      </c>
      <c r="L9" s="73"/>
      <c r="M9" s="73"/>
      <c r="N9" s="24" t="str">
        <f>IFERROR(IF($N$2*F9=0, "-", $N$2*F9), "-")</f>
        <v>-</v>
      </c>
      <c r="O9" s="24" t="str">
        <f>IFERROR(IF(N9&gt;0,I9+N9,"-"),"-")</f>
        <v>-</v>
      </c>
      <c r="P9" s="24" t="str">
        <f>IF(J9&gt;0,J9*F9, "-")</f>
        <v>-</v>
      </c>
      <c r="Q9" s="26" t="str">
        <f>IFERROR(IF($N$2&gt;0, $N$2*P9, "-"), "-")</f>
        <v>-</v>
      </c>
      <c r="R9" s="18"/>
      <c r="S9" s="26" t="str">
        <f>IFERROR(IF(Q9+K9=0, "-", IF(Q9&gt;0, Q9+K9, "-")), "-")</f>
        <v>-</v>
      </c>
    </row>
    <row r="10" spans="1:19" x14ac:dyDescent="0.3">
      <c r="A10" s="6" t="s">
        <v>779</v>
      </c>
      <c r="B10" s="93" t="s">
        <v>119</v>
      </c>
      <c r="C10" s="3" t="s">
        <v>993</v>
      </c>
      <c r="D10" s="3" t="s">
        <v>649</v>
      </c>
      <c r="E10" s="74" t="s">
        <v>444</v>
      </c>
      <c r="F10" s="75">
        <v>5.6750000000000002E-2</v>
      </c>
      <c r="G10" s="76">
        <v>24</v>
      </c>
      <c r="H10" s="39" t="s">
        <v>978</v>
      </c>
      <c r="I10" s="77">
        <v>27.674999999999997</v>
      </c>
      <c r="J10" s="78"/>
      <c r="K10" s="79">
        <v>0</v>
      </c>
      <c r="L10" s="73"/>
      <c r="M10" s="73"/>
      <c r="N10" s="24" t="str">
        <f>IFERROR(IF($N$2*F10=0, "-", $N$2*F10), "-")</f>
        <v>-</v>
      </c>
      <c r="O10" s="24" t="str">
        <f>IFERROR(IF(N10&gt;0,I10+N10,"-"),"-")</f>
        <v>-</v>
      </c>
      <c r="P10" s="24" t="str">
        <f>IF(J10&gt;0,J10*F10, "-")</f>
        <v>-</v>
      </c>
      <c r="Q10" s="26" t="str">
        <f>IFERROR(IF($N$2&gt;0, $N$2*P10, "-"), "-")</f>
        <v>-</v>
      </c>
      <c r="R10" s="18"/>
      <c r="S10" s="26" t="str">
        <f>IFERROR(IF(Q10+K10=0, "-", IF(Q10&gt;0, Q10+K10, "-")), "-")</f>
        <v>-</v>
      </c>
    </row>
    <row r="11" spans="1:19" x14ac:dyDescent="0.3">
      <c r="A11" s="6" t="s">
        <v>783</v>
      </c>
      <c r="B11" s="93" t="s">
        <v>121</v>
      </c>
      <c r="C11" s="3" t="s">
        <v>994</v>
      </c>
      <c r="D11" s="3" t="s">
        <v>673</v>
      </c>
      <c r="E11" s="74" t="s">
        <v>446</v>
      </c>
      <c r="F11" s="75">
        <v>5.8347098527666674E-2</v>
      </c>
      <c r="G11" s="76">
        <v>24</v>
      </c>
      <c r="H11" s="39" t="s">
        <v>978</v>
      </c>
      <c r="I11" s="77">
        <v>5.25</v>
      </c>
      <c r="J11" s="78"/>
      <c r="K11" s="79">
        <f>J11*I11</f>
        <v>0</v>
      </c>
      <c r="L11" s="73"/>
      <c r="M11" s="73"/>
      <c r="N11" s="24" t="str">
        <f>IFERROR(IF($N$2*F11=0, "-", $N$2*F11), "-")</f>
        <v>-</v>
      </c>
      <c r="O11" s="24" t="str">
        <f>IFERROR(IF(N11&gt;0,I11+N11,"-"),"-")</f>
        <v>-</v>
      </c>
      <c r="P11" s="24" t="str">
        <f>IF(J11&gt;0,J11*F11, "-")</f>
        <v>-</v>
      </c>
      <c r="Q11" s="26" t="str">
        <f>IFERROR(IF($N$2&gt;0, $N$2*P11, "-"), "-")</f>
        <v>-</v>
      </c>
      <c r="R11" s="18"/>
      <c r="S11" s="26" t="str">
        <f>IFERROR(IF(Q11+K11=0, "-", IF(Q11&gt;0, Q11+K11, "-")), "-")</f>
        <v>-</v>
      </c>
    </row>
    <row r="12" spans="1:19" x14ac:dyDescent="0.3">
      <c r="A12" s="6" t="s">
        <v>787</v>
      </c>
      <c r="B12" s="93" t="s">
        <v>123</v>
      </c>
      <c r="C12" s="3" t="s">
        <v>995</v>
      </c>
      <c r="D12" s="3" t="s">
        <v>673</v>
      </c>
      <c r="E12" s="74" t="s">
        <v>450</v>
      </c>
      <c r="F12" s="75">
        <v>8.9665761707958327E-2</v>
      </c>
      <c r="G12" s="76">
        <v>24</v>
      </c>
      <c r="H12" s="39" t="s">
        <v>978</v>
      </c>
      <c r="I12" s="77">
        <v>8.3999999999999986</v>
      </c>
      <c r="J12" s="78"/>
      <c r="K12" s="79">
        <f>J12*I12</f>
        <v>0</v>
      </c>
      <c r="L12" s="73"/>
      <c r="M12" s="73"/>
      <c r="N12" s="24" t="str">
        <f>IFERROR(IF($N$2*F12=0, "-", $N$2*F12), "-")</f>
        <v>-</v>
      </c>
      <c r="O12" s="24" t="str">
        <f>IFERROR(IF(N12&gt;0,I12+N12,"-"),"-")</f>
        <v>-</v>
      </c>
      <c r="P12" s="24" t="str">
        <f>IF(J12&gt;0,J12*F12, "-")</f>
        <v>-</v>
      </c>
      <c r="Q12" s="26" t="str">
        <f>IFERROR(IF($N$2&gt;0, $N$2*P12, "-"), "-")</f>
        <v>-</v>
      </c>
      <c r="R12" s="18"/>
      <c r="S12" s="26" t="str">
        <f>IFERROR(IF(Q12+K12=0, "-", IF(Q12&gt;0, Q12+K12, "-")), "-")</f>
        <v>-</v>
      </c>
    </row>
    <row r="13" spans="1:19" x14ac:dyDescent="0.3">
      <c r="A13" s="6" t="s">
        <v>795</v>
      </c>
      <c r="B13" s="93" t="s">
        <v>131</v>
      </c>
      <c r="C13" s="3" t="s">
        <v>996</v>
      </c>
      <c r="D13" s="3" t="s">
        <v>645</v>
      </c>
      <c r="E13" s="74" t="s">
        <v>458</v>
      </c>
      <c r="F13" s="75">
        <v>9.1381852841124989E-2</v>
      </c>
      <c r="G13" s="76">
        <v>24</v>
      </c>
      <c r="H13" s="39" t="s">
        <v>978</v>
      </c>
      <c r="I13" s="77">
        <v>6</v>
      </c>
      <c r="J13" s="78"/>
      <c r="K13" s="79">
        <f>J13*I13</f>
        <v>0</v>
      </c>
      <c r="L13" s="73"/>
      <c r="M13" s="73"/>
      <c r="N13" s="24" t="str">
        <f>IFERROR(IF($N$2*F13=0, "-", $N$2*F13), "-")</f>
        <v>-</v>
      </c>
      <c r="O13" s="24" t="str">
        <f>IFERROR(IF(N13&gt;0,I13+N13,"-"),"-")</f>
        <v>-</v>
      </c>
      <c r="P13" s="24" t="str">
        <f>IF(J13&gt;0,J13*F13, "-")</f>
        <v>-</v>
      </c>
      <c r="Q13" s="26" t="str">
        <f>IFERROR(IF($N$2&gt;0, $N$2*P13, "-"), "-")</f>
        <v>-</v>
      </c>
      <c r="R13" s="18"/>
      <c r="S13" s="26" t="str">
        <f>IFERROR(IF(Q13+K13=0, "-", IF(Q13&gt;0, Q13+K13, "-")), "-")</f>
        <v>-</v>
      </c>
    </row>
    <row r="14" spans="1:19" x14ac:dyDescent="0.3">
      <c r="A14" s="6" t="s">
        <v>799</v>
      </c>
      <c r="B14" s="93" t="s">
        <v>134</v>
      </c>
      <c r="C14" s="3" t="s">
        <v>997</v>
      </c>
      <c r="D14" s="3" t="s">
        <v>649</v>
      </c>
      <c r="E14" s="74" t="s">
        <v>462</v>
      </c>
      <c r="F14" s="75">
        <v>0.15890000000000001</v>
      </c>
      <c r="G14" s="76">
        <v>24</v>
      </c>
      <c r="H14" s="39" t="s">
        <v>978</v>
      </c>
      <c r="I14" s="77">
        <v>7.8000000000000007</v>
      </c>
      <c r="J14" s="78"/>
      <c r="K14" s="79">
        <f>J14*I14</f>
        <v>0</v>
      </c>
      <c r="L14" s="73"/>
      <c r="M14" s="73"/>
      <c r="N14" s="24" t="str">
        <f>IFERROR(IF($N$2*F14=0, "-", $N$2*F14), "-")</f>
        <v>-</v>
      </c>
      <c r="O14" s="24" t="str">
        <f>IFERROR(IF(N14&gt;0,I14+N14,"-"),"-")</f>
        <v>-</v>
      </c>
      <c r="P14" s="24" t="str">
        <f>IF(J14&gt;0,J14*F14, "-")</f>
        <v>-</v>
      </c>
      <c r="Q14" s="26" t="str">
        <f>IFERROR(IF($N$2&gt;0, $N$2*P14, "-"), "-")</f>
        <v>-</v>
      </c>
      <c r="R14" s="18"/>
      <c r="S14" s="26" t="str">
        <f>IFERROR(IF(Q14+K14=0, "-", IF(Q14&gt;0, Q14+K14, "-")), "-")</f>
        <v>-</v>
      </c>
    </row>
    <row r="15" spans="1:19" x14ac:dyDescent="0.3">
      <c r="A15" s="6" t="s">
        <v>813</v>
      </c>
      <c r="B15" s="93" t="s">
        <v>1160</v>
      </c>
      <c r="C15" s="3" t="s">
        <v>998</v>
      </c>
      <c r="D15" s="3" t="s">
        <v>681</v>
      </c>
      <c r="E15" s="74" t="s">
        <v>1161</v>
      </c>
      <c r="F15" s="75">
        <v>5.6750000000000002E-2</v>
      </c>
      <c r="G15" s="76">
        <v>24</v>
      </c>
      <c r="H15" s="39" t="s">
        <v>978</v>
      </c>
      <c r="I15" s="77">
        <v>16.799999999999997</v>
      </c>
      <c r="J15" s="78"/>
      <c r="K15" s="79">
        <f>J15*I15</f>
        <v>0</v>
      </c>
      <c r="L15" s="73"/>
      <c r="M15" s="73"/>
      <c r="N15" s="24" t="str">
        <f>IFERROR(IF($N$2*F15=0, "-", $N$2*F15), "-")</f>
        <v>-</v>
      </c>
      <c r="O15" s="24" t="str">
        <f>IFERROR(IF(N15&gt;0,I15+N15,"-"),"-")</f>
        <v>-</v>
      </c>
      <c r="P15" s="24" t="str">
        <f>IF(J15&gt;0,J15*F15, "-")</f>
        <v>-</v>
      </c>
      <c r="Q15" s="26" t="str">
        <f>IFERROR(IF($N$2&gt;0, $N$2*P15, "-"), "-")</f>
        <v>-</v>
      </c>
      <c r="R15" s="18"/>
      <c r="S15" s="26" t="str">
        <f>IFERROR(IF(Q15+K15=0, "-", IF(Q15&gt;0, Q15+K15, "-")), "-")</f>
        <v>-</v>
      </c>
    </row>
    <row r="16" spans="1:19" x14ac:dyDescent="0.3">
      <c r="A16" s="6" t="s">
        <v>833</v>
      </c>
      <c r="B16" s="93" t="s">
        <v>161</v>
      </c>
      <c r="C16" s="3" t="s">
        <v>984</v>
      </c>
      <c r="D16" s="3" t="s">
        <v>670</v>
      </c>
      <c r="E16" s="74" t="s">
        <v>493</v>
      </c>
      <c r="F16" s="75">
        <v>0.10940080973937499</v>
      </c>
      <c r="G16" s="76">
        <v>24</v>
      </c>
      <c r="H16" s="39" t="s">
        <v>978</v>
      </c>
      <c r="I16" s="77">
        <v>8.3999999999999986</v>
      </c>
      <c r="J16" s="78"/>
      <c r="K16" s="79">
        <f>J16*I16</f>
        <v>0</v>
      </c>
      <c r="L16" s="73"/>
      <c r="M16" s="73"/>
      <c r="N16" s="24" t="str">
        <f>IFERROR(IF($N$2*F16=0, "-", $N$2*F16), "-")</f>
        <v>-</v>
      </c>
      <c r="O16" s="24" t="str">
        <f>IFERROR(IF(N16&gt;0,I16+N16,"-"),"-")</f>
        <v>-</v>
      </c>
      <c r="P16" s="24" t="str">
        <f>IF(J16&gt;0,J16*F16, "-")</f>
        <v>-</v>
      </c>
      <c r="Q16" s="26" t="str">
        <f>IFERROR(IF($N$2&gt;0, $N$2*P16, "-"), "-")</f>
        <v>-</v>
      </c>
      <c r="R16" s="18"/>
      <c r="S16" s="26" t="str">
        <f>IFERROR(IF(Q16+K16=0, "-", IF(Q16&gt;0, Q16+K16, "-")), "-")</f>
        <v>-</v>
      </c>
    </row>
    <row r="17" spans="1:19" x14ac:dyDescent="0.3">
      <c r="A17" s="6" t="s">
        <v>843</v>
      </c>
      <c r="B17" s="93" t="s">
        <v>165</v>
      </c>
      <c r="C17" s="3" t="s">
        <v>1000</v>
      </c>
      <c r="D17" s="3" t="s">
        <v>649</v>
      </c>
      <c r="E17" s="74" t="s">
        <v>503</v>
      </c>
      <c r="F17" s="75">
        <v>0.34793747724954166</v>
      </c>
      <c r="G17" s="76">
        <v>12</v>
      </c>
      <c r="H17" s="39" t="s">
        <v>978</v>
      </c>
      <c r="I17" s="77">
        <v>25.5</v>
      </c>
      <c r="J17" s="78"/>
      <c r="K17" s="79">
        <f>J17*I17</f>
        <v>0</v>
      </c>
      <c r="L17" s="73"/>
      <c r="M17" s="73"/>
      <c r="N17" s="24" t="str">
        <f>IFERROR(IF($N$2*F17=0, "-", $N$2*F17), "-")</f>
        <v>-</v>
      </c>
      <c r="O17" s="24" t="str">
        <f>IFERROR(IF(N17&gt;0,I17+N17,"-"),"-")</f>
        <v>-</v>
      </c>
      <c r="P17" s="24" t="str">
        <f>IF(J17&gt;0,J17*F17, "-")</f>
        <v>-</v>
      </c>
      <c r="Q17" s="26" t="str">
        <f>IFERROR(IF($N$2&gt;0, $N$2*P17, "-"), "-")</f>
        <v>-</v>
      </c>
      <c r="R17" s="18"/>
      <c r="S17" s="26" t="str">
        <f>IFERROR(IF(Q17+K17=0, "-", IF(Q17&gt;0, Q17+K17, "-")), "-")</f>
        <v>-</v>
      </c>
    </row>
    <row r="18" spans="1:19" x14ac:dyDescent="0.3">
      <c r="A18" s="6" t="s">
        <v>857</v>
      </c>
      <c r="B18" s="93" t="s">
        <v>181</v>
      </c>
      <c r="C18" s="3" t="s">
        <v>1001</v>
      </c>
      <c r="D18" s="80" t="s">
        <v>730</v>
      </c>
      <c r="E18" s="74" t="s">
        <v>518</v>
      </c>
      <c r="F18" s="75">
        <v>0.17024999999999998</v>
      </c>
      <c r="G18" s="30">
        <v>12</v>
      </c>
      <c r="H18" s="39" t="s">
        <v>978</v>
      </c>
      <c r="I18" s="77">
        <v>30</v>
      </c>
      <c r="J18" s="78"/>
      <c r="K18" s="79">
        <f>J18*I18</f>
        <v>0</v>
      </c>
      <c r="L18" s="73"/>
      <c r="M18" s="73"/>
      <c r="N18" s="24" t="str">
        <f>IFERROR(IF($N$2*F18=0, "-", $N$2*F18), "-")</f>
        <v>-</v>
      </c>
      <c r="O18" s="24" t="str">
        <f>IFERROR(IF(N18&gt;0,I18+N18,"-"),"-")</f>
        <v>-</v>
      </c>
      <c r="P18" s="24" t="str">
        <f>IF(J18&gt;0,J18*F18, "-")</f>
        <v>-</v>
      </c>
      <c r="Q18" s="26" t="str">
        <f>IFERROR(IF($N$2&gt;0, $N$2*P18, "-"), "-")</f>
        <v>-</v>
      </c>
      <c r="R18" s="18"/>
      <c r="S18" s="26" t="str">
        <f>IFERROR(IF(Q18+K18=0, "-", IF(Q18&gt;0, Q18+K18, "-")), "-")</f>
        <v>-</v>
      </c>
    </row>
    <row r="19" spans="1:19" x14ac:dyDescent="0.3">
      <c r="A19" s="6" t="s">
        <v>858</v>
      </c>
      <c r="B19" s="93" t="s">
        <v>182</v>
      </c>
      <c r="C19" s="3" t="s">
        <v>1002</v>
      </c>
      <c r="D19" s="80" t="s">
        <v>719</v>
      </c>
      <c r="E19" s="74" t="s">
        <v>519</v>
      </c>
      <c r="F19" s="75">
        <v>5.0045507670972926E-2</v>
      </c>
      <c r="G19" s="30">
        <v>24</v>
      </c>
      <c r="H19" s="39" t="s">
        <v>978</v>
      </c>
      <c r="I19" s="77">
        <v>14.399999999999999</v>
      </c>
      <c r="J19" s="78"/>
      <c r="K19" s="79">
        <f>J19*I19</f>
        <v>0</v>
      </c>
      <c r="L19" s="73"/>
      <c r="M19" s="73"/>
      <c r="N19" s="24" t="str">
        <f>IFERROR(IF($N$2*F19=0, "-", $N$2*F19), "-")</f>
        <v>-</v>
      </c>
      <c r="O19" s="24" t="str">
        <f>IFERROR(IF(N19&gt;0,I19+N19,"-"),"-")</f>
        <v>-</v>
      </c>
      <c r="P19" s="24" t="str">
        <f>IF(J19&gt;0,J19*F19, "-")</f>
        <v>-</v>
      </c>
      <c r="Q19" s="26" t="str">
        <f>IFERROR(IF($N$2&gt;0, $N$2*P19, "-"), "-")</f>
        <v>-</v>
      </c>
      <c r="R19" s="18"/>
      <c r="S19" s="26" t="str">
        <f>IFERROR(IF(Q19+K19=0, "-", IF(Q19&gt;0, Q19+K19, "-")), "-")</f>
        <v>-</v>
      </c>
    </row>
    <row r="20" spans="1:19" x14ac:dyDescent="0.3">
      <c r="A20" s="6" t="s">
        <v>904</v>
      </c>
      <c r="B20" s="93" t="s">
        <v>221</v>
      </c>
      <c r="C20" s="3" t="s">
        <v>1004</v>
      </c>
      <c r="D20" s="3" t="s">
        <v>670</v>
      </c>
      <c r="E20" s="74" t="s">
        <v>568</v>
      </c>
      <c r="F20" s="75">
        <v>0.1977795030974584</v>
      </c>
      <c r="G20" s="76">
        <v>24</v>
      </c>
      <c r="H20" s="39" t="s">
        <v>978</v>
      </c>
      <c r="I20" s="77">
        <v>19.5</v>
      </c>
      <c r="J20" s="78"/>
      <c r="K20" s="79">
        <f>J20*I20</f>
        <v>0</v>
      </c>
      <c r="L20" s="73"/>
      <c r="M20" s="73"/>
      <c r="N20" s="24" t="str">
        <f>IFERROR(IF($N$2*F20=0, "-", $N$2*F20), "-")</f>
        <v>-</v>
      </c>
      <c r="O20" s="24" t="str">
        <f>IFERROR(IF(N20&gt;0,I20+N20,"-"),"-")</f>
        <v>-</v>
      </c>
      <c r="P20" s="24" t="str">
        <f>IF(J20&gt;0,J20*F20, "-")</f>
        <v>-</v>
      </c>
      <c r="Q20" s="26" t="str">
        <f>IFERROR(IF($N$2&gt;0, $N$2*P20, "-"), "-")</f>
        <v>-</v>
      </c>
      <c r="R20" s="18"/>
      <c r="S20" s="26" t="str">
        <f>IFERROR(IF(Q20+K20=0, "-", IF(Q20&gt;0, Q20+K20, "-")), "-")</f>
        <v>-</v>
      </c>
    </row>
    <row r="21" spans="1:19" x14ac:dyDescent="0.3">
      <c r="A21" s="6" t="s">
        <v>905</v>
      </c>
      <c r="B21" s="93" t="s">
        <v>222</v>
      </c>
      <c r="C21" s="3" t="s">
        <v>1005</v>
      </c>
      <c r="D21" s="3" t="s">
        <v>670</v>
      </c>
      <c r="E21" s="74" t="s">
        <v>569</v>
      </c>
      <c r="F21" s="75">
        <v>0.19091513856479167</v>
      </c>
      <c r="G21" s="76">
        <v>24</v>
      </c>
      <c r="H21" s="39" t="s">
        <v>978</v>
      </c>
      <c r="I21" s="77">
        <v>20.100000000000001</v>
      </c>
      <c r="J21" s="78"/>
      <c r="K21" s="79">
        <f>J21*I21</f>
        <v>0</v>
      </c>
      <c r="L21" s="73"/>
      <c r="M21" s="73"/>
      <c r="N21" s="24" t="str">
        <f>IFERROR(IF($N$2*F21=0, "-", $N$2*F21), "-")</f>
        <v>-</v>
      </c>
      <c r="O21" s="24" t="str">
        <f>IFERROR(IF(N21&gt;0,I21+N21,"-"),"-")</f>
        <v>-</v>
      </c>
      <c r="P21" s="24" t="str">
        <f>IF(J21&gt;0,J21*F21, "-")</f>
        <v>-</v>
      </c>
      <c r="Q21" s="26" t="str">
        <f>IFERROR(IF($N$2&gt;0, $N$2*P21, "-"), "-")</f>
        <v>-</v>
      </c>
      <c r="R21" s="18"/>
      <c r="S21" s="26" t="str">
        <f>IFERROR(IF(Q21+K21=0, "-", IF(Q21&gt;0, Q21+K21, "-")), "-")</f>
        <v>-</v>
      </c>
    </row>
    <row r="22" spans="1:19" x14ac:dyDescent="0.3">
      <c r="A22" s="6" t="s">
        <v>314</v>
      </c>
      <c r="B22" s="93" t="s">
        <v>222</v>
      </c>
      <c r="C22" s="3" t="s">
        <v>1006</v>
      </c>
      <c r="D22" s="3" t="s">
        <v>670</v>
      </c>
      <c r="E22" s="74" t="s">
        <v>570</v>
      </c>
      <c r="F22" s="75">
        <v>0.19627792335593749</v>
      </c>
      <c r="G22" s="76">
        <v>24</v>
      </c>
      <c r="H22" s="39" t="s">
        <v>978</v>
      </c>
      <c r="I22" s="77">
        <v>18.899999999999999</v>
      </c>
      <c r="J22" s="78"/>
      <c r="K22" s="79">
        <f>J22*I22</f>
        <v>0</v>
      </c>
      <c r="L22" s="73"/>
      <c r="M22" s="73"/>
      <c r="N22" s="24" t="str">
        <f>IFERROR(IF($N$2*F22=0, "-", $N$2*F22), "-")</f>
        <v>-</v>
      </c>
      <c r="O22" s="24" t="str">
        <f>IFERROR(IF(N22&gt;0,I22+N22,"-"),"-")</f>
        <v>-</v>
      </c>
      <c r="P22" s="24" t="str">
        <f>IF(J22&gt;0,J22*F22, "-")</f>
        <v>-</v>
      </c>
      <c r="Q22" s="26" t="str">
        <f>IFERROR(IF($N$2&gt;0, $N$2*P22, "-"), "-")</f>
        <v>-</v>
      </c>
      <c r="R22" s="18"/>
      <c r="S22" s="26" t="str">
        <f>IFERROR(IF(Q22+K22=0, "-", IF(Q22&gt;0, Q22+K22, "-")), "-")</f>
        <v>-</v>
      </c>
    </row>
    <row r="23" spans="1:19" x14ac:dyDescent="0.3">
      <c r="A23" s="6" t="s">
        <v>906</v>
      </c>
      <c r="B23" s="93" t="s">
        <v>222</v>
      </c>
      <c r="C23" s="3" t="s">
        <v>1004</v>
      </c>
      <c r="D23" s="3" t="s">
        <v>670</v>
      </c>
      <c r="E23" s="74" t="s">
        <v>571</v>
      </c>
      <c r="F23" s="75">
        <v>0.12870683498750002</v>
      </c>
      <c r="G23" s="76">
        <v>24</v>
      </c>
      <c r="H23" s="39" t="s">
        <v>978</v>
      </c>
      <c r="I23" s="77">
        <v>10.125</v>
      </c>
      <c r="J23" s="78"/>
      <c r="K23" s="79">
        <f>J23*I23</f>
        <v>0</v>
      </c>
      <c r="L23" s="73"/>
      <c r="M23" s="73"/>
      <c r="N23" s="24" t="str">
        <f>IFERROR(IF($N$2*F23=0, "-", $N$2*F23), "-")</f>
        <v>-</v>
      </c>
      <c r="O23" s="24" t="str">
        <f>IFERROR(IF(N23&gt;0,I23+N23,"-"),"-")</f>
        <v>-</v>
      </c>
      <c r="P23" s="24" t="str">
        <f>IF(J23&gt;0,J23*F23, "-")</f>
        <v>-</v>
      </c>
      <c r="Q23" s="26" t="str">
        <f>IFERROR(IF($N$2&gt;0, $N$2*P23, "-"), "-")</f>
        <v>-</v>
      </c>
      <c r="R23" s="18"/>
      <c r="S23" s="26" t="str">
        <f>IFERROR(IF(Q23+K23=0, "-", IF(Q23&gt;0, Q23+K23, "-")), "-")</f>
        <v>-</v>
      </c>
    </row>
    <row r="24" spans="1:19" x14ac:dyDescent="0.3">
      <c r="A24" s="6" t="s">
        <v>907</v>
      </c>
      <c r="B24" s="93" t="s">
        <v>222</v>
      </c>
      <c r="C24" s="3" t="s">
        <v>1002</v>
      </c>
      <c r="D24" s="3" t="s">
        <v>670</v>
      </c>
      <c r="E24" s="74" t="s">
        <v>572</v>
      </c>
      <c r="F24" s="75">
        <v>0.14093398431131252</v>
      </c>
      <c r="G24" s="76">
        <v>24</v>
      </c>
      <c r="H24" s="39" t="s">
        <v>978</v>
      </c>
      <c r="I24" s="77">
        <v>11.399999999999999</v>
      </c>
      <c r="J24" s="78"/>
      <c r="K24" s="79">
        <f>J24*I24</f>
        <v>0</v>
      </c>
      <c r="L24" s="73"/>
      <c r="M24" s="73"/>
      <c r="N24" s="24" t="str">
        <f>IFERROR(IF($N$2*F24=0, "-", $N$2*F24), "-")</f>
        <v>-</v>
      </c>
      <c r="O24" s="24" t="str">
        <f>IFERROR(IF(N24&gt;0,I24+N24,"-"),"-")</f>
        <v>-</v>
      </c>
      <c r="P24" s="24" t="str">
        <f>IF(J24&gt;0,J24*F24, "-")</f>
        <v>-</v>
      </c>
      <c r="Q24" s="26" t="str">
        <f>IFERROR(IF($N$2&gt;0, $N$2*P24, "-"), "-")</f>
        <v>-</v>
      </c>
      <c r="R24" s="18"/>
      <c r="S24" s="26" t="str">
        <f>IFERROR(IF(Q24+K24=0, "-", IF(Q24&gt;0, Q24+K24, "-")), "-")</f>
        <v>-</v>
      </c>
    </row>
    <row r="25" spans="1:19" x14ac:dyDescent="0.3">
      <c r="A25" s="6" t="s">
        <v>908</v>
      </c>
      <c r="B25" s="93" t="s">
        <v>223</v>
      </c>
      <c r="C25" s="3" t="s">
        <v>1041</v>
      </c>
      <c r="D25" s="3" t="s">
        <v>811</v>
      </c>
      <c r="E25" s="74" t="s">
        <v>573</v>
      </c>
      <c r="F25" s="75">
        <v>0.19735048031416672</v>
      </c>
      <c r="G25" s="76">
        <v>12</v>
      </c>
      <c r="H25" s="39" t="s">
        <v>978</v>
      </c>
      <c r="I25" s="77">
        <v>16.799999999999997</v>
      </c>
      <c r="J25" s="78"/>
      <c r="K25" s="79">
        <f>J25*I25</f>
        <v>0</v>
      </c>
      <c r="L25" s="73"/>
      <c r="M25" s="73"/>
      <c r="N25" s="24" t="str">
        <f>IFERROR(IF($N$2*F25=0, "-", $N$2*F25), "-")</f>
        <v>-</v>
      </c>
      <c r="O25" s="24" t="str">
        <f>IFERROR(IF(N25&gt;0,I25+N25,"-"),"-")</f>
        <v>-</v>
      </c>
      <c r="P25" s="24" t="str">
        <f>IF(J25&gt;0,J25*F25, "-")</f>
        <v>-</v>
      </c>
      <c r="Q25" s="26" t="str">
        <f>IFERROR(IF($N$2&gt;0, $N$2*P25, "-"), "-")</f>
        <v>-</v>
      </c>
      <c r="R25" s="18"/>
      <c r="S25" s="26" t="str">
        <f>IFERROR(IF(Q25+K25=0, "-", IF(Q25&gt;0, Q25+K25, "-")), "-")</f>
        <v>-</v>
      </c>
    </row>
    <row r="26" spans="1:19" x14ac:dyDescent="0.3">
      <c r="A26" s="6" t="s">
        <v>964</v>
      </c>
      <c r="B26" s="93" t="s">
        <v>276</v>
      </c>
      <c r="C26" s="3" t="s">
        <v>988</v>
      </c>
      <c r="D26" s="80" t="s">
        <v>649</v>
      </c>
      <c r="E26" s="74" t="s">
        <v>631</v>
      </c>
      <c r="F26" s="75">
        <v>0.14755000000000001</v>
      </c>
      <c r="G26" s="30">
        <v>24</v>
      </c>
      <c r="H26" s="39" t="s">
        <v>978</v>
      </c>
      <c r="I26" s="77">
        <v>14.399999999999999</v>
      </c>
      <c r="J26" s="78"/>
      <c r="K26" s="79">
        <f>J26*I26</f>
        <v>0</v>
      </c>
      <c r="L26" s="1"/>
      <c r="M26" s="1"/>
      <c r="N26" s="24" t="str">
        <f>IFERROR(IF($N$2*F26=0, "-", $N$2*F26), "-")</f>
        <v>-</v>
      </c>
      <c r="O26" s="24" t="str">
        <f>IFERROR(IF(N26&gt;0,I26+N26,"-"),"-")</f>
        <v>-</v>
      </c>
      <c r="P26" s="24" t="str">
        <f>IF(J26&gt;0,J26*F26, "-")</f>
        <v>-</v>
      </c>
      <c r="Q26" s="26" t="str">
        <f>IFERROR(IF($N$2&gt;0, $N$2*P26, "-"), "-")</f>
        <v>-</v>
      </c>
      <c r="R26" s="18"/>
      <c r="S26" s="26" t="str">
        <f>IFERROR(IF(Q26+K26=0, "-", IF(Q26&gt;0, Q26+K26, "-")), "-")</f>
        <v>-</v>
      </c>
    </row>
    <row r="27" spans="1:19" x14ac:dyDescent="0.3">
      <c r="A27" s="6" t="s">
        <v>970</v>
      </c>
      <c r="B27" s="93" t="s">
        <v>292</v>
      </c>
      <c r="C27" s="3" t="s">
        <v>1008</v>
      </c>
      <c r="D27" s="80" t="s">
        <v>643</v>
      </c>
      <c r="E27" s="74" t="s">
        <v>636</v>
      </c>
      <c r="F27" s="75">
        <v>0.44265000000000004</v>
      </c>
      <c r="G27" s="30">
        <v>12</v>
      </c>
      <c r="H27" s="39" t="s">
        <v>978</v>
      </c>
      <c r="I27" s="77">
        <v>14.399999999999999</v>
      </c>
      <c r="J27" s="78"/>
      <c r="K27" s="79">
        <f>J27*I27</f>
        <v>0</v>
      </c>
      <c r="L27" s="1"/>
      <c r="M27" s="1"/>
      <c r="N27" s="24" t="str">
        <f>IFERROR(IF($N$2*F27=0, "-", $N$2*F27), "-")</f>
        <v>-</v>
      </c>
      <c r="O27" s="24" t="str">
        <f>IFERROR(IF(N27&gt;0,I27+N27,"-"),"-")</f>
        <v>-</v>
      </c>
      <c r="P27" s="24" t="str">
        <f>IF(J27&gt;0,J27*F27, "-")</f>
        <v>-</v>
      </c>
      <c r="Q27" s="26" t="str">
        <f>IFERROR(IF($N$2&gt;0, $N$2*P27, "-"), "-")</f>
        <v>-</v>
      </c>
      <c r="R27" s="18"/>
      <c r="S27" s="26" t="str">
        <f>IFERROR(IF(Q27+K27=0, "-", IF(Q27&gt;0, Q27+K27, "-")), "-")</f>
        <v>-</v>
      </c>
    </row>
    <row r="28" spans="1:19" x14ac:dyDescent="0.3">
      <c r="A28" s="6" t="s">
        <v>646</v>
      </c>
      <c r="B28" s="93" t="s">
        <v>19</v>
      </c>
      <c r="C28" s="3" t="s">
        <v>981</v>
      </c>
      <c r="D28" s="3" t="s">
        <v>647</v>
      </c>
      <c r="E28" s="74" t="s">
        <v>333</v>
      </c>
      <c r="F28" s="75">
        <v>6.5211463060333333E-2</v>
      </c>
      <c r="G28" s="76">
        <v>24</v>
      </c>
      <c r="H28" s="39" t="s">
        <v>979</v>
      </c>
      <c r="I28" s="77">
        <v>5.4</v>
      </c>
      <c r="J28" s="78"/>
      <c r="K28" s="79">
        <f>J28*I28</f>
        <v>0</v>
      </c>
      <c r="L28" s="73"/>
      <c r="M28" s="73"/>
      <c r="N28" s="24" t="str">
        <f>IFERROR(IF($N$2*F28=0, "-", $N$2*F28), "-")</f>
        <v>-</v>
      </c>
      <c r="O28" s="24" t="str">
        <f>IFERROR(IF(N28&gt;0,I28+N28,"-"),"-")</f>
        <v>-</v>
      </c>
      <c r="P28" s="24" t="str">
        <f>IF(J28&gt;0,J28*F28, "-")</f>
        <v>-</v>
      </c>
      <c r="Q28" s="26" t="str">
        <f>IFERROR(IF($N$2&gt;0, $N$2*P28, "-"), "-")</f>
        <v>-</v>
      </c>
      <c r="R28" s="18"/>
      <c r="S28" s="26" t="str">
        <f>IFERROR(IF(Q28+K28=0, "-", IF(Q28&gt;0, Q28+K28, "-")), "-")</f>
        <v>-</v>
      </c>
    </row>
    <row r="29" spans="1:19" x14ac:dyDescent="0.3">
      <c r="A29" s="6" t="s">
        <v>656</v>
      </c>
      <c r="B29" s="93" t="s">
        <v>25</v>
      </c>
      <c r="C29" s="3" t="s">
        <v>982</v>
      </c>
      <c r="D29" s="3" t="s">
        <v>657</v>
      </c>
      <c r="E29" s="74" t="s">
        <v>339</v>
      </c>
      <c r="F29" s="75">
        <v>6.3924394710458327E-2</v>
      </c>
      <c r="G29" s="76">
        <v>24</v>
      </c>
      <c r="H29" s="39" t="s">
        <v>979</v>
      </c>
      <c r="I29" s="77">
        <v>5.6999999999999993</v>
      </c>
      <c r="J29" s="78"/>
      <c r="K29" s="79">
        <f>J29*I29</f>
        <v>0</v>
      </c>
      <c r="L29" s="73"/>
      <c r="M29" s="73"/>
      <c r="N29" s="24" t="str">
        <f>IFERROR(IF($N$2*F29=0, "-", $N$2*F29), "-")</f>
        <v>-</v>
      </c>
      <c r="O29" s="24" t="str">
        <f>IFERROR(IF(N29&gt;0,I29+N29,"-"),"-")</f>
        <v>-</v>
      </c>
      <c r="P29" s="24" t="str">
        <f>IF(J29&gt;0,J29*F29, "-")</f>
        <v>-</v>
      </c>
      <c r="Q29" s="26" t="str">
        <f>IFERROR(IF($N$2&gt;0, $N$2*P29, "-"), "-")</f>
        <v>-</v>
      </c>
      <c r="R29" s="18"/>
      <c r="S29" s="26" t="str">
        <f>IFERROR(IF(Q29+K29=0, "-", IF(Q29&gt;0, Q29+K29, "-")), "-")</f>
        <v>-</v>
      </c>
    </row>
    <row r="30" spans="1:19" x14ac:dyDescent="0.3">
      <c r="A30" s="6" t="s">
        <v>658</v>
      </c>
      <c r="B30" s="93" t="s">
        <v>26</v>
      </c>
      <c r="C30" s="3" t="s">
        <v>983</v>
      </c>
      <c r="D30" s="3" t="s">
        <v>659</v>
      </c>
      <c r="E30" s="74" t="s">
        <v>340</v>
      </c>
      <c r="F30" s="75">
        <v>0.10080533827612646</v>
      </c>
      <c r="G30" s="76">
        <v>24</v>
      </c>
      <c r="H30" s="39" t="s">
        <v>979</v>
      </c>
      <c r="I30" s="77">
        <v>6</v>
      </c>
      <c r="J30" s="78"/>
      <c r="K30" s="79">
        <f>J30*I30</f>
        <v>0</v>
      </c>
      <c r="L30" s="73"/>
      <c r="M30" s="73"/>
      <c r="N30" s="24" t="str">
        <f>IFERROR(IF($N$2*F30=0, "-", $N$2*F30), "-")</f>
        <v>-</v>
      </c>
      <c r="O30" s="24" t="str">
        <f>IFERROR(IF(N30&gt;0,I30+N30,"-"),"-")</f>
        <v>-</v>
      </c>
      <c r="P30" s="24" t="str">
        <f>IF(J30&gt;0,J30*F30, "-")</f>
        <v>-</v>
      </c>
      <c r="Q30" s="26" t="str">
        <f>IFERROR(IF($N$2&gt;0, $N$2*P30, "-"), "-")</f>
        <v>-</v>
      </c>
      <c r="R30" s="18"/>
      <c r="S30" s="26" t="str">
        <f>IFERROR(IF(Q30+K30=0, "-", IF(Q30&gt;0, Q30+K30, "-")), "-")</f>
        <v>-</v>
      </c>
    </row>
    <row r="31" spans="1:19" x14ac:dyDescent="0.3">
      <c r="A31" s="6" t="s">
        <v>682</v>
      </c>
      <c r="B31" s="93" t="s">
        <v>39</v>
      </c>
      <c r="C31" s="3" t="s">
        <v>985</v>
      </c>
      <c r="D31" s="3" t="s">
        <v>652</v>
      </c>
      <c r="E31" s="74" t="s">
        <v>353</v>
      </c>
      <c r="F31" s="75">
        <v>0.14157751848625</v>
      </c>
      <c r="G31" s="76">
        <v>24</v>
      </c>
      <c r="H31" s="39" t="s">
        <v>979</v>
      </c>
      <c r="I31" s="77">
        <v>12.375</v>
      </c>
      <c r="J31" s="78"/>
      <c r="K31" s="79">
        <f>J31*I31</f>
        <v>0</v>
      </c>
      <c r="L31" s="73"/>
      <c r="M31" s="73"/>
      <c r="N31" s="24" t="str">
        <f>IFERROR(IF($N$2*F31=0, "-", $N$2*F31), "-")</f>
        <v>-</v>
      </c>
      <c r="O31" s="24" t="str">
        <f>IFERROR(IF(N31&gt;0,I31+N31,"-"),"-")</f>
        <v>-</v>
      </c>
      <c r="P31" s="24" t="str">
        <f>IF(J31&gt;0,J31*F31, "-")</f>
        <v>-</v>
      </c>
      <c r="Q31" s="26" t="str">
        <f>IFERROR(IF($N$2&gt;0, $N$2*P31, "-"), "-")</f>
        <v>-</v>
      </c>
      <c r="R31" s="18"/>
      <c r="S31" s="26" t="str">
        <f>IFERROR(IF(Q31+K31=0, "-", IF(Q31&gt;0, Q31+K31, "-")), "-")</f>
        <v>-</v>
      </c>
    </row>
    <row r="32" spans="1:19" x14ac:dyDescent="0.3">
      <c r="A32" s="6" t="s">
        <v>772</v>
      </c>
      <c r="B32" s="93" t="s">
        <v>113</v>
      </c>
      <c r="C32" s="3" t="s">
        <v>991</v>
      </c>
      <c r="D32" s="3" t="s">
        <v>719</v>
      </c>
      <c r="E32" s="74" t="s">
        <v>437</v>
      </c>
      <c r="F32" s="75">
        <v>0.11326201478900001</v>
      </c>
      <c r="G32" s="76">
        <v>24</v>
      </c>
      <c r="H32" s="39" t="s">
        <v>979</v>
      </c>
      <c r="I32" s="77">
        <v>6.6000000000000005</v>
      </c>
      <c r="J32" s="78"/>
      <c r="K32" s="79">
        <f>J32*I32</f>
        <v>0</v>
      </c>
      <c r="L32" s="73"/>
      <c r="M32" s="73"/>
      <c r="N32" s="24" t="str">
        <f>IFERROR(IF($N$2*F32=0, "-", $N$2*F32), "-")</f>
        <v>-</v>
      </c>
      <c r="O32" s="24" t="str">
        <f>IFERROR(IF(N32&gt;0,I32+N32,"-"),"-")</f>
        <v>-</v>
      </c>
      <c r="P32" s="24" t="str">
        <f>IF(J32&gt;0,J32*F32, "-")</f>
        <v>-</v>
      </c>
      <c r="Q32" s="26" t="str">
        <f>IFERROR(IF($N$2&gt;0, $N$2*P32, "-"), "-")</f>
        <v>-</v>
      </c>
      <c r="R32" s="18"/>
      <c r="S32" s="26" t="str">
        <f>IFERROR(IF(Q32+K32=0, "-", IF(Q32&gt;0, Q32+K32, "-")), "-")</f>
        <v>-</v>
      </c>
    </row>
    <row r="33" spans="1:19" x14ac:dyDescent="0.3">
      <c r="A33" s="6" t="s">
        <v>1202</v>
      </c>
      <c r="B33" s="93" t="s">
        <v>1203</v>
      </c>
      <c r="C33" s="3" t="s">
        <v>1204</v>
      </c>
      <c r="D33" s="3" t="s">
        <v>700</v>
      </c>
      <c r="E33" s="74" t="s">
        <v>1205</v>
      </c>
      <c r="F33" s="75">
        <v>5.2126268169937505E-2</v>
      </c>
      <c r="G33" s="76">
        <v>24</v>
      </c>
      <c r="H33" s="39" t="s">
        <v>979</v>
      </c>
      <c r="I33" s="77">
        <v>9.6000000000000014</v>
      </c>
      <c r="J33" s="78"/>
      <c r="K33" s="79">
        <v>0</v>
      </c>
      <c r="L33" s="73"/>
      <c r="M33" s="73"/>
      <c r="N33" s="24" t="str">
        <f>IFERROR(IF($N$2*F33=0, "-", $N$2*F33), "-")</f>
        <v>-</v>
      </c>
      <c r="O33" s="24" t="str">
        <f>IFERROR(IF(N33&gt;0,I33+N33,"-"),"-")</f>
        <v>-</v>
      </c>
      <c r="P33" s="24" t="str">
        <f>IF(J33&gt;0,J33*F33, "-")</f>
        <v>-</v>
      </c>
      <c r="Q33" s="26" t="str">
        <f>IFERROR(IF($N$2&gt;0, $N$2*P33, "-"), "-")</f>
        <v>-</v>
      </c>
      <c r="R33" s="18"/>
      <c r="S33" s="26" t="str">
        <f>IFERROR(IF(Q33+K33=0, "-", IF(Q33&gt;0, Q33+K33, "-")), "-")</f>
        <v>-</v>
      </c>
    </row>
    <row r="34" spans="1:19" x14ac:dyDescent="0.3">
      <c r="A34" s="6" t="s">
        <v>648</v>
      </c>
      <c r="B34" s="93" t="s">
        <v>20</v>
      </c>
      <c r="C34" s="3" t="s">
        <v>1008</v>
      </c>
      <c r="D34" s="3" t="s">
        <v>649</v>
      </c>
      <c r="E34" s="74" t="s">
        <v>334</v>
      </c>
      <c r="F34" s="75">
        <v>0.42988082885825002</v>
      </c>
      <c r="G34" s="76">
        <v>12</v>
      </c>
      <c r="H34" s="39" t="s">
        <v>979</v>
      </c>
      <c r="I34" s="77">
        <v>12</v>
      </c>
      <c r="J34" s="78"/>
      <c r="K34" s="79">
        <f>J34*I34</f>
        <v>0</v>
      </c>
      <c r="L34" s="73"/>
      <c r="M34" s="73"/>
      <c r="N34" s="24" t="str">
        <f>IFERROR(IF($N$2*F34=0, "-", $N$2*F34), "-")</f>
        <v>-</v>
      </c>
      <c r="O34" s="24" t="str">
        <f>IFERROR(IF(N34&gt;0,I34+N34,"-"),"-")</f>
        <v>-</v>
      </c>
      <c r="P34" s="24" t="str">
        <f>IF(J34&gt;0,J34*F34, "-")</f>
        <v>-</v>
      </c>
      <c r="Q34" s="26" t="str">
        <f>IFERROR(IF($N$2&gt;0, $N$2*P34, "-"), "-")</f>
        <v>-</v>
      </c>
      <c r="R34" s="18"/>
      <c r="S34" s="26" t="str">
        <f>IFERROR(IF(Q34+K34=0, "-", IF(Q34&gt;0, Q34+K34, "-")), "-")</f>
        <v>-</v>
      </c>
    </row>
    <row r="35" spans="1:19" x14ac:dyDescent="0.3">
      <c r="A35" s="6" t="s">
        <v>1118</v>
      </c>
      <c r="B35" s="93" t="s">
        <v>1119</v>
      </c>
      <c r="C35" s="3" t="s">
        <v>1120</v>
      </c>
      <c r="D35" s="3" t="s">
        <v>654</v>
      </c>
      <c r="E35" s="74" t="s">
        <v>1121</v>
      </c>
      <c r="F35" s="75">
        <v>4.2902278329166668E-2</v>
      </c>
      <c r="G35" s="76">
        <v>24</v>
      </c>
      <c r="H35" s="39" t="s">
        <v>979</v>
      </c>
      <c r="I35" s="77">
        <v>4.9950000000000001</v>
      </c>
      <c r="J35" s="78"/>
      <c r="K35" s="79">
        <f>J35*I35</f>
        <v>0</v>
      </c>
      <c r="L35" s="73"/>
      <c r="M35" s="73"/>
      <c r="N35" s="24" t="str">
        <f>IFERROR(IF($N$2*F35=0, "-", $N$2*F35), "-")</f>
        <v>-</v>
      </c>
      <c r="O35" s="24" t="str">
        <f>IFERROR(IF(N35&gt;0,I35+N35,"-"),"-")</f>
        <v>-</v>
      </c>
      <c r="P35" s="24" t="str">
        <f>IF(J35&gt;0,J35*F35, "-")</f>
        <v>-</v>
      </c>
      <c r="Q35" s="26" t="str">
        <f>IFERROR(IF($N$2&gt;0, $N$2*P35, "-"), "-")</f>
        <v>-</v>
      </c>
      <c r="R35" s="18"/>
      <c r="S35" s="26" t="str">
        <f>IFERROR(IF(Q35+K35=0, "-", IF(Q35&gt;0, Q35+K35, "-")), "-")</f>
        <v>-</v>
      </c>
    </row>
    <row r="36" spans="1:19" x14ac:dyDescent="0.3">
      <c r="A36" s="6" t="s">
        <v>1122</v>
      </c>
      <c r="B36" s="93" t="s">
        <v>1119</v>
      </c>
      <c r="C36" s="3" t="s">
        <v>1123</v>
      </c>
      <c r="D36" s="3" t="s">
        <v>654</v>
      </c>
      <c r="E36" s="74" t="s">
        <v>1124</v>
      </c>
      <c r="F36" s="75">
        <v>4.2902278329166668E-2</v>
      </c>
      <c r="G36" s="76">
        <v>24</v>
      </c>
      <c r="H36" s="39" t="s">
        <v>979</v>
      </c>
      <c r="I36" s="77">
        <v>6.6000000000000005</v>
      </c>
      <c r="J36" s="78"/>
      <c r="K36" s="79">
        <f>J36*I36</f>
        <v>0</v>
      </c>
      <c r="L36" s="73"/>
      <c r="M36" s="73"/>
      <c r="N36" s="24" t="str">
        <f>IFERROR(IF($N$2*F36=0, "-", $N$2*F36), "-")</f>
        <v>-</v>
      </c>
      <c r="O36" s="24" t="str">
        <f>IFERROR(IF(N36&gt;0,I36+N36,"-"),"-")</f>
        <v>-</v>
      </c>
      <c r="P36" s="24" t="str">
        <f>IF(J36&gt;0,J36*F36, "-")</f>
        <v>-</v>
      </c>
      <c r="Q36" s="26" t="str">
        <f>IFERROR(IF($N$2&gt;0, $N$2*P36, "-"), "-")</f>
        <v>-</v>
      </c>
      <c r="R36" s="18"/>
      <c r="S36" s="26" t="str">
        <f>IFERROR(IF(Q36+K36=0, "-", IF(Q36&gt;0, Q36+K36, "-")), "-")</f>
        <v>-</v>
      </c>
    </row>
    <row r="37" spans="1:19" x14ac:dyDescent="0.3">
      <c r="A37" s="6" t="s">
        <v>1125</v>
      </c>
      <c r="B37" s="93" t="s">
        <v>1119</v>
      </c>
      <c r="C37" s="3" t="s">
        <v>1018</v>
      </c>
      <c r="D37" s="3" t="s">
        <v>654</v>
      </c>
      <c r="E37" s="74" t="s">
        <v>1126</v>
      </c>
      <c r="F37" s="75">
        <v>4.273066921585001E-2</v>
      </c>
      <c r="G37" s="76">
        <v>24</v>
      </c>
      <c r="H37" s="39" t="s">
        <v>979</v>
      </c>
      <c r="I37" s="77">
        <v>12</v>
      </c>
      <c r="J37" s="78"/>
      <c r="K37" s="79">
        <f>J37*I37</f>
        <v>0</v>
      </c>
      <c r="L37" s="73"/>
      <c r="M37" s="73"/>
      <c r="N37" s="24" t="str">
        <f>IFERROR(IF($N$2*F37=0, "-", $N$2*F37), "-")</f>
        <v>-</v>
      </c>
      <c r="O37" s="24" t="str">
        <f>IFERROR(IF(N37&gt;0,I37+N37,"-"),"-")</f>
        <v>-</v>
      </c>
      <c r="P37" s="24" t="str">
        <f>IF(J37&gt;0,J37*F37, "-")</f>
        <v>-</v>
      </c>
      <c r="Q37" s="26" t="str">
        <f>IFERROR(IF($N$2&gt;0, $N$2*P37, "-"), "-")</f>
        <v>-</v>
      </c>
      <c r="R37" s="18"/>
      <c r="S37" s="26" t="str">
        <f>IFERROR(IF(Q37+K37=0, "-", IF(Q37&gt;0, Q37+K37, "-")), "-")</f>
        <v>-</v>
      </c>
    </row>
    <row r="38" spans="1:19" x14ac:dyDescent="0.3">
      <c r="A38" s="6" t="s">
        <v>660</v>
      </c>
      <c r="B38" s="93" t="s">
        <v>27</v>
      </c>
      <c r="C38" s="3" t="s">
        <v>1010</v>
      </c>
      <c r="D38" s="3" t="s">
        <v>659</v>
      </c>
      <c r="E38" s="74" t="s">
        <v>341</v>
      </c>
      <c r="F38" s="75">
        <v>0.16753339687539587</v>
      </c>
      <c r="G38" s="76">
        <v>24</v>
      </c>
      <c r="H38" s="39" t="s">
        <v>979</v>
      </c>
      <c r="I38" s="77">
        <v>14.25</v>
      </c>
      <c r="J38" s="78"/>
      <c r="K38" s="79">
        <f>J38*I38</f>
        <v>0</v>
      </c>
      <c r="L38" s="73"/>
      <c r="M38" s="73"/>
      <c r="N38" s="24" t="str">
        <f>IFERROR(IF($N$2*F38=0, "-", $N$2*F38), "-")</f>
        <v>-</v>
      </c>
      <c r="O38" s="24" t="str">
        <f>IFERROR(IF(N38&gt;0,I38+N38,"-"),"-")</f>
        <v>-</v>
      </c>
      <c r="P38" s="24" t="str">
        <f>IF(J38&gt;0,J38*F38, "-")</f>
        <v>-</v>
      </c>
      <c r="Q38" s="26" t="str">
        <f>IFERROR(IF($N$2&gt;0, $N$2*P38, "-"), "-")</f>
        <v>-</v>
      </c>
      <c r="R38" s="18"/>
      <c r="S38" s="26" t="str">
        <f>IFERROR(IF(Q38+K38=0, "-", IF(Q38&gt;0, Q38+K38, "-")), "-")</f>
        <v>-</v>
      </c>
    </row>
    <row r="39" spans="1:19" x14ac:dyDescent="0.3">
      <c r="A39" s="6" t="s">
        <v>665</v>
      </c>
      <c r="B39" s="93" t="s">
        <v>30</v>
      </c>
      <c r="C39" s="3" t="s">
        <v>1011</v>
      </c>
      <c r="D39" s="3" t="s">
        <v>666</v>
      </c>
      <c r="E39" s="74" t="s">
        <v>344</v>
      </c>
      <c r="F39" s="75">
        <v>0.19271703425461667</v>
      </c>
      <c r="G39" s="76">
        <v>24</v>
      </c>
      <c r="H39" s="39" t="s">
        <v>979</v>
      </c>
      <c r="I39" s="77">
        <v>8.3999999999999986</v>
      </c>
      <c r="J39" s="78"/>
      <c r="K39" s="79">
        <f>J39*I39</f>
        <v>0</v>
      </c>
      <c r="L39" s="73"/>
      <c r="M39" s="73"/>
      <c r="N39" s="24" t="str">
        <f>IFERROR(IF($N$2*F39=0, "-", $N$2*F39), "-")</f>
        <v>-</v>
      </c>
      <c r="O39" s="24" t="str">
        <f>IFERROR(IF(N39&gt;0,I39+N39,"-"),"-")</f>
        <v>-</v>
      </c>
      <c r="P39" s="24" t="str">
        <f>IF(J39&gt;0,J39*F39, "-")</f>
        <v>-</v>
      </c>
      <c r="Q39" s="26" t="str">
        <f>IFERROR(IF($N$2&gt;0, $N$2*P39, "-"), "-")</f>
        <v>-</v>
      </c>
      <c r="R39" s="18"/>
      <c r="S39" s="26" t="str">
        <f>IFERROR(IF(Q39+K39=0, "-", IF(Q39&gt;0, Q39+K39, "-")), "-")</f>
        <v>-</v>
      </c>
    </row>
    <row r="40" spans="1:19" x14ac:dyDescent="0.3">
      <c r="A40" s="6" t="s">
        <v>1130</v>
      </c>
      <c r="B40" s="93" t="s">
        <v>1117</v>
      </c>
      <c r="C40" s="3" t="s">
        <v>1131</v>
      </c>
      <c r="D40" s="3" t="s">
        <v>653</v>
      </c>
      <c r="E40" s="74" t="s">
        <v>1132</v>
      </c>
      <c r="F40" s="75">
        <v>9.5412521890150204E-2</v>
      </c>
      <c r="G40" s="76">
        <v>24</v>
      </c>
      <c r="H40" s="39" t="s">
        <v>979</v>
      </c>
      <c r="I40" s="77">
        <v>16.200000000000003</v>
      </c>
      <c r="J40" s="78"/>
      <c r="K40" s="79">
        <f>J40*I40</f>
        <v>0</v>
      </c>
      <c r="L40" s="73"/>
      <c r="M40" s="73"/>
      <c r="N40" s="24" t="str">
        <f>IFERROR(IF($N$2*F40=0, "-", $N$2*F40), "-")</f>
        <v>-</v>
      </c>
      <c r="O40" s="24" t="str">
        <f>IFERROR(IF(N40&gt;0,I40+N40,"-"),"-")</f>
        <v>-</v>
      </c>
      <c r="P40" s="24" t="str">
        <f>IF(J40&gt;0,J40*F40, "-")</f>
        <v>-</v>
      </c>
      <c r="Q40" s="26" t="str">
        <f>IFERROR(IF($N$2&gt;0, $N$2*P40, "-"), "-")</f>
        <v>-</v>
      </c>
      <c r="R40" s="18"/>
      <c r="S40" s="26" t="str">
        <f>IFERROR(IF(Q40+K40=0, "-", IF(Q40&gt;0, Q40+K40, "-")), "-")</f>
        <v>-</v>
      </c>
    </row>
    <row r="41" spans="1:19" x14ac:dyDescent="0.3">
      <c r="A41" s="6" t="s">
        <v>315</v>
      </c>
      <c r="B41" s="93" t="s">
        <v>48</v>
      </c>
      <c r="C41" s="3" t="s">
        <v>1014</v>
      </c>
      <c r="D41" s="80" t="s">
        <v>670</v>
      </c>
      <c r="E41" s="74" t="s">
        <v>362</v>
      </c>
      <c r="F41" s="75">
        <v>0.10416673178321666</v>
      </c>
      <c r="G41" s="30">
        <v>24</v>
      </c>
      <c r="H41" s="39" t="s">
        <v>979</v>
      </c>
      <c r="I41" s="77">
        <v>28.799999999999997</v>
      </c>
      <c r="J41" s="78"/>
      <c r="K41" s="79">
        <f>J41*I41</f>
        <v>0</v>
      </c>
      <c r="L41" s="73"/>
      <c r="M41" s="73"/>
      <c r="N41" s="24" t="str">
        <f>IFERROR(IF($N$2*F41=0, "-", $N$2*F41), "-")</f>
        <v>-</v>
      </c>
      <c r="O41" s="24" t="str">
        <f>IFERROR(IF(N41&gt;0,I41+N41,"-"),"-")</f>
        <v>-</v>
      </c>
      <c r="P41" s="24" t="str">
        <f>IF(J41&gt;0,J41*F41, "-")</f>
        <v>-</v>
      </c>
      <c r="Q41" s="26" t="str">
        <f>IFERROR(IF($N$2&gt;0, $N$2*P41, "-"), "-")</f>
        <v>-</v>
      </c>
      <c r="R41" s="18"/>
      <c r="S41" s="26" t="str">
        <f>IFERROR(IF(Q41+K41=0, "-", IF(Q41&gt;0, Q41+K41, "-")), "-")</f>
        <v>-</v>
      </c>
    </row>
    <row r="42" spans="1:19" x14ac:dyDescent="0.3">
      <c r="A42" s="6" t="s">
        <v>316</v>
      </c>
      <c r="B42" s="93" t="s">
        <v>56</v>
      </c>
      <c r="C42" s="3" t="s">
        <v>988</v>
      </c>
      <c r="D42" s="3" t="s">
        <v>657</v>
      </c>
      <c r="E42" s="74" t="s">
        <v>370</v>
      </c>
      <c r="F42" s="75">
        <v>9.009478449125001E-2</v>
      </c>
      <c r="G42" s="76">
        <v>24</v>
      </c>
      <c r="H42" s="39" t="s">
        <v>979</v>
      </c>
      <c r="I42" s="77">
        <v>9</v>
      </c>
      <c r="J42" s="78"/>
      <c r="K42" s="79">
        <f>J42*I42</f>
        <v>0</v>
      </c>
      <c r="L42" s="73"/>
      <c r="M42" s="73"/>
      <c r="N42" s="24" t="str">
        <f>IFERROR(IF($N$2*F42=0, "-", $N$2*F42), "-")</f>
        <v>-</v>
      </c>
      <c r="O42" s="24" t="str">
        <f>IFERROR(IF(N42&gt;0,I42+N42,"-"),"-")</f>
        <v>-</v>
      </c>
      <c r="P42" s="24" t="str">
        <f>IF(J42&gt;0,J42*F42, "-")</f>
        <v>-</v>
      </c>
      <c r="Q42" s="26" t="str">
        <f>IFERROR(IF($N$2&gt;0, $N$2*P42, "-"), "-")</f>
        <v>-</v>
      </c>
      <c r="R42" s="18"/>
      <c r="S42" s="26" t="str">
        <f>IFERROR(IF(Q42+K42=0, "-", IF(Q42&gt;0, Q42+K42, "-")), "-")</f>
        <v>-</v>
      </c>
    </row>
    <row r="43" spans="1:19" x14ac:dyDescent="0.3">
      <c r="A43" s="6" t="s">
        <v>708</v>
      </c>
      <c r="B43" s="93" t="s">
        <v>61</v>
      </c>
      <c r="C43" s="3" t="s">
        <v>1016</v>
      </c>
      <c r="D43" s="3" t="s">
        <v>649</v>
      </c>
      <c r="E43" s="74" t="s">
        <v>376</v>
      </c>
      <c r="F43" s="75">
        <v>8.5590045266687509E-2</v>
      </c>
      <c r="G43" s="76">
        <v>24</v>
      </c>
      <c r="H43" s="39" t="s">
        <v>979</v>
      </c>
      <c r="I43" s="77">
        <v>33.599999999999994</v>
      </c>
      <c r="J43" s="78"/>
      <c r="K43" s="79">
        <f>J43*I43</f>
        <v>0</v>
      </c>
      <c r="L43" s="73"/>
      <c r="M43" s="73"/>
      <c r="N43" s="24" t="str">
        <f>IFERROR(IF($N$2*F43=0, "-", $N$2*F43), "-")</f>
        <v>-</v>
      </c>
      <c r="O43" s="24" t="str">
        <f>IFERROR(IF(N43&gt;0,I43+N43,"-"),"-")</f>
        <v>-</v>
      </c>
      <c r="P43" s="24" t="str">
        <f>IF(J43&gt;0,J43*F43, "-")</f>
        <v>-</v>
      </c>
      <c r="Q43" s="26" t="str">
        <f>IFERROR(IF($N$2&gt;0, $N$2*P43, "-"), "-")</f>
        <v>-</v>
      </c>
      <c r="R43" s="18"/>
      <c r="S43" s="26" t="str">
        <f>IFERROR(IF(Q43+K43=0, "-", IF(Q43&gt;0, Q43+K43, "-")), "-")</f>
        <v>-</v>
      </c>
    </row>
    <row r="44" spans="1:19" x14ac:dyDescent="0.3">
      <c r="A44" s="6" t="s">
        <v>709</v>
      </c>
      <c r="B44" s="93" t="s">
        <v>61</v>
      </c>
      <c r="C44" s="3" t="s">
        <v>1017</v>
      </c>
      <c r="D44" s="3" t="s">
        <v>649</v>
      </c>
      <c r="E44" s="74" t="s">
        <v>377</v>
      </c>
      <c r="F44" s="75">
        <v>3.8612050496250008E-2</v>
      </c>
      <c r="G44" s="76">
        <v>24</v>
      </c>
      <c r="H44" s="39" t="s">
        <v>979</v>
      </c>
      <c r="I44" s="77">
        <v>11.399999999999999</v>
      </c>
      <c r="J44" s="78"/>
      <c r="K44" s="79">
        <f>J44*I44</f>
        <v>0</v>
      </c>
      <c r="L44" s="73"/>
      <c r="M44" s="73"/>
      <c r="N44" s="24" t="str">
        <f>IFERROR(IF($N$2*F44=0, "-", $N$2*F44), "-")</f>
        <v>-</v>
      </c>
      <c r="O44" s="24" t="str">
        <f>IFERROR(IF(N44&gt;0,I44+N44,"-"),"-")</f>
        <v>-</v>
      </c>
      <c r="P44" s="24" t="str">
        <f>IF(J44&gt;0,J44*F44, "-")</f>
        <v>-</v>
      </c>
      <c r="Q44" s="26" t="str">
        <f>IFERROR(IF($N$2&gt;0, $N$2*P44, "-"), "-")</f>
        <v>-</v>
      </c>
      <c r="R44" s="18"/>
      <c r="S44" s="26" t="str">
        <f>IFERROR(IF(Q44+K44=0, "-", IF(Q44&gt;0, Q44+K44, "-")), "-")</f>
        <v>-</v>
      </c>
    </row>
    <row r="45" spans="1:19" x14ac:dyDescent="0.3">
      <c r="A45" s="6" t="s">
        <v>713</v>
      </c>
      <c r="B45" s="93" t="s">
        <v>61</v>
      </c>
      <c r="C45" s="3" t="s">
        <v>993</v>
      </c>
      <c r="D45" s="3" t="s">
        <v>649</v>
      </c>
      <c r="E45" s="74" t="s">
        <v>380</v>
      </c>
      <c r="F45" s="75">
        <v>5.6750000000000002E-2</v>
      </c>
      <c r="G45" s="76">
        <v>24</v>
      </c>
      <c r="H45" s="39" t="s">
        <v>979</v>
      </c>
      <c r="I45" s="77">
        <v>18</v>
      </c>
      <c r="J45" s="78"/>
      <c r="K45" s="79">
        <f>J45*I45</f>
        <v>0</v>
      </c>
      <c r="L45" s="73"/>
      <c r="M45" s="73"/>
      <c r="N45" s="24" t="str">
        <f>IFERROR(IF($N$2*F45=0, "-", $N$2*F45), "-")</f>
        <v>-</v>
      </c>
      <c r="O45" s="24" t="str">
        <f>IFERROR(IF(N45&gt;0,I45+N45,"-"),"-")</f>
        <v>-</v>
      </c>
      <c r="P45" s="24" t="str">
        <f>IF(J45&gt;0,J45*F45, "-")</f>
        <v>-</v>
      </c>
      <c r="Q45" s="26" t="str">
        <f>IFERROR(IF($N$2&gt;0, $N$2*P45, "-"), "-")</f>
        <v>-</v>
      </c>
      <c r="R45" s="18"/>
      <c r="S45" s="26" t="str">
        <f>IFERROR(IF(Q45+K45=0, "-", IF(Q45&gt;0, Q45+K45, "-")), "-")</f>
        <v>-</v>
      </c>
    </row>
    <row r="46" spans="1:19" x14ac:dyDescent="0.3">
      <c r="A46" s="6" t="s">
        <v>720</v>
      </c>
      <c r="B46" s="93" t="s">
        <v>67</v>
      </c>
      <c r="C46" s="3" t="s">
        <v>1018</v>
      </c>
      <c r="D46" s="3" t="s">
        <v>681</v>
      </c>
      <c r="E46" s="74" t="s">
        <v>387</v>
      </c>
      <c r="F46" s="75">
        <v>5.0410177036770844E-2</v>
      </c>
      <c r="G46" s="76">
        <v>24</v>
      </c>
      <c r="H46" s="39" t="s">
        <v>979</v>
      </c>
      <c r="I46" s="77">
        <v>12</v>
      </c>
      <c r="J46" s="78"/>
      <c r="K46" s="79">
        <f>J46*I46</f>
        <v>0</v>
      </c>
      <c r="L46" s="73"/>
      <c r="M46" s="73"/>
      <c r="N46" s="24" t="str">
        <f>IFERROR(IF($N$2*F46=0, "-", $N$2*F46), "-")</f>
        <v>-</v>
      </c>
      <c r="O46" s="24" t="str">
        <f>IFERROR(IF(N46&gt;0,I46+N46,"-"),"-")</f>
        <v>-</v>
      </c>
      <c r="P46" s="24" t="str">
        <f>IF(J46&gt;0,J46*F46, "-")</f>
        <v>-</v>
      </c>
      <c r="Q46" s="26" t="str">
        <f>IFERROR(IF($N$2&gt;0, $N$2*P46, "-"), "-")</f>
        <v>-</v>
      </c>
      <c r="R46" s="18"/>
      <c r="S46" s="26" t="str">
        <f>IFERROR(IF(Q46+K46=0, "-", IF(Q46&gt;0, Q46+K46, "-")), "-")</f>
        <v>-</v>
      </c>
    </row>
    <row r="47" spans="1:19" x14ac:dyDescent="0.3">
      <c r="A47" s="6" t="s">
        <v>722</v>
      </c>
      <c r="B47" s="93" t="s">
        <v>69</v>
      </c>
      <c r="C47" s="3" t="s">
        <v>1019</v>
      </c>
      <c r="D47" s="3" t="s">
        <v>652</v>
      </c>
      <c r="E47" s="74" t="s">
        <v>389</v>
      </c>
      <c r="F47" s="75">
        <v>5.6416496002854179E-2</v>
      </c>
      <c r="G47" s="76">
        <v>24</v>
      </c>
      <c r="H47" s="39" t="s">
        <v>979</v>
      </c>
      <c r="I47" s="77">
        <v>5.88</v>
      </c>
      <c r="J47" s="78"/>
      <c r="K47" s="79">
        <f>J47*I47</f>
        <v>0</v>
      </c>
      <c r="L47" s="73"/>
      <c r="M47" s="73"/>
      <c r="N47" s="24" t="str">
        <f>IFERROR(IF($N$2*F47=0, "-", $N$2*F47), "-")</f>
        <v>-</v>
      </c>
      <c r="O47" s="24" t="str">
        <f>IFERROR(IF(N47&gt;0,I47+N47,"-"),"-")</f>
        <v>-</v>
      </c>
      <c r="P47" s="24" t="str">
        <f>IF(J47&gt;0,J47*F47, "-")</f>
        <v>-</v>
      </c>
      <c r="Q47" s="26" t="str">
        <f>IFERROR(IF($N$2&gt;0, $N$2*P47, "-"), "-")</f>
        <v>-</v>
      </c>
      <c r="R47" s="18"/>
      <c r="S47" s="26" t="str">
        <f>IFERROR(IF(Q47+K47=0, "-", IF(Q47&gt;0, Q47+K47, "-")), "-")</f>
        <v>-</v>
      </c>
    </row>
    <row r="48" spans="1:19" x14ac:dyDescent="0.3">
      <c r="A48" s="6" t="s">
        <v>729</v>
      </c>
      <c r="B48" s="93" t="s">
        <v>75</v>
      </c>
      <c r="C48" s="3" t="s">
        <v>986</v>
      </c>
      <c r="D48" s="3" t="s">
        <v>730</v>
      </c>
      <c r="E48" s="74" t="s">
        <v>395</v>
      </c>
      <c r="F48" s="75">
        <v>0.13619999999999999</v>
      </c>
      <c r="G48" s="76">
        <v>24</v>
      </c>
      <c r="H48" s="39" t="s">
        <v>979</v>
      </c>
      <c r="I48" s="77">
        <v>19.200000000000003</v>
      </c>
      <c r="J48" s="78"/>
      <c r="K48" s="79">
        <f>J48*I48</f>
        <v>0</v>
      </c>
      <c r="L48" s="73"/>
      <c r="M48" s="73"/>
      <c r="N48" s="24" t="str">
        <f>IFERROR(IF($N$2*F48=0, "-", $N$2*F48), "-")</f>
        <v>-</v>
      </c>
      <c r="O48" s="24" t="str">
        <f>IFERROR(IF(N48&gt;0,I48+N48,"-"),"-")</f>
        <v>-</v>
      </c>
      <c r="P48" s="24" t="str">
        <f>IF(J48&gt;0,J48*F48, "-")</f>
        <v>-</v>
      </c>
      <c r="Q48" s="26" t="str">
        <f>IFERROR(IF($N$2&gt;0, $N$2*P48, "-"), "-")</f>
        <v>-</v>
      </c>
      <c r="R48" s="18"/>
      <c r="S48" s="26" t="str">
        <f>IFERROR(IF(Q48+K48=0, "-", IF(Q48&gt;0, Q48+K48, "-")), "-")</f>
        <v>-</v>
      </c>
    </row>
    <row r="49" spans="1:19" x14ac:dyDescent="0.3">
      <c r="A49" s="6" t="s">
        <v>732</v>
      </c>
      <c r="B49" s="93" t="s">
        <v>77</v>
      </c>
      <c r="C49" s="3" t="s">
        <v>1005</v>
      </c>
      <c r="D49" s="3" t="s">
        <v>643</v>
      </c>
      <c r="E49" s="74" t="s">
        <v>397</v>
      </c>
      <c r="F49" s="75">
        <v>0.19215930463633754</v>
      </c>
      <c r="G49" s="76">
        <v>12</v>
      </c>
      <c r="H49" s="39" t="s">
        <v>979</v>
      </c>
      <c r="I49" s="77">
        <v>10.8</v>
      </c>
      <c r="J49" s="78"/>
      <c r="K49" s="79">
        <f>J49*I49</f>
        <v>0</v>
      </c>
      <c r="L49" s="73"/>
      <c r="M49" s="73"/>
      <c r="N49" s="24" t="str">
        <f>IFERROR(IF($N$2*F49=0, "-", $N$2*F49), "-")</f>
        <v>-</v>
      </c>
      <c r="O49" s="24" t="str">
        <f>IFERROR(IF(N49&gt;0,I49+N49,"-"),"-")</f>
        <v>-</v>
      </c>
      <c r="P49" s="24" t="str">
        <f>IF(J49&gt;0,J49*F49, "-")</f>
        <v>-</v>
      </c>
      <c r="Q49" s="26" t="str">
        <f>IFERROR(IF($N$2&gt;0, $N$2*P49, "-"), "-")</f>
        <v>-</v>
      </c>
      <c r="R49" s="18"/>
      <c r="S49" s="26" t="str">
        <f>IFERROR(IF(Q49+K49=0, "-", IF(Q49&gt;0, Q49+K49, "-")), "-")</f>
        <v>-</v>
      </c>
    </row>
    <row r="50" spans="1:19" x14ac:dyDescent="0.3">
      <c r="A50" s="6" t="s">
        <v>736</v>
      </c>
      <c r="B50" s="93" t="s">
        <v>81</v>
      </c>
      <c r="C50" s="3" t="s">
        <v>1020</v>
      </c>
      <c r="D50" s="3" t="s">
        <v>652</v>
      </c>
      <c r="E50" s="74" t="s">
        <v>401</v>
      </c>
      <c r="F50" s="75">
        <v>9.6744637632270841E-2</v>
      </c>
      <c r="G50" s="76">
        <v>24</v>
      </c>
      <c r="H50" s="39" t="s">
        <v>979</v>
      </c>
      <c r="I50" s="77">
        <v>7.8000000000000007</v>
      </c>
      <c r="J50" s="78"/>
      <c r="K50" s="79">
        <v>0</v>
      </c>
      <c r="L50" s="73"/>
      <c r="M50" s="73"/>
      <c r="N50" s="24" t="str">
        <f>IFERROR(IF($N$2*F50=0, "-", $N$2*F50), "-")</f>
        <v>-</v>
      </c>
      <c r="O50" s="24" t="str">
        <f>IFERROR(IF(N50&gt;0,I50+N50,"-"),"-")</f>
        <v>-</v>
      </c>
      <c r="P50" s="24" t="str">
        <f>IF(J50&gt;0,J50*F50, "-")</f>
        <v>-</v>
      </c>
      <c r="Q50" s="26" t="str">
        <f>IFERROR(IF($N$2&gt;0, $N$2*P50, "-"), "-")</f>
        <v>-</v>
      </c>
      <c r="R50" s="18"/>
      <c r="S50" s="26" t="str">
        <f>IFERROR(IF(Q50+K50=0, "-", IF(Q50&gt;0, Q50+K50, "-")), "-")</f>
        <v>-</v>
      </c>
    </row>
    <row r="51" spans="1:19" x14ac:dyDescent="0.3">
      <c r="A51" s="6" t="s">
        <v>321</v>
      </c>
      <c r="B51" s="93" t="s">
        <v>83</v>
      </c>
      <c r="C51" s="3" t="s">
        <v>1022</v>
      </c>
      <c r="D51" s="3" t="s">
        <v>703</v>
      </c>
      <c r="E51" s="74" t="s">
        <v>405</v>
      </c>
      <c r="F51" s="75">
        <v>0.17933152341591665</v>
      </c>
      <c r="G51" s="76">
        <v>24</v>
      </c>
      <c r="H51" s="39" t="s">
        <v>979</v>
      </c>
      <c r="I51" s="77">
        <v>15.600000000000001</v>
      </c>
      <c r="J51" s="78"/>
      <c r="K51" s="79">
        <f>J51*I51</f>
        <v>0</v>
      </c>
      <c r="L51" s="73"/>
      <c r="M51" s="73"/>
      <c r="N51" s="24" t="str">
        <f>IFERROR(IF($N$2*F51=0, "-", $N$2*F51), "-")</f>
        <v>-</v>
      </c>
      <c r="O51" s="24" t="str">
        <f>IFERROR(IF(N51&gt;0,I51+N51,"-"),"-")</f>
        <v>-</v>
      </c>
      <c r="P51" s="24" t="str">
        <f>IF(J51&gt;0,J51*F51, "-")</f>
        <v>-</v>
      </c>
      <c r="Q51" s="26" t="str">
        <f>IFERROR(IF($N$2&gt;0, $N$2*P51, "-"), "-")</f>
        <v>-</v>
      </c>
      <c r="R51" s="18"/>
      <c r="S51" s="26" t="str">
        <f>IFERROR(IF(Q51+K51=0, "-", IF(Q51&gt;0, Q51+K51, "-")), "-")</f>
        <v>-</v>
      </c>
    </row>
    <row r="52" spans="1:19" x14ac:dyDescent="0.3">
      <c r="A52" s="6" t="s">
        <v>759</v>
      </c>
      <c r="B52" s="93" t="s">
        <v>100</v>
      </c>
      <c r="C52" s="3" t="s">
        <v>1024</v>
      </c>
      <c r="D52" s="3" t="s">
        <v>719</v>
      </c>
      <c r="E52" s="74" t="s">
        <v>424</v>
      </c>
      <c r="F52" s="75">
        <v>6.1779280794000004E-2</v>
      </c>
      <c r="G52" s="76">
        <v>24</v>
      </c>
      <c r="H52" s="39" t="s">
        <v>979</v>
      </c>
      <c r="I52" s="77">
        <v>5.625</v>
      </c>
      <c r="J52" s="78"/>
      <c r="K52" s="79">
        <f>J52*I52</f>
        <v>0</v>
      </c>
      <c r="L52" s="73"/>
      <c r="M52" s="73"/>
      <c r="N52" s="24" t="str">
        <f>IFERROR(IF($N$2*F52=0, "-", $N$2*F52), "-")</f>
        <v>-</v>
      </c>
      <c r="O52" s="24" t="str">
        <f>IFERROR(IF(N52&gt;0,I52+N52,"-"),"-")</f>
        <v>-</v>
      </c>
      <c r="P52" s="24" t="str">
        <f>IF(J52&gt;0,J52*F52, "-")</f>
        <v>-</v>
      </c>
      <c r="Q52" s="26" t="str">
        <f>IFERROR(IF($N$2&gt;0, $N$2*P52, "-"), "-")</f>
        <v>-</v>
      </c>
      <c r="R52" s="18"/>
      <c r="S52" s="26" t="str">
        <f>IFERROR(IF(Q52+K52=0, "-", IF(Q52&gt;0, Q52+K52, "-")), "-")</f>
        <v>-</v>
      </c>
    </row>
    <row r="53" spans="1:19" x14ac:dyDescent="0.3">
      <c r="A53" s="6" t="s">
        <v>760</v>
      </c>
      <c r="B53" s="93" t="s">
        <v>101</v>
      </c>
      <c r="C53" s="3" t="s">
        <v>1025</v>
      </c>
      <c r="D53" s="3" t="s">
        <v>654</v>
      </c>
      <c r="E53" s="74" t="s">
        <v>425</v>
      </c>
      <c r="F53" s="75">
        <v>0.19413280943947916</v>
      </c>
      <c r="G53" s="76">
        <v>24</v>
      </c>
      <c r="H53" s="39" t="s">
        <v>979</v>
      </c>
      <c r="I53" s="77">
        <v>12</v>
      </c>
      <c r="J53" s="78"/>
      <c r="K53" s="79">
        <f>J53*I53</f>
        <v>0</v>
      </c>
      <c r="L53" s="73"/>
      <c r="M53" s="73"/>
      <c r="N53" s="24" t="str">
        <f>IFERROR(IF($N$2*F53=0, "-", $N$2*F53), "-")</f>
        <v>-</v>
      </c>
      <c r="O53" s="24" t="str">
        <f>IFERROR(IF(N53&gt;0,I53+N53,"-"),"-")</f>
        <v>-</v>
      </c>
      <c r="P53" s="24" t="str">
        <f>IF(J53&gt;0,J53*F53, "-")</f>
        <v>-</v>
      </c>
      <c r="Q53" s="26" t="str">
        <f>IFERROR(IF($N$2&gt;0, $N$2*P53, "-"), "-")</f>
        <v>-</v>
      </c>
      <c r="R53" s="18"/>
      <c r="S53" s="26" t="str">
        <f>IFERROR(IF(Q53+K53=0, "-", IF(Q53&gt;0, Q53+K53, "-")), "-")</f>
        <v>-</v>
      </c>
    </row>
    <row r="54" spans="1:19" x14ac:dyDescent="0.3">
      <c r="A54" s="6" t="s">
        <v>763</v>
      </c>
      <c r="B54" s="93" t="s">
        <v>103</v>
      </c>
      <c r="C54" s="3" t="s">
        <v>1026</v>
      </c>
      <c r="D54" s="3" t="s">
        <v>762</v>
      </c>
      <c r="E54" s="74" t="s">
        <v>427</v>
      </c>
      <c r="F54" s="75">
        <v>0.63709883318812499</v>
      </c>
      <c r="G54" s="76">
        <v>12</v>
      </c>
      <c r="H54" s="39" t="s">
        <v>979</v>
      </c>
      <c r="I54" s="77">
        <v>38.474999999999994</v>
      </c>
      <c r="J54" s="78"/>
      <c r="K54" s="79">
        <f>J54*I54</f>
        <v>0</v>
      </c>
      <c r="L54" s="73"/>
      <c r="M54" s="73"/>
      <c r="N54" s="24" t="str">
        <f>IFERROR(IF($N$2*F54=0, "-", $N$2*F54), "-")</f>
        <v>-</v>
      </c>
      <c r="O54" s="24" t="str">
        <f>IFERROR(IF(N54&gt;0,I54+N54,"-"),"-")</f>
        <v>-</v>
      </c>
      <c r="P54" s="24" t="str">
        <f>IF(J54&gt;0,J54*F54, "-")</f>
        <v>-</v>
      </c>
      <c r="Q54" s="26" t="str">
        <f>IFERROR(IF($N$2&gt;0, $N$2*P54, "-"), "-")</f>
        <v>-</v>
      </c>
      <c r="R54" s="18"/>
      <c r="S54" s="26" t="str">
        <f>IFERROR(IF(Q54+K54=0, "-", IF(Q54&gt;0, Q54+K54, "-")), "-")</f>
        <v>-</v>
      </c>
    </row>
    <row r="55" spans="1:19" x14ac:dyDescent="0.3">
      <c r="A55" s="6" t="s">
        <v>771</v>
      </c>
      <c r="B55" s="93" t="s">
        <v>112</v>
      </c>
      <c r="C55" s="3" t="s">
        <v>1028</v>
      </c>
      <c r="D55" s="3" t="s">
        <v>662</v>
      </c>
      <c r="E55" s="74" t="s">
        <v>436</v>
      </c>
      <c r="F55" s="75">
        <v>7.9105365897233965E-2</v>
      </c>
      <c r="G55" s="76">
        <v>24</v>
      </c>
      <c r="H55" s="39" t="s">
        <v>979</v>
      </c>
      <c r="I55" s="77">
        <v>9.3000000000000007</v>
      </c>
      <c r="J55" s="78"/>
      <c r="K55" s="79">
        <f>J55*I55</f>
        <v>0</v>
      </c>
      <c r="L55" s="73"/>
      <c r="M55" s="73"/>
      <c r="N55" s="24" t="str">
        <f>IFERROR(IF($N$2*F55=0, "-", $N$2*F55), "-")</f>
        <v>-</v>
      </c>
      <c r="O55" s="24" t="str">
        <f>IFERROR(IF(N55&gt;0,I55+N55,"-"),"-")</f>
        <v>-</v>
      </c>
      <c r="P55" s="24" t="str">
        <f>IF(J55&gt;0,J55*F55, "-")</f>
        <v>-</v>
      </c>
      <c r="Q55" s="26" t="str">
        <f>IFERROR(IF($N$2&gt;0, $N$2*P55, "-"), "-")</f>
        <v>-</v>
      </c>
      <c r="R55" s="18"/>
      <c r="S55" s="26" t="str">
        <f>IFERROR(IF(Q55+K55=0, "-", IF(Q55&gt;0, Q55+K55, "-")), "-")</f>
        <v>-</v>
      </c>
    </row>
    <row r="56" spans="1:19" x14ac:dyDescent="0.3">
      <c r="A56" s="6" t="s">
        <v>786</v>
      </c>
      <c r="B56" s="93" t="s">
        <v>122</v>
      </c>
      <c r="C56" s="3" t="s">
        <v>1030</v>
      </c>
      <c r="D56" s="3" t="s">
        <v>719</v>
      </c>
      <c r="E56" s="74" t="s">
        <v>449</v>
      </c>
      <c r="F56" s="75">
        <v>5.6750000000000002E-2</v>
      </c>
      <c r="G56" s="76">
        <v>24</v>
      </c>
      <c r="H56" s="39" t="s">
        <v>979</v>
      </c>
      <c r="I56" s="77">
        <v>8.3999999999999986</v>
      </c>
      <c r="J56" s="78"/>
      <c r="K56" s="79">
        <f>J56*I56</f>
        <v>0</v>
      </c>
      <c r="L56" s="73"/>
      <c r="M56" s="73"/>
      <c r="N56" s="24" t="str">
        <f>IFERROR(IF($N$2*F56=0, "-", $N$2*F56), "-")</f>
        <v>-</v>
      </c>
      <c r="O56" s="24" t="str">
        <f>IFERROR(IF(N56&gt;0,I56+N56,"-"),"-")</f>
        <v>-</v>
      </c>
      <c r="P56" s="24" t="str">
        <f>IF(J56&gt;0,J56*F56, "-")</f>
        <v>-</v>
      </c>
      <c r="Q56" s="26" t="str">
        <f>IFERROR(IF($N$2&gt;0, $N$2*P56, "-"), "-")</f>
        <v>-</v>
      </c>
      <c r="R56" s="18"/>
      <c r="S56" s="26" t="str">
        <f>IFERROR(IF(Q56+K56=0, "-", IF(Q56&gt;0, Q56+K56, "-")), "-")</f>
        <v>-</v>
      </c>
    </row>
    <row r="57" spans="1:19" x14ac:dyDescent="0.3">
      <c r="A57" s="6" t="s">
        <v>802</v>
      </c>
      <c r="B57" s="93" t="s">
        <v>137</v>
      </c>
      <c r="C57" s="3" t="s">
        <v>988</v>
      </c>
      <c r="D57" s="3" t="s">
        <v>670</v>
      </c>
      <c r="E57" s="74" t="s">
        <v>465</v>
      </c>
      <c r="F57" s="75">
        <v>5.1911756778291664E-2</v>
      </c>
      <c r="G57" s="76">
        <v>24</v>
      </c>
      <c r="H57" s="39" t="s">
        <v>979</v>
      </c>
      <c r="I57" s="77">
        <v>7.1999999999999993</v>
      </c>
      <c r="J57" s="78"/>
      <c r="K57" s="79">
        <f>J57*I57</f>
        <v>0</v>
      </c>
      <c r="L57" s="73"/>
      <c r="M57" s="73"/>
      <c r="N57" s="24" t="str">
        <f>IFERROR(IF($N$2*F57=0, "-", $N$2*F57), "-")</f>
        <v>-</v>
      </c>
      <c r="O57" s="24" t="str">
        <f>IFERROR(IF(N57&gt;0,I57+N57,"-"),"-")</f>
        <v>-</v>
      </c>
      <c r="P57" s="24" t="str">
        <f>IF(J57&gt;0,J57*F57, "-")</f>
        <v>-</v>
      </c>
      <c r="Q57" s="26" t="str">
        <f>IFERROR(IF($N$2&gt;0, $N$2*P57, "-"), "-")</f>
        <v>-</v>
      </c>
      <c r="R57" s="18"/>
      <c r="S57" s="26" t="str">
        <f>IFERROR(IF(Q57+K57=0, "-", IF(Q57&gt;0, Q57+K57, "-")), "-")</f>
        <v>-</v>
      </c>
    </row>
    <row r="58" spans="1:19" x14ac:dyDescent="0.3">
      <c r="A58" s="6" t="s">
        <v>803</v>
      </c>
      <c r="B58" s="93" t="s">
        <v>138</v>
      </c>
      <c r="C58" s="3" t="s">
        <v>1031</v>
      </c>
      <c r="D58" s="3" t="s">
        <v>649</v>
      </c>
      <c r="E58" s="74" t="s">
        <v>466</v>
      </c>
      <c r="F58" s="75">
        <v>0.10839260619863958</v>
      </c>
      <c r="G58" s="76">
        <v>24</v>
      </c>
      <c r="H58" s="39" t="s">
        <v>979</v>
      </c>
      <c r="I58" s="77">
        <v>8.1000000000000014</v>
      </c>
      <c r="J58" s="78"/>
      <c r="K58" s="79">
        <f>J58*I58</f>
        <v>0</v>
      </c>
      <c r="L58" s="73"/>
      <c r="M58" s="73"/>
      <c r="N58" s="24" t="str">
        <f>IFERROR(IF($N$2*F58=0, "-", $N$2*F58), "-")</f>
        <v>-</v>
      </c>
      <c r="O58" s="24" t="str">
        <f>IFERROR(IF(N58&gt;0,I58+N58,"-"),"-")</f>
        <v>-</v>
      </c>
      <c r="P58" s="24" t="str">
        <f>IF(J58&gt;0,J58*F58, "-")</f>
        <v>-</v>
      </c>
      <c r="Q58" s="26" t="str">
        <f>IFERROR(IF($N$2&gt;0, $N$2*P58, "-"), "-")</f>
        <v>-</v>
      </c>
      <c r="R58" s="18"/>
      <c r="S58" s="26" t="str">
        <f>IFERROR(IF(Q58+K58=0, "-", IF(Q58&gt;0, Q58+K58, "-")), "-")</f>
        <v>-</v>
      </c>
    </row>
    <row r="59" spans="1:19" x14ac:dyDescent="0.3">
      <c r="A59" s="6" t="s">
        <v>809</v>
      </c>
      <c r="B59" s="93" t="s">
        <v>144</v>
      </c>
      <c r="C59" s="3" t="s">
        <v>1032</v>
      </c>
      <c r="D59" s="3" t="s">
        <v>703</v>
      </c>
      <c r="E59" s="74" t="s">
        <v>472</v>
      </c>
      <c r="F59" s="75">
        <v>9.1381852841124989E-2</v>
      </c>
      <c r="G59" s="76">
        <v>24</v>
      </c>
      <c r="H59" s="39" t="s">
        <v>979</v>
      </c>
      <c r="I59" s="77">
        <v>8.3999999999999986</v>
      </c>
      <c r="J59" s="78"/>
      <c r="K59" s="79">
        <f>J59*I59</f>
        <v>0</v>
      </c>
      <c r="L59" s="73"/>
      <c r="M59" s="73"/>
      <c r="N59" s="24" t="str">
        <f>IFERROR(IF($N$2*F59=0, "-", $N$2*F59), "-")</f>
        <v>-</v>
      </c>
      <c r="O59" s="24" t="str">
        <f>IFERROR(IF(N59&gt;0,I59+N59,"-"),"-")</f>
        <v>-</v>
      </c>
      <c r="P59" s="24" t="str">
        <f>IF(J59&gt;0,J59*F59, "-")</f>
        <v>-</v>
      </c>
      <c r="Q59" s="26" t="str">
        <f>IFERROR(IF($N$2&gt;0, $N$2*P59, "-"), "-")</f>
        <v>-</v>
      </c>
      <c r="R59" s="18"/>
      <c r="S59" s="26" t="str">
        <f>IFERROR(IF(Q59+K59=0, "-", IF(Q59&gt;0, Q59+K59, "-")), "-")</f>
        <v>-</v>
      </c>
    </row>
    <row r="60" spans="1:19" x14ac:dyDescent="0.3">
      <c r="A60" s="6" t="s">
        <v>826</v>
      </c>
      <c r="B60" s="93" t="s">
        <v>157</v>
      </c>
      <c r="C60" s="3" t="s">
        <v>1034</v>
      </c>
      <c r="D60" s="3" t="s">
        <v>649</v>
      </c>
      <c r="E60" s="74" t="s">
        <v>488</v>
      </c>
      <c r="F60" s="75">
        <v>0.28015187748945841</v>
      </c>
      <c r="G60" s="76">
        <v>12</v>
      </c>
      <c r="H60" s="39" t="s">
        <v>979</v>
      </c>
      <c r="I60" s="77">
        <v>20.399999999999999</v>
      </c>
      <c r="J60" s="78"/>
      <c r="K60" s="79">
        <f>J60*I60</f>
        <v>0</v>
      </c>
      <c r="L60" s="73"/>
      <c r="M60" s="73"/>
      <c r="N60" s="24" t="str">
        <f>IFERROR(IF($N$2*F60=0, "-", $N$2*F60), "-")</f>
        <v>-</v>
      </c>
      <c r="O60" s="24" t="str">
        <f>IFERROR(IF(N60&gt;0,I60+N60,"-"),"-")</f>
        <v>-</v>
      </c>
      <c r="P60" s="24" t="str">
        <f>IF(J60&gt;0,J60*F60, "-")</f>
        <v>-</v>
      </c>
      <c r="Q60" s="26" t="str">
        <f>IFERROR(IF($N$2&gt;0, $N$2*P60, "-"), "-")</f>
        <v>-</v>
      </c>
      <c r="R60" s="18"/>
      <c r="S60" s="26" t="str">
        <f>IFERROR(IF(Q60+K60=0, "-", IF(Q60&gt;0, Q60+K60, "-")), "-")</f>
        <v>-</v>
      </c>
    </row>
    <row r="61" spans="1:19" x14ac:dyDescent="0.3">
      <c r="A61" s="6" t="s">
        <v>829</v>
      </c>
      <c r="B61" s="93" t="s">
        <v>159</v>
      </c>
      <c r="C61" s="3" t="s">
        <v>999</v>
      </c>
      <c r="D61" s="3" t="s">
        <v>670</v>
      </c>
      <c r="E61" s="74" t="s">
        <v>490</v>
      </c>
      <c r="F61" s="75">
        <v>5.6750000000000002E-2</v>
      </c>
      <c r="G61" s="76">
        <v>24</v>
      </c>
      <c r="H61" s="39" t="s">
        <v>979</v>
      </c>
      <c r="I61" s="77">
        <v>9</v>
      </c>
      <c r="J61" s="78"/>
      <c r="K61" s="79">
        <f>J61*I61</f>
        <v>0</v>
      </c>
      <c r="L61" s="73"/>
      <c r="M61" s="73"/>
      <c r="N61" s="24" t="str">
        <f>IFERROR(IF($N$2*F61=0, "-", $N$2*F61), "-")</f>
        <v>-</v>
      </c>
      <c r="O61" s="24" t="str">
        <f>IFERROR(IF(N61&gt;0,I61+N61,"-"),"-")</f>
        <v>-</v>
      </c>
      <c r="P61" s="24" t="str">
        <f>IF(J61&gt;0,J61*F61, "-")</f>
        <v>-</v>
      </c>
      <c r="Q61" s="26" t="str">
        <f>IFERROR(IF($N$2&gt;0, $N$2*P61, "-"), "-")</f>
        <v>-</v>
      </c>
      <c r="R61" s="18"/>
      <c r="S61" s="26" t="str">
        <f>IFERROR(IF(Q61+K61=0, "-", IF(Q61&gt;0, Q61+K61, "-")), "-")</f>
        <v>-</v>
      </c>
    </row>
    <row r="62" spans="1:19" x14ac:dyDescent="0.3">
      <c r="A62" s="6" t="s">
        <v>839</v>
      </c>
      <c r="B62" s="93" t="s">
        <v>165</v>
      </c>
      <c r="C62" s="3" t="s">
        <v>1034</v>
      </c>
      <c r="D62" s="3" t="s">
        <v>649</v>
      </c>
      <c r="E62" s="74" t="s">
        <v>499</v>
      </c>
      <c r="F62" s="75">
        <v>0.33116268642283753</v>
      </c>
      <c r="G62" s="76">
        <v>12</v>
      </c>
      <c r="H62" s="39" t="s">
        <v>979</v>
      </c>
      <c r="I62" s="77">
        <v>25.5</v>
      </c>
      <c r="J62" s="78"/>
      <c r="K62" s="79">
        <f>J62*I62</f>
        <v>0</v>
      </c>
      <c r="L62" s="73"/>
      <c r="M62" s="73"/>
      <c r="N62" s="24" t="str">
        <f>IFERROR(IF($N$2*F62=0, "-", $N$2*F62), "-")</f>
        <v>-</v>
      </c>
      <c r="O62" s="24" t="str">
        <f>IFERROR(IF(N62&gt;0,I62+N62,"-"),"-")</f>
        <v>-</v>
      </c>
      <c r="P62" s="24" t="str">
        <f>IF(J62&gt;0,J62*F62, "-")</f>
        <v>-</v>
      </c>
      <c r="Q62" s="26" t="str">
        <f>IFERROR(IF($N$2&gt;0, $N$2*P62, "-"), "-")</f>
        <v>-</v>
      </c>
      <c r="R62" s="18"/>
      <c r="S62" s="26" t="str">
        <f>IFERROR(IF(Q62+K62=0, "-", IF(Q62&gt;0, Q62+K62, "-")), "-")</f>
        <v>-</v>
      </c>
    </row>
    <row r="63" spans="1:19" x14ac:dyDescent="0.3">
      <c r="A63" s="6" t="s">
        <v>840</v>
      </c>
      <c r="B63" s="93" t="s">
        <v>165</v>
      </c>
      <c r="C63" s="3" t="s">
        <v>1028</v>
      </c>
      <c r="D63" s="3" t="s">
        <v>649</v>
      </c>
      <c r="E63" s="74" t="s">
        <v>500</v>
      </c>
      <c r="F63" s="75">
        <v>0.18160000000000001</v>
      </c>
      <c r="G63" s="76">
        <v>24</v>
      </c>
      <c r="H63" s="39" t="s">
        <v>979</v>
      </c>
      <c r="I63" s="77">
        <v>13.799999999999999</v>
      </c>
      <c r="J63" s="78"/>
      <c r="K63" s="79">
        <f>J63*I63</f>
        <v>0</v>
      </c>
      <c r="L63" s="73"/>
      <c r="M63" s="73"/>
      <c r="N63" s="24" t="str">
        <f>IFERROR(IF($N$2*F63=0, "-", $N$2*F63), "-")</f>
        <v>-</v>
      </c>
      <c r="O63" s="24" t="str">
        <f>IFERROR(IF(N63&gt;0,I63+N63,"-"),"-")</f>
        <v>-</v>
      </c>
      <c r="P63" s="24" t="str">
        <f>IF(J63&gt;0,J63*F63, "-")</f>
        <v>-</v>
      </c>
      <c r="Q63" s="26" t="str">
        <f>IFERROR(IF($N$2&gt;0, $N$2*P63, "-"), "-")</f>
        <v>-</v>
      </c>
      <c r="R63" s="18"/>
      <c r="S63" s="26" t="str">
        <f>IFERROR(IF(Q63+K63=0, "-", IF(Q63&gt;0, Q63+K63, "-")), "-")</f>
        <v>-</v>
      </c>
    </row>
    <row r="64" spans="1:19" ht="26.4" x14ac:dyDescent="0.3">
      <c r="A64" s="6" t="s">
        <v>841</v>
      </c>
      <c r="B64" s="93" t="s">
        <v>166</v>
      </c>
      <c r="C64" s="3" t="s">
        <v>1035</v>
      </c>
      <c r="D64" s="3" t="s">
        <v>649</v>
      </c>
      <c r="E64" s="74" t="s">
        <v>501</v>
      </c>
      <c r="F64" s="75">
        <v>0.35265672786575003</v>
      </c>
      <c r="G64" s="76">
        <v>12</v>
      </c>
      <c r="H64" s="39" t="s">
        <v>979</v>
      </c>
      <c r="I64" s="77">
        <v>27</v>
      </c>
      <c r="J64" s="78"/>
      <c r="K64" s="79">
        <f>J64*I64</f>
        <v>0</v>
      </c>
      <c r="L64" s="73"/>
      <c r="M64" s="73"/>
      <c r="N64" s="24" t="str">
        <f>IFERROR(IF($N$2*F64=0, "-", $N$2*F64), "-")</f>
        <v>-</v>
      </c>
      <c r="O64" s="24" t="str">
        <f>IFERROR(IF(N64&gt;0,I64+N64,"-"),"-")</f>
        <v>-</v>
      </c>
      <c r="P64" s="24" t="str">
        <f>IF(J64&gt;0,J64*F64, "-")</f>
        <v>-</v>
      </c>
      <c r="Q64" s="26" t="str">
        <f>IFERROR(IF($N$2&gt;0, $N$2*P64, "-"), "-")</f>
        <v>-</v>
      </c>
      <c r="R64" s="18"/>
      <c r="S64" s="26" t="str">
        <f>IFERROR(IF(Q64+K64=0, "-", IF(Q64&gt;0, Q64+K64, "-")), "-")</f>
        <v>-</v>
      </c>
    </row>
    <row r="65" spans="1:19" x14ac:dyDescent="0.3">
      <c r="A65" s="6" t="s">
        <v>853</v>
      </c>
      <c r="B65" s="93" t="s">
        <v>177</v>
      </c>
      <c r="C65" s="3" t="s">
        <v>984</v>
      </c>
      <c r="D65" s="3" t="s">
        <v>769</v>
      </c>
      <c r="E65" s="74" t="s">
        <v>514</v>
      </c>
      <c r="F65" s="75">
        <v>0.1135</v>
      </c>
      <c r="G65" s="76">
        <v>24</v>
      </c>
      <c r="H65" s="39" t="s">
        <v>979</v>
      </c>
      <c r="I65" s="77">
        <v>13.200000000000001</v>
      </c>
      <c r="J65" s="78"/>
      <c r="K65" s="79">
        <f>J65*I65</f>
        <v>0</v>
      </c>
      <c r="L65" s="73"/>
      <c r="M65" s="73"/>
      <c r="N65" s="24" t="str">
        <f>IFERROR(IF($N$2*F65=0, "-", $N$2*F65), "-")</f>
        <v>-</v>
      </c>
      <c r="O65" s="24" t="str">
        <f>IFERROR(IF(N65&gt;0,I65+N65,"-"),"-")</f>
        <v>-</v>
      </c>
      <c r="P65" s="24" t="str">
        <f>IF(J65&gt;0,J65*F65, "-")</f>
        <v>-</v>
      </c>
      <c r="Q65" s="26" t="str">
        <f>IFERROR(IF($N$2&gt;0, $N$2*P65, "-"), "-")</f>
        <v>-</v>
      </c>
      <c r="R65" s="18"/>
      <c r="S65" s="26" t="str">
        <f>IFERROR(IF(Q65+K65=0, "-", IF(Q65&gt;0, Q65+K65, "-")), "-")</f>
        <v>-</v>
      </c>
    </row>
    <row r="66" spans="1:19" x14ac:dyDescent="0.3">
      <c r="A66" s="6" t="s">
        <v>859</v>
      </c>
      <c r="B66" s="93" t="s">
        <v>183</v>
      </c>
      <c r="C66" s="3" t="s">
        <v>1028</v>
      </c>
      <c r="D66" s="80" t="s">
        <v>670</v>
      </c>
      <c r="E66" s="74" t="s">
        <v>520</v>
      </c>
      <c r="F66" s="75">
        <v>9.9747797115312523E-2</v>
      </c>
      <c r="G66" s="30">
        <v>24</v>
      </c>
      <c r="H66" s="39" t="s">
        <v>979</v>
      </c>
      <c r="I66" s="77">
        <v>24</v>
      </c>
      <c r="J66" s="78"/>
      <c r="K66" s="79">
        <f>J66*I66</f>
        <v>0</v>
      </c>
      <c r="L66" s="73"/>
      <c r="M66" s="73"/>
      <c r="N66" s="24" t="str">
        <f>IFERROR(IF($N$2*F66=0, "-", $N$2*F66), "-")</f>
        <v>-</v>
      </c>
      <c r="O66" s="24" t="str">
        <f>IFERROR(IF(N66&gt;0,I66+N66,"-"),"-")</f>
        <v>-</v>
      </c>
      <c r="P66" s="24" t="str">
        <f>IF(J66&gt;0,J66*F66, "-")</f>
        <v>-</v>
      </c>
      <c r="Q66" s="26" t="str">
        <f>IFERROR(IF($N$2&gt;0, $N$2*P66, "-"), "-")</f>
        <v>-</v>
      </c>
      <c r="R66" s="18"/>
      <c r="S66" s="26" t="str">
        <f>IFERROR(IF(Q66+K66=0, "-", IF(Q66&gt;0, Q66+K66, "-")), "-")</f>
        <v>-</v>
      </c>
    </row>
    <row r="67" spans="1:19" x14ac:dyDescent="0.3">
      <c r="A67" s="6" t="s">
        <v>868</v>
      </c>
      <c r="B67" s="93" t="s">
        <v>190</v>
      </c>
      <c r="C67" s="3" t="s">
        <v>984</v>
      </c>
      <c r="D67" s="3" t="s">
        <v>649</v>
      </c>
      <c r="E67" s="74" t="s">
        <v>528</v>
      </c>
      <c r="F67" s="75">
        <v>6.4567928885395837E-2</v>
      </c>
      <c r="G67" s="76">
        <v>24</v>
      </c>
      <c r="H67" s="39" t="s">
        <v>979</v>
      </c>
      <c r="I67" s="77">
        <v>16.799999999999997</v>
      </c>
      <c r="J67" s="78"/>
      <c r="K67" s="79">
        <f>J67*I67</f>
        <v>0</v>
      </c>
      <c r="L67" s="73"/>
      <c r="M67" s="73"/>
      <c r="N67" s="24" t="str">
        <f>IFERROR(IF($N$2*F67=0, "-", $N$2*F67), "-")</f>
        <v>-</v>
      </c>
      <c r="O67" s="24" t="str">
        <f>IFERROR(IF(N67&gt;0,I67+N67,"-"),"-")</f>
        <v>-</v>
      </c>
      <c r="P67" s="24" t="str">
        <f>IF(J67&gt;0,J67*F67, "-")</f>
        <v>-</v>
      </c>
      <c r="Q67" s="26" t="str">
        <f>IFERROR(IF($N$2&gt;0, $N$2*P67, "-"), "-")</f>
        <v>-</v>
      </c>
      <c r="R67" s="18"/>
      <c r="S67" s="26" t="str">
        <f>IFERROR(IF(Q67+K67=0, "-", IF(Q67&gt;0, Q67+K67, "-")), "-")</f>
        <v>-</v>
      </c>
    </row>
    <row r="68" spans="1:19" x14ac:dyDescent="0.3">
      <c r="A68" s="6" t="s">
        <v>319</v>
      </c>
      <c r="B68" s="93" t="s">
        <v>286</v>
      </c>
      <c r="C68" s="3" t="s">
        <v>1037</v>
      </c>
      <c r="D68" s="3" t="s">
        <v>712</v>
      </c>
      <c r="E68" s="74" t="s">
        <v>542</v>
      </c>
      <c r="F68" s="75">
        <v>9.3205199670114591E-2</v>
      </c>
      <c r="G68" s="76">
        <v>24</v>
      </c>
      <c r="H68" s="39" t="s">
        <v>979</v>
      </c>
      <c r="I68" s="77">
        <v>22.799999999999997</v>
      </c>
      <c r="J68" s="78"/>
      <c r="K68" s="79">
        <v>0</v>
      </c>
      <c r="L68" s="73"/>
      <c r="M68" s="73"/>
      <c r="N68" s="24" t="str">
        <f>IFERROR(IF($N$2*F68=0, "-", $N$2*F68), "-")</f>
        <v>-</v>
      </c>
      <c r="O68" s="24" t="str">
        <f>IFERROR(IF(N68&gt;0,I68+N68,"-"),"-")</f>
        <v>-</v>
      </c>
      <c r="P68" s="24" t="str">
        <f>IF(J68&gt;0,J68*F68, "-")</f>
        <v>-</v>
      </c>
      <c r="Q68" s="26" t="str">
        <f>IFERROR(IF($N$2&gt;0, $N$2*P68, "-"), "-")</f>
        <v>-</v>
      </c>
      <c r="R68" s="18"/>
      <c r="S68" s="26" t="str">
        <f>IFERROR(IF(Q68+K68=0, "-", IF(Q68&gt;0, Q68+K68, "-")), "-")</f>
        <v>-</v>
      </c>
    </row>
    <row r="69" spans="1:19" x14ac:dyDescent="0.3">
      <c r="A69" s="6" t="s">
        <v>323</v>
      </c>
      <c r="B69" s="93" t="s">
        <v>203</v>
      </c>
      <c r="C69" s="3" t="s">
        <v>1040</v>
      </c>
      <c r="D69" s="3" t="s">
        <v>701</v>
      </c>
      <c r="E69" s="74" t="s">
        <v>544</v>
      </c>
      <c r="F69" s="75">
        <v>4.6977994770437508E-2</v>
      </c>
      <c r="G69" s="76">
        <v>24</v>
      </c>
      <c r="H69" s="39" t="s">
        <v>979</v>
      </c>
      <c r="I69" s="77">
        <v>14.399999999999999</v>
      </c>
      <c r="J69" s="78"/>
      <c r="K69" s="79">
        <f>J69*I69</f>
        <v>0</v>
      </c>
      <c r="L69" s="73"/>
      <c r="M69" s="73"/>
      <c r="N69" s="24" t="str">
        <f>IFERROR(IF($N$2*F69=0, "-", $N$2*F69), "-")</f>
        <v>-</v>
      </c>
      <c r="O69" s="24" t="str">
        <f>IFERROR(IF(N69&gt;0,I69+N69,"-"),"-")</f>
        <v>-</v>
      </c>
      <c r="P69" s="24" t="str">
        <f>IF(J69&gt;0,J69*F69, "-")</f>
        <v>-</v>
      </c>
      <c r="Q69" s="26" t="str">
        <f>IFERROR(IF($N$2&gt;0, $N$2*P69, "-"), "-")</f>
        <v>-</v>
      </c>
      <c r="R69" s="18"/>
      <c r="S69" s="26" t="str">
        <f>IFERROR(IF(Q69+K69=0, "-", IF(Q69&gt;0, Q69+K69, "-")), "-")</f>
        <v>-</v>
      </c>
    </row>
    <row r="70" spans="1:19" x14ac:dyDescent="0.3">
      <c r="A70" s="6" t="s">
        <v>899</v>
      </c>
      <c r="B70" s="93" t="s">
        <v>288</v>
      </c>
      <c r="C70" s="3" t="s">
        <v>1039</v>
      </c>
      <c r="D70" s="3" t="s">
        <v>670</v>
      </c>
      <c r="E70" s="74" t="s">
        <v>563</v>
      </c>
      <c r="F70" s="75">
        <v>8.4731999700104185E-2</v>
      </c>
      <c r="G70" s="76">
        <v>24</v>
      </c>
      <c r="H70" s="39" t="s">
        <v>979</v>
      </c>
      <c r="I70" s="77">
        <v>16.200000000000003</v>
      </c>
      <c r="J70" s="78"/>
      <c r="K70" s="79">
        <f>J70*I70</f>
        <v>0</v>
      </c>
      <c r="L70" s="73"/>
      <c r="M70" s="73"/>
      <c r="N70" s="24" t="str">
        <f>IFERROR(IF($N$2*F70=0, "-", $N$2*F70), "-")</f>
        <v>-</v>
      </c>
      <c r="O70" s="24" t="str">
        <f>IFERROR(IF(N70&gt;0,I70+N70,"-"),"-")</f>
        <v>-</v>
      </c>
      <c r="P70" s="24" t="str">
        <f>IF(J70&gt;0,J70*F70, "-")</f>
        <v>-</v>
      </c>
      <c r="Q70" s="26" t="str">
        <f>IFERROR(IF($N$2&gt;0, $N$2*P70, "-"), "-")</f>
        <v>-</v>
      </c>
      <c r="R70" s="18"/>
      <c r="S70" s="26" t="str">
        <f>IFERROR(IF(Q70+K70=0, "-", IF(Q70&gt;0, Q70+K70, "-")), "-")</f>
        <v>-</v>
      </c>
    </row>
    <row r="71" spans="1:19" x14ac:dyDescent="0.3">
      <c r="A71" s="6" t="s">
        <v>900</v>
      </c>
      <c r="B71" s="93" t="s">
        <v>217</v>
      </c>
      <c r="C71" s="3" t="s">
        <v>1040</v>
      </c>
      <c r="D71" s="3" t="s">
        <v>743</v>
      </c>
      <c r="E71" s="74" t="s">
        <v>564</v>
      </c>
      <c r="F71" s="75">
        <v>6.1779280794000004E-2</v>
      </c>
      <c r="G71" s="76">
        <v>24</v>
      </c>
      <c r="H71" s="39" t="s">
        <v>979</v>
      </c>
      <c r="I71" s="77">
        <v>7.1999999999999993</v>
      </c>
      <c r="J71" s="78"/>
      <c r="K71" s="79">
        <v>0</v>
      </c>
      <c r="L71" s="73"/>
      <c r="M71" s="73"/>
      <c r="N71" s="24" t="str">
        <f>IFERROR(IF($N$2*F71=0, "-", $N$2*F71), "-")</f>
        <v>-</v>
      </c>
      <c r="O71" s="24" t="str">
        <f>IFERROR(IF(N71&gt;0,I71+N71,"-"),"-")</f>
        <v>-</v>
      </c>
      <c r="P71" s="24" t="str">
        <f>IF(J71&gt;0,J71*F71, "-")</f>
        <v>-</v>
      </c>
      <c r="Q71" s="26" t="str">
        <f>IFERROR(IF($N$2&gt;0, $N$2*P71, "-"), "-")</f>
        <v>-</v>
      </c>
      <c r="R71" s="18"/>
      <c r="S71" s="26" t="str">
        <f>IFERROR(IF(Q71+K71=0, "-", IF(Q71&gt;0, Q71+K71, "-")), "-")</f>
        <v>-</v>
      </c>
    </row>
    <row r="72" spans="1:19" x14ac:dyDescent="0.3">
      <c r="A72" s="6" t="s">
        <v>312</v>
      </c>
      <c r="B72" s="93" t="s">
        <v>227</v>
      </c>
      <c r="C72" s="3" t="s">
        <v>1042</v>
      </c>
      <c r="D72" s="3" t="s">
        <v>649</v>
      </c>
      <c r="E72" s="74" t="s">
        <v>577</v>
      </c>
      <c r="F72" s="75">
        <v>6.8643645326666683E-2</v>
      </c>
      <c r="G72" s="76">
        <v>24</v>
      </c>
      <c r="H72" s="39" t="s">
        <v>979</v>
      </c>
      <c r="I72" s="77">
        <v>19.200000000000003</v>
      </c>
      <c r="J72" s="78"/>
      <c r="K72" s="79">
        <f>J72*I72</f>
        <v>0</v>
      </c>
      <c r="L72" s="73"/>
      <c r="M72" s="73"/>
      <c r="N72" s="24" t="str">
        <f>IFERROR(IF($N$2*F72=0, "-", $N$2*F72), "-")</f>
        <v>-</v>
      </c>
      <c r="O72" s="24" t="str">
        <f>IFERROR(IF(N72&gt;0,I72+N72,"-"),"-")</f>
        <v>-</v>
      </c>
      <c r="P72" s="24" t="str">
        <f>IF(J72&gt;0,J72*F72, "-")</f>
        <v>-</v>
      </c>
      <c r="Q72" s="26" t="str">
        <f>IFERROR(IF($N$2&gt;0, $N$2*P72, "-"), "-")</f>
        <v>-</v>
      </c>
      <c r="R72" s="18"/>
      <c r="S72" s="26" t="str">
        <f>IFERROR(IF(Q72+K72=0, "-", IF(Q72&gt;0, Q72+K72, "-")), "-")</f>
        <v>-</v>
      </c>
    </row>
    <row r="73" spans="1:19" x14ac:dyDescent="0.3">
      <c r="A73" s="6" t="s">
        <v>954</v>
      </c>
      <c r="B73" s="93" t="s">
        <v>267</v>
      </c>
      <c r="C73" s="3" t="s">
        <v>984</v>
      </c>
      <c r="D73" s="80" t="s">
        <v>679</v>
      </c>
      <c r="E73" s="74" t="s">
        <v>621</v>
      </c>
      <c r="F73" s="75">
        <v>6.9716202284895834E-2</v>
      </c>
      <c r="G73" s="30">
        <v>24</v>
      </c>
      <c r="H73" s="39" t="s">
        <v>979</v>
      </c>
      <c r="I73" s="77">
        <v>18</v>
      </c>
      <c r="J73" s="78"/>
      <c r="K73" s="79">
        <f>J73*I73</f>
        <v>0</v>
      </c>
      <c r="L73" s="1"/>
      <c r="M73" s="1"/>
      <c r="N73" s="24" t="str">
        <f>IFERROR(IF($N$2*F73=0, "-", $N$2*F73), "-")</f>
        <v>-</v>
      </c>
      <c r="O73" s="24" t="str">
        <f>IFERROR(IF(N73&gt;0,I73+N73,"-"),"-")</f>
        <v>-</v>
      </c>
      <c r="P73" s="24" t="str">
        <f>IF(J73&gt;0,J73*F73, "-")</f>
        <v>-</v>
      </c>
      <c r="Q73" s="26" t="str">
        <f>IFERROR(IF($N$2&gt;0, $N$2*P73, "-"), "-")</f>
        <v>-</v>
      </c>
      <c r="R73" s="18"/>
      <c r="S73" s="26" t="str">
        <f>IFERROR(IF(Q73+K73=0, "-", IF(Q73&gt;0, Q73+K73, "-")), "-")</f>
        <v>-</v>
      </c>
    </row>
    <row r="74" spans="1:19" x14ac:dyDescent="0.3">
      <c r="A74" s="6" t="s">
        <v>313</v>
      </c>
      <c r="B74" s="93" t="s">
        <v>104</v>
      </c>
      <c r="C74" s="3" t="s">
        <v>990</v>
      </c>
      <c r="D74" s="3" t="s">
        <v>700</v>
      </c>
      <c r="E74" s="74" t="s">
        <v>428</v>
      </c>
      <c r="F74" s="75">
        <v>0.11991186793002083</v>
      </c>
      <c r="G74" s="76">
        <v>24</v>
      </c>
      <c r="H74" s="39" t="s">
        <v>979</v>
      </c>
      <c r="I74" s="77">
        <v>28.799999999999997</v>
      </c>
      <c r="J74" s="78"/>
      <c r="K74" s="79">
        <f>J74*I74</f>
        <v>0</v>
      </c>
      <c r="L74" s="73"/>
      <c r="M74" s="73"/>
      <c r="N74" s="24" t="str">
        <f>IFERROR(IF($N$2*F74=0, "-", $N$2*F74), "-")</f>
        <v>-</v>
      </c>
      <c r="O74" s="24" t="str">
        <f>IFERROR(IF(N74&gt;0,I74+N74,"-"),"-")</f>
        <v>-</v>
      </c>
      <c r="P74" s="24" t="str">
        <f>IF(J74&gt;0,J74*F74, "-")</f>
        <v>-</v>
      </c>
      <c r="Q74" s="26" t="str">
        <f>IFERROR(IF($N$2&gt;0, $N$2*P74, "-"), "-")</f>
        <v>-</v>
      </c>
      <c r="R74" s="18"/>
      <c r="S74" s="26" t="str">
        <f>IFERROR(IF(Q74+K74=0, "-", IF(Q74&gt;0, Q74+K74, "-")), "-")</f>
        <v>-</v>
      </c>
    </row>
    <row r="75" spans="1:19" x14ac:dyDescent="0.3">
      <c r="A75" s="6" t="s">
        <v>825</v>
      </c>
      <c r="B75" s="93" t="s">
        <v>156</v>
      </c>
      <c r="C75" s="3" t="s">
        <v>1033</v>
      </c>
      <c r="D75" s="3" t="s">
        <v>649</v>
      </c>
      <c r="E75" s="74" t="s">
        <v>487</v>
      </c>
      <c r="F75" s="75">
        <v>6.2208303577291672E-2</v>
      </c>
      <c r="G75" s="76">
        <v>24</v>
      </c>
      <c r="H75" s="39" t="s">
        <v>979</v>
      </c>
      <c r="I75" s="77">
        <v>10.8</v>
      </c>
      <c r="J75" s="78"/>
      <c r="K75" s="79">
        <f>J75*I75</f>
        <v>0</v>
      </c>
      <c r="L75" s="73"/>
      <c r="M75" s="73"/>
      <c r="N75" s="24" t="str">
        <f>IFERROR(IF($N$2*F75=0, "-", $N$2*F75), "-")</f>
        <v>-</v>
      </c>
      <c r="O75" s="24" t="str">
        <f>IFERROR(IF(N75&gt;0,I75+N75,"-"),"-")</f>
        <v>-</v>
      </c>
      <c r="P75" s="24" t="str">
        <f>IF(J75&gt;0,J75*F75, "-")</f>
        <v>-</v>
      </c>
      <c r="Q75" s="26" t="str">
        <f>IFERROR(IF($N$2&gt;0, $N$2*P75, "-"), "-")</f>
        <v>-</v>
      </c>
      <c r="R75" s="18"/>
      <c r="S75" s="26" t="str">
        <f>IFERROR(IF(Q75+K75=0, "-", IF(Q75&gt;0, Q75+K75, "-")), "-")</f>
        <v>-</v>
      </c>
    </row>
    <row r="76" spans="1:19" ht="26.4" x14ac:dyDescent="0.3">
      <c r="A76" s="6" t="s">
        <v>842</v>
      </c>
      <c r="B76" s="93" t="s">
        <v>166</v>
      </c>
      <c r="C76" s="3" t="s">
        <v>1074</v>
      </c>
      <c r="D76" s="3" t="s">
        <v>649</v>
      </c>
      <c r="E76" s="74" t="s">
        <v>502</v>
      </c>
      <c r="F76" s="75">
        <v>0.16826273560699168</v>
      </c>
      <c r="G76" s="76">
        <v>24</v>
      </c>
      <c r="H76" s="39" t="s">
        <v>979</v>
      </c>
      <c r="I76" s="77">
        <v>15.375</v>
      </c>
      <c r="J76" s="78"/>
      <c r="K76" s="79">
        <f>J76*I76</f>
        <v>0</v>
      </c>
      <c r="L76" s="73"/>
      <c r="M76" s="73"/>
      <c r="N76" s="24" t="str">
        <f>IFERROR(IF($N$2*F76=0, "-", $N$2*F76), "-")</f>
        <v>-</v>
      </c>
      <c r="O76" s="24" t="str">
        <f>IFERROR(IF(N76&gt;0,I76+N76,"-"),"-")</f>
        <v>-</v>
      </c>
      <c r="P76" s="24" t="str">
        <f>IF(J76&gt;0,J76*F76, "-")</f>
        <v>-</v>
      </c>
      <c r="Q76" s="26" t="str">
        <f>IFERROR(IF($N$2&gt;0, $N$2*P76, "-"), "-")</f>
        <v>-</v>
      </c>
      <c r="R76" s="18"/>
      <c r="S76" s="26" t="str">
        <f>IFERROR(IF(Q76+K76=0, "-", IF(Q76&gt;0, Q76+K76, "-")), "-")</f>
        <v>-</v>
      </c>
    </row>
    <row r="77" spans="1:19" x14ac:dyDescent="0.3">
      <c r="A77" s="6" t="s">
        <v>773</v>
      </c>
      <c r="B77" s="93" t="s">
        <v>113</v>
      </c>
      <c r="C77" s="3" t="s">
        <v>992</v>
      </c>
      <c r="D77" s="3" t="s">
        <v>719</v>
      </c>
      <c r="E77" s="74" t="s">
        <v>438</v>
      </c>
      <c r="F77" s="75">
        <v>4.7407017553729176E-2</v>
      </c>
      <c r="G77" s="76">
        <v>24</v>
      </c>
      <c r="H77" s="39" t="s">
        <v>977</v>
      </c>
      <c r="I77" s="77">
        <v>8.3999999999999986</v>
      </c>
      <c r="J77" s="78"/>
      <c r="K77" s="79">
        <f>J77*I77</f>
        <v>0</v>
      </c>
      <c r="L77" s="73"/>
      <c r="M77" s="73"/>
      <c r="N77" s="24" t="str">
        <f>IFERROR(IF($N$2*F77=0, "-", $N$2*F77), "-")</f>
        <v>-</v>
      </c>
      <c r="O77" s="24" t="str">
        <f>IFERROR(IF(N77&gt;0,I77+N77,"-"),"-")</f>
        <v>-</v>
      </c>
      <c r="P77" s="24" t="str">
        <f>IF(J77&gt;0,J77*F77, "-")</f>
        <v>-</v>
      </c>
      <c r="Q77" s="26" t="str">
        <f>IFERROR(IF($N$2&gt;0, $N$2*P77, "-"), "-")</f>
        <v>-</v>
      </c>
      <c r="R77" s="18"/>
      <c r="S77" s="26" t="str">
        <f>IFERROR(IF(Q77+K77=0, "-", IF(Q77&gt;0, Q77+K77, "-")), "-")</f>
        <v>-</v>
      </c>
    </row>
    <row r="78" spans="1:19" x14ac:dyDescent="0.3">
      <c r="A78" s="6" t="s">
        <v>320</v>
      </c>
      <c r="B78" s="93" t="s">
        <v>23</v>
      </c>
      <c r="C78" s="3" t="s">
        <v>986</v>
      </c>
      <c r="D78" s="3" t="s">
        <v>643</v>
      </c>
      <c r="E78" s="74" t="s">
        <v>337</v>
      </c>
      <c r="F78" s="75">
        <v>0.15890000000000001</v>
      </c>
      <c r="G78" s="76">
        <v>24</v>
      </c>
      <c r="H78" s="39" t="s">
        <v>977</v>
      </c>
      <c r="I78" s="77">
        <v>9.8999999999999986</v>
      </c>
      <c r="J78" s="78"/>
      <c r="K78" s="79">
        <f>J78*I78</f>
        <v>0</v>
      </c>
      <c r="L78" s="73"/>
      <c r="M78" s="73"/>
      <c r="N78" s="24" t="str">
        <f>IFERROR(IF($N$2*F78=0, "-", $N$2*F78), "-")</f>
        <v>-</v>
      </c>
      <c r="O78" s="24" t="str">
        <f>IFERROR(IF(N78&gt;0,I78+N78,"-"),"-")</f>
        <v>-</v>
      </c>
      <c r="P78" s="24" t="str">
        <f>IF(J78&gt;0,J78*F78, "-")</f>
        <v>-</v>
      </c>
      <c r="Q78" s="26" t="str">
        <f>IFERROR(IF($N$2&gt;0, $N$2*P78, "-"), "-")</f>
        <v>-</v>
      </c>
      <c r="R78" s="18"/>
      <c r="S78" s="26" t="str">
        <f>IFERROR(IF(Q78+K78=0, "-", IF(Q78&gt;0, Q78+K78, "-")), "-")</f>
        <v>-</v>
      </c>
    </row>
    <row r="79" spans="1:19" x14ac:dyDescent="0.3">
      <c r="A79" s="6" t="s">
        <v>672</v>
      </c>
      <c r="B79" s="93" t="s">
        <v>34</v>
      </c>
      <c r="C79" s="3" t="s">
        <v>1012</v>
      </c>
      <c r="D79" s="3" t="s">
        <v>673</v>
      </c>
      <c r="E79" s="74" t="s">
        <v>348</v>
      </c>
      <c r="F79" s="75">
        <v>3.8839432571394585E-2</v>
      </c>
      <c r="G79" s="76">
        <v>24</v>
      </c>
      <c r="H79" s="39" t="s">
        <v>977</v>
      </c>
      <c r="I79" s="77">
        <v>4.5</v>
      </c>
      <c r="J79" s="78"/>
      <c r="K79" s="79">
        <f>J79*I79</f>
        <v>0</v>
      </c>
      <c r="L79" s="73"/>
      <c r="M79" s="73"/>
      <c r="N79" s="24" t="str">
        <f>IFERROR(IF($N$2*F79=0, "-", $N$2*F79), "-")</f>
        <v>-</v>
      </c>
      <c r="O79" s="24" t="str">
        <f>IFERROR(IF(N79&gt;0,I79+N79,"-"),"-")</f>
        <v>-</v>
      </c>
      <c r="P79" s="24" t="str">
        <f>IF(J79&gt;0,J79*F79, "-")</f>
        <v>-</v>
      </c>
      <c r="Q79" s="26" t="str">
        <f>IFERROR(IF($N$2&gt;0, $N$2*P79, "-"), "-")</f>
        <v>-</v>
      </c>
      <c r="R79" s="18"/>
      <c r="S79" s="26" t="str">
        <f>IFERROR(IF(Q79+K79=0, "-", IF(Q79&gt;0, Q79+K79, "-")), "-")</f>
        <v>-</v>
      </c>
    </row>
    <row r="80" spans="1:19" x14ac:dyDescent="0.3">
      <c r="A80" s="6" t="s">
        <v>683</v>
      </c>
      <c r="B80" s="93" t="s">
        <v>40</v>
      </c>
      <c r="C80" s="3" t="s">
        <v>1013</v>
      </c>
      <c r="D80" s="3" t="s">
        <v>652</v>
      </c>
      <c r="E80" s="74" t="s">
        <v>354</v>
      </c>
      <c r="F80" s="75">
        <v>0.1435081210110625</v>
      </c>
      <c r="G80" s="76">
        <v>24</v>
      </c>
      <c r="H80" s="39" t="s">
        <v>977</v>
      </c>
      <c r="I80" s="77">
        <v>18.600000000000001</v>
      </c>
      <c r="J80" s="78"/>
      <c r="K80" s="79">
        <f>J80*I80</f>
        <v>0</v>
      </c>
      <c r="L80" s="73"/>
      <c r="M80" s="73"/>
      <c r="N80" s="24" t="str">
        <f>IFERROR(IF($N$2*F80=0, "-", $N$2*F80), "-")</f>
        <v>-</v>
      </c>
      <c r="O80" s="24" t="str">
        <f>IFERROR(IF(N80&gt;0,I80+N80,"-"),"-")</f>
        <v>-</v>
      </c>
      <c r="P80" s="24" t="str">
        <f>IF(J80&gt;0,J80*F80, "-")</f>
        <v>-</v>
      </c>
      <c r="Q80" s="26" t="str">
        <f>IFERROR(IF($N$2&gt;0, $N$2*P80, "-"), "-")</f>
        <v>-</v>
      </c>
      <c r="R80" s="18"/>
      <c r="S80" s="26" t="str">
        <f>IFERROR(IF(Q80+K80=0, "-", IF(Q80&gt;0, Q80+K80, "-")), "-")</f>
        <v>-</v>
      </c>
    </row>
    <row r="81" spans="1:19" x14ac:dyDescent="0.3">
      <c r="A81" s="6" t="s">
        <v>694</v>
      </c>
      <c r="B81" s="93" t="s">
        <v>51</v>
      </c>
      <c r="C81" s="3" t="s">
        <v>1015</v>
      </c>
      <c r="D81" s="3" t="s">
        <v>652</v>
      </c>
      <c r="E81" s="74" t="s">
        <v>365</v>
      </c>
      <c r="F81" s="75">
        <v>6.1779280794000004E-2</v>
      </c>
      <c r="G81" s="76">
        <v>24</v>
      </c>
      <c r="H81" s="39" t="s">
        <v>977</v>
      </c>
      <c r="I81" s="77">
        <v>13.200000000000001</v>
      </c>
      <c r="J81" s="78"/>
      <c r="K81" s="79">
        <f>J81*I81</f>
        <v>0</v>
      </c>
      <c r="L81" s="73"/>
      <c r="M81" s="73"/>
      <c r="N81" s="24" t="str">
        <f>IFERROR(IF($N$2*F81=0, "-", $N$2*F81), "-")</f>
        <v>-</v>
      </c>
      <c r="O81" s="24" t="str">
        <f>IFERROR(IF(N81&gt;0,I81+N81,"-"),"-")</f>
        <v>-</v>
      </c>
      <c r="P81" s="24" t="str">
        <f>IF(J81&gt;0,J81*F81, "-")</f>
        <v>-</v>
      </c>
      <c r="Q81" s="26" t="str">
        <f>IFERROR(IF($N$2&gt;0, $N$2*P81, "-"), "-")</f>
        <v>-</v>
      </c>
      <c r="R81" s="18"/>
      <c r="S81" s="26" t="str">
        <f>IFERROR(IF(Q81+K81=0, "-", IF(Q81&gt;0, Q81+K81, "-")), "-")</f>
        <v>-</v>
      </c>
    </row>
    <row r="82" spans="1:19" x14ac:dyDescent="0.3">
      <c r="A82" s="6" t="s">
        <v>737</v>
      </c>
      <c r="B82" s="93" t="s">
        <v>25</v>
      </c>
      <c r="C82" s="3" t="s">
        <v>1021</v>
      </c>
      <c r="D82" s="3" t="s">
        <v>738</v>
      </c>
      <c r="E82" s="74" t="s">
        <v>402</v>
      </c>
      <c r="F82" s="75">
        <v>7.5808325807637508E-2</v>
      </c>
      <c r="G82" s="76">
        <v>24</v>
      </c>
      <c r="H82" s="39" t="s">
        <v>977</v>
      </c>
      <c r="I82" s="77">
        <v>6</v>
      </c>
      <c r="J82" s="78"/>
      <c r="K82" s="79">
        <f>J82*I82</f>
        <v>0</v>
      </c>
      <c r="L82" s="73"/>
      <c r="M82" s="73"/>
      <c r="N82" s="24" t="str">
        <f>IFERROR(IF($N$2*F82=0, "-", $N$2*F82), "-")</f>
        <v>-</v>
      </c>
      <c r="O82" s="24" t="str">
        <f>IFERROR(IF(N82&gt;0,I82+N82,"-"),"-")</f>
        <v>-</v>
      </c>
      <c r="P82" s="24" t="str">
        <f>IF(J82&gt;0,J82*F82, "-")</f>
        <v>-</v>
      </c>
      <c r="Q82" s="26" t="str">
        <f>IFERROR(IF($N$2&gt;0, $N$2*P82, "-"), "-")</f>
        <v>-</v>
      </c>
      <c r="R82" s="18"/>
      <c r="S82" s="26" t="str">
        <f>IFERROR(IF(Q82+K82=0, "-", IF(Q82&gt;0, Q82+K82, "-")), "-")</f>
        <v>-</v>
      </c>
    </row>
    <row r="83" spans="1:19" x14ac:dyDescent="0.3">
      <c r="A83" s="6" t="s">
        <v>741</v>
      </c>
      <c r="B83" s="93" t="s">
        <v>84</v>
      </c>
      <c r="C83" s="3" t="s">
        <v>1018</v>
      </c>
      <c r="D83" s="3" t="s">
        <v>681</v>
      </c>
      <c r="E83" s="74" t="s">
        <v>406</v>
      </c>
      <c r="F83" s="75">
        <v>6.3709883318812499E-2</v>
      </c>
      <c r="G83" s="76">
        <v>24</v>
      </c>
      <c r="H83" s="39" t="s">
        <v>977</v>
      </c>
      <c r="I83" s="77">
        <v>9.6000000000000014</v>
      </c>
      <c r="J83" s="78"/>
      <c r="K83" s="79">
        <v>0</v>
      </c>
      <c r="L83" s="73"/>
      <c r="M83" s="73"/>
      <c r="N83" s="24" t="str">
        <f>IFERROR(IF($N$2*F83=0, "-", $N$2*F83), "-")</f>
        <v>-</v>
      </c>
      <c r="O83" s="24" t="str">
        <f>IFERROR(IF(N83&gt;0,I83+N83,"-"),"-")</f>
        <v>-</v>
      </c>
      <c r="P83" s="24" t="str">
        <f>IF(J83&gt;0,J83*F83, "-")</f>
        <v>-</v>
      </c>
      <c r="Q83" s="26" t="str">
        <f>IFERROR(IF($N$2&gt;0, $N$2*P83, "-"), "-")</f>
        <v>-</v>
      </c>
      <c r="R83" s="18"/>
      <c r="S83" s="26" t="str">
        <f>IFERROR(IF(Q83+K83=0, "-", IF(Q83&gt;0, Q83+K83, "-")), "-")</f>
        <v>-</v>
      </c>
    </row>
    <row r="84" spans="1:19" x14ac:dyDescent="0.3">
      <c r="A84" s="6" t="s">
        <v>754</v>
      </c>
      <c r="B84" s="93" t="s">
        <v>96</v>
      </c>
      <c r="C84" s="3" t="s">
        <v>1023</v>
      </c>
      <c r="D84" s="3" t="s">
        <v>681</v>
      </c>
      <c r="E84" s="74" t="s">
        <v>419</v>
      </c>
      <c r="F84" s="75">
        <v>4.5626573003068743E-2</v>
      </c>
      <c r="G84" s="76">
        <v>24</v>
      </c>
      <c r="H84" s="39" t="s">
        <v>977</v>
      </c>
      <c r="I84" s="77">
        <v>19.200000000000003</v>
      </c>
      <c r="J84" s="78"/>
      <c r="K84" s="79">
        <f>J84*I84</f>
        <v>0</v>
      </c>
      <c r="L84" s="73"/>
      <c r="M84" s="73"/>
      <c r="N84" s="24" t="str">
        <f>IFERROR(IF($N$2*F84=0, "-", $N$2*F84), "-")</f>
        <v>-</v>
      </c>
      <c r="O84" s="24" t="str">
        <f>IFERROR(IF(N84&gt;0,I84+N84,"-"),"-")</f>
        <v>-</v>
      </c>
      <c r="P84" s="24" t="str">
        <f>IF(J84&gt;0,J84*F84, "-")</f>
        <v>-</v>
      </c>
      <c r="Q84" s="26" t="str">
        <f>IFERROR(IF($N$2&gt;0, $N$2*P84, "-"), "-")</f>
        <v>-</v>
      </c>
      <c r="R84" s="18"/>
      <c r="S84" s="26" t="str">
        <f>IFERROR(IF(Q84+K84=0, "-", IF(Q84&gt;0, Q84+K84, "-")), "-")</f>
        <v>-</v>
      </c>
    </row>
    <row r="85" spans="1:19" x14ac:dyDescent="0.3">
      <c r="A85" s="6" t="s">
        <v>765</v>
      </c>
      <c r="B85" s="93" t="s">
        <v>106</v>
      </c>
      <c r="C85" s="3" t="s">
        <v>1027</v>
      </c>
      <c r="D85" s="3" t="s">
        <v>645</v>
      </c>
      <c r="E85" s="74" t="s">
        <v>430</v>
      </c>
      <c r="F85" s="75">
        <v>0.14755000000000001</v>
      </c>
      <c r="G85" s="76">
        <v>24</v>
      </c>
      <c r="H85" s="39" t="s">
        <v>977</v>
      </c>
      <c r="I85" s="77">
        <v>7.5</v>
      </c>
      <c r="J85" s="78"/>
      <c r="K85" s="79">
        <v>0</v>
      </c>
      <c r="L85" s="73"/>
      <c r="M85" s="73"/>
      <c r="N85" s="24" t="str">
        <f>IFERROR(IF($N$2*F85=0, "-", $N$2*F85), "-")</f>
        <v>-</v>
      </c>
      <c r="O85" s="24" t="str">
        <f>IFERROR(IF(N85&gt;0,I85+N85,"-"),"-")</f>
        <v>-</v>
      </c>
      <c r="P85" s="24" t="str">
        <f>IF(J85&gt;0,J85*F85, "-")</f>
        <v>-</v>
      </c>
      <c r="Q85" s="26" t="str">
        <f>IFERROR(IF($N$2&gt;0, $N$2*P85, "-"), "-")</f>
        <v>-</v>
      </c>
      <c r="R85" s="18"/>
      <c r="S85" s="26" t="str">
        <f>IFERROR(IF(Q85+K85=0, "-", IF(Q85&gt;0, Q85+K85, "-")), "-")</f>
        <v>-</v>
      </c>
    </row>
    <row r="86" spans="1:19" x14ac:dyDescent="0.3">
      <c r="A86" s="6" t="s">
        <v>318</v>
      </c>
      <c r="B86" s="93" t="s">
        <v>109</v>
      </c>
      <c r="C86" s="3" t="s">
        <v>984</v>
      </c>
      <c r="D86" s="3" t="s">
        <v>762</v>
      </c>
      <c r="E86" s="74" t="s">
        <v>433</v>
      </c>
      <c r="F86" s="75">
        <v>0.1064620036738271</v>
      </c>
      <c r="G86" s="76">
        <v>24</v>
      </c>
      <c r="H86" s="39" t="s">
        <v>977</v>
      </c>
      <c r="I86" s="77">
        <v>14.399999999999999</v>
      </c>
      <c r="J86" s="78"/>
      <c r="K86" s="79">
        <f>J86*I86</f>
        <v>0</v>
      </c>
      <c r="L86" s="73"/>
      <c r="M86" s="73"/>
      <c r="N86" s="24" t="str">
        <f>IFERROR(IF($N$2*F86=0, "-", $N$2*F86), "-")</f>
        <v>-</v>
      </c>
      <c r="O86" s="24" t="str">
        <f>IFERROR(IF(N86&gt;0,I86+N86,"-"),"-")</f>
        <v>-</v>
      </c>
      <c r="P86" s="24" t="str">
        <f>IF(J86&gt;0,J86*F86, "-")</f>
        <v>-</v>
      </c>
      <c r="Q86" s="26" t="str">
        <f>IFERROR(IF($N$2&gt;0, $N$2*P86, "-"), "-")</f>
        <v>-</v>
      </c>
      <c r="R86" s="18"/>
      <c r="S86" s="26" t="str">
        <f>IFERROR(IF(Q86+K86=0, "-", IF(Q86&gt;0, Q86+K86, "-")), "-")</f>
        <v>-</v>
      </c>
    </row>
    <row r="87" spans="1:19" x14ac:dyDescent="0.3">
      <c r="A87" s="6" t="s">
        <v>785</v>
      </c>
      <c r="B87" s="93" t="s">
        <v>113</v>
      </c>
      <c r="C87" s="3" t="s">
        <v>1029</v>
      </c>
      <c r="D87" s="3" t="s">
        <v>657</v>
      </c>
      <c r="E87" s="74" t="s">
        <v>448</v>
      </c>
      <c r="F87" s="75">
        <v>5.5987473219562496E-2</v>
      </c>
      <c r="G87" s="76">
        <v>24</v>
      </c>
      <c r="H87" s="39" t="s">
        <v>977</v>
      </c>
      <c r="I87" s="77">
        <v>4.1999999999999993</v>
      </c>
      <c r="J87" s="78"/>
      <c r="K87" s="79">
        <f>J87*I87</f>
        <v>0</v>
      </c>
      <c r="L87" s="73"/>
      <c r="M87" s="73"/>
      <c r="N87" s="24" t="str">
        <f>IFERROR(IF($N$2*F87=0, "-", $N$2*F87), "-")</f>
        <v>-</v>
      </c>
      <c r="O87" s="24" t="str">
        <f>IFERROR(IF(N87&gt;0,I87+N87,"-"),"-")</f>
        <v>-</v>
      </c>
      <c r="P87" s="24" t="str">
        <f>IF(J87&gt;0,J87*F87, "-")</f>
        <v>-</v>
      </c>
      <c r="Q87" s="26" t="str">
        <f>IFERROR(IF($N$2&gt;0, $N$2*P87, "-"), "-")</f>
        <v>-</v>
      </c>
      <c r="R87" s="18"/>
      <c r="S87" s="26" t="str">
        <f>IFERROR(IF(Q87+K87=0, "-", IF(Q87&gt;0, Q87+K87, "-")), "-")</f>
        <v>-</v>
      </c>
    </row>
    <row r="88" spans="1:19" x14ac:dyDescent="0.3">
      <c r="A88" s="6" t="s">
        <v>877</v>
      </c>
      <c r="B88" s="93" t="s">
        <v>197</v>
      </c>
      <c r="C88" s="3" t="s">
        <v>1036</v>
      </c>
      <c r="D88" s="80" t="s">
        <v>762</v>
      </c>
      <c r="E88" s="74" t="s">
        <v>536</v>
      </c>
      <c r="F88" s="75">
        <v>0.11326201478900001</v>
      </c>
      <c r="G88" s="30">
        <v>75</v>
      </c>
      <c r="H88" s="39" t="s">
        <v>977</v>
      </c>
      <c r="I88" s="77">
        <v>16.200000000000003</v>
      </c>
      <c r="J88" s="78"/>
      <c r="K88" s="79">
        <f>J88*I88</f>
        <v>0</v>
      </c>
      <c r="L88" s="73"/>
      <c r="M88" s="73"/>
      <c r="N88" s="24" t="str">
        <f>IFERROR(IF($N$2*F88=0, "-", $N$2*F88), "-")</f>
        <v>-</v>
      </c>
      <c r="O88" s="24" t="str">
        <f>IFERROR(IF(N88&gt;0,I88+N88,"-"),"-")</f>
        <v>-</v>
      </c>
      <c r="P88" s="24" t="str">
        <f>IF(J88&gt;0,J88*F88, "-")</f>
        <v>-</v>
      </c>
      <c r="Q88" s="26" t="str">
        <f>IFERROR(IF($N$2&gt;0, $N$2*P88, "-"), "-")</f>
        <v>-</v>
      </c>
      <c r="R88" s="18"/>
      <c r="S88" s="26" t="str">
        <f>IFERROR(IF(Q88+K88=0, "-", IF(Q88&gt;0, Q88+K88, "-")), "-")</f>
        <v>-</v>
      </c>
    </row>
    <row r="89" spans="1:19" x14ac:dyDescent="0.3">
      <c r="A89" s="6" t="s">
        <v>888</v>
      </c>
      <c r="B89" s="93" t="s">
        <v>306</v>
      </c>
      <c r="C89" s="3" t="s">
        <v>1003</v>
      </c>
      <c r="D89" s="3" t="s">
        <v>645</v>
      </c>
      <c r="E89" s="74" t="s">
        <v>550</v>
      </c>
      <c r="F89" s="75">
        <v>0.1486563944105625</v>
      </c>
      <c r="G89" s="76">
        <v>24</v>
      </c>
      <c r="H89" s="39" t="s">
        <v>977</v>
      </c>
      <c r="I89" s="77">
        <v>7.1999999999999993</v>
      </c>
      <c r="J89" s="78"/>
      <c r="K89" s="79">
        <f>J89*I89</f>
        <v>0</v>
      </c>
      <c r="L89" s="73"/>
      <c r="M89" s="73"/>
      <c r="N89" s="24" t="str">
        <f>IFERROR(IF($N$2*F89=0, "-", $N$2*F89), "-")</f>
        <v>-</v>
      </c>
      <c r="O89" s="24" t="str">
        <f>IFERROR(IF(N89&gt;0,I89+N89,"-"),"-")</f>
        <v>-</v>
      </c>
      <c r="P89" s="24" t="str">
        <f>IF(J89&gt;0,J89*F89, "-")</f>
        <v>-</v>
      </c>
      <c r="Q89" s="26" t="str">
        <f>IFERROR(IF($N$2&gt;0, $N$2*P89, "-"), "-")</f>
        <v>-</v>
      </c>
      <c r="R89" s="18"/>
      <c r="S89" s="26" t="str">
        <f>IFERROR(IF(Q89+K89=0, "-", IF(Q89&gt;0, Q89+K89, "-")), "-")</f>
        <v>-</v>
      </c>
    </row>
    <row r="90" spans="1:19" x14ac:dyDescent="0.3">
      <c r="A90" s="6" t="s">
        <v>894</v>
      </c>
      <c r="B90" s="93" t="s">
        <v>213</v>
      </c>
      <c r="C90" s="3" t="s">
        <v>1038</v>
      </c>
      <c r="D90" s="3" t="s">
        <v>719</v>
      </c>
      <c r="E90" s="74" t="s">
        <v>558</v>
      </c>
      <c r="F90" s="75">
        <v>8.5804556658333336E-2</v>
      </c>
      <c r="G90" s="76">
        <v>12</v>
      </c>
      <c r="H90" s="39" t="s">
        <v>977</v>
      </c>
      <c r="I90" s="77">
        <v>16.799999999999997</v>
      </c>
      <c r="J90" s="78"/>
      <c r="K90" s="79">
        <v>0</v>
      </c>
      <c r="L90" s="73"/>
      <c r="M90" s="73"/>
      <c r="N90" s="24" t="str">
        <f>IFERROR(IF($N$2*F90=0, "-", $N$2*F90), "-")</f>
        <v>-</v>
      </c>
      <c r="O90" s="24" t="str">
        <f>IFERROR(IF(N90&gt;0,I90+N90,"-"),"-")</f>
        <v>-</v>
      </c>
      <c r="P90" s="24" t="str">
        <f>IF(J90&gt;0,J90*F90, "-")</f>
        <v>-</v>
      </c>
      <c r="Q90" s="26" t="str">
        <f>IFERROR(IF($N$2&gt;0, $N$2*P90, "-"), "-")</f>
        <v>-</v>
      </c>
      <c r="R90" s="18"/>
      <c r="S90" s="26" t="str">
        <f>IFERROR(IF(Q90+K90=0, "-", IF(Q90&gt;0, Q90+K90, "-")), "-")</f>
        <v>-</v>
      </c>
    </row>
    <row r="91" spans="1:19" x14ac:dyDescent="0.3">
      <c r="A91" s="6" t="s">
        <v>902</v>
      </c>
      <c r="B91" s="93" t="s">
        <v>219</v>
      </c>
      <c r="C91" s="3" t="s">
        <v>984</v>
      </c>
      <c r="D91" s="3" t="s">
        <v>664</v>
      </c>
      <c r="E91" s="74" t="s">
        <v>566</v>
      </c>
      <c r="F91" s="75">
        <v>0.10214999999999999</v>
      </c>
      <c r="G91" s="76">
        <v>24</v>
      </c>
      <c r="H91" s="39" t="s">
        <v>977</v>
      </c>
      <c r="I91" s="77">
        <v>9</v>
      </c>
      <c r="J91" s="78"/>
      <c r="K91" s="79">
        <f>J91*I91</f>
        <v>0</v>
      </c>
      <c r="L91" s="73"/>
      <c r="M91" s="73"/>
      <c r="N91" s="24" t="str">
        <f>IFERROR(IF($N$2*F91=0, "-", $N$2*F91), "-")</f>
        <v>-</v>
      </c>
      <c r="O91" s="24" t="str">
        <f>IFERROR(IF(N91&gt;0,I91+N91,"-"),"-")</f>
        <v>-</v>
      </c>
      <c r="P91" s="24" t="str">
        <f>IF(J91&gt;0,J91*F91, "-")</f>
        <v>-</v>
      </c>
      <c r="Q91" s="26" t="str">
        <f>IFERROR(IF($N$2&gt;0, $N$2*P91, "-"), "-")</f>
        <v>-</v>
      </c>
      <c r="R91" s="18"/>
      <c r="S91" s="26" t="str">
        <f>IFERROR(IF(Q91+K91=0, "-", IF(Q91&gt;0, Q91+K91, "-")), "-")</f>
        <v>-</v>
      </c>
    </row>
    <row r="92" spans="1:19" x14ac:dyDescent="0.3">
      <c r="A92" s="6" t="s">
        <v>931</v>
      </c>
      <c r="B92" s="93" t="s">
        <v>245</v>
      </c>
      <c r="C92" s="3" t="s">
        <v>1007</v>
      </c>
      <c r="D92" s="3" t="s">
        <v>700</v>
      </c>
      <c r="E92" s="74" t="s">
        <v>596</v>
      </c>
      <c r="F92" s="75">
        <v>5.9248046372579175E-2</v>
      </c>
      <c r="G92" s="76">
        <v>24</v>
      </c>
      <c r="H92" s="39" t="s">
        <v>977</v>
      </c>
      <c r="I92" s="77">
        <v>6.6000000000000005</v>
      </c>
      <c r="J92" s="78"/>
      <c r="K92" s="79">
        <f>J92*I92</f>
        <v>0</v>
      </c>
      <c r="L92" s="73"/>
      <c r="M92" s="73"/>
      <c r="N92" s="24" t="str">
        <f>IFERROR(IF($N$2*F92=0, "-", $N$2*F92), "-")</f>
        <v>-</v>
      </c>
      <c r="O92" s="24" t="str">
        <f>IFERROR(IF(N92&gt;0,I92+N92,"-"),"-")</f>
        <v>-</v>
      </c>
      <c r="P92" s="24" t="str">
        <f>IF(J92&gt;0,J92*F92, "-")</f>
        <v>-</v>
      </c>
      <c r="Q92" s="26" t="str">
        <f>IFERROR(IF($N$2&gt;0, $N$2*P92, "-"), "-")</f>
        <v>-</v>
      </c>
      <c r="R92" s="18"/>
      <c r="S92" s="26" t="str">
        <f>IFERROR(IF(Q92+K92=0, "-", IF(Q92&gt;0, Q92+K92, "-")), "-")</f>
        <v>-</v>
      </c>
    </row>
    <row r="93" spans="1:19" x14ac:dyDescent="0.3">
      <c r="A93" s="6" t="s">
        <v>944</v>
      </c>
      <c r="B93" s="93" t="s">
        <v>239</v>
      </c>
      <c r="C93" s="3" t="s">
        <v>1040</v>
      </c>
      <c r="D93" s="3" t="s">
        <v>662</v>
      </c>
      <c r="E93" s="74" t="s">
        <v>609</v>
      </c>
      <c r="F93" s="75">
        <v>6.795720887340001E-2</v>
      </c>
      <c r="G93" s="76">
        <v>24</v>
      </c>
      <c r="H93" s="39" t="s">
        <v>977</v>
      </c>
      <c r="I93" s="77">
        <v>10.8</v>
      </c>
      <c r="J93" s="78"/>
      <c r="K93" s="79">
        <f>J93*I93</f>
        <v>0</v>
      </c>
      <c r="L93" s="73"/>
      <c r="M93" s="73"/>
      <c r="N93" s="24" t="str">
        <f>IFERROR(IF($N$2*F93=0, "-", $N$2*F93), "-")</f>
        <v>-</v>
      </c>
      <c r="O93" s="24" t="str">
        <f>IFERROR(IF(N93&gt;0,I93+N93,"-"),"-")</f>
        <v>-</v>
      </c>
      <c r="P93" s="24" t="str">
        <f>IF(J93&gt;0,J93*F93, "-")</f>
        <v>-</v>
      </c>
      <c r="Q93" s="26" t="str">
        <f>IFERROR(IF($N$2&gt;0, $N$2*P93, "-"), "-")</f>
        <v>-</v>
      </c>
      <c r="R93" s="18"/>
      <c r="S93" s="26" t="str">
        <f>IFERROR(IF(Q93+K93=0, "-", IF(Q93&gt;0, Q93+K93, "-")), "-")</f>
        <v>-</v>
      </c>
    </row>
    <row r="94" spans="1:19" x14ac:dyDescent="0.3">
      <c r="A94" s="6" t="s">
        <v>644</v>
      </c>
      <c r="B94" s="93" t="s">
        <v>18</v>
      </c>
      <c r="C94" s="3" t="s">
        <v>1044</v>
      </c>
      <c r="D94" s="3" t="s">
        <v>645</v>
      </c>
      <c r="E94" s="74" t="s">
        <v>332</v>
      </c>
      <c r="F94" s="75">
        <v>0.51529000000000003</v>
      </c>
      <c r="G94" s="76">
        <v>12</v>
      </c>
      <c r="H94" s="39" t="s">
        <v>977</v>
      </c>
      <c r="I94" s="77">
        <v>19.200000000000003</v>
      </c>
      <c r="J94" s="78"/>
      <c r="K94" s="79">
        <f>J94*I94</f>
        <v>0</v>
      </c>
      <c r="L94" s="73"/>
      <c r="M94" s="73"/>
      <c r="N94" s="24" t="str">
        <f>IFERROR(IF($N$2*F94=0, "-", $N$2*F94), "-")</f>
        <v>-</v>
      </c>
      <c r="O94" s="24" t="str">
        <f>IFERROR(IF(N94&gt;0,I94+N94,"-"),"-")</f>
        <v>-</v>
      </c>
      <c r="P94" s="24" t="str">
        <f>IF(J94&gt;0,J94*F94, "-")</f>
        <v>-</v>
      </c>
      <c r="Q94" s="26" t="str">
        <f>IFERROR(IF($N$2&gt;0, $N$2*P94, "-"), "-")</f>
        <v>-</v>
      </c>
      <c r="R94" s="18"/>
      <c r="S94" s="26" t="str">
        <f>IFERROR(IF(Q94+K94=0, "-", IF(Q94&gt;0, Q94+K94, "-")), "-")</f>
        <v>-</v>
      </c>
    </row>
    <row r="95" spans="1:19" x14ac:dyDescent="0.3">
      <c r="A95" s="6" t="s">
        <v>650</v>
      </c>
      <c r="B95" s="93" t="s">
        <v>21</v>
      </c>
      <c r="C95" s="3" t="s">
        <v>1009</v>
      </c>
      <c r="D95" s="3" t="s">
        <v>643</v>
      </c>
      <c r="E95" s="74" t="s">
        <v>335</v>
      </c>
      <c r="F95" s="75">
        <v>0.18930630312744792</v>
      </c>
      <c r="G95" s="76">
        <v>24</v>
      </c>
      <c r="H95" s="39" t="s">
        <v>977</v>
      </c>
      <c r="I95" s="77">
        <v>13.200000000000001</v>
      </c>
      <c r="J95" s="78"/>
      <c r="K95" s="79">
        <f>J95*I95</f>
        <v>0</v>
      </c>
      <c r="L95" s="73"/>
      <c r="M95" s="73"/>
      <c r="N95" s="24" t="str">
        <f>IFERROR(IF($N$2*F95=0, "-", $N$2*F95), "-")</f>
        <v>-</v>
      </c>
      <c r="O95" s="24" t="str">
        <f>IFERROR(IF(N95&gt;0,I95+N95,"-"),"-")</f>
        <v>-</v>
      </c>
      <c r="P95" s="24" t="str">
        <f>IF(J95&gt;0,J95*F95, "-")</f>
        <v>-</v>
      </c>
      <c r="Q95" s="26" t="str">
        <f>IFERROR(IF($N$2&gt;0, $N$2*P95, "-"), "-")</f>
        <v>-</v>
      </c>
      <c r="R95" s="18"/>
      <c r="S95" s="26" t="str">
        <f>IFERROR(IF(Q95+K95=0, "-", IF(Q95&gt;0, Q95+K95, "-")), "-")</f>
        <v>-</v>
      </c>
    </row>
    <row r="96" spans="1:19" x14ac:dyDescent="0.3">
      <c r="A96" s="6" t="s">
        <v>1127</v>
      </c>
      <c r="B96" s="93" t="s">
        <v>1119</v>
      </c>
      <c r="C96" s="3" t="s">
        <v>1128</v>
      </c>
      <c r="D96" s="3" t="s">
        <v>654</v>
      </c>
      <c r="E96" s="74" t="s">
        <v>1129</v>
      </c>
      <c r="F96" s="75">
        <v>5.4914916261333338E-2</v>
      </c>
      <c r="G96" s="76">
        <v>24</v>
      </c>
      <c r="H96" s="39" t="s">
        <v>977</v>
      </c>
      <c r="I96" s="77">
        <v>4.8000000000000007</v>
      </c>
      <c r="J96" s="78"/>
      <c r="K96" s="79">
        <f>J96*I96</f>
        <v>0</v>
      </c>
      <c r="L96" s="73"/>
      <c r="M96" s="73"/>
      <c r="N96" s="24" t="str">
        <f>IFERROR(IF($N$2*F96=0, "-", $N$2*F96), "-")</f>
        <v>-</v>
      </c>
      <c r="O96" s="24" t="str">
        <f>IFERROR(IF(N96&gt;0,I96+N96,"-"),"-")</f>
        <v>-</v>
      </c>
      <c r="P96" s="24" t="str">
        <f>IF(J96&gt;0,J96*F96, "-")</f>
        <v>-</v>
      </c>
      <c r="Q96" s="26" t="str">
        <f>IFERROR(IF($N$2&gt;0, $N$2*P96, "-"), "-")</f>
        <v>-</v>
      </c>
      <c r="R96" s="18"/>
      <c r="S96" s="26" t="str">
        <f>IFERROR(IF(Q96+K96=0, "-", IF(Q96&gt;0, Q96+K96, "-")), "-")</f>
        <v>-</v>
      </c>
    </row>
    <row r="97" spans="1:19" x14ac:dyDescent="0.3">
      <c r="A97" s="6" t="s">
        <v>661</v>
      </c>
      <c r="B97" s="93" t="s">
        <v>28</v>
      </c>
      <c r="C97" s="3" t="s">
        <v>984</v>
      </c>
      <c r="D97" s="3" t="s">
        <v>662</v>
      </c>
      <c r="E97" s="74" t="s">
        <v>342</v>
      </c>
      <c r="F97" s="75">
        <v>0.10082035407354169</v>
      </c>
      <c r="G97" s="76">
        <v>24</v>
      </c>
      <c r="H97" s="39" t="s">
        <v>977</v>
      </c>
      <c r="I97" s="77">
        <v>24</v>
      </c>
      <c r="J97" s="78"/>
      <c r="K97" s="79">
        <f>J97*I97</f>
        <v>0</v>
      </c>
      <c r="L97" s="73"/>
      <c r="M97" s="73"/>
      <c r="N97" s="24" t="str">
        <f>IFERROR(IF($N$2*F97=0, "-", $N$2*F97), "-")</f>
        <v>-</v>
      </c>
      <c r="O97" s="24" t="str">
        <f>IFERROR(IF(N97&gt;0,I97+N97,"-"),"-")</f>
        <v>-</v>
      </c>
      <c r="P97" s="24" t="str">
        <f>IF(J97&gt;0,J97*F97, "-")</f>
        <v>-</v>
      </c>
      <c r="Q97" s="26" t="str">
        <f>IFERROR(IF($N$2&gt;0, $N$2*P97, "-"), "-")</f>
        <v>-</v>
      </c>
      <c r="R97" s="18"/>
      <c r="S97" s="26" t="str">
        <f>IFERROR(IF(Q97+K97=0, "-", IF(Q97&gt;0, Q97+K97, "-")), "-")</f>
        <v>-</v>
      </c>
    </row>
    <row r="98" spans="1:19" x14ac:dyDescent="0.3">
      <c r="A98" s="6" t="s">
        <v>667</v>
      </c>
      <c r="B98" s="93" t="s">
        <v>31</v>
      </c>
      <c r="C98" s="3" t="s">
        <v>1046</v>
      </c>
      <c r="D98" s="3" t="s">
        <v>668</v>
      </c>
      <c r="E98" s="74" t="s">
        <v>345</v>
      </c>
      <c r="F98" s="75">
        <v>9.0909927779504185E-2</v>
      </c>
      <c r="G98" s="76">
        <v>24</v>
      </c>
      <c r="H98" s="39" t="s">
        <v>977</v>
      </c>
      <c r="I98" s="77">
        <v>21</v>
      </c>
      <c r="J98" s="78"/>
      <c r="K98" s="79">
        <f>J98*I98</f>
        <v>0</v>
      </c>
      <c r="L98" s="73"/>
      <c r="M98" s="73"/>
      <c r="N98" s="24" t="str">
        <f>IFERROR(IF($N$2*F98=0, "-", $N$2*F98), "-")</f>
        <v>-</v>
      </c>
      <c r="O98" s="24" t="str">
        <f>IFERROR(IF(N98&gt;0,I98+N98,"-"),"-")</f>
        <v>-</v>
      </c>
      <c r="P98" s="24" t="str">
        <f>IF(J98&gt;0,J98*F98, "-")</f>
        <v>-</v>
      </c>
      <c r="Q98" s="26" t="str">
        <f>IFERROR(IF($N$2&gt;0, $N$2*P98, "-"), "-")</f>
        <v>-</v>
      </c>
      <c r="R98" s="18"/>
      <c r="S98" s="26" t="str">
        <f>IFERROR(IF(Q98+K98=0, "-", IF(Q98&gt;0, Q98+K98, "-")), "-")</f>
        <v>-</v>
      </c>
    </row>
    <row r="99" spans="1:19" x14ac:dyDescent="0.3">
      <c r="A99" s="6" t="s">
        <v>669</v>
      </c>
      <c r="B99" s="93" t="s">
        <v>32</v>
      </c>
      <c r="C99" s="3" t="s">
        <v>1002</v>
      </c>
      <c r="D99" s="3" t="s">
        <v>670</v>
      </c>
      <c r="E99" s="74" t="s">
        <v>346</v>
      </c>
      <c r="F99" s="75">
        <v>8.6877113616562487E-2</v>
      </c>
      <c r="G99" s="76">
        <v>24</v>
      </c>
      <c r="H99" s="39" t="s">
        <v>977</v>
      </c>
      <c r="I99" s="77">
        <v>21.6</v>
      </c>
      <c r="J99" s="78"/>
      <c r="K99" s="79">
        <f>J99*I99</f>
        <v>0</v>
      </c>
      <c r="L99" s="73"/>
      <c r="M99" s="73"/>
      <c r="N99" s="24" t="str">
        <f>IFERROR(IF($N$2*F99=0, "-", $N$2*F99), "-")</f>
        <v>-</v>
      </c>
      <c r="O99" s="24" t="str">
        <f>IFERROR(IF(N99&gt;0,I99+N99,"-"),"-")</f>
        <v>-</v>
      </c>
      <c r="P99" s="24" t="str">
        <f>IF(J99&gt;0,J99*F99, "-")</f>
        <v>-</v>
      </c>
      <c r="Q99" s="26" t="str">
        <f>IFERROR(IF($N$2&gt;0, $N$2*P99, "-"), "-")</f>
        <v>-</v>
      </c>
      <c r="R99" s="18"/>
      <c r="S99" s="26" t="str">
        <f>IFERROR(IF(Q99+K99=0, "-", IF(Q99&gt;0, Q99+K99, "-")), "-")</f>
        <v>-</v>
      </c>
    </row>
    <row r="100" spans="1:19" x14ac:dyDescent="0.3">
      <c r="A100" s="6" t="s">
        <v>671</v>
      </c>
      <c r="B100" s="93" t="s">
        <v>33</v>
      </c>
      <c r="C100" s="3" t="s">
        <v>1047</v>
      </c>
      <c r="D100" s="3" t="s">
        <v>666</v>
      </c>
      <c r="E100" s="74" t="s">
        <v>347</v>
      </c>
      <c r="F100" s="75">
        <v>0.18501607529453126</v>
      </c>
      <c r="G100" s="76">
        <v>24</v>
      </c>
      <c r="H100" s="39" t="s">
        <v>977</v>
      </c>
      <c r="I100" s="77">
        <v>22.200000000000003</v>
      </c>
      <c r="J100" s="78"/>
      <c r="K100" s="79">
        <f>J100*I100</f>
        <v>0</v>
      </c>
      <c r="L100" s="73"/>
      <c r="M100" s="73"/>
      <c r="N100" s="24" t="str">
        <f>IFERROR(IF($N$2*F100=0, "-", $N$2*F100), "-")</f>
        <v>-</v>
      </c>
      <c r="O100" s="24" t="str">
        <f>IFERROR(IF(N100&gt;0,I100+N100,"-"),"-")</f>
        <v>-</v>
      </c>
      <c r="P100" s="24" t="str">
        <f>IF(J100&gt;0,J100*F100, "-")</f>
        <v>-</v>
      </c>
      <c r="Q100" s="26" t="str">
        <f>IFERROR(IF($N$2&gt;0, $N$2*P100, "-"), "-")</f>
        <v>-</v>
      </c>
      <c r="R100" s="18"/>
      <c r="S100" s="26" t="str">
        <f>IFERROR(IF(Q100+K100=0, "-", IF(Q100&gt;0, Q100+K100, "-")), "-")</f>
        <v>-</v>
      </c>
    </row>
    <row r="101" spans="1:19" x14ac:dyDescent="0.3">
      <c r="A101" s="6" t="s">
        <v>680</v>
      </c>
      <c r="B101" s="93" t="s">
        <v>38</v>
      </c>
      <c r="C101" s="3" t="s">
        <v>1048</v>
      </c>
      <c r="D101" s="3" t="s">
        <v>681</v>
      </c>
      <c r="E101" s="74" t="s">
        <v>352</v>
      </c>
      <c r="F101" s="75">
        <v>0.10873582442527292</v>
      </c>
      <c r="G101" s="76">
        <v>24</v>
      </c>
      <c r="H101" s="39" t="s">
        <v>977</v>
      </c>
      <c r="I101" s="77">
        <v>13.830000000000002</v>
      </c>
      <c r="J101" s="78"/>
      <c r="K101" s="79">
        <f>J101*I101</f>
        <v>0</v>
      </c>
      <c r="L101" s="73"/>
      <c r="M101" s="73"/>
      <c r="N101" s="24" t="str">
        <f>IFERROR(IF($N$2*F101=0, "-", $N$2*F101), "-")</f>
        <v>-</v>
      </c>
      <c r="O101" s="24" t="str">
        <f>IFERROR(IF(N101&gt;0,I101+N101,"-"),"-")</f>
        <v>-</v>
      </c>
      <c r="P101" s="24" t="str">
        <f>IF(J101&gt;0,J101*F101, "-")</f>
        <v>-</v>
      </c>
      <c r="Q101" s="26" t="str">
        <f>IFERROR(IF($N$2&gt;0, $N$2*P101, "-"), "-")</f>
        <v>-</v>
      </c>
      <c r="R101" s="18"/>
      <c r="S101" s="26" t="str">
        <f>IFERROR(IF(Q101+K101=0, "-", IF(Q101&gt;0, Q101+K101, "-")), "-")</f>
        <v>-</v>
      </c>
    </row>
    <row r="102" spans="1:19" x14ac:dyDescent="0.3">
      <c r="A102" s="6" t="s">
        <v>684</v>
      </c>
      <c r="B102" s="93" t="s">
        <v>41</v>
      </c>
      <c r="C102" s="3" t="s">
        <v>1049</v>
      </c>
      <c r="D102" s="3" t="s">
        <v>670</v>
      </c>
      <c r="E102" s="74" t="s">
        <v>355</v>
      </c>
      <c r="F102" s="75">
        <v>0.19385394463033959</v>
      </c>
      <c r="G102" s="76">
        <v>24</v>
      </c>
      <c r="H102" s="39" t="s">
        <v>977</v>
      </c>
      <c r="I102" s="77">
        <v>21</v>
      </c>
      <c r="J102" s="78"/>
      <c r="K102" s="79">
        <f>J102*I102</f>
        <v>0</v>
      </c>
      <c r="L102" s="73"/>
      <c r="M102" s="73"/>
      <c r="N102" s="24" t="str">
        <f>IFERROR(IF($N$2*F102=0, "-", $N$2*F102), "-")</f>
        <v>-</v>
      </c>
      <c r="O102" s="24" t="str">
        <f>IFERROR(IF(N102&gt;0,I102+N102,"-"),"-")</f>
        <v>-</v>
      </c>
      <c r="P102" s="24" t="str">
        <f>IF(J102&gt;0,J102*F102, "-")</f>
        <v>-</v>
      </c>
      <c r="Q102" s="26" t="str">
        <f>IFERROR(IF($N$2&gt;0, $N$2*P102, "-"), "-")</f>
        <v>-</v>
      </c>
      <c r="R102" s="18"/>
      <c r="S102" s="26" t="str">
        <f>IFERROR(IF(Q102+K102=0, "-", IF(Q102&gt;0, Q102+K102, "-")), "-")</f>
        <v>-</v>
      </c>
    </row>
    <row r="103" spans="1:19" x14ac:dyDescent="0.3">
      <c r="A103" s="6" t="s">
        <v>687</v>
      </c>
      <c r="B103" s="93" t="s">
        <v>44</v>
      </c>
      <c r="C103" s="3" t="s">
        <v>1050</v>
      </c>
      <c r="D103" s="3" t="s">
        <v>666</v>
      </c>
      <c r="E103" s="74" t="s">
        <v>358</v>
      </c>
      <c r="F103" s="75">
        <v>6.1779280794000004E-2</v>
      </c>
      <c r="G103" s="76">
        <v>24</v>
      </c>
      <c r="H103" s="39" t="s">
        <v>977</v>
      </c>
      <c r="I103" s="77">
        <v>23.4</v>
      </c>
      <c r="J103" s="78"/>
      <c r="K103" s="79">
        <f>J103*I103</f>
        <v>0</v>
      </c>
      <c r="L103" s="73"/>
      <c r="M103" s="73"/>
      <c r="N103" s="24" t="str">
        <f>IFERROR(IF($N$2*F103=0, "-", $N$2*F103), "-")</f>
        <v>-</v>
      </c>
      <c r="O103" s="24" t="str">
        <f>IFERROR(IF(N103&gt;0,I103+N103,"-"),"-")</f>
        <v>-</v>
      </c>
      <c r="P103" s="24" t="str">
        <f>IF(J103&gt;0,J103*F103, "-")</f>
        <v>-</v>
      </c>
      <c r="Q103" s="26" t="str">
        <f>IFERROR(IF($N$2&gt;0, $N$2*P103, "-"), "-")</f>
        <v>-</v>
      </c>
      <c r="R103" s="18"/>
      <c r="S103" s="26" t="str">
        <f>IFERROR(IF(Q103+K103=0, "-", IF(Q103&gt;0, Q103+K103, "-")), "-")</f>
        <v>-</v>
      </c>
    </row>
    <row r="104" spans="1:19" x14ac:dyDescent="0.3">
      <c r="A104" s="6" t="s">
        <v>1133</v>
      </c>
      <c r="B104" s="93" t="s">
        <v>1119</v>
      </c>
      <c r="C104" s="3" t="s">
        <v>1134</v>
      </c>
      <c r="D104" s="80" t="s">
        <v>654</v>
      </c>
      <c r="E104" s="74" t="s">
        <v>1135</v>
      </c>
      <c r="F104" s="75">
        <v>9.3097943974291664E-2</v>
      </c>
      <c r="G104" s="30">
        <v>24</v>
      </c>
      <c r="H104" s="39" t="s">
        <v>977</v>
      </c>
      <c r="I104" s="77">
        <v>10.8</v>
      </c>
      <c r="J104" s="78"/>
      <c r="K104" s="79">
        <f>J104*I104</f>
        <v>0</v>
      </c>
      <c r="L104" s="73"/>
      <c r="M104" s="73"/>
      <c r="N104" s="24" t="str">
        <f>IFERROR(IF($N$2*F104=0, "-", $N$2*F104), "-")</f>
        <v>-</v>
      </c>
      <c r="O104" s="24" t="str">
        <f>IFERROR(IF(N104&gt;0,I104+N104,"-"),"-")</f>
        <v>-</v>
      </c>
      <c r="P104" s="24" t="str">
        <f>IF(J104&gt;0,J104*F104, "-")</f>
        <v>-</v>
      </c>
      <c r="Q104" s="26" t="str">
        <f>IFERROR(IF($N$2&gt;0, $N$2*P104, "-"), "-")</f>
        <v>-</v>
      </c>
      <c r="R104" s="18"/>
      <c r="S104" s="26" t="str">
        <f>IFERROR(IF(Q104+K104=0, "-", IF(Q104&gt;0, Q104+K104, "-")), "-")</f>
        <v>-</v>
      </c>
    </row>
    <row r="105" spans="1:19" x14ac:dyDescent="0.3">
      <c r="A105" s="6" t="s">
        <v>690</v>
      </c>
      <c r="B105" s="93" t="s">
        <v>47</v>
      </c>
      <c r="C105" s="3" t="s">
        <v>1051</v>
      </c>
      <c r="D105" s="3" t="s">
        <v>662</v>
      </c>
      <c r="E105" s="74" t="s">
        <v>361</v>
      </c>
      <c r="F105" s="75">
        <v>0.14586774631916669</v>
      </c>
      <c r="G105" s="76">
        <v>24</v>
      </c>
      <c r="H105" s="39" t="s">
        <v>977</v>
      </c>
      <c r="I105" s="77">
        <v>12.600000000000001</v>
      </c>
      <c r="J105" s="78"/>
      <c r="K105" s="79">
        <f>J105*I105</f>
        <v>0</v>
      </c>
      <c r="L105" s="73"/>
      <c r="M105" s="73"/>
      <c r="N105" s="24" t="str">
        <f>IFERROR(IF($N$2*F105=0, "-", $N$2*F105), "-")</f>
        <v>-</v>
      </c>
      <c r="O105" s="24" t="str">
        <f>IFERROR(IF(N105&gt;0,I105+N105,"-"),"-")</f>
        <v>-</v>
      </c>
      <c r="P105" s="24" t="str">
        <f>IF(J105&gt;0,J105*F105, "-")</f>
        <v>-</v>
      </c>
      <c r="Q105" s="26" t="str">
        <f>IFERROR(IF($N$2&gt;0, $N$2*P105, "-"), "-")</f>
        <v>-</v>
      </c>
      <c r="R105" s="18"/>
      <c r="S105" s="26" t="str">
        <f>IFERROR(IF(Q105+K105=0, "-", IF(Q105&gt;0, Q105+K105, "-")), "-")</f>
        <v>-</v>
      </c>
    </row>
    <row r="106" spans="1:19" x14ac:dyDescent="0.3">
      <c r="A106" s="6" t="s">
        <v>691</v>
      </c>
      <c r="B106" s="93" t="s">
        <v>49</v>
      </c>
      <c r="C106" s="3" t="s">
        <v>984</v>
      </c>
      <c r="D106" s="80" t="s">
        <v>692</v>
      </c>
      <c r="E106" s="74" t="s">
        <v>363</v>
      </c>
      <c r="F106" s="75">
        <v>7.9450000000000007E-2</v>
      </c>
      <c r="G106" s="30">
        <v>24</v>
      </c>
      <c r="H106" s="39" t="s">
        <v>977</v>
      </c>
      <c r="I106" s="77">
        <v>13.200000000000001</v>
      </c>
      <c r="J106" s="78"/>
      <c r="K106" s="79">
        <f>J106*I106</f>
        <v>0</v>
      </c>
      <c r="L106" s="73"/>
      <c r="M106" s="73"/>
      <c r="N106" s="24" t="str">
        <f>IFERROR(IF($N$2*F106=0, "-", $N$2*F106), "-")</f>
        <v>-</v>
      </c>
      <c r="O106" s="24" t="str">
        <f>IFERROR(IF(N106&gt;0,I106+N106,"-"),"-")</f>
        <v>-</v>
      </c>
      <c r="P106" s="24" t="str">
        <f>IF(J106&gt;0,J106*F106, "-")</f>
        <v>-</v>
      </c>
      <c r="Q106" s="26" t="str">
        <f>IFERROR(IF($N$2&gt;0, $N$2*P106, "-"), "-")</f>
        <v>-</v>
      </c>
      <c r="R106" s="18"/>
      <c r="S106" s="26" t="str">
        <f>IFERROR(IF(Q106+K106=0, "-", IF(Q106&gt;0, Q106+K106, "-")), "-")</f>
        <v>-</v>
      </c>
    </row>
    <row r="107" spans="1:19" x14ac:dyDescent="0.3">
      <c r="A107" s="6" t="s">
        <v>695</v>
      </c>
      <c r="B107" s="93" t="s">
        <v>52</v>
      </c>
      <c r="C107" s="3" t="s">
        <v>1047</v>
      </c>
      <c r="D107" s="3" t="s">
        <v>643</v>
      </c>
      <c r="E107" s="74" t="s">
        <v>366</v>
      </c>
      <c r="F107" s="75">
        <v>0.13578571091181252</v>
      </c>
      <c r="G107" s="76">
        <v>24</v>
      </c>
      <c r="H107" s="39" t="s">
        <v>977</v>
      </c>
      <c r="I107" s="77">
        <v>12</v>
      </c>
      <c r="J107" s="78"/>
      <c r="K107" s="79">
        <f>J107*I107</f>
        <v>0</v>
      </c>
      <c r="L107" s="73"/>
      <c r="M107" s="73"/>
      <c r="N107" s="24" t="str">
        <f>IFERROR(IF($N$2*F107=0, "-", $N$2*F107), "-")</f>
        <v>-</v>
      </c>
      <c r="O107" s="24" t="str">
        <f>IFERROR(IF(N107&gt;0,I107+N107,"-"),"-")</f>
        <v>-</v>
      </c>
      <c r="P107" s="24" t="str">
        <f>IF(J107&gt;0,J107*F107, "-")</f>
        <v>-</v>
      </c>
      <c r="Q107" s="26" t="str">
        <f>IFERROR(IF($N$2&gt;0, $N$2*P107, "-"), "-")</f>
        <v>-</v>
      </c>
      <c r="R107" s="18"/>
      <c r="S107" s="26" t="str">
        <f>IFERROR(IF(Q107+K107=0, "-", IF(Q107&gt;0, Q107+K107, "-")), "-")</f>
        <v>-</v>
      </c>
    </row>
    <row r="108" spans="1:19" x14ac:dyDescent="0.3">
      <c r="A108" s="6" t="s">
        <v>698</v>
      </c>
      <c r="B108" s="93" t="s">
        <v>54</v>
      </c>
      <c r="C108" s="3" t="s">
        <v>1048</v>
      </c>
      <c r="D108" s="3" t="s">
        <v>664</v>
      </c>
      <c r="E108" s="74" t="s">
        <v>368</v>
      </c>
      <c r="F108" s="75">
        <v>0.1070840867096</v>
      </c>
      <c r="G108" s="76">
        <v>24</v>
      </c>
      <c r="H108" s="39" t="s">
        <v>977</v>
      </c>
      <c r="I108" s="77">
        <v>12</v>
      </c>
      <c r="J108" s="78"/>
      <c r="K108" s="79">
        <f>J108*I108</f>
        <v>0</v>
      </c>
      <c r="L108" s="73"/>
      <c r="M108" s="73"/>
      <c r="N108" s="24" t="str">
        <f>IFERROR(IF($N$2*F108=0, "-", $N$2*F108), "-")</f>
        <v>-</v>
      </c>
      <c r="O108" s="24" t="str">
        <f>IFERROR(IF(N108&gt;0,I108+N108,"-"),"-")</f>
        <v>-</v>
      </c>
      <c r="P108" s="24" t="str">
        <f>IF(J108&gt;0,J108*F108, "-")</f>
        <v>-</v>
      </c>
      <c r="Q108" s="26" t="str">
        <f>IFERROR(IF($N$2&gt;0, $N$2*P108, "-"), "-")</f>
        <v>-</v>
      </c>
      <c r="R108" s="18"/>
      <c r="S108" s="26" t="str">
        <f>IFERROR(IF(Q108+K108=0, "-", IF(Q108&gt;0, Q108+K108, "-")), "-")</f>
        <v>-</v>
      </c>
    </row>
    <row r="109" spans="1:19" x14ac:dyDescent="0.3">
      <c r="A109" s="6" t="s">
        <v>702</v>
      </c>
      <c r="B109" s="93" t="s">
        <v>57</v>
      </c>
      <c r="C109" s="3" t="s">
        <v>1052</v>
      </c>
      <c r="D109" s="3" t="s">
        <v>703</v>
      </c>
      <c r="E109" s="74" t="s">
        <v>371</v>
      </c>
      <c r="F109" s="75">
        <v>0.20429999999999998</v>
      </c>
      <c r="G109" s="76">
        <v>24</v>
      </c>
      <c r="H109" s="39" t="s">
        <v>977</v>
      </c>
      <c r="I109" s="77">
        <v>31.5</v>
      </c>
      <c r="J109" s="78"/>
      <c r="K109" s="79">
        <f>J109*I109</f>
        <v>0</v>
      </c>
      <c r="L109" s="73"/>
      <c r="M109" s="73"/>
      <c r="N109" s="24" t="str">
        <f>IFERROR(IF($N$2*F109=0, "-", $N$2*F109), "-")</f>
        <v>-</v>
      </c>
      <c r="O109" s="24" t="str">
        <f>IFERROR(IF(N109&gt;0,I109+N109,"-"),"-")</f>
        <v>-</v>
      </c>
      <c r="P109" s="24" t="str">
        <f>IF(J109&gt;0,J109*F109, "-")</f>
        <v>-</v>
      </c>
      <c r="Q109" s="26" t="str">
        <f>IFERROR(IF($N$2&gt;0, $N$2*P109, "-"), "-")</f>
        <v>-</v>
      </c>
      <c r="R109" s="18"/>
      <c r="S109" s="26" t="str">
        <f>IFERROR(IF(Q109+K109=0, "-", IF(Q109&gt;0, Q109+K109, "-")), "-")</f>
        <v>-</v>
      </c>
    </row>
    <row r="110" spans="1:19" x14ac:dyDescent="0.3">
      <c r="A110" s="6" t="s">
        <v>704</v>
      </c>
      <c r="B110" s="93" t="s">
        <v>58</v>
      </c>
      <c r="C110" s="3" t="s">
        <v>1053</v>
      </c>
      <c r="D110" s="3" t="s">
        <v>645</v>
      </c>
      <c r="E110" s="74" t="s">
        <v>372</v>
      </c>
      <c r="F110" s="75">
        <v>0.28487112810566667</v>
      </c>
      <c r="G110" s="76">
        <v>12</v>
      </c>
      <c r="H110" s="39" t="s">
        <v>977</v>
      </c>
      <c r="I110" s="77">
        <v>17.475000000000001</v>
      </c>
      <c r="J110" s="78"/>
      <c r="K110" s="79">
        <f>J110*I110</f>
        <v>0</v>
      </c>
      <c r="L110" s="73"/>
      <c r="M110" s="73"/>
      <c r="N110" s="24" t="str">
        <f>IFERROR(IF($N$2*F110=0, "-", $N$2*F110), "-")</f>
        <v>-</v>
      </c>
      <c r="O110" s="24" t="str">
        <f>IFERROR(IF(N110&gt;0,I110+N110,"-"),"-")</f>
        <v>-</v>
      </c>
      <c r="P110" s="24" t="str">
        <f>IF(J110&gt;0,J110*F110, "-")</f>
        <v>-</v>
      </c>
      <c r="Q110" s="26" t="str">
        <f>IFERROR(IF($N$2&gt;0, $N$2*P110, "-"), "-")</f>
        <v>-</v>
      </c>
      <c r="R110" s="18"/>
      <c r="S110" s="26" t="str">
        <f>IFERROR(IF(Q110+K110=0, "-", IF(Q110&gt;0, Q110+K110, "-")), "-")</f>
        <v>-</v>
      </c>
    </row>
    <row r="111" spans="1:19" x14ac:dyDescent="0.3">
      <c r="A111" s="6" t="s">
        <v>705</v>
      </c>
      <c r="B111" s="93" t="s">
        <v>59</v>
      </c>
      <c r="C111" s="3" t="s">
        <v>1028</v>
      </c>
      <c r="D111" s="3" t="s">
        <v>657</v>
      </c>
      <c r="E111" s="74" t="s">
        <v>373</v>
      </c>
      <c r="F111" s="75">
        <v>5.6750000000000002E-2</v>
      </c>
      <c r="G111" s="76">
        <v>24</v>
      </c>
      <c r="H111" s="39" t="s">
        <v>977</v>
      </c>
      <c r="I111" s="77">
        <v>18</v>
      </c>
      <c r="J111" s="78"/>
      <c r="K111" s="79">
        <f>J111*I111</f>
        <v>0</v>
      </c>
      <c r="L111" s="73"/>
      <c r="M111" s="73"/>
      <c r="N111" s="24" t="str">
        <f>IFERROR(IF($N$2*F111=0, "-", $N$2*F111), "-")</f>
        <v>-</v>
      </c>
      <c r="O111" s="24" t="str">
        <f>IFERROR(IF(N111&gt;0,I111+N111,"-"),"-")</f>
        <v>-</v>
      </c>
      <c r="P111" s="24" t="str">
        <f>IF(J111&gt;0,J111*F111, "-")</f>
        <v>-</v>
      </c>
      <c r="Q111" s="26" t="str">
        <f>IFERROR(IF($N$2&gt;0, $N$2*P111, "-"), "-")</f>
        <v>-</v>
      </c>
      <c r="R111" s="18"/>
      <c r="S111" s="26" t="str">
        <f>IFERROR(IF(Q111+K111=0, "-", IF(Q111&gt;0, Q111+K111, "-")), "-")</f>
        <v>-</v>
      </c>
    </row>
    <row r="112" spans="1:19" x14ac:dyDescent="0.3">
      <c r="A112" s="6" t="s">
        <v>707</v>
      </c>
      <c r="B112" s="93" t="s">
        <v>61</v>
      </c>
      <c r="C112" s="3" t="s">
        <v>1054</v>
      </c>
      <c r="D112" s="3" t="s">
        <v>649</v>
      </c>
      <c r="E112" s="74" t="s">
        <v>375</v>
      </c>
      <c r="F112" s="75">
        <v>7.9450000000000007E-2</v>
      </c>
      <c r="G112" s="76">
        <v>24</v>
      </c>
      <c r="H112" s="39" t="s">
        <v>977</v>
      </c>
      <c r="I112" s="77">
        <v>31.200000000000003</v>
      </c>
      <c r="J112" s="78"/>
      <c r="K112" s="79">
        <f>J112*I112</f>
        <v>0</v>
      </c>
      <c r="L112" s="73"/>
      <c r="M112" s="73"/>
      <c r="N112" s="24" t="str">
        <f>IFERROR(IF($N$2*F112=0, "-", $N$2*F112), "-")</f>
        <v>-</v>
      </c>
      <c r="O112" s="24" t="str">
        <f>IFERROR(IF(N112&gt;0,I112+N112,"-"),"-")</f>
        <v>-</v>
      </c>
      <c r="P112" s="24" t="str">
        <f>IF(J112&gt;0,J112*F112, "-")</f>
        <v>-</v>
      </c>
      <c r="Q112" s="26" t="str">
        <f>IFERROR(IF($N$2&gt;0, $N$2*P112, "-"), "-")</f>
        <v>-</v>
      </c>
      <c r="R112" s="18"/>
      <c r="S112" s="26" t="str">
        <f>IFERROR(IF(Q112+K112=0, "-", IF(Q112&gt;0, Q112+K112, "-")), "-")</f>
        <v>-</v>
      </c>
    </row>
    <row r="113" spans="1:19" x14ac:dyDescent="0.3">
      <c r="A113" s="6" t="s">
        <v>710</v>
      </c>
      <c r="B113" s="93" t="s">
        <v>61</v>
      </c>
      <c r="C113" s="3" t="s">
        <v>1055</v>
      </c>
      <c r="D113" s="3" t="s">
        <v>649</v>
      </c>
      <c r="E113" s="74" t="s">
        <v>378</v>
      </c>
      <c r="F113" s="75">
        <v>8.6877113616562487E-2</v>
      </c>
      <c r="G113" s="76">
        <v>24</v>
      </c>
      <c r="H113" s="39" t="s">
        <v>977</v>
      </c>
      <c r="I113" s="77">
        <v>31.200000000000003</v>
      </c>
      <c r="J113" s="78"/>
      <c r="K113" s="79">
        <f>J113*I113</f>
        <v>0</v>
      </c>
      <c r="L113" s="73"/>
      <c r="M113" s="73"/>
      <c r="N113" s="24" t="str">
        <f>IFERROR(IF($N$2*F113=0, "-", $N$2*F113), "-")</f>
        <v>-</v>
      </c>
      <c r="O113" s="24" t="str">
        <f>IFERROR(IF(N113&gt;0,I113+N113,"-"),"-")</f>
        <v>-</v>
      </c>
      <c r="P113" s="24" t="str">
        <f>IF(J113&gt;0,J113*F113, "-")</f>
        <v>-</v>
      </c>
      <c r="Q113" s="26" t="str">
        <f>IFERROR(IF($N$2&gt;0, $N$2*P113, "-"), "-")</f>
        <v>-</v>
      </c>
      <c r="R113" s="18"/>
      <c r="S113" s="26" t="str">
        <f>IFERROR(IF(Q113+K113=0, "-", IF(Q113&gt;0, Q113+K113, "-")), "-")</f>
        <v>-</v>
      </c>
    </row>
    <row r="114" spans="1:19" x14ac:dyDescent="0.3">
      <c r="A114" s="6" t="s">
        <v>711</v>
      </c>
      <c r="B114" s="93" t="s">
        <v>62</v>
      </c>
      <c r="C114" s="3" t="s">
        <v>984</v>
      </c>
      <c r="D114" s="3" t="s">
        <v>712</v>
      </c>
      <c r="E114" s="74" t="s">
        <v>379</v>
      </c>
      <c r="F114" s="75">
        <v>8.4731999700104185E-2</v>
      </c>
      <c r="G114" s="76">
        <v>24</v>
      </c>
      <c r="H114" s="39" t="s">
        <v>977</v>
      </c>
      <c r="I114" s="77">
        <v>21.6</v>
      </c>
      <c r="J114" s="78"/>
      <c r="K114" s="79">
        <f>J114*I114</f>
        <v>0</v>
      </c>
      <c r="L114" s="73"/>
      <c r="M114" s="73"/>
      <c r="N114" s="24" t="str">
        <f>IFERROR(IF($N$2*F114=0, "-", $N$2*F114), "-")</f>
        <v>-</v>
      </c>
      <c r="O114" s="24" t="str">
        <f>IFERROR(IF(N114&gt;0,I114+N114,"-"),"-")</f>
        <v>-</v>
      </c>
      <c r="P114" s="24" t="str">
        <f>IF(J114&gt;0,J114*F114, "-")</f>
        <v>-</v>
      </c>
      <c r="Q114" s="26" t="str">
        <f>IFERROR(IF($N$2&gt;0, $N$2*P114, "-"), "-")</f>
        <v>-</v>
      </c>
      <c r="R114" s="18"/>
      <c r="S114" s="26" t="str">
        <f>IFERROR(IF(Q114+K114=0, "-", IF(Q114&gt;0, Q114+K114, "-")), "-")</f>
        <v>-</v>
      </c>
    </row>
    <row r="115" spans="1:19" x14ac:dyDescent="0.3">
      <c r="A115" s="6" t="s">
        <v>1140</v>
      </c>
      <c r="B115" s="93" t="s">
        <v>1141</v>
      </c>
      <c r="C115" s="3" t="s">
        <v>1142</v>
      </c>
      <c r="D115" s="3" t="s">
        <v>654</v>
      </c>
      <c r="E115" s="74" t="s">
        <v>1143</v>
      </c>
      <c r="F115" s="75">
        <v>0.12012637932166667</v>
      </c>
      <c r="G115" s="76">
        <v>24</v>
      </c>
      <c r="H115" s="39" t="s">
        <v>977</v>
      </c>
      <c r="I115" s="77">
        <v>10.8</v>
      </c>
      <c r="J115" s="78"/>
      <c r="K115" s="79">
        <f>J115*I115</f>
        <v>0</v>
      </c>
      <c r="L115" s="73"/>
      <c r="M115" s="73"/>
      <c r="N115" s="24" t="str">
        <f>IFERROR(IF($N$2*F115=0, "-", $N$2*F115), "-")</f>
        <v>-</v>
      </c>
      <c r="O115" s="24" t="str">
        <f>IFERROR(IF(N115&gt;0,I115+N115,"-"),"-")</f>
        <v>-</v>
      </c>
      <c r="P115" s="24" t="str">
        <f>IF(J115&gt;0,J115*F115, "-")</f>
        <v>-</v>
      </c>
      <c r="Q115" s="26" t="str">
        <f>IFERROR(IF($N$2&gt;0, $N$2*P115, "-"), "-")</f>
        <v>-</v>
      </c>
      <c r="R115" s="18"/>
      <c r="S115" s="26" t="str">
        <f>IFERROR(IF(Q115+K115=0, "-", IF(Q115&gt;0, Q115+K115, "-")), "-")</f>
        <v>-</v>
      </c>
    </row>
    <row r="116" spans="1:19" x14ac:dyDescent="0.3">
      <c r="A116" s="6" t="s">
        <v>723</v>
      </c>
      <c r="B116" s="93" t="s">
        <v>70</v>
      </c>
      <c r="C116" s="3" t="s">
        <v>1040</v>
      </c>
      <c r="D116" s="3" t="s">
        <v>654</v>
      </c>
      <c r="E116" s="74" t="s">
        <v>390</v>
      </c>
      <c r="F116" s="75">
        <v>4.5400000000000003E-2</v>
      </c>
      <c r="G116" s="76">
        <v>24</v>
      </c>
      <c r="H116" s="39" t="s">
        <v>977</v>
      </c>
      <c r="I116" s="77">
        <v>13.200000000000001</v>
      </c>
      <c r="J116" s="78"/>
      <c r="K116" s="79">
        <f>J116*I116</f>
        <v>0</v>
      </c>
      <c r="L116" s="73"/>
      <c r="M116" s="73"/>
      <c r="N116" s="24" t="str">
        <f>IFERROR(IF($N$2*F116=0, "-", $N$2*F116), "-")</f>
        <v>-</v>
      </c>
      <c r="O116" s="24" t="str">
        <f>IFERROR(IF(N116&gt;0,I116+N116,"-"),"-")</f>
        <v>-</v>
      </c>
      <c r="P116" s="24" t="str">
        <f>IF(J116&gt;0,J116*F116, "-")</f>
        <v>-</v>
      </c>
      <c r="Q116" s="26" t="str">
        <f>IFERROR(IF($N$2&gt;0, $N$2*P116, "-"), "-")</f>
        <v>-</v>
      </c>
      <c r="R116" s="18"/>
      <c r="S116" s="26" t="str">
        <f>IFERROR(IF(Q116+K116=0, "-", IF(Q116&gt;0, Q116+K116, "-")), "-")</f>
        <v>-</v>
      </c>
    </row>
    <row r="117" spans="1:19" x14ac:dyDescent="0.3">
      <c r="A117" s="6" t="s">
        <v>724</v>
      </c>
      <c r="B117" s="93" t="s">
        <v>71</v>
      </c>
      <c r="C117" s="3" t="s">
        <v>1040</v>
      </c>
      <c r="D117" s="3" t="s">
        <v>654</v>
      </c>
      <c r="E117" s="74" t="s">
        <v>391</v>
      </c>
      <c r="F117" s="75">
        <v>4.5400000000000003E-2</v>
      </c>
      <c r="G117" s="76">
        <v>24</v>
      </c>
      <c r="H117" s="39" t="s">
        <v>977</v>
      </c>
      <c r="I117" s="77">
        <v>10.8</v>
      </c>
      <c r="J117" s="78"/>
      <c r="K117" s="79">
        <f>J117*I117</f>
        <v>0</v>
      </c>
      <c r="L117" s="73"/>
      <c r="M117" s="73"/>
      <c r="N117" s="24" t="str">
        <f>IFERROR(IF($N$2*F117=0, "-", $N$2*F117), "-")</f>
        <v>-</v>
      </c>
      <c r="O117" s="24" t="str">
        <f>IFERROR(IF(N117&gt;0,I117+N117,"-"),"-")</f>
        <v>-</v>
      </c>
      <c r="P117" s="24" t="str">
        <f>IF(J117&gt;0,J117*F117, "-")</f>
        <v>-</v>
      </c>
      <c r="Q117" s="26" t="str">
        <f>IFERROR(IF($N$2&gt;0, $N$2*P117, "-"), "-")</f>
        <v>-</v>
      </c>
      <c r="R117" s="18"/>
      <c r="S117" s="26" t="str">
        <f>IFERROR(IF(Q117+K117=0, "-", IF(Q117&gt;0, Q117+K117, "-")), "-")</f>
        <v>-</v>
      </c>
    </row>
    <row r="118" spans="1:19" x14ac:dyDescent="0.3">
      <c r="A118" s="6" t="s">
        <v>728</v>
      </c>
      <c r="B118" s="93" t="s">
        <v>74</v>
      </c>
      <c r="C118" s="3" t="s">
        <v>984</v>
      </c>
      <c r="D118" s="3" t="s">
        <v>703</v>
      </c>
      <c r="E118" s="74" t="s">
        <v>394</v>
      </c>
      <c r="F118" s="75">
        <v>0.1126184806140625</v>
      </c>
      <c r="G118" s="76">
        <v>24</v>
      </c>
      <c r="H118" s="39" t="s">
        <v>977</v>
      </c>
      <c r="I118" s="77">
        <v>24.945</v>
      </c>
      <c r="J118" s="78"/>
      <c r="K118" s="79">
        <f>J118*I118</f>
        <v>0</v>
      </c>
      <c r="L118" s="73"/>
      <c r="M118" s="73"/>
      <c r="N118" s="24" t="str">
        <f>IFERROR(IF($N$2*F118=0, "-", $N$2*F118), "-")</f>
        <v>-</v>
      </c>
      <c r="O118" s="24" t="str">
        <f>IFERROR(IF(N118&gt;0,I118+N118,"-"),"-")</f>
        <v>-</v>
      </c>
      <c r="P118" s="24" t="str">
        <f>IF(J118&gt;0,J118*F118, "-")</f>
        <v>-</v>
      </c>
      <c r="Q118" s="26" t="str">
        <f>IFERROR(IF($N$2&gt;0, $N$2*P118, "-"), "-")</f>
        <v>-</v>
      </c>
      <c r="R118" s="18"/>
      <c r="S118" s="26" t="str">
        <f>IFERROR(IF(Q118+K118=0, "-", IF(Q118&gt;0, Q118+K118, "-")), "-")</f>
        <v>-</v>
      </c>
    </row>
    <row r="119" spans="1:19" x14ac:dyDescent="0.3">
      <c r="A119" s="6" t="s">
        <v>731</v>
      </c>
      <c r="B119" s="93" t="s">
        <v>76</v>
      </c>
      <c r="C119" s="3" t="s">
        <v>1056</v>
      </c>
      <c r="D119" s="3" t="s">
        <v>730</v>
      </c>
      <c r="E119" s="74" t="s">
        <v>396</v>
      </c>
      <c r="F119" s="75">
        <v>5.3198825128166677E-2</v>
      </c>
      <c r="G119" s="76">
        <v>24</v>
      </c>
      <c r="H119" s="39" t="s">
        <v>977</v>
      </c>
      <c r="I119" s="77">
        <v>24</v>
      </c>
      <c r="J119" s="78"/>
      <c r="K119" s="79">
        <f>J119*I119</f>
        <v>0</v>
      </c>
      <c r="L119" s="73"/>
      <c r="M119" s="73"/>
      <c r="N119" s="24" t="str">
        <f>IFERROR(IF($N$2*F119=0, "-", $N$2*F119), "-")</f>
        <v>-</v>
      </c>
      <c r="O119" s="24" t="str">
        <f>IFERROR(IF(N119&gt;0,I119+N119,"-"),"-")</f>
        <v>-</v>
      </c>
      <c r="P119" s="24" t="str">
        <f>IF(J119&gt;0,J119*F119, "-")</f>
        <v>-</v>
      </c>
      <c r="Q119" s="26" t="str">
        <f>IFERROR(IF($N$2&gt;0, $N$2*P119, "-"), "-")</f>
        <v>-</v>
      </c>
      <c r="R119" s="18"/>
      <c r="S119" s="26" t="str">
        <f>IFERROR(IF(Q119+K119=0, "-", IF(Q119&gt;0, Q119+K119, "-")), "-")</f>
        <v>-</v>
      </c>
    </row>
    <row r="120" spans="1:19" x14ac:dyDescent="0.3">
      <c r="A120" s="6" t="s">
        <v>733</v>
      </c>
      <c r="B120" s="93" t="s">
        <v>78</v>
      </c>
      <c r="C120" s="3" t="s">
        <v>1057</v>
      </c>
      <c r="D120" s="3" t="s">
        <v>681</v>
      </c>
      <c r="E120" s="74" t="s">
        <v>398</v>
      </c>
      <c r="F120" s="75">
        <v>6.5114932934092706E-2</v>
      </c>
      <c r="G120" s="76">
        <v>24</v>
      </c>
      <c r="H120" s="39" t="s">
        <v>977</v>
      </c>
      <c r="I120" s="77">
        <v>9</v>
      </c>
      <c r="J120" s="78"/>
      <c r="K120" s="79">
        <f>J120*I120</f>
        <v>0</v>
      </c>
      <c r="L120" s="73"/>
      <c r="M120" s="73"/>
      <c r="N120" s="24" t="str">
        <f>IFERROR(IF($N$2*F120=0, "-", $N$2*F120), "-")</f>
        <v>-</v>
      </c>
      <c r="O120" s="24" t="str">
        <f>IFERROR(IF(N120&gt;0,I120+N120,"-"),"-")</f>
        <v>-</v>
      </c>
      <c r="P120" s="24" t="str">
        <f>IF(J120&gt;0,J120*F120, "-")</f>
        <v>-</v>
      </c>
      <c r="Q120" s="26" t="str">
        <f>IFERROR(IF($N$2&gt;0, $N$2*P120, "-"), "-")</f>
        <v>-</v>
      </c>
      <c r="R120" s="18"/>
      <c r="S120" s="26" t="str">
        <f>IFERROR(IF(Q120+K120=0, "-", IF(Q120&gt;0, Q120+K120, "-")), "-")</f>
        <v>-</v>
      </c>
    </row>
    <row r="121" spans="1:19" x14ac:dyDescent="0.3">
      <c r="A121" s="6" t="s">
        <v>739</v>
      </c>
      <c r="B121" s="93" t="s">
        <v>25</v>
      </c>
      <c r="C121" s="3" t="s">
        <v>1058</v>
      </c>
      <c r="D121" s="3" t="s">
        <v>738</v>
      </c>
      <c r="E121" s="74" t="s">
        <v>403</v>
      </c>
      <c r="F121" s="75">
        <v>7.5808325807637508E-2</v>
      </c>
      <c r="G121" s="76">
        <v>24</v>
      </c>
      <c r="H121" s="39" t="s">
        <v>977</v>
      </c>
      <c r="I121" s="77">
        <v>19.200000000000003</v>
      </c>
      <c r="J121" s="78"/>
      <c r="K121" s="79">
        <f>J121*I121</f>
        <v>0</v>
      </c>
      <c r="L121" s="73"/>
      <c r="M121" s="73"/>
      <c r="N121" s="24" t="str">
        <f>IFERROR(IF($N$2*F121=0, "-", $N$2*F121), "-")</f>
        <v>-</v>
      </c>
      <c r="O121" s="24" t="str">
        <f>IFERROR(IF(N121&gt;0,I121+N121,"-"),"-")</f>
        <v>-</v>
      </c>
      <c r="P121" s="24" t="str">
        <f>IF(J121&gt;0,J121*F121, "-")</f>
        <v>-</v>
      </c>
      <c r="Q121" s="26" t="str">
        <f>IFERROR(IF($N$2&gt;0, $N$2*P121, "-"), "-")</f>
        <v>-</v>
      </c>
      <c r="R121" s="18"/>
      <c r="S121" s="26" t="str">
        <f>IFERROR(IF(Q121+K121=0, "-", IF(Q121&gt;0, Q121+K121, "-")), "-")</f>
        <v>-</v>
      </c>
    </row>
    <row r="122" spans="1:19" x14ac:dyDescent="0.3">
      <c r="A122" s="6" t="s">
        <v>740</v>
      </c>
      <c r="B122" s="93" t="s">
        <v>82</v>
      </c>
      <c r="C122" s="3" t="s">
        <v>1059</v>
      </c>
      <c r="D122" s="3" t="s">
        <v>700</v>
      </c>
      <c r="E122" s="74" t="s">
        <v>404</v>
      </c>
      <c r="F122" s="75">
        <v>0.16924948800856249</v>
      </c>
      <c r="G122" s="76">
        <v>24</v>
      </c>
      <c r="H122" s="39" t="s">
        <v>977</v>
      </c>
      <c r="I122" s="77">
        <v>10.8</v>
      </c>
      <c r="J122" s="78"/>
      <c r="K122" s="79">
        <v>0</v>
      </c>
      <c r="L122" s="73"/>
      <c r="M122" s="73"/>
      <c r="N122" s="24" t="str">
        <f>IFERROR(IF($N$2*F122=0, "-", $N$2*F122), "-")</f>
        <v>-</v>
      </c>
      <c r="O122" s="24" t="str">
        <f>IFERROR(IF(N122&gt;0,I122+N122,"-"),"-")</f>
        <v>-</v>
      </c>
      <c r="P122" s="24" t="str">
        <f>IF(J122&gt;0,J122*F122, "-")</f>
        <v>-</v>
      </c>
      <c r="Q122" s="26" t="str">
        <f>IFERROR(IF($N$2&gt;0, $N$2*P122, "-"), "-")</f>
        <v>-</v>
      </c>
      <c r="R122" s="18"/>
      <c r="S122" s="26" t="str">
        <f>IFERROR(IF(Q122+K122=0, "-", IF(Q122&gt;0, Q122+K122, "-")), "-")</f>
        <v>-</v>
      </c>
    </row>
    <row r="123" spans="1:19" x14ac:dyDescent="0.3">
      <c r="A123" s="6" t="s">
        <v>742</v>
      </c>
      <c r="B123" s="93" t="s">
        <v>85</v>
      </c>
      <c r="C123" s="3" t="s">
        <v>1007</v>
      </c>
      <c r="D123" s="3" t="s">
        <v>743</v>
      </c>
      <c r="E123" s="74" t="s">
        <v>407</v>
      </c>
      <c r="F123" s="75">
        <v>6.4567928885395837E-2</v>
      </c>
      <c r="G123" s="76">
        <v>24</v>
      </c>
      <c r="H123" s="39" t="s">
        <v>977</v>
      </c>
      <c r="I123" s="77">
        <v>5.4</v>
      </c>
      <c r="J123" s="78"/>
      <c r="K123" s="79">
        <f>J123*I123</f>
        <v>0</v>
      </c>
      <c r="L123" s="73"/>
      <c r="M123" s="73"/>
      <c r="N123" s="24" t="str">
        <f>IFERROR(IF($N$2*F123=0, "-", $N$2*F123), "-")</f>
        <v>-</v>
      </c>
      <c r="O123" s="24" t="str">
        <f>IFERROR(IF(N123&gt;0,I123+N123,"-"),"-")</f>
        <v>-</v>
      </c>
      <c r="P123" s="24" t="str">
        <f>IF(J123&gt;0,J123*F123, "-")</f>
        <v>-</v>
      </c>
      <c r="Q123" s="26" t="str">
        <f>IFERROR(IF($N$2&gt;0, $N$2*P123, "-"), "-")</f>
        <v>-</v>
      </c>
      <c r="R123" s="18"/>
      <c r="S123" s="26" t="str">
        <f>IFERROR(IF(Q123+K123=0, "-", IF(Q123&gt;0, Q123+K123, "-")), "-")</f>
        <v>-</v>
      </c>
    </row>
    <row r="124" spans="1:19" x14ac:dyDescent="0.3">
      <c r="A124" s="6" t="s">
        <v>744</v>
      </c>
      <c r="B124" s="93" t="s">
        <v>86</v>
      </c>
      <c r="C124" s="3" t="s">
        <v>990</v>
      </c>
      <c r="D124" s="3" t="s">
        <v>703</v>
      </c>
      <c r="E124" s="74" t="s">
        <v>408</v>
      </c>
      <c r="F124" s="75">
        <v>8.3659442741875006E-2</v>
      </c>
      <c r="G124" s="76">
        <v>24</v>
      </c>
      <c r="H124" s="39" t="s">
        <v>977</v>
      </c>
      <c r="I124" s="77">
        <v>15.600000000000001</v>
      </c>
      <c r="J124" s="78"/>
      <c r="K124" s="79">
        <f>J124*I124</f>
        <v>0</v>
      </c>
      <c r="L124" s="73"/>
      <c r="M124" s="73"/>
      <c r="N124" s="24" t="str">
        <f>IFERROR(IF($N$2*F124=0, "-", $N$2*F124), "-")</f>
        <v>-</v>
      </c>
      <c r="O124" s="24" t="str">
        <f>IFERROR(IF(N124&gt;0,I124+N124,"-"),"-")</f>
        <v>-</v>
      </c>
      <c r="P124" s="24" t="str">
        <f>IF(J124&gt;0,J124*F124, "-")</f>
        <v>-</v>
      </c>
      <c r="Q124" s="26" t="str">
        <f>IFERROR(IF($N$2&gt;0, $N$2*P124, "-"), "-")</f>
        <v>-</v>
      </c>
      <c r="R124" s="18"/>
      <c r="S124" s="26" t="str">
        <f>IFERROR(IF(Q124+K124=0, "-", IF(Q124&gt;0, Q124+K124, "-")), "-")</f>
        <v>-</v>
      </c>
    </row>
    <row r="125" spans="1:19" x14ac:dyDescent="0.3">
      <c r="A125" s="6" t="s">
        <v>746</v>
      </c>
      <c r="B125" s="93" t="s">
        <v>88</v>
      </c>
      <c r="C125" s="3" t="s">
        <v>1040</v>
      </c>
      <c r="D125" s="80" t="s">
        <v>703</v>
      </c>
      <c r="E125" s="74" t="s">
        <v>410</v>
      </c>
      <c r="F125" s="75">
        <v>4.8599700891280004E-2</v>
      </c>
      <c r="G125" s="30">
        <v>24</v>
      </c>
      <c r="H125" s="39" t="s">
        <v>977</v>
      </c>
      <c r="I125" s="77">
        <v>11.399999999999999</v>
      </c>
      <c r="J125" s="78"/>
      <c r="K125" s="79">
        <f>J125*I125</f>
        <v>0</v>
      </c>
      <c r="L125" s="73"/>
      <c r="M125" s="73"/>
      <c r="N125" s="24" t="str">
        <f>IFERROR(IF($N$2*F125=0, "-", $N$2*F125), "-")</f>
        <v>-</v>
      </c>
      <c r="O125" s="24" t="str">
        <f>IFERROR(IF(N125&gt;0,I125+N125,"-"),"-")</f>
        <v>-</v>
      </c>
      <c r="P125" s="24" t="str">
        <f>IF(J125&gt;0,J125*F125, "-")</f>
        <v>-</v>
      </c>
      <c r="Q125" s="26" t="str">
        <f>IFERROR(IF($N$2&gt;0, $N$2*P125, "-"), "-")</f>
        <v>-</v>
      </c>
      <c r="R125" s="18"/>
      <c r="S125" s="26" t="str">
        <f>IFERROR(IF(Q125+K125=0, "-", IF(Q125&gt;0, Q125+K125, "-")), "-")</f>
        <v>-</v>
      </c>
    </row>
    <row r="126" spans="1:19" x14ac:dyDescent="0.3">
      <c r="A126" s="6" t="s">
        <v>750</v>
      </c>
      <c r="B126" s="93" t="s">
        <v>91</v>
      </c>
      <c r="C126" s="3" t="s">
        <v>1060</v>
      </c>
      <c r="D126" s="80" t="s">
        <v>664</v>
      </c>
      <c r="E126" s="74" t="s">
        <v>413</v>
      </c>
      <c r="F126" s="75">
        <v>0.29259353820491668</v>
      </c>
      <c r="G126" s="30">
        <v>12</v>
      </c>
      <c r="H126" s="39" t="s">
        <v>977</v>
      </c>
      <c r="I126" s="77">
        <v>16.200000000000003</v>
      </c>
      <c r="J126" s="78"/>
      <c r="K126" s="79">
        <f>J126*I126</f>
        <v>0</v>
      </c>
      <c r="L126" s="73"/>
      <c r="M126" s="73"/>
      <c r="N126" s="24" t="str">
        <f>IFERROR(IF($N$2*F126=0, "-", $N$2*F126), "-")</f>
        <v>-</v>
      </c>
      <c r="O126" s="24" t="str">
        <f>IFERROR(IF(N126&gt;0,I126+N126,"-"),"-")</f>
        <v>-</v>
      </c>
      <c r="P126" s="24" t="str">
        <f>IF(J126&gt;0,J126*F126, "-")</f>
        <v>-</v>
      </c>
      <c r="Q126" s="26" t="str">
        <f>IFERROR(IF($N$2&gt;0, $N$2*P126, "-"), "-")</f>
        <v>-</v>
      </c>
      <c r="R126" s="18"/>
      <c r="S126" s="26" t="str">
        <f>IFERROR(IF(Q126+K126=0, "-", IF(Q126&gt;0, Q126+K126, "-")), "-")</f>
        <v>-</v>
      </c>
    </row>
    <row r="127" spans="1:19" x14ac:dyDescent="0.3">
      <c r="A127" s="6" t="s">
        <v>301</v>
      </c>
      <c r="B127" s="93" t="s">
        <v>92</v>
      </c>
      <c r="C127" s="3" t="s">
        <v>1061</v>
      </c>
      <c r="D127" s="3" t="s">
        <v>673</v>
      </c>
      <c r="E127" s="74" t="s">
        <v>415</v>
      </c>
      <c r="F127" s="75">
        <v>0.18705393351516672</v>
      </c>
      <c r="G127" s="76">
        <v>24</v>
      </c>
      <c r="H127" s="39" t="s">
        <v>977</v>
      </c>
      <c r="I127" s="77">
        <v>30</v>
      </c>
      <c r="J127" s="78"/>
      <c r="K127" s="79">
        <f>J127*I127</f>
        <v>0</v>
      </c>
      <c r="L127" s="73"/>
      <c r="M127" s="73"/>
      <c r="N127" s="24" t="str">
        <f>IFERROR(IF($N$2*F127=0, "-", $N$2*F127), "-")</f>
        <v>-</v>
      </c>
      <c r="O127" s="24" t="str">
        <f>IFERROR(IF(N127&gt;0,I127+N127,"-"),"-")</f>
        <v>-</v>
      </c>
      <c r="P127" s="24" t="str">
        <f>IF(J127&gt;0,J127*F127, "-")</f>
        <v>-</v>
      </c>
      <c r="Q127" s="26" t="str">
        <f>IFERROR(IF($N$2&gt;0, $N$2*P127, "-"), "-")</f>
        <v>-</v>
      </c>
      <c r="R127" s="18"/>
      <c r="S127" s="26" t="str">
        <f>IFERROR(IF(Q127+K127=0, "-", IF(Q127&gt;0, Q127+K127, "-")), "-")</f>
        <v>-</v>
      </c>
    </row>
    <row r="128" spans="1:19" x14ac:dyDescent="0.3">
      <c r="A128" s="6" t="s">
        <v>752</v>
      </c>
      <c r="B128" s="93" t="s">
        <v>94</v>
      </c>
      <c r="C128" s="3" t="s">
        <v>1015</v>
      </c>
      <c r="D128" s="80" t="s">
        <v>662</v>
      </c>
      <c r="E128" s="74" t="s">
        <v>417</v>
      </c>
      <c r="F128" s="75">
        <v>6.3495371927166658E-2</v>
      </c>
      <c r="G128" s="30">
        <v>24</v>
      </c>
      <c r="H128" s="39" t="s">
        <v>977</v>
      </c>
      <c r="I128" s="77">
        <v>13.200000000000001</v>
      </c>
      <c r="J128" s="78"/>
      <c r="K128" s="79">
        <f>J128*I128</f>
        <v>0</v>
      </c>
      <c r="L128" s="73"/>
      <c r="M128" s="73"/>
      <c r="N128" s="24" t="str">
        <f>IFERROR(IF($N$2*F128=0, "-", $N$2*F128), "-")</f>
        <v>-</v>
      </c>
      <c r="O128" s="24" t="str">
        <f>IFERROR(IF(N128&gt;0,I128+N128,"-"),"-")</f>
        <v>-</v>
      </c>
      <c r="P128" s="24" t="str">
        <f>IF(J128&gt;0,J128*F128, "-")</f>
        <v>-</v>
      </c>
      <c r="Q128" s="26" t="str">
        <f>IFERROR(IF($N$2&gt;0, $N$2*P128, "-"), "-")</f>
        <v>-</v>
      </c>
      <c r="R128" s="18"/>
      <c r="S128" s="26" t="str">
        <f>IFERROR(IF(Q128+K128=0, "-", IF(Q128&gt;0, Q128+K128, "-")), "-")</f>
        <v>-</v>
      </c>
    </row>
    <row r="129" spans="1:19" x14ac:dyDescent="0.3">
      <c r="A129" s="6" t="s">
        <v>753</v>
      </c>
      <c r="B129" s="93" t="s">
        <v>95</v>
      </c>
      <c r="C129" s="3" t="s">
        <v>1062</v>
      </c>
      <c r="D129" s="3" t="s">
        <v>700</v>
      </c>
      <c r="E129" s="74" t="s">
        <v>418</v>
      </c>
      <c r="F129" s="75">
        <v>5.6416496002854179E-2</v>
      </c>
      <c r="G129" s="76">
        <v>24</v>
      </c>
      <c r="H129" s="39" t="s">
        <v>977</v>
      </c>
      <c r="I129" s="77">
        <v>10.8</v>
      </c>
      <c r="J129" s="78"/>
      <c r="K129" s="79">
        <f>J129*I129</f>
        <v>0</v>
      </c>
      <c r="L129" s="73"/>
      <c r="M129" s="73"/>
      <c r="N129" s="24" t="str">
        <f>IFERROR(IF($N$2*F129=0, "-", $N$2*F129), "-")</f>
        <v>-</v>
      </c>
      <c r="O129" s="24" t="str">
        <f>IFERROR(IF(N129&gt;0,I129+N129,"-"),"-")</f>
        <v>-</v>
      </c>
      <c r="P129" s="24" t="str">
        <f>IF(J129&gt;0,J129*F129, "-")</f>
        <v>-</v>
      </c>
      <c r="Q129" s="26" t="str">
        <f>IFERROR(IF($N$2&gt;0, $N$2*P129, "-"), "-")</f>
        <v>-</v>
      </c>
      <c r="R129" s="18"/>
      <c r="S129" s="26" t="str">
        <f>IFERROR(IF(Q129+K129=0, "-", IF(Q129&gt;0, Q129+K129, "-")), "-")</f>
        <v>-</v>
      </c>
    </row>
    <row r="130" spans="1:19" x14ac:dyDescent="0.3">
      <c r="A130" s="6" t="s">
        <v>755</v>
      </c>
      <c r="B130" s="93" t="s">
        <v>302</v>
      </c>
      <c r="C130" s="3" t="s">
        <v>1040</v>
      </c>
      <c r="D130" s="3" t="s">
        <v>756</v>
      </c>
      <c r="E130" s="74" t="s">
        <v>420</v>
      </c>
      <c r="F130" s="75">
        <v>0.12349420817050626</v>
      </c>
      <c r="G130" s="76">
        <v>24</v>
      </c>
      <c r="H130" s="39" t="s">
        <v>977</v>
      </c>
      <c r="I130" s="77">
        <v>14.399999999999999</v>
      </c>
      <c r="J130" s="78"/>
      <c r="K130" s="79">
        <f>J130*I130</f>
        <v>0</v>
      </c>
      <c r="L130" s="73"/>
      <c r="M130" s="73"/>
      <c r="N130" s="24" t="str">
        <f>IFERROR(IF($N$2*F130=0, "-", $N$2*F130), "-")</f>
        <v>-</v>
      </c>
      <c r="O130" s="24" t="str">
        <f>IFERROR(IF(N130&gt;0,I130+N130,"-"),"-")</f>
        <v>-</v>
      </c>
      <c r="P130" s="24" t="str">
        <f>IF(J130&gt;0,J130*F130, "-")</f>
        <v>-</v>
      </c>
      <c r="Q130" s="26" t="str">
        <f>IFERROR(IF($N$2&gt;0, $N$2*P130, "-"), "-")</f>
        <v>-</v>
      </c>
      <c r="R130" s="18"/>
      <c r="S130" s="26" t="str">
        <f>IFERROR(IF(Q130+K130=0, "-", IF(Q130&gt;0, Q130+K130, "-")), "-")</f>
        <v>-</v>
      </c>
    </row>
    <row r="131" spans="1:19" x14ac:dyDescent="0.3">
      <c r="A131" s="6" t="s">
        <v>1144</v>
      </c>
      <c r="B131" s="93" t="s">
        <v>1119</v>
      </c>
      <c r="C131" s="3" t="s">
        <v>1145</v>
      </c>
      <c r="D131" s="3" t="s">
        <v>654</v>
      </c>
      <c r="E131" s="74" t="s">
        <v>1146</v>
      </c>
      <c r="F131" s="75">
        <v>5.0195665645124996E-2</v>
      </c>
      <c r="G131" s="76">
        <v>24</v>
      </c>
      <c r="H131" s="39" t="s">
        <v>977</v>
      </c>
      <c r="I131" s="77">
        <v>6</v>
      </c>
      <c r="J131" s="78"/>
      <c r="K131" s="79">
        <f>J131*I131</f>
        <v>0</v>
      </c>
      <c r="L131" s="73"/>
      <c r="M131" s="73"/>
      <c r="N131" s="24" t="str">
        <f>IFERROR(IF($N$2*F131=0, "-", $N$2*F131), "-")</f>
        <v>-</v>
      </c>
      <c r="O131" s="24" t="str">
        <f>IFERROR(IF(N131&gt;0,I131+N131,"-"),"-")</f>
        <v>-</v>
      </c>
      <c r="P131" s="24" t="str">
        <f>IF(J131&gt;0,J131*F131, "-")</f>
        <v>-</v>
      </c>
      <c r="Q131" s="26" t="str">
        <f>IFERROR(IF($N$2&gt;0, $N$2*P131, "-"), "-")</f>
        <v>-</v>
      </c>
      <c r="R131" s="18"/>
      <c r="S131" s="26" t="str">
        <f>IFERROR(IF(Q131+K131=0, "-", IF(Q131&gt;0, Q131+K131, "-")), "-")</f>
        <v>-</v>
      </c>
    </row>
    <row r="132" spans="1:19" x14ac:dyDescent="0.3">
      <c r="A132" s="6" t="s">
        <v>764</v>
      </c>
      <c r="B132" s="93" t="s">
        <v>105</v>
      </c>
      <c r="C132" s="3" t="s">
        <v>1063</v>
      </c>
      <c r="D132" s="3" t="s">
        <v>670</v>
      </c>
      <c r="E132" s="74" t="s">
        <v>429</v>
      </c>
      <c r="F132" s="75">
        <v>9.7216562693891687E-2</v>
      </c>
      <c r="G132" s="76">
        <v>24</v>
      </c>
      <c r="H132" s="39" t="s">
        <v>977</v>
      </c>
      <c r="I132" s="77">
        <v>16.799999999999997</v>
      </c>
      <c r="J132" s="78"/>
      <c r="K132" s="79">
        <f>J132*I132</f>
        <v>0</v>
      </c>
      <c r="L132" s="73"/>
      <c r="M132" s="73"/>
      <c r="N132" s="24" t="str">
        <f>IFERROR(IF($N$2*F132=0, "-", $N$2*F132), "-")</f>
        <v>-</v>
      </c>
      <c r="O132" s="24" t="str">
        <f>IFERROR(IF(N132&gt;0,I132+N132,"-"),"-")</f>
        <v>-</v>
      </c>
      <c r="P132" s="24" t="str">
        <f>IF(J132&gt;0,J132*F132, "-")</f>
        <v>-</v>
      </c>
      <c r="Q132" s="26" t="str">
        <f>IFERROR(IF($N$2&gt;0, $N$2*P132, "-"), "-")</f>
        <v>-</v>
      </c>
      <c r="R132" s="18"/>
      <c r="S132" s="26" t="str">
        <f>IFERROR(IF(Q132+K132=0, "-", IF(Q132&gt;0, Q132+K132, "-")), "-")</f>
        <v>-</v>
      </c>
    </row>
    <row r="133" spans="1:19" x14ac:dyDescent="0.3">
      <c r="A133" s="6" t="s">
        <v>766</v>
      </c>
      <c r="B133" s="93" t="s">
        <v>107</v>
      </c>
      <c r="C133" s="3" t="s">
        <v>984</v>
      </c>
      <c r="D133" s="3" t="s">
        <v>645</v>
      </c>
      <c r="E133" s="74" t="s">
        <v>431</v>
      </c>
      <c r="F133" s="75">
        <v>8.3230419958583324E-2</v>
      </c>
      <c r="G133" s="76">
        <v>24</v>
      </c>
      <c r="H133" s="39" t="s">
        <v>977</v>
      </c>
      <c r="I133" s="77">
        <v>42</v>
      </c>
      <c r="J133" s="78"/>
      <c r="K133" s="79">
        <f>J133*I133</f>
        <v>0</v>
      </c>
      <c r="L133" s="73"/>
      <c r="M133" s="73"/>
      <c r="N133" s="24" t="str">
        <f>IFERROR(IF($N$2*F133=0, "-", $N$2*F133), "-")</f>
        <v>-</v>
      </c>
      <c r="O133" s="24" t="str">
        <f>IFERROR(IF(N133&gt;0,I133+N133,"-"),"-")</f>
        <v>-</v>
      </c>
      <c r="P133" s="24" t="str">
        <f>IF(J133&gt;0,J133*F133, "-")</f>
        <v>-</v>
      </c>
      <c r="Q133" s="26" t="str">
        <f>IFERROR(IF($N$2&gt;0, $N$2*P133, "-"), "-")</f>
        <v>-</v>
      </c>
      <c r="R133" s="18"/>
      <c r="S133" s="26" t="str">
        <f>IFERROR(IF(Q133+K133=0, "-", IF(Q133&gt;0, Q133+K133, "-")), "-")</f>
        <v>-</v>
      </c>
    </row>
    <row r="134" spans="1:19" x14ac:dyDescent="0.3">
      <c r="A134" s="6" t="s">
        <v>768</v>
      </c>
      <c r="B134" s="93" t="s">
        <v>110</v>
      </c>
      <c r="C134" s="3" t="s">
        <v>1002</v>
      </c>
      <c r="D134" s="3" t="s">
        <v>769</v>
      </c>
      <c r="E134" s="74" t="s">
        <v>434</v>
      </c>
      <c r="F134" s="75">
        <v>9.0800000000000006E-2</v>
      </c>
      <c r="G134" s="76">
        <v>24</v>
      </c>
      <c r="H134" s="39" t="s">
        <v>977</v>
      </c>
      <c r="I134" s="77">
        <v>15.600000000000001</v>
      </c>
      <c r="J134" s="78"/>
      <c r="K134" s="79">
        <f>J134*I134</f>
        <v>0</v>
      </c>
      <c r="L134" s="73"/>
      <c r="M134" s="73"/>
      <c r="N134" s="24" t="str">
        <f>IFERROR(IF($N$2*F134=0, "-", $N$2*F134), "-")</f>
        <v>-</v>
      </c>
      <c r="O134" s="24" t="str">
        <f>IFERROR(IF(N134&gt;0,I134+N134,"-"),"-")</f>
        <v>-</v>
      </c>
      <c r="P134" s="24" t="str">
        <f>IF(J134&gt;0,J134*F134, "-")</f>
        <v>-</v>
      </c>
      <c r="Q134" s="26" t="str">
        <f>IFERROR(IF($N$2&gt;0, $N$2*P134, "-"), "-")</f>
        <v>-</v>
      </c>
      <c r="R134" s="18"/>
      <c r="S134" s="26" t="str">
        <f>IFERROR(IF(Q134+K134=0, "-", IF(Q134&gt;0, Q134+K134, "-")), "-")</f>
        <v>-</v>
      </c>
    </row>
    <row r="135" spans="1:19" x14ac:dyDescent="0.3">
      <c r="A135" s="6" t="s">
        <v>770</v>
      </c>
      <c r="B135" s="93" t="s">
        <v>111</v>
      </c>
      <c r="C135" s="3" t="s">
        <v>984</v>
      </c>
      <c r="D135" s="3" t="s">
        <v>645</v>
      </c>
      <c r="E135" s="74" t="s">
        <v>435</v>
      </c>
      <c r="F135" s="75">
        <v>9.2583116634341656E-2</v>
      </c>
      <c r="G135" s="76">
        <v>24</v>
      </c>
      <c r="H135" s="39" t="s">
        <v>977</v>
      </c>
      <c r="I135" s="77">
        <v>31.875</v>
      </c>
      <c r="J135" s="78"/>
      <c r="K135" s="79">
        <f>J135*I135</f>
        <v>0</v>
      </c>
      <c r="L135" s="73"/>
      <c r="M135" s="73"/>
      <c r="N135" s="24" t="str">
        <f>IFERROR(IF($N$2*F135=0, "-", $N$2*F135), "-")</f>
        <v>-</v>
      </c>
      <c r="O135" s="24" t="str">
        <f>IFERROR(IF(N135&gt;0,I135+N135,"-"),"-")</f>
        <v>-</v>
      </c>
      <c r="P135" s="24" t="str">
        <f>IF(J135&gt;0,J135*F135, "-")</f>
        <v>-</v>
      </c>
      <c r="Q135" s="26" t="str">
        <f>IFERROR(IF($N$2&gt;0, $N$2*P135, "-"), "-")</f>
        <v>-</v>
      </c>
      <c r="R135" s="18"/>
      <c r="S135" s="26" t="str">
        <f>IFERROR(IF(Q135+K135=0, "-", IF(Q135&gt;0, Q135+K135, "-")), "-")</f>
        <v>-</v>
      </c>
    </row>
    <row r="136" spans="1:19" x14ac:dyDescent="0.3">
      <c r="A136" s="6" t="s">
        <v>774</v>
      </c>
      <c r="B136" s="93" t="s">
        <v>114</v>
      </c>
      <c r="C136" s="3" t="s">
        <v>988</v>
      </c>
      <c r="D136" s="3" t="s">
        <v>654</v>
      </c>
      <c r="E136" s="74" t="s">
        <v>439</v>
      </c>
      <c r="F136" s="75">
        <v>0.13619999999999999</v>
      </c>
      <c r="G136" s="76">
        <v>24</v>
      </c>
      <c r="H136" s="39" t="s">
        <v>977</v>
      </c>
      <c r="I136" s="77">
        <v>19.200000000000003</v>
      </c>
      <c r="J136" s="78"/>
      <c r="K136" s="79">
        <f>J136*I136</f>
        <v>0</v>
      </c>
      <c r="L136" s="73"/>
      <c r="M136" s="73"/>
      <c r="N136" s="24" t="str">
        <f>IFERROR(IF($N$2*F136=0, "-", $N$2*F136), "-")</f>
        <v>-</v>
      </c>
      <c r="O136" s="24" t="str">
        <f>IFERROR(IF(N136&gt;0,I136+N136,"-"),"-")</f>
        <v>-</v>
      </c>
      <c r="P136" s="24" t="str">
        <f>IF(J136&gt;0,J136*F136, "-")</f>
        <v>-</v>
      </c>
      <c r="Q136" s="26" t="str">
        <f>IFERROR(IF($N$2&gt;0, $N$2*P136, "-"), "-")</f>
        <v>-</v>
      </c>
      <c r="R136" s="18"/>
      <c r="S136" s="26" t="str">
        <f>IFERROR(IF(Q136+K136=0, "-", IF(Q136&gt;0, Q136+K136, "-")), "-")</f>
        <v>-</v>
      </c>
    </row>
    <row r="137" spans="1:19" x14ac:dyDescent="0.3">
      <c r="A137" s="6" t="s">
        <v>776</v>
      </c>
      <c r="B137" s="93" t="s">
        <v>116</v>
      </c>
      <c r="C137" s="3" t="s">
        <v>1005</v>
      </c>
      <c r="D137" s="3" t="s">
        <v>719</v>
      </c>
      <c r="E137" s="74" t="s">
        <v>441</v>
      </c>
      <c r="F137" s="75">
        <v>0.35334316431901669</v>
      </c>
      <c r="G137" s="76">
        <v>12</v>
      </c>
      <c r="H137" s="39" t="s">
        <v>977</v>
      </c>
      <c r="I137" s="77">
        <v>27</v>
      </c>
      <c r="J137" s="78"/>
      <c r="K137" s="79">
        <f>J137*I137</f>
        <v>0</v>
      </c>
      <c r="L137" s="73"/>
      <c r="M137" s="73"/>
      <c r="N137" s="24" t="str">
        <f>IFERROR(IF($N$2*F137=0, "-", $N$2*F137), "-")</f>
        <v>-</v>
      </c>
      <c r="O137" s="24" t="str">
        <f>IFERROR(IF(N137&gt;0,I137+N137,"-"),"-")</f>
        <v>-</v>
      </c>
      <c r="P137" s="24" t="str">
        <f>IF(J137&gt;0,J137*F137, "-")</f>
        <v>-</v>
      </c>
      <c r="Q137" s="26" t="str">
        <f>IFERROR(IF($N$2&gt;0, $N$2*P137, "-"), "-")</f>
        <v>-</v>
      </c>
      <c r="R137" s="18"/>
      <c r="S137" s="26" t="str">
        <f>IFERROR(IF(Q137+K137=0, "-", IF(Q137&gt;0, Q137+K137, "-")), "-")</f>
        <v>-</v>
      </c>
    </row>
    <row r="138" spans="1:19" x14ac:dyDescent="0.3">
      <c r="A138" s="6" t="s">
        <v>777</v>
      </c>
      <c r="B138" s="93" t="s">
        <v>117</v>
      </c>
      <c r="C138" s="3" t="s">
        <v>1005</v>
      </c>
      <c r="D138" s="3" t="s">
        <v>719</v>
      </c>
      <c r="E138" s="74" t="s">
        <v>442</v>
      </c>
      <c r="F138" s="75">
        <v>0.51482733995000007</v>
      </c>
      <c r="G138" s="76">
        <v>12</v>
      </c>
      <c r="H138" s="39" t="s">
        <v>977</v>
      </c>
      <c r="I138" s="77">
        <v>13.200000000000001</v>
      </c>
      <c r="J138" s="78"/>
      <c r="K138" s="79">
        <f>J138*I138</f>
        <v>0</v>
      </c>
      <c r="L138" s="73"/>
      <c r="M138" s="73"/>
      <c r="N138" s="24" t="str">
        <f>IFERROR(IF($N$2*F138=0, "-", $N$2*F138), "-")</f>
        <v>-</v>
      </c>
      <c r="O138" s="24" t="str">
        <f>IFERROR(IF(N138&gt;0,I138+N138,"-"),"-")</f>
        <v>-</v>
      </c>
      <c r="P138" s="24" t="str">
        <f>IF(J138&gt;0,J138*F138, "-")</f>
        <v>-</v>
      </c>
      <c r="Q138" s="26" t="str">
        <f>IFERROR(IF($N$2&gt;0, $N$2*P138, "-"), "-")</f>
        <v>-</v>
      </c>
      <c r="R138" s="18"/>
      <c r="S138" s="26" t="str">
        <f>IFERROR(IF(Q138+K138=0, "-", IF(Q138&gt;0, Q138+K138, "-")), "-")</f>
        <v>-</v>
      </c>
    </row>
    <row r="139" spans="1:19" x14ac:dyDescent="0.3">
      <c r="A139" s="6" t="s">
        <v>778</v>
      </c>
      <c r="B139" s="93" t="s">
        <v>118</v>
      </c>
      <c r="C139" s="3" t="s">
        <v>1005</v>
      </c>
      <c r="D139" s="3" t="s">
        <v>719</v>
      </c>
      <c r="E139" s="74" t="s">
        <v>443</v>
      </c>
      <c r="F139" s="75">
        <v>0.21451139164583335</v>
      </c>
      <c r="G139" s="76">
        <v>12</v>
      </c>
      <c r="H139" s="39" t="s">
        <v>977</v>
      </c>
      <c r="I139" s="77">
        <v>14.399999999999999</v>
      </c>
      <c r="J139" s="78"/>
      <c r="K139" s="79">
        <f>J139*I139</f>
        <v>0</v>
      </c>
      <c r="L139" s="73"/>
      <c r="M139" s="73"/>
      <c r="N139" s="24" t="str">
        <f>IFERROR(IF($N$2*F139=0, "-", $N$2*F139), "-")</f>
        <v>-</v>
      </c>
      <c r="O139" s="24" t="str">
        <f>IFERROR(IF(N139&gt;0,I139+N139,"-"),"-")</f>
        <v>-</v>
      </c>
      <c r="P139" s="24" t="str">
        <f>IF(J139&gt;0,J139*F139, "-")</f>
        <v>-</v>
      </c>
      <c r="Q139" s="26" t="str">
        <f>IFERROR(IF($N$2&gt;0, $N$2*P139, "-"), "-")</f>
        <v>-</v>
      </c>
      <c r="R139" s="18"/>
      <c r="S139" s="26" t="str">
        <f>IFERROR(IF(Q139+K139=0, "-", IF(Q139&gt;0, Q139+K139, "-")), "-")</f>
        <v>-</v>
      </c>
    </row>
    <row r="140" spans="1:19" x14ac:dyDescent="0.3">
      <c r="A140" s="6" t="s">
        <v>780</v>
      </c>
      <c r="B140" s="93" t="s">
        <v>120</v>
      </c>
      <c r="C140" s="3" t="s">
        <v>1065</v>
      </c>
      <c r="D140" s="3" t="s">
        <v>781</v>
      </c>
      <c r="E140" s="74" t="s">
        <v>445</v>
      </c>
      <c r="F140" s="75">
        <v>0.34321822663333335</v>
      </c>
      <c r="G140" s="76">
        <v>12</v>
      </c>
      <c r="H140" s="39" t="s">
        <v>977</v>
      </c>
      <c r="I140" s="77">
        <v>12</v>
      </c>
      <c r="J140" s="78"/>
      <c r="K140" s="79">
        <f>J140*I140</f>
        <v>0</v>
      </c>
      <c r="L140" s="73"/>
      <c r="M140" s="73"/>
      <c r="N140" s="24" t="str">
        <f>IFERROR(IF($N$2*F140=0, "-", $N$2*F140), "-")</f>
        <v>-</v>
      </c>
      <c r="O140" s="24" t="str">
        <f>IFERROR(IF(N140&gt;0,I140+N140,"-"),"-")</f>
        <v>-</v>
      </c>
      <c r="P140" s="24" t="str">
        <f>IF(J140&gt;0,J140*F140, "-")</f>
        <v>-</v>
      </c>
      <c r="Q140" s="26" t="str">
        <f>IFERROR(IF($N$2&gt;0, $N$2*P140, "-"), "-")</f>
        <v>-</v>
      </c>
      <c r="R140" s="18"/>
      <c r="S140" s="26" t="str">
        <f>IFERROR(IF(Q140+K140=0, "-", IF(Q140&gt;0, Q140+K140, "-")), "-")</f>
        <v>-</v>
      </c>
    </row>
    <row r="141" spans="1:19" x14ac:dyDescent="0.3">
      <c r="A141" s="6" t="s">
        <v>1147</v>
      </c>
      <c r="B141" s="93" t="s">
        <v>1148</v>
      </c>
      <c r="C141" s="3" t="s">
        <v>1102</v>
      </c>
      <c r="D141" s="3" t="s">
        <v>782</v>
      </c>
      <c r="E141" s="74" t="s">
        <v>1149</v>
      </c>
      <c r="F141" s="75">
        <v>0.22738207514458336</v>
      </c>
      <c r="G141" s="76">
        <v>24</v>
      </c>
      <c r="H141" s="39" t="s">
        <v>977</v>
      </c>
      <c r="I141" s="77">
        <v>19.200000000000003</v>
      </c>
      <c r="J141" s="78"/>
      <c r="K141" s="79">
        <f>J141*I141</f>
        <v>0</v>
      </c>
      <c r="L141" s="73"/>
      <c r="M141" s="73"/>
      <c r="N141" s="24" t="str">
        <f>IFERROR(IF($N$2*F141=0, "-", $N$2*F141), "-")</f>
        <v>-</v>
      </c>
      <c r="O141" s="24" t="str">
        <f>IFERROR(IF(N141&gt;0,I141+N141,"-"),"-")</f>
        <v>-</v>
      </c>
      <c r="P141" s="24" t="str">
        <f>IF(J141&gt;0,J141*F141, "-")</f>
        <v>-</v>
      </c>
      <c r="Q141" s="26" t="str">
        <f>IFERROR(IF($N$2&gt;0, $N$2*P141, "-"), "-")</f>
        <v>-</v>
      </c>
      <c r="R141" s="18"/>
      <c r="S141" s="26" t="str">
        <f>IFERROR(IF(Q141+K141=0, "-", IF(Q141&gt;0, Q141+K141, "-")), "-")</f>
        <v>-</v>
      </c>
    </row>
    <row r="142" spans="1:19" x14ac:dyDescent="0.3">
      <c r="A142" s="6" t="s">
        <v>784</v>
      </c>
      <c r="B142" s="93" t="s">
        <v>113</v>
      </c>
      <c r="C142" s="3" t="s">
        <v>1066</v>
      </c>
      <c r="D142" s="3" t="s">
        <v>719</v>
      </c>
      <c r="E142" s="74" t="s">
        <v>447</v>
      </c>
      <c r="F142" s="75">
        <v>0.13029421928567916</v>
      </c>
      <c r="G142" s="76">
        <v>24</v>
      </c>
      <c r="H142" s="39" t="s">
        <v>977</v>
      </c>
      <c r="I142" s="77">
        <v>7.8000000000000007</v>
      </c>
      <c r="J142" s="78"/>
      <c r="K142" s="79">
        <v>0</v>
      </c>
      <c r="L142" s="73"/>
      <c r="M142" s="73"/>
      <c r="N142" s="24" t="str">
        <f>IFERROR(IF($N$2*F142=0, "-", $N$2*F142), "-")</f>
        <v>-</v>
      </c>
      <c r="O142" s="24" t="str">
        <f>IFERROR(IF(N142&gt;0,I142+N142,"-"),"-")</f>
        <v>-</v>
      </c>
      <c r="P142" s="24" t="str">
        <f>IF(J142&gt;0,J142*F142, "-")</f>
        <v>-</v>
      </c>
      <c r="Q142" s="26" t="str">
        <f>IFERROR(IF($N$2&gt;0, $N$2*P142, "-"), "-")</f>
        <v>-</v>
      </c>
      <c r="R142" s="18"/>
      <c r="S142" s="26" t="str">
        <f>IFERROR(IF(Q142+K142=0, "-", IF(Q142&gt;0, Q142+K142, "-")), "-")</f>
        <v>-</v>
      </c>
    </row>
    <row r="143" spans="1:19" x14ac:dyDescent="0.3">
      <c r="A143" s="6" t="s">
        <v>1150</v>
      </c>
      <c r="B143" s="93" t="s">
        <v>1151</v>
      </c>
      <c r="C143" s="3" t="s">
        <v>1152</v>
      </c>
      <c r="D143" s="3" t="s">
        <v>654</v>
      </c>
      <c r="E143" s="74" t="s">
        <v>1153</v>
      </c>
      <c r="F143" s="75">
        <v>5.4700404869687497E-2</v>
      </c>
      <c r="G143" s="76">
        <v>24</v>
      </c>
      <c r="H143" s="39" t="s">
        <v>977</v>
      </c>
      <c r="I143" s="77">
        <v>7.875</v>
      </c>
      <c r="J143" s="78"/>
      <c r="K143" s="79">
        <f>J143*I143</f>
        <v>0</v>
      </c>
      <c r="L143" s="73"/>
      <c r="M143" s="73"/>
      <c r="N143" s="24" t="str">
        <f>IFERROR(IF($N$2*F143=0, "-", $N$2*F143), "-")</f>
        <v>-</v>
      </c>
      <c r="O143" s="24" t="str">
        <f>IFERROR(IF(N143&gt;0,I143+N143,"-"),"-")</f>
        <v>-</v>
      </c>
      <c r="P143" s="24" t="str">
        <f>IF(J143&gt;0,J143*F143, "-")</f>
        <v>-</v>
      </c>
      <c r="Q143" s="26" t="str">
        <f>IFERROR(IF($N$2&gt;0, $N$2*P143, "-"), "-")</f>
        <v>-</v>
      </c>
      <c r="R143" s="18"/>
      <c r="S143" s="26" t="str">
        <f>IFERROR(IF(Q143+K143=0, "-", IF(Q143&gt;0, Q143+K143, "-")), "-")</f>
        <v>-</v>
      </c>
    </row>
    <row r="144" spans="1:19" x14ac:dyDescent="0.3">
      <c r="A144" s="6" t="s">
        <v>1154</v>
      </c>
      <c r="B144" s="93" t="s">
        <v>1151</v>
      </c>
      <c r="C144" s="3" t="s">
        <v>1155</v>
      </c>
      <c r="D144" s="3" t="s">
        <v>654</v>
      </c>
      <c r="E144" s="74" t="s">
        <v>1156</v>
      </c>
      <c r="F144" s="75">
        <v>6.8099999999999994E-2</v>
      </c>
      <c r="G144" s="76">
        <v>24</v>
      </c>
      <c r="H144" s="39" t="s">
        <v>977</v>
      </c>
      <c r="I144" s="77">
        <v>8.25</v>
      </c>
      <c r="J144" s="78"/>
      <c r="K144" s="79">
        <f>J144*I144</f>
        <v>0</v>
      </c>
      <c r="L144" s="73"/>
      <c r="M144" s="73"/>
      <c r="N144" s="24" t="str">
        <f>IFERROR(IF($N$2*F144=0, "-", $N$2*F144), "-")</f>
        <v>-</v>
      </c>
      <c r="O144" s="24" t="str">
        <f>IFERROR(IF(N144&gt;0,I144+N144,"-"),"-")</f>
        <v>-</v>
      </c>
      <c r="P144" s="24" t="str">
        <f>IF(J144&gt;0,J144*F144, "-")</f>
        <v>-</v>
      </c>
      <c r="Q144" s="26" t="str">
        <f>IFERROR(IF($N$2&gt;0, $N$2*P144, "-"), "-")</f>
        <v>-</v>
      </c>
      <c r="R144" s="18"/>
      <c r="S144" s="26" t="str">
        <f>IFERROR(IF(Q144+K144=0, "-", IF(Q144&gt;0, Q144+K144, "-")), "-")</f>
        <v>-</v>
      </c>
    </row>
    <row r="145" spans="1:19" x14ac:dyDescent="0.3">
      <c r="A145" s="6" t="s">
        <v>1157</v>
      </c>
      <c r="B145" s="93" t="s">
        <v>1151</v>
      </c>
      <c r="C145" s="3" t="s">
        <v>1158</v>
      </c>
      <c r="D145" s="3" t="s">
        <v>654</v>
      </c>
      <c r="E145" s="74" t="s">
        <v>1159</v>
      </c>
      <c r="F145" s="75">
        <v>6.4353417493750009E-2</v>
      </c>
      <c r="G145" s="76">
        <v>24</v>
      </c>
      <c r="H145" s="39" t="s">
        <v>977</v>
      </c>
      <c r="I145" s="77">
        <v>6</v>
      </c>
      <c r="J145" s="78"/>
      <c r="K145" s="79">
        <f>J145*I145</f>
        <v>0</v>
      </c>
      <c r="L145" s="73"/>
      <c r="M145" s="73"/>
      <c r="N145" s="24" t="str">
        <f>IFERROR(IF($N$2*F145=0, "-", $N$2*F145), "-")</f>
        <v>-</v>
      </c>
      <c r="O145" s="24" t="str">
        <f>IFERROR(IF(N145&gt;0,I145+N145,"-"),"-")</f>
        <v>-</v>
      </c>
      <c r="P145" s="24" t="str">
        <f>IF(J145&gt;0,J145*F145, "-")</f>
        <v>-</v>
      </c>
      <c r="Q145" s="26" t="str">
        <f>IFERROR(IF($N$2&gt;0, $N$2*P145, "-"), "-")</f>
        <v>-</v>
      </c>
      <c r="R145" s="18"/>
      <c r="S145" s="26" t="str">
        <f>IFERROR(IF(Q145+K145=0, "-", IF(Q145&gt;0, Q145+K145, "-")), "-")</f>
        <v>-</v>
      </c>
    </row>
    <row r="146" spans="1:19" x14ac:dyDescent="0.3">
      <c r="A146" s="6" t="s">
        <v>789</v>
      </c>
      <c r="B146" s="93" t="s">
        <v>125</v>
      </c>
      <c r="C146" s="3" t="s">
        <v>1028</v>
      </c>
      <c r="D146" s="3" t="s">
        <v>668</v>
      </c>
      <c r="E146" s="74" t="s">
        <v>452</v>
      </c>
      <c r="F146" s="75">
        <v>0.10296546798999999</v>
      </c>
      <c r="G146" s="76">
        <v>24</v>
      </c>
      <c r="H146" s="39" t="s">
        <v>977</v>
      </c>
      <c r="I146" s="77">
        <v>16.799999999999997</v>
      </c>
      <c r="J146" s="78"/>
      <c r="K146" s="79">
        <f>J146*I146</f>
        <v>0</v>
      </c>
      <c r="L146" s="73"/>
      <c r="M146" s="73"/>
      <c r="N146" s="24" t="str">
        <f>IFERROR(IF($N$2*F146=0, "-", $N$2*F146), "-")</f>
        <v>-</v>
      </c>
      <c r="O146" s="24" t="str">
        <f>IFERROR(IF(N146&gt;0,I146+N146,"-"),"-")</f>
        <v>-</v>
      </c>
      <c r="P146" s="24" t="str">
        <f>IF(J146&gt;0,J146*F146, "-")</f>
        <v>-</v>
      </c>
      <c r="Q146" s="26" t="str">
        <f>IFERROR(IF($N$2&gt;0, $N$2*P146, "-"), "-")</f>
        <v>-</v>
      </c>
      <c r="R146" s="18"/>
      <c r="S146" s="26" t="str">
        <f>IFERROR(IF(Q146+K146=0, "-", IF(Q146&gt;0, Q146+K146, "-")), "-")</f>
        <v>-</v>
      </c>
    </row>
    <row r="147" spans="1:19" x14ac:dyDescent="0.3">
      <c r="A147" s="6" t="s">
        <v>792</v>
      </c>
      <c r="B147" s="93" t="s">
        <v>128</v>
      </c>
      <c r="C147" s="3" t="s">
        <v>1040</v>
      </c>
      <c r="D147" s="3" t="s">
        <v>681</v>
      </c>
      <c r="E147" s="74" t="s">
        <v>455</v>
      </c>
      <c r="F147" s="75">
        <v>0.10189291103177084</v>
      </c>
      <c r="G147" s="76">
        <v>24</v>
      </c>
      <c r="H147" s="39" t="s">
        <v>977</v>
      </c>
      <c r="I147" s="77">
        <v>14.399999999999999</v>
      </c>
      <c r="J147" s="78"/>
      <c r="K147" s="79">
        <f>J147*I147</f>
        <v>0</v>
      </c>
      <c r="L147" s="73"/>
      <c r="M147" s="73"/>
      <c r="N147" s="24" t="str">
        <f>IFERROR(IF($N$2*F147=0, "-", $N$2*F147), "-")</f>
        <v>-</v>
      </c>
      <c r="O147" s="24" t="str">
        <f>IFERROR(IF(N147&gt;0,I147+N147,"-"),"-")</f>
        <v>-</v>
      </c>
      <c r="P147" s="24" t="str">
        <f>IF(J147&gt;0,J147*F147, "-")</f>
        <v>-</v>
      </c>
      <c r="Q147" s="26" t="str">
        <f>IFERROR(IF($N$2&gt;0, $N$2*P147, "-"), "-")</f>
        <v>-</v>
      </c>
      <c r="R147" s="18"/>
      <c r="S147" s="26" t="str">
        <f>IFERROR(IF(Q147+K147=0, "-", IF(Q147&gt;0, Q147+K147, "-")), "-")</f>
        <v>-</v>
      </c>
    </row>
    <row r="148" spans="1:19" x14ac:dyDescent="0.3">
      <c r="A148" s="6" t="s">
        <v>793</v>
      </c>
      <c r="B148" s="93" t="s">
        <v>129</v>
      </c>
      <c r="C148" s="3" t="s">
        <v>984</v>
      </c>
      <c r="D148" s="3" t="s">
        <v>645</v>
      </c>
      <c r="E148" s="74" t="s">
        <v>456</v>
      </c>
      <c r="F148" s="75">
        <v>9.996230850695835E-2</v>
      </c>
      <c r="G148" s="76">
        <v>24</v>
      </c>
      <c r="H148" s="39" t="s">
        <v>977</v>
      </c>
      <c r="I148" s="77">
        <v>21.6</v>
      </c>
      <c r="J148" s="78"/>
      <c r="K148" s="79">
        <f>J148*I148</f>
        <v>0</v>
      </c>
      <c r="L148" s="73"/>
      <c r="M148" s="73"/>
      <c r="N148" s="24" t="str">
        <f>IFERROR(IF($N$2*F148=0, "-", $N$2*F148), "-")</f>
        <v>-</v>
      </c>
      <c r="O148" s="24" t="str">
        <f>IFERROR(IF(N148&gt;0,I148+N148,"-"),"-")</f>
        <v>-</v>
      </c>
      <c r="P148" s="24" t="str">
        <f>IF(J148&gt;0,J148*F148, "-")</f>
        <v>-</v>
      </c>
      <c r="Q148" s="26" t="str">
        <f>IFERROR(IF($N$2&gt;0, $N$2*P148, "-"), "-")</f>
        <v>-</v>
      </c>
      <c r="R148" s="18"/>
      <c r="S148" s="26" t="str">
        <f>IFERROR(IF(Q148+K148=0, "-", IF(Q148&gt;0, Q148+K148, "-")), "-")</f>
        <v>-</v>
      </c>
    </row>
    <row r="149" spans="1:19" x14ac:dyDescent="0.3">
      <c r="A149" s="6" t="s">
        <v>794</v>
      </c>
      <c r="B149" s="93" t="s">
        <v>130</v>
      </c>
      <c r="C149" s="3" t="s">
        <v>1067</v>
      </c>
      <c r="D149" s="3" t="s">
        <v>662</v>
      </c>
      <c r="E149" s="74" t="s">
        <v>457</v>
      </c>
      <c r="F149" s="75">
        <v>6.1779280794000004E-2</v>
      </c>
      <c r="G149" s="76">
        <v>24</v>
      </c>
      <c r="H149" s="39" t="s">
        <v>977</v>
      </c>
      <c r="I149" s="77">
        <v>16.200000000000003</v>
      </c>
      <c r="J149" s="78"/>
      <c r="K149" s="79">
        <f>J149*I149</f>
        <v>0</v>
      </c>
      <c r="L149" s="73"/>
      <c r="M149" s="73"/>
      <c r="N149" s="24" t="str">
        <f>IFERROR(IF($N$2*F149=0, "-", $N$2*F149), "-")</f>
        <v>-</v>
      </c>
      <c r="O149" s="24" t="str">
        <f>IFERROR(IF(N149&gt;0,I149+N149,"-"),"-")</f>
        <v>-</v>
      </c>
      <c r="P149" s="24" t="str">
        <f>IF(J149&gt;0,J149*F149, "-")</f>
        <v>-</v>
      </c>
      <c r="Q149" s="26" t="str">
        <f>IFERROR(IF($N$2&gt;0, $N$2*P149, "-"), "-")</f>
        <v>-</v>
      </c>
      <c r="R149" s="18"/>
      <c r="S149" s="26" t="str">
        <f>IFERROR(IF(Q149+K149=0, "-", IF(Q149&gt;0, Q149+K149, "-")), "-")</f>
        <v>-</v>
      </c>
    </row>
    <row r="150" spans="1:19" x14ac:dyDescent="0.3">
      <c r="A150" s="6" t="s">
        <v>796</v>
      </c>
      <c r="B150" s="93" t="s">
        <v>132</v>
      </c>
      <c r="C150" s="3" t="s">
        <v>984</v>
      </c>
      <c r="D150" s="3" t="s">
        <v>659</v>
      </c>
      <c r="E150" s="74" t="s">
        <v>459</v>
      </c>
      <c r="F150" s="75">
        <v>6.7356576976791677E-2</v>
      </c>
      <c r="G150" s="76">
        <v>24</v>
      </c>
      <c r="H150" s="39" t="s">
        <v>977</v>
      </c>
      <c r="I150" s="77">
        <v>19.200000000000003</v>
      </c>
      <c r="J150" s="78"/>
      <c r="K150" s="79">
        <v>0</v>
      </c>
      <c r="L150" s="73"/>
      <c r="M150" s="73"/>
      <c r="N150" s="24" t="str">
        <f>IFERROR(IF($N$2*F150=0, "-", $N$2*F150), "-")</f>
        <v>-</v>
      </c>
      <c r="O150" s="24" t="str">
        <f>IFERROR(IF(N150&gt;0,I150+N150,"-"),"-")</f>
        <v>-</v>
      </c>
      <c r="P150" s="24" t="str">
        <f>IF(J150&gt;0,J150*F150, "-")</f>
        <v>-</v>
      </c>
      <c r="Q150" s="26" t="str">
        <f>IFERROR(IF($N$2&gt;0, $N$2*P150, "-"), "-")</f>
        <v>-</v>
      </c>
      <c r="R150" s="18"/>
      <c r="S150" s="26" t="str">
        <f>IFERROR(IF(Q150+K150=0, "-", IF(Q150&gt;0, Q150+K150, "-")), "-")</f>
        <v>-</v>
      </c>
    </row>
    <row r="151" spans="1:19" x14ac:dyDescent="0.3">
      <c r="A151" s="6" t="s">
        <v>800</v>
      </c>
      <c r="B151" s="93" t="s">
        <v>135</v>
      </c>
      <c r="C151" s="3" t="s">
        <v>984</v>
      </c>
      <c r="D151" s="3" t="s">
        <v>659</v>
      </c>
      <c r="E151" s="74" t="s">
        <v>463</v>
      </c>
      <c r="F151" s="75">
        <v>8.3659442741875006E-2</v>
      </c>
      <c r="G151" s="76">
        <v>24</v>
      </c>
      <c r="H151" s="39" t="s">
        <v>977</v>
      </c>
      <c r="I151" s="77">
        <v>18</v>
      </c>
      <c r="J151" s="78"/>
      <c r="K151" s="79">
        <f>J151*I151</f>
        <v>0</v>
      </c>
      <c r="L151" s="73"/>
      <c r="M151" s="73"/>
      <c r="N151" s="24" t="str">
        <f>IFERROR(IF($N$2*F151=0, "-", $N$2*F151), "-")</f>
        <v>-</v>
      </c>
      <c r="O151" s="24" t="str">
        <f>IFERROR(IF(N151&gt;0,I151+N151,"-"),"-")</f>
        <v>-</v>
      </c>
      <c r="P151" s="24" t="str">
        <f>IF(J151&gt;0,J151*F151, "-")</f>
        <v>-</v>
      </c>
      <c r="Q151" s="26" t="str">
        <f>IFERROR(IF($N$2&gt;0, $N$2*P151, "-"), "-")</f>
        <v>-</v>
      </c>
      <c r="R151" s="18"/>
      <c r="S151" s="26" t="str">
        <f>IFERROR(IF(Q151+K151=0, "-", IF(Q151&gt;0, Q151+K151, "-")), "-")</f>
        <v>-</v>
      </c>
    </row>
    <row r="152" spans="1:19" x14ac:dyDescent="0.3">
      <c r="A152" s="6" t="s">
        <v>805</v>
      </c>
      <c r="B152" s="93" t="s">
        <v>140</v>
      </c>
      <c r="C152" s="3" t="s">
        <v>1061</v>
      </c>
      <c r="D152" s="3" t="s">
        <v>681</v>
      </c>
      <c r="E152" s="74" t="s">
        <v>468</v>
      </c>
      <c r="F152" s="75">
        <v>0.18576686516529167</v>
      </c>
      <c r="G152" s="76">
        <v>24</v>
      </c>
      <c r="H152" s="39" t="s">
        <v>977</v>
      </c>
      <c r="I152" s="77">
        <v>42.75</v>
      </c>
      <c r="J152" s="78"/>
      <c r="K152" s="79">
        <f>J152*I152</f>
        <v>0</v>
      </c>
      <c r="L152" s="73"/>
      <c r="M152" s="73"/>
      <c r="N152" s="24" t="str">
        <f>IFERROR(IF($N$2*F152=0, "-", $N$2*F152), "-")</f>
        <v>-</v>
      </c>
      <c r="O152" s="24" t="str">
        <f>IFERROR(IF(N152&gt;0,I152+N152,"-"),"-")</f>
        <v>-</v>
      </c>
      <c r="P152" s="24" t="str">
        <f>IF(J152&gt;0,J152*F152, "-")</f>
        <v>-</v>
      </c>
      <c r="Q152" s="26" t="str">
        <f>IFERROR(IF($N$2&gt;0, $N$2*P152, "-"), "-")</f>
        <v>-</v>
      </c>
      <c r="R152" s="18"/>
      <c r="S152" s="26" t="str">
        <f>IFERROR(IF(Q152+K152=0, "-", IF(Q152&gt;0, Q152+K152, "-")), "-")</f>
        <v>-</v>
      </c>
    </row>
    <row r="153" spans="1:19" x14ac:dyDescent="0.3">
      <c r="A153" s="6" t="s">
        <v>808</v>
      </c>
      <c r="B153" s="93" t="s">
        <v>143</v>
      </c>
      <c r="C153" s="3" t="s">
        <v>1068</v>
      </c>
      <c r="D153" s="3" t="s">
        <v>673</v>
      </c>
      <c r="E153" s="74" t="s">
        <v>471</v>
      </c>
      <c r="F153" s="75">
        <v>6.606950862691667E-2</v>
      </c>
      <c r="G153" s="76">
        <v>24</v>
      </c>
      <c r="H153" s="39" t="s">
        <v>977</v>
      </c>
      <c r="I153" s="77">
        <v>6.6000000000000005</v>
      </c>
      <c r="J153" s="78"/>
      <c r="K153" s="79">
        <f>J153*I153</f>
        <v>0</v>
      </c>
      <c r="L153" s="73"/>
      <c r="M153" s="73"/>
      <c r="N153" s="24" t="str">
        <f>IFERROR(IF($N$2*F153=0, "-", $N$2*F153), "-")</f>
        <v>-</v>
      </c>
      <c r="O153" s="24" t="str">
        <f>IFERROR(IF(N153&gt;0,I153+N153,"-"),"-")</f>
        <v>-</v>
      </c>
      <c r="P153" s="24" t="str">
        <f>IF(J153&gt;0,J153*F153, "-")</f>
        <v>-</v>
      </c>
      <c r="Q153" s="26" t="str">
        <f>IFERROR(IF($N$2&gt;0, $N$2*P153, "-"), "-")</f>
        <v>-</v>
      </c>
      <c r="R153" s="18"/>
      <c r="S153" s="26" t="str">
        <f>IFERROR(IF(Q153+K153=0, "-", IF(Q153&gt;0, Q153+K153, "-")), "-")</f>
        <v>-</v>
      </c>
    </row>
    <row r="154" spans="1:19" x14ac:dyDescent="0.3">
      <c r="A154" s="6" t="s">
        <v>810</v>
      </c>
      <c r="B154" s="93" t="s">
        <v>304</v>
      </c>
      <c r="C154" s="3" t="s">
        <v>1037</v>
      </c>
      <c r="D154" s="3" t="s">
        <v>811</v>
      </c>
      <c r="E154" s="74" t="s">
        <v>473</v>
      </c>
      <c r="F154" s="75">
        <v>0.12485</v>
      </c>
      <c r="G154" s="76">
        <v>24</v>
      </c>
      <c r="H154" s="39" t="s">
        <v>977</v>
      </c>
      <c r="I154" s="77">
        <v>17.399999999999999</v>
      </c>
      <c r="J154" s="78"/>
      <c r="K154" s="79">
        <f>J154*I154</f>
        <v>0</v>
      </c>
      <c r="L154" s="73"/>
      <c r="M154" s="73"/>
      <c r="N154" s="24" t="str">
        <f>IFERROR(IF($N$2*F154=0, "-", $N$2*F154), "-")</f>
        <v>-</v>
      </c>
      <c r="O154" s="24" t="str">
        <f>IFERROR(IF(N154&gt;0,I154+N154,"-"),"-")</f>
        <v>-</v>
      </c>
      <c r="P154" s="24" t="str">
        <f>IF(J154&gt;0,J154*F154, "-")</f>
        <v>-</v>
      </c>
      <c r="Q154" s="26" t="str">
        <f>IFERROR(IF($N$2&gt;0, $N$2*P154, "-"), "-")</f>
        <v>-</v>
      </c>
      <c r="R154" s="18"/>
      <c r="S154" s="26" t="str">
        <f>IFERROR(IF(Q154+K154=0, "-", IF(Q154&gt;0, Q154+K154, "-")), "-")</f>
        <v>-</v>
      </c>
    </row>
    <row r="155" spans="1:19" x14ac:dyDescent="0.3">
      <c r="A155" s="6" t="s">
        <v>815</v>
      </c>
      <c r="B155" s="93" t="s">
        <v>146</v>
      </c>
      <c r="C155" s="3" t="s">
        <v>1067</v>
      </c>
      <c r="D155" s="3" t="s">
        <v>668</v>
      </c>
      <c r="E155" s="74" t="s">
        <v>476</v>
      </c>
      <c r="F155" s="75">
        <v>7.8725680734020836E-2</v>
      </c>
      <c r="G155" s="76">
        <v>24</v>
      </c>
      <c r="H155" s="39" t="s">
        <v>977</v>
      </c>
      <c r="I155" s="77">
        <v>16.799999999999997</v>
      </c>
      <c r="J155" s="78"/>
      <c r="K155" s="79">
        <f>J155*I155</f>
        <v>0</v>
      </c>
      <c r="L155" s="73"/>
      <c r="M155" s="73"/>
      <c r="N155" s="24" t="str">
        <f>IFERROR(IF($N$2*F155=0, "-", $N$2*F155), "-")</f>
        <v>-</v>
      </c>
      <c r="O155" s="24" t="str">
        <f>IFERROR(IF(N155&gt;0,I155+N155,"-"),"-")</f>
        <v>-</v>
      </c>
      <c r="P155" s="24" t="str">
        <f>IF(J155&gt;0,J155*F155, "-")</f>
        <v>-</v>
      </c>
      <c r="Q155" s="26" t="str">
        <f>IFERROR(IF($N$2&gt;0, $N$2*P155, "-"), "-")</f>
        <v>-</v>
      </c>
      <c r="R155" s="18"/>
      <c r="S155" s="26" t="str">
        <f>IFERROR(IF(Q155+K155=0, "-", IF(Q155&gt;0, Q155+K155, "-")), "-")</f>
        <v>-</v>
      </c>
    </row>
    <row r="156" spans="1:19" x14ac:dyDescent="0.3">
      <c r="A156" s="6" t="s">
        <v>816</v>
      </c>
      <c r="B156" s="93" t="s">
        <v>147</v>
      </c>
      <c r="C156" s="3" t="s">
        <v>1069</v>
      </c>
      <c r="D156" s="3" t="s">
        <v>659</v>
      </c>
      <c r="E156" s="74" t="s">
        <v>477</v>
      </c>
      <c r="F156" s="75">
        <v>0.1135</v>
      </c>
      <c r="G156" s="76">
        <v>24</v>
      </c>
      <c r="H156" s="39" t="s">
        <v>977</v>
      </c>
      <c r="I156" s="77">
        <v>28.799999999999997</v>
      </c>
      <c r="J156" s="78"/>
      <c r="K156" s="79">
        <f>J156*I156</f>
        <v>0</v>
      </c>
      <c r="L156" s="73"/>
      <c r="M156" s="73"/>
      <c r="N156" s="24" t="str">
        <f>IFERROR(IF($N$2*F156=0, "-", $N$2*F156), "-")</f>
        <v>-</v>
      </c>
      <c r="O156" s="24" t="str">
        <f>IFERROR(IF(N156&gt;0,I156+N156,"-"),"-")</f>
        <v>-</v>
      </c>
      <c r="P156" s="24" t="str">
        <f>IF(J156&gt;0,J156*F156, "-")</f>
        <v>-</v>
      </c>
      <c r="Q156" s="26" t="str">
        <f>IFERROR(IF($N$2&gt;0, $N$2*P156, "-"), "-")</f>
        <v>-</v>
      </c>
      <c r="R156" s="18"/>
      <c r="S156" s="26" t="str">
        <f>IFERROR(IF(Q156+K156=0, "-", IF(Q156&gt;0, Q156+K156, "-")), "-")</f>
        <v>-</v>
      </c>
    </row>
    <row r="157" spans="1:19" x14ac:dyDescent="0.3">
      <c r="A157" s="6" t="s">
        <v>817</v>
      </c>
      <c r="B157" s="93" t="s">
        <v>148</v>
      </c>
      <c r="C157" s="3" t="s">
        <v>1070</v>
      </c>
      <c r="D157" s="3" t="s">
        <v>649</v>
      </c>
      <c r="E157" s="74" t="s">
        <v>478</v>
      </c>
      <c r="F157" s="75">
        <v>5.2126268169937505E-2</v>
      </c>
      <c r="G157" s="76">
        <v>24</v>
      </c>
      <c r="H157" s="39" t="s">
        <v>977</v>
      </c>
      <c r="I157" s="77">
        <v>10.8</v>
      </c>
      <c r="J157" s="78"/>
      <c r="K157" s="79">
        <f>J157*I157</f>
        <v>0</v>
      </c>
      <c r="L157" s="73"/>
      <c r="M157" s="73"/>
      <c r="N157" s="24" t="str">
        <f>IFERROR(IF($N$2*F157=0, "-", $N$2*F157), "-")</f>
        <v>-</v>
      </c>
      <c r="O157" s="24" t="str">
        <f>IFERROR(IF(N157&gt;0,I157+N157,"-"),"-")</f>
        <v>-</v>
      </c>
      <c r="P157" s="24" t="str">
        <f>IF(J157&gt;0,J157*F157, "-")</f>
        <v>-</v>
      </c>
      <c r="Q157" s="26" t="str">
        <f>IFERROR(IF($N$2&gt;0, $N$2*P157, "-"), "-")</f>
        <v>-</v>
      </c>
      <c r="R157" s="18"/>
      <c r="S157" s="26" t="str">
        <f>IFERROR(IF(Q157+K157=0, "-", IF(Q157&gt;0, Q157+K157, "-")), "-")</f>
        <v>-</v>
      </c>
    </row>
    <row r="158" spans="1:19" x14ac:dyDescent="0.3">
      <c r="A158" s="6" t="s">
        <v>317</v>
      </c>
      <c r="B158" s="93" t="s">
        <v>150</v>
      </c>
      <c r="C158" s="3" t="s">
        <v>984</v>
      </c>
      <c r="D158" s="3" t="s">
        <v>819</v>
      </c>
      <c r="E158" s="74" t="s">
        <v>480</v>
      </c>
      <c r="F158" s="75">
        <v>7.9450000000000007E-2</v>
      </c>
      <c r="G158" s="76">
        <v>24</v>
      </c>
      <c r="H158" s="39" t="s">
        <v>977</v>
      </c>
      <c r="I158" s="77">
        <v>15</v>
      </c>
      <c r="J158" s="78"/>
      <c r="K158" s="79">
        <f>J158*I158</f>
        <v>0</v>
      </c>
      <c r="L158" s="73"/>
      <c r="M158" s="73"/>
      <c r="N158" s="24" t="str">
        <f>IFERROR(IF($N$2*F158=0, "-", $N$2*F158), "-")</f>
        <v>-</v>
      </c>
      <c r="O158" s="24" t="str">
        <f>IFERROR(IF(N158&gt;0,I158+N158,"-"),"-")</f>
        <v>-</v>
      </c>
      <c r="P158" s="24" t="str">
        <f>IF(J158&gt;0,J158*F158, "-")</f>
        <v>-</v>
      </c>
      <c r="Q158" s="26" t="str">
        <f>IFERROR(IF($N$2&gt;0, $N$2*P158, "-"), "-")</f>
        <v>-</v>
      </c>
      <c r="R158" s="18"/>
      <c r="S158" s="26" t="str">
        <f>IFERROR(IF(Q158+K158=0, "-", IF(Q158&gt;0, Q158+K158, "-")), "-")</f>
        <v>-</v>
      </c>
    </row>
    <row r="159" spans="1:19" x14ac:dyDescent="0.3">
      <c r="A159" s="6" t="s">
        <v>820</v>
      </c>
      <c r="B159" s="93" t="s">
        <v>151</v>
      </c>
      <c r="C159" s="3" t="s">
        <v>1028</v>
      </c>
      <c r="D159" s="3" t="s">
        <v>703</v>
      </c>
      <c r="E159" s="74" t="s">
        <v>481</v>
      </c>
      <c r="F159" s="75">
        <v>0.12485</v>
      </c>
      <c r="G159" s="76">
        <v>24</v>
      </c>
      <c r="H159" s="39" t="s">
        <v>977</v>
      </c>
      <c r="I159" s="77">
        <v>16.799999999999997</v>
      </c>
      <c r="J159" s="78"/>
      <c r="K159" s="79">
        <f>J159*I159</f>
        <v>0</v>
      </c>
      <c r="L159" s="73"/>
      <c r="M159" s="73"/>
      <c r="N159" s="24" t="str">
        <f>IFERROR(IF($N$2*F159=0, "-", $N$2*F159), "-")</f>
        <v>-</v>
      </c>
      <c r="O159" s="24" t="str">
        <f>IFERROR(IF(N159&gt;0,I159+N159,"-"),"-")</f>
        <v>-</v>
      </c>
      <c r="P159" s="24" t="str">
        <f>IF(J159&gt;0,J159*F159, "-")</f>
        <v>-</v>
      </c>
      <c r="Q159" s="26" t="str">
        <f>IFERROR(IF($N$2&gt;0, $N$2*P159, "-"), "-")</f>
        <v>-</v>
      </c>
      <c r="R159" s="18"/>
      <c r="S159" s="26" t="str">
        <f>IFERROR(IF(Q159+K159=0, "-", IF(Q159&gt;0, Q159+K159, "-")), "-")</f>
        <v>-</v>
      </c>
    </row>
    <row r="160" spans="1:19" x14ac:dyDescent="0.3">
      <c r="A160" s="6" t="s">
        <v>821</v>
      </c>
      <c r="B160" s="93" t="s">
        <v>152</v>
      </c>
      <c r="C160" s="3" t="s">
        <v>1071</v>
      </c>
      <c r="D160" s="3" t="s">
        <v>670</v>
      </c>
      <c r="E160" s="74" t="s">
        <v>482</v>
      </c>
      <c r="F160" s="75">
        <v>5.5558450436270834E-2</v>
      </c>
      <c r="G160" s="76">
        <v>24</v>
      </c>
      <c r="H160" s="39" t="s">
        <v>977</v>
      </c>
      <c r="I160" s="77">
        <v>9.6000000000000014</v>
      </c>
      <c r="J160" s="78"/>
      <c r="K160" s="79">
        <f>J160*I160</f>
        <v>0</v>
      </c>
      <c r="L160" s="73"/>
      <c r="M160" s="73"/>
      <c r="N160" s="24" t="str">
        <f>IFERROR(IF($N$2*F160=0, "-", $N$2*F160), "-")</f>
        <v>-</v>
      </c>
      <c r="O160" s="24" t="str">
        <f>IFERROR(IF(N160&gt;0,I160+N160,"-"),"-")</f>
        <v>-</v>
      </c>
      <c r="P160" s="24" t="str">
        <f>IF(J160&gt;0,J160*F160, "-")</f>
        <v>-</v>
      </c>
      <c r="Q160" s="26" t="str">
        <f>IFERROR(IF($N$2&gt;0, $N$2*P160, "-"), "-")</f>
        <v>-</v>
      </c>
      <c r="R160" s="18"/>
      <c r="S160" s="26" t="str">
        <f>IFERROR(IF(Q160+K160=0, "-", IF(Q160&gt;0, Q160+K160, "-")), "-")</f>
        <v>-</v>
      </c>
    </row>
    <row r="161" spans="1:19" x14ac:dyDescent="0.3">
      <c r="A161" s="6" t="s">
        <v>327</v>
      </c>
      <c r="B161" s="93" t="s">
        <v>151</v>
      </c>
      <c r="C161" s="3" t="s">
        <v>1034</v>
      </c>
      <c r="D161" s="3" t="s">
        <v>703</v>
      </c>
      <c r="E161" s="74" t="s">
        <v>483</v>
      </c>
      <c r="F161" s="75">
        <v>0.26427803450766668</v>
      </c>
      <c r="G161" s="76">
        <v>12</v>
      </c>
      <c r="H161" s="39" t="s">
        <v>977</v>
      </c>
      <c r="I161" s="77">
        <v>30</v>
      </c>
      <c r="J161" s="78"/>
      <c r="K161" s="79">
        <f>J161*I161</f>
        <v>0</v>
      </c>
      <c r="L161" s="73"/>
      <c r="M161" s="73"/>
      <c r="N161" s="24" t="str">
        <f>IFERROR(IF($N$2*F161=0, "-", $N$2*F161), "-")</f>
        <v>-</v>
      </c>
      <c r="O161" s="24" t="str">
        <f>IFERROR(IF(N161&gt;0,I161+N161,"-"),"-")</f>
        <v>-</v>
      </c>
      <c r="P161" s="24" t="str">
        <f>IF(J161&gt;0,J161*F161, "-")</f>
        <v>-</v>
      </c>
      <c r="Q161" s="26" t="str">
        <f>IFERROR(IF($N$2&gt;0, $N$2*P161, "-"), "-")</f>
        <v>-</v>
      </c>
      <c r="R161" s="18"/>
      <c r="S161" s="26" t="str">
        <f>IFERROR(IF(Q161+K161=0, "-", IF(Q161&gt;0, Q161+K161, "-")), "-")</f>
        <v>-</v>
      </c>
    </row>
    <row r="162" spans="1:19" x14ac:dyDescent="0.3">
      <c r="A162" s="6" t="s">
        <v>822</v>
      </c>
      <c r="B162" s="93" t="s">
        <v>153</v>
      </c>
      <c r="C162" s="3" t="s">
        <v>1016</v>
      </c>
      <c r="D162" s="3" t="s">
        <v>649</v>
      </c>
      <c r="E162" s="74" t="s">
        <v>484</v>
      </c>
      <c r="F162" s="75">
        <v>7.7224100992500017E-2</v>
      </c>
      <c r="G162" s="76">
        <v>24</v>
      </c>
      <c r="H162" s="39" t="s">
        <v>977</v>
      </c>
      <c r="I162" s="77">
        <v>30</v>
      </c>
      <c r="J162" s="78"/>
      <c r="K162" s="79">
        <f>J162*I162</f>
        <v>0</v>
      </c>
      <c r="L162" s="73"/>
      <c r="M162" s="73"/>
      <c r="N162" s="24" t="str">
        <f>IFERROR(IF($N$2*F162=0, "-", $N$2*F162), "-")</f>
        <v>-</v>
      </c>
      <c r="O162" s="24" t="str">
        <f>IFERROR(IF(N162&gt;0,I162+N162,"-"),"-")</f>
        <v>-</v>
      </c>
      <c r="P162" s="24" t="str">
        <f>IF(J162&gt;0,J162*F162, "-")</f>
        <v>-</v>
      </c>
      <c r="Q162" s="26" t="str">
        <f>IFERROR(IF($N$2&gt;0, $N$2*P162, "-"), "-")</f>
        <v>-</v>
      </c>
      <c r="R162" s="18"/>
      <c r="S162" s="26" t="str">
        <f>IFERROR(IF(Q162+K162=0, "-", IF(Q162&gt;0, Q162+K162, "-")), "-")</f>
        <v>-</v>
      </c>
    </row>
    <row r="163" spans="1:19" x14ac:dyDescent="0.3">
      <c r="A163" s="6" t="s">
        <v>834</v>
      </c>
      <c r="B163" s="93" t="s">
        <v>282</v>
      </c>
      <c r="C163" s="3" t="s">
        <v>1072</v>
      </c>
      <c r="D163" s="3" t="s">
        <v>649</v>
      </c>
      <c r="E163" s="74" t="s">
        <v>494</v>
      </c>
      <c r="F163" s="75">
        <v>0.13793082482827085</v>
      </c>
      <c r="G163" s="76">
        <v>24</v>
      </c>
      <c r="H163" s="39" t="s">
        <v>977</v>
      </c>
      <c r="I163" s="77">
        <v>15.600000000000001</v>
      </c>
      <c r="J163" s="78"/>
      <c r="K163" s="79">
        <f>J163*I163</f>
        <v>0</v>
      </c>
      <c r="L163" s="73"/>
      <c r="M163" s="73"/>
      <c r="N163" s="24" t="str">
        <f>IFERROR(IF($N$2*F163=0, "-", $N$2*F163), "-")</f>
        <v>-</v>
      </c>
      <c r="O163" s="24" t="str">
        <f>IFERROR(IF(N163&gt;0,I163+N163,"-"),"-")</f>
        <v>-</v>
      </c>
      <c r="P163" s="24" t="str">
        <f>IF(J163&gt;0,J163*F163, "-")</f>
        <v>-</v>
      </c>
      <c r="Q163" s="26" t="str">
        <f>IFERROR(IF($N$2&gt;0, $N$2*P163, "-"), "-")</f>
        <v>-</v>
      </c>
      <c r="R163" s="18"/>
      <c r="S163" s="26" t="str">
        <f>IFERROR(IF(Q163+K163=0, "-", IF(Q163&gt;0, Q163+K163, "-")), "-")</f>
        <v>-</v>
      </c>
    </row>
    <row r="164" spans="1:19" x14ac:dyDescent="0.3">
      <c r="A164" s="6" t="s">
        <v>837</v>
      </c>
      <c r="B164" s="93" t="s">
        <v>163</v>
      </c>
      <c r="C164" s="3" t="s">
        <v>1073</v>
      </c>
      <c r="D164" s="3" t="s">
        <v>719</v>
      </c>
      <c r="E164" s="74" t="s">
        <v>497</v>
      </c>
      <c r="F164" s="75">
        <v>0.49337620078541666</v>
      </c>
      <c r="G164" s="76">
        <v>12</v>
      </c>
      <c r="H164" s="39" t="s">
        <v>977</v>
      </c>
      <c r="I164" s="77">
        <v>16.799999999999997</v>
      </c>
      <c r="J164" s="78"/>
      <c r="K164" s="79">
        <f>J164*I164</f>
        <v>0</v>
      </c>
      <c r="L164" s="73"/>
      <c r="M164" s="73"/>
      <c r="N164" s="24" t="str">
        <f>IFERROR(IF($N$2*F164=0, "-", $N$2*F164), "-")</f>
        <v>-</v>
      </c>
      <c r="O164" s="24" t="str">
        <f>IFERROR(IF(N164&gt;0,I164+N164,"-"),"-")</f>
        <v>-</v>
      </c>
      <c r="P164" s="24" t="str">
        <f>IF(J164&gt;0,J164*F164, "-")</f>
        <v>-</v>
      </c>
      <c r="Q164" s="26" t="str">
        <f>IFERROR(IF($N$2&gt;0, $N$2*P164, "-"), "-")</f>
        <v>-</v>
      </c>
      <c r="R164" s="18"/>
      <c r="S164" s="26" t="str">
        <f>IFERROR(IF(Q164+K164=0, "-", IF(Q164&gt;0, Q164+K164, "-")), "-")</f>
        <v>-</v>
      </c>
    </row>
    <row r="165" spans="1:19" x14ac:dyDescent="0.3">
      <c r="A165" s="6" t="s">
        <v>838</v>
      </c>
      <c r="B165" s="93" t="s">
        <v>164</v>
      </c>
      <c r="C165" s="3" t="s">
        <v>1047</v>
      </c>
      <c r="D165" s="3" t="s">
        <v>730</v>
      </c>
      <c r="E165" s="74" t="s">
        <v>498</v>
      </c>
      <c r="F165" s="75">
        <v>0.12485</v>
      </c>
      <c r="G165" s="76">
        <v>24</v>
      </c>
      <c r="H165" s="39" t="s">
        <v>977</v>
      </c>
      <c r="I165" s="77">
        <v>22.799999999999997</v>
      </c>
      <c r="J165" s="78"/>
      <c r="K165" s="79">
        <f>J165*I165</f>
        <v>0</v>
      </c>
      <c r="L165" s="73"/>
      <c r="M165" s="73"/>
      <c r="N165" s="24" t="str">
        <f>IFERROR(IF($N$2*F165=0, "-", $N$2*F165), "-")</f>
        <v>-</v>
      </c>
      <c r="O165" s="24" t="str">
        <f>IFERROR(IF(N165&gt;0,I165+N165,"-"),"-")</f>
        <v>-</v>
      </c>
      <c r="P165" s="24" t="str">
        <f>IF(J165&gt;0,J165*F165, "-")</f>
        <v>-</v>
      </c>
      <c r="Q165" s="26" t="str">
        <f>IFERROR(IF($N$2&gt;0, $N$2*P165, "-"), "-")</f>
        <v>-</v>
      </c>
      <c r="R165" s="18"/>
      <c r="S165" s="26" t="str">
        <f>IFERROR(IF(Q165+K165=0, "-", IF(Q165&gt;0, Q165+K165, "-")), "-")</f>
        <v>-</v>
      </c>
    </row>
    <row r="166" spans="1:19" ht="26.4" x14ac:dyDescent="0.3">
      <c r="A166" s="6" t="s">
        <v>844</v>
      </c>
      <c r="B166" s="93" t="s">
        <v>167</v>
      </c>
      <c r="C166" s="3" t="s">
        <v>1034</v>
      </c>
      <c r="D166" s="3" t="s">
        <v>649</v>
      </c>
      <c r="E166" s="74" t="s">
        <v>504</v>
      </c>
      <c r="F166" s="75">
        <v>0.34321822663333335</v>
      </c>
      <c r="G166" s="76">
        <v>12</v>
      </c>
      <c r="H166" s="39" t="s">
        <v>977</v>
      </c>
      <c r="I166" s="77">
        <v>31.799999999999997</v>
      </c>
      <c r="J166" s="78"/>
      <c r="K166" s="79">
        <f>J166*I166</f>
        <v>0</v>
      </c>
      <c r="L166" s="73"/>
      <c r="M166" s="73"/>
      <c r="N166" s="24" t="str">
        <f>IFERROR(IF($N$2*F166=0, "-", $N$2*F166), "-")</f>
        <v>-</v>
      </c>
      <c r="O166" s="24" t="str">
        <f>IFERROR(IF(N166&gt;0,I166+N166,"-"),"-")</f>
        <v>-</v>
      </c>
      <c r="P166" s="24" t="str">
        <f>IF(J166&gt;0,J166*F166, "-")</f>
        <v>-</v>
      </c>
      <c r="Q166" s="26" t="str">
        <f>IFERROR(IF($N$2&gt;0, $N$2*P166, "-"), "-")</f>
        <v>-</v>
      </c>
      <c r="R166" s="18"/>
      <c r="S166" s="26" t="str">
        <f>IFERROR(IF(Q166+K166=0, "-", IF(Q166&gt;0, Q166+K166, "-")), "-")</f>
        <v>-</v>
      </c>
    </row>
    <row r="167" spans="1:19" x14ac:dyDescent="0.3">
      <c r="A167" s="6" t="s">
        <v>845</v>
      </c>
      <c r="B167" s="93" t="s">
        <v>168</v>
      </c>
      <c r="C167" s="3" t="s">
        <v>1028</v>
      </c>
      <c r="D167" s="3" t="s">
        <v>727</v>
      </c>
      <c r="E167" s="74" t="s">
        <v>505</v>
      </c>
      <c r="F167" s="75">
        <v>8.5804556658333336E-2</v>
      </c>
      <c r="G167" s="76">
        <v>24</v>
      </c>
      <c r="H167" s="39" t="s">
        <v>977</v>
      </c>
      <c r="I167" s="77">
        <v>14.399999999999999</v>
      </c>
      <c r="J167" s="78"/>
      <c r="K167" s="79">
        <f>J167*I167</f>
        <v>0</v>
      </c>
      <c r="L167" s="73"/>
      <c r="M167" s="73"/>
      <c r="N167" s="24" t="str">
        <f>IFERROR(IF($N$2*F167=0, "-", $N$2*F167), "-")</f>
        <v>-</v>
      </c>
      <c r="O167" s="24" t="str">
        <f>IFERROR(IF(N167&gt;0,I167+N167,"-"),"-")</f>
        <v>-</v>
      </c>
      <c r="P167" s="24" t="str">
        <f>IF(J167&gt;0,J167*F167, "-")</f>
        <v>-</v>
      </c>
      <c r="Q167" s="26" t="str">
        <f>IFERROR(IF($N$2&gt;0, $N$2*P167, "-"), "-")</f>
        <v>-</v>
      </c>
      <c r="R167" s="18"/>
      <c r="S167" s="26" t="str">
        <f>IFERROR(IF(Q167+K167=0, "-", IF(Q167&gt;0, Q167+K167, "-")), "-")</f>
        <v>-</v>
      </c>
    </row>
    <row r="168" spans="1:19" x14ac:dyDescent="0.3">
      <c r="A168" s="6" t="s">
        <v>846</v>
      </c>
      <c r="B168" s="93" t="s">
        <v>169</v>
      </c>
      <c r="C168" s="3" t="s">
        <v>1028</v>
      </c>
      <c r="D168" s="3" t="s">
        <v>727</v>
      </c>
      <c r="E168" s="74" t="s">
        <v>506</v>
      </c>
      <c r="F168" s="75">
        <v>9.0309295882895838E-2</v>
      </c>
      <c r="G168" s="76">
        <v>24</v>
      </c>
      <c r="H168" s="39" t="s">
        <v>977</v>
      </c>
      <c r="I168" s="77">
        <v>25.799999999999997</v>
      </c>
      <c r="J168" s="78"/>
      <c r="K168" s="79">
        <f>J168*I168</f>
        <v>0</v>
      </c>
      <c r="L168" s="73"/>
      <c r="M168" s="73"/>
      <c r="N168" s="24" t="str">
        <f>IFERROR(IF($N$2*F168=0, "-", $N$2*F168), "-")</f>
        <v>-</v>
      </c>
      <c r="O168" s="24" t="str">
        <f>IFERROR(IF(N168&gt;0,I168+N168,"-"),"-")</f>
        <v>-</v>
      </c>
      <c r="P168" s="24" t="str">
        <f>IF(J168&gt;0,J168*F168, "-")</f>
        <v>-</v>
      </c>
      <c r="Q168" s="26" t="str">
        <f>IFERROR(IF($N$2&gt;0, $N$2*P168, "-"), "-")</f>
        <v>-</v>
      </c>
      <c r="R168" s="18"/>
      <c r="S168" s="26" t="str">
        <f>IFERROR(IF(Q168+K168=0, "-", IF(Q168&gt;0, Q168+K168, "-")), "-")</f>
        <v>-</v>
      </c>
    </row>
    <row r="169" spans="1:19" x14ac:dyDescent="0.3">
      <c r="A169" s="6" t="s">
        <v>847</v>
      </c>
      <c r="B169" s="93" t="s">
        <v>170</v>
      </c>
      <c r="C169" s="3" t="s">
        <v>1002</v>
      </c>
      <c r="D169" s="3" t="s">
        <v>673</v>
      </c>
      <c r="E169" s="74" t="s">
        <v>507</v>
      </c>
      <c r="F169" s="75">
        <v>9.2986398050635855E-2</v>
      </c>
      <c r="G169" s="76">
        <v>24</v>
      </c>
      <c r="H169" s="39" t="s">
        <v>977</v>
      </c>
      <c r="I169" s="77">
        <v>21</v>
      </c>
      <c r="J169" s="78"/>
      <c r="K169" s="79">
        <f>J169*I169</f>
        <v>0</v>
      </c>
      <c r="L169" s="73"/>
      <c r="M169" s="73"/>
      <c r="N169" s="24" t="str">
        <f>IFERROR(IF($N$2*F169=0, "-", $N$2*F169), "-")</f>
        <v>-</v>
      </c>
      <c r="O169" s="24" t="str">
        <f>IFERROR(IF(N169&gt;0,I169+N169,"-"),"-")</f>
        <v>-</v>
      </c>
      <c r="P169" s="24" t="str">
        <f>IF(J169&gt;0,J169*F169, "-")</f>
        <v>-</v>
      </c>
      <c r="Q169" s="26" t="str">
        <f>IFERROR(IF($N$2&gt;0, $N$2*P169, "-"), "-")</f>
        <v>-</v>
      </c>
      <c r="R169" s="18"/>
      <c r="S169" s="26" t="str">
        <f>IFERROR(IF(Q169+K169=0, "-", IF(Q169&gt;0, Q169+K169, "-")), "-")</f>
        <v>-</v>
      </c>
    </row>
    <row r="170" spans="1:19" x14ac:dyDescent="0.3">
      <c r="A170" s="6" t="s">
        <v>849</v>
      </c>
      <c r="B170" s="93" t="s">
        <v>173</v>
      </c>
      <c r="C170" s="3" t="s">
        <v>1003</v>
      </c>
      <c r="D170" s="3" t="s">
        <v>700</v>
      </c>
      <c r="E170" s="74" t="s">
        <v>510</v>
      </c>
      <c r="F170" s="75">
        <v>0.13586078989888856</v>
      </c>
      <c r="G170" s="76">
        <v>24</v>
      </c>
      <c r="H170" s="39" t="s">
        <v>977</v>
      </c>
      <c r="I170" s="77">
        <v>26.400000000000002</v>
      </c>
      <c r="J170" s="78"/>
      <c r="K170" s="79">
        <v>0</v>
      </c>
      <c r="L170" s="73"/>
      <c r="M170" s="73"/>
      <c r="N170" s="24" t="str">
        <f>IFERROR(IF($N$2*F170=0, "-", $N$2*F170), "-")</f>
        <v>-</v>
      </c>
      <c r="O170" s="24" t="str">
        <f>IFERROR(IF(N170&gt;0,I170+N170,"-"),"-")</f>
        <v>-</v>
      </c>
      <c r="P170" s="24" t="str">
        <f>IF(J170&gt;0,J170*F170, "-")</f>
        <v>-</v>
      </c>
      <c r="Q170" s="26" t="str">
        <f>IFERROR(IF($N$2&gt;0, $N$2*P170, "-"), "-")</f>
        <v>-</v>
      </c>
      <c r="R170" s="18"/>
      <c r="S170" s="26" t="str">
        <f>IFERROR(IF(Q170+K170=0, "-", IF(Q170&gt;0, Q170+K170, "-")), "-")</f>
        <v>-</v>
      </c>
    </row>
    <row r="171" spans="1:19" x14ac:dyDescent="0.3">
      <c r="A171" s="6" t="s">
        <v>854</v>
      </c>
      <c r="B171" s="93" t="s">
        <v>178</v>
      </c>
      <c r="C171" s="3" t="s">
        <v>984</v>
      </c>
      <c r="D171" s="80" t="s">
        <v>769</v>
      </c>
      <c r="E171" s="74" t="s">
        <v>515</v>
      </c>
      <c r="F171" s="75">
        <v>7.9450000000000007E-2</v>
      </c>
      <c r="G171" s="30">
        <v>24</v>
      </c>
      <c r="H171" s="39" t="s">
        <v>977</v>
      </c>
      <c r="I171" s="77">
        <v>16.799999999999997</v>
      </c>
      <c r="J171" s="78"/>
      <c r="K171" s="79">
        <f>J171*I171</f>
        <v>0</v>
      </c>
      <c r="L171" s="73"/>
      <c r="M171" s="73"/>
      <c r="N171" s="24" t="str">
        <f>IFERROR(IF($N$2*F171=0, "-", $N$2*F171), "-")</f>
        <v>-</v>
      </c>
      <c r="O171" s="24" t="str">
        <f>IFERROR(IF(N171&gt;0,I171+N171,"-"),"-")</f>
        <v>-</v>
      </c>
      <c r="P171" s="24" t="str">
        <f>IF(J171&gt;0,J171*F171, "-")</f>
        <v>-</v>
      </c>
      <c r="Q171" s="26" t="str">
        <f>IFERROR(IF($N$2&gt;0, $N$2*P171, "-"), "-")</f>
        <v>-</v>
      </c>
      <c r="R171" s="18"/>
      <c r="S171" s="26" t="str">
        <f>IFERROR(IF(Q171+K171=0, "-", IF(Q171&gt;0, Q171+K171, "-")), "-")</f>
        <v>-</v>
      </c>
    </row>
    <row r="172" spans="1:19" x14ac:dyDescent="0.3">
      <c r="A172" s="6" t="s">
        <v>855</v>
      </c>
      <c r="B172" s="93" t="s">
        <v>179</v>
      </c>
      <c r="C172" s="3" t="s">
        <v>984</v>
      </c>
      <c r="D172" s="80" t="s">
        <v>643</v>
      </c>
      <c r="E172" s="74" t="s">
        <v>516</v>
      </c>
      <c r="F172" s="75">
        <v>7.9450000000000007E-2</v>
      </c>
      <c r="G172" s="30">
        <v>24</v>
      </c>
      <c r="H172" s="39" t="s">
        <v>977</v>
      </c>
      <c r="I172" s="77">
        <v>16.799999999999997</v>
      </c>
      <c r="J172" s="78"/>
      <c r="K172" s="79">
        <f>J172*I172</f>
        <v>0</v>
      </c>
      <c r="L172" s="73"/>
      <c r="M172" s="73"/>
      <c r="N172" s="24" t="str">
        <f>IFERROR(IF($N$2*F172=0, "-", $N$2*F172), "-")</f>
        <v>-</v>
      </c>
      <c r="O172" s="24" t="str">
        <f>IFERROR(IF(N172&gt;0,I172+N172,"-"),"-")</f>
        <v>-</v>
      </c>
      <c r="P172" s="24" t="str">
        <f>IF(J172&gt;0,J172*F172, "-")</f>
        <v>-</v>
      </c>
      <c r="Q172" s="26" t="str">
        <f>IFERROR(IF($N$2&gt;0, $N$2*P172, "-"), "-")</f>
        <v>-</v>
      </c>
      <c r="R172" s="18"/>
      <c r="S172" s="26" t="str">
        <f>IFERROR(IF(Q172+K172=0, "-", IF(Q172&gt;0, Q172+K172, "-")), "-")</f>
        <v>-</v>
      </c>
    </row>
    <row r="173" spans="1:19" x14ac:dyDescent="0.3">
      <c r="A173" s="6" t="s">
        <v>856</v>
      </c>
      <c r="B173" s="93" t="s">
        <v>180</v>
      </c>
      <c r="C173" s="3" t="s">
        <v>986</v>
      </c>
      <c r="D173" s="80" t="s">
        <v>670</v>
      </c>
      <c r="E173" s="74" t="s">
        <v>517</v>
      </c>
      <c r="F173" s="75">
        <v>0.12870683498750002</v>
      </c>
      <c r="G173" s="30">
        <v>24</v>
      </c>
      <c r="H173" s="39" t="s">
        <v>977</v>
      </c>
      <c r="I173" s="77">
        <v>9.6000000000000014</v>
      </c>
      <c r="J173" s="78"/>
      <c r="K173" s="79">
        <f>J173*I173</f>
        <v>0</v>
      </c>
      <c r="L173" s="73"/>
      <c r="M173" s="73"/>
      <c r="N173" s="24" t="str">
        <f>IFERROR(IF($N$2*F173=0, "-", $N$2*F173), "-")</f>
        <v>-</v>
      </c>
      <c r="O173" s="24" t="str">
        <f>IFERROR(IF(N173&gt;0,I173+N173,"-"),"-")</f>
        <v>-</v>
      </c>
      <c r="P173" s="24" t="str">
        <f>IF(J173&gt;0,J173*F173, "-")</f>
        <v>-</v>
      </c>
      <c r="Q173" s="26" t="str">
        <f>IFERROR(IF($N$2&gt;0, $N$2*P173, "-"), "-")</f>
        <v>-</v>
      </c>
      <c r="R173" s="18"/>
      <c r="S173" s="26" t="str">
        <f>IFERROR(IF(Q173+K173=0, "-", IF(Q173&gt;0, Q173+K173, "-")), "-")</f>
        <v>-</v>
      </c>
    </row>
    <row r="174" spans="1:19" x14ac:dyDescent="0.3">
      <c r="A174" s="6" t="s">
        <v>861</v>
      </c>
      <c r="B174" s="94" t="s">
        <v>285</v>
      </c>
      <c r="C174" s="80" t="s">
        <v>1075</v>
      </c>
      <c r="D174" s="80" t="s">
        <v>862</v>
      </c>
      <c r="E174" s="74" t="s">
        <v>522</v>
      </c>
      <c r="F174" s="75">
        <v>5.6416496002854179E-2</v>
      </c>
      <c r="G174" s="30">
        <v>24</v>
      </c>
      <c r="H174" s="39" t="s">
        <v>977</v>
      </c>
      <c r="I174" s="77">
        <v>15.120000000000001</v>
      </c>
      <c r="J174" s="78"/>
      <c r="K174" s="79">
        <v>0</v>
      </c>
      <c r="L174" s="73"/>
      <c r="M174" s="73"/>
      <c r="N174" s="24" t="str">
        <f>IFERROR(IF($N$2*F174=0, "-", $N$2*F174), "-")</f>
        <v>-</v>
      </c>
      <c r="O174" s="24" t="str">
        <f>IFERROR(IF(N174&gt;0,I174+N174,"-"),"-")</f>
        <v>-</v>
      </c>
      <c r="P174" s="24" t="str">
        <f>IF(J174&gt;0,J174*F174, "-")</f>
        <v>-</v>
      </c>
      <c r="Q174" s="26" t="str">
        <f>IFERROR(IF($N$2&gt;0, $N$2*P174, "-"), "-")</f>
        <v>-</v>
      </c>
      <c r="R174" s="18"/>
      <c r="S174" s="26" t="str">
        <f>IFERROR(IF(Q174+K174=0, "-", IF(Q174&gt;0, Q174+K174, "-")), "-")</f>
        <v>-</v>
      </c>
    </row>
    <row r="175" spans="1:19" x14ac:dyDescent="0.3">
      <c r="A175" s="6" t="s">
        <v>863</v>
      </c>
      <c r="B175" s="93" t="s">
        <v>185</v>
      </c>
      <c r="C175" s="3" t="s">
        <v>984</v>
      </c>
      <c r="D175" s="80" t="s">
        <v>782</v>
      </c>
      <c r="E175" s="74" t="s">
        <v>523</v>
      </c>
      <c r="F175" s="75">
        <v>6.1779280794000004E-2</v>
      </c>
      <c r="G175" s="30">
        <v>24</v>
      </c>
      <c r="H175" s="39" t="s">
        <v>977</v>
      </c>
      <c r="I175" s="77">
        <v>26.400000000000002</v>
      </c>
      <c r="J175" s="78"/>
      <c r="K175" s="79">
        <f>J175*I175</f>
        <v>0</v>
      </c>
      <c r="L175" s="73"/>
      <c r="M175" s="73"/>
      <c r="N175" s="24" t="str">
        <f>IFERROR(IF($N$2*F175=0, "-", $N$2*F175), "-")</f>
        <v>-</v>
      </c>
      <c r="O175" s="24" t="str">
        <f>IFERROR(IF(N175&gt;0,I175+N175,"-"),"-")</f>
        <v>-</v>
      </c>
      <c r="P175" s="24" t="str">
        <f>IF(J175&gt;0,J175*F175, "-")</f>
        <v>-</v>
      </c>
      <c r="Q175" s="26" t="str">
        <f>IFERROR(IF($N$2&gt;0, $N$2*P175, "-"), "-")</f>
        <v>-</v>
      </c>
      <c r="R175" s="18"/>
      <c r="S175" s="26" t="str">
        <f>IFERROR(IF(Q175+K175=0, "-", IF(Q175&gt;0, Q175+K175, "-")), "-")</f>
        <v>-</v>
      </c>
    </row>
    <row r="176" spans="1:19" x14ac:dyDescent="0.3">
      <c r="A176" s="6" t="s">
        <v>867</v>
      </c>
      <c r="B176" s="93" t="s">
        <v>189</v>
      </c>
      <c r="C176" s="3" t="s">
        <v>1076</v>
      </c>
      <c r="D176" s="3" t="s">
        <v>696</v>
      </c>
      <c r="E176" s="74" t="s">
        <v>527</v>
      </c>
      <c r="F176" s="75">
        <v>6.1779280794000004E-2</v>
      </c>
      <c r="G176" s="76">
        <v>24</v>
      </c>
      <c r="H176" s="39" t="s">
        <v>977</v>
      </c>
      <c r="I176" s="77">
        <v>16.799999999999997</v>
      </c>
      <c r="J176" s="78"/>
      <c r="K176" s="79">
        <f>J176*I176</f>
        <v>0</v>
      </c>
      <c r="L176" s="73"/>
      <c r="M176" s="73"/>
      <c r="N176" s="24" t="str">
        <f>IFERROR(IF($N$2*F176=0, "-", $N$2*F176), "-")</f>
        <v>-</v>
      </c>
      <c r="O176" s="24" t="str">
        <f>IFERROR(IF(N176&gt;0,I176+N176,"-"),"-")</f>
        <v>-</v>
      </c>
      <c r="P176" s="24" t="str">
        <f>IF(J176&gt;0,J176*F176, "-")</f>
        <v>-</v>
      </c>
      <c r="Q176" s="26" t="str">
        <f>IFERROR(IF($N$2&gt;0, $N$2*P176, "-"), "-")</f>
        <v>-</v>
      </c>
      <c r="R176" s="18"/>
      <c r="S176" s="26" t="str">
        <f>IFERROR(IF(Q176+K176=0, "-", IF(Q176&gt;0, Q176+K176, "-")), "-")</f>
        <v>-</v>
      </c>
    </row>
    <row r="177" spans="1:19" x14ac:dyDescent="0.3">
      <c r="A177" s="6" t="s">
        <v>873</v>
      </c>
      <c r="B177" s="93" t="s">
        <v>194</v>
      </c>
      <c r="C177" s="3" t="s">
        <v>1077</v>
      </c>
      <c r="D177" s="80" t="s">
        <v>657</v>
      </c>
      <c r="E177" s="74" t="s">
        <v>532</v>
      </c>
      <c r="F177" s="75">
        <v>0.43760323895750003</v>
      </c>
      <c r="G177" s="30">
        <v>20</v>
      </c>
      <c r="H177" s="39" t="s">
        <v>977</v>
      </c>
      <c r="I177" s="77">
        <v>18</v>
      </c>
      <c r="J177" s="78"/>
      <c r="K177" s="79">
        <f>J177*I177</f>
        <v>0</v>
      </c>
      <c r="L177" s="73"/>
      <c r="M177" s="73"/>
      <c r="N177" s="24" t="str">
        <f>IFERROR(IF($N$2*F177=0, "-", $N$2*F177), "-")</f>
        <v>-</v>
      </c>
      <c r="O177" s="24" t="str">
        <f>IFERROR(IF(N177&gt;0,I177+N177,"-"),"-")</f>
        <v>-</v>
      </c>
      <c r="P177" s="24" t="str">
        <f>IF(J177&gt;0,J177*F177, "-")</f>
        <v>-</v>
      </c>
      <c r="Q177" s="26" t="str">
        <f>IFERROR(IF($N$2&gt;0, $N$2*P177, "-"), "-")</f>
        <v>-</v>
      </c>
      <c r="R177" s="18"/>
      <c r="S177" s="26" t="str">
        <f>IFERROR(IF(Q177+K177=0, "-", IF(Q177&gt;0, Q177+K177, "-")), "-")</f>
        <v>-</v>
      </c>
    </row>
    <row r="178" spans="1:19" x14ac:dyDescent="0.3">
      <c r="A178" s="6" t="s">
        <v>874</v>
      </c>
      <c r="B178" s="93" t="s">
        <v>195</v>
      </c>
      <c r="C178" s="3" t="s">
        <v>1077</v>
      </c>
      <c r="D178" s="80" t="s">
        <v>657</v>
      </c>
      <c r="E178" s="74" t="s">
        <v>533</v>
      </c>
      <c r="F178" s="75">
        <v>0.44275151235700005</v>
      </c>
      <c r="G178" s="30">
        <v>20</v>
      </c>
      <c r="H178" s="39" t="s">
        <v>977</v>
      </c>
      <c r="I178" s="77">
        <v>20.25</v>
      </c>
      <c r="J178" s="78"/>
      <c r="K178" s="79">
        <f>J178*I178</f>
        <v>0</v>
      </c>
      <c r="L178" s="73"/>
      <c r="M178" s="73"/>
      <c r="N178" s="24" t="str">
        <f>IFERROR(IF($N$2*F178=0, "-", $N$2*F178), "-")</f>
        <v>-</v>
      </c>
      <c r="O178" s="24" t="str">
        <f>IFERROR(IF(N178&gt;0,I178+N178,"-"),"-")</f>
        <v>-</v>
      </c>
      <c r="P178" s="24" t="str">
        <f>IF(J178&gt;0,J178*F178, "-")</f>
        <v>-</v>
      </c>
      <c r="Q178" s="26" t="str">
        <f>IFERROR(IF($N$2&gt;0, $N$2*P178, "-"), "-")</f>
        <v>-</v>
      </c>
      <c r="R178" s="18"/>
      <c r="S178" s="26" t="str">
        <f>IFERROR(IF(Q178+K178=0, "-", IF(Q178&gt;0, Q178+K178, "-")), "-")</f>
        <v>-</v>
      </c>
    </row>
    <row r="179" spans="1:19" x14ac:dyDescent="0.3">
      <c r="A179" s="6" t="s">
        <v>875</v>
      </c>
      <c r="B179" s="93" t="s">
        <v>196</v>
      </c>
      <c r="C179" s="3" t="s">
        <v>1077</v>
      </c>
      <c r="D179" s="80" t="s">
        <v>657</v>
      </c>
      <c r="E179" s="74" t="s">
        <v>534</v>
      </c>
      <c r="F179" s="75">
        <v>0.44275151235700005</v>
      </c>
      <c r="G179" s="30">
        <v>20</v>
      </c>
      <c r="H179" s="39" t="s">
        <v>977</v>
      </c>
      <c r="I179" s="77">
        <v>18</v>
      </c>
      <c r="J179" s="78"/>
      <c r="K179" s="79">
        <f>J179*I179</f>
        <v>0</v>
      </c>
      <c r="L179" s="73"/>
      <c r="M179" s="73"/>
      <c r="N179" s="24" t="str">
        <f>IFERROR(IF($N$2*F179=0, "-", $N$2*F179), "-")</f>
        <v>-</v>
      </c>
      <c r="O179" s="24" t="str">
        <f>IFERROR(IF(N179&gt;0,I179+N179,"-"),"-")</f>
        <v>-</v>
      </c>
      <c r="P179" s="24" t="str">
        <f>IF(J179&gt;0,J179*F179, "-")</f>
        <v>-</v>
      </c>
      <c r="Q179" s="26" t="str">
        <f>IFERROR(IF($N$2&gt;0, $N$2*P179, "-"), "-")</f>
        <v>-</v>
      </c>
      <c r="R179" s="18"/>
      <c r="S179" s="26" t="str">
        <f>IFERROR(IF(Q179+K179=0, "-", IF(Q179&gt;0, Q179+K179, "-")), "-")</f>
        <v>-</v>
      </c>
    </row>
    <row r="180" spans="1:19" x14ac:dyDescent="0.3">
      <c r="A180" s="6" t="s">
        <v>876</v>
      </c>
      <c r="B180" s="93" t="s">
        <v>197</v>
      </c>
      <c r="C180" s="3" t="s">
        <v>1078</v>
      </c>
      <c r="D180" s="80" t="s">
        <v>762</v>
      </c>
      <c r="E180" s="74" t="s">
        <v>535</v>
      </c>
      <c r="F180" s="75">
        <v>0.11209950144072583</v>
      </c>
      <c r="G180" s="30">
        <v>62</v>
      </c>
      <c r="H180" s="39" t="s">
        <v>977</v>
      </c>
      <c r="I180" s="77">
        <v>44.625</v>
      </c>
      <c r="J180" s="78"/>
      <c r="K180" s="79">
        <f>J180*I180</f>
        <v>0</v>
      </c>
      <c r="L180" s="73"/>
      <c r="M180" s="73"/>
      <c r="N180" s="24" t="str">
        <f>IFERROR(IF($N$2*F180=0, "-", $N$2*F180), "-")</f>
        <v>-</v>
      </c>
      <c r="O180" s="24" t="str">
        <f>IFERROR(IF(N180&gt;0,I180+N180,"-"),"-")</f>
        <v>-</v>
      </c>
      <c r="P180" s="24" t="str">
        <f>IF(J180&gt;0,J180*F180, "-")</f>
        <v>-</v>
      </c>
      <c r="Q180" s="26" t="str">
        <f>IFERROR(IF($N$2&gt;0, $N$2*P180, "-"), "-")</f>
        <v>-</v>
      </c>
      <c r="R180" s="18"/>
      <c r="S180" s="26" t="str">
        <f>IFERROR(IF(Q180+K180=0, "-", IF(Q180&gt;0, Q180+K180, "-")), "-")</f>
        <v>-</v>
      </c>
    </row>
    <row r="181" spans="1:19" x14ac:dyDescent="0.3">
      <c r="A181" s="6" t="s">
        <v>879</v>
      </c>
      <c r="B181" s="93" t="s">
        <v>198</v>
      </c>
      <c r="C181" s="3" t="s">
        <v>1080</v>
      </c>
      <c r="D181" s="80" t="s">
        <v>670</v>
      </c>
      <c r="E181" s="74" t="s">
        <v>538</v>
      </c>
      <c r="F181" s="75">
        <v>0.36681447971437509</v>
      </c>
      <c r="G181" s="30">
        <v>12</v>
      </c>
      <c r="H181" s="39" t="s">
        <v>977</v>
      </c>
      <c r="I181" s="77">
        <v>19.5</v>
      </c>
      <c r="J181" s="78"/>
      <c r="K181" s="79">
        <f>J181*I181</f>
        <v>0</v>
      </c>
      <c r="L181" s="73"/>
      <c r="M181" s="73"/>
      <c r="N181" s="24" t="str">
        <f>IFERROR(IF($N$2*F181=0, "-", $N$2*F181), "-")</f>
        <v>-</v>
      </c>
      <c r="O181" s="24" t="str">
        <f>IFERROR(IF(N181&gt;0,I181+N181,"-"),"-")</f>
        <v>-</v>
      </c>
      <c r="P181" s="24" t="str">
        <f>IF(J181&gt;0,J181*F181, "-")</f>
        <v>-</v>
      </c>
      <c r="Q181" s="26" t="str">
        <f>IFERROR(IF($N$2&gt;0, $N$2*P181, "-"), "-")</f>
        <v>-</v>
      </c>
      <c r="R181" s="18"/>
      <c r="S181" s="26" t="str">
        <f>IFERROR(IF(Q181+K181=0, "-", IF(Q181&gt;0, Q181+K181, "-")), "-")</f>
        <v>-</v>
      </c>
    </row>
    <row r="182" spans="1:19" x14ac:dyDescent="0.3">
      <c r="A182" s="6" t="s">
        <v>1186</v>
      </c>
      <c r="B182" s="93" t="s">
        <v>1187</v>
      </c>
      <c r="C182" s="3" t="s">
        <v>1002</v>
      </c>
      <c r="D182" s="80" t="s">
        <v>654</v>
      </c>
      <c r="E182" s="74" t="s">
        <v>1188</v>
      </c>
      <c r="F182" s="75">
        <v>6.1779280794000004E-2</v>
      </c>
      <c r="G182" s="30">
        <v>24</v>
      </c>
      <c r="H182" s="39" t="s">
        <v>977</v>
      </c>
      <c r="I182" s="77">
        <v>7.1999999999999993</v>
      </c>
      <c r="J182" s="78"/>
      <c r="K182" s="79">
        <f>J182*I182</f>
        <v>0</v>
      </c>
      <c r="L182" s="73"/>
      <c r="M182" s="73"/>
      <c r="N182" s="24" t="str">
        <f>IFERROR(IF($N$2*F182=0, "-", $N$2*F182), "-")</f>
        <v>-</v>
      </c>
      <c r="O182" s="24" t="str">
        <f>IFERROR(IF(N182&gt;0,I182+N182,"-"),"-")</f>
        <v>-</v>
      </c>
      <c r="P182" s="24" t="str">
        <f>IF(J182&gt;0,J182*F182, "-")</f>
        <v>-</v>
      </c>
      <c r="Q182" s="26" t="str">
        <f>IFERROR(IF($N$2&gt;0, $N$2*P182, "-"), "-")</f>
        <v>-</v>
      </c>
      <c r="R182" s="18"/>
      <c r="S182" s="26" t="str">
        <f>IFERROR(IF(Q182+K182=0, "-", IF(Q182&gt;0, Q182+K182, "-")), "-")</f>
        <v>-</v>
      </c>
    </row>
    <row r="183" spans="1:19" x14ac:dyDescent="0.3">
      <c r="A183" s="6" t="s">
        <v>324</v>
      </c>
      <c r="B183" s="93" t="s">
        <v>201</v>
      </c>
      <c r="C183" s="3" t="s">
        <v>1081</v>
      </c>
      <c r="D183" s="3" t="s">
        <v>756</v>
      </c>
      <c r="E183" s="74" t="s">
        <v>541</v>
      </c>
      <c r="F183" s="75">
        <v>3.9470096062833332E-2</v>
      </c>
      <c r="G183" s="76">
        <v>24</v>
      </c>
      <c r="H183" s="39" t="s">
        <v>977</v>
      </c>
      <c r="I183" s="77">
        <v>15</v>
      </c>
      <c r="J183" s="78"/>
      <c r="K183" s="79">
        <f>J183*I183</f>
        <v>0</v>
      </c>
      <c r="L183" s="73"/>
      <c r="M183" s="73"/>
      <c r="N183" s="24" t="str">
        <f>IFERROR(IF($N$2*F183=0, "-", $N$2*F183), "-")</f>
        <v>-</v>
      </c>
      <c r="O183" s="24" t="str">
        <f>IFERROR(IF(N183&gt;0,I183+N183,"-"),"-")</f>
        <v>-</v>
      </c>
      <c r="P183" s="24" t="str">
        <f>IF(J183&gt;0,J183*F183, "-")</f>
        <v>-</v>
      </c>
      <c r="Q183" s="26" t="str">
        <f>IFERROR(IF($N$2&gt;0, $N$2*P183, "-"), "-")</f>
        <v>-</v>
      </c>
      <c r="R183" s="18"/>
      <c r="S183" s="26" t="str">
        <f>IFERROR(IF(Q183+K183=0, "-", IF(Q183&gt;0, Q183+K183, "-")), "-")</f>
        <v>-</v>
      </c>
    </row>
    <row r="184" spans="1:19" x14ac:dyDescent="0.3">
      <c r="A184" s="6" t="s">
        <v>883</v>
      </c>
      <c r="B184" s="93" t="s">
        <v>204</v>
      </c>
      <c r="C184" s="3" t="s">
        <v>1040</v>
      </c>
      <c r="D184" s="80" t="s">
        <v>670</v>
      </c>
      <c r="E184" s="74" t="s">
        <v>545</v>
      </c>
      <c r="F184" s="75">
        <v>0.1070840867096</v>
      </c>
      <c r="G184" s="30">
        <v>24</v>
      </c>
      <c r="H184" s="39" t="s">
        <v>977</v>
      </c>
      <c r="I184" s="77">
        <v>10.8</v>
      </c>
      <c r="J184" s="78"/>
      <c r="K184" s="79">
        <f>J184*I184</f>
        <v>0</v>
      </c>
      <c r="L184" s="73"/>
      <c r="M184" s="73"/>
      <c r="N184" s="24" t="str">
        <f>IFERROR(IF($N$2*F184=0, "-", $N$2*F184), "-")</f>
        <v>-</v>
      </c>
      <c r="O184" s="24" t="str">
        <f>IFERROR(IF(N184&gt;0,I184+N184,"-"),"-")</f>
        <v>-</v>
      </c>
      <c r="P184" s="24" t="str">
        <f>IF(J184&gt;0,J184*F184, "-")</f>
        <v>-</v>
      </c>
      <c r="Q184" s="26" t="str">
        <f>IFERROR(IF($N$2&gt;0, $N$2*P184, "-"), "-")</f>
        <v>-</v>
      </c>
      <c r="R184" s="18"/>
      <c r="S184" s="26" t="str">
        <f>IFERROR(IF(Q184+K184=0, "-", IF(Q184&gt;0, Q184+K184, "-")), "-")</f>
        <v>-</v>
      </c>
    </row>
    <row r="185" spans="1:19" x14ac:dyDescent="0.3">
      <c r="A185" s="6" t="s">
        <v>889</v>
      </c>
      <c r="B185" s="93" t="s">
        <v>208</v>
      </c>
      <c r="C185" s="3" t="s">
        <v>984</v>
      </c>
      <c r="D185" s="3" t="s">
        <v>670</v>
      </c>
      <c r="E185" s="74" t="s">
        <v>552</v>
      </c>
      <c r="F185" s="75">
        <v>0.10296546798999999</v>
      </c>
      <c r="G185" s="76">
        <v>24</v>
      </c>
      <c r="H185" s="39" t="s">
        <v>977</v>
      </c>
      <c r="I185" s="77">
        <v>21.6</v>
      </c>
      <c r="J185" s="78"/>
      <c r="K185" s="79">
        <f>J185*I185</f>
        <v>0</v>
      </c>
      <c r="L185" s="73"/>
      <c r="M185" s="73"/>
      <c r="N185" s="24" t="str">
        <f>IFERROR(IF($N$2*F185=0, "-", $N$2*F185), "-")</f>
        <v>-</v>
      </c>
      <c r="O185" s="24" t="str">
        <f>IFERROR(IF(N185&gt;0,I185+N185,"-"),"-")</f>
        <v>-</v>
      </c>
      <c r="P185" s="24" t="str">
        <f>IF(J185&gt;0,J185*F185, "-")</f>
        <v>-</v>
      </c>
      <c r="Q185" s="26" t="str">
        <f>IFERROR(IF($N$2&gt;0, $N$2*P185, "-"), "-")</f>
        <v>-</v>
      </c>
      <c r="R185" s="18"/>
      <c r="S185" s="26" t="str">
        <f>IFERROR(IF(Q185+K185=0, "-", IF(Q185&gt;0, Q185+K185, "-")), "-")</f>
        <v>-</v>
      </c>
    </row>
    <row r="186" spans="1:19" x14ac:dyDescent="0.3">
      <c r="A186" s="6" t="s">
        <v>891</v>
      </c>
      <c r="B186" s="93" t="s">
        <v>210</v>
      </c>
      <c r="C186" s="3" t="s">
        <v>1038</v>
      </c>
      <c r="D186" s="3" t="s">
        <v>719</v>
      </c>
      <c r="E186" s="74" t="s">
        <v>554</v>
      </c>
      <c r="F186" s="75">
        <v>9.3097943974291664E-2</v>
      </c>
      <c r="G186" s="76">
        <v>12</v>
      </c>
      <c r="H186" s="39" t="s">
        <v>977</v>
      </c>
      <c r="I186" s="77">
        <v>16.799999999999997</v>
      </c>
      <c r="J186" s="78"/>
      <c r="K186" s="79">
        <f>J186*I186</f>
        <v>0</v>
      </c>
      <c r="L186" s="73"/>
      <c r="M186" s="73"/>
      <c r="N186" s="24" t="str">
        <f>IFERROR(IF($N$2*F186=0, "-", $N$2*F186), "-")</f>
        <v>-</v>
      </c>
      <c r="O186" s="24" t="str">
        <f>IFERROR(IF(N186&gt;0,I186+N186,"-"),"-")</f>
        <v>-</v>
      </c>
      <c r="P186" s="24" t="str">
        <f>IF(J186&gt;0,J186*F186, "-")</f>
        <v>-</v>
      </c>
      <c r="Q186" s="26" t="str">
        <f>IFERROR(IF($N$2&gt;0, $N$2*P186, "-"), "-")</f>
        <v>-</v>
      </c>
      <c r="R186" s="18"/>
      <c r="S186" s="26" t="str">
        <f>IFERROR(IF(Q186+K186=0, "-", IF(Q186&gt;0, Q186+K186, "-")), "-")</f>
        <v>-</v>
      </c>
    </row>
    <row r="187" spans="1:19" x14ac:dyDescent="0.3">
      <c r="A187" s="6" t="s">
        <v>1189</v>
      </c>
      <c r="B187" s="93" t="s">
        <v>1190</v>
      </c>
      <c r="C187" s="3" t="s">
        <v>1191</v>
      </c>
      <c r="D187" s="3" t="s">
        <v>654</v>
      </c>
      <c r="E187" s="74" t="s">
        <v>1192</v>
      </c>
      <c r="F187" s="75">
        <v>0.10511058190645835</v>
      </c>
      <c r="G187" s="76">
        <v>12</v>
      </c>
      <c r="H187" s="39" t="s">
        <v>977</v>
      </c>
      <c r="I187" s="77">
        <v>7.1999999999999993</v>
      </c>
      <c r="J187" s="78"/>
      <c r="K187" s="79">
        <f>J187*I187</f>
        <v>0</v>
      </c>
      <c r="L187" s="73"/>
      <c r="M187" s="73"/>
      <c r="N187" s="24" t="str">
        <f>IFERROR(IF($N$2*F187=0, "-", $N$2*F187), "-")</f>
        <v>-</v>
      </c>
      <c r="O187" s="24" t="str">
        <f>IFERROR(IF(N187&gt;0,I187+N187,"-"),"-")</f>
        <v>-</v>
      </c>
      <c r="P187" s="24" t="str">
        <f>IF(J187&gt;0,J187*F187, "-")</f>
        <v>-</v>
      </c>
      <c r="Q187" s="26" t="str">
        <f>IFERROR(IF($N$2&gt;0, $N$2*P187, "-"), "-")</f>
        <v>-</v>
      </c>
      <c r="R187" s="18"/>
      <c r="S187" s="26" t="str">
        <f>IFERROR(IF(Q187+K187=0, "-", IF(Q187&gt;0, Q187+K187, "-")), "-")</f>
        <v>-</v>
      </c>
    </row>
    <row r="188" spans="1:19" x14ac:dyDescent="0.3">
      <c r="A188" s="6" t="s">
        <v>307</v>
      </c>
      <c r="B188" s="93" t="s">
        <v>308</v>
      </c>
      <c r="C188" s="3" t="s">
        <v>1002</v>
      </c>
      <c r="D188" s="3" t="s">
        <v>703</v>
      </c>
      <c r="E188" s="74" t="s">
        <v>556</v>
      </c>
      <c r="F188" s="75">
        <v>0.3684447662908833</v>
      </c>
      <c r="G188" s="76">
        <v>12</v>
      </c>
      <c r="H188" s="39" t="s">
        <v>977</v>
      </c>
      <c r="I188" s="77">
        <v>13.200000000000001</v>
      </c>
      <c r="J188" s="78"/>
      <c r="K188" s="79">
        <f>J188*I188</f>
        <v>0</v>
      </c>
      <c r="L188" s="73"/>
      <c r="M188" s="73"/>
      <c r="N188" s="24" t="str">
        <f>IFERROR(IF($N$2*F188=0, "-", $N$2*F188), "-")</f>
        <v>-</v>
      </c>
      <c r="O188" s="24" t="str">
        <f>IFERROR(IF(N188&gt;0,I188+N188,"-"),"-")</f>
        <v>-</v>
      </c>
      <c r="P188" s="24" t="str">
        <f>IF(J188&gt;0,J188*F188, "-")</f>
        <v>-</v>
      </c>
      <c r="Q188" s="26" t="str">
        <f>IFERROR(IF($N$2&gt;0, $N$2*P188, "-"), "-")</f>
        <v>-</v>
      </c>
      <c r="R188" s="18"/>
      <c r="S188" s="26" t="str">
        <f>IFERROR(IF(Q188+K188=0, "-", IF(Q188&gt;0, Q188+K188, "-")), "-")</f>
        <v>-</v>
      </c>
    </row>
    <row r="189" spans="1:19" x14ac:dyDescent="0.3">
      <c r="A189" s="6" t="s">
        <v>893</v>
      </c>
      <c r="B189" s="93" t="s">
        <v>212</v>
      </c>
      <c r="C189" s="3" t="s">
        <v>1082</v>
      </c>
      <c r="D189" s="3" t="s">
        <v>643</v>
      </c>
      <c r="E189" s="74" t="s">
        <v>557</v>
      </c>
      <c r="F189" s="75">
        <v>0.6521146306033333</v>
      </c>
      <c r="G189" s="76">
        <v>12</v>
      </c>
      <c r="H189" s="39" t="s">
        <v>977</v>
      </c>
      <c r="I189" s="77">
        <v>28.349999999999998</v>
      </c>
      <c r="J189" s="78"/>
      <c r="K189" s="79">
        <f>J189*I189</f>
        <v>0</v>
      </c>
      <c r="L189" s="73"/>
      <c r="M189" s="73"/>
      <c r="N189" s="24" t="str">
        <f>IFERROR(IF($N$2*F189=0, "-", $N$2*F189), "-")</f>
        <v>-</v>
      </c>
      <c r="O189" s="24" t="str">
        <f>IFERROR(IF(N189&gt;0,I189+N189,"-"),"-")</f>
        <v>-</v>
      </c>
      <c r="P189" s="24" t="str">
        <f>IF(J189&gt;0,J189*F189, "-")</f>
        <v>-</v>
      </c>
      <c r="Q189" s="26" t="str">
        <f>IFERROR(IF($N$2&gt;0, $N$2*P189, "-"), "-")</f>
        <v>-</v>
      </c>
      <c r="R189" s="18"/>
      <c r="S189" s="26" t="str">
        <f>IFERROR(IF(Q189+K189=0, "-", IF(Q189&gt;0, Q189+K189, "-")), "-")</f>
        <v>-</v>
      </c>
    </row>
    <row r="190" spans="1:19" x14ac:dyDescent="0.3">
      <c r="A190" s="6" t="s">
        <v>1228</v>
      </c>
      <c r="B190" s="93" t="s">
        <v>1237</v>
      </c>
      <c r="C190" s="3" t="s">
        <v>1040</v>
      </c>
      <c r="D190" s="3" t="s">
        <v>670</v>
      </c>
      <c r="E190" s="74" t="s">
        <v>1249</v>
      </c>
      <c r="F190" s="75"/>
      <c r="G190" s="76">
        <v>24</v>
      </c>
      <c r="H190" s="39" t="s">
        <v>977</v>
      </c>
      <c r="I190" s="77">
        <v>15</v>
      </c>
      <c r="J190" s="78"/>
      <c r="K190" s="79">
        <f>J190*I190</f>
        <v>0</v>
      </c>
      <c r="L190" s="73"/>
      <c r="M190" s="73"/>
      <c r="N190" s="24" t="str">
        <f>IFERROR(IF($N$2*F190=0, "-", $N$2*F190), "-")</f>
        <v>-</v>
      </c>
      <c r="O190" s="24" t="str">
        <f>IFERROR(IF(N190&gt;0,I190+N190,"-"),"-")</f>
        <v>-</v>
      </c>
      <c r="P190" s="24" t="str">
        <f>IF(J190&gt;0,J190*F190, "-")</f>
        <v>-</v>
      </c>
      <c r="Q190" s="26" t="str">
        <f>IFERROR(IF($N$2&gt;0, $N$2*P190, "-"), "-")</f>
        <v>-</v>
      </c>
      <c r="R190" s="18"/>
      <c r="S190" s="26" t="str">
        <f>IFERROR(IF(Q190+K190=0, "-", IF(Q190&gt;0, Q190+K190, "-")), "-")</f>
        <v>-</v>
      </c>
    </row>
    <row r="191" spans="1:19" x14ac:dyDescent="0.3">
      <c r="A191" s="6" t="s">
        <v>903</v>
      </c>
      <c r="B191" s="93" t="s">
        <v>220</v>
      </c>
      <c r="C191" s="3" t="s">
        <v>1028</v>
      </c>
      <c r="D191" s="3" t="s">
        <v>662</v>
      </c>
      <c r="E191" s="74" t="s">
        <v>567</v>
      </c>
      <c r="F191" s="75">
        <v>0.11386264668560832</v>
      </c>
      <c r="G191" s="76">
        <v>24</v>
      </c>
      <c r="H191" s="39" t="s">
        <v>977</v>
      </c>
      <c r="I191" s="77">
        <v>19.200000000000003</v>
      </c>
      <c r="J191" s="78"/>
      <c r="K191" s="79">
        <f>J191*I191</f>
        <v>0</v>
      </c>
      <c r="L191" s="73"/>
      <c r="M191" s="73"/>
      <c r="N191" s="24" t="str">
        <f>IFERROR(IF($N$2*F191=0, "-", $N$2*F191), "-")</f>
        <v>-</v>
      </c>
      <c r="O191" s="24" t="str">
        <f>IFERROR(IF(N191&gt;0,I191+N191,"-"),"-")</f>
        <v>-</v>
      </c>
      <c r="P191" s="24" t="str">
        <f>IF(J191&gt;0,J191*F191, "-")</f>
        <v>-</v>
      </c>
      <c r="Q191" s="26" t="str">
        <f>IFERROR(IF($N$2&gt;0, $N$2*P191, "-"), "-")</f>
        <v>-</v>
      </c>
      <c r="R191" s="18"/>
      <c r="S191" s="26" t="str">
        <f>IFERROR(IF(Q191+K191=0, "-", IF(Q191&gt;0, Q191+K191, "-")), "-")</f>
        <v>-</v>
      </c>
    </row>
    <row r="192" spans="1:19" x14ac:dyDescent="0.3">
      <c r="A192" s="6" t="s">
        <v>1116</v>
      </c>
      <c r="B192" s="93" t="s">
        <v>1193</v>
      </c>
      <c r="C192" s="3" t="s">
        <v>1040</v>
      </c>
      <c r="D192" s="3" t="s">
        <v>679</v>
      </c>
      <c r="E192" s="74" t="s">
        <v>1194</v>
      </c>
      <c r="F192" s="75">
        <v>6.7142065585145835E-2</v>
      </c>
      <c r="G192" s="76">
        <v>24</v>
      </c>
      <c r="H192" s="39" t="s">
        <v>977</v>
      </c>
      <c r="I192" s="77">
        <v>27.599999999999998</v>
      </c>
      <c r="J192" s="78"/>
      <c r="K192" s="79">
        <f>J192*I192</f>
        <v>0</v>
      </c>
      <c r="L192" s="73"/>
      <c r="M192" s="73"/>
      <c r="N192" s="24" t="str">
        <f>IFERROR(IF($N$2*F192=0, "-", $N$2*F192), "-")</f>
        <v>-</v>
      </c>
      <c r="O192" s="24" t="str">
        <f>IFERROR(IF(N192&gt;0,I192+N192,"-"),"-")</f>
        <v>-</v>
      </c>
      <c r="P192" s="24" t="str">
        <f>IF(J192&gt;0,J192*F192, "-")</f>
        <v>-</v>
      </c>
      <c r="Q192" s="26" t="str">
        <f>IFERROR(IF($N$2&gt;0, $N$2*P192, "-"), "-")</f>
        <v>-</v>
      </c>
      <c r="R192" s="18"/>
      <c r="S192" s="26" t="str">
        <f>IFERROR(IF(Q192+K192=0, "-", IF(Q192&gt;0, Q192+K192, "-")), "-")</f>
        <v>-</v>
      </c>
    </row>
    <row r="193" spans="1:19" x14ac:dyDescent="0.3">
      <c r="A193" s="6" t="s">
        <v>910</v>
      </c>
      <c r="B193" s="93" t="s">
        <v>225</v>
      </c>
      <c r="C193" s="3" t="s">
        <v>1067</v>
      </c>
      <c r="D193" s="3" t="s">
        <v>700</v>
      </c>
      <c r="E193" s="74" t="s">
        <v>575</v>
      </c>
      <c r="F193" s="75">
        <v>0.12849232359585419</v>
      </c>
      <c r="G193" s="76">
        <v>24</v>
      </c>
      <c r="H193" s="39" t="s">
        <v>977</v>
      </c>
      <c r="I193" s="77">
        <v>19.200000000000003</v>
      </c>
      <c r="J193" s="78"/>
      <c r="K193" s="79">
        <f>J193*I193</f>
        <v>0</v>
      </c>
      <c r="L193" s="73"/>
      <c r="M193" s="73"/>
      <c r="N193" s="24" t="str">
        <f>IFERROR(IF($N$2*F193=0, "-", $N$2*F193), "-")</f>
        <v>-</v>
      </c>
      <c r="O193" s="24" t="str">
        <f>IFERROR(IF(N193&gt;0,I193+N193,"-"),"-")</f>
        <v>-</v>
      </c>
      <c r="P193" s="24" t="str">
        <f>IF(J193&gt;0,J193*F193, "-")</f>
        <v>-</v>
      </c>
      <c r="Q193" s="26" t="str">
        <f>IFERROR(IF($N$2&gt;0, $N$2*P193, "-"), "-")</f>
        <v>-</v>
      </c>
      <c r="R193" s="18"/>
      <c r="S193" s="26" t="str">
        <f>IFERROR(IF(Q193+K193=0, "-", IF(Q193&gt;0, Q193+K193, "-")), "-")</f>
        <v>-</v>
      </c>
    </row>
    <row r="194" spans="1:19" x14ac:dyDescent="0.3">
      <c r="A194" s="6" t="s">
        <v>911</v>
      </c>
      <c r="B194" s="93" t="s">
        <v>226</v>
      </c>
      <c r="C194" s="3" t="s">
        <v>1067</v>
      </c>
      <c r="D194" s="3" t="s">
        <v>662</v>
      </c>
      <c r="E194" s="74" t="s">
        <v>576</v>
      </c>
      <c r="F194" s="75">
        <v>7.7224100992500017E-2</v>
      </c>
      <c r="G194" s="76">
        <v>24</v>
      </c>
      <c r="H194" s="39" t="s">
        <v>977</v>
      </c>
      <c r="I194" s="77">
        <v>16.799999999999997</v>
      </c>
      <c r="J194" s="78"/>
      <c r="K194" s="79">
        <f>J194*I194</f>
        <v>0</v>
      </c>
      <c r="L194" s="73"/>
      <c r="M194" s="73"/>
      <c r="N194" s="24" t="str">
        <f>IFERROR(IF($N$2*F194=0, "-", $N$2*F194), "-")</f>
        <v>-</v>
      </c>
      <c r="O194" s="24" t="str">
        <f>IFERROR(IF(N194&gt;0,I194+N194,"-"),"-")</f>
        <v>-</v>
      </c>
      <c r="P194" s="24" t="str">
        <f>IF(J194&gt;0,J194*F194, "-")</f>
        <v>-</v>
      </c>
      <c r="Q194" s="26" t="str">
        <f>IFERROR(IF($N$2&gt;0, $N$2*P194, "-"), "-")</f>
        <v>-</v>
      </c>
      <c r="R194" s="18"/>
      <c r="S194" s="26" t="str">
        <f>IFERROR(IF(Q194+K194=0, "-", IF(Q194&gt;0, Q194+K194, "-")), "-")</f>
        <v>-</v>
      </c>
    </row>
    <row r="195" spans="1:19" x14ac:dyDescent="0.3">
      <c r="A195" s="6" t="s">
        <v>1195</v>
      </c>
      <c r="B195" s="93" t="s">
        <v>1196</v>
      </c>
      <c r="C195" s="3" t="s">
        <v>1197</v>
      </c>
      <c r="D195" s="3" t="s">
        <v>681</v>
      </c>
      <c r="E195" s="74" t="s">
        <v>1198</v>
      </c>
      <c r="F195" s="75">
        <v>5.0247148379120005E-2</v>
      </c>
      <c r="G195" s="76">
        <v>24</v>
      </c>
      <c r="H195" s="39" t="s">
        <v>977</v>
      </c>
      <c r="I195" s="77">
        <v>38.25</v>
      </c>
      <c r="J195" s="78"/>
      <c r="K195" s="79">
        <f>J195*I195</f>
        <v>0</v>
      </c>
      <c r="L195" s="73"/>
      <c r="M195" s="73"/>
      <c r="N195" s="24" t="str">
        <f>IFERROR(IF($N$2*F195=0, "-", $N$2*F195), "-")</f>
        <v>-</v>
      </c>
      <c r="O195" s="24" t="str">
        <f>IFERROR(IF(N195&gt;0,I195+N195,"-"),"-")</f>
        <v>-</v>
      </c>
      <c r="P195" s="24" t="str">
        <f>IF(J195&gt;0,J195*F195, "-")</f>
        <v>-</v>
      </c>
      <c r="Q195" s="26" t="str">
        <f>IFERROR(IF($N$2&gt;0, $N$2*P195, "-"), "-")</f>
        <v>-</v>
      </c>
      <c r="R195" s="18"/>
      <c r="S195" s="26" t="str">
        <f>IFERROR(IF(Q195+K195=0, "-", IF(Q195&gt;0, Q195+K195, "-")), "-")</f>
        <v>-</v>
      </c>
    </row>
    <row r="196" spans="1:19" x14ac:dyDescent="0.3">
      <c r="A196" s="6" t="s">
        <v>1199</v>
      </c>
      <c r="B196" s="93" t="s">
        <v>1200</v>
      </c>
      <c r="C196" s="3" t="s">
        <v>1040</v>
      </c>
      <c r="D196" s="3" t="s">
        <v>681</v>
      </c>
      <c r="E196" s="74" t="s">
        <v>1201</v>
      </c>
      <c r="F196" s="75">
        <v>7.7224100992500017E-2</v>
      </c>
      <c r="G196" s="76">
        <v>24</v>
      </c>
      <c r="H196" s="39" t="s">
        <v>977</v>
      </c>
      <c r="I196" s="77">
        <v>39.599999999999994</v>
      </c>
      <c r="J196" s="78"/>
      <c r="K196" s="79">
        <f>J196*I196</f>
        <v>0</v>
      </c>
      <c r="L196" s="73"/>
      <c r="M196" s="73"/>
      <c r="N196" s="24" t="str">
        <f>IFERROR(IF($N$2*F196=0, "-", $N$2*F196), "-")</f>
        <v>-</v>
      </c>
      <c r="O196" s="24" t="str">
        <f>IFERROR(IF(N196&gt;0,I196+N196,"-"),"-")</f>
        <v>-</v>
      </c>
      <c r="P196" s="24" t="str">
        <f>IF(J196&gt;0,J196*F196, "-")</f>
        <v>-</v>
      </c>
      <c r="Q196" s="26" t="str">
        <f>IFERROR(IF($N$2&gt;0, $N$2*P196, "-"), "-")</f>
        <v>-</v>
      </c>
      <c r="R196" s="18"/>
      <c r="S196" s="26" t="str">
        <f>IFERROR(IF(Q196+K196=0, "-", IF(Q196&gt;0, Q196+K196, "-")), "-")</f>
        <v>-</v>
      </c>
    </row>
    <row r="197" spans="1:19" x14ac:dyDescent="0.3">
      <c r="A197" s="6" t="s">
        <v>919</v>
      </c>
      <c r="B197" s="93" t="s">
        <v>234</v>
      </c>
      <c r="C197" s="3" t="s">
        <v>1040</v>
      </c>
      <c r="D197" s="3" t="s">
        <v>703</v>
      </c>
      <c r="E197" s="74" t="s">
        <v>585</v>
      </c>
      <c r="F197" s="75">
        <v>8.0471803462017918E-2</v>
      </c>
      <c r="G197" s="76">
        <v>24</v>
      </c>
      <c r="H197" s="39" t="s">
        <v>977</v>
      </c>
      <c r="I197" s="77">
        <v>23.37</v>
      </c>
      <c r="J197" s="78"/>
      <c r="K197" s="79">
        <f>J197*I197</f>
        <v>0</v>
      </c>
      <c r="L197" s="73"/>
      <c r="M197" s="73"/>
      <c r="N197" s="24" t="str">
        <f>IFERROR(IF($N$2*F197=0, "-", $N$2*F197), "-")</f>
        <v>-</v>
      </c>
      <c r="O197" s="24" t="str">
        <f>IFERROR(IF(N197&gt;0,I197+N197,"-"),"-")</f>
        <v>-</v>
      </c>
      <c r="P197" s="24" t="str">
        <f>IF(J197&gt;0,J197*F197, "-")</f>
        <v>-</v>
      </c>
      <c r="Q197" s="26" t="str">
        <f>IFERROR(IF($N$2&gt;0, $N$2*P197, "-"), "-")</f>
        <v>-</v>
      </c>
      <c r="R197" s="18"/>
      <c r="S197" s="26" t="str">
        <f>IFERROR(IF(Q197+K197=0, "-", IF(Q197&gt;0, Q197+K197, "-")), "-")</f>
        <v>-</v>
      </c>
    </row>
    <row r="198" spans="1:19" x14ac:dyDescent="0.3">
      <c r="A198" s="6" t="s">
        <v>920</v>
      </c>
      <c r="B198" s="93" t="s">
        <v>235</v>
      </c>
      <c r="C198" s="3" t="s">
        <v>1003</v>
      </c>
      <c r="D198" s="3" t="s">
        <v>700</v>
      </c>
      <c r="E198" s="74" t="s">
        <v>586</v>
      </c>
      <c r="F198" s="75">
        <v>0.13128097168725</v>
      </c>
      <c r="G198" s="76">
        <v>24</v>
      </c>
      <c r="H198" s="39" t="s">
        <v>977</v>
      </c>
      <c r="I198" s="77">
        <v>34.799999999999997</v>
      </c>
      <c r="J198" s="78"/>
      <c r="K198" s="79">
        <v>0</v>
      </c>
      <c r="L198" s="73"/>
      <c r="M198" s="73"/>
      <c r="N198" s="24" t="str">
        <f>IFERROR(IF($N$2*F198=0, "-", $N$2*F198), "-")</f>
        <v>-</v>
      </c>
      <c r="O198" s="24" t="str">
        <f>IFERROR(IF(N198&gt;0,I198+N198,"-"),"-")</f>
        <v>-</v>
      </c>
      <c r="P198" s="24" t="str">
        <f>IF(J198&gt;0,J198*F198, "-")</f>
        <v>-</v>
      </c>
      <c r="Q198" s="26" t="str">
        <f>IFERROR(IF($N$2&gt;0, $N$2*P198, "-"), "-")</f>
        <v>-</v>
      </c>
      <c r="R198" s="18"/>
      <c r="S198" s="26" t="str">
        <f>IFERROR(IF(Q198+K198=0, "-", IF(Q198&gt;0, Q198+K198, "-")), "-")</f>
        <v>-</v>
      </c>
    </row>
    <row r="199" spans="1:19" x14ac:dyDescent="0.3">
      <c r="A199" s="6" t="s">
        <v>921</v>
      </c>
      <c r="B199" s="93" t="s">
        <v>236</v>
      </c>
      <c r="C199" s="3" t="s">
        <v>1003</v>
      </c>
      <c r="D199" s="3" t="s">
        <v>700</v>
      </c>
      <c r="E199" s="74" t="s">
        <v>587</v>
      </c>
      <c r="F199" s="75">
        <v>0.1265617231167819</v>
      </c>
      <c r="G199" s="76">
        <v>12</v>
      </c>
      <c r="H199" s="39" t="s">
        <v>977</v>
      </c>
      <c r="I199" s="77">
        <v>35.400000000000006</v>
      </c>
      <c r="J199" s="78"/>
      <c r="K199" s="79">
        <v>0</v>
      </c>
      <c r="L199" s="73"/>
      <c r="M199" s="73"/>
      <c r="N199" s="24" t="str">
        <f>IFERROR(IF($N$2*F199=0, "-", $N$2*F199), "-")</f>
        <v>-</v>
      </c>
      <c r="O199" s="24" t="str">
        <f>IFERROR(IF(N199&gt;0,I199+N199,"-"),"-")</f>
        <v>-</v>
      </c>
      <c r="P199" s="24" t="str">
        <f>IF(J199&gt;0,J199*F199, "-")</f>
        <v>-</v>
      </c>
      <c r="Q199" s="26" t="str">
        <f>IFERROR(IF($N$2&gt;0, $N$2*P199, "-"), "-")</f>
        <v>-</v>
      </c>
      <c r="R199" s="18"/>
      <c r="S199" s="26" t="str">
        <f>IFERROR(IF(Q199+K199=0, "-", IF(Q199&gt;0, Q199+K199, "-")), "-")</f>
        <v>-</v>
      </c>
    </row>
    <row r="200" spans="1:19" x14ac:dyDescent="0.3">
      <c r="A200" s="6" t="s">
        <v>922</v>
      </c>
      <c r="B200" s="93" t="s">
        <v>237</v>
      </c>
      <c r="C200" s="3" t="s">
        <v>984</v>
      </c>
      <c r="D200" s="3" t="s">
        <v>670</v>
      </c>
      <c r="E200" s="74" t="s">
        <v>588</v>
      </c>
      <c r="F200" s="75">
        <v>8.4946511091750013E-2</v>
      </c>
      <c r="G200" s="76">
        <v>24</v>
      </c>
      <c r="H200" s="39" t="s">
        <v>977</v>
      </c>
      <c r="I200" s="77">
        <v>30.75</v>
      </c>
      <c r="J200" s="78"/>
      <c r="K200" s="79">
        <v>0</v>
      </c>
      <c r="L200" s="73"/>
      <c r="M200" s="73"/>
      <c r="N200" s="24" t="str">
        <f>IFERROR(IF($N$2*F200=0, "-", $N$2*F200), "-")</f>
        <v>-</v>
      </c>
      <c r="O200" s="24" t="str">
        <f>IFERROR(IF(N200&gt;0,I200+N200,"-"),"-")</f>
        <v>-</v>
      </c>
      <c r="P200" s="24" t="str">
        <f>IF(J200&gt;0,J200*F200, "-")</f>
        <v>-</v>
      </c>
      <c r="Q200" s="26" t="str">
        <f>IFERROR(IF($N$2&gt;0, $N$2*P200, "-"), "-")</f>
        <v>-</v>
      </c>
      <c r="R200" s="18"/>
      <c r="S200" s="26" t="str">
        <f>IFERROR(IF(Q200+K200=0, "-", IF(Q200&gt;0, Q200+K200, "-")), "-")</f>
        <v>-</v>
      </c>
    </row>
    <row r="201" spans="1:19" x14ac:dyDescent="0.3">
      <c r="A201" s="6" t="s">
        <v>923</v>
      </c>
      <c r="B201" s="93" t="s">
        <v>238</v>
      </c>
      <c r="C201" s="3" t="s">
        <v>1040</v>
      </c>
      <c r="D201" s="3" t="s">
        <v>924</v>
      </c>
      <c r="E201" s="74" t="s">
        <v>589</v>
      </c>
      <c r="F201" s="75">
        <v>6.4353417493750009E-2</v>
      </c>
      <c r="G201" s="76">
        <v>24</v>
      </c>
      <c r="H201" s="39" t="s">
        <v>977</v>
      </c>
      <c r="I201" s="77">
        <v>14.399999999999999</v>
      </c>
      <c r="J201" s="78"/>
      <c r="K201" s="79">
        <f>J201*I201</f>
        <v>0</v>
      </c>
      <c r="L201" s="73"/>
      <c r="M201" s="73"/>
      <c r="N201" s="24" t="str">
        <f>IFERROR(IF($N$2*F201=0, "-", $N$2*F201), "-")</f>
        <v>-</v>
      </c>
      <c r="O201" s="24" t="str">
        <f>IFERROR(IF(N201&gt;0,I201+N201,"-"),"-")</f>
        <v>-</v>
      </c>
      <c r="P201" s="24" t="str">
        <f>IF(J201&gt;0,J201*F201, "-")</f>
        <v>-</v>
      </c>
      <c r="Q201" s="26" t="str">
        <f>IFERROR(IF($N$2&gt;0, $N$2*P201, "-"), "-")</f>
        <v>-</v>
      </c>
      <c r="R201" s="18"/>
      <c r="S201" s="26" t="str">
        <f>IFERROR(IF(Q201+K201=0, "-", IF(Q201&gt;0, Q201+K201, "-")), "-")</f>
        <v>-</v>
      </c>
    </row>
    <row r="202" spans="1:19" x14ac:dyDescent="0.3">
      <c r="A202" s="6" t="s">
        <v>925</v>
      </c>
      <c r="B202" s="93" t="s">
        <v>239</v>
      </c>
      <c r="C202" s="3" t="s">
        <v>984</v>
      </c>
      <c r="D202" s="3" t="s">
        <v>662</v>
      </c>
      <c r="E202" s="74" t="s">
        <v>590</v>
      </c>
      <c r="F202" s="75">
        <v>0.10725569582291668</v>
      </c>
      <c r="G202" s="76">
        <v>24</v>
      </c>
      <c r="H202" s="39" t="s">
        <v>977</v>
      </c>
      <c r="I202" s="77">
        <v>21</v>
      </c>
      <c r="J202" s="78"/>
      <c r="K202" s="79">
        <f>J202*I202</f>
        <v>0</v>
      </c>
      <c r="L202" s="73"/>
      <c r="M202" s="73"/>
      <c r="N202" s="24" t="str">
        <f>IFERROR(IF($N$2*F202=0, "-", $N$2*F202), "-")</f>
        <v>-</v>
      </c>
      <c r="O202" s="24" t="str">
        <f>IFERROR(IF(N202&gt;0,I202+N202,"-"),"-")</f>
        <v>-</v>
      </c>
      <c r="P202" s="24" t="str">
        <f>IF(J202&gt;0,J202*F202, "-")</f>
        <v>-</v>
      </c>
      <c r="Q202" s="26" t="str">
        <f>IFERROR(IF($N$2&gt;0, $N$2*P202, "-"), "-")</f>
        <v>-</v>
      </c>
      <c r="R202" s="18"/>
      <c r="S202" s="26" t="str">
        <f>IFERROR(IF(Q202+K202=0, "-", IF(Q202&gt;0, Q202+K202, "-")), "-")</f>
        <v>-</v>
      </c>
    </row>
    <row r="203" spans="1:19" x14ac:dyDescent="0.3">
      <c r="A203" s="6" t="s">
        <v>1206</v>
      </c>
      <c r="B203" s="93" t="s">
        <v>1207</v>
      </c>
      <c r="C203" s="3" t="s">
        <v>1208</v>
      </c>
      <c r="D203" s="3" t="s">
        <v>872</v>
      </c>
      <c r="E203" s="74" t="s">
        <v>1209</v>
      </c>
      <c r="F203" s="75">
        <v>0.65897899513600022</v>
      </c>
      <c r="G203" s="76">
        <v>10</v>
      </c>
      <c r="H203" s="39" t="s">
        <v>977</v>
      </c>
      <c r="I203" s="77">
        <v>22.200000000000003</v>
      </c>
      <c r="J203" s="78"/>
      <c r="K203" s="79">
        <f>J203*I203</f>
        <v>0</v>
      </c>
      <c r="L203" s="73"/>
      <c r="M203" s="73"/>
      <c r="N203" s="24" t="str">
        <f>IFERROR(IF($N$2*F203=0, "-", $N$2*F203), "-")</f>
        <v>-</v>
      </c>
      <c r="O203" s="24" t="str">
        <f>IFERROR(IF(N203&gt;0,I203+N203,"-"),"-")</f>
        <v>-</v>
      </c>
      <c r="P203" s="24" t="str">
        <f>IF(J203&gt;0,J203*F203, "-")</f>
        <v>-</v>
      </c>
      <c r="Q203" s="26" t="str">
        <f>IFERROR(IF($N$2&gt;0, $N$2*P203, "-"), "-")</f>
        <v>-</v>
      </c>
      <c r="R203" s="18"/>
      <c r="S203" s="26" t="str">
        <f>IFERROR(IF(Q203+K203=0, "-", IF(Q203&gt;0, Q203+K203, "-")), "-")</f>
        <v>-</v>
      </c>
    </row>
    <row r="204" spans="1:19" x14ac:dyDescent="0.3">
      <c r="A204" s="6" t="s">
        <v>930</v>
      </c>
      <c r="B204" s="93" t="s">
        <v>244</v>
      </c>
      <c r="C204" s="3" t="s">
        <v>1083</v>
      </c>
      <c r="D204" s="3" t="s">
        <v>719</v>
      </c>
      <c r="E204" s="74" t="s">
        <v>595</v>
      </c>
      <c r="F204" s="75">
        <v>4.4618369462333336E-2</v>
      </c>
      <c r="G204" s="76">
        <v>24</v>
      </c>
      <c r="H204" s="39" t="s">
        <v>977</v>
      </c>
      <c r="I204" s="77">
        <v>24</v>
      </c>
      <c r="J204" s="78"/>
      <c r="K204" s="79">
        <f>J204*I204</f>
        <v>0</v>
      </c>
      <c r="L204" s="73"/>
      <c r="M204" s="73"/>
      <c r="N204" s="24" t="str">
        <f>IFERROR(IF($N$2*F204=0, "-", $N$2*F204), "-")</f>
        <v>-</v>
      </c>
      <c r="O204" s="24" t="str">
        <f>IFERROR(IF(N204&gt;0,I204+N204,"-"),"-")</f>
        <v>-</v>
      </c>
      <c r="P204" s="24" t="str">
        <f>IF(J204&gt;0,J204*F204, "-")</f>
        <v>-</v>
      </c>
      <c r="Q204" s="26" t="str">
        <f>IFERROR(IF($N$2&gt;0, $N$2*P204, "-"), "-")</f>
        <v>-</v>
      </c>
      <c r="R204" s="18"/>
      <c r="S204" s="26" t="str">
        <f>IFERROR(IF(Q204+K204=0, "-", IF(Q204&gt;0, Q204+K204, "-")), "-")</f>
        <v>-</v>
      </c>
    </row>
    <row r="205" spans="1:19" x14ac:dyDescent="0.3">
      <c r="A205" s="6" t="s">
        <v>932</v>
      </c>
      <c r="B205" s="93" t="s">
        <v>246</v>
      </c>
      <c r="C205" s="3" t="s">
        <v>1002</v>
      </c>
      <c r="D205" s="3" t="s">
        <v>666</v>
      </c>
      <c r="E205" s="74" t="s">
        <v>597</v>
      </c>
      <c r="F205" s="75">
        <v>0.13889612609067709</v>
      </c>
      <c r="G205" s="76">
        <v>24</v>
      </c>
      <c r="H205" s="39" t="s">
        <v>977</v>
      </c>
      <c r="I205" s="77">
        <v>9.6000000000000014</v>
      </c>
      <c r="J205" s="78"/>
      <c r="K205" s="79">
        <v>0</v>
      </c>
      <c r="L205" s="73"/>
      <c r="M205" s="73"/>
      <c r="N205" s="24" t="str">
        <f>IFERROR(IF($N$2*F205=0, "-", $N$2*F205), "-")</f>
        <v>-</v>
      </c>
      <c r="O205" s="24" t="str">
        <f>IFERROR(IF(N205&gt;0,I205+N205,"-"),"-")</f>
        <v>-</v>
      </c>
      <c r="P205" s="24" t="str">
        <f>IF(J205&gt;0,J205*F205, "-")</f>
        <v>-</v>
      </c>
      <c r="Q205" s="26" t="str">
        <f>IFERROR(IF($N$2&gt;0, $N$2*P205, "-"), "-")</f>
        <v>-</v>
      </c>
      <c r="R205" s="18"/>
      <c r="S205" s="26" t="str">
        <f>IFERROR(IF(Q205+K205=0, "-", IF(Q205&gt;0, Q205+K205, "-")), "-")</f>
        <v>-</v>
      </c>
    </row>
    <row r="206" spans="1:19" x14ac:dyDescent="0.3">
      <c r="A206" s="6" t="s">
        <v>934</v>
      </c>
      <c r="B206" s="93" t="s">
        <v>247</v>
      </c>
      <c r="C206" s="3" t="s">
        <v>1084</v>
      </c>
      <c r="D206" s="3" t="s">
        <v>719</v>
      </c>
      <c r="E206" s="74" t="s">
        <v>599</v>
      </c>
      <c r="F206" s="75">
        <v>5.6373593724525009E-2</v>
      </c>
      <c r="G206" s="76">
        <v>24</v>
      </c>
      <c r="H206" s="39" t="s">
        <v>977</v>
      </c>
      <c r="I206" s="77">
        <v>13.200000000000001</v>
      </c>
      <c r="J206" s="78"/>
      <c r="K206" s="79">
        <f>J206*I206</f>
        <v>0</v>
      </c>
      <c r="L206" s="73"/>
      <c r="M206" s="73"/>
      <c r="N206" s="24" t="str">
        <f>IFERROR(IF($N$2*F206=0, "-", $N$2*F206), "-")</f>
        <v>-</v>
      </c>
      <c r="O206" s="24" t="str">
        <f>IFERROR(IF(N206&gt;0,I206+N206,"-"),"-")</f>
        <v>-</v>
      </c>
      <c r="P206" s="24" t="str">
        <f>IF(J206&gt;0,J206*F206, "-")</f>
        <v>-</v>
      </c>
      <c r="Q206" s="26" t="str">
        <f>IFERROR(IF($N$2&gt;0, $N$2*P206, "-"), "-")</f>
        <v>-</v>
      </c>
      <c r="R206" s="18"/>
      <c r="S206" s="26" t="str">
        <f>IFERROR(IF(Q206+K206=0, "-", IF(Q206&gt;0, Q206+K206, "-")), "-")</f>
        <v>-</v>
      </c>
    </row>
    <row r="207" spans="1:19" x14ac:dyDescent="0.3">
      <c r="A207" s="6" t="s">
        <v>935</v>
      </c>
      <c r="B207" s="93" t="s">
        <v>248</v>
      </c>
      <c r="C207" s="3" t="s">
        <v>1040</v>
      </c>
      <c r="D207" s="3" t="s">
        <v>872</v>
      </c>
      <c r="E207" s="74" t="s">
        <v>600</v>
      </c>
      <c r="F207" s="75">
        <v>0.14994346276043749</v>
      </c>
      <c r="G207" s="76">
        <v>24</v>
      </c>
      <c r="H207" s="39" t="s">
        <v>977</v>
      </c>
      <c r="I207" s="77">
        <v>19.200000000000003</v>
      </c>
      <c r="J207" s="78"/>
      <c r="K207" s="79">
        <f>J207*I207</f>
        <v>0</v>
      </c>
      <c r="L207" s="73"/>
      <c r="M207" s="73"/>
      <c r="N207" s="24" t="str">
        <f>IFERROR(IF($N$2*F207=0, "-", $N$2*F207), "-")</f>
        <v>-</v>
      </c>
      <c r="O207" s="24" t="str">
        <f>IFERROR(IF(N207&gt;0,I207+N207,"-"),"-")</f>
        <v>-</v>
      </c>
      <c r="P207" s="24" t="str">
        <f>IF(J207&gt;0,J207*F207, "-")</f>
        <v>-</v>
      </c>
      <c r="Q207" s="26" t="str">
        <f>IFERROR(IF($N$2&gt;0, $N$2*P207, "-"), "-")</f>
        <v>-</v>
      </c>
      <c r="R207" s="18"/>
      <c r="S207" s="26" t="str">
        <f>IFERROR(IF(Q207+K207=0, "-", IF(Q207&gt;0, Q207+K207, "-")), "-")</f>
        <v>-</v>
      </c>
    </row>
    <row r="208" spans="1:19" x14ac:dyDescent="0.3">
      <c r="A208" s="6" t="s">
        <v>1213</v>
      </c>
      <c r="B208" s="93" t="s">
        <v>1214</v>
      </c>
      <c r="C208" s="3" t="s">
        <v>1085</v>
      </c>
      <c r="D208" s="3" t="s">
        <v>645</v>
      </c>
      <c r="E208" s="74" t="s">
        <v>1215</v>
      </c>
      <c r="F208" s="75">
        <v>0.45400000000000001</v>
      </c>
      <c r="G208" s="76">
        <v>12</v>
      </c>
      <c r="H208" s="39" t="s">
        <v>977</v>
      </c>
      <c r="I208" s="77">
        <v>25.200000000000003</v>
      </c>
      <c r="J208" s="78"/>
      <c r="K208" s="79">
        <f>J208*I208</f>
        <v>0</v>
      </c>
      <c r="L208" s="73"/>
      <c r="M208" s="73"/>
      <c r="N208" s="24" t="str">
        <f>IFERROR(IF($N$2*F208=0, "-", $N$2*F208), "-")</f>
        <v>-</v>
      </c>
      <c r="O208" s="24" t="str">
        <f>IFERROR(IF(N208&gt;0,I208+N208,"-"),"-")</f>
        <v>-</v>
      </c>
      <c r="P208" s="24" t="str">
        <f>IF(J208&gt;0,J208*F208, "-")</f>
        <v>-</v>
      </c>
      <c r="Q208" s="26" t="str">
        <f>IFERROR(IF($N$2&gt;0, $N$2*P208, "-"), "-")</f>
        <v>-</v>
      </c>
      <c r="R208" s="18"/>
      <c r="S208" s="26" t="str">
        <f>IFERROR(IF(Q208+K208=0, "-", IF(Q208&gt;0, Q208+K208, "-")), "-")</f>
        <v>-</v>
      </c>
    </row>
    <row r="209" spans="1:19" x14ac:dyDescent="0.3">
      <c r="A209" s="6" t="s">
        <v>940</v>
      </c>
      <c r="B209" s="93" t="s">
        <v>253</v>
      </c>
      <c r="C209" s="3" t="s">
        <v>1028</v>
      </c>
      <c r="D209" s="3" t="s">
        <v>666</v>
      </c>
      <c r="E209" s="74" t="s">
        <v>605</v>
      </c>
      <c r="F209" s="75">
        <v>7.9450000000000007E-2</v>
      </c>
      <c r="G209" s="76">
        <v>24</v>
      </c>
      <c r="H209" s="39" t="s">
        <v>977</v>
      </c>
      <c r="I209" s="77">
        <v>19.200000000000003</v>
      </c>
      <c r="J209" s="78"/>
      <c r="K209" s="79">
        <f>J209*I209</f>
        <v>0</v>
      </c>
      <c r="L209" s="73"/>
      <c r="M209" s="73"/>
      <c r="N209" s="24" t="str">
        <f>IFERROR(IF($N$2*F209=0, "-", $N$2*F209), "-")</f>
        <v>-</v>
      </c>
      <c r="O209" s="24" t="str">
        <f>IFERROR(IF(N209&gt;0,I209+N209,"-"),"-")</f>
        <v>-</v>
      </c>
      <c r="P209" s="24" t="str">
        <f>IF(J209&gt;0,J209*F209, "-")</f>
        <v>-</v>
      </c>
      <c r="Q209" s="26" t="str">
        <f>IFERROR(IF($N$2&gt;0, $N$2*P209, "-"), "-")</f>
        <v>-</v>
      </c>
      <c r="R209" s="18"/>
      <c r="S209" s="26" t="str">
        <f>IFERROR(IF(Q209+K209=0, "-", IF(Q209&gt;0, Q209+K209, "-")), "-")</f>
        <v>-</v>
      </c>
    </row>
    <row r="210" spans="1:19" x14ac:dyDescent="0.3">
      <c r="A210" s="6" t="s">
        <v>943</v>
      </c>
      <c r="B210" s="93" t="s">
        <v>256</v>
      </c>
      <c r="C210" s="3" t="s">
        <v>1040</v>
      </c>
      <c r="D210" s="3" t="s">
        <v>679</v>
      </c>
      <c r="E210" s="74" t="s">
        <v>608</v>
      </c>
      <c r="F210" s="75">
        <v>0.13042292612066667</v>
      </c>
      <c r="G210" s="76">
        <v>24</v>
      </c>
      <c r="H210" s="39" t="s">
        <v>977</v>
      </c>
      <c r="I210" s="77">
        <v>18</v>
      </c>
      <c r="J210" s="78"/>
      <c r="K210" s="79">
        <f>J210*I210</f>
        <v>0</v>
      </c>
      <c r="L210" s="73"/>
      <c r="M210" s="73"/>
      <c r="N210" s="24" t="str">
        <f>IFERROR(IF($N$2*F210=0, "-", $N$2*F210), "-")</f>
        <v>-</v>
      </c>
      <c r="O210" s="24" t="str">
        <f>IFERROR(IF(N210&gt;0,I210+N210,"-"),"-")</f>
        <v>-</v>
      </c>
      <c r="P210" s="24" t="str">
        <f>IF(J210&gt;0,J210*F210, "-")</f>
        <v>-</v>
      </c>
      <c r="Q210" s="26" t="str">
        <f>IFERROR(IF($N$2&gt;0, $N$2*P210, "-"), "-")</f>
        <v>-</v>
      </c>
      <c r="R210" s="18"/>
      <c r="S210" s="26" t="str">
        <f>IFERROR(IF(Q210+K210=0, "-", IF(Q210&gt;0, Q210+K210, "-")), "-")</f>
        <v>-</v>
      </c>
    </row>
    <row r="211" spans="1:19" x14ac:dyDescent="0.3">
      <c r="A211" s="6" t="s">
        <v>945</v>
      </c>
      <c r="B211" s="93" t="s">
        <v>258</v>
      </c>
      <c r="C211" s="3" t="s">
        <v>1040</v>
      </c>
      <c r="D211" s="80" t="s">
        <v>831</v>
      </c>
      <c r="E211" s="74" t="s">
        <v>611</v>
      </c>
      <c r="F211" s="75">
        <v>6.5211463060333333E-2</v>
      </c>
      <c r="G211" s="30">
        <v>24</v>
      </c>
      <c r="H211" s="39" t="s">
        <v>977</v>
      </c>
      <c r="I211" s="77">
        <v>31.200000000000003</v>
      </c>
      <c r="J211" s="78"/>
      <c r="K211" s="79">
        <f>J211*I211</f>
        <v>0</v>
      </c>
      <c r="L211" s="73"/>
      <c r="M211" s="73"/>
      <c r="N211" s="24" t="str">
        <f>IFERROR(IF($N$2*F211=0, "-", $N$2*F211), "-")</f>
        <v>-</v>
      </c>
      <c r="O211" s="24" t="str">
        <f>IFERROR(IF(N211&gt;0,I211+N211,"-"),"-")</f>
        <v>-</v>
      </c>
      <c r="P211" s="24" t="str">
        <f>IF(J211&gt;0,J211*F211, "-")</f>
        <v>-</v>
      </c>
      <c r="Q211" s="26" t="str">
        <f>IFERROR(IF($N$2&gt;0, $N$2*P211, "-"), "-")</f>
        <v>-</v>
      </c>
      <c r="R211" s="18"/>
      <c r="S211" s="26" t="str">
        <f>IFERROR(IF(Q211+K211=0, "-", IF(Q211&gt;0, Q211+K211, "-")), "-")</f>
        <v>-</v>
      </c>
    </row>
    <row r="212" spans="1:19" x14ac:dyDescent="0.3">
      <c r="A212" s="6" t="s">
        <v>946</v>
      </c>
      <c r="B212" s="93" t="s">
        <v>259</v>
      </c>
      <c r="C212" s="3" t="s">
        <v>1003</v>
      </c>
      <c r="D212" s="80" t="s">
        <v>645</v>
      </c>
      <c r="E212" s="74" t="s">
        <v>612</v>
      </c>
      <c r="F212" s="75">
        <v>0.14372263240270833</v>
      </c>
      <c r="G212" s="30">
        <v>24</v>
      </c>
      <c r="H212" s="39" t="s">
        <v>977</v>
      </c>
      <c r="I212" s="77">
        <v>20.399999999999999</v>
      </c>
      <c r="J212" s="78"/>
      <c r="K212" s="79">
        <f>J212*I212</f>
        <v>0</v>
      </c>
      <c r="L212" s="73"/>
      <c r="M212" s="73"/>
      <c r="N212" s="24" t="str">
        <f>IFERROR(IF($N$2*F212=0, "-", $N$2*F212), "-")</f>
        <v>-</v>
      </c>
      <c r="O212" s="24" t="str">
        <f>IFERROR(IF(N212&gt;0,I212+N212,"-"),"-")</f>
        <v>-</v>
      </c>
      <c r="P212" s="24" t="str">
        <f>IF(J212&gt;0,J212*F212, "-")</f>
        <v>-</v>
      </c>
      <c r="Q212" s="26" t="str">
        <f>IFERROR(IF($N$2&gt;0, $N$2*P212, "-"), "-")</f>
        <v>-</v>
      </c>
      <c r="R212" s="18"/>
      <c r="S212" s="26" t="str">
        <f>IFERROR(IF(Q212+K212=0, "-", IF(Q212&gt;0, Q212+K212, "-")), "-")</f>
        <v>-</v>
      </c>
    </row>
    <row r="213" spans="1:19" x14ac:dyDescent="0.3">
      <c r="A213" s="6" t="s">
        <v>948</v>
      </c>
      <c r="B213" s="93" t="s">
        <v>261</v>
      </c>
      <c r="C213" s="3" t="s">
        <v>1086</v>
      </c>
      <c r="D213" s="80" t="s">
        <v>649</v>
      </c>
      <c r="E213" s="74" t="s">
        <v>615</v>
      </c>
      <c r="F213" s="75">
        <v>0.11154592365583334</v>
      </c>
      <c r="G213" s="30">
        <v>30</v>
      </c>
      <c r="H213" s="39" t="s">
        <v>977</v>
      </c>
      <c r="I213" s="77">
        <v>15</v>
      </c>
      <c r="J213" s="78"/>
      <c r="K213" s="79">
        <f>J213*I213</f>
        <v>0</v>
      </c>
      <c r="L213" s="73"/>
      <c r="M213" s="73"/>
      <c r="N213" s="24" t="str">
        <f>IFERROR(IF($N$2*F213=0, "-", $N$2*F213), "-")</f>
        <v>-</v>
      </c>
      <c r="O213" s="24" t="str">
        <f>IFERROR(IF(N213&gt;0,I213+N213,"-"),"-")</f>
        <v>-</v>
      </c>
      <c r="P213" s="24" t="str">
        <f>IF(J213&gt;0,J213*F213, "-")</f>
        <v>-</v>
      </c>
      <c r="Q213" s="26" t="str">
        <f>IFERROR(IF($N$2&gt;0, $N$2*P213, "-"), "-")</f>
        <v>-</v>
      </c>
      <c r="R213" s="18"/>
      <c r="S213" s="26" t="str">
        <f>IFERROR(IF(Q213+K213=0, "-", IF(Q213&gt;0, Q213+K213, "-")), "-")</f>
        <v>-</v>
      </c>
    </row>
    <row r="214" spans="1:19" x14ac:dyDescent="0.3">
      <c r="A214" s="6" t="s">
        <v>950</v>
      </c>
      <c r="B214" s="93" t="s">
        <v>264</v>
      </c>
      <c r="C214" s="3" t="s">
        <v>984</v>
      </c>
      <c r="D214" s="80" t="s">
        <v>712</v>
      </c>
      <c r="E214" s="74" t="s">
        <v>618</v>
      </c>
      <c r="F214" s="75">
        <v>6.5211463060333333E-2</v>
      </c>
      <c r="G214" s="30">
        <v>24</v>
      </c>
      <c r="H214" s="39" t="s">
        <v>977</v>
      </c>
      <c r="I214" s="77">
        <v>12</v>
      </c>
      <c r="J214" s="78"/>
      <c r="K214" s="79">
        <v>0</v>
      </c>
      <c r="L214" s="1"/>
      <c r="M214" s="1"/>
      <c r="N214" s="24" t="str">
        <f>IFERROR(IF($N$2*F214=0, "-", $N$2*F214), "-")</f>
        <v>-</v>
      </c>
      <c r="O214" s="24" t="str">
        <f>IFERROR(IF(N214&gt;0,I214+N214,"-"),"-")</f>
        <v>-</v>
      </c>
      <c r="P214" s="24" t="str">
        <f>IF(J214&gt;0,J214*F214, "-")</f>
        <v>-</v>
      </c>
      <c r="Q214" s="26" t="str">
        <f>IFERROR(IF($N$2&gt;0, $N$2*P214, "-"), "-")</f>
        <v>-</v>
      </c>
      <c r="R214" s="18"/>
      <c r="S214" s="26" t="str">
        <f>IFERROR(IF(Q214+K214=0, "-", IF(Q214&gt;0, Q214+K214, "-")), "-")</f>
        <v>-</v>
      </c>
    </row>
    <row r="215" spans="1:19" x14ac:dyDescent="0.3">
      <c r="A215" s="6" t="s">
        <v>955</v>
      </c>
      <c r="B215" s="93" t="s">
        <v>283</v>
      </c>
      <c r="C215" s="3" t="s">
        <v>1087</v>
      </c>
      <c r="D215" s="80" t="s">
        <v>730</v>
      </c>
      <c r="E215" s="74" t="s">
        <v>622</v>
      </c>
      <c r="F215" s="75">
        <v>0.55558450436270834</v>
      </c>
      <c r="G215" s="30">
        <v>24</v>
      </c>
      <c r="H215" s="39" t="s">
        <v>977</v>
      </c>
      <c r="I215" s="77">
        <v>27</v>
      </c>
      <c r="J215" s="78"/>
      <c r="K215" s="79">
        <f>J215*I215</f>
        <v>0</v>
      </c>
      <c r="L215" s="1"/>
      <c r="M215" s="1"/>
      <c r="N215" s="24" t="str">
        <f>IFERROR(IF($N$2*F215=0, "-", $N$2*F215), "-")</f>
        <v>-</v>
      </c>
      <c r="O215" s="24" t="str">
        <f>IFERROR(IF(N215&gt;0,I215+N215,"-"),"-")</f>
        <v>-</v>
      </c>
      <c r="P215" s="24" t="str">
        <f>IF(J215&gt;0,J215*F215, "-")</f>
        <v>-</v>
      </c>
      <c r="Q215" s="26" t="str">
        <f>IFERROR(IF($N$2&gt;0, $N$2*P215, "-"), "-")</f>
        <v>-</v>
      </c>
      <c r="R215" s="18"/>
      <c r="S215" s="26" t="str">
        <f>IFERROR(IF(Q215+K215=0, "-", IF(Q215&gt;0, Q215+K215, "-")), "-")</f>
        <v>-</v>
      </c>
    </row>
    <row r="216" spans="1:19" x14ac:dyDescent="0.3">
      <c r="A216" s="6" t="s">
        <v>956</v>
      </c>
      <c r="B216" s="93" t="s">
        <v>268</v>
      </c>
      <c r="C216" s="3" t="s">
        <v>984</v>
      </c>
      <c r="D216" s="80" t="s">
        <v>703</v>
      </c>
      <c r="E216" s="74" t="s">
        <v>623</v>
      </c>
      <c r="F216" s="75">
        <v>0.17933152341591665</v>
      </c>
      <c r="G216" s="30">
        <v>24</v>
      </c>
      <c r="H216" s="39" t="s">
        <v>977</v>
      </c>
      <c r="I216" s="77">
        <v>18.600000000000001</v>
      </c>
      <c r="J216" s="78"/>
      <c r="K216" s="79">
        <f>J216*I216</f>
        <v>0</v>
      </c>
      <c r="L216" s="1"/>
      <c r="M216" s="1"/>
      <c r="N216" s="24" t="str">
        <f>IFERROR(IF($N$2*F216=0, "-", $N$2*F216), "-")</f>
        <v>-</v>
      </c>
      <c r="O216" s="24" t="str">
        <f>IFERROR(IF(N216&gt;0,I216+N216,"-"),"-")</f>
        <v>-</v>
      </c>
      <c r="P216" s="24" t="str">
        <f>IF(J216&gt;0,J216*F216, "-")</f>
        <v>-</v>
      </c>
      <c r="Q216" s="26" t="str">
        <f>IFERROR(IF($N$2&gt;0, $N$2*P216, "-"), "-")</f>
        <v>-</v>
      </c>
      <c r="R216" s="18"/>
      <c r="S216" s="26" t="str">
        <f>IFERROR(IF(Q216+K216=0, "-", IF(Q216&gt;0, Q216+K216, "-")), "-")</f>
        <v>-</v>
      </c>
    </row>
    <row r="217" spans="1:19" x14ac:dyDescent="0.3">
      <c r="A217" s="6" t="s">
        <v>957</v>
      </c>
      <c r="B217" s="93" t="s">
        <v>269</v>
      </c>
      <c r="C217" s="3" t="s">
        <v>1067</v>
      </c>
      <c r="D217" s="80" t="s">
        <v>654</v>
      </c>
      <c r="E217" s="74" t="s">
        <v>624</v>
      </c>
      <c r="F217" s="75">
        <v>5.6750000000000002E-2</v>
      </c>
      <c r="G217" s="30">
        <v>24</v>
      </c>
      <c r="H217" s="39" t="s">
        <v>977</v>
      </c>
      <c r="I217" s="77">
        <v>12.600000000000001</v>
      </c>
      <c r="J217" s="78"/>
      <c r="K217" s="79">
        <f>J217*I217</f>
        <v>0</v>
      </c>
      <c r="L217" s="1"/>
      <c r="M217" s="1"/>
      <c r="N217" s="24" t="str">
        <f>IFERROR(IF($N$2*F217=0, "-", $N$2*F217), "-")</f>
        <v>-</v>
      </c>
      <c r="O217" s="24" t="str">
        <f>IFERROR(IF(N217&gt;0,I217+N217,"-"),"-")</f>
        <v>-</v>
      </c>
      <c r="P217" s="24" t="str">
        <f>IF(J217&gt;0,J217*F217, "-")</f>
        <v>-</v>
      </c>
      <c r="Q217" s="26" t="str">
        <f>IFERROR(IF($N$2&gt;0, $N$2*P217, "-"), "-")</f>
        <v>-</v>
      </c>
      <c r="R217" s="18"/>
      <c r="S217" s="26" t="str">
        <f>IFERROR(IF(Q217+K217=0, "-", IF(Q217&gt;0, Q217+K217, "-")), "-")</f>
        <v>-</v>
      </c>
    </row>
    <row r="218" spans="1:19" x14ac:dyDescent="0.3">
      <c r="A218" s="6" t="s">
        <v>962</v>
      </c>
      <c r="B218" s="93" t="s">
        <v>274</v>
      </c>
      <c r="C218" s="3" t="s">
        <v>1114</v>
      </c>
      <c r="D218" s="80" t="s">
        <v>769</v>
      </c>
      <c r="E218" s="74" t="s">
        <v>629</v>
      </c>
      <c r="F218" s="75">
        <v>4.452183933609271E-2</v>
      </c>
      <c r="G218" s="30">
        <v>24</v>
      </c>
      <c r="H218" s="39" t="s">
        <v>977</v>
      </c>
      <c r="I218" s="77">
        <v>22.799999999999997</v>
      </c>
      <c r="J218" s="78"/>
      <c r="K218" s="79">
        <f>J218*I218</f>
        <v>0</v>
      </c>
      <c r="L218" s="1"/>
      <c r="M218" s="1"/>
      <c r="N218" s="24" t="str">
        <f>IFERROR(IF($N$2*F218=0, "-", $N$2*F218), "-")</f>
        <v>-</v>
      </c>
      <c r="O218" s="24" t="str">
        <f>IFERROR(IF(N218&gt;0,I218+N218,"-"),"-")</f>
        <v>-</v>
      </c>
      <c r="P218" s="24" t="str">
        <f>IF(J218&gt;0,J218*F218, "-")</f>
        <v>-</v>
      </c>
      <c r="Q218" s="26" t="str">
        <f>IFERROR(IF($N$2&gt;0, $N$2*P218, "-"), "-")</f>
        <v>-</v>
      </c>
      <c r="R218" s="18"/>
      <c r="S218" s="26" t="str">
        <f>IFERROR(IF(Q218+K218=0, "-", IF(Q218&gt;0, Q218+K218, "-")), "-")</f>
        <v>-</v>
      </c>
    </row>
    <row r="219" spans="1:19" x14ac:dyDescent="0.3">
      <c r="A219" s="6" t="s">
        <v>963</v>
      </c>
      <c r="B219" s="93" t="s">
        <v>275</v>
      </c>
      <c r="C219" s="3" t="s">
        <v>1003</v>
      </c>
      <c r="D219" s="80" t="s">
        <v>811</v>
      </c>
      <c r="E219" s="74" t="s">
        <v>630</v>
      </c>
      <c r="F219" s="75">
        <v>8.2372374392000014E-2</v>
      </c>
      <c r="G219" s="30">
        <v>24</v>
      </c>
      <c r="H219" s="39" t="s">
        <v>977</v>
      </c>
      <c r="I219" s="77">
        <v>12.600000000000001</v>
      </c>
      <c r="J219" s="78"/>
      <c r="K219" s="79">
        <f>J219*I219</f>
        <v>0</v>
      </c>
      <c r="L219" s="1"/>
      <c r="M219" s="1"/>
      <c r="N219" s="24" t="str">
        <f>IFERROR(IF($N$2*F219=0, "-", $N$2*F219), "-")</f>
        <v>-</v>
      </c>
      <c r="O219" s="24" t="str">
        <f>IFERROR(IF(N219&gt;0,I219+N219,"-"),"-")</f>
        <v>-</v>
      </c>
      <c r="P219" s="24" t="str">
        <f>IF(J219&gt;0,J219*F219, "-")</f>
        <v>-</v>
      </c>
      <c r="Q219" s="26" t="str">
        <f>IFERROR(IF($N$2&gt;0, $N$2*P219, "-"), "-")</f>
        <v>-</v>
      </c>
      <c r="R219" s="18"/>
      <c r="S219" s="26" t="str">
        <f>IFERROR(IF(Q219+K219=0, "-", IF(Q219&gt;0, Q219+K219, "-")), "-")</f>
        <v>-</v>
      </c>
    </row>
    <row r="220" spans="1:19" x14ac:dyDescent="0.3">
      <c r="A220" s="6" t="s">
        <v>969</v>
      </c>
      <c r="B220" s="93" t="s">
        <v>291</v>
      </c>
      <c r="C220" s="3" t="s">
        <v>984</v>
      </c>
      <c r="D220" s="80" t="s">
        <v>679</v>
      </c>
      <c r="E220" s="74" t="s">
        <v>635</v>
      </c>
      <c r="F220" s="75">
        <v>4.5400000000000003E-2</v>
      </c>
      <c r="G220" s="30">
        <v>24</v>
      </c>
      <c r="H220" s="39" t="s">
        <v>977</v>
      </c>
      <c r="I220" s="77">
        <v>16.799999999999997</v>
      </c>
      <c r="J220" s="78"/>
      <c r="K220" s="79">
        <f>J220*I220</f>
        <v>0</v>
      </c>
      <c r="L220" s="1"/>
      <c r="M220" s="1"/>
      <c r="N220" s="24" t="str">
        <f>IFERROR(IF($N$2*F220=0, "-", $N$2*F220), "-")</f>
        <v>-</v>
      </c>
      <c r="O220" s="24" t="str">
        <f>IFERROR(IF(N220&gt;0,I220+N220,"-"),"-")</f>
        <v>-</v>
      </c>
      <c r="P220" s="24" t="str">
        <f>IF(J220&gt;0,J220*F220, "-")</f>
        <v>-</v>
      </c>
      <c r="Q220" s="26" t="str">
        <f>IFERROR(IF($N$2&gt;0, $N$2*P220, "-"), "-")</f>
        <v>-</v>
      </c>
      <c r="R220" s="18"/>
      <c r="S220" s="26" t="str">
        <f>IFERROR(IF(Q220+K220=0, "-", IF(Q220&gt;0, Q220+K220, "-")), "-")</f>
        <v>-</v>
      </c>
    </row>
    <row r="221" spans="1:19" x14ac:dyDescent="0.3">
      <c r="A221" s="6" t="s">
        <v>1232</v>
      </c>
      <c r="B221" s="93" t="s">
        <v>1241</v>
      </c>
      <c r="C221" s="3" t="s">
        <v>984</v>
      </c>
      <c r="D221" s="80" t="s">
        <v>645</v>
      </c>
      <c r="E221" s="74" t="s">
        <v>1252</v>
      </c>
      <c r="F221" s="75"/>
      <c r="G221" s="30">
        <v>24</v>
      </c>
      <c r="H221" s="39" t="s">
        <v>977</v>
      </c>
      <c r="I221" s="77">
        <v>14.399999999999999</v>
      </c>
      <c r="J221" s="78"/>
      <c r="K221" s="79">
        <f>J221*I221</f>
        <v>0</v>
      </c>
      <c r="L221" s="1"/>
      <c r="M221" s="1"/>
      <c r="N221" s="24" t="str">
        <f>IFERROR(IF($N$2*F221=0, "-", $N$2*F221), "-")</f>
        <v>-</v>
      </c>
      <c r="O221" s="24" t="str">
        <f>IFERROR(IF(N221&gt;0,I221+N221,"-"),"-")</f>
        <v>-</v>
      </c>
      <c r="P221" s="24" t="str">
        <f>IF(J221&gt;0,J221*F221, "-")</f>
        <v>-</v>
      </c>
      <c r="Q221" s="26" t="str">
        <f>IFERROR(IF($N$2&gt;0, $N$2*P221, "-"), "-")</f>
        <v>-</v>
      </c>
      <c r="R221" s="18"/>
      <c r="S221" s="26" t="str">
        <f>IFERROR(IF(Q221+K221=0, "-", IF(Q221&gt;0, Q221+K221, "-")), "-")</f>
        <v>-</v>
      </c>
    </row>
    <row r="222" spans="1:19" x14ac:dyDescent="0.3">
      <c r="A222" s="6" t="s">
        <v>16</v>
      </c>
      <c r="B222" s="93" t="s">
        <v>293</v>
      </c>
      <c r="C222" s="3" t="s">
        <v>986</v>
      </c>
      <c r="D222" s="80" t="s">
        <v>649</v>
      </c>
      <c r="E222" s="74" t="s">
        <v>641</v>
      </c>
      <c r="F222" s="75">
        <v>0.18160000000000001</v>
      </c>
      <c r="G222" s="30">
        <v>24</v>
      </c>
      <c r="H222" s="39" t="s">
        <v>977</v>
      </c>
      <c r="I222" s="77">
        <v>7.5</v>
      </c>
      <c r="J222" s="78"/>
      <c r="K222" s="79">
        <f>J222*I222</f>
        <v>0</v>
      </c>
      <c r="L222" s="1"/>
      <c r="M222" s="1"/>
      <c r="N222" s="24" t="str">
        <f>IFERROR(IF($N$2*F222=0, "-", $N$2*F222), "-")</f>
        <v>-</v>
      </c>
      <c r="O222" s="24" t="str">
        <f>IFERROR(IF(N222&gt;0,I222+N222,"-"),"-")</f>
        <v>-</v>
      </c>
      <c r="P222" s="24" t="str">
        <f>IF(J222&gt;0,J222*F222, "-")</f>
        <v>-</v>
      </c>
      <c r="Q222" s="26" t="str">
        <f>IFERROR(IF($N$2&gt;0, $N$2*P222, "-"), "-")</f>
        <v>-</v>
      </c>
      <c r="R222" s="18"/>
      <c r="S222" s="26" t="str">
        <f>IFERROR(IF(Q222+K222=0, "-", IF(Q222&gt;0, Q222+K222, "-")), "-")</f>
        <v>-</v>
      </c>
    </row>
    <row r="223" spans="1:19" x14ac:dyDescent="0.3">
      <c r="A223" s="6" t="s">
        <v>642</v>
      </c>
      <c r="B223" s="93" t="s">
        <v>17</v>
      </c>
      <c r="C223" s="3" t="s">
        <v>1043</v>
      </c>
      <c r="D223" s="3" t="s">
        <v>643</v>
      </c>
      <c r="E223" s="74" t="s">
        <v>331</v>
      </c>
      <c r="F223" s="75">
        <v>0.24454298647625003</v>
      </c>
      <c r="G223" s="76">
        <v>24</v>
      </c>
      <c r="H223" s="39" t="s">
        <v>977</v>
      </c>
      <c r="I223" s="77">
        <v>14.399999999999999</v>
      </c>
      <c r="J223" s="78"/>
      <c r="K223" s="79">
        <f>J223*I223</f>
        <v>0</v>
      </c>
      <c r="L223" s="73"/>
      <c r="M223" s="73"/>
      <c r="N223" s="24" t="str">
        <f>IFERROR(IF($N$2*F223=0, "-", $N$2*F223), "-")</f>
        <v>-</v>
      </c>
      <c r="O223" s="24" t="str">
        <f>IFERROR(IF(N223&gt;0,I223+N223,"-"),"-")</f>
        <v>-</v>
      </c>
      <c r="P223" s="24" t="str">
        <f>IF(J223&gt;0,J223*F223, "-")</f>
        <v>-</v>
      </c>
      <c r="Q223" s="26" t="str">
        <f>IFERROR(IF($N$2&gt;0, $N$2*P223, "-"), "-")</f>
        <v>-</v>
      </c>
      <c r="R223" s="18"/>
      <c r="S223" s="26" t="str">
        <f>IFERROR(IF(Q223+K223=0, "-", IF(Q223&gt;0, Q223+K223, "-")), "-")</f>
        <v>-</v>
      </c>
    </row>
    <row r="224" spans="1:19" x14ac:dyDescent="0.3">
      <c r="A224" s="6" t="s">
        <v>651</v>
      </c>
      <c r="B224" s="93" t="s">
        <v>22</v>
      </c>
      <c r="C224" s="3" t="s">
        <v>1045</v>
      </c>
      <c r="D224" s="3" t="s">
        <v>652</v>
      </c>
      <c r="E224" s="74" t="s">
        <v>336</v>
      </c>
      <c r="F224" s="75">
        <v>6.4353417493750009E-2</v>
      </c>
      <c r="G224" s="76">
        <v>24</v>
      </c>
      <c r="H224" s="39" t="s">
        <v>977</v>
      </c>
      <c r="I224" s="77">
        <v>9</v>
      </c>
      <c r="J224" s="78"/>
      <c r="K224" s="79">
        <f>J224*I224</f>
        <v>0</v>
      </c>
      <c r="L224" s="73"/>
      <c r="M224" s="73"/>
      <c r="N224" s="24" t="str">
        <f>IFERROR(IF($N$2*F224=0, "-", $N$2*F224), "-")</f>
        <v>-</v>
      </c>
      <c r="O224" s="24" t="str">
        <f>IFERROR(IF(N224&gt;0,I224+N224,"-"),"-")</f>
        <v>-</v>
      </c>
      <c r="P224" s="24" t="str">
        <f>IF(J224&gt;0,J224*F224, "-")</f>
        <v>-</v>
      </c>
      <c r="Q224" s="26" t="str">
        <f>IFERROR(IF($N$2&gt;0, $N$2*P224, "-"), "-")</f>
        <v>-</v>
      </c>
      <c r="R224" s="18"/>
      <c r="S224" s="26" t="str">
        <f>IFERROR(IF(Q224+K224=0, "-", IF(Q224&gt;0, Q224+K224, "-")), "-")</f>
        <v>-</v>
      </c>
    </row>
    <row r="225" spans="1:19" x14ac:dyDescent="0.3">
      <c r="A225" s="6" t="s">
        <v>716</v>
      </c>
      <c r="B225" s="93" t="s">
        <v>299</v>
      </c>
      <c r="C225" s="3" t="s">
        <v>984</v>
      </c>
      <c r="D225" s="3" t="s">
        <v>653</v>
      </c>
      <c r="E225" s="74" t="s">
        <v>383</v>
      </c>
      <c r="F225" s="75">
        <v>0.1070840867096</v>
      </c>
      <c r="G225" s="76">
        <v>24</v>
      </c>
      <c r="H225" s="39" t="s">
        <v>977</v>
      </c>
      <c r="I225" s="77">
        <v>18</v>
      </c>
      <c r="J225" s="78"/>
      <c r="K225" s="79">
        <f>J225*I225</f>
        <v>0</v>
      </c>
      <c r="L225" s="73"/>
      <c r="M225" s="73"/>
      <c r="N225" s="24" t="str">
        <f>IFERROR(IF($N$2*F225=0, "-", $N$2*F225), "-")</f>
        <v>-</v>
      </c>
      <c r="O225" s="24" t="str">
        <f>IFERROR(IF(N225&gt;0,I225+N225,"-"),"-")</f>
        <v>-</v>
      </c>
      <c r="P225" s="24" t="str">
        <f>IF(J225&gt;0,J225*F225, "-")</f>
        <v>-</v>
      </c>
      <c r="Q225" s="26" t="str">
        <f>IFERROR(IF($N$2&gt;0, $N$2*P225, "-"), "-")</f>
        <v>-</v>
      </c>
      <c r="R225" s="18"/>
      <c r="S225" s="26" t="str">
        <f>IFERROR(IF(Q225+K225=0, "-", IF(Q225&gt;0, Q225+K225, "-")), "-")</f>
        <v>-</v>
      </c>
    </row>
    <row r="226" spans="1:19" x14ac:dyDescent="0.3">
      <c r="A226" s="6" t="s">
        <v>751</v>
      </c>
      <c r="B226" s="93" t="s">
        <v>93</v>
      </c>
      <c r="C226" s="3" t="s">
        <v>1015</v>
      </c>
      <c r="D226" s="3" t="s">
        <v>670</v>
      </c>
      <c r="E226" s="74" t="s">
        <v>416</v>
      </c>
      <c r="F226" s="75">
        <v>5.7489052961083337E-2</v>
      </c>
      <c r="G226" s="76">
        <v>24</v>
      </c>
      <c r="H226" s="39" t="s">
        <v>977</v>
      </c>
      <c r="I226" s="77">
        <v>63</v>
      </c>
      <c r="J226" s="78"/>
      <c r="K226" s="79">
        <f>J226*I226</f>
        <v>0</v>
      </c>
      <c r="L226" s="73"/>
      <c r="M226" s="73"/>
      <c r="N226" s="24" t="str">
        <f>IFERROR(IF($N$2*F226=0, "-", $N$2*F226), "-")</f>
        <v>-</v>
      </c>
      <c r="O226" s="24" t="str">
        <f>IFERROR(IF(N226&gt;0,I226+N226,"-"),"-")</f>
        <v>-</v>
      </c>
      <c r="P226" s="24" t="str">
        <f>IF(J226&gt;0,J226*F226, "-")</f>
        <v>-</v>
      </c>
      <c r="Q226" s="26" t="str">
        <f>IFERROR(IF($N$2&gt;0, $N$2*P226, "-"), "-")</f>
        <v>-</v>
      </c>
      <c r="R226" s="18"/>
      <c r="S226" s="26" t="str">
        <f>IFERROR(IF(Q226+K226=0, "-", IF(Q226&gt;0, Q226+K226, "-")), "-")</f>
        <v>-</v>
      </c>
    </row>
    <row r="227" spans="1:19" x14ac:dyDescent="0.3">
      <c r="A227" s="6" t="s">
        <v>761</v>
      </c>
      <c r="B227" s="93" t="s">
        <v>102</v>
      </c>
      <c r="C227" s="3" t="s">
        <v>986</v>
      </c>
      <c r="D227" s="3" t="s">
        <v>762</v>
      </c>
      <c r="E227" s="74" t="s">
        <v>426</v>
      </c>
      <c r="F227" s="75">
        <v>0.12699074385433332</v>
      </c>
      <c r="G227" s="76">
        <v>24</v>
      </c>
      <c r="H227" s="39" t="s">
        <v>977</v>
      </c>
      <c r="I227" s="77">
        <v>11.399999999999999</v>
      </c>
      <c r="J227" s="78"/>
      <c r="K227" s="79">
        <f>J227*I227</f>
        <v>0</v>
      </c>
      <c r="L227" s="73"/>
      <c r="M227" s="73"/>
      <c r="N227" s="24" t="str">
        <f>IFERROR(IF($N$2*F227=0, "-", $N$2*F227), "-")</f>
        <v>-</v>
      </c>
      <c r="O227" s="24" t="str">
        <f>IFERROR(IF(N227&gt;0,I227+N227,"-"),"-")</f>
        <v>-</v>
      </c>
      <c r="P227" s="24" t="str">
        <f>IF(J227&gt;0,J227*F227, "-")</f>
        <v>-</v>
      </c>
      <c r="Q227" s="26" t="str">
        <f>IFERROR(IF($N$2&gt;0, $N$2*P227, "-"), "-")</f>
        <v>-</v>
      </c>
      <c r="R227" s="18"/>
      <c r="S227" s="26" t="str">
        <f>IFERROR(IF(Q227+K227=0, "-", IF(Q227&gt;0, Q227+K227, "-")), "-")</f>
        <v>-</v>
      </c>
    </row>
    <row r="228" spans="1:19" x14ac:dyDescent="0.3">
      <c r="A228" s="6" t="s">
        <v>775</v>
      </c>
      <c r="B228" s="93" t="s">
        <v>115</v>
      </c>
      <c r="C228" s="3" t="s">
        <v>1064</v>
      </c>
      <c r="D228" s="3" t="s">
        <v>654</v>
      </c>
      <c r="E228" s="74" t="s">
        <v>440</v>
      </c>
      <c r="F228" s="75">
        <v>0.15359015641841667</v>
      </c>
      <c r="G228" s="76">
        <v>24</v>
      </c>
      <c r="H228" s="39" t="s">
        <v>977</v>
      </c>
      <c r="I228" s="77">
        <v>19.799999999999997</v>
      </c>
      <c r="J228" s="78"/>
      <c r="K228" s="79">
        <f>J228*I228</f>
        <v>0</v>
      </c>
      <c r="L228" s="73"/>
      <c r="M228" s="73"/>
      <c r="N228" s="24" t="str">
        <f>IFERROR(IF($N$2*F228=0, "-", $N$2*F228), "-")</f>
        <v>-</v>
      </c>
      <c r="O228" s="24" t="str">
        <f>IFERROR(IF(N228&gt;0,I228+N228,"-"),"-")</f>
        <v>-</v>
      </c>
      <c r="P228" s="24" t="str">
        <f>IF(J228&gt;0,J228*F228, "-")</f>
        <v>-</v>
      </c>
      <c r="Q228" s="26" t="str">
        <f>IFERROR(IF($N$2&gt;0, $N$2*P228, "-"), "-")</f>
        <v>-</v>
      </c>
      <c r="R228" s="18"/>
      <c r="S228" s="26" t="str">
        <f>IFERROR(IF(Q228+K228=0, "-", IF(Q228&gt;0, Q228+K228, "-")), "-")</f>
        <v>-</v>
      </c>
    </row>
    <row r="229" spans="1:19" x14ac:dyDescent="0.3">
      <c r="A229" s="6" t="s">
        <v>806</v>
      </c>
      <c r="B229" s="93" t="s">
        <v>141</v>
      </c>
      <c r="C229" s="3" t="s">
        <v>1040</v>
      </c>
      <c r="D229" s="3" t="s">
        <v>681</v>
      </c>
      <c r="E229" s="74" t="s">
        <v>469</v>
      </c>
      <c r="F229" s="75">
        <v>5.5558450436270834E-2</v>
      </c>
      <c r="G229" s="76">
        <v>24</v>
      </c>
      <c r="H229" s="39" t="s">
        <v>977</v>
      </c>
      <c r="I229" s="77">
        <v>24</v>
      </c>
      <c r="J229" s="78"/>
      <c r="K229" s="79">
        <f>J229*I229</f>
        <v>0</v>
      </c>
      <c r="L229" s="73"/>
      <c r="M229" s="73"/>
      <c r="N229" s="24" t="str">
        <f>IFERROR(IF($N$2*F229=0, "-", $N$2*F229), "-")</f>
        <v>-</v>
      </c>
      <c r="O229" s="24" t="str">
        <f>IFERROR(IF(N229&gt;0,I229+N229,"-"),"-")</f>
        <v>-</v>
      </c>
      <c r="P229" s="24" t="str">
        <f>IF(J229&gt;0,J229*F229, "-")</f>
        <v>-</v>
      </c>
      <c r="Q229" s="26" t="str">
        <f>IFERROR(IF($N$2&gt;0, $N$2*P229, "-"), "-")</f>
        <v>-</v>
      </c>
      <c r="R229" s="18"/>
      <c r="S229" s="26" t="str">
        <f>IFERROR(IF(Q229+K229=0, "-", IF(Q229&gt;0, Q229+K229, "-")), "-")</f>
        <v>-</v>
      </c>
    </row>
    <row r="230" spans="1:19" x14ac:dyDescent="0.3">
      <c r="A230" s="6" t="s">
        <v>823</v>
      </c>
      <c r="B230" s="93" t="s">
        <v>154</v>
      </c>
      <c r="C230" s="3" t="s">
        <v>1009</v>
      </c>
      <c r="D230" s="3" t="s">
        <v>657</v>
      </c>
      <c r="E230" s="74" t="s">
        <v>485</v>
      </c>
      <c r="F230" s="75">
        <v>0.33249265705104164</v>
      </c>
      <c r="G230" s="76">
        <v>12</v>
      </c>
      <c r="H230" s="39" t="s">
        <v>977</v>
      </c>
      <c r="I230" s="77">
        <v>10.199999999999999</v>
      </c>
      <c r="J230" s="78"/>
      <c r="K230" s="79">
        <f>J230*I230</f>
        <v>0</v>
      </c>
      <c r="L230" s="73"/>
      <c r="M230" s="73"/>
      <c r="N230" s="24" t="str">
        <f>IFERROR(IF($N$2*F230=0, "-", $N$2*F230), "-")</f>
        <v>-</v>
      </c>
      <c r="O230" s="24" t="str">
        <f>IFERROR(IF(N230&gt;0,I230+N230,"-"),"-")</f>
        <v>-</v>
      </c>
      <c r="P230" s="24" t="str">
        <f>IF(J230&gt;0,J230*F230, "-")</f>
        <v>-</v>
      </c>
      <c r="Q230" s="26" t="str">
        <f>IFERROR(IF($N$2&gt;0, $N$2*P230, "-"), "-")</f>
        <v>-</v>
      </c>
      <c r="R230" s="18"/>
      <c r="S230" s="26" t="str">
        <f>IFERROR(IF(Q230+K230=0, "-", IF(Q230&gt;0, Q230+K230, "-")), "-")</f>
        <v>-</v>
      </c>
    </row>
    <row r="231" spans="1:19" x14ac:dyDescent="0.3">
      <c r="A231" s="6" t="s">
        <v>824</v>
      </c>
      <c r="B231" s="93" t="s">
        <v>155</v>
      </c>
      <c r="C231" s="3" t="s">
        <v>1009</v>
      </c>
      <c r="D231" s="3" t="s">
        <v>657</v>
      </c>
      <c r="E231" s="74" t="s">
        <v>486</v>
      </c>
      <c r="F231" s="75">
        <v>0.40117920465603757</v>
      </c>
      <c r="G231" s="76">
        <v>12</v>
      </c>
      <c r="H231" s="39" t="s">
        <v>977</v>
      </c>
      <c r="I231" s="77">
        <v>16.200000000000003</v>
      </c>
      <c r="J231" s="78"/>
      <c r="K231" s="79">
        <f>J231*I231</f>
        <v>0</v>
      </c>
      <c r="L231" s="73"/>
      <c r="M231" s="73"/>
      <c r="N231" s="24" t="str">
        <f>IFERROR(IF($N$2*F231=0, "-", $N$2*F231), "-")</f>
        <v>-</v>
      </c>
      <c r="O231" s="24" t="str">
        <f>IFERROR(IF(N231&gt;0,I231+N231,"-"),"-")</f>
        <v>-</v>
      </c>
      <c r="P231" s="24" t="str">
        <f>IF(J231&gt;0,J231*F231, "-")</f>
        <v>-</v>
      </c>
      <c r="Q231" s="26" t="str">
        <f>IFERROR(IF($N$2&gt;0, $N$2*P231, "-"), "-")</f>
        <v>-</v>
      </c>
      <c r="R231" s="18"/>
      <c r="S231" s="26" t="str">
        <f>IFERROR(IF(Q231+K231=0, "-", IF(Q231&gt;0, Q231+K231, "-")), "-")</f>
        <v>-</v>
      </c>
    </row>
    <row r="232" spans="1:19" x14ac:dyDescent="0.3">
      <c r="A232" s="6" t="s">
        <v>860</v>
      </c>
      <c r="B232" s="93" t="s">
        <v>184</v>
      </c>
      <c r="C232" s="3" t="s">
        <v>1028</v>
      </c>
      <c r="D232" s="80" t="s">
        <v>670</v>
      </c>
      <c r="E232" s="74" t="s">
        <v>521</v>
      </c>
      <c r="F232" s="75">
        <v>9.009478449125001E-2</v>
      </c>
      <c r="G232" s="30">
        <v>24</v>
      </c>
      <c r="H232" s="39" t="s">
        <v>977</v>
      </c>
      <c r="I232" s="77">
        <v>19.200000000000003</v>
      </c>
      <c r="J232" s="78"/>
      <c r="K232" s="79">
        <f>J232*I232</f>
        <v>0</v>
      </c>
      <c r="L232" s="73"/>
      <c r="M232" s="73"/>
      <c r="N232" s="24" t="str">
        <f>IFERROR(IF($N$2*F232=0, "-", $N$2*F232), "-")</f>
        <v>-</v>
      </c>
      <c r="O232" s="24" t="str">
        <f>IFERROR(IF(N232&gt;0,I232+N232,"-"),"-")</f>
        <v>-</v>
      </c>
      <c r="P232" s="24" t="str">
        <f>IF(J232&gt;0,J232*F232, "-")</f>
        <v>-</v>
      </c>
      <c r="Q232" s="26" t="str">
        <f>IFERROR(IF($N$2&gt;0, $N$2*P232, "-"), "-")</f>
        <v>-</v>
      </c>
      <c r="R232" s="18"/>
      <c r="S232" s="26" t="str">
        <f>IFERROR(IF(Q232+K232=0, "-", IF(Q232&gt;0, Q232+K232, "-")), "-")</f>
        <v>-</v>
      </c>
    </row>
    <row r="233" spans="1:19" x14ac:dyDescent="0.3">
      <c r="A233" s="6" t="s">
        <v>865</v>
      </c>
      <c r="B233" s="93" t="s">
        <v>187</v>
      </c>
      <c r="C233" s="3" t="s">
        <v>984</v>
      </c>
      <c r="D233" s="80" t="s">
        <v>649</v>
      </c>
      <c r="E233" s="74" t="s">
        <v>525</v>
      </c>
      <c r="F233" s="75">
        <v>0.11390554896393751</v>
      </c>
      <c r="G233" s="30">
        <v>24</v>
      </c>
      <c r="H233" s="39" t="s">
        <v>977</v>
      </c>
      <c r="I233" s="77">
        <v>7.8000000000000007</v>
      </c>
      <c r="J233" s="78"/>
      <c r="K233" s="79">
        <f>J233*I233</f>
        <v>0</v>
      </c>
      <c r="L233" s="73"/>
      <c r="M233" s="73"/>
      <c r="N233" s="24" t="str">
        <f>IFERROR(IF($N$2*F233=0, "-", $N$2*F233), "-")</f>
        <v>-</v>
      </c>
      <c r="O233" s="24" t="str">
        <f>IFERROR(IF(N233&gt;0,I233+N233,"-"),"-")</f>
        <v>-</v>
      </c>
      <c r="P233" s="24" t="str">
        <f>IF(J233&gt;0,J233*F233, "-")</f>
        <v>-</v>
      </c>
      <c r="Q233" s="26" t="str">
        <f>IFERROR(IF($N$2&gt;0, $N$2*P233, "-"), "-")</f>
        <v>-</v>
      </c>
      <c r="R233" s="18"/>
      <c r="S233" s="26" t="str">
        <f>IFERROR(IF(Q233+K233=0, "-", IF(Q233&gt;0, Q233+K233, "-")), "-")</f>
        <v>-</v>
      </c>
    </row>
    <row r="234" spans="1:19" x14ac:dyDescent="0.3">
      <c r="A234" s="6" t="s">
        <v>878</v>
      </c>
      <c r="B234" s="93" t="s">
        <v>197</v>
      </c>
      <c r="C234" s="3" t="s">
        <v>1079</v>
      </c>
      <c r="D234" s="80" t="s">
        <v>762</v>
      </c>
      <c r="E234" s="74" t="s">
        <v>537</v>
      </c>
      <c r="F234" s="75">
        <v>0.11326201478900001</v>
      </c>
      <c r="G234" s="30">
        <v>75</v>
      </c>
      <c r="H234" s="39" t="s">
        <v>977</v>
      </c>
      <c r="I234" s="77">
        <v>22.799999999999997</v>
      </c>
      <c r="J234" s="78"/>
      <c r="K234" s="79">
        <f>J234*I234</f>
        <v>0</v>
      </c>
      <c r="L234" s="73"/>
      <c r="M234" s="73"/>
      <c r="N234" s="24" t="str">
        <f>IFERROR(IF($N$2*F234=0, "-", $N$2*F234), "-")</f>
        <v>-</v>
      </c>
      <c r="O234" s="24" t="str">
        <f>IFERROR(IF(N234&gt;0,I234+N234,"-"),"-")</f>
        <v>-</v>
      </c>
      <c r="P234" s="24" t="str">
        <f>IF(J234&gt;0,J234*F234, "-")</f>
        <v>-</v>
      </c>
      <c r="Q234" s="26" t="str">
        <f>IFERROR(IF($N$2&gt;0, $N$2*P234, "-"), "-")</f>
        <v>-</v>
      </c>
      <c r="R234" s="18"/>
      <c r="S234" s="26" t="str">
        <f>IFERROR(IF(Q234+K234=0, "-", IF(Q234&gt;0, Q234+K234, "-")), "-")</f>
        <v>-</v>
      </c>
    </row>
    <row r="235" spans="1:19" x14ac:dyDescent="0.3">
      <c r="A235" s="6" t="s">
        <v>882</v>
      </c>
      <c r="B235" s="93" t="s">
        <v>202</v>
      </c>
      <c r="C235" s="3" t="s">
        <v>1040</v>
      </c>
      <c r="D235" s="3" t="s">
        <v>743</v>
      </c>
      <c r="E235" s="74" t="s">
        <v>543</v>
      </c>
      <c r="F235" s="75">
        <v>5.60904386875525E-2</v>
      </c>
      <c r="G235" s="76">
        <v>24</v>
      </c>
      <c r="H235" s="39" t="s">
        <v>977</v>
      </c>
      <c r="I235" s="77">
        <v>14.399999999999999</v>
      </c>
      <c r="J235" s="78"/>
      <c r="K235" s="79">
        <f>J235*I235</f>
        <v>0</v>
      </c>
      <c r="L235" s="73"/>
      <c r="M235" s="73"/>
      <c r="N235" s="24" t="str">
        <f>IFERROR(IF($N$2*F235=0, "-", $N$2*F235), "-")</f>
        <v>-</v>
      </c>
      <c r="O235" s="24" t="str">
        <f>IFERROR(IF(N235&gt;0,I235+N235,"-"),"-")</f>
        <v>-</v>
      </c>
      <c r="P235" s="24" t="str">
        <f>IF(J235&gt;0,J235*F235, "-")</f>
        <v>-</v>
      </c>
      <c r="Q235" s="26" t="str">
        <f>IFERROR(IF($N$2&gt;0, $N$2*P235, "-"), "-")</f>
        <v>-</v>
      </c>
      <c r="R235" s="18"/>
      <c r="S235" s="26" t="str">
        <f>IFERROR(IF(Q235+K235=0, "-", IF(Q235&gt;0, Q235+K235, "-")), "-")</f>
        <v>-</v>
      </c>
    </row>
    <row r="236" spans="1:19" x14ac:dyDescent="0.3">
      <c r="A236" s="6" t="s">
        <v>895</v>
      </c>
      <c r="B236" s="93" t="s">
        <v>214</v>
      </c>
      <c r="C236" s="3" t="s">
        <v>1040</v>
      </c>
      <c r="D236" s="3" t="s">
        <v>762</v>
      </c>
      <c r="E236" s="74" t="s">
        <v>559</v>
      </c>
      <c r="F236" s="75">
        <v>6.0277701052479163E-2</v>
      </c>
      <c r="G236" s="76">
        <v>24</v>
      </c>
      <c r="H236" s="39" t="s">
        <v>977</v>
      </c>
      <c r="I236" s="77">
        <v>18.600000000000001</v>
      </c>
      <c r="J236" s="78"/>
      <c r="K236" s="79">
        <f>J236*I236</f>
        <v>0</v>
      </c>
      <c r="L236" s="73"/>
      <c r="M236" s="73"/>
      <c r="N236" s="24" t="str">
        <f>IFERROR(IF($N$2*F236=0, "-", $N$2*F236), "-")</f>
        <v>-</v>
      </c>
      <c r="O236" s="24" t="str">
        <f>IFERROR(IF(N236&gt;0,I236+N236,"-"),"-")</f>
        <v>-</v>
      </c>
      <c r="P236" s="24" t="str">
        <f>IF(J236&gt;0,J236*F236, "-")</f>
        <v>-</v>
      </c>
      <c r="Q236" s="26" t="str">
        <f>IFERROR(IF($N$2&gt;0, $N$2*P236, "-"), "-")</f>
        <v>-</v>
      </c>
      <c r="R236" s="18"/>
      <c r="S236" s="26" t="str">
        <f>IFERROR(IF(Q236+K236=0, "-", IF(Q236&gt;0, Q236+K236, "-")), "-")</f>
        <v>-</v>
      </c>
    </row>
    <row r="237" spans="1:19" x14ac:dyDescent="0.3">
      <c r="A237" s="6" t="s">
        <v>927</v>
      </c>
      <c r="B237" s="93" t="s">
        <v>241</v>
      </c>
      <c r="C237" s="3" t="s">
        <v>1040</v>
      </c>
      <c r="D237" s="3" t="s">
        <v>670</v>
      </c>
      <c r="E237" s="74" t="s">
        <v>592</v>
      </c>
      <c r="F237" s="75">
        <v>4.82650631203125E-2</v>
      </c>
      <c r="G237" s="76">
        <v>24</v>
      </c>
      <c r="H237" s="39" t="s">
        <v>977</v>
      </c>
      <c r="I237" s="77">
        <v>9</v>
      </c>
      <c r="J237" s="78"/>
      <c r="K237" s="79">
        <f>J237*I237</f>
        <v>0</v>
      </c>
      <c r="L237" s="73"/>
      <c r="M237" s="73"/>
      <c r="N237" s="24" t="str">
        <f>IFERROR(IF($N$2*F237=0, "-", $N$2*F237), "-")</f>
        <v>-</v>
      </c>
      <c r="O237" s="24" t="str">
        <f>IFERROR(IF(N237&gt;0,I237+N237,"-"),"-")</f>
        <v>-</v>
      </c>
      <c r="P237" s="24" t="str">
        <f>IF(J237&gt;0,J237*F237, "-")</f>
        <v>-</v>
      </c>
      <c r="Q237" s="26" t="str">
        <f>IFERROR(IF($N$2&gt;0, $N$2*P237, "-"), "-")</f>
        <v>-</v>
      </c>
      <c r="R237" s="18"/>
      <c r="S237" s="26" t="str">
        <f>IFERROR(IF(Q237+K237=0, "-", IF(Q237&gt;0, Q237+K237, "-")), "-")</f>
        <v>-</v>
      </c>
    </row>
    <row r="238" spans="1:19" x14ac:dyDescent="0.3">
      <c r="A238" s="6" t="s">
        <v>933</v>
      </c>
      <c r="B238" s="93" t="s">
        <v>289</v>
      </c>
      <c r="C238" s="3" t="s">
        <v>1040</v>
      </c>
      <c r="D238" s="3" t="s">
        <v>781</v>
      </c>
      <c r="E238" s="74" t="s">
        <v>598</v>
      </c>
      <c r="F238" s="75">
        <v>4.5111745663118749E-2</v>
      </c>
      <c r="G238" s="76">
        <v>24</v>
      </c>
      <c r="H238" s="39" t="s">
        <v>977</v>
      </c>
      <c r="I238" s="77">
        <v>16.799999999999997</v>
      </c>
      <c r="J238" s="78"/>
      <c r="K238" s="79">
        <f>J238*I238</f>
        <v>0</v>
      </c>
      <c r="L238" s="73"/>
      <c r="M238" s="73"/>
      <c r="N238" s="24" t="str">
        <f>IFERROR(IF($N$2*F238=0, "-", $N$2*F238), "-")</f>
        <v>-</v>
      </c>
      <c r="O238" s="24" t="str">
        <f>IFERROR(IF(N238&gt;0,I238+N238,"-"),"-")</f>
        <v>-</v>
      </c>
      <c r="P238" s="24" t="str">
        <f>IF(J238&gt;0,J238*F238, "-")</f>
        <v>-</v>
      </c>
      <c r="Q238" s="26" t="str">
        <f>IFERROR(IF($N$2&gt;0, $N$2*P238, "-"), "-")</f>
        <v>-</v>
      </c>
      <c r="R238" s="18"/>
      <c r="S238" s="26" t="str">
        <f>IFERROR(IF(Q238+K238=0, "-", IF(Q238&gt;0, Q238+K238, "-")), "-")</f>
        <v>-</v>
      </c>
    </row>
    <row r="239" spans="1:19" x14ac:dyDescent="0.3">
      <c r="A239" s="6" t="s">
        <v>1227</v>
      </c>
      <c r="B239" s="93" t="s">
        <v>1235</v>
      </c>
      <c r="C239" s="3" t="s">
        <v>1044</v>
      </c>
      <c r="D239" s="3" t="s">
        <v>700</v>
      </c>
      <c r="E239" s="74" t="s">
        <v>1247</v>
      </c>
      <c r="F239" s="75"/>
      <c r="G239" s="76">
        <v>10</v>
      </c>
      <c r="H239" s="39" t="s">
        <v>977</v>
      </c>
      <c r="I239" s="77">
        <v>33</v>
      </c>
      <c r="J239" s="78"/>
      <c r="K239" s="79">
        <f>J239*I239</f>
        <v>0</v>
      </c>
      <c r="L239" s="73"/>
      <c r="M239" s="73"/>
      <c r="N239" s="24" t="str">
        <f>IFERROR(IF($N$2*F239=0, "-", $N$2*F239), "-")</f>
        <v>-</v>
      </c>
      <c r="O239" s="24" t="str">
        <f>IFERROR(IF(N239&gt;0,I239+N239,"-"),"-")</f>
        <v>-</v>
      </c>
      <c r="P239" s="24" t="str">
        <f>IF(J239&gt;0,J239*F239, "-")</f>
        <v>-</v>
      </c>
      <c r="Q239" s="26" t="str">
        <f>IFERROR(IF($N$2&gt;0, $N$2*P239, "-"), "-")</f>
        <v>-</v>
      </c>
      <c r="R239" s="18"/>
      <c r="S239" s="26" t="str">
        <f>IFERROR(IF(Q239+K239=0, "-", IF(Q239&gt;0, Q239+K239, "-")), "-")</f>
        <v>-</v>
      </c>
    </row>
    <row r="240" spans="1:19" x14ac:dyDescent="0.3">
      <c r="A240" s="6" t="s">
        <v>655</v>
      </c>
      <c r="B240" s="93" t="s">
        <v>24</v>
      </c>
      <c r="C240" s="3" t="s">
        <v>1088</v>
      </c>
      <c r="D240" s="3" t="s">
        <v>649</v>
      </c>
      <c r="E240" s="74" t="s">
        <v>338</v>
      </c>
      <c r="F240" s="75">
        <v>9.0800000000000006E-2</v>
      </c>
      <c r="G240" s="76">
        <v>24</v>
      </c>
      <c r="H240" s="39" t="s">
        <v>977</v>
      </c>
      <c r="I240" s="77">
        <v>8.3999999999999986</v>
      </c>
      <c r="J240" s="78"/>
      <c r="K240" s="79">
        <f>J240*I240</f>
        <v>0</v>
      </c>
      <c r="L240" s="73"/>
      <c r="M240" s="73"/>
      <c r="N240" s="24" t="str">
        <f>IFERROR(IF($N$2*F240=0, "-", $N$2*F240), "-")</f>
        <v>-</v>
      </c>
      <c r="O240" s="24" t="str">
        <f>IFERROR(IF(N240&gt;0,I240+N240,"-"),"-")</f>
        <v>-</v>
      </c>
      <c r="P240" s="24" t="str">
        <f>IF(J240&gt;0,J240*F240, "-")</f>
        <v>-</v>
      </c>
      <c r="Q240" s="26" t="str">
        <f>IFERROR(IF($N$2&gt;0, $N$2*P240, "-"), "-")</f>
        <v>-</v>
      </c>
      <c r="R240" s="18"/>
      <c r="S240" s="26" t="str">
        <f>IFERROR(IF(Q240+K240=0, "-", IF(Q240&gt;0, Q240+K240, "-")), "-")</f>
        <v>-</v>
      </c>
    </row>
    <row r="241" spans="1:19" x14ac:dyDescent="0.3">
      <c r="A241" s="6" t="s">
        <v>663</v>
      </c>
      <c r="B241" s="93" t="s">
        <v>29</v>
      </c>
      <c r="C241" s="3" t="s">
        <v>1002</v>
      </c>
      <c r="D241" s="3" t="s">
        <v>664</v>
      </c>
      <c r="E241" s="74" t="s">
        <v>343</v>
      </c>
      <c r="F241" s="75">
        <v>0.10082035407354169</v>
      </c>
      <c r="G241" s="76">
        <v>24</v>
      </c>
      <c r="H241" s="39" t="s">
        <v>977</v>
      </c>
      <c r="I241" s="77">
        <v>11.399999999999999</v>
      </c>
      <c r="J241" s="78"/>
      <c r="K241" s="79">
        <f>J241*I241</f>
        <v>0</v>
      </c>
      <c r="L241" s="73"/>
      <c r="M241" s="73"/>
      <c r="N241" s="24" t="str">
        <f>IFERROR(IF($N$2*F241=0, "-", $N$2*F241), "-")</f>
        <v>-</v>
      </c>
      <c r="O241" s="24" t="str">
        <f>IFERROR(IF(N241&gt;0,I241+N241,"-"),"-")</f>
        <v>-</v>
      </c>
      <c r="P241" s="24" t="str">
        <f>IF(J241&gt;0,J241*F241, "-")</f>
        <v>-</v>
      </c>
      <c r="Q241" s="26" t="str">
        <f>IFERROR(IF($N$2&gt;0, $N$2*P241, "-"), "-")</f>
        <v>-</v>
      </c>
      <c r="R241" s="18"/>
      <c r="S241" s="26" t="str">
        <f>IFERROR(IF(Q241+K241=0, "-", IF(Q241&gt;0, Q241+K241, "-")), "-")</f>
        <v>-</v>
      </c>
    </row>
    <row r="242" spans="1:19" x14ac:dyDescent="0.3">
      <c r="A242" s="6" t="s">
        <v>674</v>
      </c>
      <c r="B242" s="93" t="s">
        <v>35</v>
      </c>
      <c r="C242" s="3" t="s">
        <v>1028</v>
      </c>
      <c r="D242" s="3" t="s">
        <v>675</v>
      </c>
      <c r="E242" s="74" t="s">
        <v>349</v>
      </c>
      <c r="F242" s="75">
        <v>0.13943240456979167</v>
      </c>
      <c r="G242" s="76">
        <v>24</v>
      </c>
      <c r="H242" s="39" t="s">
        <v>977</v>
      </c>
      <c r="I242" s="77">
        <v>28.5</v>
      </c>
      <c r="J242" s="78"/>
      <c r="K242" s="79">
        <f>J242*I242</f>
        <v>0</v>
      </c>
      <c r="L242" s="73"/>
      <c r="M242" s="73"/>
      <c r="N242" s="24" t="str">
        <f>IFERROR(IF($N$2*F242=0, "-", $N$2*F242), "-")</f>
        <v>-</v>
      </c>
      <c r="O242" s="24" t="str">
        <f>IFERROR(IF(N242&gt;0,I242+N242,"-"),"-")</f>
        <v>-</v>
      </c>
      <c r="P242" s="24" t="str">
        <f>IF(J242&gt;0,J242*F242, "-")</f>
        <v>-</v>
      </c>
      <c r="Q242" s="26" t="str">
        <f>IFERROR(IF($N$2&gt;0, $N$2*P242, "-"), "-")</f>
        <v>-</v>
      </c>
      <c r="R242" s="18"/>
      <c r="S242" s="26" t="str">
        <f>IFERROR(IF(Q242+K242=0, "-", IF(Q242&gt;0, Q242+K242, "-")), "-")</f>
        <v>-</v>
      </c>
    </row>
    <row r="243" spans="1:19" x14ac:dyDescent="0.3">
      <c r="A243" s="6" t="s">
        <v>676</v>
      </c>
      <c r="B243" s="93" t="s">
        <v>36</v>
      </c>
      <c r="C243" s="3" t="s">
        <v>1089</v>
      </c>
      <c r="D243" s="3" t="s">
        <v>677</v>
      </c>
      <c r="E243" s="74" t="s">
        <v>350</v>
      </c>
      <c r="F243" s="75">
        <v>7.9828269287080422E-2</v>
      </c>
      <c r="G243" s="76">
        <v>24</v>
      </c>
      <c r="H243" s="39" t="s">
        <v>977</v>
      </c>
      <c r="I243" s="77">
        <v>13.5</v>
      </c>
      <c r="J243" s="78"/>
      <c r="K243" s="79">
        <f>J243*I243</f>
        <v>0</v>
      </c>
      <c r="L243" s="73"/>
      <c r="M243" s="73"/>
      <c r="N243" s="24" t="str">
        <f>IFERROR(IF($N$2*F243=0, "-", $N$2*F243), "-")</f>
        <v>-</v>
      </c>
      <c r="O243" s="24" t="str">
        <f>IFERROR(IF(N243&gt;0,I243+N243,"-"),"-")</f>
        <v>-</v>
      </c>
      <c r="P243" s="24" t="str">
        <f>IF(J243&gt;0,J243*F243, "-")</f>
        <v>-</v>
      </c>
      <c r="Q243" s="26" t="str">
        <f>IFERROR(IF($N$2&gt;0, $N$2*P243, "-"), "-")</f>
        <v>-</v>
      </c>
      <c r="R243" s="18"/>
      <c r="S243" s="26" t="str">
        <f>IFERROR(IF(Q243+K243=0, "-", IF(Q243&gt;0, Q243+K243, "-")), "-")</f>
        <v>-</v>
      </c>
    </row>
    <row r="244" spans="1:19" x14ac:dyDescent="0.3">
      <c r="A244" s="6" t="s">
        <v>685</v>
      </c>
      <c r="B244" s="93" t="s">
        <v>42</v>
      </c>
      <c r="C244" s="3" t="s">
        <v>1049</v>
      </c>
      <c r="D244" s="3" t="s">
        <v>670</v>
      </c>
      <c r="E244" s="74" t="s">
        <v>356</v>
      </c>
      <c r="F244" s="75">
        <v>0.16646083991716665</v>
      </c>
      <c r="G244" s="76">
        <v>24</v>
      </c>
      <c r="H244" s="39" t="s">
        <v>977</v>
      </c>
      <c r="I244" s="77">
        <v>18</v>
      </c>
      <c r="J244" s="78"/>
      <c r="K244" s="79">
        <f>J244*I244</f>
        <v>0</v>
      </c>
      <c r="L244" s="73"/>
      <c r="M244" s="73"/>
      <c r="N244" s="24" t="str">
        <f>IFERROR(IF($N$2*F244=0, "-", $N$2*F244), "-")</f>
        <v>-</v>
      </c>
      <c r="O244" s="24" t="str">
        <f>IFERROR(IF(N244&gt;0,I244+N244,"-"),"-")</f>
        <v>-</v>
      </c>
      <c r="P244" s="24" t="str">
        <f>IF(J244&gt;0,J244*F244, "-")</f>
        <v>-</v>
      </c>
      <c r="Q244" s="26" t="str">
        <f>IFERROR(IF($N$2&gt;0, $N$2*P244, "-"), "-")</f>
        <v>-</v>
      </c>
      <c r="R244" s="18"/>
      <c r="S244" s="26" t="str">
        <f>IFERROR(IF(Q244+K244=0, "-", IF(Q244&gt;0, Q244+K244, "-")), "-")</f>
        <v>-</v>
      </c>
    </row>
    <row r="245" spans="1:19" x14ac:dyDescent="0.3">
      <c r="A245" s="6" t="s">
        <v>686</v>
      </c>
      <c r="B245" s="93" t="s">
        <v>43</v>
      </c>
      <c r="C245" s="3" t="s">
        <v>1040</v>
      </c>
      <c r="D245" s="3" t="s">
        <v>664</v>
      </c>
      <c r="E245" s="74" t="s">
        <v>357</v>
      </c>
      <c r="F245" s="75">
        <v>5.4485893478041676E-2</v>
      </c>
      <c r="G245" s="76">
        <v>24</v>
      </c>
      <c r="H245" s="39" t="s">
        <v>977</v>
      </c>
      <c r="I245" s="77">
        <v>12</v>
      </c>
      <c r="J245" s="78"/>
      <c r="K245" s="79">
        <f>J245*I245</f>
        <v>0</v>
      </c>
      <c r="L245" s="73"/>
      <c r="M245" s="73"/>
      <c r="N245" s="24" t="str">
        <f>IFERROR(IF($N$2*F245=0, "-", $N$2*F245), "-")</f>
        <v>-</v>
      </c>
      <c r="O245" s="24" t="str">
        <f>IFERROR(IF(N245&gt;0,I245+N245,"-"),"-")</f>
        <v>-</v>
      </c>
      <c r="P245" s="24" t="str">
        <f>IF(J245&gt;0,J245*F245, "-")</f>
        <v>-</v>
      </c>
      <c r="Q245" s="26" t="str">
        <f>IFERROR(IF($N$2&gt;0, $N$2*P245, "-"), "-")</f>
        <v>-</v>
      </c>
      <c r="R245" s="18"/>
      <c r="S245" s="26" t="str">
        <f>IFERROR(IF(Q245+K245=0, "-", IF(Q245&gt;0, Q245+K245, "-")), "-")</f>
        <v>-</v>
      </c>
    </row>
    <row r="246" spans="1:19" x14ac:dyDescent="0.3">
      <c r="A246" s="6" t="s">
        <v>688</v>
      </c>
      <c r="B246" s="93" t="s">
        <v>45</v>
      </c>
      <c r="C246" s="3" t="s">
        <v>1043</v>
      </c>
      <c r="D246" s="3" t="s">
        <v>681</v>
      </c>
      <c r="E246" s="74" t="s">
        <v>359</v>
      </c>
      <c r="F246" s="75">
        <v>0.24215332957331548</v>
      </c>
      <c r="G246" s="76">
        <v>12</v>
      </c>
      <c r="H246" s="39" t="s">
        <v>977</v>
      </c>
      <c r="I246" s="77">
        <v>21.6</v>
      </c>
      <c r="J246" s="78"/>
      <c r="K246" s="79">
        <f>J246*I246</f>
        <v>0</v>
      </c>
      <c r="L246" s="73"/>
      <c r="M246" s="73"/>
      <c r="N246" s="24" t="str">
        <f>IFERROR(IF($N$2*F246=0, "-", $N$2*F246), "-")</f>
        <v>-</v>
      </c>
      <c r="O246" s="24" t="str">
        <f>IFERROR(IF(N246&gt;0,I246+N246,"-"),"-")</f>
        <v>-</v>
      </c>
      <c r="P246" s="24" t="str">
        <f>IF(J246&gt;0,J246*F246, "-")</f>
        <v>-</v>
      </c>
      <c r="Q246" s="26" t="str">
        <f>IFERROR(IF($N$2&gt;0, $N$2*P246, "-"), "-")</f>
        <v>-</v>
      </c>
      <c r="R246" s="18"/>
      <c r="S246" s="26" t="str">
        <f>IFERROR(IF(Q246+K246=0, "-", IF(Q246&gt;0, Q246+K246, "-")), "-")</f>
        <v>-</v>
      </c>
    </row>
    <row r="247" spans="1:19" x14ac:dyDescent="0.3">
      <c r="A247" s="6" t="s">
        <v>689</v>
      </c>
      <c r="B247" s="93" t="s">
        <v>46</v>
      </c>
      <c r="C247" s="3" t="s">
        <v>1040</v>
      </c>
      <c r="D247" s="80" t="s">
        <v>679</v>
      </c>
      <c r="E247" s="74" t="s">
        <v>360</v>
      </c>
      <c r="F247" s="75">
        <v>5.813258713602084E-2</v>
      </c>
      <c r="G247" s="30">
        <v>24</v>
      </c>
      <c r="H247" s="39" t="s">
        <v>977</v>
      </c>
      <c r="I247" s="77">
        <v>16.799999999999997</v>
      </c>
      <c r="J247" s="78"/>
      <c r="K247" s="79">
        <f>J247*I247</f>
        <v>0</v>
      </c>
      <c r="L247" s="73"/>
      <c r="M247" s="73"/>
      <c r="N247" s="24" t="str">
        <f>IFERROR(IF($N$2*F247=0, "-", $N$2*F247), "-")</f>
        <v>-</v>
      </c>
      <c r="O247" s="24" t="str">
        <f>IFERROR(IF(N247&gt;0,I247+N247,"-"),"-")</f>
        <v>-</v>
      </c>
      <c r="P247" s="24" t="str">
        <f>IF(J247&gt;0,J247*F247, "-")</f>
        <v>-</v>
      </c>
      <c r="Q247" s="26" t="str">
        <f>IFERROR(IF($N$2&gt;0, $N$2*P247, "-"), "-")</f>
        <v>-</v>
      </c>
      <c r="R247" s="18"/>
      <c r="S247" s="26" t="str">
        <f>IFERROR(IF(Q247+K247=0, "-", IF(Q247&gt;0, Q247+K247, "-")), "-")</f>
        <v>-</v>
      </c>
    </row>
    <row r="248" spans="1:19" x14ac:dyDescent="0.3">
      <c r="A248" s="6" t="s">
        <v>693</v>
      </c>
      <c r="B248" s="93" t="s">
        <v>50</v>
      </c>
      <c r="C248" s="3" t="s">
        <v>984</v>
      </c>
      <c r="D248" s="3" t="s">
        <v>670</v>
      </c>
      <c r="E248" s="74" t="s">
        <v>364</v>
      </c>
      <c r="F248" s="75">
        <v>0.1070840867096</v>
      </c>
      <c r="G248" s="76">
        <v>24</v>
      </c>
      <c r="H248" s="39" t="s">
        <v>977</v>
      </c>
      <c r="I248" s="77">
        <v>13.799999999999999</v>
      </c>
      <c r="J248" s="78"/>
      <c r="K248" s="79">
        <f>J248*I248</f>
        <v>0</v>
      </c>
      <c r="L248" s="73"/>
      <c r="M248" s="73"/>
      <c r="N248" s="24" t="str">
        <f>IFERROR(IF($N$2*F248=0, "-", $N$2*F248), "-")</f>
        <v>-</v>
      </c>
      <c r="O248" s="24" t="str">
        <f>IFERROR(IF(N248&gt;0,I248+N248,"-"),"-")</f>
        <v>-</v>
      </c>
      <c r="P248" s="24" t="str">
        <f>IF(J248&gt;0,J248*F248, "-")</f>
        <v>-</v>
      </c>
      <c r="Q248" s="26" t="str">
        <f>IFERROR(IF($N$2&gt;0, $N$2*P248, "-"), "-")</f>
        <v>-</v>
      </c>
      <c r="R248" s="18"/>
      <c r="S248" s="26" t="str">
        <f>IFERROR(IF(Q248+K248=0, "-", IF(Q248&gt;0, Q248+K248, "-")), "-")</f>
        <v>-</v>
      </c>
    </row>
    <row r="249" spans="1:19" x14ac:dyDescent="0.3">
      <c r="A249" s="6" t="s">
        <v>1136</v>
      </c>
      <c r="B249" s="93" t="s">
        <v>1137</v>
      </c>
      <c r="C249" s="3" t="s">
        <v>1138</v>
      </c>
      <c r="D249" s="3" t="s">
        <v>696</v>
      </c>
      <c r="E249" s="74" t="s">
        <v>1139</v>
      </c>
      <c r="F249" s="75">
        <v>0.15981098677614586</v>
      </c>
      <c r="G249" s="76">
        <v>24</v>
      </c>
      <c r="H249" s="39" t="s">
        <v>977</v>
      </c>
      <c r="I249" s="77">
        <v>8.6999999999999993</v>
      </c>
      <c r="J249" s="78"/>
      <c r="K249" s="79">
        <f>J249*I249</f>
        <v>0</v>
      </c>
      <c r="L249" s="73"/>
      <c r="M249" s="73"/>
      <c r="N249" s="24" t="str">
        <f>IFERROR(IF($N$2*F249=0, "-", $N$2*F249), "-")</f>
        <v>-</v>
      </c>
      <c r="O249" s="24" t="str">
        <f>IFERROR(IF(N249&gt;0,I249+N249,"-"),"-")</f>
        <v>-</v>
      </c>
      <c r="P249" s="24" t="str">
        <f>IF(J249&gt;0,J249*F249, "-")</f>
        <v>-</v>
      </c>
      <c r="Q249" s="26" t="str">
        <f>IFERROR(IF($N$2&gt;0, $N$2*P249, "-"), "-")</f>
        <v>-</v>
      </c>
      <c r="R249" s="18"/>
      <c r="S249" s="26" t="str">
        <f>IFERROR(IF(Q249+K249=0, "-", IF(Q249&gt;0, Q249+K249, "-")), "-")</f>
        <v>-</v>
      </c>
    </row>
    <row r="250" spans="1:19" x14ac:dyDescent="0.3">
      <c r="A250" s="6" t="s">
        <v>697</v>
      </c>
      <c r="B250" s="93" t="s">
        <v>53</v>
      </c>
      <c r="C250" s="3" t="s">
        <v>1040</v>
      </c>
      <c r="D250" s="3" t="s">
        <v>659</v>
      </c>
      <c r="E250" s="74" t="s">
        <v>367</v>
      </c>
      <c r="F250" s="75">
        <v>5.4914916261333338E-2</v>
      </c>
      <c r="G250" s="76">
        <v>24</v>
      </c>
      <c r="H250" s="39" t="s">
        <v>977</v>
      </c>
      <c r="I250" s="77">
        <v>10.8</v>
      </c>
      <c r="J250" s="78"/>
      <c r="K250" s="79">
        <f>J250*I250</f>
        <v>0</v>
      </c>
      <c r="L250" s="73"/>
      <c r="M250" s="73"/>
      <c r="N250" s="24" t="str">
        <f>IFERROR(IF($N$2*F250=0, "-", $N$2*F250), "-")</f>
        <v>-</v>
      </c>
      <c r="O250" s="24" t="str">
        <f>IFERROR(IF(N250&gt;0,I250+N250,"-"),"-")</f>
        <v>-</v>
      </c>
      <c r="P250" s="24" t="str">
        <f>IF(J250&gt;0,J250*F250, "-")</f>
        <v>-</v>
      </c>
      <c r="Q250" s="26" t="str">
        <f>IFERROR(IF($N$2&gt;0, $N$2*P250, "-"), "-")</f>
        <v>-</v>
      </c>
      <c r="R250" s="18"/>
      <c r="S250" s="26" t="str">
        <f>IFERROR(IF(Q250+K250=0, "-", IF(Q250&gt;0, Q250+K250, "-")), "-")</f>
        <v>-</v>
      </c>
    </row>
    <row r="251" spans="1:19" x14ac:dyDescent="0.3">
      <c r="A251" s="6" t="s">
        <v>699</v>
      </c>
      <c r="B251" s="93" t="s">
        <v>55</v>
      </c>
      <c r="C251" s="3" t="s">
        <v>1090</v>
      </c>
      <c r="D251" s="3" t="s">
        <v>700</v>
      </c>
      <c r="E251" s="74" t="s">
        <v>369</v>
      </c>
      <c r="F251" s="75">
        <v>5.6750000000000002E-2</v>
      </c>
      <c r="G251" s="76">
        <v>24</v>
      </c>
      <c r="H251" s="39" t="s">
        <v>977</v>
      </c>
      <c r="I251" s="77">
        <v>12</v>
      </c>
      <c r="J251" s="78"/>
      <c r="K251" s="79">
        <f>J251*I251</f>
        <v>0</v>
      </c>
      <c r="L251" s="73"/>
      <c r="M251" s="73"/>
      <c r="N251" s="24" t="str">
        <f>IFERROR(IF($N$2*F251=0, "-", $N$2*F251), "-")</f>
        <v>-</v>
      </c>
      <c r="O251" s="24" t="str">
        <f>IFERROR(IF(N251&gt;0,I251+N251,"-"),"-")</f>
        <v>-</v>
      </c>
      <c r="P251" s="24" t="str">
        <f>IF(J251&gt;0,J251*F251, "-")</f>
        <v>-</v>
      </c>
      <c r="Q251" s="26" t="str">
        <f>IFERROR(IF($N$2&gt;0, $N$2*P251, "-"), "-")</f>
        <v>-</v>
      </c>
      <c r="R251" s="18"/>
      <c r="S251" s="26" t="str">
        <f>IFERROR(IF(Q251+K251=0, "-", IF(Q251&gt;0, Q251+K251, "-")), "-")</f>
        <v>-</v>
      </c>
    </row>
    <row r="252" spans="1:19" x14ac:dyDescent="0.3">
      <c r="A252" s="6" t="s">
        <v>706</v>
      </c>
      <c r="B252" s="93" t="s">
        <v>60</v>
      </c>
      <c r="C252" s="3" t="s">
        <v>984</v>
      </c>
      <c r="D252" s="3" t="s">
        <v>677</v>
      </c>
      <c r="E252" s="74" t="s">
        <v>374</v>
      </c>
      <c r="F252" s="75">
        <v>8.6448090833270833E-2</v>
      </c>
      <c r="G252" s="76">
        <v>24</v>
      </c>
      <c r="H252" s="39" t="s">
        <v>977</v>
      </c>
      <c r="I252" s="77">
        <v>10.8</v>
      </c>
      <c r="J252" s="78"/>
      <c r="K252" s="79">
        <f>J252*I252</f>
        <v>0</v>
      </c>
      <c r="L252" s="73"/>
      <c r="M252" s="73"/>
      <c r="N252" s="24" t="str">
        <f>IFERROR(IF($N$2*F252=0, "-", $N$2*F252), "-")</f>
        <v>-</v>
      </c>
      <c r="O252" s="24" t="str">
        <f>IFERROR(IF(N252&gt;0,I252+N252,"-"),"-")</f>
        <v>-</v>
      </c>
      <c r="P252" s="24" t="str">
        <f>IF(J252&gt;0,J252*F252, "-")</f>
        <v>-</v>
      </c>
      <c r="Q252" s="26" t="str">
        <f>IFERROR(IF($N$2&gt;0, $N$2*P252, "-"), "-")</f>
        <v>-</v>
      </c>
      <c r="R252" s="18"/>
      <c r="S252" s="26" t="str">
        <f>IFERROR(IF(Q252+K252=0, "-", IF(Q252&gt;0, Q252+K252, "-")), "-")</f>
        <v>-</v>
      </c>
    </row>
    <row r="253" spans="1:19" x14ac:dyDescent="0.3">
      <c r="A253" s="6" t="s">
        <v>714</v>
      </c>
      <c r="B253" s="93" t="s">
        <v>63</v>
      </c>
      <c r="C253" s="3" t="s">
        <v>984</v>
      </c>
      <c r="D253" s="3" t="s">
        <v>670</v>
      </c>
      <c r="E253" s="74" t="s">
        <v>381</v>
      </c>
      <c r="F253" s="75">
        <v>0.1070840867096</v>
      </c>
      <c r="G253" s="76">
        <v>24</v>
      </c>
      <c r="H253" s="39" t="s">
        <v>977</v>
      </c>
      <c r="I253" s="77">
        <v>18</v>
      </c>
      <c r="J253" s="78"/>
      <c r="K253" s="79">
        <f>J253*I253</f>
        <v>0</v>
      </c>
      <c r="L253" s="73"/>
      <c r="M253" s="73"/>
      <c r="N253" s="24" t="str">
        <f>IFERROR(IF($N$2*F253=0, "-", $N$2*F253), "-")</f>
        <v>-</v>
      </c>
      <c r="O253" s="24" t="str">
        <f>IFERROR(IF(N253&gt;0,I253+N253,"-"),"-")</f>
        <v>-</v>
      </c>
      <c r="P253" s="24" t="str">
        <f>IF(J253&gt;0,J253*F253, "-")</f>
        <v>-</v>
      </c>
      <c r="Q253" s="26" t="str">
        <f>IFERROR(IF($N$2&gt;0, $N$2*P253, "-"), "-")</f>
        <v>-</v>
      </c>
      <c r="R253" s="18"/>
      <c r="S253" s="26" t="str">
        <f>IFERROR(IF(Q253+K253=0, "-", IF(Q253&gt;0, Q253+K253, "-")), "-")</f>
        <v>-</v>
      </c>
    </row>
    <row r="254" spans="1:19" x14ac:dyDescent="0.3">
      <c r="A254" s="6" t="s">
        <v>717</v>
      </c>
      <c r="B254" s="93" t="s">
        <v>300</v>
      </c>
      <c r="C254" s="3" t="s">
        <v>984</v>
      </c>
      <c r="D254" s="3" t="s">
        <v>653</v>
      </c>
      <c r="E254" s="74" t="s">
        <v>384</v>
      </c>
      <c r="F254" s="75">
        <v>0.12270051602141668</v>
      </c>
      <c r="G254" s="76">
        <v>24</v>
      </c>
      <c r="H254" s="39" t="s">
        <v>977</v>
      </c>
      <c r="I254" s="77">
        <v>19.200000000000003</v>
      </c>
      <c r="J254" s="78"/>
      <c r="K254" s="79">
        <f>J254*I254</f>
        <v>0</v>
      </c>
      <c r="L254" s="73"/>
      <c r="M254" s="73"/>
      <c r="N254" s="24" t="str">
        <f>IFERROR(IF($N$2*F254=0, "-", $N$2*F254), "-")</f>
        <v>-</v>
      </c>
      <c r="O254" s="24" t="str">
        <f>IFERROR(IF(N254&gt;0,I254+N254,"-"),"-")</f>
        <v>-</v>
      </c>
      <c r="P254" s="24" t="str">
        <f>IF(J254&gt;0,J254*F254, "-")</f>
        <v>-</v>
      </c>
      <c r="Q254" s="26" t="str">
        <f>IFERROR(IF($N$2&gt;0, $N$2*P254, "-"), "-")</f>
        <v>-</v>
      </c>
      <c r="R254" s="18"/>
      <c r="S254" s="26" t="str">
        <f>IFERROR(IF(Q254+K254=0, "-", IF(Q254&gt;0, Q254+K254, "-")), "-")</f>
        <v>-</v>
      </c>
    </row>
    <row r="255" spans="1:19" x14ac:dyDescent="0.3">
      <c r="A255" s="6" t="s">
        <v>718</v>
      </c>
      <c r="B255" s="93" t="s">
        <v>65</v>
      </c>
      <c r="C255" s="3" t="s">
        <v>1091</v>
      </c>
      <c r="D255" s="3" t="s">
        <v>681</v>
      </c>
      <c r="E255" s="74" t="s">
        <v>385</v>
      </c>
      <c r="F255" s="75">
        <v>0.24076758598328338</v>
      </c>
      <c r="G255" s="76">
        <v>12</v>
      </c>
      <c r="H255" s="39" t="s">
        <v>977</v>
      </c>
      <c r="I255" s="77">
        <v>19.5</v>
      </c>
      <c r="J255" s="78"/>
      <c r="K255" s="79">
        <f>J255*I255</f>
        <v>0</v>
      </c>
      <c r="L255" s="73"/>
      <c r="M255" s="73"/>
      <c r="N255" s="24" t="str">
        <f>IFERROR(IF($N$2*F255=0, "-", $N$2*F255), "-")</f>
        <v>-</v>
      </c>
      <c r="O255" s="24" t="str">
        <f>IFERROR(IF(N255&gt;0,I255+N255,"-"),"-")</f>
        <v>-</v>
      </c>
      <c r="P255" s="24" t="str">
        <f>IF(J255&gt;0,J255*F255, "-")</f>
        <v>-</v>
      </c>
      <c r="Q255" s="26" t="str">
        <f>IFERROR(IF($N$2&gt;0, $N$2*P255, "-"), "-")</f>
        <v>-</v>
      </c>
      <c r="R255" s="18"/>
      <c r="S255" s="26" t="str">
        <f>IFERROR(IF(Q255+K255=0, "-", IF(Q255&gt;0, Q255+K255, "-")), "-")</f>
        <v>-</v>
      </c>
    </row>
    <row r="256" spans="1:19" x14ac:dyDescent="0.3">
      <c r="A256" s="6" t="s">
        <v>326</v>
      </c>
      <c r="B256" s="93" t="s">
        <v>66</v>
      </c>
      <c r="C256" s="3" t="s">
        <v>1092</v>
      </c>
      <c r="D256" s="3" t="s">
        <v>719</v>
      </c>
      <c r="E256" s="74" t="s">
        <v>386</v>
      </c>
      <c r="F256" s="75">
        <v>0.17341100900649167</v>
      </c>
      <c r="G256" s="76">
        <v>24</v>
      </c>
      <c r="H256" s="39" t="s">
        <v>977</v>
      </c>
      <c r="I256" s="77">
        <v>12</v>
      </c>
      <c r="J256" s="78"/>
      <c r="K256" s="79">
        <f>J256*I256</f>
        <v>0</v>
      </c>
      <c r="L256" s="73"/>
      <c r="M256" s="73"/>
      <c r="N256" s="24" t="str">
        <f>IFERROR(IF($N$2*F256=0, "-", $N$2*F256), "-")</f>
        <v>-</v>
      </c>
      <c r="O256" s="24" t="str">
        <f>IFERROR(IF(N256&gt;0,I256+N256,"-"),"-")</f>
        <v>-</v>
      </c>
      <c r="P256" s="24" t="str">
        <f>IF(J256&gt;0,J256*F256, "-")</f>
        <v>-</v>
      </c>
      <c r="Q256" s="26" t="str">
        <f>IFERROR(IF($N$2&gt;0, $N$2*P256, "-"), "-")</f>
        <v>-</v>
      </c>
      <c r="R256" s="18"/>
      <c r="S256" s="26" t="str">
        <f>IFERROR(IF(Q256+K256=0, "-", IF(Q256&gt;0, Q256+K256, "-")), "-")</f>
        <v>-</v>
      </c>
    </row>
    <row r="257" spans="1:19" x14ac:dyDescent="0.3">
      <c r="A257" s="6" t="s">
        <v>721</v>
      </c>
      <c r="B257" s="93" t="s">
        <v>68</v>
      </c>
      <c r="C257" s="3" t="s">
        <v>988</v>
      </c>
      <c r="D257" s="3" t="s">
        <v>652</v>
      </c>
      <c r="E257" s="74" t="s">
        <v>388</v>
      </c>
      <c r="F257" s="75">
        <v>0.10382351355658333</v>
      </c>
      <c r="G257" s="76">
        <v>24</v>
      </c>
      <c r="H257" s="39" t="s">
        <v>977</v>
      </c>
      <c r="I257" s="77">
        <v>22.799999999999997</v>
      </c>
      <c r="J257" s="78"/>
      <c r="K257" s="79">
        <f>J257*I257</f>
        <v>0</v>
      </c>
      <c r="L257" s="73"/>
      <c r="M257" s="73"/>
      <c r="N257" s="24" t="str">
        <f>IFERROR(IF($N$2*F257=0, "-", $N$2*F257), "-")</f>
        <v>-</v>
      </c>
      <c r="O257" s="24" t="str">
        <f>IFERROR(IF(N257&gt;0,I257+N257,"-"),"-")</f>
        <v>-</v>
      </c>
      <c r="P257" s="24" t="str">
        <f>IF(J257&gt;0,J257*F257, "-")</f>
        <v>-</v>
      </c>
      <c r="Q257" s="26" t="str">
        <f>IFERROR(IF($N$2&gt;0, $N$2*P257, "-"), "-")</f>
        <v>-</v>
      </c>
      <c r="R257" s="18"/>
      <c r="S257" s="26" t="str">
        <f>IFERROR(IF(Q257+K257=0, "-", IF(Q257&gt;0, Q257+K257, "-")), "-")</f>
        <v>-</v>
      </c>
    </row>
    <row r="258" spans="1:19" x14ac:dyDescent="0.3">
      <c r="A258" s="6" t="s">
        <v>725</v>
      </c>
      <c r="B258" s="93" t="s">
        <v>72</v>
      </c>
      <c r="C258" s="3" t="s">
        <v>984</v>
      </c>
      <c r="D258" s="3" t="s">
        <v>657</v>
      </c>
      <c r="E258" s="74" t="s">
        <v>392</v>
      </c>
      <c r="F258" s="75">
        <v>5.6750000000000002E-2</v>
      </c>
      <c r="G258" s="76">
        <v>24</v>
      </c>
      <c r="H258" s="39" t="s">
        <v>977</v>
      </c>
      <c r="I258" s="77">
        <v>21.6</v>
      </c>
      <c r="J258" s="78"/>
      <c r="K258" s="79">
        <f>J258*I258</f>
        <v>0</v>
      </c>
      <c r="L258" s="73"/>
      <c r="M258" s="73"/>
      <c r="N258" s="24" t="str">
        <f>IFERROR(IF($N$2*F258=0, "-", $N$2*F258), "-")</f>
        <v>-</v>
      </c>
      <c r="O258" s="24" t="str">
        <f>IFERROR(IF(N258&gt;0,I258+N258,"-"),"-")</f>
        <v>-</v>
      </c>
      <c r="P258" s="24" t="str">
        <f>IF(J258&gt;0,J258*F258, "-")</f>
        <v>-</v>
      </c>
      <c r="Q258" s="26" t="str">
        <f>IFERROR(IF($N$2&gt;0, $N$2*P258, "-"), "-")</f>
        <v>-</v>
      </c>
      <c r="R258" s="18"/>
      <c r="S258" s="26" t="str">
        <f>IFERROR(IF(Q258+K258=0, "-", IF(Q258&gt;0, Q258+K258, "-")), "-")</f>
        <v>-</v>
      </c>
    </row>
    <row r="259" spans="1:19" x14ac:dyDescent="0.3">
      <c r="A259" s="6" t="s">
        <v>726</v>
      </c>
      <c r="B259" s="93" t="s">
        <v>73</v>
      </c>
      <c r="C259" s="3" t="s">
        <v>1040</v>
      </c>
      <c r="D259" s="3" t="s">
        <v>727</v>
      </c>
      <c r="E259" s="74" t="s">
        <v>393</v>
      </c>
      <c r="F259" s="75">
        <v>4.9981154253479175E-2</v>
      </c>
      <c r="G259" s="76">
        <v>24</v>
      </c>
      <c r="H259" s="39" t="s">
        <v>977</v>
      </c>
      <c r="I259" s="77">
        <v>24.599999999999998</v>
      </c>
      <c r="J259" s="78"/>
      <c r="K259" s="79">
        <f>J259*I259</f>
        <v>0</v>
      </c>
      <c r="L259" s="73"/>
      <c r="M259" s="73"/>
      <c r="N259" s="24" t="str">
        <f>IFERROR(IF($N$2*F259=0, "-", $N$2*F259), "-")</f>
        <v>-</v>
      </c>
      <c r="O259" s="24" t="str">
        <f>IFERROR(IF(N259&gt;0,I259+N259,"-"),"-")</f>
        <v>-</v>
      </c>
      <c r="P259" s="24" t="str">
        <f>IF(J259&gt;0,J259*F259, "-")</f>
        <v>-</v>
      </c>
      <c r="Q259" s="26" t="str">
        <f>IFERROR(IF($N$2&gt;0, $N$2*P259, "-"), "-")</f>
        <v>-</v>
      </c>
      <c r="R259" s="18"/>
      <c r="S259" s="26" t="str">
        <f>IFERROR(IF(Q259+K259=0, "-", IF(Q259&gt;0, Q259+K259, "-")), "-")</f>
        <v>-</v>
      </c>
    </row>
    <row r="260" spans="1:19" x14ac:dyDescent="0.3">
      <c r="A260" s="6" t="s">
        <v>734</v>
      </c>
      <c r="B260" s="93" t="s">
        <v>79</v>
      </c>
      <c r="C260" s="3" t="s">
        <v>986</v>
      </c>
      <c r="D260" s="3" t="s">
        <v>645</v>
      </c>
      <c r="E260" s="74" t="s">
        <v>399</v>
      </c>
      <c r="F260" s="75">
        <v>0.12264045283175583</v>
      </c>
      <c r="G260" s="76">
        <v>24</v>
      </c>
      <c r="H260" s="39" t="s">
        <v>977</v>
      </c>
      <c r="I260" s="77">
        <v>13.799999999999999</v>
      </c>
      <c r="J260" s="78"/>
      <c r="K260" s="79">
        <f>J260*I260</f>
        <v>0</v>
      </c>
      <c r="L260" s="73"/>
      <c r="M260" s="73"/>
      <c r="N260" s="24" t="str">
        <f>IFERROR(IF($N$2*F260=0, "-", $N$2*F260), "-")</f>
        <v>-</v>
      </c>
      <c r="O260" s="24" t="str">
        <f>IFERROR(IF(N260&gt;0,I260+N260,"-"),"-")</f>
        <v>-</v>
      </c>
      <c r="P260" s="24" t="str">
        <f>IF(J260&gt;0,J260*F260, "-")</f>
        <v>-</v>
      </c>
      <c r="Q260" s="26" t="str">
        <f>IFERROR(IF($N$2&gt;0, $N$2*P260, "-"), "-")</f>
        <v>-</v>
      </c>
      <c r="R260" s="18"/>
      <c r="S260" s="26" t="str">
        <f>IFERROR(IF(Q260+K260=0, "-", IF(Q260&gt;0, Q260+K260, "-")), "-")</f>
        <v>-</v>
      </c>
    </row>
    <row r="261" spans="1:19" x14ac:dyDescent="0.3">
      <c r="A261" s="6" t="s">
        <v>747</v>
      </c>
      <c r="B261" s="93" t="s">
        <v>89</v>
      </c>
      <c r="C261" s="3" t="s">
        <v>1093</v>
      </c>
      <c r="D261" s="80" t="s">
        <v>652</v>
      </c>
      <c r="E261" s="74" t="s">
        <v>411</v>
      </c>
      <c r="F261" s="75">
        <v>9.2969237139304176E-2</v>
      </c>
      <c r="G261" s="30">
        <v>24</v>
      </c>
      <c r="H261" s="39" t="s">
        <v>977</v>
      </c>
      <c r="I261" s="77">
        <v>19.200000000000003</v>
      </c>
      <c r="J261" s="78"/>
      <c r="K261" s="79">
        <f>J261*I261</f>
        <v>0</v>
      </c>
      <c r="L261" s="73"/>
      <c r="M261" s="73"/>
      <c r="N261" s="24" t="str">
        <f>IFERROR(IF($N$2*F261=0, "-", $N$2*F261), "-")</f>
        <v>-</v>
      </c>
      <c r="O261" s="24" t="str">
        <f>IFERROR(IF(N261&gt;0,I261+N261,"-"),"-")</f>
        <v>-</v>
      </c>
      <c r="P261" s="24" t="str">
        <f>IF(J261&gt;0,J261*F261, "-")</f>
        <v>-</v>
      </c>
      <c r="Q261" s="26" t="str">
        <f>IFERROR(IF($N$2&gt;0, $N$2*P261, "-"), "-")</f>
        <v>-</v>
      </c>
      <c r="R261" s="18"/>
      <c r="S261" s="26" t="str">
        <f>IFERROR(IF(Q261+K261=0, "-", IF(Q261&gt;0, Q261+K261, "-")), "-")</f>
        <v>-</v>
      </c>
    </row>
    <row r="262" spans="1:19" x14ac:dyDescent="0.3">
      <c r="A262" s="6" t="s">
        <v>748</v>
      </c>
      <c r="B262" s="93" t="s">
        <v>90</v>
      </c>
      <c r="C262" s="3" t="s">
        <v>984</v>
      </c>
      <c r="D262" s="80" t="s">
        <v>749</v>
      </c>
      <c r="E262" s="74" t="s">
        <v>412</v>
      </c>
      <c r="F262" s="75">
        <v>6.2208303577291672E-2</v>
      </c>
      <c r="G262" s="30">
        <v>24</v>
      </c>
      <c r="H262" s="39" t="s">
        <v>977</v>
      </c>
      <c r="I262" s="77">
        <v>12</v>
      </c>
      <c r="J262" s="78"/>
      <c r="K262" s="79">
        <f>J262*I262</f>
        <v>0</v>
      </c>
      <c r="L262" s="73"/>
      <c r="M262" s="73"/>
      <c r="N262" s="24" t="str">
        <f>IFERROR(IF($N$2*F262=0, "-", $N$2*F262), "-")</f>
        <v>-</v>
      </c>
      <c r="O262" s="24" t="str">
        <f>IFERROR(IF(N262&gt;0,I262+N262,"-"),"-")</f>
        <v>-</v>
      </c>
      <c r="P262" s="24" t="str">
        <f>IF(J262&gt;0,J262*F262, "-")</f>
        <v>-</v>
      </c>
      <c r="Q262" s="26" t="str">
        <f>IFERROR(IF($N$2&gt;0, $N$2*P262, "-"), "-")</f>
        <v>-</v>
      </c>
      <c r="R262" s="18"/>
      <c r="S262" s="26" t="str">
        <f>IFERROR(IF(Q262+K262=0, "-", IF(Q262&gt;0, Q262+K262, "-")), "-")</f>
        <v>-</v>
      </c>
    </row>
    <row r="263" spans="1:19" x14ac:dyDescent="0.3">
      <c r="A263" s="6" t="s">
        <v>5</v>
      </c>
      <c r="B263" s="93" t="s">
        <v>92</v>
      </c>
      <c r="C263" s="3" t="s">
        <v>984</v>
      </c>
      <c r="D263" s="80" t="s">
        <v>673</v>
      </c>
      <c r="E263" s="74" t="s">
        <v>414</v>
      </c>
      <c r="F263" s="75">
        <v>9.0026140845923336E-2</v>
      </c>
      <c r="G263" s="30">
        <v>24</v>
      </c>
      <c r="H263" s="39" t="s">
        <v>977</v>
      </c>
      <c r="I263" s="77">
        <v>15.600000000000001</v>
      </c>
      <c r="J263" s="78"/>
      <c r="K263" s="79">
        <f>J263*I263</f>
        <v>0</v>
      </c>
      <c r="L263" s="73"/>
      <c r="M263" s="73"/>
      <c r="N263" s="24" t="str">
        <f>IFERROR(IF($N$2*F263=0, "-", $N$2*F263), "-")</f>
        <v>-</v>
      </c>
      <c r="O263" s="24" t="str">
        <f>IFERROR(IF(N263&gt;0,I263+N263,"-"),"-")</f>
        <v>-</v>
      </c>
      <c r="P263" s="24" t="str">
        <f>IF(J263&gt;0,J263*F263, "-")</f>
        <v>-</v>
      </c>
      <c r="Q263" s="26" t="str">
        <f>IFERROR(IF($N$2&gt;0, $N$2*P263, "-"), "-")</f>
        <v>-</v>
      </c>
      <c r="R263" s="18"/>
      <c r="S263" s="26" t="str">
        <f>IFERROR(IF(Q263+K263=0, "-", IF(Q263&gt;0, Q263+K263, "-")), "-")</f>
        <v>-</v>
      </c>
    </row>
    <row r="264" spans="1:19" x14ac:dyDescent="0.3">
      <c r="A264" s="6" t="s">
        <v>757</v>
      </c>
      <c r="B264" s="93" t="s">
        <v>98</v>
      </c>
      <c r="C264" s="3" t="s">
        <v>1094</v>
      </c>
      <c r="D264" s="3" t="s">
        <v>730</v>
      </c>
      <c r="E264" s="74" t="s">
        <v>422</v>
      </c>
      <c r="F264" s="75">
        <v>0.18426528542377085</v>
      </c>
      <c r="G264" s="76">
        <v>24</v>
      </c>
      <c r="H264" s="39" t="s">
        <v>977</v>
      </c>
      <c r="I264" s="77">
        <v>32.400000000000006</v>
      </c>
      <c r="J264" s="78"/>
      <c r="K264" s="79">
        <f>J264*I264</f>
        <v>0</v>
      </c>
      <c r="L264" s="73"/>
      <c r="M264" s="73"/>
      <c r="N264" s="24" t="str">
        <f>IFERROR(IF($N$2*F264=0, "-", $N$2*F264), "-")</f>
        <v>-</v>
      </c>
      <c r="O264" s="24" t="str">
        <f>IFERROR(IF(N264&gt;0,I264+N264,"-"),"-")</f>
        <v>-</v>
      </c>
      <c r="P264" s="24" t="str">
        <f>IF(J264&gt;0,J264*F264, "-")</f>
        <v>-</v>
      </c>
      <c r="Q264" s="26" t="str">
        <f>IFERROR(IF($N$2&gt;0, $N$2*P264, "-"), "-")</f>
        <v>-</v>
      </c>
      <c r="R264" s="18"/>
      <c r="S264" s="26" t="str">
        <f>IFERROR(IF(Q264+K264=0, "-", IF(Q264&gt;0, Q264+K264, "-")), "-")</f>
        <v>-</v>
      </c>
    </row>
    <row r="265" spans="1:19" x14ac:dyDescent="0.3">
      <c r="A265" s="6" t="s">
        <v>758</v>
      </c>
      <c r="B265" s="93" t="s">
        <v>99</v>
      </c>
      <c r="C265" s="3" t="s">
        <v>984</v>
      </c>
      <c r="D265" s="3" t="s">
        <v>730</v>
      </c>
      <c r="E265" s="74" t="s">
        <v>423</v>
      </c>
      <c r="F265" s="75">
        <v>6.4567928885395837E-2</v>
      </c>
      <c r="G265" s="76">
        <v>24</v>
      </c>
      <c r="H265" s="39" t="s">
        <v>977</v>
      </c>
      <c r="I265" s="77">
        <v>20.399999999999999</v>
      </c>
      <c r="J265" s="78"/>
      <c r="K265" s="79">
        <f>J265*I265</f>
        <v>0</v>
      </c>
      <c r="L265" s="73"/>
      <c r="M265" s="73"/>
      <c r="N265" s="24" t="str">
        <f>IFERROR(IF($N$2*F265=0, "-", $N$2*F265), "-")</f>
        <v>-</v>
      </c>
      <c r="O265" s="24" t="str">
        <f>IFERROR(IF(N265&gt;0,I265+N265,"-"),"-")</f>
        <v>-</v>
      </c>
      <c r="P265" s="24" t="str">
        <f>IF(J265&gt;0,J265*F265, "-")</f>
        <v>-</v>
      </c>
      <c r="Q265" s="26" t="str">
        <f>IFERROR(IF($N$2&gt;0, $N$2*P265, "-"), "-")</f>
        <v>-</v>
      </c>
      <c r="R265" s="18"/>
      <c r="S265" s="26" t="str">
        <f>IFERROR(IF(Q265+K265=0, "-", IF(Q265&gt;0, Q265+K265, "-")), "-")</f>
        <v>-</v>
      </c>
    </row>
    <row r="266" spans="1:19" x14ac:dyDescent="0.3">
      <c r="A266" s="6" t="s">
        <v>788</v>
      </c>
      <c r="B266" s="93" t="s">
        <v>124</v>
      </c>
      <c r="C266" s="3" t="s">
        <v>1067</v>
      </c>
      <c r="D266" s="3" t="s">
        <v>668</v>
      </c>
      <c r="E266" s="74" t="s">
        <v>451</v>
      </c>
      <c r="F266" s="75">
        <v>6.6498531410208339E-2</v>
      </c>
      <c r="G266" s="76">
        <v>24</v>
      </c>
      <c r="H266" s="39" t="s">
        <v>977</v>
      </c>
      <c r="I266" s="77">
        <v>9.6000000000000014</v>
      </c>
      <c r="J266" s="78"/>
      <c r="K266" s="79">
        <f>J266*I266</f>
        <v>0</v>
      </c>
      <c r="L266" s="73"/>
      <c r="M266" s="73"/>
      <c r="N266" s="24" t="str">
        <f>IFERROR(IF($N$2*F266=0, "-", $N$2*F266), "-")</f>
        <v>-</v>
      </c>
      <c r="O266" s="24" t="str">
        <f>IFERROR(IF(N266&gt;0,I266+N266,"-"),"-")</f>
        <v>-</v>
      </c>
      <c r="P266" s="24" t="str">
        <f>IF(J266&gt;0,J266*F266, "-")</f>
        <v>-</v>
      </c>
      <c r="Q266" s="26" t="str">
        <f>IFERROR(IF($N$2&gt;0, $N$2*P266, "-"), "-")</f>
        <v>-</v>
      </c>
      <c r="R266" s="18"/>
      <c r="S266" s="26" t="str">
        <f>IFERROR(IF(Q266+K266=0, "-", IF(Q266&gt;0, Q266+K266, "-")), "-")</f>
        <v>-</v>
      </c>
    </row>
    <row r="267" spans="1:19" x14ac:dyDescent="0.3">
      <c r="A267" s="6" t="s">
        <v>790</v>
      </c>
      <c r="B267" s="93" t="s">
        <v>126</v>
      </c>
      <c r="C267" s="3" t="s">
        <v>984</v>
      </c>
      <c r="D267" s="3" t="s">
        <v>652</v>
      </c>
      <c r="E267" s="74" t="s">
        <v>453</v>
      </c>
      <c r="F267" s="75">
        <v>9.6101103457333359E-2</v>
      </c>
      <c r="G267" s="76">
        <v>24</v>
      </c>
      <c r="H267" s="39" t="s">
        <v>977</v>
      </c>
      <c r="I267" s="77">
        <v>21.6</v>
      </c>
      <c r="J267" s="78"/>
      <c r="K267" s="79">
        <f>J267*I267</f>
        <v>0</v>
      </c>
      <c r="L267" s="73"/>
      <c r="M267" s="73"/>
      <c r="N267" s="24" t="str">
        <f>IFERROR(IF($N$2*F267=0, "-", $N$2*F267), "-")</f>
        <v>-</v>
      </c>
      <c r="O267" s="24" t="str">
        <f>IFERROR(IF(N267&gt;0,I267+N267,"-"),"-")</f>
        <v>-</v>
      </c>
      <c r="P267" s="24" t="str">
        <f>IF(J267&gt;0,J267*F267, "-")</f>
        <v>-</v>
      </c>
      <c r="Q267" s="26" t="str">
        <f>IFERROR(IF($N$2&gt;0, $N$2*P267, "-"), "-")</f>
        <v>-</v>
      </c>
      <c r="R267" s="18"/>
      <c r="S267" s="26" t="str">
        <f>IFERROR(IF(Q267+K267=0, "-", IF(Q267&gt;0, Q267+K267, "-")), "-")</f>
        <v>-</v>
      </c>
    </row>
    <row r="268" spans="1:19" x14ac:dyDescent="0.3">
      <c r="A268" s="6" t="s">
        <v>791</v>
      </c>
      <c r="B268" s="93" t="s">
        <v>127</v>
      </c>
      <c r="C268" s="3" t="s">
        <v>1040</v>
      </c>
      <c r="D268" s="3" t="s">
        <v>662</v>
      </c>
      <c r="E268" s="74" t="s">
        <v>454</v>
      </c>
      <c r="F268" s="75">
        <v>6.4353417493750009E-2</v>
      </c>
      <c r="G268" s="76">
        <v>24</v>
      </c>
      <c r="H268" s="39" t="s">
        <v>977</v>
      </c>
      <c r="I268" s="77">
        <v>17.399999999999999</v>
      </c>
      <c r="J268" s="78"/>
      <c r="K268" s="79">
        <f>J268*I268</f>
        <v>0</v>
      </c>
      <c r="L268" s="73"/>
      <c r="M268" s="73"/>
      <c r="N268" s="24" t="str">
        <f>IFERROR(IF($N$2*F268=0, "-", $N$2*F268), "-")</f>
        <v>-</v>
      </c>
      <c r="O268" s="24" t="str">
        <f>IFERROR(IF(N268&gt;0,I268+N268,"-"),"-")</f>
        <v>-</v>
      </c>
      <c r="P268" s="24" t="str">
        <f>IF(J268&gt;0,J268*F268, "-")</f>
        <v>-</v>
      </c>
      <c r="Q268" s="26" t="str">
        <f>IFERROR(IF($N$2&gt;0, $N$2*P268, "-"), "-")</f>
        <v>-</v>
      </c>
      <c r="R268" s="18"/>
      <c r="S268" s="26" t="str">
        <f>IFERROR(IF(Q268+K268=0, "-", IF(Q268&gt;0, Q268+K268, "-")), "-")</f>
        <v>-</v>
      </c>
    </row>
    <row r="269" spans="1:19" x14ac:dyDescent="0.3">
      <c r="A269" s="6" t="s">
        <v>797</v>
      </c>
      <c r="B269" s="93" t="s">
        <v>133</v>
      </c>
      <c r="C269" s="3" t="s">
        <v>984</v>
      </c>
      <c r="D269" s="3" t="s">
        <v>664</v>
      </c>
      <c r="E269" s="74" t="s">
        <v>460</v>
      </c>
      <c r="F269" s="75">
        <v>0.10489607051481248</v>
      </c>
      <c r="G269" s="76">
        <v>24</v>
      </c>
      <c r="H269" s="39" t="s">
        <v>977</v>
      </c>
      <c r="I269" s="77">
        <v>22.200000000000003</v>
      </c>
      <c r="J269" s="78"/>
      <c r="K269" s="79">
        <f>J269*I269</f>
        <v>0</v>
      </c>
      <c r="L269" s="73"/>
      <c r="M269" s="73"/>
      <c r="N269" s="24" t="str">
        <f>IFERROR(IF($N$2*F269=0, "-", $N$2*F269), "-")</f>
        <v>-</v>
      </c>
      <c r="O269" s="24" t="str">
        <f>IFERROR(IF(N269&gt;0,I269+N269,"-"),"-")</f>
        <v>-</v>
      </c>
      <c r="P269" s="24" t="str">
        <f>IF(J269&gt;0,J269*F269, "-")</f>
        <v>-</v>
      </c>
      <c r="Q269" s="26" t="str">
        <f>IFERROR(IF($N$2&gt;0, $N$2*P269, "-"), "-")</f>
        <v>-</v>
      </c>
      <c r="R269" s="18"/>
      <c r="S269" s="26" t="str">
        <f>IFERROR(IF(Q269+K269=0, "-", IF(Q269&gt;0, Q269+K269, "-")), "-")</f>
        <v>-</v>
      </c>
    </row>
    <row r="270" spans="1:19" x14ac:dyDescent="0.3">
      <c r="A270" s="6" t="s">
        <v>798</v>
      </c>
      <c r="B270" s="93" t="s">
        <v>303</v>
      </c>
      <c r="C270" s="3" t="s">
        <v>1040</v>
      </c>
      <c r="D270" s="3" t="s">
        <v>749</v>
      </c>
      <c r="E270" s="74" t="s">
        <v>461</v>
      </c>
      <c r="F270" s="75">
        <v>4.7578626667045827E-2</v>
      </c>
      <c r="G270" s="76">
        <v>24</v>
      </c>
      <c r="H270" s="39" t="s">
        <v>977</v>
      </c>
      <c r="I270" s="77">
        <v>18</v>
      </c>
      <c r="J270" s="78"/>
      <c r="K270" s="79">
        <f>J270*I270</f>
        <v>0</v>
      </c>
      <c r="L270" s="73"/>
      <c r="M270" s="73"/>
      <c r="N270" s="24" t="str">
        <f>IFERROR(IF($N$2*F270=0, "-", $N$2*F270), "-")</f>
        <v>-</v>
      </c>
      <c r="O270" s="24" t="str">
        <f>IFERROR(IF(N270&gt;0,I270+N270,"-"),"-")</f>
        <v>-</v>
      </c>
      <c r="P270" s="24" t="str">
        <f>IF(J270&gt;0,J270*F270, "-")</f>
        <v>-</v>
      </c>
      <c r="Q270" s="26" t="str">
        <f>IFERROR(IF($N$2&gt;0, $N$2*P270, "-"), "-")</f>
        <v>-</v>
      </c>
      <c r="R270" s="18"/>
      <c r="S270" s="26" t="str">
        <f>IFERROR(IF(Q270+K270=0, "-", IF(Q270&gt;0, Q270+K270, "-")), "-")</f>
        <v>-</v>
      </c>
    </row>
    <row r="271" spans="1:19" x14ac:dyDescent="0.3">
      <c r="A271" s="6" t="s">
        <v>801</v>
      </c>
      <c r="B271" s="93" t="s">
        <v>136</v>
      </c>
      <c r="C271" s="3" t="s">
        <v>1095</v>
      </c>
      <c r="D271" s="3" t="s">
        <v>643</v>
      </c>
      <c r="E271" s="74" t="s">
        <v>464</v>
      </c>
      <c r="F271" s="75">
        <v>0.10468155912316666</v>
      </c>
      <c r="G271" s="76">
        <v>24</v>
      </c>
      <c r="H271" s="39" t="s">
        <v>977</v>
      </c>
      <c r="I271" s="77">
        <v>26.25</v>
      </c>
      <c r="J271" s="78"/>
      <c r="K271" s="79">
        <f>J271*I271</f>
        <v>0</v>
      </c>
      <c r="L271" s="73"/>
      <c r="M271" s="73"/>
      <c r="N271" s="24" t="str">
        <f>IFERROR(IF($N$2*F271=0, "-", $N$2*F271), "-")</f>
        <v>-</v>
      </c>
      <c r="O271" s="24" t="str">
        <f>IFERROR(IF(N271&gt;0,I271+N271,"-"),"-")</f>
        <v>-</v>
      </c>
      <c r="P271" s="24" t="str">
        <f>IF(J271&gt;0,J271*F271, "-")</f>
        <v>-</v>
      </c>
      <c r="Q271" s="26" t="str">
        <f>IFERROR(IF($N$2&gt;0, $N$2*P271, "-"), "-")</f>
        <v>-</v>
      </c>
      <c r="R271" s="18"/>
      <c r="S271" s="26" t="str">
        <f>IFERROR(IF(Q271+K271=0, "-", IF(Q271&gt;0, Q271+K271, "-")), "-")</f>
        <v>-</v>
      </c>
    </row>
    <row r="272" spans="1:19" x14ac:dyDescent="0.3">
      <c r="A272" s="6" t="s">
        <v>804</v>
      </c>
      <c r="B272" s="93" t="s">
        <v>139</v>
      </c>
      <c r="C272" s="3" t="s">
        <v>1096</v>
      </c>
      <c r="D272" s="3" t="s">
        <v>670</v>
      </c>
      <c r="E272" s="74" t="s">
        <v>467</v>
      </c>
      <c r="F272" s="75">
        <v>0.13138822738307293</v>
      </c>
      <c r="G272" s="76">
        <v>24</v>
      </c>
      <c r="H272" s="39" t="s">
        <v>977</v>
      </c>
      <c r="I272" s="77">
        <v>19.125</v>
      </c>
      <c r="J272" s="78"/>
      <c r="K272" s="79">
        <f>J272*I272</f>
        <v>0</v>
      </c>
      <c r="L272" s="73"/>
      <c r="M272" s="73"/>
      <c r="N272" s="24" t="str">
        <f>IFERROR(IF($N$2*F272=0, "-", $N$2*F272), "-")</f>
        <v>-</v>
      </c>
      <c r="O272" s="24" t="str">
        <f>IFERROR(IF(N272&gt;0,I272+N272,"-"),"-")</f>
        <v>-</v>
      </c>
      <c r="P272" s="24" t="str">
        <f>IF(J272&gt;0,J272*F272, "-")</f>
        <v>-</v>
      </c>
      <c r="Q272" s="26" t="str">
        <f>IFERROR(IF($N$2&gt;0, $N$2*P272, "-"), "-")</f>
        <v>-</v>
      </c>
      <c r="R272" s="18"/>
      <c r="S272" s="26" t="str">
        <f>IFERROR(IF(Q272+K272=0, "-", IF(Q272&gt;0, Q272+K272, "-")), "-")</f>
        <v>-</v>
      </c>
    </row>
    <row r="273" spans="1:19" x14ac:dyDescent="0.3">
      <c r="A273" s="6" t="s">
        <v>807</v>
      </c>
      <c r="B273" s="93" t="s">
        <v>142</v>
      </c>
      <c r="C273" s="3" t="s">
        <v>1032</v>
      </c>
      <c r="D273" s="3" t="s">
        <v>727</v>
      </c>
      <c r="E273" s="74" t="s">
        <v>470</v>
      </c>
      <c r="F273" s="75">
        <v>8.4946511091750013E-2</v>
      </c>
      <c r="G273" s="76">
        <v>24</v>
      </c>
      <c r="H273" s="39" t="s">
        <v>977</v>
      </c>
      <c r="I273" s="77">
        <v>22.5</v>
      </c>
      <c r="J273" s="78"/>
      <c r="K273" s="79">
        <f>J273*I273</f>
        <v>0</v>
      </c>
      <c r="L273" s="73"/>
      <c r="M273" s="73"/>
      <c r="N273" s="24" t="str">
        <f>IFERROR(IF($N$2*F273=0, "-", $N$2*F273), "-")</f>
        <v>-</v>
      </c>
      <c r="O273" s="24" t="str">
        <f>IFERROR(IF(N273&gt;0,I273+N273,"-"),"-")</f>
        <v>-</v>
      </c>
      <c r="P273" s="24" t="str">
        <f>IF(J273&gt;0,J273*F273, "-")</f>
        <v>-</v>
      </c>
      <c r="Q273" s="26" t="str">
        <f>IFERROR(IF($N$2&gt;0, $N$2*P273, "-"), "-")</f>
        <v>-</v>
      </c>
      <c r="R273" s="18"/>
      <c r="S273" s="26" t="str">
        <f>IFERROR(IF(Q273+K273=0, "-", IF(Q273&gt;0, Q273+K273, "-")), "-")</f>
        <v>-</v>
      </c>
    </row>
    <row r="274" spans="1:19" x14ac:dyDescent="0.3">
      <c r="A274" s="6" t="s">
        <v>812</v>
      </c>
      <c r="B274" s="93" t="s">
        <v>1236</v>
      </c>
      <c r="C274" s="3" t="s">
        <v>1097</v>
      </c>
      <c r="D274" s="3" t="s">
        <v>681</v>
      </c>
      <c r="E274" s="74" t="s">
        <v>474</v>
      </c>
      <c r="F274" s="75">
        <v>5.7918075744375005E-2</v>
      </c>
      <c r="G274" s="76">
        <v>24</v>
      </c>
      <c r="H274" s="39" t="s">
        <v>977</v>
      </c>
      <c r="I274" s="77">
        <v>21.6</v>
      </c>
      <c r="J274" s="78"/>
      <c r="K274" s="79">
        <f>J274*I274</f>
        <v>0</v>
      </c>
      <c r="L274" s="73"/>
      <c r="M274" s="73"/>
      <c r="N274" s="24" t="str">
        <f>IFERROR(IF($N$2*F274=0, "-", $N$2*F274), "-")</f>
        <v>-</v>
      </c>
      <c r="O274" s="24" t="str">
        <f>IFERROR(IF(N274&gt;0,I274+N274,"-"),"-")</f>
        <v>-</v>
      </c>
      <c r="P274" s="24" t="str">
        <f>IF(J274&gt;0,J274*F274, "-")</f>
        <v>-</v>
      </c>
      <c r="Q274" s="26" t="str">
        <f>IFERROR(IF($N$2&gt;0, $N$2*P274, "-"), "-")</f>
        <v>-</v>
      </c>
      <c r="R274" s="18"/>
      <c r="S274" s="26" t="str">
        <f>IFERROR(IF(Q274+K274=0, "-", IF(Q274&gt;0, Q274+K274, "-")), "-")</f>
        <v>-</v>
      </c>
    </row>
    <row r="275" spans="1:19" x14ac:dyDescent="0.3">
      <c r="A275" s="6" t="s">
        <v>814</v>
      </c>
      <c r="B275" s="93" t="s">
        <v>145</v>
      </c>
      <c r="C275" s="3" t="s">
        <v>1040</v>
      </c>
      <c r="D275" s="3" t="s">
        <v>645</v>
      </c>
      <c r="E275" s="74" t="s">
        <v>475</v>
      </c>
      <c r="F275" s="75">
        <v>4.2563350330366248E-2</v>
      </c>
      <c r="G275" s="76">
        <v>24</v>
      </c>
      <c r="H275" s="39" t="s">
        <v>977</v>
      </c>
      <c r="I275" s="77">
        <v>12</v>
      </c>
      <c r="J275" s="78"/>
      <c r="K275" s="79">
        <f>J275*I275</f>
        <v>0</v>
      </c>
      <c r="L275" s="73"/>
      <c r="M275" s="73"/>
      <c r="N275" s="24" t="str">
        <f>IFERROR(IF($N$2*F275=0, "-", $N$2*F275), "-")</f>
        <v>-</v>
      </c>
      <c r="O275" s="24" t="str">
        <f>IFERROR(IF(N275&gt;0,I275+N275,"-"),"-")</f>
        <v>-</v>
      </c>
      <c r="P275" s="24" t="str">
        <f>IF(J275&gt;0,J275*F275, "-")</f>
        <v>-</v>
      </c>
      <c r="Q275" s="26" t="str">
        <f>IFERROR(IF($N$2&gt;0, $N$2*P275, "-"), "-")</f>
        <v>-</v>
      </c>
      <c r="R275" s="18"/>
      <c r="S275" s="26" t="str">
        <f>IFERROR(IF(Q275+K275=0, "-", IF(Q275&gt;0, Q275+K275, "-")), "-")</f>
        <v>-</v>
      </c>
    </row>
    <row r="276" spans="1:19" x14ac:dyDescent="0.3">
      <c r="A276" s="6" t="s">
        <v>818</v>
      </c>
      <c r="B276" s="93" t="s">
        <v>149</v>
      </c>
      <c r="C276" s="3" t="s">
        <v>1098</v>
      </c>
      <c r="D276" s="3" t="s">
        <v>727</v>
      </c>
      <c r="E276" s="74" t="s">
        <v>479</v>
      </c>
      <c r="F276" s="75">
        <v>4.2308081774307713E-2</v>
      </c>
      <c r="G276" s="76">
        <v>24</v>
      </c>
      <c r="H276" s="39" t="s">
        <v>977</v>
      </c>
      <c r="I276" s="77">
        <v>10.8</v>
      </c>
      <c r="J276" s="78"/>
      <c r="K276" s="79">
        <f>J276*I276</f>
        <v>0</v>
      </c>
      <c r="L276" s="73"/>
      <c r="M276" s="73"/>
      <c r="N276" s="24" t="str">
        <f>IFERROR(IF($N$2*F276=0, "-", $N$2*F276), "-")</f>
        <v>-</v>
      </c>
      <c r="O276" s="24" t="str">
        <f>IFERROR(IF(N276&gt;0,I276+N276,"-"),"-")</f>
        <v>-</v>
      </c>
      <c r="P276" s="24" t="str">
        <f>IF(J276&gt;0,J276*F276, "-")</f>
        <v>-</v>
      </c>
      <c r="Q276" s="26" t="str">
        <f>IFERROR(IF($N$2&gt;0, $N$2*P276, "-"), "-")</f>
        <v>-</v>
      </c>
      <c r="R276" s="18"/>
      <c r="S276" s="26" t="str">
        <f>IFERROR(IF(Q276+K276=0, "-", IF(Q276&gt;0, Q276+K276, "-")), "-")</f>
        <v>-</v>
      </c>
    </row>
    <row r="277" spans="1:19" x14ac:dyDescent="0.3">
      <c r="A277" s="6" t="s">
        <v>1162</v>
      </c>
      <c r="B277" s="93" t="s">
        <v>1163</v>
      </c>
      <c r="C277" s="3" t="s">
        <v>988</v>
      </c>
      <c r="D277" s="3" t="s">
        <v>670</v>
      </c>
      <c r="E277" s="74" t="s">
        <v>1164</v>
      </c>
      <c r="F277" s="75">
        <v>0.11798126540520835</v>
      </c>
      <c r="G277" s="76">
        <v>24</v>
      </c>
      <c r="H277" s="39" t="s">
        <v>977</v>
      </c>
      <c r="I277" s="77">
        <v>9</v>
      </c>
      <c r="J277" s="78"/>
      <c r="K277" s="79">
        <f>J277*I277</f>
        <v>0</v>
      </c>
      <c r="L277" s="73"/>
      <c r="M277" s="73"/>
      <c r="N277" s="24" t="str">
        <f>IFERROR(IF($N$2*F277=0, "-", $N$2*F277), "-")</f>
        <v>-</v>
      </c>
      <c r="O277" s="24" t="str">
        <f>IFERROR(IF(N277&gt;0,I277+N277,"-"),"-")</f>
        <v>-</v>
      </c>
      <c r="P277" s="24" t="str">
        <f>IF(J277&gt;0,J277*F277, "-")</f>
        <v>-</v>
      </c>
      <c r="Q277" s="26" t="str">
        <f>IFERROR(IF($N$2&gt;0, $N$2*P277, "-"), "-")</f>
        <v>-</v>
      </c>
      <c r="R277" s="18"/>
      <c r="S277" s="26" t="str">
        <f>IFERROR(IF(Q277+K277=0, "-", IF(Q277&gt;0, Q277+K277, "-")), "-")</f>
        <v>-</v>
      </c>
    </row>
    <row r="278" spans="1:19" x14ac:dyDescent="0.3">
      <c r="A278" s="6" t="s">
        <v>827</v>
      </c>
      <c r="B278" s="93" t="s">
        <v>158</v>
      </c>
      <c r="C278" s="3" t="s">
        <v>1061</v>
      </c>
      <c r="D278" s="3" t="s">
        <v>828</v>
      </c>
      <c r="E278" s="74" t="s">
        <v>489</v>
      </c>
      <c r="F278" s="75">
        <v>0.11798126540520835</v>
      </c>
      <c r="G278" s="76">
        <v>24</v>
      </c>
      <c r="H278" s="39" t="s">
        <v>977</v>
      </c>
      <c r="I278" s="77">
        <v>26.400000000000002</v>
      </c>
      <c r="J278" s="78"/>
      <c r="K278" s="79">
        <f>J278*I278</f>
        <v>0</v>
      </c>
      <c r="L278" s="73"/>
      <c r="M278" s="73"/>
      <c r="N278" s="24" t="str">
        <f>IFERROR(IF($N$2*F278=0, "-", $N$2*F278), "-")</f>
        <v>-</v>
      </c>
      <c r="O278" s="24" t="str">
        <f>IFERROR(IF(N278&gt;0,I278+N278,"-"),"-")</f>
        <v>-</v>
      </c>
      <c r="P278" s="24" t="str">
        <f>IF(J278&gt;0,J278*F278, "-")</f>
        <v>-</v>
      </c>
      <c r="Q278" s="26" t="str">
        <f>IFERROR(IF($N$2&gt;0, $N$2*P278, "-"), "-")</f>
        <v>-</v>
      </c>
      <c r="R278" s="18"/>
      <c r="S278" s="26" t="str">
        <f>IFERROR(IF(Q278+K278=0, "-", IF(Q278&gt;0, Q278+K278, "-")), "-")</f>
        <v>-</v>
      </c>
    </row>
    <row r="279" spans="1:19" x14ac:dyDescent="0.3">
      <c r="A279" s="6" t="s">
        <v>830</v>
      </c>
      <c r="B279" s="93" t="s">
        <v>160</v>
      </c>
      <c r="C279" s="3" t="s">
        <v>1061</v>
      </c>
      <c r="D279" s="3" t="s">
        <v>831</v>
      </c>
      <c r="E279" s="74" t="s">
        <v>491</v>
      </c>
      <c r="F279" s="75">
        <v>0.19649243474758335</v>
      </c>
      <c r="G279" s="76">
        <v>12</v>
      </c>
      <c r="H279" s="39" t="s">
        <v>977</v>
      </c>
      <c r="I279" s="77">
        <v>37.875</v>
      </c>
      <c r="J279" s="78"/>
      <c r="K279" s="79">
        <f>J279*I279</f>
        <v>0</v>
      </c>
      <c r="L279" s="73"/>
      <c r="M279" s="73"/>
      <c r="N279" s="24" t="str">
        <f>IFERROR(IF($N$2*F279=0, "-", $N$2*F279), "-")</f>
        <v>-</v>
      </c>
      <c r="O279" s="24" t="str">
        <f>IFERROR(IF(N279&gt;0,I279+N279,"-"),"-")</f>
        <v>-</v>
      </c>
      <c r="P279" s="24" t="str">
        <f>IF(J279&gt;0,J279*F279, "-")</f>
        <v>-</v>
      </c>
      <c r="Q279" s="26" t="str">
        <f>IFERROR(IF($N$2&gt;0, $N$2*P279, "-"), "-")</f>
        <v>-</v>
      </c>
      <c r="R279" s="18"/>
      <c r="S279" s="26" t="str">
        <f>IFERROR(IF(Q279+K279=0, "-", IF(Q279&gt;0, Q279+K279, "-")), "-")</f>
        <v>-</v>
      </c>
    </row>
    <row r="280" spans="1:19" x14ac:dyDescent="0.3">
      <c r="A280" s="6" t="s">
        <v>832</v>
      </c>
      <c r="B280" s="93" t="s">
        <v>305</v>
      </c>
      <c r="C280" s="3" t="s">
        <v>1002</v>
      </c>
      <c r="D280" s="3" t="s">
        <v>811</v>
      </c>
      <c r="E280" s="74" t="s">
        <v>492</v>
      </c>
      <c r="F280" s="75">
        <v>0.127419766637625</v>
      </c>
      <c r="G280" s="76">
        <v>12</v>
      </c>
      <c r="H280" s="39" t="s">
        <v>977</v>
      </c>
      <c r="I280" s="77">
        <v>20.399999999999999</v>
      </c>
      <c r="J280" s="78"/>
      <c r="K280" s="79">
        <f>J280*I280</f>
        <v>0</v>
      </c>
      <c r="L280" s="73"/>
      <c r="M280" s="73"/>
      <c r="N280" s="24" t="str">
        <f>IFERROR(IF($N$2*F280=0, "-", $N$2*F280), "-")</f>
        <v>-</v>
      </c>
      <c r="O280" s="24" t="str">
        <f>IFERROR(IF(N280&gt;0,I280+N280,"-"),"-")</f>
        <v>-</v>
      </c>
      <c r="P280" s="24" t="str">
        <f>IF(J280&gt;0,J280*F280, "-")</f>
        <v>-</v>
      </c>
      <c r="Q280" s="26" t="str">
        <f>IFERROR(IF($N$2&gt;0, $N$2*P280, "-"), "-")</f>
        <v>-</v>
      </c>
      <c r="R280" s="18"/>
      <c r="S280" s="26" t="str">
        <f>IFERROR(IF(Q280+K280=0, "-", IF(Q280&gt;0, Q280+K280, "-")), "-")</f>
        <v>-</v>
      </c>
    </row>
    <row r="281" spans="1:19" x14ac:dyDescent="0.3">
      <c r="A281" s="6" t="s">
        <v>835</v>
      </c>
      <c r="B281" s="93" t="s">
        <v>282</v>
      </c>
      <c r="C281" s="3" t="s">
        <v>1016</v>
      </c>
      <c r="D281" s="3" t="s">
        <v>649</v>
      </c>
      <c r="E281" s="74" t="s">
        <v>495</v>
      </c>
      <c r="F281" s="75">
        <v>0.16948545053937294</v>
      </c>
      <c r="G281" s="76">
        <v>24</v>
      </c>
      <c r="H281" s="39" t="s">
        <v>977</v>
      </c>
      <c r="I281" s="77">
        <v>19.200000000000003</v>
      </c>
      <c r="J281" s="78"/>
      <c r="K281" s="79">
        <f>J281*I281</f>
        <v>0</v>
      </c>
      <c r="L281" s="73"/>
      <c r="M281" s="73"/>
      <c r="N281" s="24" t="str">
        <f>IFERROR(IF($N$2*F281=0, "-", $N$2*F281), "-")</f>
        <v>-</v>
      </c>
      <c r="O281" s="24" t="str">
        <f>IFERROR(IF(N281&gt;0,I281+N281,"-"),"-")</f>
        <v>-</v>
      </c>
      <c r="P281" s="24" t="str">
        <f>IF(J281&gt;0,J281*F281, "-")</f>
        <v>-</v>
      </c>
      <c r="Q281" s="26" t="str">
        <f>IFERROR(IF($N$2&gt;0, $N$2*P281, "-"), "-")</f>
        <v>-</v>
      </c>
      <c r="R281" s="18"/>
      <c r="S281" s="26" t="str">
        <f>IFERROR(IF(Q281+K281=0, "-", IF(Q281&gt;0, Q281+K281, "-")), "-")</f>
        <v>-</v>
      </c>
    </row>
    <row r="282" spans="1:19" x14ac:dyDescent="0.3">
      <c r="A282" s="6" t="s">
        <v>836</v>
      </c>
      <c r="B282" s="93" t="s">
        <v>162</v>
      </c>
      <c r="C282" s="3" t="s">
        <v>1067</v>
      </c>
      <c r="D282" s="3" t="s">
        <v>664</v>
      </c>
      <c r="E282" s="74" t="s">
        <v>496</v>
      </c>
      <c r="F282" s="75">
        <v>8.7520647791500011E-2</v>
      </c>
      <c r="G282" s="76">
        <v>24</v>
      </c>
      <c r="H282" s="39" t="s">
        <v>977</v>
      </c>
      <c r="I282" s="77">
        <v>14.399999999999999</v>
      </c>
      <c r="J282" s="78"/>
      <c r="K282" s="79">
        <f>J282*I282</f>
        <v>0</v>
      </c>
      <c r="L282" s="73"/>
      <c r="M282" s="73"/>
      <c r="N282" s="24" t="str">
        <f>IFERROR(IF($N$2*F282=0, "-", $N$2*F282), "-")</f>
        <v>-</v>
      </c>
      <c r="O282" s="24" t="str">
        <f>IFERROR(IF(N282&gt;0,I282+N282,"-"),"-")</f>
        <v>-</v>
      </c>
      <c r="P282" s="24" t="str">
        <f>IF(J282&gt;0,J282*F282, "-")</f>
        <v>-</v>
      </c>
      <c r="Q282" s="26" t="str">
        <f>IFERROR(IF($N$2&gt;0, $N$2*P282, "-"), "-")</f>
        <v>-</v>
      </c>
      <c r="R282" s="18"/>
      <c r="S282" s="26" t="str">
        <f>IFERROR(IF(Q282+K282=0, "-", IF(Q282&gt;0, Q282+K282, "-")), "-")</f>
        <v>-</v>
      </c>
    </row>
    <row r="283" spans="1:19" x14ac:dyDescent="0.3">
      <c r="A283" s="6" t="s">
        <v>1165</v>
      </c>
      <c r="B283" s="93" t="s">
        <v>1166</v>
      </c>
      <c r="C283" s="3" t="s">
        <v>1076</v>
      </c>
      <c r="D283" s="3" t="s">
        <v>743</v>
      </c>
      <c r="E283" s="74" t="s">
        <v>1167</v>
      </c>
      <c r="F283" s="75">
        <v>6.1779280794000004E-2</v>
      </c>
      <c r="G283" s="76">
        <v>24</v>
      </c>
      <c r="H283" s="39" t="s">
        <v>977</v>
      </c>
      <c r="I283" s="77">
        <v>7.1999999999999993</v>
      </c>
      <c r="J283" s="78"/>
      <c r="K283" s="79">
        <f>J283*I283</f>
        <v>0</v>
      </c>
      <c r="L283" s="73"/>
      <c r="M283" s="73"/>
      <c r="N283" s="24" t="str">
        <f>IFERROR(IF($N$2*F283=0, "-", $N$2*F283), "-")</f>
        <v>-</v>
      </c>
      <c r="O283" s="24" t="str">
        <f>IFERROR(IF(N283&gt;0,I283+N283,"-"),"-")</f>
        <v>-</v>
      </c>
      <c r="P283" s="24" t="str">
        <f>IF(J283&gt;0,J283*F283, "-")</f>
        <v>-</v>
      </c>
      <c r="Q283" s="26" t="str">
        <f>IFERROR(IF($N$2&gt;0, $N$2*P283, "-"), "-")</f>
        <v>-</v>
      </c>
      <c r="R283" s="18"/>
      <c r="S283" s="26" t="str">
        <f>IFERROR(IF(Q283+K283=0, "-", IF(Q283&gt;0, Q283+K283, "-")), "-")</f>
        <v>-</v>
      </c>
    </row>
    <row r="284" spans="1:19" x14ac:dyDescent="0.3">
      <c r="A284" s="6" t="s">
        <v>328</v>
      </c>
      <c r="B284" s="93" t="s">
        <v>171</v>
      </c>
      <c r="C284" s="3" t="s">
        <v>1040</v>
      </c>
      <c r="D284" s="3" t="s">
        <v>664</v>
      </c>
      <c r="E284" s="74" t="s">
        <v>508</v>
      </c>
      <c r="F284" s="75">
        <v>5.6750000000000002E-2</v>
      </c>
      <c r="G284" s="76">
        <v>24</v>
      </c>
      <c r="H284" s="39" t="s">
        <v>977</v>
      </c>
      <c r="I284" s="77">
        <v>30.599999999999998</v>
      </c>
      <c r="J284" s="78"/>
      <c r="K284" s="79">
        <v>0</v>
      </c>
      <c r="L284" s="73"/>
      <c r="M284" s="73"/>
      <c r="N284" s="24" t="str">
        <f>IFERROR(IF($N$2*F284=0, "-", $N$2*F284), "-")</f>
        <v>-</v>
      </c>
      <c r="O284" s="24" t="str">
        <f>IFERROR(IF(N284&gt;0,I284+N284,"-"),"-")</f>
        <v>-</v>
      </c>
      <c r="P284" s="24" t="str">
        <f>IF(J284&gt;0,J284*F284, "-")</f>
        <v>-</v>
      </c>
      <c r="Q284" s="26" t="str">
        <f>IFERROR(IF($N$2&gt;0, $N$2*P284, "-"), "-")</f>
        <v>-</v>
      </c>
      <c r="R284" s="18"/>
      <c r="S284" s="26" t="str">
        <f>IFERROR(IF(Q284+K284=0, "-", IF(Q284&gt;0, Q284+K284, "-")), "-")</f>
        <v>-</v>
      </c>
    </row>
    <row r="285" spans="1:19" x14ac:dyDescent="0.3">
      <c r="A285" s="6" t="s">
        <v>848</v>
      </c>
      <c r="B285" s="93" t="s">
        <v>172</v>
      </c>
      <c r="C285" s="3" t="s">
        <v>1003</v>
      </c>
      <c r="D285" s="3" t="s">
        <v>645</v>
      </c>
      <c r="E285" s="74" t="s">
        <v>509</v>
      </c>
      <c r="F285" s="75">
        <v>0.12485</v>
      </c>
      <c r="G285" s="76">
        <v>24</v>
      </c>
      <c r="H285" s="39" t="s">
        <v>977</v>
      </c>
      <c r="I285" s="77">
        <v>22.799999999999997</v>
      </c>
      <c r="J285" s="78"/>
      <c r="K285" s="79">
        <v>0</v>
      </c>
      <c r="L285" s="73"/>
      <c r="M285" s="73"/>
      <c r="N285" s="24" t="str">
        <f>IFERROR(IF($N$2*F285=0, "-", $N$2*F285), "-")</f>
        <v>-</v>
      </c>
      <c r="O285" s="24" t="str">
        <f>IFERROR(IF(N285&gt;0,I285+N285,"-"),"-")</f>
        <v>-</v>
      </c>
      <c r="P285" s="24" t="str">
        <f>IF(J285&gt;0,J285*F285, "-")</f>
        <v>-</v>
      </c>
      <c r="Q285" s="26" t="str">
        <f>IFERROR(IF($N$2&gt;0, $N$2*P285, "-"), "-")</f>
        <v>-</v>
      </c>
      <c r="R285" s="18"/>
      <c r="S285" s="26" t="str">
        <f>IFERROR(IF(Q285+K285=0, "-", IF(Q285&gt;0, Q285+K285, "-")), "-")</f>
        <v>-</v>
      </c>
    </row>
    <row r="286" spans="1:19" x14ac:dyDescent="0.3">
      <c r="A286" s="6" t="s">
        <v>850</v>
      </c>
      <c r="B286" s="93" t="s">
        <v>174</v>
      </c>
      <c r="C286" s="3" t="s">
        <v>1099</v>
      </c>
      <c r="D286" s="3" t="s">
        <v>649</v>
      </c>
      <c r="E286" s="74" t="s">
        <v>511</v>
      </c>
      <c r="F286" s="75">
        <v>1.0124937685683335</v>
      </c>
      <c r="G286" s="76">
        <v>12</v>
      </c>
      <c r="H286" s="39" t="s">
        <v>977</v>
      </c>
      <c r="I286" s="77">
        <v>22.950000000000003</v>
      </c>
      <c r="J286" s="78"/>
      <c r="K286" s="79">
        <f>J286*I286</f>
        <v>0</v>
      </c>
      <c r="L286" s="73"/>
      <c r="M286" s="73"/>
      <c r="N286" s="24" t="str">
        <f>IFERROR(IF($N$2*F286=0, "-", $N$2*F286), "-")</f>
        <v>-</v>
      </c>
      <c r="O286" s="24" t="str">
        <f>IFERROR(IF(N286&gt;0,I286+N286,"-"),"-")</f>
        <v>-</v>
      </c>
      <c r="P286" s="24" t="str">
        <f>IF(J286&gt;0,J286*F286, "-")</f>
        <v>-</v>
      </c>
      <c r="Q286" s="26" t="str">
        <f>IFERROR(IF($N$2&gt;0, $N$2*P286, "-"), "-")</f>
        <v>-</v>
      </c>
      <c r="R286" s="18"/>
      <c r="S286" s="26" t="str">
        <f>IFERROR(IF(Q286+K286=0, "-", IF(Q286&gt;0, Q286+K286, "-")), "-")</f>
        <v>-</v>
      </c>
    </row>
    <row r="287" spans="1:19" x14ac:dyDescent="0.3">
      <c r="A287" s="6" t="s">
        <v>851</v>
      </c>
      <c r="B287" s="93" t="s">
        <v>175</v>
      </c>
      <c r="C287" s="3" t="s">
        <v>1002</v>
      </c>
      <c r="D287" s="3" t="s">
        <v>681</v>
      </c>
      <c r="E287" s="74" t="s">
        <v>512</v>
      </c>
      <c r="F287" s="75">
        <v>0.10214999999999999</v>
      </c>
      <c r="G287" s="76">
        <v>24</v>
      </c>
      <c r="H287" s="39" t="s">
        <v>977</v>
      </c>
      <c r="I287" s="77">
        <v>18.600000000000001</v>
      </c>
      <c r="J287" s="78"/>
      <c r="K287" s="79">
        <f>J287*I287</f>
        <v>0</v>
      </c>
      <c r="L287" s="73"/>
      <c r="M287" s="73"/>
      <c r="N287" s="24" t="str">
        <f>IFERROR(IF($N$2*F287=0, "-", $N$2*F287), "-")</f>
        <v>-</v>
      </c>
      <c r="O287" s="24" t="str">
        <f>IFERROR(IF(N287&gt;0,I287+N287,"-"),"-")</f>
        <v>-</v>
      </c>
      <c r="P287" s="24" t="str">
        <f>IF(J287&gt;0,J287*F287, "-")</f>
        <v>-</v>
      </c>
      <c r="Q287" s="26" t="str">
        <f>IFERROR(IF($N$2&gt;0, $N$2*P287, "-"), "-")</f>
        <v>-</v>
      </c>
      <c r="R287" s="18"/>
      <c r="S287" s="26" t="str">
        <f>IFERROR(IF(Q287+K287=0, "-", IF(Q287&gt;0, Q287+K287, "-")), "-")</f>
        <v>-</v>
      </c>
    </row>
    <row r="288" spans="1:19" x14ac:dyDescent="0.3">
      <c r="A288" s="6" t="s">
        <v>852</v>
      </c>
      <c r="B288" s="93" t="s">
        <v>176</v>
      </c>
      <c r="C288" s="3" t="s">
        <v>1089</v>
      </c>
      <c r="D288" s="3" t="s">
        <v>643</v>
      </c>
      <c r="E288" s="74" t="s">
        <v>513</v>
      </c>
      <c r="F288" s="75">
        <v>0.10596862747304168</v>
      </c>
      <c r="G288" s="76">
        <v>24</v>
      </c>
      <c r="H288" s="39" t="s">
        <v>977</v>
      </c>
      <c r="I288" s="77">
        <v>31.5</v>
      </c>
      <c r="J288" s="78"/>
      <c r="K288" s="79">
        <f>J288*I288</f>
        <v>0</v>
      </c>
      <c r="L288" s="73"/>
      <c r="M288" s="73"/>
      <c r="N288" s="24" t="str">
        <f>IFERROR(IF($N$2*F288=0, "-", $N$2*F288), "-")</f>
        <v>-</v>
      </c>
      <c r="O288" s="24" t="str">
        <f>IFERROR(IF(N288&gt;0,I288+N288,"-"),"-")</f>
        <v>-</v>
      </c>
      <c r="P288" s="24" t="str">
        <f>IF(J288&gt;0,J288*F288, "-")</f>
        <v>-</v>
      </c>
      <c r="Q288" s="26" t="str">
        <f>IFERROR(IF($N$2&gt;0, $N$2*P288, "-"), "-")</f>
        <v>-</v>
      </c>
      <c r="R288" s="18"/>
      <c r="S288" s="26" t="str">
        <f>IFERROR(IF(Q288+K288=0, "-", IF(Q288&gt;0, Q288+K288, "-")), "-")</f>
        <v>-</v>
      </c>
    </row>
    <row r="289" spans="1:19" x14ac:dyDescent="0.3">
      <c r="A289" s="6" t="s">
        <v>1168</v>
      </c>
      <c r="B289" s="93" t="s">
        <v>1169</v>
      </c>
      <c r="C289" s="3" t="s">
        <v>1003</v>
      </c>
      <c r="D289" s="80" t="s">
        <v>664</v>
      </c>
      <c r="E289" s="74" t="s">
        <v>1170</v>
      </c>
      <c r="F289" s="75">
        <v>0.17024999999999998</v>
      </c>
      <c r="G289" s="30">
        <v>24</v>
      </c>
      <c r="H289" s="39" t="s">
        <v>977</v>
      </c>
      <c r="I289" s="77">
        <v>26.400000000000002</v>
      </c>
      <c r="J289" s="78"/>
      <c r="K289" s="79">
        <f>J289*I289</f>
        <v>0</v>
      </c>
      <c r="L289" s="73"/>
      <c r="M289" s="73"/>
      <c r="N289" s="24" t="str">
        <f>IFERROR(IF($N$2*F289=0, "-", $N$2*F289), "-")</f>
        <v>-</v>
      </c>
      <c r="O289" s="24" t="str">
        <f>IFERROR(IF(N289&gt;0,I289+N289,"-"),"-")</f>
        <v>-</v>
      </c>
      <c r="P289" s="24" t="str">
        <f>IF(J289&gt;0,J289*F289, "-")</f>
        <v>-</v>
      </c>
      <c r="Q289" s="26" t="str">
        <f>IFERROR(IF($N$2&gt;0, $N$2*P289, "-"), "-")</f>
        <v>-</v>
      </c>
      <c r="R289" s="18"/>
      <c r="S289" s="26" t="str">
        <f>IFERROR(IF(Q289+K289=0, "-", IF(Q289&gt;0, Q289+K289, "-")), "-")</f>
        <v>-</v>
      </c>
    </row>
    <row r="290" spans="1:19" x14ac:dyDescent="0.3">
      <c r="A290" s="6" t="s">
        <v>1171</v>
      </c>
      <c r="B290" s="93" t="s">
        <v>1172</v>
      </c>
      <c r="C290" s="3" t="s">
        <v>1102</v>
      </c>
      <c r="D290" s="80" t="s">
        <v>782</v>
      </c>
      <c r="E290" s="74" t="s">
        <v>1173</v>
      </c>
      <c r="F290" s="75">
        <v>6.1779280794000004E-2</v>
      </c>
      <c r="G290" s="30">
        <v>24</v>
      </c>
      <c r="H290" s="39" t="s">
        <v>977</v>
      </c>
      <c r="I290" s="77">
        <v>7.8000000000000007</v>
      </c>
      <c r="J290" s="78"/>
      <c r="K290" s="79">
        <f>J290*I290</f>
        <v>0</v>
      </c>
      <c r="L290" s="73"/>
      <c r="M290" s="73"/>
      <c r="N290" s="24" t="str">
        <f>IFERROR(IF($N$2*F290=0, "-", $N$2*F290), "-")</f>
        <v>-</v>
      </c>
      <c r="O290" s="24" t="str">
        <f>IFERROR(IF(N290&gt;0,I290+N290,"-"),"-")</f>
        <v>-</v>
      </c>
      <c r="P290" s="24" t="str">
        <f>IF(J290&gt;0,J290*F290, "-")</f>
        <v>-</v>
      </c>
      <c r="Q290" s="26" t="str">
        <f>IFERROR(IF($N$2&gt;0, $N$2*P290, "-"), "-")</f>
        <v>-</v>
      </c>
      <c r="R290" s="18"/>
      <c r="S290" s="26" t="str">
        <f>IFERROR(IF(Q290+K290=0, "-", IF(Q290&gt;0, Q290+K290, "-")), "-")</f>
        <v>-</v>
      </c>
    </row>
    <row r="291" spans="1:19" x14ac:dyDescent="0.3">
      <c r="A291" s="6" t="s">
        <v>1174</v>
      </c>
      <c r="B291" s="93" t="s">
        <v>1175</v>
      </c>
      <c r="C291" s="3" t="s">
        <v>1176</v>
      </c>
      <c r="D291" s="80" t="s">
        <v>730</v>
      </c>
      <c r="E291" s="74" t="s">
        <v>1177</v>
      </c>
      <c r="F291" s="75">
        <v>4.0542653021062504E-2</v>
      </c>
      <c r="G291" s="30">
        <v>24</v>
      </c>
      <c r="H291" s="39" t="s">
        <v>977</v>
      </c>
      <c r="I291" s="77">
        <v>14.399999999999999</v>
      </c>
      <c r="J291" s="78"/>
      <c r="K291" s="79">
        <f>J291*I291</f>
        <v>0</v>
      </c>
      <c r="L291" s="73"/>
      <c r="M291" s="73"/>
      <c r="N291" s="24" t="str">
        <f>IFERROR(IF($N$2*F291=0, "-", $N$2*F291), "-")</f>
        <v>-</v>
      </c>
      <c r="O291" s="24" t="str">
        <f>IFERROR(IF(N291&gt;0,I291+N291,"-"),"-")</f>
        <v>-</v>
      </c>
      <c r="P291" s="24" t="str">
        <f>IF(J291&gt;0,J291*F291, "-")</f>
        <v>-</v>
      </c>
      <c r="Q291" s="26" t="str">
        <f>IFERROR(IF($N$2&gt;0, $N$2*P291, "-"), "-")</f>
        <v>-</v>
      </c>
      <c r="R291" s="18"/>
      <c r="S291" s="26" t="str">
        <f>IFERROR(IF(Q291+K291=0, "-", IF(Q291&gt;0, Q291+K291, "-")), "-")</f>
        <v>-</v>
      </c>
    </row>
    <row r="292" spans="1:19" x14ac:dyDescent="0.3">
      <c r="A292" s="6" t="s">
        <v>864</v>
      </c>
      <c r="B292" s="93" t="s">
        <v>186</v>
      </c>
      <c r="C292" s="3" t="s">
        <v>1040</v>
      </c>
      <c r="D292" s="80" t="s">
        <v>664</v>
      </c>
      <c r="E292" s="74" t="s">
        <v>524</v>
      </c>
      <c r="F292" s="75">
        <v>5.1482733994999995E-2</v>
      </c>
      <c r="G292" s="30">
        <v>24</v>
      </c>
      <c r="H292" s="39" t="s">
        <v>977</v>
      </c>
      <c r="I292" s="77">
        <v>35.775000000000006</v>
      </c>
      <c r="J292" s="78"/>
      <c r="K292" s="79">
        <f>J292*I292</f>
        <v>0</v>
      </c>
      <c r="L292" s="73"/>
      <c r="M292" s="73"/>
      <c r="N292" s="24" t="str">
        <f>IFERROR(IF($N$2*F292=0, "-", $N$2*F292), "-")</f>
        <v>-</v>
      </c>
      <c r="O292" s="24" t="str">
        <f>IFERROR(IF(N292&gt;0,I292+N292,"-"),"-")</f>
        <v>-</v>
      </c>
      <c r="P292" s="24" t="str">
        <f>IF(J292&gt;0,J292*F292, "-")</f>
        <v>-</v>
      </c>
      <c r="Q292" s="26" t="str">
        <f>IFERROR(IF($N$2&gt;0, $N$2*P292, "-"), "-")</f>
        <v>-</v>
      </c>
      <c r="R292" s="18"/>
      <c r="S292" s="26" t="str">
        <f>IFERROR(IF(Q292+K292=0, "-", IF(Q292&gt;0, Q292+K292, "-")), "-")</f>
        <v>-</v>
      </c>
    </row>
    <row r="293" spans="1:19" x14ac:dyDescent="0.3">
      <c r="A293" s="6" t="s">
        <v>866</v>
      </c>
      <c r="B293" s="93" t="s">
        <v>188</v>
      </c>
      <c r="C293" s="3" t="s">
        <v>1067</v>
      </c>
      <c r="D293" s="80" t="s">
        <v>670</v>
      </c>
      <c r="E293" s="74" t="s">
        <v>526</v>
      </c>
      <c r="F293" s="75">
        <v>0.10214999999999999</v>
      </c>
      <c r="G293" s="30">
        <v>24</v>
      </c>
      <c r="H293" s="39" t="s">
        <v>977</v>
      </c>
      <c r="I293" s="77">
        <v>24</v>
      </c>
      <c r="J293" s="78"/>
      <c r="K293" s="79">
        <f>J293*I293</f>
        <v>0</v>
      </c>
      <c r="L293" s="73"/>
      <c r="M293" s="73"/>
      <c r="N293" s="24" t="str">
        <f>IFERROR(IF($N$2*F293=0, "-", $N$2*F293), "-")</f>
        <v>-</v>
      </c>
      <c r="O293" s="24" t="str">
        <f>IFERROR(IF(N293&gt;0,I293+N293,"-"),"-")</f>
        <v>-</v>
      </c>
      <c r="P293" s="24" t="str">
        <f>IF(J293&gt;0,J293*F293, "-")</f>
        <v>-</v>
      </c>
      <c r="Q293" s="26" t="str">
        <f>IFERROR(IF($N$2&gt;0, $N$2*P293, "-"), "-")</f>
        <v>-</v>
      </c>
      <c r="R293" s="18"/>
      <c r="S293" s="26" t="str">
        <f>IFERROR(IF(Q293+K293=0, "-", IF(Q293&gt;0, Q293+K293, "-")), "-")</f>
        <v>-</v>
      </c>
    </row>
    <row r="294" spans="1:19" x14ac:dyDescent="0.3">
      <c r="A294" s="6" t="s">
        <v>869</v>
      </c>
      <c r="B294" s="93" t="s">
        <v>191</v>
      </c>
      <c r="C294" s="3" t="s">
        <v>1040</v>
      </c>
      <c r="D294" s="80" t="s">
        <v>652</v>
      </c>
      <c r="E294" s="74" t="s">
        <v>529</v>
      </c>
      <c r="F294" s="75">
        <v>5.2619644370722925E-2</v>
      </c>
      <c r="G294" s="30">
        <v>24</v>
      </c>
      <c r="H294" s="39" t="s">
        <v>977</v>
      </c>
      <c r="I294" s="77">
        <v>27.599999999999998</v>
      </c>
      <c r="J294" s="78"/>
      <c r="K294" s="79">
        <f>J294*I294</f>
        <v>0</v>
      </c>
      <c r="L294" s="73"/>
      <c r="M294" s="73"/>
      <c r="N294" s="24" t="str">
        <f>IFERROR(IF($N$2*F294=0, "-", $N$2*F294), "-")</f>
        <v>-</v>
      </c>
      <c r="O294" s="24" t="str">
        <f>IFERROR(IF(N294&gt;0,I294+N294,"-"),"-")</f>
        <v>-</v>
      </c>
      <c r="P294" s="24" t="str">
        <f>IF(J294&gt;0,J294*F294, "-")</f>
        <v>-</v>
      </c>
      <c r="Q294" s="26" t="str">
        <f>IFERROR(IF($N$2&gt;0, $N$2*P294, "-"), "-")</f>
        <v>-</v>
      </c>
      <c r="R294" s="18"/>
      <c r="S294" s="26" t="str">
        <f>IFERROR(IF(Q294+K294=0, "-", IF(Q294&gt;0, Q294+K294, "-")), "-")</f>
        <v>-</v>
      </c>
    </row>
    <row r="295" spans="1:19" x14ac:dyDescent="0.3">
      <c r="A295" s="6" t="s">
        <v>1178</v>
      </c>
      <c r="B295" s="93" t="s">
        <v>1179</v>
      </c>
      <c r="C295" s="3" t="s">
        <v>1180</v>
      </c>
      <c r="D295" s="80" t="s">
        <v>719</v>
      </c>
      <c r="E295" s="74" t="s">
        <v>1181</v>
      </c>
      <c r="F295" s="75">
        <v>0.32605731530166665</v>
      </c>
      <c r="G295" s="30">
        <v>12</v>
      </c>
      <c r="H295" s="39" t="s">
        <v>977</v>
      </c>
      <c r="I295" s="77">
        <v>13.200000000000001</v>
      </c>
      <c r="J295" s="78"/>
      <c r="K295" s="79">
        <f>J295*I295</f>
        <v>0</v>
      </c>
      <c r="L295" s="73"/>
      <c r="M295" s="73"/>
      <c r="N295" s="24" t="str">
        <f>IFERROR(IF($N$2*F295=0, "-", $N$2*F295), "-")</f>
        <v>-</v>
      </c>
      <c r="O295" s="24" t="str">
        <f>IFERROR(IF(N295&gt;0,I295+N295,"-"),"-")</f>
        <v>-</v>
      </c>
      <c r="P295" s="24" t="str">
        <f>IF(J295&gt;0,J295*F295, "-")</f>
        <v>-</v>
      </c>
      <c r="Q295" s="26" t="str">
        <f>IFERROR(IF($N$2&gt;0, $N$2*P295, "-"), "-")</f>
        <v>-</v>
      </c>
      <c r="R295" s="18"/>
      <c r="S295" s="26" t="str">
        <f>IFERROR(IF(Q295+K295=0, "-", IF(Q295&gt;0, Q295+K295, "-")), "-")</f>
        <v>-</v>
      </c>
    </row>
    <row r="296" spans="1:19" x14ac:dyDescent="0.3">
      <c r="A296" s="6" t="s">
        <v>870</v>
      </c>
      <c r="B296" s="93" t="s">
        <v>192</v>
      </c>
      <c r="C296" s="3" t="s">
        <v>1075</v>
      </c>
      <c r="D296" s="80" t="s">
        <v>749</v>
      </c>
      <c r="E296" s="74" t="s">
        <v>530</v>
      </c>
      <c r="F296" s="75">
        <v>6.3731334457977087E-2</v>
      </c>
      <c r="G296" s="30">
        <v>24</v>
      </c>
      <c r="H296" s="39" t="s">
        <v>977</v>
      </c>
      <c r="I296" s="77">
        <v>24</v>
      </c>
      <c r="J296" s="78"/>
      <c r="K296" s="79">
        <f>J296*I296</f>
        <v>0</v>
      </c>
      <c r="L296" s="73"/>
      <c r="M296" s="73"/>
      <c r="N296" s="24" t="str">
        <f>IFERROR(IF($N$2*F296=0, "-", $N$2*F296), "-")</f>
        <v>-</v>
      </c>
      <c r="O296" s="24" t="str">
        <f>IFERROR(IF(N296&gt;0,I296+N296,"-"),"-")</f>
        <v>-</v>
      </c>
      <c r="P296" s="24" t="str">
        <f>IF(J296&gt;0,J296*F296, "-")</f>
        <v>-</v>
      </c>
      <c r="Q296" s="26" t="str">
        <f>IFERROR(IF($N$2&gt;0, $N$2*P296, "-"), "-")</f>
        <v>-</v>
      </c>
      <c r="R296" s="18"/>
      <c r="S296" s="26" t="str">
        <f>IFERROR(IF(Q296+K296=0, "-", IF(Q296&gt;0, Q296+K296, "-")), "-")</f>
        <v>-</v>
      </c>
    </row>
    <row r="297" spans="1:19" x14ac:dyDescent="0.3">
      <c r="A297" s="6" t="s">
        <v>1182</v>
      </c>
      <c r="B297" s="93" t="s">
        <v>1183</v>
      </c>
      <c r="C297" s="3" t="s">
        <v>1184</v>
      </c>
      <c r="D297" s="80" t="s">
        <v>643</v>
      </c>
      <c r="E297" s="74" t="s">
        <v>1185</v>
      </c>
      <c r="F297" s="75">
        <v>0.7507898707604167</v>
      </c>
      <c r="G297" s="30">
        <v>12</v>
      </c>
      <c r="H297" s="39" t="s">
        <v>977</v>
      </c>
      <c r="I297" s="77">
        <v>22.754999999999999</v>
      </c>
      <c r="J297" s="78"/>
      <c r="K297" s="79">
        <f>J297*I297</f>
        <v>0</v>
      </c>
      <c r="L297" s="73"/>
      <c r="M297" s="73"/>
      <c r="N297" s="24" t="str">
        <f>IFERROR(IF($N$2*F297=0, "-", $N$2*F297), "-")</f>
        <v>-</v>
      </c>
      <c r="O297" s="24" t="str">
        <f>IFERROR(IF(N297&gt;0,I297+N297,"-"),"-")</f>
        <v>-</v>
      </c>
      <c r="P297" s="24" t="str">
        <f>IF(J297&gt;0,J297*F297, "-")</f>
        <v>-</v>
      </c>
      <c r="Q297" s="26" t="str">
        <f>IFERROR(IF($N$2&gt;0, $N$2*P297, "-"), "-")</f>
        <v>-</v>
      </c>
      <c r="R297" s="18"/>
      <c r="S297" s="26" t="str">
        <f>IFERROR(IF(Q297+K297=0, "-", IF(Q297&gt;0, Q297+K297, "-")), "-")</f>
        <v>-</v>
      </c>
    </row>
    <row r="298" spans="1:19" x14ac:dyDescent="0.3">
      <c r="A298" s="6" t="s">
        <v>871</v>
      </c>
      <c r="B298" s="93" t="s">
        <v>193</v>
      </c>
      <c r="C298" s="3" t="s">
        <v>1100</v>
      </c>
      <c r="D298" s="80" t="s">
        <v>872</v>
      </c>
      <c r="E298" s="74" t="s">
        <v>531</v>
      </c>
      <c r="F298" s="75">
        <v>0.18233468289895832</v>
      </c>
      <c r="G298" s="30">
        <v>24</v>
      </c>
      <c r="H298" s="39" t="s">
        <v>977</v>
      </c>
      <c r="I298" s="77">
        <v>36</v>
      </c>
      <c r="J298" s="78"/>
      <c r="K298" s="79">
        <f>J298*I298</f>
        <v>0</v>
      </c>
      <c r="L298" s="73"/>
      <c r="M298" s="73"/>
      <c r="N298" s="24" t="str">
        <f>IFERROR(IF($N$2*F298=0, "-", $N$2*F298), "-")</f>
        <v>-</v>
      </c>
      <c r="O298" s="24" t="str">
        <f>IFERROR(IF(N298&gt;0,I298+N298,"-"),"-")</f>
        <v>-</v>
      </c>
      <c r="P298" s="24" t="str">
        <f>IF(J298&gt;0,J298*F298, "-")</f>
        <v>-</v>
      </c>
      <c r="Q298" s="26" t="str">
        <f>IFERROR(IF($N$2&gt;0, $N$2*P298, "-"), "-")</f>
        <v>-</v>
      </c>
      <c r="R298" s="18"/>
      <c r="S298" s="26" t="str">
        <f>IFERROR(IF(Q298+K298=0, "-", IF(Q298&gt;0, Q298+K298, "-")), "-")</f>
        <v>-</v>
      </c>
    </row>
    <row r="299" spans="1:19" x14ac:dyDescent="0.3">
      <c r="A299" s="6" t="s">
        <v>880</v>
      </c>
      <c r="B299" s="93" t="s">
        <v>199</v>
      </c>
      <c r="C299" s="3" t="s">
        <v>1101</v>
      </c>
      <c r="D299" s="80" t="s">
        <v>738</v>
      </c>
      <c r="E299" s="74" t="s">
        <v>539</v>
      </c>
      <c r="F299" s="75">
        <v>0.15890000000000001</v>
      </c>
      <c r="G299" s="30">
        <v>24</v>
      </c>
      <c r="H299" s="39" t="s">
        <v>977</v>
      </c>
      <c r="I299" s="77">
        <v>29.700000000000003</v>
      </c>
      <c r="J299" s="78"/>
      <c r="K299" s="79">
        <f>J299*I299</f>
        <v>0</v>
      </c>
      <c r="L299" s="73"/>
      <c r="M299" s="73"/>
      <c r="N299" s="24" t="str">
        <f>IFERROR(IF($N$2*F299=0, "-", $N$2*F299), "-")</f>
        <v>-</v>
      </c>
      <c r="O299" s="24" t="str">
        <f>IFERROR(IF(N299&gt;0,I299+N299,"-"),"-")</f>
        <v>-</v>
      </c>
      <c r="P299" s="24" t="str">
        <f>IF(J299&gt;0,J299*F299, "-")</f>
        <v>-</v>
      </c>
      <c r="Q299" s="26" t="str">
        <f>IFERROR(IF($N$2&gt;0, $N$2*P299, "-"), "-")</f>
        <v>-</v>
      </c>
      <c r="R299" s="18"/>
      <c r="S299" s="26" t="str">
        <f>IFERROR(IF(Q299+K299=0, "-", IF(Q299&gt;0, Q299+K299, "-")), "-")</f>
        <v>-</v>
      </c>
    </row>
    <row r="300" spans="1:19" x14ac:dyDescent="0.3">
      <c r="A300" s="6" t="s">
        <v>881</v>
      </c>
      <c r="B300" s="93" t="s">
        <v>200</v>
      </c>
      <c r="C300" s="3" t="s">
        <v>1102</v>
      </c>
      <c r="D300" s="80" t="s">
        <v>749</v>
      </c>
      <c r="E300" s="74" t="s">
        <v>540</v>
      </c>
      <c r="F300" s="75">
        <v>0.23081425741091671</v>
      </c>
      <c r="G300" s="30">
        <v>24</v>
      </c>
      <c r="H300" s="39" t="s">
        <v>977</v>
      </c>
      <c r="I300" s="77">
        <v>12.600000000000001</v>
      </c>
      <c r="J300" s="78"/>
      <c r="K300" s="79">
        <f>J300*I300</f>
        <v>0</v>
      </c>
      <c r="L300" s="73"/>
      <c r="M300" s="73"/>
      <c r="N300" s="24" t="str">
        <f>IFERROR(IF($N$2*F300=0, "-", $N$2*F300), "-")</f>
        <v>-</v>
      </c>
      <c r="O300" s="24" t="str">
        <f>IFERROR(IF(N300&gt;0,I300+N300,"-"),"-")</f>
        <v>-</v>
      </c>
      <c r="P300" s="24" t="str">
        <f>IF(J300&gt;0,J300*F300, "-")</f>
        <v>-</v>
      </c>
      <c r="Q300" s="26" t="str">
        <f>IFERROR(IF($N$2&gt;0, $N$2*P300, "-"), "-")</f>
        <v>-</v>
      </c>
      <c r="R300" s="18"/>
      <c r="S300" s="26" t="str">
        <f>IFERROR(IF(Q300+K300=0, "-", IF(Q300&gt;0, Q300+K300, "-")), "-")</f>
        <v>-</v>
      </c>
    </row>
    <row r="301" spans="1:19" x14ac:dyDescent="0.3">
      <c r="A301" s="6" t="s">
        <v>884</v>
      </c>
      <c r="B301" s="93" t="s">
        <v>205</v>
      </c>
      <c r="C301" s="3" t="s">
        <v>984</v>
      </c>
      <c r="D301" s="3" t="s">
        <v>670</v>
      </c>
      <c r="E301" s="74" t="s">
        <v>546</v>
      </c>
      <c r="F301" s="75">
        <v>0.1070840867096</v>
      </c>
      <c r="G301" s="76">
        <v>24</v>
      </c>
      <c r="H301" s="39" t="s">
        <v>977</v>
      </c>
      <c r="I301" s="77">
        <v>21.6</v>
      </c>
      <c r="J301" s="78"/>
      <c r="K301" s="79">
        <f>J301*I301</f>
        <v>0</v>
      </c>
      <c r="L301" s="73"/>
      <c r="M301" s="73"/>
      <c r="N301" s="24" t="str">
        <f>IFERROR(IF($N$2*F301=0, "-", $N$2*F301), "-")</f>
        <v>-</v>
      </c>
      <c r="O301" s="24" t="str">
        <f>IFERROR(IF(N301&gt;0,I301+N301,"-"),"-")</f>
        <v>-</v>
      </c>
      <c r="P301" s="24" t="str">
        <f>IF(J301&gt;0,J301*F301, "-")</f>
        <v>-</v>
      </c>
      <c r="Q301" s="26" t="str">
        <f>IFERROR(IF($N$2&gt;0, $N$2*P301, "-"), "-")</f>
        <v>-</v>
      </c>
      <c r="R301" s="18"/>
      <c r="S301" s="26" t="str">
        <f>IFERROR(IF(Q301+K301=0, "-", IF(Q301&gt;0, Q301+K301, "-")), "-")</f>
        <v>-</v>
      </c>
    </row>
    <row r="302" spans="1:19" x14ac:dyDescent="0.3">
      <c r="A302" s="6" t="s">
        <v>885</v>
      </c>
      <c r="B302" s="93" t="s">
        <v>206</v>
      </c>
      <c r="C302" s="3" t="s">
        <v>1067</v>
      </c>
      <c r="D302" s="3" t="s">
        <v>662</v>
      </c>
      <c r="E302" s="74" t="s">
        <v>547</v>
      </c>
      <c r="F302" s="75">
        <v>0.20520159724840423</v>
      </c>
      <c r="G302" s="76">
        <v>24</v>
      </c>
      <c r="H302" s="39" t="s">
        <v>977</v>
      </c>
      <c r="I302" s="77">
        <v>19.200000000000003</v>
      </c>
      <c r="J302" s="78"/>
      <c r="K302" s="79">
        <f>J302*I302</f>
        <v>0</v>
      </c>
      <c r="L302" s="73"/>
      <c r="M302" s="73"/>
      <c r="N302" s="24" t="str">
        <f>IFERROR(IF($N$2*F302=0, "-", $N$2*F302), "-")</f>
        <v>-</v>
      </c>
      <c r="O302" s="24" t="str">
        <f>IFERROR(IF(N302&gt;0,I302+N302,"-"),"-")</f>
        <v>-</v>
      </c>
      <c r="P302" s="24" t="str">
        <f>IF(J302&gt;0,J302*F302, "-")</f>
        <v>-</v>
      </c>
      <c r="Q302" s="26" t="str">
        <f>IFERROR(IF($N$2&gt;0, $N$2*P302, "-"), "-")</f>
        <v>-</v>
      </c>
      <c r="R302" s="18"/>
      <c r="S302" s="26" t="str">
        <f>IFERROR(IF(Q302+K302=0, "-", IF(Q302&gt;0, Q302+K302, "-")), "-")</f>
        <v>-</v>
      </c>
    </row>
    <row r="303" spans="1:19" x14ac:dyDescent="0.3">
      <c r="A303" s="6" t="s">
        <v>886</v>
      </c>
      <c r="B303" s="93" t="s">
        <v>207</v>
      </c>
      <c r="C303" s="3" t="s">
        <v>1103</v>
      </c>
      <c r="D303" s="3" t="s">
        <v>643</v>
      </c>
      <c r="E303" s="74" t="s">
        <v>548</v>
      </c>
      <c r="F303" s="75">
        <v>0.21451139164583335</v>
      </c>
      <c r="G303" s="76">
        <v>12</v>
      </c>
      <c r="H303" s="39" t="s">
        <v>977</v>
      </c>
      <c r="I303" s="77">
        <v>19.799999999999997</v>
      </c>
      <c r="J303" s="78"/>
      <c r="K303" s="79">
        <f>J303*I303</f>
        <v>0</v>
      </c>
      <c r="L303" s="73"/>
      <c r="M303" s="73"/>
      <c r="N303" s="24" t="str">
        <f>IFERROR(IF($N$2*F303=0, "-", $N$2*F303), "-")</f>
        <v>-</v>
      </c>
      <c r="O303" s="24" t="str">
        <f>IFERROR(IF(N303&gt;0,I303+N303,"-"),"-")</f>
        <v>-</v>
      </c>
      <c r="P303" s="24" t="str">
        <f>IF(J303&gt;0,J303*F303, "-")</f>
        <v>-</v>
      </c>
      <c r="Q303" s="26" t="str">
        <f>IFERROR(IF($N$2&gt;0, $N$2*P303, "-"), "-")</f>
        <v>-</v>
      </c>
      <c r="R303" s="18"/>
      <c r="S303" s="26" t="str">
        <f>IFERROR(IF(Q303+K303=0, "-", IF(Q303&gt;0, Q303+K303, "-")), "-")</f>
        <v>-</v>
      </c>
    </row>
    <row r="304" spans="1:19" x14ac:dyDescent="0.3">
      <c r="A304" s="6" t="s">
        <v>887</v>
      </c>
      <c r="B304" s="93" t="s">
        <v>306</v>
      </c>
      <c r="C304" s="3" t="s">
        <v>1104</v>
      </c>
      <c r="D304" s="3" t="s">
        <v>645</v>
      </c>
      <c r="E304" s="74" t="s">
        <v>549</v>
      </c>
      <c r="F304" s="75">
        <v>0.48136356285325005</v>
      </c>
      <c r="G304" s="76">
        <v>12</v>
      </c>
      <c r="H304" s="39" t="s">
        <v>977</v>
      </c>
      <c r="I304" s="77">
        <v>21.6</v>
      </c>
      <c r="J304" s="78"/>
      <c r="K304" s="79">
        <f>J304*I304</f>
        <v>0</v>
      </c>
      <c r="L304" s="73"/>
      <c r="M304" s="73"/>
      <c r="N304" s="24" t="str">
        <f>IFERROR(IF($N$2*F304=0, "-", $N$2*F304), "-")</f>
        <v>-</v>
      </c>
      <c r="O304" s="24" t="str">
        <f>IFERROR(IF(N304&gt;0,I304+N304,"-"),"-")</f>
        <v>-</v>
      </c>
      <c r="P304" s="24" t="str">
        <f>IF(J304&gt;0,J304*F304, "-")</f>
        <v>-</v>
      </c>
      <c r="Q304" s="26" t="str">
        <f>IFERROR(IF($N$2&gt;0, $N$2*P304, "-"), "-")</f>
        <v>-</v>
      </c>
      <c r="R304" s="18"/>
      <c r="S304" s="26" t="str">
        <f>IFERROR(IF(Q304+K304=0, "-", IF(Q304&gt;0, Q304+K304, "-")), "-")</f>
        <v>-</v>
      </c>
    </row>
    <row r="305" spans="1:19" x14ac:dyDescent="0.3">
      <c r="A305" s="6" t="s">
        <v>330</v>
      </c>
      <c r="B305" s="93" t="s">
        <v>287</v>
      </c>
      <c r="C305" s="3" t="s">
        <v>1003</v>
      </c>
      <c r="D305" s="3" t="s">
        <v>645</v>
      </c>
      <c r="E305" s="74" t="s">
        <v>551</v>
      </c>
      <c r="F305" s="75">
        <v>0.11798126540520835</v>
      </c>
      <c r="G305" s="76">
        <v>24</v>
      </c>
      <c r="H305" s="39" t="s">
        <v>977</v>
      </c>
      <c r="I305" s="77">
        <v>15.600000000000001</v>
      </c>
      <c r="J305" s="78"/>
      <c r="K305" s="79">
        <f>J305*I305</f>
        <v>0</v>
      </c>
      <c r="L305" s="73"/>
      <c r="M305" s="73"/>
      <c r="N305" s="24" t="str">
        <f>IFERROR(IF($N$2*F305=0, "-", $N$2*F305), "-")</f>
        <v>-</v>
      </c>
      <c r="O305" s="24" t="str">
        <f>IFERROR(IF(N305&gt;0,I305+N305,"-"),"-")</f>
        <v>-</v>
      </c>
      <c r="P305" s="24" t="str">
        <f>IF(J305&gt;0,J305*F305, "-")</f>
        <v>-</v>
      </c>
      <c r="Q305" s="26" t="str">
        <f>IFERROR(IF($N$2&gt;0, $N$2*P305, "-"), "-")</f>
        <v>-</v>
      </c>
      <c r="R305" s="18"/>
      <c r="S305" s="26" t="str">
        <f>IFERROR(IF(Q305+K305=0, "-", IF(Q305&gt;0, Q305+K305, "-")), "-")</f>
        <v>-</v>
      </c>
    </row>
    <row r="306" spans="1:19" x14ac:dyDescent="0.3">
      <c r="A306" s="6" t="s">
        <v>890</v>
      </c>
      <c r="B306" s="93" t="s">
        <v>209</v>
      </c>
      <c r="C306" s="3" t="s">
        <v>1105</v>
      </c>
      <c r="D306" s="3" t="s">
        <v>666</v>
      </c>
      <c r="E306" s="74" t="s">
        <v>553</v>
      </c>
      <c r="F306" s="75">
        <v>4.9766642861833341E-2</v>
      </c>
      <c r="G306" s="76">
        <v>24</v>
      </c>
      <c r="H306" s="39" t="s">
        <v>977</v>
      </c>
      <c r="I306" s="77">
        <v>20.399999999999999</v>
      </c>
      <c r="J306" s="78"/>
      <c r="K306" s="79">
        <f>J306*I306</f>
        <v>0</v>
      </c>
      <c r="L306" s="73"/>
      <c r="M306" s="73"/>
      <c r="N306" s="24" t="str">
        <f>IFERROR(IF($N$2*F306=0, "-", $N$2*F306), "-")</f>
        <v>-</v>
      </c>
      <c r="O306" s="24" t="str">
        <f>IFERROR(IF(N306&gt;0,I306+N306,"-"),"-")</f>
        <v>-</v>
      </c>
      <c r="P306" s="24" t="str">
        <f>IF(J306&gt;0,J306*F306, "-")</f>
        <v>-</v>
      </c>
      <c r="Q306" s="26" t="str">
        <f>IFERROR(IF($N$2&gt;0, $N$2*P306, "-"), "-")</f>
        <v>-</v>
      </c>
      <c r="R306" s="18"/>
      <c r="S306" s="26" t="str">
        <f>IFERROR(IF(Q306+K306=0, "-", IF(Q306&gt;0, Q306+K306, "-")), "-")</f>
        <v>-</v>
      </c>
    </row>
    <row r="307" spans="1:19" x14ac:dyDescent="0.3">
      <c r="A307" s="6" t="s">
        <v>325</v>
      </c>
      <c r="B307" s="93" t="s">
        <v>211</v>
      </c>
      <c r="C307" s="3" t="s">
        <v>1002</v>
      </c>
      <c r="D307" s="3" t="s">
        <v>892</v>
      </c>
      <c r="E307" s="74" t="s">
        <v>555</v>
      </c>
      <c r="F307" s="75">
        <v>0.1070840867096</v>
      </c>
      <c r="G307" s="76">
        <v>24</v>
      </c>
      <c r="H307" s="39" t="s">
        <v>977</v>
      </c>
      <c r="I307" s="77">
        <v>20.399999999999999</v>
      </c>
      <c r="J307" s="78"/>
      <c r="K307" s="79">
        <f>J307*I307</f>
        <v>0</v>
      </c>
      <c r="L307" s="73"/>
      <c r="M307" s="73"/>
      <c r="N307" s="24" t="str">
        <f>IFERROR(IF($N$2*F307=0, "-", $N$2*F307), "-")</f>
        <v>-</v>
      </c>
      <c r="O307" s="24" t="str">
        <f>IFERROR(IF(N307&gt;0,I307+N307,"-"),"-")</f>
        <v>-</v>
      </c>
      <c r="P307" s="24" t="str">
        <f>IF(J307&gt;0,J307*F307, "-")</f>
        <v>-</v>
      </c>
      <c r="Q307" s="26" t="str">
        <f>IFERROR(IF($N$2&gt;0, $N$2*P307, "-"), "-")</f>
        <v>-</v>
      </c>
      <c r="R307" s="18"/>
      <c r="S307" s="26" t="str">
        <f>IFERROR(IF(Q307+K307=0, "-", IF(Q307&gt;0, Q307+K307, "-")), "-")</f>
        <v>-</v>
      </c>
    </row>
    <row r="308" spans="1:19" x14ac:dyDescent="0.3">
      <c r="A308" s="6" t="s">
        <v>896</v>
      </c>
      <c r="B308" s="93" t="s">
        <v>215</v>
      </c>
      <c r="C308" s="3" t="s">
        <v>1106</v>
      </c>
      <c r="D308" s="3" t="s">
        <v>643</v>
      </c>
      <c r="E308" s="74" t="s">
        <v>560</v>
      </c>
      <c r="F308" s="75">
        <v>0.77318486004824161</v>
      </c>
      <c r="G308" s="76">
        <v>12</v>
      </c>
      <c r="H308" s="39" t="s">
        <v>977</v>
      </c>
      <c r="I308" s="77">
        <v>29.700000000000003</v>
      </c>
      <c r="J308" s="78"/>
      <c r="K308" s="79">
        <f>J308*I308</f>
        <v>0</v>
      </c>
      <c r="L308" s="73"/>
      <c r="M308" s="73"/>
      <c r="N308" s="24" t="str">
        <f>IFERROR(IF($N$2*F308=0, "-", $N$2*F308), "-")</f>
        <v>-</v>
      </c>
      <c r="O308" s="24" t="str">
        <f>IFERROR(IF(N308&gt;0,I308+N308,"-"),"-")</f>
        <v>-</v>
      </c>
      <c r="P308" s="24" t="str">
        <f>IF(J308&gt;0,J308*F308, "-")</f>
        <v>-</v>
      </c>
      <c r="Q308" s="26" t="str">
        <f>IFERROR(IF($N$2&gt;0, $N$2*P308, "-"), "-")</f>
        <v>-</v>
      </c>
      <c r="R308" s="18"/>
      <c r="S308" s="26" t="str">
        <f>IFERROR(IF(Q308+K308=0, "-", IF(Q308&gt;0, Q308+K308, "-")), "-")</f>
        <v>-</v>
      </c>
    </row>
    <row r="309" spans="1:19" x14ac:dyDescent="0.3">
      <c r="A309" s="6" t="s">
        <v>897</v>
      </c>
      <c r="B309" s="93" t="s">
        <v>216</v>
      </c>
      <c r="C309" s="3" t="s">
        <v>1028</v>
      </c>
      <c r="D309" s="3" t="s">
        <v>670</v>
      </c>
      <c r="E309" s="74" t="s">
        <v>561</v>
      </c>
      <c r="F309" s="75">
        <v>0.17589934114958333</v>
      </c>
      <c r="G309" s="76">
        <v>24</v>
      </c>
      <c r="H309" s="39" t="s">
        <v>977</v>
      </c>
      <c r="I309" s="77">
        <v>35.67</v>
      </c>
      <c r="J309" s="78"/>
      <c r="K309" s="79">
        <f>J309*I309</f>
        <v>0</v>
      </c>
      <c r="L309" s="73"/>
      <c r="M309" s="73"/>
      <c r="N309" s="24" t="str">
        <f>IFERROR(IF($N$2*F309=0, "-", $N$2*F309), "-")</f>
        <v>-</v>
      </c>
      <c r="O309" s="24" t="str">
        <f>IFERROR(IF(N309&gt;0,I309+N309,"-"),"-")</f>
        <v>-</v>
      </c>
      <c r="P309" s="24" t="str">
        <f>IF(J309&gt;0,J309*F309, "-")</f>
        <v>-</v>
      </c>
      <c r="Q309" s="26" t="str">
        <f>IFERROR(IF($N$2&gt;0, $N$2*P309, "-"), "-")</f>
        <v>-</v>
      </c>
      <c r="R309" s="18"/>
      <c r="S309" s="26" t="str">
        <f>IFERROR(IF(Q309+K309=0, "-", IF(Q309&gt;0, Q309+K309, "-")), "-")</f>
        <v>-</v>
      </c>
    </row>
    <row r="310" spans="1:19" x14ac:dyDescent="0.3">
      <c r="A310" s="6" t="s">
        <v>898</v>
      </c>
      <c r="B310" s="93" t="s">
        <v>216</v>
      </c>
      <c r="C310" s="3" t="s">
        <v>1067</v>
      </c>
      <c r="D310" s="3" t="s">
        <v>657</v>
      </c>
      <c r="E310" s="74" t="s">
        <v>562</v>
      </c>
      <c r="F310" s="75">
        <v>0.12355856158800001</v>
      </c>
      <c r="G310" s="76">
        <v>24</v>
      </c>
      <c r="H310" s="39" t="s">
        <v>977</v>
      </c>
      <c r="I310" s="77">
        <v>19.68</v>
      </c>
      <c r="J310" s="78"/>
      <c r="K310" s="79">
        <f>J310*I310</f>
        <v>0</v>
      </c>
      <c r="L310" s="73"/>
      <c r="M310" s="73"/>
      <c r="N310" s="24" t="str">
        <f>IFERROR(IF($N$2*F310=0, "-", $N$2*F310), "-")</f>
        <v>-</v>
      </c>
      <c r="O310" s="24" t="str">
        <f>IFERROR(IF(N310&gt;0,I310+N310,"-"),"-")</f>
        <v>-</v>
      </c>
      <c r="P310" s="24" t="str">
        <f>IF(J310&gt;0,J310*F310, "-")</f>
        <v>-</v>
      </c>
      <c r="Q310" s="26" t="str">
        <f>IFERROR(IF($N$2&gt;0, $N$2*P310, "-"), "-")</f>
        <v>-</v>
      </c>
      <c r="R310" s="18"/>
      <c r="S310" s="26" t="str">
        <f>IFERROR(IF(Q310+K310=0, "-", IF(Q310&gt;0, Q310+K310, "-")), "-")</f>
        <v>-</v>
      </c>
    </row>
    <row r="311" spans="1:19" x14ac:dyDescent="0.3">
      <c r="A311" s="6" t="s">
        <v>901</v>
      </c>
      <c r="B311" s="93" t="s">
        <v>218</v>
      </c>
      <c r="C311" s="3" t="s">
        <v>1102</v>
      </c>
      <c r="D311" s="3" t="s">
        <v>738</v>
      </c>
      <c r="E311" s="74" t="s">
        <v>565</v>
      </c>
      <c r="F311" s="75">
        <v>0.20378582206354168</v>
      </c>
      <c r="G311" s="76">
        <v>24</v>
      </c>
      <c r="H311" s="39" t="s">
        <v>977</v>
      </c>
      <c r="I311" s="77">
        <v>20.399999999999999</v>
      </c>
      <c r="J311" s="78"/>
      <c r="K311" s="79">
        <f>J311*I311</f>
        <v>0</v>
      </c>
      <c r="L311" s="73"/>
      <c r="M311" s="73"/>
      <c r="N311" s="24" t="str">
        <f>IFERROR(IF($N$2*F311=0, "-", $N$2*F311), "-")</f>
        <v>-</v>
      </c>
      <c r="O311" s="24" t="str">
        <f>IFERROR(IF(N311&gt;0,I311+N311,"-"),"-")</f>
        <v>-</v>
      </c>
      <c r="P311" s="24" t="str">
        <f>IF(J311&gt;0,J311*F311, "-")</f>
        <v>-</v>
      </c>
      <c r="Q311" s="26" t="str">
        <f>IFERROR(IF($N$2&gt;0, $N$2*P311, "-"), "-")</f>
        <v>-</v>
      </c>
      <c r="R311" s="18"/>
      <c r="S311" s="26" t="str">
        <f>IFERROR(IF(Q311+K311=0, "-", IF(Q311&gt;0, Q311+K311, "-")), "-")</f>
        <v>-</v>
      </c>
    </row>
    <row r="312" spans="1:19" x14ac:dyDescent="0.3">
      <c r="A312" s="6" t="s">
        <v>909</v>
      </c>
      <c r="B312" s="93" t="s">
        <v>224</v>
      </c>
      <c r="C312" s="3" t="s">
        <v>1107</v>
      </c>
      <c r="D312" s="3" t="s">
        <v>664</v>
      </c>
      <c r="E312" s="74" t="s">
        <v>574</v>
      </c>
      <c r="F312" s="75">
        <v>0.2050728904134167</v>
      </c>
      <c r="G312" s="76">
        <v>12</v>
      </c>
      <c r="H312" s="39" t="s">
        <v>977</v>
      </c>
      <c r="I312" s="77">
        <v>18.48</v>
      </c>
      <c r="J312" s="78"/>
      <c r="K312" s="79">
        <f>J312*I312</f>
        <v>0</v>
      </c>
      <c r="L312" s="73"/>
      <c r="M312" s="73"/>
      <c r="N312" s="24" t="str">
        <f>IFERROR(IF($N$2*F312=0, "-", $N$2*F312), "-")</f>
        <v>-</v>
      </c>
      <c r="O312" s="24" t="str">
        <f>IFERROR(IF(N312&gt;0,I312+N312,"-"),"-")</f>
        <v>-</v>
      </c>
      <c r="P312" s="24" t="str">
        <f>IF(J312&gt;0,J312*F312, "-")</f>
        <v>-</v>
      </c>
      <c r="Q312" s="26" t="str">
        <f>IFERROR(IF($N$2&gt;0, $N$2*P312, "-"), "-")</f>
        <v>-</v>
      </c>
      <c r="R312" s="18"/>
      <c r="S312" s="26" t="str">
        <f>IFERROR(IF(Q312+K312=0, "-", IF(Q312&gt;0, Q312+K312, "-")), "-")</f>
        <v>-</v>
      </c>
    </row>
    <row r="313" spans="1:19" x14ac:dyDescent="0.3">
      <c r="A313" s="6" t="s">
        <v>912</v>
      </c>
      <c r="B313" s="93" t="s">
        <v>228</v>
      </c>
      <c r="C313" s="3" t="s">
        <v>1108</v>
      </c>
      <c r="D313" s="3" t="s">
        <v>670</v>
      </c>
      <c r="E313" s="74" t="s">
        <v>578</v>
      </c>
      <c r="F313" s="75">
        <v>0.47063799327095845</v>
      </c>
      <c r="G313" s="76">
        <v>12</v>
      </c>
      <c r="H313" s="39" t="s">
        <v>977</v>
      </c>
      <c r="I313" s="77">
        <v>46.8</v>
      </c>
      <c r="J313" s="78"/>
      <c r="K313" s="79">
        <v>0</v>
      </c>
      <c r="L313" s="73"/>
      <c r="M313" s="73"/>
      <c r="N313" s="24" t="str">
        <f>IFERROR(IF($N$2*F313=0, "-", $N$2*F313), "-")</f>
        <v>-</v>
      </c>
      <c r="O313" s="24" t="str">
        <f>IFERROR(IF(N313&gt;0,I313+N313,"-"),"-")</f>
        <v>-</v>
      </c>
      <c r="P313" s="24" t="str">
        <f>IF(J313&gt;0,J313*F313, "-")</f>
        <v>-</v>
      </c>
      <c r="Q313" s="26" t="str">
        <f>IFERROR(IF($N$2&gt;0, $N$2*P313, "-"), "-")</f>
        <v>-</v>
      </c>
      <c r="R313" s="18"/>
      <c r="S313" s="26" t="str">
        <f>IFERROR(IF(Q313+K313=0, "-", IF(Q313&gt;0, Q313+K313, "-")), "-")</f>
        <v>-</v>
      </c>
    </row>
    <row r="314" spans="1:19" x14ac:dyDescent="0.3">
      <c r="A314" s="6" t="s">
        <v>913</v>
      </c>
      <c r="B314" s="93" t="s">
        <v>229</v>
      </c>
      <c r="C314" s="3" t="s">
        <v>1109</v>
      </c>
      <c r="D314" s="3" t="s">
        <v>670</v>
      </c>
      <c r="E314" s="74" t="s">
        <v>579</v>
      </c>
      <c r="F314" s="75">
        <v>0.54479999999999995</v>
      </c>
      <c r="G314" s="76">
        <v>12</v>
      </c>
      <c r="H314" s="39" t="s">
        <v>977</v>
      </c>
      <c r="I314" s="77">
        <v>44.400000000000006</v>
      </c>
      <c r="J314" s="78"/>
      <c r="K314" s="79">
        <f>J314*I314</f>
        <v>0</v>
      </c>
      <c r="L314" s="73"/>
      <c r="M314" s="73"/>
      <c r="N314" s="24" t="str">
        <f>IFERROR(IF($N$2*F314=0, "-", $N$2*F314), "-")</f>
        <v>-</v>
      </c>
      <c r="O314" s="24" t="str">
        <f>IFERROR(IF(N314&gt;0,I314+N314,"-"),"-")</f>
        <v>-</v>
      </c>
      <c r="P314" s="24" t="str">
        <f>IF(J314&gt;0,J314*F314, "-")</f>
        <v>-</v>
      </c>
      <c r="Q314" s="26" t="str">
        <f>IFERROR(IF($N$2&gt;0, $N$2*P314, "-"), "-")</f>
        <v>-</v>
      </c>
      <c r="R314" s="18"/>
      <c r="S314" s="26" t="str">
        <f>IFERROR(IF(Q314+K314=0, "-", IF(Q314&gt;0, Q314+K314, "-")), "-")</f>
        <v>-</v>
      </c>
    </row>
    <row r="315" spans="1:19" x14ac:dyDescent="0.3">
      <c r="A315" s="6" t="s">
        <v>914</v>
      </c>
      <c r="B315" s="93" t="s">
        <v>309</v>
      </c>
      <c r="C315" s="3" t="s">
        <v>1110</v>
      </c>
      <c r="D315" s="3" t="s">
        <v>670</v>
      </c>
      <c r="E315" s="74" t="s">
        <v>580</v>
      </c>
      <c r="F315" s="75">
        <v>0.49940000000000001</v>
      </c>
      <c r="G315" s="76">
        <v>12</v>
      </c>
      <c r="H315" s="39" t="s">
        <v>977</v>
      </c>
      <c r="I315" s="77">
        <v>53.25</v>
      </c>
      <c r="J315" s="78"/>
      <c r="K315" s="79">
        <f>J315*I315</f>
        <v>0</v>
      </c>
      <c r="L315" s="73"/>
      <c r="M315" s="73"/>
      <c r="N315" s="24" t="str">
        <f>IFERROR(IF($N$2*F315=0, "-", $N$2*F315), "-")</f>
        <v>-</v>
      </c>
      <c r="O315" s="24" t="str">
        <f>IFERROR(IF(N315&gt;0,I315+N315,"-"),"-")</f>
        <v>-</v>
      </c>
      <c r="P315" s="24" t="str">
        <f>IF(J315&gt;0,J315*F315, "-")</f>
        <v>-</v>
      </c>
      <c r="Q315" s="26" t="str">
        <f>IFERROR(IF($N$2&gt;0, $N$2*P315, "-"), "-")</f>
        <v>-</v>
      </c>
      <c r="R315" s="18"/>
      <c r="S315" s="26" t="str">
        <f>IFERROR(IF(Q315+K315=0, "-", IF(Q315&gt;0, Q315+K315, "-")), "-")</f>
        <v>-</v>
      </c>
    </row>
    <row r="316" spans="1:19" x14ac:dyDescent="0.3">
      <c r="A316" s="6" t="s">
        <v>915</v>
      </c>
      <c r="B316" s="93" t="s">
        <v>230</v>
      </c>
      <c r="C316" s="3" t="s">
        <v>1109</v>
      </c>
      <c r="D316" s="3" t="s">
        <v>670</v>
      </c>
      <c r="E316" s="74" t="s">
        <v>581</v>
      </c>
      <c r="F316" s="75">
        <v>0.5675</v>
      </c>
      <c r="G316" s="76">
        <v>12</v>
      </c>
      <c r="H316" s="39" t="s">
        <v>977</v>
      </c>
      <c r="I316" s="77">
        <v>44.400000000000006</v>
      </c>
      <c r="J316" s="78"/>
      <c r="K316" s="79">
        <f>J316*I316</f>
        <v>0</v>
      </c>
      <c r="L316" s="73"/>
      <c r="M316" s="73"/>
      <c r="N316" s="24" t="str">
        <f>IFERROR(IF($N$2*F316=0, "-", $N$2*F316), "-")</f>
        <v>-</v>
      </c>
      <c r="O316" s="24" t="str">
        <f>IFERROR(IF(N316&gt;0,I316+N316,"-"),"-")</f>
        <v>-</v>
      </c>
      <c r="P316" s="24" t="str">
        <f>IF(J316&gt;0,J316*F316, "-")</f>
        <v>-</v>
      </c>
      <c r="Q316" s="26" t="str">
        <f>IFERROR(IF($N$2&gt;0, $N$2*P316, "-"), "-")</f>
        <v>-</v>
      </c>
      <c r="R316" s="18"/>
      <c r="S316" s="26" t="str">
        <f>IFERROR(IF(Q316+K316=0, "-", IF(Q316&gt;0, Q316+K316, "-")), "-")</f>
        <v>-</v>
      </c>
    </row>
    <row r="317" spans="1:19" x14ac:dyDescent="0.3">
      <c r="A317" s="6" t="s">
        <v>916</v>
      </c>
      <c r="B317" s="93" t="s">
        <v>231</v>
      </c>
      <c r="C317" s="3" t="s">
        <v>1040</v>
      </c>
      <c r="D317" s="3" t="s">
        <v>703</v>
      </c>
      <c r="E317" s="74" t="s">
        <v>582</v>
      </c>
      <c r="F317" s="75">
        <v>0.10232193381506251</v>
      </c>
      <c r="G317" s="76">
        <v>24</v>
      </c>
      <c r="H317" s="39" t="s">
        <v>977</v>
      </c>
      <c r="I317" s="77">
        <v>16.799999999999997</v>
      </c>
      <c r="J317" s="78"/>
      <c r="K317" s="79">
        <f>J317*I317</f>
        <v>0</v>
      </c>
      <c r="L317" s="73"/>
      <c r="M317" s="73"/>
      <c r="N317" s="24" t="str">
        <f>IFERROR(IF($N$2*F317=0, "-", $N$2*F317), "-")</f>
        <v>-</v>
      </c>
      <c r="O317" s="24" t="str">
        <f>IFERROR(IF(N317&gt;0,I317+N317,"-"),"-")</f>
        <v>-</v>
      </c>
      <c r="P317" s="24" t="str">
        <f>IF(J317&gt;0,J317*F317, "-")</f>
        <v>-</v>
      </c>
      <c r="Q317" s="26" t="str">
        <f>IFERROR(IF($N$2&gt;0, $N$2*P317, "-"), "-")</f>
        <v>-</v>
      </c>
      <c r="R317" s="18"/>
      <c r="S317" s="26" t="str">
        <f>IFERROR(IF(Q317+K317=0, "-", IF(Q317&gt;0, Q317+K317, "-")), "-")</f>
        <v>-</v>
      </c>
    </row>
    <row r="318" spans="1:19" x14ac:dyDescent="0.3">
      <c r="A318" s="6" t="s">
        <v>917</v>
      </c>
      <c r="B318" s="93" t="s">
        <v>232</v>
      </c>
      <c r="C318" s="3" t="s">
        <v>1108</v>
      </c>
      <c r="D318" s="3" t="s">
        <v>670</v>
      </c>
      <c r="E318" s="74" t="s">
        <v>583</v>
      </c>
      <c r="F318" s="75">
        <v>0.43130000000000002</v>
      </c>
      <c r="G318" s="76">
        <v>12</v>
      </c>
      <c r="H318" s="39" t="s">
        <v>977</v>
      </c>
      <c r="I318" s="77">
        <v>46.8</v>
      </c>
      <c r="J318" s="78"/>
      <c r="K318" s="79">
        <f>J318*I318</f>
        <v>0</v>
      </c>
      <c r="L318" s="73"/>
      <c r="M318" s="73"/>
      <c r="N318" s="24" t="str">
        <f>IFERROR(IF($N$2*F318=0, "-", $N$2*F318), "-")</f>
        <v>-</v>
      </c>
      <c r="O318" s="24" t="str">
        <f>IFERROR(IF(N318&gt;0,I318+N318,"-"),"-")</f>
        <v>-</v>
      </c>
      <c r="P318" s="24" t="str">
        <f>IF(J318&gt;0,J318*F318, "-")</f>
        <v>-</v>
      </c>
      <c r="Q318" s="26" t="str">
        <f>IFERROR(IF($N$2&gt;0, $N$2*P318, "-"), "-")</f>
        <v>-</v>
      </c>
      <c r="R318" s="18"/>
      <c r="S318" s="26" t="str">
        <f>IFERROR(IF(Q318+K318=0, "-", IF(Q318&gt;0, Q318+K318, "-")), "-")</f>
        <v>-</v>
      </c>
    </row>
    <row r="319" spans="1:19" x14ac:dyDescent="0.3">
      <c r="A319" s="6" t="s">
        <v>918</v>
      </c>
      <c r="B319" s="93" t="s">
        <v>233</v>
      </c>
      <c r="C319" s="3" t="s">
        <v>1109</v>
      </c>
      <c r="D319" s="3" t="s">
        <v>670</v>
      </c>
      <c r="E319" s="74" t="s">
        <v>584</v>
      </c>
      <c r="F319" s="75">
        <v>0.54479999999999995</v>
      </c>
      <c r="G319" s="76">
        <v>12</v>
      </c>
      <c r="H319" s="39" t="s">
        <v>977</v>
      </c>
      <c r="I319" s="77">
        <v>44.400000000000006</v>
      </c>
      <c r="J319" s="78"/>
      <c r="K319" s="79">
        <f>J319*I319</f>
        <v>0</v>
      </c>
      <c r="L319" s="73"/>
      <c r="M319" s="73"/>
      <c r="N319" s="24" t="str">
        <f>IFERROR(IF($N$2*F319=0, "-", $N$2*F319), "-")</f>
        <v>-</v>
      </c>
      <c r="O319" s="24" t="str">
        <f>IFERROR(IF(N319&gt;0,I319+N319,"-"),"-")</f>
        <v>-</v>
      </c>
      <c r="P319" s="24" t="str">
        <f>IF(J319&gt;0,J319*F319, "-")</f>
        <v>-</v>
      </c>
      <c r="Q319" s="26" t="str">
        <f>IFERROR(IF($N$2&gt;0, $N$2*P319, "-"), "-")</f>
        <v>-</v>
      </c>
      <c r="R319" s="18"/>
      <c r="S319" s="26" t="str">
        <f>IFERROR(IF(Q319+K319=0, "-", IF(Q319&gt;0, Q319+K319, "-")), "-")</f>
        <v>-</v>
      </c>
    </row>
    <row r="320" spans="1:19" x14ac:dyDescent="0.3">
      <c r="A320" s="6" t="s">
        <v>926</v>
      </c>
      <c r="B320" s="93" t="s">
        <v>240</v>
      </c>
      <c r="C320" s="3" t="s">
        <v>1028</v>
      </c>
      <c r="D320" s="3" t="s">
        <v>782</v>
      </c>
      <c r="E320" s="74" t="s">
        <v>591</v>
      </c>
      <c r="F320" s="75">
        <v>0.12656172107104169</v>
      </c>
      <c r="G320" s="76">
        <v>24</v>
      </c>
      <c r="H320" s="39" t="s">
        <v>977</v>
      </c>
      <c r="I320" s="77">
        <v>24.974999999999998</v>
      </c>
      <c r="J320" s="78"/>
      <c r="K320" s="79">
        <f>J320*I320</f>
        <v>0</v>
      </c>
      <c r="L320" s="73"/>
      <c r="M320" s="73"/>
      <c r="N320" s="24" t="str">
        <f>IFERROR(IF($N$2*F320=0, "-", $N$2*F320), "-")</f>
        <v>-</v>
      </c>
      <c r="O320" s="24" t="str">
        <f>IFERROR(IF(N320&gt;0,I320+N320,"-"),"-")</f>
        <v>-</v>
      </c>
      <c r="P320" s="24" t="str">
        <f>IF(J320&gt;0,J320*F320, "-")</f>
        <v>-</v>
      </c>
      <c r="Q320" s="26" t="str">
        <f>IFERROR(IF($N$2&gt;0, $N$2*P320, "-"), "-")</f>
        <v>-</v>
      </c>
      <c r="R320" s="18"/>
      <c r="S320" s="26" t="str">
        <f>IFERROR(IF(Q320+K320=0, "-", IF(Q320&gt;0, Q320+K320, "-")), "-")</f>
        <v>-</v>
      </c>
    </row>
    <row r="321" spans="1:19" x14ac:dyDescent="0.3">
      <c r="A321" s="6" t="s">
        <v>1210</v>
      </c>
      <c r="B321" s="93" t="s">
        <v>1211</v>
      </c>
      <c r="C321" s="3" t="s">
        <v>1040</v>
      </c>
      <c r="D321" s="3" t="s">
        <v>730</v>
      </c>
      <c r="E321" s="74" t="s">
        <v>1212</v>
      </c>
      <c r="F321" s="75">
        <v>6.6284020018562498E-2</v>
      </c>
      <c r="G321" s="76">
        <v>24</v>
      </c>
      <c r="H321" s="39" t="s">
        <v>977</v>
      </c>
      <c r="I321" s="77">
        <v>10.8</v>
      </c>
      <c r="J321" s="78"/>
      <c r="K321" s="79">
        <v>0</v>
      </c>
      <c r="L321" s="73"/>
      <c r="M321" s="73"/>
      <c r="N321" s="24" t="str">
        <f>IFERROR(IF($N$2*F321=0, "-", $N$2*F321), "-")</f>
        <v>-</v>
      </c>
      <c r="O321" s="24" t="str">
        <f>IFERROR(IF(N321&gt;0,I321+N321,"-"),"-")</f>
        <v>-</v>
      </c>
      <c r="P321" s="24" t="str">
        <f>IF(J321&gt;0,J321*F321, "-")</f>
        <v>-</v>
      </c>
      <c r="Q321" s="26" t="str">
        <f>IFERROR(IF($N$2&gt;0, $N$2*P321, "-"), "-")</f>
        <v>-</v>
      </c>
      <c r="R321" s="18"/>
      <c r="S321" s="26" t="str">
        <f>IFERROR(IF(Q321+K321=0, "-", IF(Q321&gt;0, Q321+K321, "-")), "-")</f>
        <v>-</v>
      </c>
    </row>
    <row r="322" spans="1:19" x14ac:dyDescent="0.3">
      <c r="A322" s="6" t="s">
        <v>928</v>
      </c>
      <c r="B322" s="93" t="s">
        <v>242</v>
      </c>
      <c r="C322" s="3" t="s">
        <v>1040</v>
      </c>
      <c r="D322" s="3" t="s">
        <v>670</v>
      </c>
      <c r="E322" s="74" t="s">
        <v>593</v>
      </c>
      <c r="F322" s="75">
        <v>6.1135746619062507E-2</v>
      </c>
      <c r="G322" s="76">
        <v>24</v>
      </c>
      <c r="H322" s="39" t="s">
        <v>977</v>
      </c>
      <c r="I322" s="77">
        <v>15.600000000000001</v>
      </c>
      <c r="J322" s="78"/>
      <c r="K322" s="79">
        <f>J322*I322</f>
        <v>0</v>
      </c>
      <c r="L322" s="73"/>
      <c r="M322" s="73"/>
      <c r="N322" s="24" t="str">
        <f>IFERROR(IF($N$2*F322=0, "-", $N$2*F322), "-")</f>
        <v>-</v>
      </c>
      <c r="O322" s="24" t="str">
        <f>IFERROR(IF(N322&gt;0,I322+N322,"-"),"-")</f>
        <v>-</v>
      </c>
      <c r="P322" s="24" t="str">
        <f>IF(J322&gt;0,J322*F322, "-")</f>
        <v>-</v>
      </c>
      <c r="Q322" s="26" t="str">
        <f>IFERROR(IF($N$2&gt;0, $N$2*P322, "-"), "-")</f>
        <v>-</v>
      </c>
      <c r="R322" s="18"/>
      <c r="S322" s="26" t="str">
        <f>IFERROR(IF(Q322+K322=0, "-", IF(Q322&gt;0, Q322+K322, "-")), "-")</f>
        <v>-</v>
      </c>
    </row>
    <row r="323" spans="1:19" x14ac:dyDescent="0.3">
      <c r="A323" s="6" t="s">
        <v>929</v>
      </c>
      <c r="B323" s="93" t="s">
        <v>243</v>
      </c>
      <c r="C323" s="3" t="s">
        <v>1005</v>
      </c>
      <c r="D323" s="3" t="s">
        <v>719</v>
      </c>
      <c r="E323" s="74" t="s">
        <v>594</v>
      </c>
      <c r="F323" s="75">
        <v>0.23424643967725001</v>
      </c>
      <c r="G323" s="76">
        <v>12</v>
      </c>
      <c r="H323" s="39" t="s">
        <v>977</v>
      </c>
      <c r="I323" s="77">
        <v>31.98</v>
      </c>
      <c r="J323" s="78"/>
      <c r="K323" s="79">
        <f>J323*I323</f>
        <v>0</v>
      </c>
      <c r="L323" s="73"/>
      <c r="M323" s="73"/>
      <c r="N323" s="24" t="str">
        <f>IFERROR(IF($N$2*F323=0, "-", $N$2*F323), "-")</f>
        <v>-</v>
      </c>
      <c r="O323" s="24" t="str">
        <f>IFERROR(IF(N323&gt;0,I323+N323,"-"),"-")</f>
        <v>-</v>
      </c>
      <c r="P323" s="24" t="str">
        <f>IF(J323&gt;0,J323*F323, "-")</f>
        <v>-</v>
      </c>
      <c r="Q323" s="26" t="str">
        <f>IFERROR(IF($N$2&gt;0, $N$2*P323, "-"), "-")</f>
        <v>-</v>
      </c>
      <c r="R323" s="18"/>
      <c r="S323" s="26" t="str">
        <f>IFERROR(IF(Q323+K323=0, "-", IF(Q323&gt;0, Q323+K323, "-")), "-")</f>
        <v>-</v>
      </c>
    </row>
    <row r="324" spans="1:19" x14ac:dyDescent="0.3">
      <c r="A324" s="6" t="s">
        <v>936</v>
      </c>
      <c r="B324" s="93" t="s">
        <v>249</v>
      </c>
      <c r="C324" s="3" t="s">
        <v>984</v>
      </c>
      <c r="D324" s="3" t="s">
        <v>666</v>
      </c>
      <c r="E324" s="74" t="s">
        <v>601</v>
      </c>
      <c r="F324" s="75">
        <v>6.2808935473900013E-2</v>
      </c>
      <c r="G324" s="76">
        <v>24</v>
      </c>
      <c r="H324" s="39" t="s">
        <v>977</v>
      </c>
      <c r="I324" s="77">
        <v>15</v>
      </c>
      <c r="J324" s="78"/>
      <c r="K324" s="79">
        <v>0</v>
      </c>
      <c r="L324" s="73"/>
      <c r="M324" s="73"/>
      <c r="N324" s="24" t="str">
        <f>IFERROR(IF($N$2*F324=0, "-", $N$2*F324), "-")</f>
        <v>-</v>
      </c>
      <c r="O324" s="24" t="str">
        <f>IFERROR(IF(N324&gt;0,I324+N324,"-"),"-")</f>
        <v>-</v>
      </c>
      <c r="P324" s="24" t="str">
        <f>IF(J324&gt;0,J324*F324, "-")</f>
        <v>-</v>
      </c>
      <c r="Q324" s="26" t="str">
        <f>IFERROR(IF($N$2&gt;0, $N$2*P324, "-"), "-")</f>
        <v>-</v>
      </c>
      <c r="R324" s="18"/>
      <c r="S324" s="26" t="str">
        <f>IFERROR(IF(Q324+K324=0, "-", IF(Q324&gt;0, Q324+K324, "-")), "-")</f>
        <v>-</v>
      </c>
    </row>
    <row r="325" spans="1:19" x14ac:dyDescent="0.3">
      <c r="A325" s="6" t="s">
        <v>937</v>
      </c>
      <c r="B325" s="93" t="s">
        <v>250</v>
      </c>
      <c r="C325" s="3" t="s">
        <v>1040</v>
      </c>
      <c r="D325" s="3" t="s">
        <v>645</v>
      </c>
      <c r="E325" s="74" t="s">
        <v>602</v>
      </c>
      <c r="F325" s="75">
        <v>6.2208303577291672E-2</v>
      </c>
      <c r="G325" s="76">
        <v>24</v>
      </c>
      <c r="H325" s="39" t="s">
        <v>977</v>
      </c>
      <c r="I325" s="77">
        <v>16.200000000000003</v>
      </c>
      <c r="J325" s="78"/>
      <c r="K325" s="79">
        <f>J325*I325</f>
        <v>0</v>
      </c>
      <c r="L325" s="73"/>
      <c r="M325" s="73"/>
      <c r="N325" s="24" t="str">
        <f>IFERROR(IF($N$2*F325=0, "-", $N$2*F325), "-")</f>
        <v>-</v>
      </c>
      <c r="O325" s="24" t="str">
        <f>IFERROR(IF(N325&gt;0,I325+N325,"-"),"-")</f>
        <v>-</v>
      </c>
      <c r="P325" s="24" t="str">
        <f>IF(J325&gt;0,J325*F325, "-")</f>
        <v>-</v>
      </c>
      <c r="Q325" s="26" t="str">
        <f>IFERROR(IF($N$2&gt;0, $N$2*P325, "-"), "-")</f>
        <v>-</v>
      </c>
      <c r="R325" s="18"/>
      <c r="S325" s="26" t="str">
        <f>IFERROR(IF(Q325+K325=0, "-", IF(Q325&gt;0, Q325+K325, "-")), "-")</f>
        <v>-</v>
      </c>
    </row>
    <row r="326" spans="1:19" x14ac:dyDescent="0.3">
      <c r="A326" s="6" t="s">
        <v>938</v>
      </c>
      <c r="B326" s="93" t="s">
        <v>251</v>
      </c>
      <c r="C326" s="3" t="s">
        <v>988</v>
      </c>
      <c r="D326" s="3" t="s">
        <v>657</v>
      </c>
      <c r="E326" s="74" t="s">
        <v>603</v>
      </c>
      <c r="F326" s="75">
        <v>0.13391946180449379</v>
      </c>
      <c r="G326" s="76">
        <v>24</v>
      </c>
      <c r="H326" s="39" t="s">
        <v>977</v>
      </c>
      <c r="I326" s="77">
        <v>22.799999999999997</v>
      </c>
      <c r="J326" s="78"/>
      <c r="K326" s="79">
        <f>J326*I326</f>
        <v>0</v>
      </c>
      <c r="L326" s="73"/>
      <c r="M326" s="73"/>
      <c r="N326" s="24" t="str">
        <f>IFERROR(IF($N$2*F326=0, "-", $N$2*F326), "-")</f>
        <v>-</v>
      </c>
      <c r="O326" s="24" t="str">
        <f>IFERROR(IF(N326&gt;0,I326+N326,"-"),"-")</f>
        <v>-</v>
      </c>
      <c r="P326" s="24" t="str">
        <f>IF(J326&gt;0,J326*F326, "-")</f>
        <v>-</v>
      </c>
      <c r="Q326" s="26" t="str">
        <f>IFERROR(IF($N$2&gt;0, $N$2*P326, "-"), "-")</f>
        <v>-</v>
      </c>
      <c r="R326" s="18"/>
      <c r="S326" s="26" t="str">
        <f>IFERROR(IF(Q326+K326=0, "-", IF(Q326&gt;0, Q326+K326, "-")), "-")</f>
        <v>-</v>
      </c>
    </row>
    <row r="327" spans="1:19" x14ac:dyDescent="0.3">
      <c r="A327" s="6" t="s">
        <v>939</v>
      </c>
      <c r="B327" s="93" t="s">
        <v>252</v>
      </c>
      <c r="C327" s="3" t="s">
        <v>1037</v>
      </c>
      <c r="D327" s="3" t="s">
        <v>679</v>
      </c>
      <c r="E327" s="74" t="s">
        <v>604</v>
      </c>
      <c r="F327" s="75">
        <v>6.6777396219347918E-2</v>
      </c>
      <c r="G327" s="76">
        <v>24</v>
      </c>
      <c r="H327" s="39" t="s">
        <v>977</v>
      </c>
      <c r="I327" s="77">
        <v>16.799999999999997</v>
      </c>
      <c r="J327" s="78"/>
      <c r="K327" s="79">
        <f>J327*I327</f>
        <v>0</v>
      </c>
      <c r="L327" s="73"/>
      <c r="M327" s="73"/>
      <c r="N327" s="24" t="str">
        <f>IFERROR(IF($N$2*F327=0, "-", $N$2*F327), "-")</f>
        <v>-</v>
      </c>
      <c r="O327" s="24" t="str">
        <f>IFERROR(IF(N327&gt;0,I327+N327,"-"),"-")</f>
        <v>-</v>
      </c>
      <c r="P327" s="24" t="str">
        <f>IF(J327&gt;0,J327*F327, "-")</f>
        <v>-</v>
      </c>
      <c r="Q327" s="26" t="str">
        <f>IFERROR(IF($N$2&gt;0, $N$2*P327, "-"), "-")</f>
        <v>-</v>
      </c>
      <c r="R327" s="18"/>
      <c r="S327" s="26" t="str">
        <f>IFERROR(IF(Q327+K327=0, "-", IF(Q327&gt;0, Q327+K327, "-")), "-")</f>
        <v>-</v>
      </c>
    </row>
    <row r="328" spans="1:19" x14ac:dyDescent="0.3">
      <c r="A328" s="6" t="s">
        <v>941</v>
      </c>
      <c r="B328" s="93" t="s">
        <v>254</v>
      </c>
      <c r="C328" s="3" t="s">
        <v>1111</v>
      </c>
      <c r="D328" s="3" t="s">
        <v>670</v>
      </c>
      <c r="E328" s="74" t="s">
        <v>606</v>
      </c>
      <c r="F328" s="75">
        <v>9.6744637632270841E-2</v>
      </c>
      <c r="G328" s="76">
        <v>24</v>
      </c>
      <c r="H328" s="39" t="s">
        <v>977</v>
      </c>
      <c r="I328" s="77">
        <v>14.399999999999999</v>
      </c>
      <c r="J328" s="78"/>
      <c r="K328" s="79">
        <f>J328*I328</f>
        <v>0</v>
      </c>
      <c r="L328" s="73"/>
      <c r="M328" s="73"/>
      <c r="N328" s="24" t="str">
        <f>IFERROR(IF($N$2*F328=0, "-", $N$2*F328), "-")</f>
        <v>-</v>
      </c>
      <c r="O328" s="24" t="str">
        <f>IFERROR(IF(N328&gt;0,I328+N328,"-"),"-")</f>
        <v>-</v>
      </c>
      <c r="P328" s="24" t="str">
        <f>IF(J328&gt;0,J328*F328, "-")</f>
        <v>-</v>
      </c>
      <c r="Q328" s="26" t="str">
        <f>IFERROR(IF($N$2&gt;0, $N$2*P328, "-"), "-")</f>
        <v>-</v>
      </c>
      <c r="R328" s="18"/>
      <c r="S328" s="26" t="str">
        <f>IFERROR(IF(Q328+K328=0, "-", IF(Q328&gt;0, Q328+K328, "-")), "-")</f>
        <v>-</v>
      </c>
    </row>
    <row r="329" spans="1:19" x14ac:dyDescent="0.3">
      <c r="A329" s="6" t="s">
        <v>942</v>
      </c>
      <c r="B329" s="93" t="s">
        <v>255</v>
      </c>
      <c r="C329" s="3" t="s">
        <v>984</v>
      </c>
      <c r="D329" s="3" t="s">
        <v>645</v>
      </c>
      <c r="E329" s="74" t="s">
        <v>607</v>
      </c>
      <c r="F329" s="75">
        <v>0.1186891529976396</v>
      </c>
      <c r="G329" s="76">
        <v>24</v>
      </c>
      <c r="H329" s="39" t="s">
        <v>977</v>
      </c>
      <c r="I329" s="77">
        <v>12</v>
      </c>
      <c r="J329" s="78"/>
      <c r="K329" s="79">
        <f>J329*I329</f>
        <v>0</v>
      </c>
      <c r="L329" s="73"/>
      <c r="M329" s="73"/>
      <c r="N329" s="24" t="str">
        <f>IFERROR(IF($N$2*F329=0, "-", $N$2*F329), "-")</f>
        <v>-</v>
      </c>
      <c r="O329" s="24" t="str">
        <f>IFERROR(IF(N329&gt;0,I329+N329,"-"),"-")</f>
        <v>-</v>
      </c>
      <c r="P329" s="24" t="str">
        <f>IF(J329&gt;0,J329*F329, "-")</f>
        <v>-</v>
      </c>
      <c r="Q329" s="26" t="str">
        <f>IFERROR(IF($N$2&gt;0, $N$2*P329, "-"), "-")</f>
        <v>-</v>
      </c>
      <c r="R329" s="18"/>
      <c r="S329" s="26" t="str">
        <f>IFERROR(IF(Q329+K329=0, "-", IF(Q329&gt;0, Q329+K329, "-")), "-")</f>
        <v>-</v>
      </c>
    </row>
    <row r="330" spans="1:19" x14ac:dyDescent="0.3">
      <c r="A330" s="6" t="s">
        <v>6</v>
      </c>
      <c r="B330" s="93" t="s">
        <v>257</v>
      </c>
      <c r="C330" s="3" t="s">
        <v>1085</v>
      </c>
      <c r="D330" s="80" t="s">
        <v>670</v>
      </c>
      <c r="E330" s="74" t="s">
        <v>610</v>
      </c>
      <c r="F330" s="75">
        <v>0.42044232762583339</v>
      </c>
      <c r="G330" s="30">
        <v>12</v>
      </c>
      <c r="H330" s="39" t="s">
        <v>977</v>
      </c>
      <c r="I330" s="77">
        <v>54</v>
      </c>
      <c r="J330" s="78"/>
      <c r="K330" s="79">
        <f>J330*I330</f>
        <v>0</v>
      </c>
      <c r="L330" s="73"/>
      <c r="M330" s="73"/>
      <c r="N330" s="24" t="str">
        <f>IFERROR(IF($N$2*F330=0, "-", $N$2*F330), "-")</f>
        <v>-</v>
      </c>
      <c r="O330" s="24" t="str">
        <f>IFERROR(IF(N330&gt;0,I330+N330,"-"),"-")</f>
        <v>-</v>
      </c>
      <c r="P330" s="24" t="str">
        <f>IF(J330&gt;0,J330*F330, "-")</f>
        <v>-</v>
      </c>
      <c r="Q330" s="26" t="str">
        <f>IFERROR(IF($N$2&gt;0, $N$2*P330, "-"), "-")</f>
        <v>-</v>
      </c>
      <c r="R330" s="18"/>
      <c r="S330" s="26" t="str">
        <f>IFERROR(IF(Q330+K330=0, "-", IF(Q330&gt;0, Q330+K330, "-")), "-")</f>
        <v>-</v>
      </c>
    </row>
    <row r="331" spans="1:19" x14ac:dyDescent="0.3">
      <c r="A331" s="6" t="s">
        <v>1216</v>
      </c>
      <c r="B331" s="93" t="s">
        <v>1217</v>
      </c>
      <c r="C331" s="3" t="s">
        <v>1040</v>
      </c>
      <c r="D331" s="80" t="s">
        <v>654</v>
      </c>
      <c r="E331" s="74" t="s">
        <v>1218</v>
      </c>
      <c r="F331" s="75">
        <v>5.5772961827916676E-2</v>
      </c>
      <c r="G331" s="30">
        <v>24</v>
      </c>
      <c r="H331" s="39" t="s">
        <v>977</v>
      </c>
      <c r="I331" s="77">
        <v>10.8</v>
      </c>
      <c r="J331" s="78"/>
      <c r="K331" s="79">
        <f>J331*I331</f>
        <v>0</v>
      </c>
      <c r="L331" s="73"/>
      <c r="M331" s="73"/>
      <c r="N331" s="24" t="str">
        <f>IFERROR(IF($N$2*F331=0, "-", $N$2*F331), "-")</f>
        <v>-</v>
      </c>
      <c r="O331" s="24" t="str">
        <f>IFERROR(IF(N331&gt;0,I331+N331,"-"),"-")</f>
        <v>-</v>
      </c>
      <c r="P331" s="24" t="str">
        <f>IF(J331&gt;0,J331*F331, "-")</f>
        <v>-</v>
      </c>
      <c r="Q331" s="26" t="str">
        <f>IFERROR(IF($N$2&gt;0, $N$2*P331, "-"), "-")</f>
        <v>-</v>
      </c>
      <c r="R331" s="18"/>
      <c r="S331" s="26" t="str">
        <f>IFERROR(IF(Q331+K331=0, "-", IF(Q331&gt;0, Q331+K331, "-")), "-")</f>
        <v>-</v>
      </c>
    </row>
    <row r="332" spans="1:19" x14ac:dyDescent="0.3">
      <c r="A332" s="6" t="s">
        <v>947</v>
      </c>
      <c r="B332" s="93" t="s">
        <v>260</v>
      </c>
      <c r="C332" s="3" t="s">
        <v>1040</v>
      </c>
      <c r="D332" s="80" t="s">
        <v>712</v>
      </c>
      <c r="E332" s="74" t="s">
        <v>613</v>
      </c>
      <c r="F332" s="75">
        <v>5.6750000000000002E-2</v>
      </c>
      <c r="G332" s="30">
        <v>24</v>
      </c>
      <c r="H332" s="39" t="s">
        <v>977</v>
      </c>
      <c r="I332" s="77">
        <v>19.200000000000003</v>
      </c>
      <c r="J332" s="78"/>
      <c r="K332" s="79">
        <f>J332*I332</f>
        <v>0</v>
      </c>
      <c r="L332" s="73"/>
      <c r="M332" s="73"/>
      <c r="N332" s="24" t="str">
        <f>IFERROR(IF($N$2*F332=0, "-", $N$2*F332), "-")</f>
        <v>-</v>
      </c>
      <c r="O332" s="24" t="str">
        <f>IFERROR(IF(N332&gt;0,I332+N332,"-"),"-")</f>
        <v>-</v>
      </c>
      <c r="P332" s="24" t="str">
        <f>IF(J332&gt;0,J332*F332, "-")</f>
        <v>-</v>
      </c>
      <c r="Q332" s="26" t="str">
        <f>IFERROR(IF($N$2&gt;0, $N$2*P332, "-"), "-")</f>
        <v>-</v>
      </c>
      <c r="R332" s="18"/>
      <c r="S332" s="26" t="str">
        <f>IFERROR(IF(Q332+K332=0, "-", IF(Q332&gt;0, Q332+K332, "-")), "-")</f>
        <v>-</v>
      </c>
    </row>
    <row r="333" spans="1:19" x14ac:dyDescent="0.3">
      <c r="A333" s="6" t="s">
        <v>310</v>
      </c>
      <c r="B333" s="93" t="s">
        <v>311</v>
      </c>
      <c r="C333" s="3" t="s">
        <v>1087</v>
      </c>
      <c r="D333" s="80" t="s">
        <v>712</v>
      </c>
      <c r="E333" s="74" t="s">
        <v>614</v>
      </c>
      <c r="F333" s="75">
        <v>0.55987473219562511</v>
      </c>
      <c r="G333" s="30">
        <v>24</v>
      </c>
      <c r="H333" s="39" t="s">
        <v>977</v>
      </c>
      <c r="I333" s="77">
        <v>22.799999999999997</v>
      </c>
      <c r="J333" s="78"/>
      <c r="K333" s="79">
        <v>0</v>
      </c>
      <c r="L333" s="73"/>
      <c r="M333" s="73"/>
      <c r="N333" s="24" t="str">
        <f>IFERROR(IF($N$2*F333=0, "-", $N$2*F333), "-")</f>
        <v>-</v>
      </c>
      <c r="O333" s="24" t="str">
        <f>IFERROR(IF(N333&gt;0,I333+N333,"-"),"-")</f>
        <v>-</v>
      </c>
      <c r="P333" s="24" t="str">
        <f>IF(J333&gt;0,J333*F333, "-")</f>
        <v>-</v>
      </c>
      <c r="Q333" s="26" t="str">
        <f>IFERROR(IF($N$2&gt;0, $N$2*P333, "-"), "-")</f>
        <v>-</v>
      </c>
      <c r="R333" s="18"/>
      <c r="S333" s="26" t="str">
        <f>IFERROR(IF(Q333+K333=0, "-", IF(Q333&gt;0, Q333+K333, "-")), "-")</f>
        <v>-</v>
      </c>
    </row>
    <row r="334" spans="1:19" x14ac:dyDescent="0.3">
      <c r="A334" s="6" t="s">
        <v>329</v>
      </c>
      <c r="B334" s="93" t="s">
        <v>262</v>
      </c>
      <c r="C334" s="3" t="s">
        <v>984</v>
      </c>
      <c r="D334" s="80" t="s">
        <v>712</v>
      </c>
      <c r="E334" s="74" t="s">
        <v>616</v>
      </c>
      <c r="F334" s="75">
        <v>9.4814035107458353E-2</v>
      </c>
      <c r="G334" s="30">
        <v>24</v>
      </c>
      <c r="H334" s="39" t="s">
        <v>977</v>
      </c>
      <c r="I334" s="77">
        <v>19.200000000000003</v>
      </c>
      <c r="J334" s="78"/>
      <c r="K334" s="79">
        <f>J334*I334</f>
        <v>0</v>
      </c>
      <c r="L334" s="1"/>
      <c r="M334" s="1"/>
      <c r="N334" s="24" t="str">
        <f>IFERROR(IF($N$2*F334=0, "-", $N$2*F334), "-")</f>
        <v>-</v>
      </c>
      <c r="O334" s="24" t="str">
        <f>IFERROR(IF(N334&gt;0,I334+N334,"-"),"-")</f>
        <v>-</v>
      </c>
      <c r="P334" s="24" t="str">
        <f>IF(J334&gt;0,J334*F334, "-")</f>
        <v>-</v>
      </c>
      <c r="Q334" s="26" t="str">
        <f>IFERROR(IF($N$2&gt;0, $N$2*P334, "-"), "-")</f>
        <v>-</v>
      </c>
      <c r="R334" s="18"/>
      <c r="S334" s="26" t="str">
        <f>IFERROR(IF(Q334+K334=0, "-", IF(Q334&gt;0, Q334+K334, "-")), "-")</f>
        <v>-</v>
      </c>
    </row>
    <row r="335" spans="1:19" x14ac:dyDescent="0.3">
      <c r="A335" s="6" t="s">
        <v>949</v>
      </c>
      <c r="B335" s="93" t="s">
        <v>263</v>
      </c>
      <c r="C335" s="3" t="s">
        <v>1067</v>
      </c>
      <c r="D335" s="80" t="s">
        <v>924</v>
      </c>
      <c r="E335" s="74" t="s">
        <v>617</v>
      </c>
      <c r="F335" s="75">
        <v>0.11798126540520835</v>
      </c>
      <c r="G335" s="30">
        <v>24</v>
      </c>
      <c r="H335" s="39" t="s">
        <v>977</v>
      </c>
      <c r="I335" s="77">
        <v>16.799999999999997</v>
      </c>
      <c r="J335" s="78"/>
      <c r="K335" s="79">
        <f>J335*I335</f>
        <v>0</v>
      </c>
      <c r="L335" s="1"/>
      <c r="M335" s="1"/>
      <c r="N335" s="24" t="str">
        <f>IFERROR(IF($N$2*F335=0, "-", $N$2*F335), "-")</f>
        <v>-</v>
      </c>
      <c r="O335" s="24" t="str">
        <f>IFERROR(IF(N335&gt;0,I335+N335,"-"),"-")</f>
        <v>-</v>
      </c>
      <c r="P335" s="24" t="str">
        <f>IF(J335&gt;0,J335*F335, "-")</f>
        <v>-</v>
      </c>
      <c r="Q335" s="26" t="str">
        <f>IFERROR(IF($N$2&gt;0, $N$2*P335, "-"), "-")</f>
        <v>-</v>
      </c>
      <c r="R335" s="18"/>
      <c r="S335" s="26" t="str">
        <f>IFERROR(IF(Q335+K335=0, "-", IF(Q335&gt;0, Q335+K335, "-")), "-")</f>
        <v>-</v>
      </c>
    </row>
    <row r="336" spans="1:19" x14ac:dyDescent="0.3">
      <c r="A336" s="6" t="s">
        <v>951</v>
      </c>
      <c r="B336" s="93" t="s">
        <v>265</v>
      </c>
      <c r="C336" s="3" t="s">
        <v>1040</v>
      </c>
      <c r="D336" s="80" t="s">
        <v>952</v>
      </c>
      <c r="E336" s="74" t="s">
        <v>619</v>
      </c>
      <c r="F336" s="75">
        <v>6.2208303577291672E-2</v>
      </c>
      <c r="G336" s="30">
        <v>24</v>
      </c>
      <c r="H336" s="39" t="s">
        <v>977</v>
      </c>
      <c r="I336" s="77">
        <v>19.200000000000003</v>
      </c>
      <c r="J336" s="78"/>
      <c r="K336" s="79">
        <f>J336*I336</f>
        <v>0</v>
      </c>
      <c r="L336" s="1"/>
      <c r="M336" s="1"/>
      <c r="N336" s="24" t="str">
        <f>IFERROR(IF($N$2*F336=0, "-", $N$2*F336), "-")</f>
        <v>-</v>
      </c>
      <c r="O336" s="24" t="str">
        <f>IFERROR(IF(N336&gt;0,I336+N336,"-"),"-")</f>
        <v>-</v>
      </c>
      <c r="P336" s="24" t="str">
        <f>IF(J336&gt;0,J336*F336, "-")</f>
        <v>-</v>
      </c>
      <c r="Q336" s="26" t="str">
        <f>IFERROR(IF($N$2&gt;0, $N$2*P336, "-"), "-")</f>
        <v>-</v>
      </c>
      <c r="R336" s="18"/>
      <c r="S336" s="26" t="str">
        <f>IFERROR(IF(Q336+K336=0, "-", IF(Q336&gt;0, Q336+K336, "-")), "-")</f>
        <v>-</v>
      </c>
    </row>
    <row r="337" spans="1:19" x14ac:dyDescent="0.3">
      <c r="A337" s="6" t="s">
        <v>953</v>
      </c>
      <c r="B337" s="93" t="s">
        <v>266</v>
      </c>
      <c r="C337" s="3" t="s">
        <v>1112</v>
      </c>
      <c r="D337" s="80" t="s">
        <v>769</v>
      </c>
      <c r="E337" s="74" t="s">
        <v>620</v>
      </c>
      <c r="F337" s="75">
        <v>0.40757164412708335</v>
      </c>
      <c r="G337" s="30">
        <v>12</v>
      </c>
      <c r="H337" s="39" t="s">
        <v>977</v>
      </c>
      <c r="I337" s="77">
        <v>18</v>
      </c>
      <c r="J337" s="78"/>
      <c r="K337" s="79">
        <f>J337*I337</f>
        <v>0</v>
      </c>
      <c r="L337" s="1"/>
      <c r="M337" s="1"/>
      <c r="N337" s="24" t="str">
        <f>IFERROR(IF($N$2*F337=0, "-", $N$2*F337), "-")</f>
        <v>-</v>
      </c>
      <c r="O337" s="24" t="str">
        <f>IFERROR(IF(N337&gt;0,I337+N337,"-"),"-")</f>
        <v>-</v>
      </c>
      <c r="P337" s="24" t="str">
        <f>IF(J337&gt;0,J337*F337, "-")</f>
        <v>-</v>
      </c>
      <c r="Q337" s="26" t="str">
        <f>IFERROR(IF($N$2&gt;0, $N$2*P337, "-"), "-")</f>
        <v>-</v>
      </c>
      <c r="R337" s="18"/>
      <c r="S337" s="26" t="str">
        <f>IFERROR(IF(Q337+K337=0, "-", IF(Q337&gt;0, Q337+K337, "-")), "-")</f>
        <v>-</v>
      </c>
    </row>
    <row r="338" spans="1:19" x14ac:dyDescent="0.3">
      <c r="A338" s="6" t="s">
        <v>1219</v>
      </c>
      <c r="B338" s="93" t="s">
        <v>1220</v>
      </c>
      <c r="C338" s="3" t="s">
        <v>1221</v>
      </c>
      <c r="D338" s="80" t="s">
        <v>670</v>
      </c>
      <c r="E338" s="74" t="s">
        <v>1222</v>
      </c>
      <c r="F338" s="75">
        <v>0.30645</v>
      </c>
      <c r="G338" s="30">
        <v>12</v>
      </c>
      <c r="H338" s="39" t="s">
        <v>977</v>
      </c>
      <c r="I338" s="77">
        <v>22.799999999999997</v>
      </c>
      <c r="J338" s="78"/>
      <c r="K338" s="79">
        <f>J338*I338</f>
        <v>0</v>
      </c>
      <c r="L338" s="1"/>
      <c r="M338" s="1"/>
      <c r="N338" s="24" t="str">
        <f>IFERROR(IF($N$2*F338=0, "-", $N$2*F338), "-")</f>
        <v>-</v>
      </c>
      <c r="O338" s="24" t="str">
        <f>IFERROR(IF(N338&gt;0,I338+N338,"-"),"-")</f>
        <v>-</v>
      </c>
      <c r="P338" s="24" t="str">
        <f>IF(J338&gt;0,J338*F338, "-")</f>
        <v>-</v>
      </c>
      <c r="Q338" s="26" t="str">
        <f>IFERROR(IF($N$2&gt;0, $N$2*P338, "-"), "-")</f>
        <v>-</v>
      </c>
      <c r="R338" s="18"/>
      <c r="S338" s="26" t="str">
        <f>IFERROR(IF(Q338+K338=0, "-", IF(Q338&gt;0, Q338+K338, "-")), "-")</f>
        <v>-</v>
      </c>
    </row>
    <row r="339" spans="1:19" x14ac:dyDescent="0.3">
      <c r="A339" s="6" t="s">
        <v>958</v>
      </c>
      <c r="B339" s="93" t="s">
        <v>270</v>
      </c>
      <c r="C339" s="3" t="s">
        <v>984</v>
      </c>
      <c r="D339" s="80" t="s">
        <v>666</v>
      </c>
      <c r="E339" s="74" t="s">
        <v>625</v>
      </c>
      <c r="F339" s="75">
        <v>6.4353417493750009E-2</v>
      </c>
      <c r="G339" s="30">
        <v>24</v>
      </c>
      <c r="H339" s="39" t="s">
        <v>977</v>
      </c>
      <c r="I339" s="77">
        <v>18</v>
      </c>
      <c r="J339" s="78"/>
      <c r="K339" s="79">
        <f>J339*I339</f>
        <v>0</v>
      </c>
      <c r="L339" s="1"/>
      <c r="M339" s="1"/>
      <c r="N339" s="24" t="str">
        <f>IFERROR(IF($N$2*F339=0, "-", $N$2*F339), "-")</f>
        <v>-</v>
      </c>
      <c r="O339" s="24" t="str">
        <f>IFERROR(IF(N339&gt;0,I339+N339,"-"),"-")</f>
        <v>-</v>
      </c>
      <c r="P339" s="24" t="str">
        <f>IF(J339&gt;0,J339*F339, "-")</f>
        <v>-</v>
      </c>
      <c r="Q339" s="26" t="str">
        <f>IFERROR(IF($N$2&gt;0, $N$2*P339, "-"), "-")</f>
        <v>-</v>
      </c>
      <c r="R339" s="18"/>
      <c r="S339" s="26" t="str">
        <f>IFERROR(IF(Q339+K339=0, "-", IF(Q339&gt;0, Q339+K339, "-")), "-")</f>
        <v>-</v>
      </c>
    </row>
    <row r="340" spans="1:19" x14ac:dyDescent="0.3">
      <c r="A340" s="6" t="s">
        <v>1229</v>
      </c>
      <c r="B340" s="93" t="s">
        <v>1238</v>
      </c>
      <c r="C340" s="3" t="s">
        <v>984</v>
      </c>
      <c r="D340" s="80" t="s">
        <v>666</v>
      </c>
      <c r="E340" s="74" t="s">
        <v>1229</v>
      </c>
      <c r="F340" s="75"/>
      <c r="G340" s="30">
        <v>0</v>
      </c>
      <c r="H340" s="39" t="s">
        <v>977</v>
      </c>
      <c r="I340" s="77">
        <v>15.600000000000001</v>
      </c>
      <c r="J340" s="78"/>
      <c r="K340" s="79">
        <f>J340*I340</f>
        <v>0</v>
      </c>
      <c r="L340" s="1"/>
      <c r="M340" s="1"/>
      <c r="N340" s="24" t="str">
        <f>IFERROR(IF($N$2*F340=0, "-", $N$2*F340), "-")</f>
        <v>-</v>
      </c>
      <c r="O340" s="24" t="str">
        <f>IFERROR(IF(N340&gt;0,I340+N340,"-"),"-")</f>
        <v>-</v>
      </c>
      <c r="P340" s="24" t="str">
        <f>IF(J340&gt;0,J340*F340, "-")</f>
        <v>-</v>
      </c>
      <c r="Q340" s="26" t="str">
        <f>IFERROR(IF($N$2&gt;0, $N$2*P340, "-"), "-")</f>
        <v>-</v>
      </c>
      <c r="R340" s="18"/>
      <c r="S340" s="26" t="str">
        <f>IFERROR(IF(Q340+K340=0, "-", IF(Q340&gt;0, Q340+K340, "-")), "-")</f>
        <v>-</v>
      </c>
    </row>
    <row r="341" spans="1:19" x14ac:dyDescent="0.3">
      <c r="A341" s="6" t="s">
        <v>959</v>
      </c>
      <c r="B341" s="93" t="s">
        <v>271</v>
      </c>
      <c r="C341" s="3" t="s">
        <v>1040</v>
      </c>
      <c r="D341" s="80" t="s">
        <v>649</v>
      </c>
      <c r="E341" s="74" t="s">
        <v>626</v>
      </c>
      <c r="F341" s="75">
        <v>6.5211463060333333E-2</v>
      </c>
      <c r="G341" s="30">
        <v>24</v>
      </c>
      <c r="H341" s="39" t="s">
        <v>977</v>
      </c>
      <c r="I341" s="77">
        <v>15</v>
      </c>
      <c r="J341" s="78"/>
      <c r="K341" s="79">
        <f>J341*I341</f>
        <v>0</v>
      </c>
      <c r="L341" s="1"/>
      <c r="M341" s="1"/>
      <c r="N341" s="24" t="str">
        <f>IFERROR(IF($N$2*F341=0, "-", $N$2*F341), "-")</f>
        <v>-</v>
      </c>
      <c r="O341" s="24" t="str">
        <f>IFERROR(IF(N341&gt;0,I341+N341,"-"),"-")</f>
        <v>-</v>
      </c>
      <c r="P341" s="24" t="str">
        <f>IF(J341&gt;0,J341*F341, "-")</f>
        <v>-</v>
      </c>
      <c r="Q341" s="26" t="str">
        <f>IFERROR(IF($N$2&gt;0, $N$2*P341, "-"), "-")</f>
        <v>-</v>
      </c>
      <c r="R341" s="18"/>
      <c r="S341" s="26" t="str">
        <f>IFERROR(IF(Q341+K341=0, "-", IF(Q341&gt;0, Q341+K341, "-")), "-")</f>
        <v>-</v>
      </c>
    </row>
    <row r="342" spans="1:19" x14ac:dyDescent="0.3">
      <c r="A342" s="6" t="s">
        <v>960</v>
      </c>
      <c r="B342" s="93" t="s">
        <v>272</v>
      </c>
      <c r="C342" s="3" t="s">
        <v>1040</v>
      </c>
      <c r="D342" s="80" t="s">
        <v>649</v>
      </c>
      <c r="E342" s="74" t="s">
        <v>627</v>
      </c>
      <c r="F342" s="75">
        <v>9.4170500932520829E-2</v>
      </c>
      <c r="G342" s="30">
        <v>24</v>
      </c>
      <c r="H342" s="39" t="s">
        <v>977</v>
      </c>
      <c r="I342" s="77">
        <v>9</v>
      </c>
      <c r="J342" s="78"/>
      <c r="K342" s="79">
        <f>J342*I342</f>
        <v>0</v>
      </c>
      <c r="L342" s="1"/>
      <c r="M342" s="1"/>
      <c r="N342" s="24" t="str">
        <f>IFERROR(IF($N$2*F342=0, "-", $N$2*F342), "-")</f>
        <v>-</v>
      </c>
      <c r="O342" s="24" t="str">
        <f>IFERROR(IF(N342&gt;0,I342+N342,"-"),"-")</f>
        <v>-</v>
      </c>
      <c r="P342" s="24" t="str">
        <f>IF(J342&gt;0,J342*F342, "-")</f>
        <v>-</v>
      </c>
      <c r="Q342" s="26" t="str">
        <f>IFERROR(IF($N$2&gt;0, $N$2*P342, "-"), "-")</f>
        <v>-</v>
      </c>
      <c r="R342" s="18"/>
      <c r="S342" s="26" t="str">
        <f>IFERROR(IF(Q342+K342=0, "-", IF(Q342&gt;0, Q342+K342, "-")), "-")</f>
        <v>-</v>
      </c>
    </row>
    <row r="343" spans="1:19" x14ac:dyDescent="0.3">
      <c r="A343" s="6" t="s">
        <v>961</v>
      </c>
      <c r="B343" s="93" t="s">
        <v>273</v>
      </c>
      <c r="C343" s="3" t="s">
        <v>1113</v>
      </c>
      <c r="D343" s="80" t="s">
        <v>643</v>
      </c>
      <c r="E343" s="74" t="s">
        <v>628</v>
      </c>
      <c r="F343" s="75">
        <v>0.51396929438341676</v>
      </c>
      <c r="G343" s="30">
        <v>12</v>
      </c>
      <c r="H343" s="39" t="s">
        <v>977</v>
      </c>
      <c r="I343" s="77">
        <v>19.799999999999997</v>
      </c>
      <c r="J343" s="78"/>
      <c r="K343" s="79">
        <f>J343*I343</f>
        <v>0</v>
      </c>
      <c r="L343" s="1"/>
      <c r="M343" s="1"/>
      <c r="N343" s="24" t="str">
        <f>IFERROR(IF($N$2*F343=0, "-", $N$2*F343), "-")</f>
        <v>-</v>
      </c>
      <c r="O343" s="24" t="str">
        <f>IFERROR(IF(N343&gt;0,I343+N343,"-"),"-")</f>
        <v>-</v>
      </c>
      <c r="P343" s="24" t="str">
        <f>IF(J343&gt;0,J343*F343, "-")</f>
        <v>-</v>
      </c>
      <c r="Q343" s="26" t="str">
        <f>IFERROR(IF($N$2&gt;0, $N$2*P343, "-"), "-")</f>
        <v>-</v>
      </c>
      <c r="R343" s="18"/>
      <c r="S343" s="26" t="str">
        <f>IFERROR(IF(Q343+K343=0, "-", IF(Q343&gt;0, Q343+K343, "-")), "-")</f>
        <v>-</v>
      </c>
    </row>
    <row r="344" spans="1:19" x14ac:dyDescent="0.3">
      <c r="A344" s="6" t="s">
        <v>965</v>
      </c>
      <c r="B344" s="93" t="s">
        <v>277</v>
      </c>
      <c r="C344" s="3" t="s">
        <v>984</v>
      </c>
      <c r="D344" s="80" t="s">
        <v>966</v>
      </c>
      <c r="E344" s="74" t="s">
        <v>632</v>
      </c>
      <c r="F344" s="75">
        <v>8.7919638979961259E-2</v>
      </c>
      <c r="G344" s="30">
        <v>24</v>
      </c>
      <c r="H344" s="39" t="s">
        <v>977</v>
      </c>
      <c r="I344" s="77">
        <v>27.599999999999998</v>
      </c>
      <c r="J344" s="78"/>
      <c r="K344" s="79">
        <f>J344*I344</f>
        <v>0</v>
      </c>
      <c r="L344" s="1"/>
      <c r="M344" s="1"/>
      <c r="N344" s="24" t="str">
        <f>IFERROR(IF($N$2*F344=0, "-", $N$2*F344), "-")</f>
        <v>-</v>
      </c>
      <c r="O344" s="24" t="str">
        <f>IFERROR(IF(N344&gt;0,I344+N344,"-"),"-")</f>
        <v>-</v>
      </c>
      <c r="P344" s="24" t="str">
        <f>IF(J344&gt;0,J344*F344, "-")</f>
        <v>-</v>
      </c>
      <c r="Q344" s="26" t="str">
        <f>IFERROR(IF($N$2&gt;0, $N$2*P344, "-"), "-")</f>
        <v>-</v>
      </c>
      <c r="R344" s="18"/>
      <c r="S344" s="26" t="str">
        <f>IFERROR(IF(Q344+K344=0, "-", IF(Q344&gt;0, Q344+K344, "-")), "-")</f>
        <v>-</v>
      </c>
    </row>
    <row r="345" spans="1:19" x14ac:dyDescent="0.3">
      <c r="A345" s="6" t="s">
        <v>967</v>
      </c>
      <c r="B345" s="93" t="s">
        <v>281</v>
      </c>
      <c r="C345" s="3" t="s">
        <v>984</v>
      </c>
      <c r="D345" s="80" t="s">
        <v>811</v>
      </c>
      <c r="E345" s="74" t="s">
        <v>633</v>
      </c>
      <c r="F345" s="75">
        <v>0.2230918473116667</v>
      </c>
      <c r="G345" s="30">
        <v>24</v>
      </c>
      <c r="H345" s="39" t="s">
        <v>977</v>
      </c>
      <c r="I345" s="77">
        <v>12</v>
      </c>
      <c r="J345" s="78"/>
      <c r="K345" s="79">
        <f>J345*I345</f>
        <v>0</v>
      </c>
      <c r="L345" s="1"/>
      <c r="M345" s="1"/>
      <c r="N345" s="24" t="str">
        <f>IFERROR(IF($N$2*F345=0, "-", $N$2*F345), "-")</f>
        <v>-</v>
      </c>
      <c r="O345" s="24" t="str">
        <f>IFERROR(IF(N345&gt;0,I345+N345,"-"),"-")</f>
        <v>-</v>
      </c>
      <c r="P345" s="24" t="str">
        <f>IF(J345&gt;0,J345*F345, "-")</f>
        <v>-</v>
      </c>
      <c r="Q345" s="26" t="str">
        <f>IFERROR(IF($N$2&gt;0, $N$2*P345, "-"), "-")</f>
        <v>-</v>
      </c>
      <c r="R345" s="18"/>
      <c r="S345" s="26" t="str">
        <f>IFERROR(IF(Q345+K345=0, "-", IF(Q345&gt;0, Q345+K345, "-")), "-")</f>
        <v>-</v>
      </c>
    </row>
    <row r="346" spans="1:19" x14ac:dyDescent="0.3">
      <c r="A346" s="6" t="s">
        <v>1230</v>
      </c>
      <c r="B346" s="93" t="s">
        <v>1239</v>
      </c>
      <c r="C346" s="3" t="s">
        <v>1040</v>
      </c>
      <c r="D346" s="80" t="s">
        <v>670</v>
      </c>
      <c r="E346" s="74" t="s">
        <v>1250</v>
      </c>
      <c r="F346" s="75"/>
      <c r="G346" s="30">
        <v>24</v>
      </c>
      <c r="H346" s="39" t="s">
        <v>977</v>
      </c>
      <c r="I346" s="77">
        <v>18</v>
      </c>
      <c r="J346" s="78"/>
      <c r="K346" s="79">
        <f>J346*I346</f>
        <v>0</v>
      </c>
      <c r="L346" s="1"/>
      <c r="M346" s="1"/>
      <c r="N346" s="24" t="str">
        <f>IFERROR(IF($N$2*F346=0, "-", $N$2*F346), "-")</f>
        <v>-</v>
      </c>
      <c r="O346" s="24" t="str">
        <f>IFERROR(IF(N346&gt;0,I346+N346,"-"),"-")</f>
        <v>-</v>
      </c>
      <c r="P346" s="24" t="str">
        <f>IF(J346&gt;0,J346*F346, "-")</f>
        <v>-</v>
      </c>
      <c r="Q346" s="26" t="str">
        <f>IFERROR(IF($N$2&gt;0, $N$2*P346, "-"), "-")</f>
        <v>-</v>
      </c>
      <c r="R346" s="18"/>
      <c r="S346" s="26" t="str">
        <f>IFERROR(IF(Q346+K346=0, "-", IF(Q346&gt;0, Q346+K346, "-")), "-")</f>
        <v>-</v>
      </c>
    </row>
    <row r="347" spans="1:19" x14ac:dyDescent="0.3">
      <c r="A347" s="6" t="s">
        <v>968</v>
      </c>
      <c r="B347" s="93" t="s">
        <v>290</v>
      </c>
      <c r="C347" s="3" t="s">
        <v>1115</v>
      </c>
      <c r="D347" s="80" t="s">
        <v>670</v>
      </c>
      <c r="E347" s="74" t="s">
        <v>634</v>
      </c>
      <c r="F347" s="75">
        <v>6.4411250000000003E-2</v>
      </c>
      <c r="G347" s="30">
        <v>24</v>
      </c>
      <c r="H347" s="39" t="s">
        <v>977</v>
      </c>
      <c r="I347" s="77">
        <v>22.799999999999997</v>
      </c>
      <c r="J347" s="78"/>
      <c r="K347" s="79">
        <f>J347*I347</f>
        <v>0</v>
      </c>
      <c r="L347" s="1"/>
      <c r="M347" s="1"/>
      <c r="N347" s="24" t="str">
        <f>IFERROR(IF($N$2*F347=0, "-", $N$2*F347), "-")</f>
        <v>-</v>
      </c>
      <c r="O347" s="24" t="str">
        <f>IFERROR(IF(N347&gt;0,I347+N347,"-"),"-")</f>
        <v>-</v>
      </c>
      <c r="P347" s="24" t="str">
        <f>IF(J347&gt;0,J347*F347, "-")</f>
        <v>-</v>
      </c>
      <c r="Q347" s="26" t="str">
        <f>IFERROR(IF($N$2&gt;0, $N$2*P347, "-"), "-")</f>
        <v>-</v>
      </c>
      <c r="R347" s="18"/>
      <c r="S347" s="26" t="str">
        <f>IFERROR(IF(Q347+K347=0, "-", IF(Q347&gt;0, Q347+K347, "-")), "-")</f>
        <v>-</v>
      </c>
    </row>
    <row r="348" spans="1:19" x14ac:dyDescent="0.3">
      <c r="A348" s="6" t="s">
        <v>1231</v>
      </c>
      <c r="B348" s="93" t="s">
        <v>1240</v>
      </c>
      <c r="C348" s="3" t="s">
        <v>1040</v>
      </c>
      <c r="D348" s="80" t="s">
        <v>643</v>
      </c>
      <c r="E348" s="74" t="s">
        <v>1251</v>
      </c>
      <c r="F348" s="75"/>
      <c r="G348" s="30">
        <v>24</v>
      </c>
      <c r="H348" s="39" t="s">
        <v>977</v>
      </c>
      <c r="I348" s="77">
        <v>21.6</v>
      </c>
      <c r="J348" s="78"/>
      <c r="K348" s="79">
        <f>J348*I348</f>
        <v>0</v>
      </c>
      <c r="L348" s="1"/>
      <c r="M348" s="1"/>
      <c r="N348" s="24" t="str">
        <f>IFERROR(IF($N$2*F348=0, "-", $N$2*F348), "-")</f>
        <v>-</v>
      </c>
      <c r="O348" s="24" t="str">
        <f>IFERROR(IF(N348&gt;0,I348+N348,"-"),"-")</f>
        <v>-</v>
      </c>
      <c r="P348" s="24" t="str">
        <f>IF(J348&gt;0,J348*F348, "-")</f>
        <v>-</v>
      </c>
      <c r="Q348" s="26" t="str">
        <f>IFERROR(IF($N$2&gt;0, $N$2*P348, "-"), "-")</f>
        <v>-</v>
      </c>
      <c r="R348" s="18"/>
      <c r="S348" s="26" t="str">
        <f>IFERROR(IF(Q348+K348=0, "-", IF(Q348&gt;0, Q348+K348, "-")), "-")</f>
        <v>-</v>
      </c>
    </row>
    <row r="349" spans="1:19" x14ac:dyDescent="0.3">
      <c r="A349" s="6" t="s">
        <v>1233</v>
      </c>
      <c r="B349" s="93" t="s">
        <v>1242</v>
      </c>
      <c r="C349" s="3" t="s">
        <v>998</v>
      </c>
      <c r="D349" s="80" t="s">
        <v>670</v>
      </c>
      <c r="E349" s="74" t="s">
        <v>1253</v>
      </c>
      <c r="F349" s="75"/>
      <c r="G349" s="30">
        <v>24</v>
      </c>
      <c r="H349" s="39" t="s">
        <v>977</v>
      </c>
      <c r="I349" s="77">
        <v>13.200000000000001</v>
      </c>
      <c r="J349" s="78"/>
      <c r="K349" s="79">
        <f>J349*I349</f>
        <v>0</v>
      </c>
      <c r="L349" s="1"/>
      <c r="M349" s="1"/>
      <c r="N349" s="24" t="str">
        <f>IFERROR(IF($N$2*F349=0, "-", $N$2*F349), "-")</f>
        <v>-</v>
      </c>
      <c r="O349" s="24" t="str">
        <f>IFERROR(IF(N349&gt;0,I349+N349,"-"),"-")</f>
        <v>-</v>
      </c>
      <c r="P349" s="24" t="str">
        <f>IF(J349&gt;0,J349*F349, "-")</f>
        <v>-</v>
      </c>
      <c r="Q349" s="26" t="str">
        <f>IFERROR(IF($N$2&gt;0, $N$2*P349, "-"), "-")</f>
        <v>-</v>
      </c>
      <c r="R349" s="18"/>
      <c r="S349" s="26" t="str">
        <f>IFERROR(IF(Q349+K349=0, "-", IF(Q349&gt;0, Q349+K349, "-")), "-")</f>
        <v>-</v>
      </c>
    </row>
    <row r="350" spans="1:19" x14ac:dyDescent="0.3">
      <c r="A350" s="6" t="s">
        <v>1223</v>
      </c>
      <c r="B350" s="93" t="s">
        <v>1224</v>
      </c>
      <c r="C350" s="3" t="s">
        <v>998</v>
      </c>
      <c r="D350" s="80" t="s">
        <v>670</v>
      </c>
      <c r="E350" s="74" t="s">
        <v>1225</v>
      </c>
      <c r="F350" s="75">
        <v>4.8694085903604162E-2</v>
      </c>
      <c r="G350" s="30">
        <v>24</v>
      </c>
      <c r="H350" s="39" t="s">
        <v>977</v>
      </c>
      <c r="I350" s="77">
        <v>13.200000000000001</v>
      </c>
      <c r="J350" s="78"/>
      <c r="K350" s="79">
        <f>J350*I350</f>
        <v>0</v>
      </c>
      <c r="L350" s="1"/>
      <c r="M350" s="1"/>
      <c r="N350" s="24" t="str">
        <f>IFERROR(IF($N$2*F350=0, "-", $N$2*F350), "-")</f>
        <v>-</v>
      </c>
      <c r="O350" s="24" t="str">
        <f>IFERROR(IF(N350&gt;0,I350+N350,"-"),"-")</f>
        <v>-</v>
      </c>
      <c r="P350" s="24" t="str">
        <f>IF(J350&gt;0,J350*F350, "-")</f>
        <v>-</v>
      </c>
      <c r="Q350" s="26" t="str">
        <f>IFERROR(IF($N$2&gt;0, $N$2*P350, "-"), "-")</f>
        <v>-</v>
      </c>
      <c r="R350" s="18"/>
      <c r="S350" s="26" t="str">
        <f>IFERROR(IF(Q350+K350=0, "-", IF(Q350&gt;0, Q350+K350, "-")), "-")</f>
        <v>-</v>
      </c>
    </row>
    <row r="351" spans="1:19" x14ac:dyDescent="0.3">
      <c r="A351" s="6" t="s">
        <v>1234</v>
      </c>
      <c r="B351" s="93" t="s">
        <v>1243</v>
      </c>
      <c r="C351" s="3" t="s">
        <v>1245</v>
      </c>
      <c r="D351" s="80" t="s">
        <v>743</v>
      </c>
      <c r="E351" s="74" t="s">
        <v>1254</v>
      </c>
      <c r="F351" s="75"/>
      <c r="G351" s="30">
        <v>88</v>
      </c>
      <c r="H351" s="39" t="s">
        <v>977</v>
      </c>
      <c r="I351" s="77">
        <v>12.600000000000001</v>
      </c>
      <c r="J351" s="78"/>
      <c r="K351" s="79">
        <f>J351*I351</f>
        <v>0</v>
      </c>
      <c r="L351" s="1"/>
      <c r="M351" s="1"/>
      <c r="N351" s="24" t="str">
        <f>IFERROR(IF($N$2*F351=0, "-", $N$2*F351), "-")</f>
        <v>-</v>
      </c>
      <c r="O351" s="24" t="str">
        <f>IFERROR(IF(N351&gt;0,I351+N351,"-"),"-")</f>
        <v>-</v>
      </c>
      <c r="P351" s="24" t="str">
        <f>IF(J351&gt;0,J351*F351, "-")</f>
        <v>-</v>
      </c>
      <c r="Q351" s="26" t="str">
        <f>IFERROR(IF($N$2&gt;0, $N$2*P351, "-"), "-")</f>
        <v>-</v>
      </c>
      <c r="R351" s="18"/>
      <c r="S351" s="26" t="str">
        <f>IFERROR(IF(Q351+K351=0, "-", IF(Q351&gt;0, Q351+K351, "-")), "-")</f>
        <v>-</v>
      </c>
    </row>
    <row r="352" spans="1:19" x14ac:dyDescent="0.3">
      <c r="A352" s="6" t="s">
        <v>12</v>
      </c>
      <c r="B352" s="93" t="s">
        <v>278</v>
      </c>
      <c r="C352" s="3" t="s">
        <v>1005</v>
      </c>
      <c r="D352" s="80" t="s">
        <v>670</v>
      </c>
      <c r="E352" s="74" t="s">
        <v>637</v>
      </c>
      <c r="F352" s="75">
        <v>0.19091513856479167</v>
      </c>
      <c r="G352" s="30">
        <v>12</v>
      </c>
      <c r="H352" s="39" t="s">
        <v>977</v>
      </c>
      <c r="I352" s="77">
        <v>21.6</v>
      </c>
      <c r="J352" s="78"/>
      <c r="K352" s="79">
        <f>J352*I352</f>
        <v>0</v>
      </c>
      <c r="L352" s="1"/>
      <c r="M352" s="1"/>
      <c r="N352" s="24" t="str">
        <f>IFERROR(IF($N$2*F352=0, "-", $N$2*F352), "-")</f>
        <v>-</v>
      </c>
      <c r="O352" s="24" t="str">
        <f>IFERROR(IF(N352&gt;0,I352+N352,"-"),"-")</f>
        <v>-</v>
      </c>
      <c r="P352" s="24" t="str">
        <f>IF(J352&gt;0,J352*F352, "-")</f>
        <v>-</v>
      </c>
      <c r="Q352" s="26" t="str">
        <f>IFERROR(IF($N$2&gt;0, $N$2*P352, "-"), "-")</f>
        <v>-</v>
      </c>
      <c r="R352" s="18"/>
      <c r="S352" s="26" t="str">
        <f>IFERROR(IF(Q352+K352=0, "-", IF(Q352&gt;0, Q352+K352, "-")), "-")</f>
        <v>-</v>
      </c>
    </row>
    <row r="353" spans="1:19" x14ac:dyDescent="0.3">
      <c r="A353" s="6" t="s">
        <v>13</v>
      </c>
      <c r="B353" s="93" t="s">
        <v>279</v>
      </c>
      <c r="C353" s="3" t="s">
        <v>1006</v>
      </c>
      <c r="D353" s="80" t="s">
        <v>670</v>
      </c>
      <c r="E353" s="74" t="s">
        <v>638</v>
      </c>
      <c r="F353" s="75">
        <v>0.19627792335593749</v>
      </c>
      <c r="G353" s="30">
        <v>12</v>
      </c>
      <c r="H353" s="39" t="s">
        <v>977</v>
      </c>
      <c r="I353" s="77">
        <v>20.399999999999999</v>
      </c>
      <c r="J353" s="78"/>
      <c r="K353" s="79">
        <f>J353*I353</f>
        <v>0</v>
      </c>
      <c r="L353" s="1"/>
      <c r="M353" s="1"/>
      <c r="N353" s="24" t="str">
        <f>IFERROR(IF($N$2*F353=0, "-", $N$2*F353), "-")</f>
        <v>-</v>
      </c>
      <c r="O353" s="24" t="str">
        <f>IFERROR(IF(N353&gt;0,I353+N353,"-"),"-")</f>
        <v>-</v>
      </c>
      <c r="P353" s="24" t="str">
        <f>IF(J353&gt;0,J353*F353, "-")</f>
        <v>-</v>
      </c>
      <c r="Q353" s="26" t="str">
        <f>IFERROR(IF($N$2&gt;0, $N$2*P353, "-"), "-")</f>
        <v>-</v>
      </c>
      <c r="R353" s="18"/>
      <c r="S353" s="26" t="str">
        <f>IFERROR(IF(Q353+K353=0, "-", IF(Q353&gt;0, Q353+K353, "-")), "-")</f>
        <v>-</v>
      </c>
    </row>
    <row r="354" spans="1:19" x14ac:dyDescent="0.3">
      <c r="A354" s="51" t="s">
        <v>14</v>
      </c>
      <c r="B354" s="95" t="s">
        <v>280</v>
      </c>
      <c r="C354" s="52" t="s">
        <v>1004</v>
      </c>
      <c r="D354" s="81" t="s">
        <v>670</v>
      </c>
      <c r="E354" s="82" t="s">
        <v>639</v>
      </c>
      <c r="F354" s="83">
        <v>0.12870683498750002</v>
      </c>
      <c r="G354" s="53">
        <v>12</v>
      </c>
      <c r="H354" s="39" t="s">
        <v>977</v>
      </c>
      <c r="I354" s="84">
        <v>12</v>
      </c>
      <c r="J354" s="85"/>
      <c r="K354" s="79">
        <f>J354*I354</f>
        <v>0</v>
      </c>
      <c r="L354" s="1"/>
      <c r="M354" s="1"/>
      <c r="N354" s="24" t="str">
        <f>IFERROR(IF($N$2*F354=0, "-", $N$2*F354), "-")</f>
        <v>-</v>
      </c>
      <c r="O354" s="24" t="str">
        <f>IFERROR(IF(N354&gt;0,I354+N354,"-"),"-")</f>
        <v>-</v>
      </c>
      <c r="P354" s="24" t="str">
        <f>IF(J354&gt;0,J354*F354, "-")</f>
        <v>-</v>
      </c>
      <c r="Q354" s="26" t="str">
        <f>IFERROR(IF($N$2&gt;0, $N$2*P354, "-"), "-")</f>
        <v>-</v>
      </c>
      <c r="R354" s="18"/>
      <c r="S354" s="26" t="str">
        <f>IFERROR(IF(Q354+K354=0, "-", IF(Q354&gt;0, Q354+K354, "-")), "-")</f>
        <v>-</v>
      </c>
    </row>
    <row r="355" spans="1:19" ht="15" thickBot="1" x14ac:dyDescent="0.35">
      <c r="A355" s="7" t="s">
        <v>15</v>
      </c>
      <c r="B355" s="96" t="s">
        <v>284</v>
      </c>
      <c r="C355" s="8" t="s">
        <v>1005</v>
      </c>
      <c r="D355" s="86"/>
      <c r="E355" s="87" t="s">
        <v>640</v>
      </c>
      <c r="F355" s="88">
        <v>0.21451139164583335</v>
      </c>
      <c r="G355" s="31">
        <v>12</v>
      </c>
      <c r="H355" s="40" t="s">
        <v>977</v>
      </c>
      <c r="I355" s="89">
        <v>13.799999999999999</v>
      </c>
      <c r="J355" s="90"/>
      <c r="K355" s="91">
        <f>J355*I355</f>
        <v>0</v>
      </c>
      <c r="L355" s="1"/>
      <c r="M355" s="1"/>
      <c r="N355" s="24" t="str">
        <f>IFERROR(IF($N$2*F355=0, "-", $N$2*F355), "-")</f>
        <v>-</v>
      </c>
      <c r="O355" s="24" t="str">
        <f>IFERROR(IF(N355&gt;0,I355+N355,"-"),"-")</f>
        <v>-</v>
      </c>
      <c r="P355" s="24" t="str">
        <f>IF(J355&gt;0,J355*F355, "-")</f>
        <v>-</v>
      </c>
      <c r="Q355" s="26" t="str">
        <f>IFERROR(IF($N$2&gt;0, $N$2*P355, "-"), "-")</f>
        <v>-</v>
      </c>
      <c r="R355" s="18"/>
      <c r="S355" s="26" t="str">
        <f>IFERROR(IF(Q355+K355=0, "-", IF(Q355&gt;0, Q355+K355, "-")), "-")</f>
        <v>-</v>
      </c>
    </row>
    <row r="358" spans="1:19" ht="15" thickBot="1" x14ac:dyDescent="0.35"/>
    <row r="359" spans="1:19" ht="41.4" customHeight="1" thickTop="1" thickBot="1" x14ac:dyDescent="0.35">
      <c r="B359" s="102" t="e" vm="2">
        <v>#VALUE!</v>
      </c>
      <c r="C359" s="103"/>
    </row>
    <row r="360" spans="1:19" ht="15.6" thickTop="1" thickBot="1" x14ac:dyDescent="0.35">
      <c r="B360" s="104" t="s">
        <v>971</v>
      </c>
      <c r="C360" s="105"/>
    </row>
    <row r="361" spans="1:19" ht="15" thickBot="1" x14ac:dyDescent="0.35">
      <c r="B361" s="106" t="s">
        <v>972</v>
      </c>
      <c r="C361" s="107"/>
    </row>
    <row r="362" spans="1:19" ht="15" thickBot="1" x14ac:dyDescent="0.35">
      <c r="B362" s="108" t="s">
        <v>973</v>
      </c>
      <c r="C362" s="109"/>
    </row>
    <row r="363" spans="1:19" ht="15.6" thickTop="1" thickBot="1" x14ac:dyDescent="0.35">
      <c r="B363" s="104" t="s">
        <v>974</v>
      </c>
      <c r="C363" s="105"/>
    </row>
    <row r="364" spans="1:19" ht="15" thickBot="1" x14ac:dyDescent="0.35">
      <c r="B364" s="108" t="s">
        <v>975</v>
      </c>
      <c r="C364" s="109"/>
    </row>
    <row r="365" spans="1:19" ht="15" thickTop="1" x14ac:dyDescent="0.3"/>
  </sheetData>
  <sheetProtection algorithmName="SHA-512" hashValue="1sNDqnRlCqgUYWbxI79z9qqk2mTu33zPjj8u9Eb9zFhKjmuJCBp1Q8DjBc3Wlx61DGrjC4eQV318omyI94YQiw==" saltValue="81T6LC2jmFNgclQ+NIyy8A==" spinCount="100000" sheet="1" formatCells="0" formatColumns="0" formatRows="0" insertColumns="0" insertRows="0" insertHyperlinks="0" deleteColumns="0" deleteRows="0" sort="0" autoFilter="0" pivotTables="0"/>
  <autoFilter ref="A2:S355" xr:uid="{FFB41070-814A-4413-97C9-81BC38068CCA}"/>
  <sortState xmlns:xlrd2="http://schemas.microsoft.com/office/spreadsheetml/2017/richdata2" ref="A3:S355">
    <sortCondition ref="H3:H355"/>
  </sortState>
  <mergeCells count="9">
    <mergeCell ref="B361:C361"/>
    <mergeCell ref="B362:C362"/>
    <mergeCell ref="B363:C363"/>
    <mergeCell ref="B364:C364"/>
    <mergeCell ref="O1:O2"/>
    <mergeCell ref="A1:H1"/>
    <mergeCell ref="I1:K1"/>
    <mergeCell ref="B359:C359"/>
    <mergeCell ref="B360:C360"/>
  </mergeCells>
  <conditionalFormatting sqref="H3:H355">
    <cfRule type="containsText" dxfId="6" priority="2" operator="containsText" text="В">
      <formula>NOT(ISERROR(SEARCH("В",H3)))</formula>
    </cfRule>
    <cfRule type="containsText" dxfId="5" priority="3" operator="containsText" text="А">
      <formula>NOT(ISERROR(SEARCH("А",H3)))</formula>
    </cfRule>
    <cfRule type="containsText" dxfId="4" priority="4" operator="containsText" text="С">
      <formula>NOT(ISERROR(SEARCH("С",H3)))</formula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M321 K322:K355">
    <cfRule type="containsText" dxfId="3" priority="1" operator="containsText" text="Please">
      <formula>NOT(ISERROR(SEARCH("Please",K3)))</formula>
    </cfRule>
  </conditionalFormatting>
  <conditionalFormatting sqref="S1">
    <cfRule type="expression" dxfId="2" priority="6">
      <formula>"&gt;0"</formula>
    </cfRule>
  </conditionalFormatting>
  <dataValidations disablePrompts="1" count="1">
    <dataValidation type="custom" allowBlank="1" showInputMessage="1" showErrorMessage="1" errorTitle="ERROR" error="Order quantity must be a multiple of Sales per Unit Case (See Column G)." prompt="Order quantity must be a multiple of Sales per Unit Case (See Column G)." sqref="J3:J355" xr:uid="{649661A1-0FCA-4939-9E91-178F4BD5B0EB}">
      <formula1>MOD(J3,G3)=0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907D-5855-461B-A1A8-E5044C268D4E}">
  <dimension ref="A1:S656"/>
  <sheetViews>
    <sheetView topLeftCell="B1" zoomScale="80" zoomScaleNormal="80" workbookViewId="0">
      <pane ySplit="2" topLeftCell="A3" activePane="bottomLeft" state="frozen"/>
      <selection pane="bottomLeft" activeCell="K15" sqref="K15"/>
    </sheetView>
  </sheetViews>
  <sheetFormatPr defaultRowHeight="14.4" x14ac:dyDescent="0.3"/>
  <cols>
    <col min="1" max="1" width="10.6640625" bestFit="1" customWidth="1"/>
    <col min="2" max="2" width="70.6640625" bestFit="1" customWidth="1"/>
    <col min="3" max="3" width="37.5546875" bestFit="1" customWidth="1"/>
    <col min="4" max="4" width="14.44140625" bestFit="1" customWidth="1"/>
    <col min="5" max="5" width="12.77734375" customWidth="1"/>
    <col min="6" max="6" width="13" customWidth="1"/>
    <col min="7" max="7" width="9.6640625" customWidth="1"/>
    <col min="8" max="8" width="9.88671875" customWidth="1"/>
    <col min="9" max="10" width="12.77734375" customWidth="1"/>
    <col min="11" max="11" width="21.6640625" customWidth="1"/>
    <col min="14" max="18" width="10.77734375" style="28" customWidth="1"/>
    <col min="19" max="19" width="10.77734375" style="29" customWidth="1"/>
  </cols>
  <sheetData>
    <row r="1" spans="1:19" s="14" customFormat="1" ht="43.8" thickBot="1" x14ac:dyDescent="0.35">
      <c r="A1" s="110" t="s">
        <v>0</v>
      </c>
      <c r="B1" s="110" t="s">
        <v>1</v>
      </c>
      <c r="C1" s="110" t="s">
        <v>980</v>
      </c>
      <c r="D1" s="114" t="s">
        <v>3</v>
      </c>
      <c r="E1" s="110" t="s">
        <v>4</v>
      </c>
      <c r="F1" s="116" t="s">
        <v>8</v>
      </c>
      <c r="G1" s="110" t="s">
        <v>9</v>
      </c>
      <c r="H1" s="110" t="s">
        <v>9</v>
      </c>
      <c r="I1" s="114" t="s">
        <v>7</v>
      </c>
      <c r="J1" s="110" t="s">
        <v>10</v>
      </c>
      <c r="K1" s="112">
        <f>SUBTOTAL(9,J3:J12)</f>
        <v>0</v>
      </c>
      <c r="N1" s="15" t="s">
        <v>294</v>
      </c>
      <c r="O1" s="98" t="s">
        <v>295</v>
      </c>
      <c r="P1" s="16" t="s">
        <v>296</v>
      </c>
      <c r="Q1" s="17" t="s">
        <v>297</v>
      </c>
      <c r="R1" s="18"/>
      <c r="S1" s="19" t="str">
        <f>IFERROR(IF(SUM(S3:S310)=0, "-", K1+Q2), "-")</f>
        <v>-</v>
      </c>
    </row>
    <row r="2" spans="1:19" s="14" customFormat="1" ht="29.4" thickBot="1" x14ac:dyDescent="0.35">
      <c r="A2" s="111"/>
      <c r="B2" s="111"/>
      <c r="C2" s="111"/>
      <c r="D2" s="115"/>
      <c r="E2" s="111"/>
      <c r="F2" s="117"/>
      <c r="G2" s="111"/>
      <c r="H2" s="111"/>
      <c r="I2" s="115"/>
      <c r="J2" s="111"/>
      <c r="K2" s="113"/>
      <c r="N2" s="20"/>
      <c r="O2" s="99"/>
      <c r="P2" s="21" t="str">
        <f>IF(SUM(P3:P310)=0, "-", SUM(P3:P310))</f>
        <v>-</v>
      </c>
      <c r="Q2" s="21" t="str">
        <f>IF(SUM(Q3:Q310)=0, "-", SUM(Q3:Q310))</f>
        <v>-</v>
      </c>
      <c r="R2" s="22"/>
      <c r="S2" s="23" t="s">
        <v>298</v>
      </c>
    </row>
    <row r="3" spans="1:19" x14ac:dyDescent="0.3">
      <c r="A3" s="41" t="s">
        <v>905</v>
      </c>
      <c r="B3" s="42" t="s">
        <v>222</v>
      </c>
      <c r="C3" s="42" t="str" cm="1">
        <f t="array" ref="C3:C12">INDEX('DSN GROUP (Life Extension)'!C:C,MATCH(TEXT('Promo May'!D3:D12,"000000000000"),'DSN GROUP (Life Extension)'!E:E,0))</f>
        <v>120 capsules</v>
      </c>
      <c r="D3" s="43">
        <v>737870231417</v>
      </c>
      <c r="E3" s="44" cm="1">
        <f t="array" ref="E3:E12">INDEX('DSN GROUP (Life Extension)'!G:G,MATCH(TEXT('Promo May'!D3:D12,"000000000000"),'DSN GROUP (Life Extension)'!E:E,0))</f>
        <v>24</v>
      </c>
      <c r="F3" s="45" cm="1">
        <f t="array" ref="F3:F12">INDEX('DSN GROUP (Life Extension)'!F:F,MATCH(TEXT('Promo May'!D3:D12,"000000000000"),'DSN GROUP (Life Extension)'!E:E,0))</f>
        <v>0.19091513856479167</v>
      </c>
      <c r="G3" s="46">
        <v>20.100000000000001</v>
      </c>
      <c r="H3" s="47">
        <v>17.445</v>
      </c>
      <c r="I3" s="48"/>
      <c r="J3" s="49">
        <f>H3*I3</f>
        <v>0</v>
      </c>
      <c r="K3" s="2"/>
      <c r="N3" s="24" t="str">
        <f t="shared" ref="N3" si="0">IFERROR(IF($N$2*F3=0, "-", $N$2*F3), "-")</f>
        <v>-</v>
      </c>
      <c r="O3" s="24" t="str">
        <f>IFERROR(IF(N3&gt;0,H3+N3,"-"),"-")</f>
        <v>-</v>
      </c>
      <c r="P3" s="24" t="str">
        <f>IF(I3&gt;0,I3*F3, "-")</f>
        <v>-</v>
      </c>
      <c r="Q3" s="26" t="str">
        <f>IFERROR(IF($N$2&gt;0, $N$2*P3, "-"), "-")</f>
        <v>-</v>
      </c>
      <c r="R3" s="18"/>
      <c r="S3" s="27" t="str">
        <f t="shared" ref="S3" si="1">IFERROR(IF(Q3+K3=0, "-", IF(Q3&gt;0, Q3+K3, "-")), "-")</f>
        <v>-</v>
      </c>
    </row>
    <row r="4" spans="1:19" ht="15" thickBot="1" x14ac:dyDescent="0.35">
      <c r="A4" s="32" t="s">
        <v>694</v>
      </c>
      <c r="B4" s="8" t="s">
        <v>51</v>
      </c>
      <c r="C4" s="8" t="str">
        <v>100 mg, 60 vegetarian capsules</v>
      </c>
      <c r="D4" s="37">
        <v>737870121763</v>
      </c>
      <c r="E4" s="38">
        <v>24</v>
      </c>
      <c r="F4" s="33">
        <v>6.1779280794000004E-2</v>
      </c>
      <c r="G4" s="34">
        <v>13.200000000000001</v>
      </c>
      <c r="H4" s="35">
        <v>12.375</v>
      </c>
      <c r="I4" s="36"/>
      <c r="J4" s="13">
        <f t="shared" ref="J4:J11" si="2">H4*I4</f>
        <v>0</v>
      </c>
      <c r="K4" s="2"/>
      <c r="N4" s="24" t="str">
        <f t="shared" ref="N4:N11" si="3">IFERROR(IF($N$2*F4=0, "-", $N$2*F4), "-")</f>
        <v>-</v>
      </c>
      <c r="O4" s="24" t="str">
        <f t="shared" ref="O4:O11" si="4">IFERROR(IF(N4&gt;0,H4+N4,"-"),"-")</f>
        <v>-</v>
      </c>
      <c r="P4" s="24" t="str">
        <f t="shared" ref="P4:P11" si="5">IF(I4&gt;0,I4*F4, "-")</f>
        <v>-</v>
      </c>
      <c r="Q4" s="26" t="str">
        <f t="shared" ref="Q4:Q11" si="6">IFERROR(IF($N$2&gt;0, $N$2*P4, "-"), "-")</f>
        <v>-</v>
      </c>
      <c r="R4" s="18"/>
      <c r="S4" s="27" t="str">
        <f t="shared" ref="S4:S11" si="7">IFERROR(IF(Q4+K4=0, "-", IF(Q4&gt;0, Q4+K4, "-")), "-")</f>
        <v>-</v>
      </c>
    </row>
    <row r="5" spans="1:19" ht="15" thickBot="1" x14ac:dyDescent="0.35">
      <c r="A5" s="32" t="s">
        <v>946</v>
      </c>
      <c r="B5" s="8" t="s">
        <v>259</v>
      </c>
      <c r="C5" s="8" t="str">
        <v>60 vegetarian tablets</v>
      </c>
      <c r="D5" s="37">
        <v>737870250166</v>
      </c>
      <c r="E5" s="38">
        <v>24</v>
      </c>
      <c r="F5" s="33">
        <v>0.14372263240270833</v>
      </c>
      <c r="G5" s="34">
        <v>20.399999999999999</v>
      </c>
      <c r="H5" s="35">
        <v>19.125</v>
      </c>
      <c r="I5" s="36"/>
      <c r="J5" s="13">
        <f t="shared" si="2"/>
        <v>0</v>
      </c>
      <c r="N5" s="24" t="str">
        <f t="shared" si="3"/>
        <v>-</v>
      </c>
      <c r="O5" s="24" t="str">
        <f t="shared" si="4"/>
        <v>-</v>
      </c>
      <c r="P5" s="24" t="str">
        <f t="shared" si="5"/>
        <v>-</v>
      </c>
      <c r="Q5" s="26" t="str">
        <f t="shared" si="6"/>
        <v>-</v>
      </c>
      <c r="R5" s="18"/>
      <c r="S5" s="27" t="str">
        <f t="shared" si="7"/>
        <v>-</v>
      </c>
    </row>
    <row r="6" spans="1:19" ht="15" thickBot="1" x14ac:dyDescent="0.35">
      <c r="A6" s="32" t="s">
        <v>903</v>
      </c>
      <c r="B6" s="8" t="s">
        <v>220</v>
      </c>
      <c r="C6" s="8" t="str">
        <v>60 softgels</v>
      </c>
      <c r="D6" s="37">
        <v>737870231066</v>
      </c>
      <c r="E6" s="38">
        <v>24</v>
      </c>
      <c r="F6" s="33">
        <v>0.11386264668560832</v>
      </c>
      <c r="G6" s="34">
        <v>19.200000000000003</v>
      </c>
      <c r="H6" s="35">
        <v>18</v>
      </c>
      <c r="I6" s="36"/>
      <c r="J6" s="13">
        <f t="shared" si="2"/>
        <v>0</v>
      </c>
      <c r="N6" s="24" t="str">
        <f t="shared" si="3"/>
        <v>-</v>
      </c>
      <c r="O6" s="24" t="str">
        <f t="shared" si="4"/>
        <v>-</v>
      </c>
      <c r="P6" s="24" t="str">
        <f t="shared" si="5"/>
        <v>-</v>
      </c>
      <c r="Q6" s="26" t="str">
        <f t="shared" si="6"/>
        <v>-</v>
      </c>
      <c r="R6" s="18"/>
      <c r="S6" s="27" t="str">
        <f t="shared" si="7"/>
        <v>-</v>
      </c>
    </row>
    <row r="7" spans="1:19" ht="15" thickBot="1" x14ac:dyDescent="0.35">
      <c r="A7" s="32" t="s">
        <v>1202</v>
      </c>
      <c r="B7" s="8" t="s">
        <v>1203</v>
      </c>
      <c r="C7" s="8" t="str">
        <v>1000 mcg, 100 capsules</v>
      </c>
      <c r="D7" s="37">
        <v>737870240310</v>
      </c>
      <c r="E7" s="38">
        <v>24</v>
      </c>
      <c r="F7" s="33">
        <v>5.2126268169937505E-2</v>
      </c>
      <c r="G7" s="34">
        <v>9.6000000000000014</v>
      </c>
      <c r="H7" s="35">
        <v>9</v>
      </c>
      <c r="I7" s="36"/>
      <c r="J7" s="13">
        <f t="shared" si="2"/>
        <v>0</v>
      </c>
      <c r="N7" s="24" t="str">
        <f t="shared" si="3"/>
        <v>-</v>
      </c>
      <c r="O7" s="24" t="str">
        <f t="shared" si="4"/>
        <v>-</v>
      </c>
      <c r="P7" s="24" t="str">
        <f t="shared" si="5"/>
        <v>-</v>
      </c>
      <c r="Q7" s="26" t="str">
        <f t="shared" si="6"/>
        <v>-</v>
      </c>
      <c r="R7" s="18"/>
      <c r="S7" s="27" t="str">
        <f t="shared" si="7"/>
        <v>-</v>
      </c>
    </row>
    <row r="8" spans="1:19" ht="15" thickBot="1" x14ac:dyDescent="0.35">
      <c r="A8" s="32" t="s">
        <v>845</v>
      </c>
      <c r="B8" s="8" t="s">
        <v>168</v>
      </c>
      <c r="C8" s="8" t="str">
        <v>60 softgels</v>
      </c>
      <c r="D8" s="37">
        <v>737870199267</v>
      </c>
      <c r="E8" s="38">
        <v>24</v>
      </c>
      <c r="F8" s="33">
        <v>8.5804556658333336E-2</v>
      </c>
      <c r="G8" s="34">
        <v>14.399999999999999</v>
      </c>
      <c r="H8" s="35">
        <v>13.5</v>
      </c>
      <c r="I8" s="36"/>
      <c r="J8" s="13">
        <f t="shared" si="2"/>
        <v>0</v>
      </c>
      <c r="N8" s="24" t="str">
        <f t="shared" si="3"/>
        <v>-</v>
      </c>
      <c r="O8" s="24" t="str">
        <f t="shared" si="4"/>
        <v>-</v>
      </c>
      <c r="P8" s="24" t="str">
        <f t="shared" si="5"/>
        <v>-</v>
      </c>
      <c r="Q8" s="26" t="str">
        <f t="shared" si="6"/>
        <v>-</v>
      </c>
      <c r="R8" s="18"/>
      <c r="S8" s="27" t="str">
        <f t="shared" si="7"/>
        <v>-</v>
      </c>
    </row>
    <row r="9" spans="1:19" ht="15" thickBot="1" x14ac:dyDescent="0.35">
      <c r="A9" s="32" t="s">
        <v>733</v>
      </c>
      <c r="B9" s="8" t="s">
        <v>78</v>
      </c>
      <c r="C9" s="8" t="str">
        <v>500 mg, 30 vegetarian capsules</v>
      </c>
      <c r="D9" s="37">
        <v>737870153238</v>
      </c>
      <c r="E9" s="38">
        <v>24</v>
      </c>
      <c r="F9" s="33">
        <v>6.5114932934092706E-2</v>
      </c>
      <c r="G9" s="34">
        <v>9</v>
      </c>
      <c r="H9" s="35">
        <v>8.4450000000000003</v>
      </c>
      <c r="I9" s="36"/>
      <c r="J9" s="13">
        <f t="shared" si="2"/>
        <v>0</v>
      </c>
      <c r="N9" s="24" t="str">
        <f t="shared" si="3"/>
        <v>-</v>
      </c>
      <c r="O9" s="24" t="str">
        <f t="shared" si="4"/>
        <v>-</v>
      </c>
      <c r="P9" s="24" t="str">
        <f t="shared" si="5"/>
        <v>-</v>
      </c>
      <c r="Q9" s="26" t="str">
        <f t="shared" si="6"/>
        <v>-</v>
      </c>
      <c r="R9" s="18"/>
      <c r="S9" s="27" t="str">
        <f t="shared" si="7"/>
        <v>-</v>
      </c>
    </row>
    <row r="10" spans="1:19" ht="15" thickBot="1" x14ac:dyDescent="0.35">
      <c r="A10" s="32" t="s">
        <v>1226</v>
      </c>
      <c r="B10" s="8" t="s">
        <v>1117</v>
      </c>
      <c r="C10" s="8" t="str">
        <v>50 mg, 100 capsules</v>
      </c>
      <c r="D10" s="37">
        <v>737870302100</v>
      </c>
      <c r="E10" s="38">
        <v>24</v>
      </c>
      <c r="F10" s="33">
        <v>6.8099999999999994E-2</v>
      </c>
      <c r="G10" s="34">
        <v>15.600000000000001</v>
      </c>
      <c r="H10" s="35">
        <v>14.625</v>
      </c>
      <c r="I10" s="36"/>
      <c r="J10" s="13">
        <f t="shared" si="2"/>
        <v>0</v>
      </c>
      <c r="N10" s="24" t="str">
        <f t="shared" si="3"/>
        <v>-</v>
      </c>
      <c r="O10" s="24" t="str">
        <f t="shared" si="4"/>
        <v>-</v>
      </c>
      <c r="P10" s="24" t="str">
        <f t="shared" si="5"/>
        <v>-</v>
      </c>
      <c r="Q10" s="26" t="str">
        <f t="shared" si="6"/>
        <v>-</v>
      </c>
      <c r="R10" s="18"/>
      <c r="S10" s="27" t="str">
        <f t="shared" si="7"/>
        <v>-</v>
      </c>
    </row>
    <row r="11" spans="1:19" ht="15" thickBot="1" x14ac:dyDescent="0.35">
      <c r="A11" s="32" t="s">
        <v>788</v>
      </c>
      <c r="B11" s="8" t="s">
        <v>124</v>
      </c>
      <c r="C11" s="8" t="str">
        <v>30 softgels</v>
      </c>
      <c r="D11" s="37">
        <v>737870178934</v>
      </c>
      <c r="E11" s="38">
        <v>24</v>
      </c>
      <c r="F11" s="33">
        <v>6.6498531410208339E-2</v>
      </c>
      <c r="G11" s="34">
        <v>9.6000000000000014</v>
      </c>
      <c r="H11" s="35">
        <v>9</v>
      </c>
      <c r="I11" s="36"/>
      <c r="J11" s="13">
        <f t="shared" si="2"/>
        <v>0</v>
      </c>
      <c r="N11" s="24" t="str">
        <f t="shared" si="3"/>
        <v>-</v>
      </c>
      <c r="O11" s="24" t="str">
        <f t="shared" si="4"/>
        <v>-</v>
      </c>
      <c r="P11" s="24" t="str">
        <f t="shared" si="5"/>
        <v>-</v>
      </c>
      <c r="Q11" s="26" t="str">
        <f t="shared" si="6"/>
        <v>-</v>
      </c>
      <c r="R11" s="18"/>
      <c r="S11" s="27" t="str">
        <f t="shared" si="7"/>
        <v>-</v>
      </c>
    </row>
    <row r="12" spans="1:19" ht="15" thickBot="1" x14ac:dyDescent="0.35">
      <c r="A12" s="32" t="s">
        <v>969</v>
      </c>
      <c r="B12" s="8" t="s">
        <v>291</v>
      </c>
      <c r="C12" s="8" t="str">
        <v>60 vegetarian capsules</v>
      </c>
      <c r="D12" s="37">
        <v>737870254263</v>
      </c>
      <c r="E12" s="38">
        <v>24</v>
      </c>
      <c r="F12" s="33">
        <v>4.5400000000000003E-2</v>
      </c>
      <c r="G12" s="34">
        <v>16.799999999999997</v>
      </c>
      <c r="H12" s="35">
        <v>15.75</v>
      </c>
      <c r="I12" s="36"/>
      <c r="J12" s="13">
        <f t="shared" ref="J12" si="8">H12*I12</f>
        <v>0</v>
      </c>
      <c r="N12" s="24" t="str">
        <f t="shared" ref="N12" si="9">IFERROR(IF($N$2*F12=0, "-", $N$2*F12), "-")</f>
        <v>-</v>
      </c>
      <c r="O12" s="24" t="str">
        <f t="shared" ref="O12" si="10">IFERROR(IF(N12&gt;0,H12+N12,"-"),"-")</f>
        <v>-</v>
      </c>
      <c r="P12" s="24" t="str">
        <f t="shared" ref="P12" si="11">IF(I12&gt;0,I12*F12, "-")</f>
        <v>-</v>
      </c>
      <c r="Q12" s="26" t="str">
        <f t="shared" ref="Q12" si="12">IFERROR(IF($N$2&gt;0, $N$2*P12, "-"), "-")</f>
        <v>-</v>
      </c>
      <c r="R12" s="18"/>
      <c r="S12" s="27" t="str">
        <f t="shared" ref="S12" si="13">IFERROR(IF(Q12+K12=0, "-", IF(Q12&gt;0, Q12+K12, "-")), "-")</f>
        <v>-</v>
      </c>
    </row>
    <row r="13" spans="1:19" x14ac:dyDescent="0.3">
      <c r="N13" s="24"/>
      <c r="O13" s="24"/>
      <c r="P13" s="24"/>
      <c r="Q13" s="26"/>
      <c r="R13" s="18"/>
      <c r="S13" s="27"/>
    </row>
    <row r="14" spans="1:19" x14ac:dyDescent="0.3">
      <c r="F14" s="50"/>
      <c r="J14" s="50"/>
      <c r="K14" s="50"/>
      <c r="N14" s="24"/>
      <c r="O14" s="24"/>
      <c r="P14" s="24"/>
      <c r="Q14" s="26"/>
      <c r="R14" s="18"/>
      <c r="S14" s="27"/>
    </row>
    <row r="15" spans="1:19" x14ac:dyDescent="0.3">
      <c r="F15" s="50"/>
      <c r="J15" s="50"/>
      <c r="K15" s="50"/>
      <c r="N15" s="24"/>
      <c r="O15" s="24"/>
      <c r="P15" s="24"/>
      <c r="Q15" s="26"/>
      <c r="R15" s="18"/>
      <c r="S15" s="27"/>
    </row>
    <row r="16" spans="1:19" x14ac:dyDescent="0.3">
      <c r="F16" s="50"/>
      <c r="J16" s="50"/>
      <c r="K16" s="50"/>
      <c r="N16" s="24"/>
      <c r="O16" s="24"/>
      <c r="P16" s="24"/>
      <c r="Q16" s="26"/>
      <c r="R16" s="18"/>
      <c r="S16" s="27"/>
    </row>
    <row r="17" spans="6:19" x14ac:dyDescent="0.3">
      <c r="F17" s="50"/>
      <c r="J17" s="50"/>
      <c r="K17" s="50"/>
      <c r="N17" s="24"/>
      <c r="O17" s="24"/>
      <c r="P17" s="24"/>
      <c r="Q17" s="26"/>
      <c r="R17" s="18"/>
      <c r="S17" s="27"/>
    </row>
    <row r="18" spans="6:19" x14ac:dyDescent="0.3">
      <c r="F18" s="50"/>
      <c r="J18" s="50"/>
      <c r="K18" s="50"/>
      <c r="N18" s="24"/>
      <c r="O18" s="24"/>
      <c r="P18" s="24"/>
      <c r="Q18" s="26"/>
      <c r="R18" s="18"/>
      <c r="S18" s="27"/>
    </row>
    <row r="19" spans="6:19" x14ac:dyDescent="0.3">
      <c r="F19" s="50"/>
      <c r="J19" s="50"/>
      <c r="K19" s="50"/>
      <c r="N19" s="24"/>
      <c r="O19" s="24"/>
      <c r="P19" s="24"/>
      <c r="Q19" s="26"/>
      <c r="R19" s="18"/>
      <c r="S19" s="27"/>
    </row>
    <row r="20" spans="6:19" x14ac:dyDescent="0.3">
      <c r="F20" s="50"/>
      <c r="J20" s="50"/>
      <c r="K20" s="50"/>
      <c r="N20" s="24"/>
      <c r="O20" s="24"/>
      <c r="P20" s="24"/>
      <c r="Q20" s="26"/>
      <c r="R20" s="18"/>
      <c r="S20" s="27"/>
    </row>
    <row r="21" spans="6:19" x14ac:dyDescent="0.3">
      <c r="F21" s="50"/>
      <c r="J21" s="50"/>
      <c r="K21" s="50"/>
      <c r="N21" s="24"/>
      <c r="O21" s="24"/>
      <c r="P21" s="24"/>
      <c r="Q21" s="26"/>
      <c r="R21" s="18"/>
      <c r="S21" s="27"/>
    </row>
    <row r="22" spans="6:19" x14ac:dyDescent="0.3">
      <c r="F22" s="50"/>
      <c r="J22" s="50"/>
      <c r="K22" s="50"/>
      <c r="N22" s="24"/>
      <c r="O22" s="24"/>
      <c r="P22" s="24"/>
      <c r="Q22" s="26"/>
      <c r="R22" s="18"/>
      <c r="S22" s="27"/>
    </row>
    <row r="23" spans="6:19" x14ac:dyDescent="0.3">
      <c r="F23" s="50"/>
      <c r="J23" s="50"/>
      <c r="K23" s="50"/>
      <c r="N23" s="24"/>
      <c r="O23" s="24"/>
      <c r="P23" s="24"/>
      <c r="Q23" s="26"/>
      <c r="R23" s="18"/>
      <c r="S23" s="27"/>
    </row>
    <row r="24" spans="6:19" x14ac:dyDescent="0.3">
      <c r="N24" s="24"/>
      <c r="O24" s="24"/>
      <c r="P24" s="24"/>
      <c r="Q24" s="26"/>
      <c r="R24" s="18"/>
      <c r="S24" s="27"/>
    </row>
    <row r="25" spans="6:19" x14ac:dyDescent="0.3">
      <c r="N25" s="24"/>
      <c r="O25" s="24"/>
      <c r="P25" s="24"/>
      <c r="Q25" s="26"/>
      <c r="R25" s="18"/>
      <c r="S25" s="27"/>
    </row>
    <row r="26" spans="6:19" x14ac:dyDescent="0.3">
      <c r="N26" s="24"/>
      <c r="O26" s="24"/>
      <c r="P26" s="24"/>
      <c r="Q26" s="26"/>
      <c r="R26" s="18"/>
      <c r="S26" s="27"/>
    </row>
    <row r="27" spans="6:19" x14ac:dyDescent="0.3">
      <c r="N27" s="24"/>
      <c r="O27" s="24"/>
      <c r="P27" s="24"/>
      <c r="Q27" s="26"/>
      <c r="R27" s="18"/>
      <c r="S27" s="27"/>
    </row>
    <row r="28" spans="6:19" x14ac:dyDescent="0.3">
      <c r="N28" s="24"/>
      <c r="O28" s="24"/>
      <c r="P28" s="24"/>
      <c r="Q28" s="26"/>
      <c r="R28" s="18"/>
      <c r="S28" s="27"/>
    </row>
    <row r="29" spans="6:19" x14ac:dyDescent="0.3">
      <c r="N29" s="24"/>
      <c r="O29" s="24"/>
      <c r="P29" s="24"/>
      <c r="Q29" s="26"/>
      <c r="R29" s="18"/>
      <c r="S29" s="27"/>
    </row>
    <row r="30" spans="6:19" x14ac:dyDescent="0.3">
      <c r="N30" s="24"/>
      <c r="O30" s="24"/>
      <c r="P30" s="24"/>
      <c r="Q30" s="26"/>
      <c r="R30" s="18"/>
      <c r="S30" s="27"/>
    </row>
    <row r="31" spans="6:19" x14ac:dyDescent="0.3">
      <c r="N31" s="24"/>
      <c r="O31" s="24"/>
      <c r="P31" s="24"/>
      <c r="Q31" s="26"/>
      <c r="R31" s="18"/>
      <c r="S31" s="27"/>
    </row>
    <row r="32" spans="6:19" x14ac:dyDescent="0.3">
      <c r="N32" s="24"/>
      <c r="O32" s="24"/>
      <c r="P32" s="24"/>
      <c r="Q32" s="26"/>
      <c r="R32" s="18"/>
      <c r="S32" s="27"/>
    </row>
    <row r="33" spans="14:19" x14ac:dyDescent="0.3">
      <c r="N33" s="24"/>
      <c r="O33" s="24"/>
      <c r="P33" s="24"/>
      <c r="Q33" s="26"/>
      <c r="R33" s="18"/>
      <c r="S33" s="27"/>
    </row>
    <row r="34" spans="14:19" x14ac:dyDescent="0.3">
      <c r="N34" s="24"/>
      <c r="O34" s="24"/>
      <c r="P34" s="24"/>
      <c r="Q34" s="26"/>
      <c r="R34" s="18"/>
      <c r="S34" s="27"/>
    </row>
    <row r="35" spans="14:19" x14ac:dyDescent="0.3">
      <c r="N35" s="24"/>
      <c r="O35" s="24"/>
      <c r="P35" s="24"/>
      <c r="Q35" s="26"/>
      <c r="R35" s="18"/>
      <c r="S35" s="27"/>
    </row>
    <row r="36" spans="14:19" x14ac:dyDescent="0.3">
      <c r="N36" s="24"/>
      <c r="O36" s="24"/>
      <c r="P36" s="24"/>
      <c r="Q36" s="26"/>
      <c r="R36" s="18"/>
      <c r="S36" s="27"/>
    </row>
    <row r="37" spans="14:19" x14ac:dyDescent="0.3">
      <c r="N37" s="24"/>
      <c r="O37" s="24"/>
      <c r="P37" s="24"/>
      <c r="Q37" s="26"/>
      <c r="R37" s="18"/>
      <c r="S37" s="27"/>
    </row>
    <row r="38" spans="14:19" x14ac:dyDescent="0.3">
      <c r="N38" s="24"/>
      <c r="O38" s="24"/>
      <c r="P38" s="24"/>
      <c r="Q38" s="26"/>
      <c r="R38" s="18"/>
      <c r="S38" s="27"/>
    </row>
    <row r="39" spans="14:19" x14ac:dyDescent="0.3">
      <c r="N39" s="24"/>
      <c r="O39" s="24"/>
      <c r="P39" s="24"/>
      <c r="Q39" s="26"/>
      <c r="R39" s="18"/>
      <c r="S39" s="27"/>
    </row>
    <row r="40" spans="14:19" x14ac:dyDescent="0.3">
      <c r="N40" s="24"/>
      <c r="O40" s="24"/>
      <c r="P40" s="24"/>
      <c r="Q40" s="26"/>
      <c r="R40" s="18"/>
      <c r="S40" s="27"/>
    </row>
    <row r="41" spans="14:19" x14ac:dyDescent="0.3">
      <c r="N41" s="24"/>
      <c r="O41" s="24"/>
      <c r="P41" s="24"/>
      <c r="Q41" s="26"/>
      <c r="R41" s="18"/>
      <c r="S41" s="27"/>
    </row>
    <row r="42" spans="14:19" x14ac:dyDescent="0.3">
      <c r="N42" s="24"/>
      <c r="O42" s="24"/>
      <c r="P42" s="24"/>
      <c r="Q42" s="26"/>
      <c r="R42" s="18"/>
      <c r="S42" s="27"/>
    </row>
    <row r="43" spans="14:19" x14ac:dyDescent="0.3">
      <c r="N43" s="24"/>
      <c r="O43" s="24"/>
      <c r="P43" s="24"/>
      <c r="Q43" s="26"/>
      <c r="R43" s="18"/>
      <c r="S43" s="27"/>
    </row>
    <row r="44" spans="14:19" x14ac:dyDescent="0.3">
      <c r="N44" s="24"/>
      <c r="O44" s="24"/>
      <c r="P44" s="24"/>
      <c r="Q44" s="26"/>
      <c r="R44" s="18"/>
      <c r="S44" s="27"/>
    </row>
    <row r="45" spans="14:19" x14ac:dyDescent="0.3">
      <c r="N45" s="24"/>
      <c r="O45" s="24"/>
      <c r="P45" s="24"/>
      <c r="Q45" s="26"/>
      <c r="R45" s="18"/>
      <c r="S45" s="27"/>
    </row>
    <row r="46" spans="14:19" x14ac:dyDescent="0.3">
      <c r="N46" s="24"/>
      <c r="O46" s="24"/>
      <c r="P46" s="24"/>
      <c r="Q46" s="26"/>
      <c r="R46" s="18"/>
      <c r="S46" s="27"/>
    </row>
    <row r="47" spans="14:19" x14ac:dyDescent="0.3">
      <c r="N47" s="24"/>
      <c r="O47" s="24"/>
      <c r="P47" s="24"/>
      <c r="Q47" s="26"/>
      <c r="R47" s="18"/>
      <c r="S47" s="27"/>
    </row>
    <row r="48" spans="14:19" x14ac:dyDescent="0.3">
      <c r="N48" s="24"/>
      <c r="O48" s="24"/>
      <c r="P48" s="24"/>
      <c r="Q48" s="26"/>
      <c r="R48" s="18"/>
      <c r="S48" s="27"/>
    </row>
    <row r="49" spans="14:19" x14ac:dyDescent="0.3">
      <c r="N49" s="24"/>
      <c r="O49" s="24"/>
      <c r="P49" s="24"/>
      <c r="Q49" s="26"/>
      <c r="R49" s="18"/>
      <c r="S49" s="27"/>
    </row>
    <row r="50" spans="14:19" x14ac:dyDescent="0.3">
      <c r="N50" s="24"/>
      <c r="O50" s="24"/>
      <c r="P50" s="24"/>
      <c r="Q50" s="26"/>
      <c r="R50" s="18"/>
      <c r="S50" s="27"/>
    </row>
    <row r="51" spans="14:19" x14ac:dyDescent="0.3">
      <c r="N51" s="24"/>
      <c r="O51" s="24"/>
      <c r="P51" s="24"/>
      <c r="Q51" s="26"/>
      <c r="R51" s="18"/>
      <c r="S51" s="27"/>
    </row>
    <row r="52" spans="14:19" x14ac:dyDescent="0.3">
      <c r="N52" s="24"/>
      <c r="O52" s="24"/>
      <c r="P52" s="24"/>
      <c r="Q52" s="26"/>
      <c r="R52" s="18"/>
      <c r="S52" s="27"/>
    </row>
    <row r="53" spans="14:19" x14ac:dyDescent="0.3">
      <c r="N53" s="24"/>
      <c r="O53" s="24"/>
      <c r="P53" s="24"/>
      <c r="Q53" s="26"/>
      <c r="R53" s="18"/>
      <c r="S53" s="27"/>
    </row>
    <row r="54" spans="14:19" x14ac:dyDescent="0.3">
      <c r="N54" s="24"/>
      <c r="O54" s="24"/>
      <c r="P54" s="24"/>
      <c r="Q54" s="26"/>
      <c r="R54" s="18"/>
      <c r="S54" s="27"/>
    </row>
    <row r="55" spans="14:19" x14ac:dyDescent="0.3">
      <c r="N55" s="24"/>
      <c r="O55" s="24"/>
      <c r="P55" s="24"/>
      <c r="Q55" s="26"/>
      <c r="R55" s="18"/>
      <c r="S55" s="27"/>
    </row>
    <row r="56" spans="14:19" x14ac:dyDescent="0.3">
      <c r="N56" s="24"/>
      <c r="O56" s="24"/>
      <c r="P56" s="24"/>
      <c r="Q56" s="26"/>
      <c r="R56" s="18"/>
      <c r="S56" s="27"/>
    </row>
    <row r="57" spans="14:19" x14ac:dyDescent="0.3">
      <c r="N57" s="24"/>
      <c r="O57" s="24"/>
      <c r="P57" s="24"/>
      <c r="Q57" s="26"/>
      <c r="R57" s="18"/>
      <c r="S57" s="27"/>
    </row>
    <row r="58" spans="14:19" x14ac:dyDescent="0.3">
      <c r="N58" s="24"/>
      <c r="O58" s="24"/>
      <c r="P58" s="24"/>
      <c r="Q58" s="26"/>
      <c r="R58" s="18"/>
      <c r="S58" s="27"/>
    </row>
    <row r="59" spans="14:19" x14ac:dyDescent="0.3">
      <c r="N59" s="24"/>
      <c r="O59" s="24"/>
      <c r="P59" s="24"/>
      <c r="Q59" s="26"/>
      <c r="R59" s="18"/>
      <c r="S59" s="27"/>
    </row>
    <row r="60" spans="14:19" x14ac:dyDescent="0.3">
      <c r="N60" s="24"/>
      <c r="O60" s="24"/>
      <c r="P60" s="24"/>
      <c r="Q60" s="26"/>
      <c r="R60" s="18"/>
      <c r="S60" s="27"/>
    </row>
    <row r="61" spans="14:19" x14ac:dyDescent="0.3">
      <c r="N61" s="24"/>
      <c r="O61" s="24"/>
      <c r="P61" s="24"/>
      <c r="Q61" s="26"/>
      <c r="R61" s="18"/>
      <c r="S61" s="27"/>
    </row>
    <row r="62" spans="14:19" x14ac:dyDescent="0.3">
      <c r="N62" s="24"/>
      <c r="O62" s="24"/>
      <c r="P62" s="24"/>
      <c r="Q62" s="26"/>
      <c r="R62" s="18"/>
      <c r="S62" s="27"/>
    </row>
    <row r="63" spans="14:19" x14ac:dyDescent="0.3">
      <c r="N63" s="24"/>
      <c r="O63" s="24"/>
      <c r="P63" s="24"/>
      <c r="Q63" s="26"/>
      <c r="R63" s="18"/>
      <c r="S63" s="27"/>
    </row>
    <row r="64" spans="14:19" x14ac:dyDescent="0.3">
      <c r="N64" s="24"/>
      <c r="O64" s="24"/>
      <c r="P64" s="24"/>
      <c r="Q64" s="26"/>
      <c r="R64" s="18"/>
      <c r="S64" s="27"/>
    </row>
    <row r="65" spans="14:19" x14ac:dyDescent="0.3">
      <c r="N65" s="24"/>
      <c r="O65" s="24"/>
      <c r="P65" s="24"/>
      <c r="Q65" s="26"/>
      <c r="R65" s="18"/>
      <c r="S65" s="27"/>
    </row>
    <row r="66" spans="14:19" x14ac:dyDescent="0.3">
      <c r="N66" s="24"/>
      <c r="O66" s="24"/>
      <c r="P66" s="24"/>
      <c r="Q66" s="26"/>
      <c r="R66" s="18"/>
      <c r="S66" s="27"/>
    </row>
    <row r="67" spans="14:19" x14ac:dyDescent="0.3">
      <c r="N67" s="24"/>
      <c r="O67" s="24"/>
      <c r="P67" s="24"/>
      <c r="Q67" s="26"/>
      <c r="R67" s="18"/>
      <c r="S67" s="27"/>
    </row>
    <row r="68" spans="14:19" x14ac:dyDescent="0.3">
      <c r="N68" s="24"/>
      <c r="O68" s="24"/>
      <c r="P68" s="24"/>
      <c r="Q68" s="26"/>
      <c r="R68" s="18"/>
      <c r="S68" s="27"/>
    </row>
    <row r="69" spans="14:19" x14ac:dyDescent="0.3">
      <c r="N69" s="24"/>
      <c r="O69" s="24"/>
      <c r="P69" s="24"/>
      <c r="Q69" s="26"/>
      <c r="R69" s="18"/>
      <c r="S69" s="27"/>
    </row>
    <row r="70" spans="14:19" x14ac:dyDescent="0.3">
      <c r="N70" s="24"/>
      <c r="O70" s="24"/>
      <c r="P70" s="24"/>
      <c r="Q70" s="26"/>
      <c r="R70" s="18"/>
      <c r="S70" s="27"/>
    </row>
    <row r="71" spans="14:19" x14ac:dyDescent="0.3">
      <c r="N71" s="24"/>
      <c r="O71" s="24"/>
      <c r="P71" s="24"/>
      <c r="Q71" s="26"/>
      <c r="R71" s="18"/>
      <c r="S71" s="27"/>
    </row>
    <row r="72" spans="14:19" x14ac:dyDescent="0.3">
      <c r="N72" s="24"/>
      <c r="O72" s="24"/>
      <c r="P72" s="24"/>
      <c r="Q72" s="26"/>
      <c r="R72" s="18"/>
      <c r="S72" s="27"/>
    </row>
    <row r="73" spans="14:19" x14ac:dyDescent="0.3">
      <c r="N73" s="24"/>
      <c r="O73" s="24"/>
      <c r="P73" s="24"/>
      <c r="Q73" s="26"/>
      <c r="R73" s="18"/>
      <c r="S73" s="27"/>
    </row>
    <row r="74" spans="14:19" x14ac:dyDescent="0.3">
      <c r="N74" s="24"/>
      <c r="O74" s="24"/>
      <c r="P74" s="24"/>
      <c r="Q74" s="26"/>
      <c r="R74" s="18"/>
      <c r="S74" s="27"/>
    </row>
    <row r="75" spans="14:19" x14ac:dyDescent="0.3">
      <c r="N75" s="24"/>
      <c r="O75" s="24"/>
      <c r="P75" s="24"/>
      <c r="Q75" s="26"/>
      <c r="R75" s="18"/>
      <c r="S75" s="27"/>
    </row>
    <row r="76" spans="14:19" x14ac:dyDescent="0.3">
      <c r="N76" s="24"/>
      <c r="O76" s="24"/>
      <c r="P76" s="24"/>
      <c r="Q76" s="26"/>
      <c r="R76" s="18"/>
      <c r="S76" s="27"/>
    </row>
    <row r="77" spans="14:19" x14ac:dyDescent="0.3">
      <c r="N77" s="24"/>
      <c r="O77" s="24"/>
      <c r="P77" s="24"/>
      <c r="Q77" s="26"/>
      <c r="R77" s="18"/>
      <c r="S77" s="27"/>
    </row>
    <row r="78" spans="14:19" x14ac:dyDescent="0.3">
      <c r="N78" s="24"/>
      <c r="O78" s="24"/>
      <c r="P78" s="24"/>
      <c r="Q78" s="26"/>
      <c r="R78" s="18"/>
      <c r="S78" s="27"/>
    </row>
    <row r="79" spans="14:19" x14ac:dyDescent="0.3">
      <c r="N79" s="24"/>
      <c r="O79" s="24"/>
      <c r="P79" s="24"/>
      <c r="Q79" s="26"/>
      <c r="R79" s="18"/>
      <c r="S79" s="27"/>
    </row>
    <row r="80" spans="14:19" x14ac:dyDescent="0.3">
      <c r="N80" s="24"/>
      <c r="O80" s="24"/>
      <c r="P80" s="24"/>
      <c r="Q80" s="26"/>
      <c r="R80" s="18"/>
      <c r="S80" s="27"/>
    </row>
    <row r="81" spans="14:19" x14ac:dyDescent="0.3">
      <c r="N81" s="24"/>
      <c r="O81" s="24"/>
      <c r="P81" s="24"/>
      <c r="Q81" s="26"/>
      <c r="R81" s="18"/>
      <c r="S81" s="27"/>
    </row>
    <row r="82" spans="14:19" x14ac:dyDescent="0.3">
      <c r="N82" s="24"/>
      <c r="O82" s="24"/>
      <c r="P82" s="24"/>
      <c r="Q82" s="26"/>
      <c r="R82" s="18"/>
      <c r="S82" s="27"/>
    </row>
    <row r="83" spans="14:19" x14ac:dyDescent="0.3">
      <c r="N83" s="24"/>
      <c r="O83" s="24"/>
      <c r="P83" s="24"/>
      <c r="Q83" s="26"/>
      <c r="R83" s="18"/>
      <c r="S83" s="27"/>
    </row>
    <row r="84" spans="14:19" x14ac:dyDescent="0.3">
      <c r="N84" s="24"/>
      <c r="O84" s="24"/>
      <c r="P84" s="24"/>
      <c r="Q84" s="26"/>
      <c r="R84" s="18"/>
      <c r="S84" s="27"/>
    </row>
    <row r="85" spans="14:19" x14ac:dyDescent="0.3">
      <c r="N85" s="24"/>
      <c r="O85" s="24"/>
      <c r="P85" s="24"/>
      <c r="Q85" s="26"/>
      <c r="R85" s="18"/>
      <c r="S85" s="27"/>
    </row>
    <row r="86" spans="14:19" x14ac:dyDescent="0.3">
      <c r="N86" s="24"/>
      <c r="O86" s="24"/>
      <c r="P86" s="24"/>
      <c r="Q86" s="26"/>
      <c r="R86" s="18"/>
      <c r="S86" s="27"/>
    </row>
    <row r="87" spans="14:19" x14ac:dyDescent="0.3">
      <c r="N87" s="24"/>
      <c r="O87" s="24"/>
      <c r="P87" s="24"/>
      <c r="Q87" s="26"/>
      <c r="R87" s="18"/>
      <c r="S87" s="27"/>
    </row>
    <row r="88" spans="14:19" x14ac:dyDescent="0.3">
      <c r="N88" s="24"/>
      <c r="O88" s="24"/>
      <c r="P88" s="24"/>
      <c r="Q88" s="26"/>
      <c r="R88" s="18"/>
      <c r="S88" s="27"/>
    </row>
    <row r="89" spans="14:19" x14ac:dyDescent="0.3">
      <c r="N89" s="24"/>
      <c r="O89" s="24"/>
      <c r="P89" s="24"/>
      <c r="Q89" s="26"/>
      <c r="R89" s="18"/>
      <c r="S89" s="27"/>
    </row>
    <row r="90" spans="14:19" x14ac:dyDescent="0.3">
      <c r="N90" s="24"/>
      <c r="O90" s="24"/>
      <c r="P90" s="24"/>
      <c r="Q90" s="26"/>
      <c r="R90" s="18"/>
      <c r="S90" s="27"/>
    </row>
    <row r="91" spans="14:19" x14ac:dyDescent="0.3">
      <c r="N91" s="24"/>
      <c r="O91" s="24"/>
      <c r="P91" s="24"/>
      <c r="Q91" s="26"/>
      <c r="R91" s="18"/>
      <c r="S91" s="27"/>
    </row>
    <row r="92" spans="14:19" x14ac:dyDescent="0.3">
      <c r="N92" s="24"/>
      <c r="O92" s="24"/>
      <c r="P92" s="24"/>
      <c r="Q92" s="26"/>
      <c r="R92" s="18"/>
      <c r="S92" s="27"/>
    </row>
    <row r="93" spans="14:19" x14ac:dyDescent="0.3">
      <c r="N93" s="24"/>
      <c r="O93" s="24"/>
      <c r="P93" s="24"/>
      <c r="Q93" s="26"/>
      <c r="R93" s="18"/>
      <c r="S93" s="27"/>
    </row>
    <row r="94" spans="14:19" x14ac:dyDescent="0.3">
      <c r="N94" s="24"/>
      <c r="O94" s="24"/>
      <c r="P94" s="24"/>
      <c r="Q94" s="26"/>
      <c r="R94" s="18"/>
      <c r="S94" s="27"/>
    </row>
    <row r="95" spans="14:19" x14ac:dyDescent="0.3">
      <c r="N95" s="24"/>
      <c r="O95" s="24"/>
      <c r="P95" s="24"/>
      <c r="Q95" s="26"/>
      <c r="R95" s="18"/>
      <c r="S95" s="27"/>
    </row>
    <row r="96" spans="14:19" x14ac:dyDescent="0.3">
      <c r="N96" s="24"/>
      <c r="O96" s="24"/>
      <c r="P96" s="24"/>
      <c r="Q96" s="26"/>
      <c r="R96" s="18"/>
      <c r="S96" s="27"/>
    </row>
    <row r="97" spans="14:19" x14ac:dyDescent="0.3">
      <c r="N97" s="24"/>
      <c r="O97" s="24"/>
      <c r="P97" s="24"/>
      <c r="Q97" s="26"/>
      <c r="R97" s="18"/>
      <c r="S97" s="27"/>
    </row>
    <row r="98" spans="14:19" x14ac:dyDescent="0.3">
      <c r="N98" s="24"/>
      <c r="O98" s="24"/>
      <c r="P98" s="24"/>
      <c r="Q98" s="26"/>
      <c r="R98" s="18"/>
      <c r="S98" s="27"/>
    </row>
    <row r="99" spans="14:19" x14ac:dyDescent="0.3">
      <c r="N99" s="24"/>
      <c r="O99" s="24"/>
      <c r="P99" s="24"/>
      <c r="Q99" s="26"/>
      <c r="R99" s="18"/>
      <c r="S99" s="27"/>
    </row>
    <row r="100" spans="14:19" x14ac:dyDescent="0.3">
      <c r="N100" s="24"/>
      <c r="O100" s="24"/>
      <c r="P100" s="24"/>
      <c r="Q100" s="26"/>
      <c r="R100" s="18"/>
      <c r="S100" s="27"/>
    </row>
    <row r="101" spans="14:19" x14ac:dyDescent="0.3">
      <c r="N101" s="24"/>
      <c r="O101" s="24"/>
      <c r="P101" s="24"/>
      <c r="Q101" s="26"/>
      <c r="R101" s="18"/>
      <c r="S101" s="27"/>
    </row>
    <row r="102" spans="14:19" x14ac:dyDescent="0.3">
      <c r="N102" s="24"/>
      <c r="O102" s="24"/>
      <c r="P102" s="24"/>
      <c r="Q102" s="26"/>
      <c r="R102" s="18"/>
      <c r="S102" s="27"/>
    </row>
    <row r="103" spans="14:19" x14ac:dyDescent="0.3">
      <c r="N103" s="24"/>
      <c r="O103" s="24"/>
      <c r="P103" s="24"/>
      <c r="Q103" s="26"/>
      <c r="R103" s="18"/>
      <c r="S103" s="27"/>
    </row>
    <row r="104" spans="14:19" x14ac:dyDescent="0.3">
      <c r="N104" s="24"/>
      <c r="O104" s="24"/>
      <c r="P104" s="24"/>
      <c r="Q104" s="26"/>
      <c r="R104" s="18"/>
      <c r="S104" s="27"/>
    </row>
    <row r="105" spans="14:19" x14ac:dyDescent="0.3">
      <c r="N105" s="24"/>
      <c r="O105" s="24"/>
      <c r="P105" s="24"/>
      <c r="Q105" s="26"/>
      <c r="R105" s="18"/>
      <c r="S105" s="27"/>
    </row>
    <row r="106" spans="14:19" x14ac:dyDescent="0.3">
      <c r="N106" s="24"/>
      <c r="O106" s="24"/>
      <c r="P106" s="24"/>
      <c r="Q106" s="26"/>
      <c r="R106" s="18"/>
      <c r="S106" s="27"/>
    </row>
    <row r="107" spans="14:19" x14ac:dyDescent="0.3">
      <c r="N107" s="24"/>
      <c r="O107" s="24"/>
      <c r="P107" s="24"/>
      <c r="Q107" s="26"/>
      <c r="R107" s="18"/>
      <c r="S107" s="27"/>
    </row>
    <row r="108" spans="14:19" x14ac:dyDescent="0.3">
      <c r="N108" s="24"/>
      <c r="O108" s="24"/>
      <c r="P108" s="24"/>
      <c r="Q108" s="26"/>
      <c r="R108" s="18"/>
      <c r="S108" s="27"/>
    </row>
    <row r="109" spans="14:19" x14ac:dyDescent="0.3">
      <c r="N109" s="24"/>
      <c r="O109" s="24"/>
      <c r="P109" s="24"/>
      <c r="Q109" s="26"/>
      <c r="R109" s="18"/>
      <c r="S109" s="27"/>
    </row>
    <row r="110" spans="14:19" x14ac:dyDescent="0.3">
      <c r="N110" s="24"/>
      <c r="O110" s="24"/>
      <c r="P110" s="24"/>
      <c r="Q110" s="26"/>
      <c r="R110" s="18"/>
      <c r="S110" s="27"/>
    </row>
    <row r="111" spans="14:19" x14ac:dyDescent="0.3">
      <c r="N111" s="24"/>
      <c r="O111" s="24"/>
      <c r="P111" s="24"/>
      <c r="Q111" s="26"/>
      <c r="R111" s="18"/>
      <c r="S111" s="27"/>
    </row>
    <row r="112" spans="14:19" x14ac:dyDescent="0.3">
      <c r="N112" s="24"/>
      <c r="O112" s="24"/>
      <c r="P112" s="24"/>
      <c r="Q112" s="26"/>
      <c r="R112" s="18"/>
      <c r="S112" s="27"/>
    </row>
    <row r="113" spans="14:19" x14ac:dyDescent="0.3">
      <c r="N113" s="24"/>
      <c r="O113" s="24"/>
      <c r="P113" s="24"/>
      <c r="Q113" s="26"/>
      <c r="R113" s="18"/>
      <c r="S113" s="27"/>
    </row>
    <row r="114" spans="14:19" x14ac:dyDescent="0.3">
      <c r="N114" s="24"/>
      <c r="O114" s="24"/>
      <c r="P114" s="24"/>
      <c r="Q114" s="26"/>
      <c r="R114" s="18"/>
      <c r="S114" s="27"/>
    </row>
    <row r="115" spans="14:19" x14ac:dyDescent="0.3">
      <c r="N115" s="24"/>
      <c r="O115" s="24"/>
      <c r="P115" s="24"/>
      <c r="Q115" s="26"/>
      <c r="R115" s="18"/>
      <c r="S115" s="27"/>
    </row>
    <row r="116" spans="14:19" x14ac:dyDescent="0.3">
      <c r="N116" s="24"/>
      <c r="O116" s="24"/>
      <c r="P116" s="24"/>
      <c r="Q116" s="26"/>
      <c r="R116" s="18"/>
      <c r="S116" s="27"/>
    </row>
    <row r="117" spans="14:19" x14ac:dyDescent="0.3">
      <c r="N117" s="24"/>
      <c r="O117" s="24"/>
      <c r="P117" s="24"/>
      <c r="Q117" s="26"/>
      <c r="R117" s="18"/>
      <c r="S117" s="27"/>
    </row>
    <row r="118" spans="14:19" x14ac:dyDescent="0.3">
      <c r="N118" s="24"/>
      <c r="O118" s="24"/>
      <c r="P118" s="24"/>
      <c r="Q118" s="26"/>
      <c r="R118" s="18"/>
      <c r="S118" s="27"/>
    </row>
    <row r="119" spans="14:19" x14ac:dyDescent="0.3">
      <c r="N119" s="24"/>
      <c r="O119" s="24"/>
      <c r="P119" s="24"/>
      <c r="Q119" s="26"/>
      <c r="R119" s="18"/>
      <c r="S119" s="27"/>
    </row>
    <row r="120" spans="14:19" x14ac:dyDescent="0.3">
      <c r="N120" s="24"/>
      <c r="O120" s="24"/>
      <c r="P120" s="24"/>
      <c r="Q120" s="26"/>
      <c r="R120" s="18"/>
      <c r="S120" s="27"/>
    </row>
    <row r="121" spans="14:19" x14ac:dyDescent="0.3">
      <c r="N121" s="24"/>
      <c r="O121" s="24"/>
      <c r="P121" s="24"/>
      <c r="Q121" s="26"/>
      <c r="R121" s="18"/>
      <c r="S121" s="27"/>
    </row>
    <row r="122" spans="14:19" x14ac:dyDescent="0.3">
      <c r="N122" s="24"/>
      <c r="O122" s="24"/>
      <c r="P122" s="24"/>
      <c r="Q122" s="26"/>
      <c r="R122" s="18"/>
      <c r="S122" s="27"/>
    </row>
    <row r="123" spans="14:19" x14ac:dyDescent="0.3">
      <c r="N123" s="24"/>
      <c r="O123" s="24"/>
      <c r="P123" s="24"/>
      <c r="Q123" s="26"/>
      <c r="R123" s="18"/>
      <c r="S123" s="27"/>
    </row>
    <row r="124" spans="14:19" x14ac:dyDescent="0.3">
      <c r="N124" s="24"/>
      <c r="O124" s="24"/>
      <c r="P124" s="24"/>
      <c r="Q124" s="26"/>
      <c r="R124" s="18"/>
      <c r="S124" s="27"/>
    </row>
    <row r="125" spans="14:19" x14ac:dyDescent="0.3">
      <c r="N125" s="24"/>
      <c r="O125" s="24"/>
      <c r="P125" s="24"/>
      <c r="Q125" s="26"/>
      <c r="R125" s="18"/>
      <c r="S125" s="27"/>
    </row>
    <row r="126" spans="14:19" x14ac:dyDescent="0.3">
      <c r="N126" s="24"/>
      <c r="O126" s="24"/>
      <c r="P126" s="24"/>
      <c r="Q126" s="26"/>
      <c r="R126" s="18"/>
      <c r="S126" s="27"/>
    </row>
    <row r="127" spans="14:19" x14ac:dyDescent="0.3">
      <c r="N127" s="24"/>
      <c r="O127" s="24"/>
      <c r="P127" s="24"/>
      <c r="Q127" s="26"/>
      <c r="R127" s="18"/>
      <c r="S127" s="27"/>
    </row>
    <row r="128" spans="14:19" x14ac:dyDescent="0.3">
      <c r="N128" s="24"/>
      <c r="O128" s="24"/>
      <c r="P128" s="24"/>
      <c r="Q128" s="26"/>
      <c r="R128" s="18"/>
      <c r="S128" s="27"/>
    </row>
    <row r="129" spans="14:19" x14ac:dyDescent="0.3">
      <c r="N129" s="24"/>
      <c r="O129" s="24"/>
      <c r="P129" s="24"/>
      <c r="Q129" s="26"/>
      <c r="R129" s="18"/>
      <c r="S129" s="27"/>
    </row>
    <row r="130" spans="14:19" x14ac:dyDescent="0.3">
      <c r="N130" s="24"/>
      <c r="O130" s="24"/>
      <c r="P130" s="24"/>
      <c r="Q130" s="26"/>
      <c r="R130" s="18"/>
      <c r="S130" s="27"/>
    </row>
    <row r="131" spans="14:19" x14ac:dyDescent="0.3">
      <c r="N131" s="24"/>
      <c r="O131" s="24"/>
      <c r="P131" s="24"/>
      <c r="Q131" s="26"/>
      <c r="R131" s="18"/>
      <c r="S131" s="27"/>
    </row>
    <row r="132" spans="14:19" x14ac:dyDescent="0.3">
      <c r="N132" s="24"/>
      <c r="O132" s="24"/>
      <c r="P132" s="24"/>
      <c r="Q132" s="26"/>
      <c r="R132" s="18"/>
      <c r="S132" s="27"/>
    </row>
    <row r="133" spans="14:19" x14ac:dyDescent="0.3">
      <c r="N133" s="24"/>
      <c r="O133" s="24"/>
      <c r="P133" s="24"/>
      <c r="Q133" s="26"/>
      <c r="R133" s="18"/>
      <c r="S133" s="27"/>
    </row>
    <row r="134" spans="14:19" x14ac:dyDescent="0.3">
      <c r="N134" s="24"/>
      <c r="O134" s="24"/>
      <c r="P134" s="24"/>
      <c r="Q134" s="26"/>
      <c r="R134" s="18"/>
      <c r="S134" s="27"/>
    </row>
    <row r="135" spans="14:19" x14ac:dyDescent="0.3">
      <c r="N135" s="24"/>
      <c r="O135" s="24"/>
      <c r="P135" s="24"/>
      <c r="Q135" s="26"/>
      <c r="R135" s="18"/>
      <c r="S135" s="27"/>
    </row>
    <row r="136" spans="14:19" x14ac:dyDescent="0.3">
      <c r="N136" s="24"/>
      <c r="O136" s="24"/>
      <c r="P136" s="24"/>
      <c r="Q136" s="26"/>
      <c r="R136" s="18"/>
      <c r="S136" s="27"/>
    </row>
    <row r="137" spans="14:19" x14ac:dyDescent="0.3">
      <c r="N137" s="24"/>
      <c r="O137" s="24"/>
      <c r="P137" s="24"/>
      <c r="Q137" s="26"/>
      <c r="R137" s="18"/>
      <c r="S137" s="27"/>
    </row>
    <row r="138" spans="14:19" x14ac:dyDescent="0.3">
      <c r="N138" s="24"/>
      <c r="O138" s="24"/>
      <c r="P138" s="24"/>
      <c r="Q138" s="26"/>
      <c r="R138" s="18"/>
      <c r="S138" s="27"/>
    </row>
    <row r="139" spans="14:19" x14ac:dyDescent="0.3">
      <c r="N139" s="24"/>
      <c r="O139" s="24"/>
      <c r="P139" s="24"/>
      <c r="Q139" s="26"/>
      <c r="R139" s="18"/>
      <c r="S139" s="27"/>
    </row>
    <row r="140" spans="14:19" x14ac:dyDescent="0.3">
      <c r="N140" s="24"/>
      <c r="O140" s="24"/>
      <c r="P140" s="24"/>
      <c r="Q140" s="26"/>
      <c r="R140" s="18"/>
      <c r="S140" s="27"/>
    </row>
    <row r="141" spans="14:19" x14ac:dyDescent="0.3">
      <c r="N141" s="24"/>
      <c r="O141" s="24"/>
      <c r="P141" s="24"/>
      <c r="Q141" s="26"/>
      <c r="R141" s="18"/>
      <c r="S141" s="27"/>
    </row>
    <row r="142" spans="14:19" x14ac:dyDescent="0.3">
      <c r="N142" s="24"/>
      <c r="O142" s="24"/>
      <c r="P142" s="24"/>
      <c r="Q142" s="26"/>
      <c r="R142" s="18"/>
      <c r="S142" s="27"/>
    </row>
    <row r="143" spans="14:19" x14ac:dyDescent="0.3">
      <c r="N143" s="24"/>
      <c r="O143" s="24"/>
      <c r="P143" s="24"/>
      <c r="Q143" s="26"/>
      <c r="R143" s="18"/>
      <c r="S143" s="27"/>
    </row>
    <row r="144" spans="14:19" x14ac:dyDescent="0.3">
      <c r="N144" s="24"/>
      <c r="O144" s="24"/>
      <c r="P144" s="24"/>
      <c r="Q144" s="26"/>
      <c r="R144" s="18"/>
      <c r="S144" s="27"/>
    </row>
    <row r="145" spans="14:19" x14ac:dyDescent="0.3">
      <c r="N145" s="24"/>
      <c r="O145" s="24"/>
      <c r="P145" s="24"/>
      <c r="Q145" s="26"/>
      <c r="R145" s="18"/>
      <c r="S145" s="27"/>
    </row>
    <row r="146" spans="14:19" x14ac:dyDescent="0.3">
      <c r="N146" s="24"/>
      <c r="O146" s="24"/>
      <c r="P146" s="24"/>
      <c r="Q146" s="26"/>
      <c r="R146" s="18"/>
      <c r="S146" s="27"/>
    </row>
    <row r="147" spans="14:19" x14ac:dyDescent="0.3">
      <c r="N147" s="24"/>
      <c r="O147" s="24"/>
      <c r="P147" s="24"/>
      <c r="Q147" s="26"/>
      <c r="R147" s="18"/>
      <c r="S147" s="27"/>
    </row>
    <row r="148" spans="14:19" x14ac:dyDescent="0.3">
      <c r="N148" s="24"/>
      <c r="O148" s="24"/>
      <c r="P148" s="24"/>
      <c r="Q148" s="26"/>
      <c r="R148" s="18"/>
      <c r="S148" s="27"/>
    </row>
    <row r="149" spans="14:19" x14ac:dyDescent="0.3">
      <c r="N149" s="24"/>
      <c r="O149" s="24"/>
      <c r="P149" s="24"/>
      <c r="Q149" s="26"/>
      <c r="R149" s="18"/>
      <c r="S149" s="27"/>
    </row>
    <row r="150" spans="14:19" x14ac:dyDescent="0.3">
      <c r="N150" s="24"/>
      <c r="O150" s="24"/>
      <c r="P150" s="24"/>
      <c r="Q150" s="26"/>
      <c r="R150" s="18"/>
      <c r="S150" s="27"/>
    </row>
    <row r="151" spans="14:19" x14ac:dyDescent="0.3">
      <c r="N151" s="24"/>
      <c r="O151" s="24"/>
      <c r="P151" s="24"/>
      <c r="Q151" s="26"/>
      <c r="R151" s="18"/>
      <c r="S151" s="27"/>
    </row>
    <row r="152" spans="14:19" x14ac:dyDescent="0.3">
      <c r="N152" s="24"/>
      <c r="O152" s="24"/>
      <c r="P152" s="24"/>
      <c r="Q152" s="26"/>
      <c r="R152" s="18"/>
      <c r="S152" s="27"/>
    </row>
    <row r="153" spans="14:19" x14ac:dyDescent="0.3">
      <c r="N153" s="24"/>
      <c r="O153" s="24"/>
      <c r="P153" s="24"/>
      <c r="Q153" s="26"/>
      <c r="R153" s="18"/>
      <c r="S153" s="27"/>
    </row>
    <row r="154" spans="14:19" x14ac:dyDescent="0.3">
      <c r="N154" s="24"/>
      <c r="O154" s="24"/>
      <c r="P154" s="24"/>
      <c r="Q154" s="26"/>
      <c r="R154" s="18"/>
      <c r="S154" s="27"/>
    </row>
    <row r="155" spans="14:19" x14ac:dyDescent="0.3">
      <c r="N155" s="24"/>
      <c r="O155" s="24"/>
      <c r="P155" s="24"/>
      <c r="Q155" s="26"/>
      <c r="R155" s="18"/>
      <c r="S155" s="27"/>
    </row>
    <row r="156" spans="14:19" x14ac:dyDescent="0.3">
      <c r="N156" s="24"/>
      <c r="O156" s="24"/>
      <c r="P156" s="24"/>
      <c r="Q156" s="26"/>
      <c r="R156" s="18"/>
      <c r="S156" s="27"/>
    </row>
    <row r="157" spans="14:19" x14ac:dyDescent="0.3">
      <c r="N157" s="24"/>
      <c r="O157" s="24"/>
      <c r="P157" s="24"/>
      <c r="Q157" s="26"/>
      <c r="R157" s="18"/>
      <c r="S157" s="27"/>
    </row>
    <row r="158" spans="14:19" x14ac:dyDescent="0.3">
      <c r="N158" s="24"/>
      <c r="O158" s="24"/>
      <c r="P158" s="24"/>
      <c r="Q158" s="26"/>
      <c r="R158" s="18"/>
      <c r="S158" s="27"/>
    </row>
    <row r="159" spans="14:19" x14ac:dyDescent="0.3">
      <c r="N159" s="24"/>
      <c r="O159" s="24"/>
      <c r="P159" s="24"/>
      <c r="Q159" s="26"/>
      <c r="R159" s="18"/>
      <c r="S159" s="27"/>
    </row>
    <row r="160" spans="14:19" x14ac:dyDescent="0.3">
      <c r="N160" s="24"/>
      <c r="O160" s="24"/>
      <c r="P160" s="24"/>
      <c r="Q160" s="26"/>
      <c r="R160" s="18"/>
      <c r="S160" s="27"/>
    </row>
    <row r="161" spans="14:19" x14ac:dyDescent="0.3">
      <c r="N161" s="24"/>
      <c r="O161" s="24"/>
      <c r="P161" s="24"/>
      <c r="Q161" s="26"/>
      <c r="R161" s="18"/>
      <c r="S161" s="27"/>
    </row>
    <row r="162" spans="14:19" x14ac:dyDescent="0.3">
      <c r="N162" s="24"/>
      <c r="O162" s="24"/>
      <c r="P162" s="24"/>
      <c r="Q162" s="26"/>
      <c r="R162" s="18"/>
      <c r="S162" s="27"/>
    </row>
    <row r="163" spans="14:19" x14ac:dyDescent="0.3">
      <c r="N163" s="24"/>
      <c r="O163" s="24"/>
      <c r="P163" s="24"/>
      <c r="Q163" s="26"/>
      <c r="R163" s="18"/>
      <c r="S163" s="27"/>
    </row>
    <row r="164" spans="14:19" x14ac:dyDescent="0.3">
      <c r="N164" s="24"/>
      <c r="O164" s="24"/>
      <c r="P164" s="24"/>
      <c r="Q164" s="26"/>
      <c r="R164" s="18"/>
      <c r="S164" s="27"/>
    </row>
    <row r="165" spans="14:19" x14ac:dyDescent="0.3">
      <c r="N165" s="24"/>
      <c r="O165" s="24"/>
      <c r="P165" s="24"/>
      <c r="Q165" s="26"/>
      <c r="R165" s="18"/>
      <c r="S165" s="27"/>
    </row>
    <row r="166" spans="14:19" x14ac:dyDescent="0.3">
      <c r="N166" s="24"/>
      <c r="O166" s="24"/>
      <c r="P166" s="24"/>
      <c r="Q166" s="26"/>
      <c r="R166" s="18"/>
      <c r="S166" s="27"/>
    </row>
    <row r="167" spans="14:19" x14ac:dyDescent="0.3">
      <c r="N167" s="24"/>
      <c r="O167" s="24"/>
      <c r="P167" s="24"/>
      <c r="Q167" s="26"/>
      <c r="R167" s="18"/>
      <c r="S167" s="27"/>
    </row>
    <row r="168" spans="14:19" x14ac:dyDescent="0.3">
      <c r="N168" s="24"/>
      <c r="O168" s="24"/>
      <c r="P168" s="24"/>
      <c r="Q168" s="26"/>
      <c r="R168" s="18"/>
      <c r="S168" s="27"/>
    </row>
    <row r="169" spans="14:19" x14ac:dyDescent="0.3">
      <c r="N169" s="24"/>
      <c r="O169" s="24"/>
      <c r="P169" s="24"/>
      <c r="Q169" s="26"/>
      <c r="R169" s="18"/>
      <c r="S169" s="27"/>
    </row>
    <row r="170" spans="14:19" x14ac:dyDescent="0.3">
      <c r="N170" s="24"/>
      <c r="O170" s="24"/>
      <c r="P170" s="24"/>
      <c r="Q170" s="26"/>
      <c r="R170" s="18"/>
      <c r="S170" s="27"/>
    </row>
    <row r="171" spans="14:19" x14ac:dyDescent="0.3">
      <c r="N171" s="24"/>
      <c r="O171" s="24"/>
      <c r="P171" s="24"/>
      <c r="Q171" s="26"/>
      <c r="R171" s="18"/>
      <c r="S171" s="27"/>
    </row>
    <row r="172" spans="14:19" x14ac:dyDescent="0.3">
      <c r="N172" s="24"/>
      <c r="O172" s="24"/>
      <c r="P172" s="24"/>
      <c r="Q172" s="26"/>
      <c r="R172" s="18"/>
      <c r="S172" s="27"/>
    </row>
    <row r="173" spans="14:19" x14ac:dyDescent="0.3">
      <c r="N173" s="24"/>
      <c r="O173" s="24"/>
      <c r="P173" s="24"/>
      <c r="Q173" s="26"/>
      <c r="R173" s="18"/>
      <c r="S173" s="27"/>
    </row>
    <row r="174" spans="14:19" x14ac:dyDescent="0.3">
      <c r="N174" s="24"/>
      <c r="O174" s="24"/>
      <c r="P174" s="24"/>
      <c r="Q174" s="26"/>
      <c r="R174" s="18"/>
      <c r="S174" s="27"/>
    </row>
    <row r="175" spans="14:19" x14ac:dyDescent="0.3">
      <c r="N175" s="24"/>
      <c r="O175" s="24"/>
      <c r="P175" s="24"/>
      <c r="Q175" s="26"/>
      <c r="R175" s="18"/>
      <c r="S175" s="27"/>
    </row>
    <row r="176" spans="14:19" x14ac:dyDescent="0.3">
      <c r="N176" s="24"/>
      <c r="O176" s="24"/>
      <c r="P176" s="24"/>
      <c r="Q176" s="26"/>
      <c r="R176" s="18"/>
      <c r="S176" s="27"/>
    </row>
    <row r="177" spans="14:19" x14ac:dyDescent="0.3">
      <c r="N177" s="24"/>
      <c r="O177" s="24"/>
      <c r="P177" s="24"/>
      <c r="Q177" s="26"/>
      <c r="R177" s="18"/>
      <c r="S177" s="27"/>
    </row>
    <row r="178" spans="14:19" x14ac:dyDescent="0.3">
      <c r="N178" s="24"/>
      <c r="O178" s="24"/>
      <c r="P178" s="24"/>
      <c r="Q178" s="26"/>
      <c r="R178" s="18"/>
      <c r="S178" s="27"/>
    </row>
    <row r="179" spans="14:19" x14ac:dyDescent="0.3">
      <c r="N179" s="24"/>
      <c r="O179" s="24"/>
      <c r="P179" s="24"/>
      <c r="Q179" s="26"/>
      <c r="R179" s="18"/>
      <c r="S179" s="27"/>
    </row>
    <row r="180" spans="14:19" x14ac:dyDescent="0.3">
      <c r="N180" s="24"/>
      <c r="O180" s="24"/>
      <c r="P180" s="24"/>
      <c r="Q180" s="26"/>
      <c r="R180" s="18"/>
      <c r="S180" s="27"/>
    </row>
    <row r="181" spans="14:19" x14ac:dyDescent="0.3">
      <c r="N181" s="24"/>
      <c r="O181" s="24"/>
      <c r="P181" s="24"/>
      <c r="Q181" s="26"/>
      <c r="R181" s="18"/>
      <c r="S181" s="27"/>
    </row>
    <row r="182" spans="14:19" x14ac:dyDescent="0.3">
      <c r="N182" s="24"/>
      <c r="O182" s="24"/>
      <c r="P182" s="24"/>
      <c r="Q182" s="26"/>
      <c r="R182" s="18"/>
      <c r="S182" s="27"/>
    </row>
    <row r="183" spans="14:19" x14ac:dyDescent="0.3">
      <c r="N183" s="24"/>
      <c r="O183" s="24"/>
      <c r="P183" s="24"/>
      <c r="Q183" s="26"/>
      <c r="R183" s="18"/>
      <c r="S183" s="27"/>
    </row>
    <row r="184" spans="14:19" x14ac:dyDescent="0.3">
      <c r="N184" s="24"/>
      <c r="O184" s="24"/>
      <c r="P184" s="24"/>
      <c r="Q184" s="26"/>
      <c r="R184" s="18"/>
      <c r="S184" s="27"/>
    </row>
    <row r="185" spans="14:19" x14ac:dyDescent="0.3">
      <c r="N185" s="24"/>
      <c r="O185" s="24"/>
      <c r="P185" s="24"/>
      <c r="Q185" s="26"/>
      <c r="R185" s="18"/>
      <c r="S185" s="27"/>
    </row>
    <row r="186" spans="14:19" x14ac:dyDescent="0.3">
      <c r="N186" s="24"/>
      <c r="O186" s="24"/>
      <c r="P186" s="24"/>
      <c r="Q186" s="26"/>
      <c r="R186" s="18"/>
      <c r="S186" s="27"/>
    </row>
    <row r="187" spans="14:19" x14ac:dyDescent="0.3">
      <c r="N187" s="24"/>
      <c r="O187" s="24"/>
      <c r="P187" s="24"/>
      <c r="Q187" s="26"/>
      <c r="R187" s="18"/>
      <c r="S187" s="27"/>
    </row>
    <row r="188" spans="14:19" x14ac:dyDescent="0.3">
      <c r="N188" s="24"/>
      <c r="O188" s="24"/>
      <c r="P188" s="24"/>
      <c r="Q188" s="26"/>
      <c r="R188" s="18"/>
      <c r="S188" s="27"/>
    </row>
    <row r="189" spans="14:19" x14ac:dyDescent="0.3">
      <c r="N189" s="24"/>
      <c r="O189" s="24"/>
      <c r="P189" s="24"/>
      <c r="Q189" s="26"/>
      <c r="R189" s="18"/>
      <c r="S189" s="27"/>
    </row>
    <row r="190" spans="14:19" x14ac:dyDescent="0.3">
      <c r="N190" s="24"/>
      <c r="O190" s="24"/>
      <c r="P190" s="24"/>
      <c r="Q190" s="26"/>
      <c r="R190" s="18"/>
      <c r="S190" s="27"/>
    </row>
    <row r="191" spans="14:19" x14ac:dyDescent="0.3">
      <c r="N191" s="24"/>
      <c r="O191" s="24"/>
      <c r="P191" s="24"/>
      <c r="Q191" s="26"/>
      <c r="R191" s="18"/>
      <c r="S191" s="27"/>
    </row>
    <row r="192" spans="14:19" x14ac:dyDescent="0.3">
      <c r="N192" s="24"/>
      <c r="O192" s="24"/>
      <c r="P192" s="24"/>
      <c r="Q192" s="26"/>
      <c r="R192" s="18"/>
      <c r="S192" s="27"/>
    </row>
    <row r="193" spans="14:19" x14ac:dyDescent="0.3">
      <c r="N193" s="24"/>
      <c r="O193" s="24"/>
      <c r="P193" s="24"/>
      <c r="Q193" s="26"/>
      <c r="R193" s="18"/>
      <c r="S193" s="27"/>
    </row>
    <row r="194" spans="14:19" x14ac:dyDescent="0.3">
      <c r="N194" s="24"/>
      <c r="O194" s="24"/>
      <c r="P194" s="24"/>
      <c r="Q194" s="26"/>
      <c r="R194" s="18"/>
      <c r="S194" s="27"/>
    </row>
    <row r="195" spans="14:19" x14ac:dyDescent="0.3">
      <c r="N195" s="24"/>
      <c r="O195" s="24"/>
      <c r="P195" s="24"/>
      <c r="Q195" s="26"/>
      <c r="R195" s="18"/>
      <c r="S195" s="27"/>
    </row>
    <row r="196" spans="14:19" x14ac:dyDescent="0.3">
      <c r="N196" s="24"/>
      <c r="O196" s="24"/>
      <c r="P196" s="24"/>
      <c r="Q196" s="26"/>
      <c r="R196" s="18"/>
      <c r="S196" s="27"/>
    </row>
    <row r="197" spans="14:19" x14ac:dyDescent="0.3">
      <c r="N197" s="24"/>
      <c r="O197" s="24"/>
      <c r="P197" s="24"/>
      <c r="Q197" s="26"/>
      <c r="R197" s="18"/>
      <c r="S197" s="27"/>
    </row>
    <row r="198" spans="14:19" x14ac:dyDescent="0.3">
      <c r="N198" s="24"/>
      <c r="O198" s="24"/>
      <c r="P198" s="24"/>
      <c r="Q198" s="26"/>
      <c r="R198" s="18"/>
      <c r="S198" s="27"/>
    </row>
    <row r="199" spans="14:19" x14ac:dyDescent="0.3">
      <c r="N199" s="24"/>
      <c r="O199" s="24"/>
      <c r="P199" s="24"/>
      <c r="Q199" s="26"/>
      <c r="R199" s="18"/>
      <c r="S199" s="27"/>
    </row>
    <row r="200" spans="14:19" x14ac:dyDescent="0.3">
      <c r="N200" s="24"/>
      <c r="O200" s="24"/>
      <c r="P200" s="24"/>
      <c r="Q200" s="26"/>
      <c r="R200" s="18"/>
      <c r="S200" s="27"/>
    </row>
    <row r="201" spans="14:19" x14ac:dyDescent="0.3">
      <c r="N201" s="24"/>
      <c r="O201" s="24"/>
      <c r="P201" s="24"/>
      <c r="Q201" s="26"/>
      <c r="R201" s="18"/>
      <c r="S201" s="27"/>
    </row>
    <row r="202" spans="14:19" x14ac:dyDescent="0.3">
      <c r="N202" s="24"/>
      <c r="O202" s="24"/>
      <c r="P202" s="24"/>
      <c r="Q202" s="26"/>
      <c r="R202" s="18"/>
      <c r="S202" s="27"/>
    </row>
    <row r="203" spans="14:19" x14ac:dyDescent="0.3">
      <c r="N203" s="24"/>
      <c r="O203" s="24"/>
      <c r="P203" s="24"/>
      <c r="Q203" s="26"/>
      <c r="R203" s="18"/>
      <c r="S203" s="27"/>
    </row>
    <row r="204" spans="14:19" x14ac:dyDescent="0.3">
      <c r="N204" s="24"/>
      <c r="O204" s="24"/>
      <c r="P204" s="24"/>
      <c r="Q204" s="26"/>
      <c r="R204" s="18"/>
      <c r="S204" s="27"/>
    </row>
    <row r="205" spans="14:19" x14ac:dyDescent="0.3">
      <c r="N205" s="24"/>
      <c r="O205" s="24"/>
      <c r="P205" s="24"/>
      <c r="Q205" s="26"/>
      <c r="R205" s="18"/>
      <c r="S205" s="27"/>
    </row>
    <row r="206" spans="14:19" x14ac:dyDescent="0.3">
      <c r="N206" s="24"/>
      <c r="O206" s="24"/>
      <c r="P206" s="24"/>
      <c r="Q206" s="26"/>
      <c r="R206" s="18"/>
      <c r="S206" s="27"/>
    </row>
    <row r="207" spans="14:19" x14ac:dyDescent="0.3">
      <c r="N207" s="24"/>
      <c r="O207" s="24"/>
      <c r="P207" s="24"/>
      <c r="Q207" s="26"/>
      <c r="R207" s="18"/>
      <c r="S207" s="27"/>
    </row>
    <row r="208" spans="14:19" x14ac:dyDescent="0.3">
      <c r="N208" s="24"/>
      <c r="O208" s="24"/>
      <c r="P208" s="24"/>
      <c r="Q208" s="26"/>
      <c r="R208" s="18"/>
      <c r="S208" s="27"/>
    </row>
    <row r="209" spans="14:19" x14ac:dyDescent="0.3">
      <c r="N209" s="24"/>
      <c r="O209" s="24"/>
      <c r="P209" s="24"/>
      <c r="Q209" s="26"/>
      <c r="R209" s="18"/>
      <c r="S209" s="27"/>
    </row>
    <row r="210" spans="14:19" x14ac:dyDescent="0.3">
      <c r="N210" s="24"/>
      <c r="O210" s="24"/>
      <c r="P210" s="24"/>
      <c r="Q210" s="26"/>
      <c r="R210" s="18"/>
      <c r="S210" s="27"/>
    </row>
    <row r="211" spans="14:19" x14ac:dyDescent="0.3">
      <c r="N211" s="24"/>
      <c r="O211" s="24"/>
      <c r="P211" s="24"/>
      <c r="Q211" s="26"/>
      <c r="R211" s="18"/>
      <c r="S211" s="27"/>
    </row>
    <row r="212" spans="14:19" x14ac:dyDescent="0.3">
      <c r="N212" s="24"/>
      <c r="O212" s="24"/>
      <c r="P212" s="24"/>
      <c r="Q212" s="26"/>
      <c r="R212" s="18"/>
      <c r="S212" s="27"/>
    </row>
    <row r="213" spans="14:19" x14ac:dyDescent="0.3">
      <c r="N213" s="24"/>
      <c r="O213" s="24"/>
      <c r="P213" s="24"/>
      <c r="Q213" s="26"/>
      <c r="R213" s="18"/>
      <c r="S213" s="27"/>
    </row>
    <row r="214" spans="14:19" x14ac:dyDescent="0.3">
      <c r="N214" s="24"/>
      <c r="O214" s="24"/>
      <c r="P214" s="24"/>
      <c r="Q214" s="26"/>
      <c r="R214" s="18"/>
      <c r="S214" s="27"/>
    </row>
    <row r="215" spans="14:19" x14ac:dyDescent="0.3">
      <c r="N215" s="24"/>
      <c r="O215" s="24"/>
      <c r="P215" s="24"/>
      <c r="Q215" s="26"/>
      <c r="R215" s="18"/>
      <c r="S215" s="27"/>
    </row>
    <row r="216" spans="14:19" x14ac:dyDescent="0.3">
      <c r="N216" s="24"/>
      <c r="O216" s="24"/>
      <c r="P216" s="24"/>
      <c r="Q216" s="26"/>
      <c r="R216" s="18"/>
      <c r="S216" s="27"/>
    </row>
    <row r="217" spans="14:19" x14ac:dyDescent="0.3">
      <c r="N217" s="24"/>
      <c r="O217" s="24"/>
      <c r="P217" s="24"/>
      <c r="Q217" s="26"/>
      <c r="R217" s="18"/>
      <c r="S217" s="27"/>
    </row>
    <row r="218" spans="14:19" x14ac:dyDescent="0.3">
      <c r="N218" s="24"/>
      <c r="O218" s="24"/>
      <c r="P218" s="24"/>
      <c r="Q218" s="26"/>
      <c r="R218" s="18"/>
      <c r="S218" s="27"/>
    </row>
    <row r="219" spans="14:19" x14ac:dyDescent="0.3">
      <c r="N219" s="24"/>
      <c r="O219" s="24"/>
      <c r="P219" s="24"/>
      <c r="Q219" s="26"/>
      <c r="R219" s="18"/>
      <c r="S219" s="27"/>
    </row>
    <row r="220" spans="14:19" x14ac:dyDescent="0.3">
      <c r="N220" s="24"/>
      <c r="O220" s="24"/>
      <c r="P220" s="24"/>
      <c r="Q220" s="26"/>
      <c r="R220" s="18"/>
      <c r="S220" s="27"/>
    </row>
    <row r="221" spans="14:19" x14ac:dyDescent="0.3">
      <c r="N221" s="24"/>
      <c r="O221" s="24"/>
      <c r="P221" s="24"/>
      <c r="Q221" s="26"/>
      <c r="R221" s="18"/>
      <c r="S221" s="27"/>
    </row>
    <row r="222" spans="14:19" x14ac:dyDescent="0.3">
      <c r="N222" s="24"/>
      <c r="O222" s="24"/>
      <c r="P222" s="24"/>
      <c r="Q222" s="26"/>
      <c r="R222" s="18"/>
      <c r="S222" s="27"/>
    </row>
    <row r="223" spans="14:19" x14ac:dyDescent="0.3">
      <c r="N223" s="24"/>
      <c r="O223" s="24"/>
      <c r="P223" s="24"/>
      <c r="Q223" s="26"/>
      <c r="R223" s="18"/>
      <c r="S223" s="27"/>
    </row>
    <row r="224" spans="14:19" x14ac:dyDescent="0.3">
      <c r="N224" s="24"/>
      <c r="O224" s="24"/>
      <c r="P224" s="24"/>
      <c r="Q224" s="26"/>
      <c r="R224" s="18"/>
      <c r="S224" s="27"/>
    </row>
    <row r="225" spans="14:19" x14ac:dyDescent="0.3">
      <c r="N225" s="24"/>
      <c r="O225" s="24"/>
      <c r="P225" s="24"/>
      <c r="Q225" s="26"/>
      <c r="R225" s="18"/>
      <c r="S225" s="27"/>
    </row>
    <row r="226" spans="14:19" x14ac:dyDescent="0.3">
      <c r="N226" s="24"/>
      <c r="O226" s="24"/>
      <c r="P226" s="24"/>
      <c r="Q226" s="26"/>
      <c r="R226" s="18"/>
      <c r="S226" s="27"/>
    </row>
    <row r="227" spans="14:19" x14ac:dyDescent="0.3">
      <c r="N227" s="24"/>
      <c r="O227" s="24"/>
      <c r="P227" s="24"/>
      <c r="Q227" s="26"/>
      <c r="R227" s="18"/>
      <c r="S227" s="27"/>
    </row>
    <row r="228" spans="14:19" x14ac:dyDescent="0.3">
      <c r="N228" s="24"/>
      <c r="O228" s="24"/>
      <c r="P228" s="24"/>
      <c r="Q228" s="26"/>
      <c r="R228" s="18"/>
      <c r="S228" s="27"/>
    </row>
    <row r="229" spans="14:19" x14ac:dyDescent="0.3">
      <c r="N229" s="24"/>
      <c r="O229" s="24"/>
      <c r="P229" s="24"/>
      <c r="Q229" s="26"/>
      <c r="R229" s="18"/>
      <c r="S229" s="27"/>
    </row>
    <row r="230" spans="14:19" x14ac:dyDescent="0.3">
      <c r="N230" s="24"/>
      <c r="O230" s="24"/>
      <c r="P230" s="24"/>
      <c r="Q230" s="26"/>
      <c r="R230" s="18"/>
      <c r="S230" s="27"/>
    </row>
    <row r="231" spans="14:19" x14ac:dyDescent="0.3">
      <c r="N231" s="24"/>
      <c r="O231" s="24"/>
      <c r="P231" s="24"/>
      <c r="Q231" s="26"/>
      <c r="R231" s="18"/>
      <c r="S231" s="27"/>
    </row>
    <row r="232" spans="14:19" x14ac:dyDescent="0.3">
      <c r="N232" s="24"/>
      <c r="O232" s="24"/>
      <c r="P232" s="24"/>
      <c r="Q232" s="26"/>
      <c r="R232" s="18"/>
      <c r="S232" s="27"/>
    </row>
    <row r="233" spans="14:19" x14ac:dyDescent="0.3">
      <c r="N233" s="24"/>
      <c r="O233" s="24"/>
      <c r="P233" s="24"/>
      <c r="Q233" s="26"/>
      <c r="R233" s="18"/>
      <c r="S233" s="27"/>
    </row>
    <row r="234" spans="14:19" x14ac:dyDescent="0.3">
      <c r="N234" s="24"/>
      <c r="O234" s="24"/>
      <c r="P234" s="24"/>
      <c r="Q234" s="26"/>
      <c r="R234" s="18"/>
      <c r="S234" s="27"/>
    </row>
    <row r="235" spans="14:19" x14ac:dyDescent="0.3">
      <c r="N235" s="24"/>
      <c r="O235" s="24"/>
      <c r="P235" s="24"/>
      <c r="Q235" s="26"/>
      <c r="R235" s="18"/>
      <c r="S235" s="27"/>
    </row>
    <row r="236" spans="14:19" x14ac:dyDescent="0.3">
      <c r="N236" s="24"/>
      <c r="O236" s="24"/>
      <c r="P236" s="24"/>
      <c r="Q236" s="26"/>
      <c r="R236" s="18"/>
      <c r="S236" s="27"/>
    </row>
    <row r="237" spans="14:19" x14ac:dyDescent="0.3">
      <c r="N237" s="24"/>
      <c r="O237" s="24"/>
      <c r="P237" s="24"/>
      <c r="Q237" s="26"/>
      <c r="R237" s="18"/>
      <c r="S237" s="27"/>
    </row>
    <row r="238" spans="14:19" x14ac:dyDescent="0.3">
      <c r="N238" s="24"/>
      <c r="O238" s="24"/>
      <c r="P238" s="24"/>
      <c r="Q238" s="26"/>
      <c r="R238" s="18"/>
      <c r="S238" s="27"/>
    </row>
    <row r="239" spans="14:19" x14ac:dyDescent="0.3">
      <c r="N239" s="24"/>
      <c r="O239" s="24"/>
      <c r="P239" s="24"/>
      <c r="Q239" s="26"/>
      <c r="R239" s="18"/>
      <c r="S239" s="27"/>
    </row>
    <row r="240" spans="14:19" x14ac:dyDescent="0.3">
      <c r="N240" s="24"/>
      <c r="O240" s="24"/>
      <c r="P240" s="24"/>
      <c r="Q240" s="26"/>
      <c r="R240" s="18"/>
      <c r="S240" s="27"/>
    </row>
    <row r="241" spans="14:19" x14ac:dyDescent="0.3">
      <c r="N241" s="24"/>
      <c r="O241" s="24"/>
      <c r="P241" s="24"/>
      <c r="Q241" s="26"/>
      <c r="R241" s="18"/>
      <c r="S241" s="27"/>
    </row>
    <row r="242" spans="14:19" x14ac:dyDescent="0.3">
      <c r="N242" s="24"/>
      <c r="O242" s="24"/>
      <c r="P242" s="24"/>
      <c r="Q242" s="26"/>
      <c r="R242" s="18"/>
      <c r="S242" s="27"/>
    </row>
    <row r="243" spans="14:19" x14ac:dyDescent="0.3">
      <c r="N243" s="24"/>
      <c r="O243" s="24"/>
      <c r="P243" s="24"/>
      <c r="Q243" s="26"/>
      <c r="R243" s="18"/>
      <c r="S243" s="27"/>
    </row>
    <row r="244" spans="14:19" x14ac:dyDescent="0.3">
      <c r="N244" s="24"/>
      <c r="O244" s="24"/>
      <c r="P244" s="24"/>
      <c r="Q244" s="26"/>
      <c r="R244" s="18"/>
      <c r="S244" s="27"/>
    </row>
    <row r="245" spans="14:19" x14ac:dyDescent="0.3">
      <c r="N245" s="24"/>
      <c r="O245" s="24"/>
      <c r="P245" s="24"/>
      <c r="Q245" s="26"/>
      <c r="R245" s="18"/>
      <c r="S245" s="27"/>
    </row>
    <row r="246" spans="14:19" x14ac:dyDescent="0.3">
      <c r="N246" s="24"/>
      <c r="O246" s="24"/>
      <c r="P246" s="24"/>
      <c r="Q246" s="26"/>
      <c r="R246" s="18"/>
      <c r="S246" s="27"/>
    </row>
    <row r="247" spans="14:19" x14ac:dyDescent="0.3">
      <c r="N247" s="24"/>
      <c r="O247" s="24"/>
      <c r="P247" s="24"/>
      <c r="Q247" s="26"/>
      <c r="R247" s="18"/>
      <c r="S247" s="27"/>
    </row>
    <row r="248" spans="14:19" x14ac:dyDescent="0.3">
      <c r="N248" s="24"/>
      <c r="O248" s="24"/>
      <c r="P248" s="24"/>
      <c r="Q248" s="26"/>
      <c r="R248" s="18"/>
      <c r="S248" s="27"/>
    </row>
    <row r="249" spans="14:19" x14ac:dyDescent="0.3">
      <c r="N249" s="24"/>
      <c r="O249" s="24"/>
      <c r="P249" s="24"/>
      <c r="Q249" s="26"/>
      <c r="R249" s="18"/>
      <c r="S249" s="27"/>
    </row>
    <row r="250" spans="14:19" x14ac:dyDescent="0.3">
      <c r="N250" s="24"/>
      <c r="O250" s="24"/>
      <c r="P250" s="24"/>
      <c r="Q250" s="26"/>
      <c r="R250" s="18"/>
      <c r="S250" s="27"/>
    </row>
    <row r="251" spans="14:19" x14ac:dyDescent="0.3">
      <c r="N251" s="24"/>
      <c r="O251" s="24"/>
      <c r="P251" s="24"/>
      <c r="Q251" s="26"/>
      <c r="R251" s="18"/>
      <c r="S251" s="27"/>
    </row>
    <row r="252" spans="14:19" x14ac:dyDescent="0.3">
      <c r="N252" s="24"/>
      <c r="O252" s="24"/>
      <c r="P252" s="24"/>
      <c r="Q252" s="26"/>
      <c r="R252" s="18"/>
      <c r="S252" s="27"/>
    </row>
    <row r="253" spans="14:19" x14ac:dyDescent="0.3">
      <c r="N253" s="24"/>
      <c r="O253" s="24"/>
      <c r="P253" s="24"/>
      <c r="Q253" s="26"/>
      <c r="R253" s="18"/>
      <c r="S253" s="27"/>
    </row>
    <row r="254" spans="14:19" x14ac:dyDescent="0.3">
      <c r="N254" s="24"/>
      <c r="O254" s="24"/>
      <c r="P254" s="24"/>
      <c r="Q254" s="26"/>
      <c r="R254" s="18"/>
      <c r="S254" s="27"/>
    </row>
    <row r="255" spans="14:19" x14ac:dyDescent="0.3">
      <c r="N255" s="24"/>
      <c r="O255" s="24"/>
      <c r="P255" s="24"/>
      <c r="Q255" s="26"/>
      <c r="R255" s="18"/>
      <c r="S255" s="27"/>
    </row>
    <row r="256" spans="14:19" x14ac:dyDescent="0.3">
      <c r="N256" s="24"/>
      <c r="O256" s="24"/>
      <c r="P256" s="24"/>
      <c r="Q256" s="26"/>
      <c r="R256" s="18"/>
      <c r="S256" s="27"/>
    </row>
    <row r="257" spans="14:19" x14ac:dyDescent="0.3">
      <c r="N257" s="24"/>
      <c r="O257" s="24"/>
      <c r="P257" s="24"/>
      <c r="Q257" s="26"/>
      <c r="R257" s="18"/>
      <c r="S257" s="27"/>
    </row>
    <row r="258" spans="14:19" x14ac:dyDescent="0.3">
      <c r="N258" s="24"/>
      <c r="O258" s="24"/>
      <c r="P258" s="24"/>
      <c r="Q258" s="26"/>
      <c r="R258" s="18"/>
      <c r="S258" s="27"/>
    </row>
    <row r="259" spans="14:19" x14ac:dyDescent="0.3">
      <c r="N259" s="24"/>
      <c r="O259" s="24"/>
      <c r="P259" s="24"/>
      <c r="Q259" s="26"/>
      <c r="R259" s="18"/>
      <c r="S259" s="27"/>
    </row>
    <row r="260" spans="14:19" x14ac:dyDescent="0.3">
      <c r="N260" s="24"/>
      <c r="O260" s="24"/>
      <c r="P260" s="24"/>
      <c r="Q260" s="26"/>
      <c r="R260" s="18"/>
      <c r="S260" s="27"/>
    </row>
    <row r="261" spans="14:19" x14ac:dyDescent="0.3">
      <c r="N261" s="24"/>
      <c r="O261" s="24"/>
      <c r="P261" s="24"/>
      <c r="Q261" s="26"/>
      <c r="R261" s="18"/>
      <c r="S261" s="27"/>
    </row>
    <row r="262" spans="14:19" x14ac:dyDescent="0.3">
      <c r="N262" s="24"/>
      <c r="O262" s="24"/>
      <c r="P262" s="24"/>
      <c r="Q262" s="26"/>
      <c r="R262" s="18"/>
      <c r="S262" s="27"/>
    </row>
    <row r="263" spans="14:19" x14ac:dyDescent="0.3">
      <c r="N263" s="24"/>
      <c r="O263" s="24"/>
      <c r="P263" s="24"/>
      <c r="Q263" s="26"/>
      <c r="R263" s="18"/>
      <c r="S263" s="27"/>
    </row>
    <row r="264" spans="14:19" x14ac:dyDescent="0.3">
      <c r="N264" s="24"/>
      <c r="O264" s="24"/>
      <c r="P264" s="24"/>
      <c r="Q264" s="26"/>
      <c r="R264" s="18"/>
      <c r="S264" s="27"/>
    </row>
    <row r="265" spans="14:19" x14ac:dyDescent="0.3">
      <c r="N265" s="24"/>
      <c r="O265" s="24"/>
      <c r="P265" s="24"/>
      <c r="Q265" s="26"/>
      <c r="R265" s="18"/>
      <c r="S265" s="27"/>
    </row>
    <row r="266" spans="14:19" x14ac:dyDescent="0.3">
      <c r="N266" s="24"/>
      <c r="O266" s="24"/>
      <c r="P266" s="24"/>
      <c r="Q266" s="26"/>
      <c r="R266" s="18"/>
      <c r="S266" s="27"/>
    </row>
    <row r="267" spans="14:19" x14ac:dyDescent="0.3">
      <c r="N267" s="24"/>
      <c r="O267" s="24"/>
      <c r="P267" s="24"/>
      <c r="Q267" s="26"/>
      <c r="R267" s="18"/>
      <c r="S267" s="27"/>
    </row>
    <row r="268" spans="14:19" x14ac:dyDescent="0.3">
      <c r="N268" s="24"/>
      <c r="O268" s="24"/>
      <c r="P268" s="24"/>
      <c r="Q268" s="26"/>
      <c r="R268" s="18"/>
      <c r="S268" s="27"/>
    </row>
    <row r="269" spans="14:19" x14ac:dyDescent="0.3">
      <c r="N269" s="24"/>
      <c r="O269" s="24"/>
      <c r="P269" s="24"/>
      <c r="Q269" s="26"/>
      <c r="R269" s="18"/>
      <c r="S269" s="27"/>
    </row>
    <row r="270" spans="14:19" x14ac:dyDescent="0.3">
      <c r="N270" s="24"/>
      <c r="O270" s="24"/>
      <c r="P270" s="24"/>
      <c r="Q270" s="26"/>
      <c r="R270" s="18"/>
      <c r="S270" s="27"/>
    </row>
    <row r="271" spans="14:19" x14ac:dyDescent="0.3">
      <c r="N271" s="24"/>
      <c r="O271" s="24"/>
      <c r="P271" s="24"/>
      <c r="Q271" s="26"/>
      <c r="R271" s="18"/>
      <c r="S271" s="27"/>
    </row>
    <row r="272" spans="14:19" x14ac:dyDescent="0.3">
      <c r="N272" s="24"/>
      <c r="O272" s="24"/>
      <c r="P272" s="24"/>
      <c r="Q272" s="26"/>
      <c r="R272" s="18"/>
      <c r="S272" s="27"/>
    </row>
    <row r="273" spans="14:19" x14ac:dyDescent="0.3">
      <c r="N273" s="24"/>
      <c r="O273" s="24"/>
      <c r="P273" s="24"/>
      <c r="Q273" s="26"/>
      <c r="R273" s="18"/>
      <c r="S273" s="27"/>
    </row>
    <row r="274" spans="14:19" x14ac:dyDescent="0.3">
      <c r="N274" s="24"/>
      <c r="O274" s="24"/>
      <c r="P274" s="24"/>
      <c r="Q274" s="26"/>
      <c r="R274" s="18"/>
      <c r="S274" s="27"/>
    </row>
    <row r="275" spans="14:19" x14ac:dyDescent="0.3">
      <c r="N275" s="24"/>
      <c r="O275" s="24"/>
      <c r="P275" s="24"/>
      <c r="Q275" s="26"/>
      <c r="R275" s="18"/>
      <c r="S275" s="27"/>
    </row>
    <row r="276" spans="14:19" x14ac:dyDescent="0.3">
      <c r="N276" s="24"/>
      <c r="O276" s="24"/>
      <c r="P276" s="24"/>
      <c r="Q276" s="26"/>
      <c r="R276" s="18"/>
      <c r="S276" s="27"/>
    </row>
    <row r="277" spans="14:19" x14ac:dyDescent="0.3">
      <c r="N277" s="24"/>
      <c r="O277" s="24"/>
      <c r="P277" s="24"/>
      <c r="Q277" s="26"/>
      <c r="R277" s="18"/>
      <c r="S277" s="27"/>
    </row>
    <row r="278" spans="14:19" x14ac:dyDescent="0.3">
      <c r="N278" s="24"/>
      <c r="O278" s="24"/>
      <c r="P278" s="24"/>
      <c r="Q278" s="26"/>
      <c r="R278" s="18"/>
      <c r="S278" s="27"/>
    </row>
    <row r="279" spans="14:19" x14ac:dyDescent="0.3">
      <c r="N279" s="24"/>
      <c r="O279" s="24"/>
      <c r="P279" s="24"/>
      <c r="Q279" s="26"/>
      <c r="R279" s="18"/>
      <c r="S279" s="27"/>
    </row>
    <row r="280" spans="14:19" x14ac:dyDescent="0.3">
      <c r="N280" s="24"/>
      <c r="O280" s="24"/>
      <c r="P280" s="24"/>
      <c r="Q280" s="26"/>
      <c r="R280" s="18"/>
      <c r="S280" s="27"/>
    </row>
    <row r="281" spans="14:19" x14ac:dyDescent="0.3">
      <c r="N281" s="24"/>
      <c r="O281" s="24"/>
      <c r="P281" s="24"/>
      <c r="Q281" s="26"/>
      <c r="R281" s="18"/>
      <c r="S281" s="27"/>
    </row>
    <row r="282" spans="14:19" x14ac:dyDescent="0.3">
      <c r="N282" s="24"/>
      <c r="O282" s="24"/>
      <c r="P282" s="24"/>
      <c r="Q282" s="26"/>
      <c r="R282" s="18"/>
      <c r="S282" s="27"/>
    </row>
    <row r="283" spans="14:19" x14ac:dyDescent="0.3">
      <c r="N283" s="24"/>
      <c r="O283" s="24"/>
      <c r="P283" s="24"/>
      <c r="Q283" s="26"/>
      <c r="R283" s="18"/>
      <c r="S283" s="27"/>
    </row>
    <row r="284" spans="14:19" x14ac:dyDescent="0.3">
      <c r="N284" s="24"/>
      <c r="O284" s="24"/>
      <c r="P284" s="24"/>
      <c r="Q284" s="26"/>
      <c r="R284" s="18"/>
      <c r="S284" s="27"/>
    </row>
    <row r="285" spans="14:19" x14ac:dyDescent="0.3">
      <c r="N285" s="24"/>
      <c r="O285" s="24"/>
      <c r="P285" s="24"/>
      <c r="Q285" s="26"/>
      <c r="R285" s="18"/>
      <c r="S285" s="27"/>
    </row>
    <row r="286" spans="14:19" x14ac:dyDescent="0.3">
      <c r="N286" s="24"/>
      <c r="O286" s="24"/>
      <c r="P286" s="24"/>
      <c r="Q286" s="26"/>
      <c r="R286" s="18"/>
      <c r="S286" s="27"/>
    </row>
    <row r="287" spans="14:19" x14ac:dyDescent="0.3">
      <c r="N287" s="24"/>
      <c r="O287" s="24"/>
      <c r="P287" s="24"/>
      <c r="Q287" s="26"/>
      <c r="R287" s="18"/>
      <c r="S287" s="27"/>
    </row>
    <row r="288" spans="14:19" x14ac:dyDescent="0.3">
      <c r="N288" s="24"/>
      <c r="O288" s="24"/>
      <c r="P288" s="24"/>
      <c r="Q288" s="26"/>
      <c r="R288" s="18"/>
      <c r="S288" s="27"/>
    </row>
    <row r="289" spans="14:19" x14ac:dyDescent="0.3">
      <c r="N289" s="24"/>
      <c r="O289" s="24"/>
      <c r="P289" s="24"/>
      <c r="Q289" s="26"/>
      <c r="R289" s="18"/>
      <c r="S289" s="27"/>
    </row>
    <row r="290" spans="14:19" x14ac:dyDescent="0.3">
      <c r="N290" s="24"/>
      <c r="O290" s="24"/>
      <c r="P290" s="24"/>
      <c r="Q290" s="26"/>
      <c r="R290" s="18"/>
      <c r="S290" s="27"/>
    </row>
    <row r="291" spans="14:19" x14ac:dyDescent="0.3">
      <c r="N291" s="24"/>
      <c r="O291" s="24"/>
      <c r="P291" s="24"/>
      <c r="Q291" s="26"/>
      <c r="R291" s="18"/>
      <c r="S291" s="27"/>
    </row>
    <row r="292" spans="14:19" x14ac:dyDescent="0.3">
      <c r="N292" s="24"/>
      <c r="O292" s="24"/>
      <c r="P292" s="24"/>
      <c r="Q292" s="26"/>
      <c r="R292" s="18"/>
      <c r="S292" s="27"/>
    </row>
    <row r="293" spans="14:19" x14ac:dyDescent="0.3">
      <c r="N293" s="24"/>
      <c r="O293" s="24"/>
      <c r="P293" s="24"/>
      <c r="Q293" s="26"/>
      <c r="R293" s="18"/>
      <c r="S293" s="27"/>
    </row>
    <row r="294" spans="14:19" x14ac:dyDescent="0.3">
      <c r="N294" s="24"/>
      <c r="O294" s="24"/>
      <c r="P294" s="24"/>
      <c r="Q294" s="26"/>
      <c r="R294" s="18"/>
      <c r="S294" s="27"/>
    </row>
    <row r="295" spans="14:19" x14ac:dyDescent="0.3">
      <c r="N295" s="24"/>
      <c r="O295" s="24"/>
      <c r="P295" s="24"/>
      <c r="Q295" s="26"/>
      <c r="R295" s="18"/>
      <c r="S295" s="27"/>
    </row>
    <row r="296" spans="14:19" x14ac:dyDescent="0.3">
      <c r="N296" s="24"/>
      <c r="O296" s="24"/>
      <c r="P296" s="24"/>
      <c r="Q296" s="26"/>
      <c r="R296" s="18"/>
      <c r="S296" s="27"/>
    </row>
    <row r="297" spans="14:19" x14ac:dyDescent="0.3">
      <c r="N297" s="24"/>
      <c r="O297" s="24"/>
      <c r="P297" s="24"/>
      <c r="Q297" s="26"/>
      <c r="R297" s="18"/>
      <c r="S297" s="27"/>
    </row>
    <row r="298" spans="14:19" x14ac:dyDescent="0.3">
      <c r="N298" s="24"/>
      <c r="O298" s="24"/>
      <c r="P298" s="24"/>
      <c r="Q298" s="26"/>
      <c r="R298" s="18"/>
      <c r="S298" s="27"/>
    </row>
    <row r="299" spans="14:19" x14ac:dyDescent="0.3">
      <c r="N299" s="24"/>
      <c r="O299" s="24"/>
      <c r="P299" s="24"/>
      <c r="Q299" s="26"/>
      <c r="R299" s="18"/>
      <c r="S299" s="27"/>
    </row>
    <row r="300" spans="14:19" x14ac:dyDescent="0.3">
      <c r="N300" s="24"/>
      <c r="O300" s="24"/>
      <c r="P300" s="24"/>
      <c r="Q300" s="26"/>
      <c r="R300" s="18"/>
      <c r="S300" s="27"/>
    </row>
    <row r="301" spans="14:19" x14ac:dyDescent="0.3">
      <c r="N301" s="24"/>
      <c r="O301" s="24"/>
      <c r="P301" s="24"/>
      <c r="Q301" s="26"/>
      <c r="R301" s="18"/>
      <c r="S301" s="27"/>
    </row>
    <row r="302" spans="14:19" x14ac:dyDescent="0.3">
      <c r="N302" s="24"/>
      <c r="O302" s="24"/>
      <c r="P302" s="24"/>
      <c r="Q302" s="26"/>
      <c r="R302" s="18"/>
      <c r="S302" s="27"/>
    </row>
    <row r="303" spans="14:19" x14ac:dyDescent="0.3">
      <c r="N303" s="24"/>
      <c r="O303" s="24"/>
      <c r="P303" s="24"/>
      <c r="Q303" s="26"/>
      <c r="R303" s="18"/>
      <c r="S303" s="27"/>
    </row>
    <row r="304" spans="14:19" x14ac:dyDescent="0.3">
      <c r="N304" s="24"/>
      <c r="O304" s="24"/>
      <c r="P304" s="24"/>
      <c r="Q304" s="26"/>
      <c r="R304" s="18"/>
      <c r="S304" s="27"/>
    </row>
    <row r="305" spans="14:19" x14ac:dyDescent="0.3">
      <c r="N305" s="24"/>
      <c r="O305" s="24"/>
      <c r="P305" s="24"/>
      <c r="Q305" s="26"/>
      <c r="R305" s="18"/>
      <c r="S305" s="27"/>
    </row>
    <row r="306" spans="14:19" x14ac:dyDescent="0.3">
      <c r="N306" s="24"/>
      <c r="O306" s="24"/>
      <c r="P306" s="24"/>
      <c r="Q306" s="26"/>
      <c r="R306" s="18"/>
      <c r="S306" s="27"/>
    </row>
    <row r="307" spans="14:19" x14ac:dyDescent="0.3">
      <c r="N307" s="24"/>
      <c r="O307" s="24"/>
      <c r="P307" s="24"/>
      <c r="Q307" s="26"/>
      <c r="R307" s="18"/>
      <c r="S307" s="27"/>
    </row>
    <row r="308" spans="14:19" x14ac:dyDescent="0.3">
      <c r="N308" s="24"/>
      <c r="O308" s="24"/>
      <c r="P308" s="24"/>
      <c r="Q308" s="26"/>
      <c r="R308" s="18"/>
      <c r="S308" s="27"/>
    </row>
    <row r="309" spans="14:19" x14ac:dyDescent="0.3">
      <c r="N309" s="24"/>
      <c r="O309" s="24"/>
      <c r="P309" s="24"/>
      <c r="Q309" s="26"/>
      <c r="R309" s="18"/>
      <c r="S309" s="27"/>
    </row>
    <row r="310" spans="14:19" x14ac:dyDescent="0.3">
      <c r="N310" s="24"/>
      <c r="O310" s="24"/>
      <c r="P310" s="24"/>
      <c r="Q310" s="26"/>
      <c r="R310" s="18"/>
      <c r="S310" s="27"/>
    </row>
    <row r="311" spans="14:19" x14ac:dyDescent="0.3">
      <c r="N311" s="24"/>
      <c r="O311" s="24"/>
      <c r="P311" s="25"/>
      <c r="Q311" s="26"/>
      <c r="R311" s="18"/>
      <c r="S311" s="27"/>
    </row>
    <row r="312" spans="14:19" x14ac:dyDescent="0.3">
      <c r="N312" s="24"/>
      <c r="O312" s="24"/>
      <c r="P312" s="25"/>
      <c r="Q312" s="26"/>
      <c r="R312" s="18"/>
      <c r="S312" s="27"/>
    </row>
    <row r="313" spans="14:19" x14ac:dyDescent="0.3">
      <c r="N313" s="24"/>
      <c r="O313" s="24"/>
      <c r="P313" s="25"/>
      <c r="Q313" s="26"/>
      <c r="R313" s="18"/>
      <c r="S313" s="27"/>
    </row>
    <row r="314" spans="14:19" x14ac:dyDescent="0.3">
      <c r="N314" s="24"/>
      <c r="O314" s="24"/>
      <c r="P314" s="25"/>
      <c r="Q314" s="26"/>
      <c r="R314" s="18"/>
      <c r="S314" s="27"/>
    </row>
    <row r="315" spans="14:19" x14ac:dyDescent="0.3">
      <c r="N315" s="24"/>
      <c r="O315" s="24"/>
      <c r="P315" s="25"/>
      <c r="Q315" s="26"/>
      <c r="R315" s="18"/>
      <c r="S315" s="27"/>
    </row>
    <row r="316" spans="14:19" x14ac:dyDescent="0.3">
      <c r="N316" s="24"/>
      <c r="O316" s="24"/>
      <c r="P316" s="25"/>
      <c r="Q316" s="26"/>
      <c r="R316" s="18"/>
      <c r="S316" s="27"/>
    </row>
    <row r="317" spans="14:19" x14ac:dyDescent="0.3">
      <c r="N317" s="24"/>
      <c r="O317" s="24"/>
      <c r="P317" s="25"/>
      <c r="Q317" s="26"/>
      <c r="R317" s="18"/>
      <c r="S317" s="27"/>
    </row>
    <row r="318" spans="14:19" x14ac:dyDescent="0.3">
      <c r="N318" s="24"/>
      <c r="O318" s="24"/>
      <c r="P318" s="25"/>
      <c r="Q318" s="26"/>
      <c r="R318" s="18"/>
      <c r="S318" s="27"/>
    </row>
    <row r="319" spans="14:19" x14ac:dyDescent="0.3">
      <c r="N319" s="24"/>
      <c r="O319" s="24"/>
      <c r="P319" s="25"/>
      <c r="Q319" s="26"/>
      <c r="R319" s="18"/>
      <c r="S319" s="27"/>
    </row>
    <row r="320" spans="14:19" x14ac:dyDescent="0.3">
      <c r="N320" s="24"/>
      <c r="O320" s="24"/>
      <c r="P320" s="25"/>
      <c r="Q320" s="26"/>
      <c r="R320" s="18"/>
      <c r="S320" s="27"/>
    </row>
    <row r="321" spans="14:19" x14ac:dyDescent="0.3">
      <c r="N321" s="24"/>
      <c r="O321" s="24"/>
      <c r="P321" s="25"/>
      <c r="Q321" s="26"/>
      <c r="R321" s="18"/>
      <c r="S321" s="27"/>
    </row>
    <row r="322" spans="14:19" x14ac:dyDescent="0.3">
      <c r="N322" s="24"/>
      <c r="O322" s="24"/>
      <c r="P322" s="25"/>
      <c r="Q322" s="26"/>
      <c r="R322" s="18"/>
      <c r="S322" s="27"/>
    </row>
    <row r="323" spans="14:19" x14ac:dyDescent="0.3">
      <c r="N323" s="24"/>
      <c r="O323" s="24"/>
      <c r="P323" s="25"/>
      <c r="Q323" s="26"/>
      <c r="R323" s="18"/>
      <c r="S323" s="27"/>
    </row>
    <row r="324" spans="14:19" x14ac:dyDescent="0.3">
      <c r="N324" s="24"/>
      <c r="O324" s="24"/>
      <c r="P324" s="25"/>
      <c r="Q324" s="26"/>
      <c r="R324" s="18"/>
      <c r="S324" s="27"/>
    </row>
    <row r="325" spans="14:19" x14ac:dyDescent="0.3">
      <c r="N325" s="24"/>
      <c r="O325" s="24"/>
      <c r="P325" s="25"/>
      <c r="Q325" s="26"/>
      <c r="R325" s="18"/>
      <c r="S325" s="27"/>
    </row>
    <row r="326" spans="14:19" x14ac:dyDescent="0.3">
      <c r="N326" s="24"/>
      <c r="O326" s="24"/>
      <c r="P326" s="25"/>
      <c r="Q326" s="26"/>
      <c r="R326" s="18"/>
      <c r="S326" s="27"/>
    </row>
    <row r="327" spans="14:19" x14ac:dyDescent="0.3">
      <c r="N327" s="24"/>
      <c r="O327" s="24"/>
      <c r="P327" s="25"/>
      <c r="Q327" s="26"/>
      <c r="R327" s="18"/>
      <c r="S327" s="27"/>
    </row>
    <row r="328" spans="14:19" x14ac:dyDescent="0.3">
      <c r="N328" s="24"/>
      <c r="O328" s="24"/>
      <c r="P328" s="25"/>
      <c r="Q328" s="26"/>
      <c r="R328" s="18"/>
      <c r="S328" s="27"/>
    </row>
    <row r="329" spans="14:19" x14ac:dyDescent="0.3">
      <c r="N329" s="24"/>
      <c r="O329" s="24"/>
      <c r="P329" s="25"/>
      <c r="Q329" s="26"/>
      <c r="R329" s="18"/>
      <c r="S329" s="27"/>
    </row>
    <row r="330" spans="14:19" x14ac:dyDescent="0.3">
      <c r="N330" s="24"/>
      <c r="O330" s="24"/>
      <c r="P330" s="25"/>
      <c r="Q330" s="26"/>
      <c r="R330" s="18"/>
      <c r="S330" s="27"/>
    </row>
    <row r="331" spans="14:19" x14ac:dyDescent="0.3">
      <c r="N331" s="24"/>
      <c r="O331" s="24"/>
      <c r="P331" s="25"/>
      <c r="Q331" s="26"/>
      <c r="R331" s="18"/>
      <c r="S331" s="27"/>
    </row>
    <row r="332" spans="14:19" x14ac:dyDescent="0.3">
      <c r="N332" s="24"/>
      <c r="O332" s="24"/>
      <c r="P332" s="25"/>
      <c r="Q332" s="26"/>
      <c r="R332" s="18"/>
      <c r="S332" s="27"/>
    </row>
    <row r="333" spans="14:19" x14ac:dyDescent="0.3">
      <c r="N333" s="24"/>
      <c r="O333" s="24"/>
      <c r="P333" s="25"/>
      <c r="Q333" s="26"/>
      <c r="R333" s="18"/>
      <c r="S333" s="27"/>
    </row>
    <row r="334" spans="14:19" x14ac:dyDescent="0.3">
      <c r="N334" s="24"/>
      <c r="O334" s="24"/>
      <c r="P334" s="25"/>
      <c r="Q334" s="26"/>
      <c r="R334" s="18"/>
      <c r="S334" s="27"/>
    </row>
    <row r="335" spans="14:19" x14ac:dyDescent="0.3">
      <c r="N335" s="24"/>
      <c r="O335" s="24"/>
      <c r="P335" s="25"/>
      <c r="Q335" s="26"/>
      <c r="R335" s="18"/>
      <c r="S335" s="27"/>
    </row>
    <row r="336" spans="14:19" x14ac:dyDescent="0.3">
      <c r="N336" s="24"/>
      <c r="O336" s="24"/>
      <c r="P336" s="25"/>
      <c r="Q336" s="26"/>
      <c r="R336" s="18"/>
      <c r="S336" s="27"/>
    </row>
    <row r="337" spans="14:19" x14ac:dyDescent="0.3">
      <c r="N337" s="24"/>
      <c r="O337" s="24"/>
      <c r="P337" s="25"/>
      <c r="Q337" s="26"/>
      <c r="R337" s="18"/>
      <c r="S337" s="27"/>
    </row>
    <row r="338" spans="14:19" x14ac:dyDescent="0.3">
      <c r="N338" s="24"/>
      <c r="O338" s="24"/>
      <c r="P338" s="25"/>
      <c r="Q338" s="26"/>
      <c r="R338" s="18"/>
      <c r="S338" s="27"/>
    </row>
    <row r="339" spans="14:19" x14ac:dyDescent="0.3">
      <c r="N339" s="24"/>
      <c r="O339" s="24"/>
      <c r="P339" s="25"/>
      <c r="Q339" s="26"/>
      <c r="R339" s="18"/>
      <c r="S339" s="27"/>
    </row>
    <row r="340" spans="14:19" x14ac:dyDescent="0.3">
      <c r="N340" s="24"/>
      <c r="O340" s="24"/>
      <c r="P340" s="25"/>
      <c r="Q340" s="26"/>
      <c r="R340" s="18"/>
      <c r="S340" s="27"/>
    </row>
    <row r="341" spans="14:19" x14ac:dyDescent="0.3">
      <c r="N341" s="24"/>
      <c r="O341" s="24"/>
      <c r="P341" s="25"/>
      <c r="Q341" s="26"/>
      <c r="R341" s="18"/>
      <c r="S341" s="27"/>
    </row>
    <row r="342" spans="14:19" x14ac:dyDescent="0.3">
      <c r="N342" s="24"/>
      <c r="O342" s="24"/>
      <c r="P342" s="25"/>
      <c r="Q342" s="26"/>
      <c r="R342" s="18"/>
      <c r="S342" s="27"/>
    </row>
    <row r="343" spans="14:19" x14ac:dyDescent="0.3">
      <c r="N343" s="24"/>
      <c r="O343" s="24"/>
      <c r="P343" s="25"/>
      <c r="Q343" s="26"/>
      <c r="R343" s="18"/>
      <c r="S343" s="27"/>
    </row>
    <row r="344" spans="14:19" x14ac:dyDescent="0.3">
      <c r="N344" s="24"/>
      <c r="O344" s="24"/>
      <c r="P344" s="25"/>
      <c r="Q344" s="26"/>
      <c r="R344" s="18"/>
      <c r="S344" s="27"/>
    </row>
    <row r="345" spans="14:19" x14ac:dyDescent="0.3">
      <c r="N345" s="24"/>
      <c r="O345" s="24"/>
      <c r="P345" s="25"/>
      <c r="Q345" s="26"/>
      <c r="R345" s="18"/>
      <c r="S345" s="27"/>
    </row>
    <row r="346" spans="14:19" x14ac:dyDescent="0.3">
      <c r="N346" s="24"/>
      <c r="O346" s="24"/>
      <c r="P346" s="25"/>
      <c r="Q346" s="26"/>
      <c r="R346" s="18"/>
      <c r="S346" s="27"/>
    </row>
    <row r="347" spans="14:19" x14ac:dyDescent="0.3">
      <c r="N347" s="24"/>
      <c r="O347" s="24"/>
      <c r="P347" s="25"/>
      <c r="Q347" s="26"/>
      <c r="R347" s="18"/>
      <c r="S347" s="27"/>
    </row>
    <row r="348" spans="14:19" x14ac:dyDescent="0.3">
      <c r="N348" s="24"/>
      <c r="O348" s="24"/>
      <c r="P348" s="25"/>
      <c r="Q348" s="26"/>
      <c r="R348" s="18"/>
      <c r="S348" s="27"/>
    </row>
    <row r="349" spans="14:19" x14ac:dyDescent="0.3">
      <c r="N349" s="24"/>
      <c r="O349" s="24"/>
      <c r="P349" s="25"/>
      <c r="Q349" s="26"/>
      <c r="R349" s="18"/>
      <c r="S349" s="27"/>
    </row>
    <row r="350" spans="14:19" x14ac:dyDescent="0.3">
      <c r="N350" s="24"/>
      <c r="O350" s="24"/>
      <c r="P350" s="25"/>
      <c r="Q350" s="26"/>
      <c r="R350" s="18"/>
      <c r="S350" s="27"/>
    </row>
    <row r="351" spans="14:19" x14ac:dyDescent="0.3">
      <c r="N351" s="24"/>
      <c r="O351" s="24"/>
      <c r="P351" s="25"/>
      <c r="Q351" s="26"/>
      <c r="R351" s="18"/>
      <c r="S351" s="27"/>
    </row>
    <row r="352" spans="14:19" x14ac:dyDescent="0.3">
      <c r="N352" s="24"/>
      <c r="O352" s="24"/>
      <c r="P352" s="25"/>
      <c r="Q352" s="26"/>
      <c r="R352" s="18"/>
      <c r="S352" s="27"/>
    </row>
    <row r="353" spans="14:19" x14ac:dyDescent="0.3">
      <c r="N353" s="24"/>
      <c r="O353" s="24"/>
      <c r="P353" s="25"/>
      <c r="Q353" s="26"/>
      <c r="R353" s="18"/>
      <c r="S353" s="27"/>
    </row>
    <row r="354" spans="14:19" x14ac:dyDescent="0.3">
      <c r="N354" s="24"/>
      <c r="O354" s="24"/>
      <c r="P354" s="25"/>
      <c r="Q354" s="26"/>
      <c r="R354" s="18"/>
      <c r="S354" s="27"/>
    </row>
    <row r="355" spans="14:19" x14ac:dyDescent="0.3">
      <c r="N355" s="24"/>
      <c r="O355" s="24"/>
      <c r="P355" s="25"/>
      <c r="Q355" s="26"/>
      <c r="R355" s="18"/>
      <c r="S355" s="27"/>
    </row>
    <row r="356" spans="14:19" x14ac:dyDescent="0.3">
      <c r="N356" s="24"/>
      <c r="O356" s="24"/>
      <c r="P356" s="25"/>
      <c r="Q356" s="26"/>
      <c r="R356" s="18"/>
      <c r="S356" s="27"/>
    </row>
    <row r="357" spans="14:19" x14ac:dyDescent="0.3">
      <c r="N357" s="24"/>
      <c r="O357" s="24"/>
      <c r="P357" s="25"/>
      <c r="Q357" s="26"/>
      <c r="R357" s="18"/>
      <c r="S357" s="27"/>
    </row>
    <row r="358" spans="14:19" x14ac:dyDescent="0.3">
      <c r="N358" s="24"/>
      <c r="O358" s="24"/>
      <c r="P358" s="25"/>
      <c r="Q358" s="26"/>
      <c r="R358" s="18"/>
      <c r="S358" s="27"/>
    </row>
    <row r="359" spans="14:19" x14ac:dyDescent="0.3">
      <c r="N359" s="24"/>
      <c r="O359" s="24"/>
      <c r="P359" s="25"/>
      <c r="Q359" s="26"/>
      <c r="R359" s="18"/>
      <c r="S359" s="27"/>
    </row>
    <row r="360" spans="14:19" x14ac:dyDescent="0.3">
      <c r="N360" s="24"/>
      <c r="O360" s="24"/>
      <c r="P360" s="25"/>
      <c r="Q360" s="26"/>
      <c r="R360" s="18"/>
      <c r="S360" s="27"/>
    </row>
    <row r="361" spans="14:19" x14ac:dyDescent="0.3">
      <c r="N361" s="24"/>
      <c r="O361" s="24"/>
      <c r="P361" s="25"/>
      <c r="Q361" s="26"/>
      <c r="R361" s="18"/>
      <c r="S361" s="27"/>
    </row>
    <row r="362" spans="14:19" x14ac:dyDescent="0.3">
      <c r="N362" s="24"/>
      <c r="O362" s="24"/>
      <c r="P362" s="25"/>
      <c r="Q362" s="26"/>
      <c r="R362" s="18"/>
      <c r="S362" s="27"/>
    </row>
    <row r="363" spans="14:19" x14ac:dyDescent="0.3">
      <c r="N363" s="24"/>
      <c r="O363" s="24"/>
      <c r="P363" s="25"/>
      <c r="Q363" s="26"/>
      <c r="R363" s="18"/>
      <c r="S363" s="27"/>
    </row>
    <row r="364" spans="14:19" x14ac:dyDescent="0.3">
      <c r="N364" s="24"/>
      <c r="O364" s="24"/>
      <c r="P364" s="25"/>
      <c r="Q364" s="26"/>
      <c r="R364" s="18"/>
      <c r="S364" s="27"/>
    </row>
    <row r="365" spans="14:19" x14ac:dyDescent="0.3">
      <c r="N365" s="24"/>
      <c r="O365" s="24"/>
      <c r="P365" s="25"/>
      <c r="Q365" s="26"/>
      <c r="R365" s="18"/>
      <c r="S365" s="27"/>
    </row>
    <row r="366" spans="14:19" x14ac:dyDescent="0.3">
      <c r="N366" s="24"/>
      <c r="O366" s="24"/>
      <c r="P366" s="25"/>
      <c r="Q366" s="26"/>
      <c r="R366" s="18"/>
      <c r="S366" s="27"/>
    </row>
    <row r="367" spans="14:19" x14ac:dyDescent="0.3">
      <c r="N367" s="24"/>
      <c r="O367" s="24"/>
      <c r="P367" s="25"/>
      <c r="Q367" s="26"/>
      <c r="R367" s="18"/>
      <c r="S367" s="27"/>
    </row>
    <row r="368" spans="14:19" x14ac:dyDescent="0.3">
      <c r="N368" s="24"/>
      <c r="O368" s="24"/>
      <c r="P368" s="25"/>
      <c r="Q368" s="26"/>
      <c r="R368" s="18"/>
      <c r="S368" s="27"/>
    </row>
    <row r="369" spans="14:19" x14ac:dyDescent="0.3">
      <c r="N369" s="24"/>
      <c r="O369" s="24"/>
      <c r="P369" s="25"/>
      <c r="Q369" s="26"/>
      <c r="R369" s="18"/>
      <c r="S369" s="27"/>
    </row>
    <row r="370" spans="14:19" x14ac:dyDescent="0.3">
      <c r="N370" s="24"/>
      <c r="O370" s="24"/>
      <c r="P370" s="25"/>
      <c r="Q370" s="26"/>
      <c r="R370" s="18"/>
      <c r="S370" s="27"/>
    </row>
    <row r="371" spans="14:19" x14ac:dyDescent="0.3">
      <c r="N371" s="24"/>
      <c r="O371" s="24"/>
      <c r="P371" s="25"/>
      <c r="Q371" s="26"/>
      <c r="R371" s="18"/>
      <c r="S371" s="27"/>
    </row>
    <row r="372" spans="14:19" x14ac:dyDescent="0.3">
      <c r="N372" s="24"/>
      <c r="O372" s="24"/>
      <c r="P372" s="25"/>
      <c r="Q372" s="26"/>
      <c r="R372" s="18"/>
      <c r="S372" s="27"/>
    </row>
    <row r="373" spans="14:19" x14ac:dyDescent="0.3">
      <c r="N373" s="24"/>
      <c r="O373" s="24"/>
      <c r="P373" s="25"/>
      <c r="Q373" s="26"/>
      <c r="R373" s="18"/>
      <c r="S373" s="27"/>
    </row>
    <row r="374" spans="14:19" x14ac:dyDescent="0.3">
      <c r="N374" s="24"/>
      <c r="O374" s="24"/>
      <c r="P374" s="25"/>
      <c r="Q374" s="26"/>
      <c r="R374" s="18"/>
      <c r="S374" s="27"/>
    </row>
    <row r="375" spans="14:19" x14ac:dyDescent="0.3">
      <c r="N375" s="24"/>
      <c r="O375" s="24"/>
      <c r="P375" s="25"/>
      <c r="Q375" s="26"/>
      <c r="R375" s="18"/>
      <c r="S375" s="27"/>
    </row>
    <row r="376" spans="14:19" x14ac:dyDescent="0.3">
      <c r="N376" s="24"/>
      <c r="O376" s="24"/>
      <c r="P376" s="25"/>
      <c r="Q376" s="26"/>
      <c r="R376" s="18"/>
      <c r="S376" s="27"/>
    </row>
    <row r="377" spans="14:19" x14ac:dyDescent="0.3">
      <c r="N377" s="24"/>
      <c r="O377" s="24"/>
      <c r="P377" s="25"/>
      <c r="Q377" s="26"/>
      <c r="R377" s="18"/>
      <c r="S377" s="27"/>
    </row>
    <row r="378" spans="14:19" x14ac:dyDescent="0.3">
      <c r="N378" s="24"/>
      <c r="O378" s="24"/>
      <c r="P378" s="25"/>
      <c r="Q378" s="26"/>
      <c r="R378" s="18"/>
      <c r="S378" s="27"/>
    </row>
    <row r="379" spans="14:19" x14ac:dyDescent="0.3">
      <c r="N379" s="24"/>
      <c r="O379" s="24"/>
      <c r="P379" s="25"/>
      <c r="Q379" s="26"/>
      <c r="R379" s="18"/>
      <c r="S379" s="27"/>
    </row>
    <row r="380" spans="14:19" x14ac:dyDescent="0.3">
      <c r="N380" s="24"/>
      <c r="O380" s="24"/>
      <c r="P380" s="25"/>
      <c r="Q380" s="26"/>
      <c r="R380" s="18"/>
      <c r="S380" s="27"/>
    </row>
    <row r="381" spans="14:19" x14ac:dyDescent="0.3">
      <c r="N381" s="24"/>
      <c r="O381" s="24"/>
      <c r="P381" s="25"/>
      <c r="Q381" s="26"/>
      <c r="R381" s="18"/>
      <c r="S381" s="27"/>
    </row>
    <row r="382" spans="14:19" x14ac:dyDescent="0.3">
      <c r="N382" s="24"/>
      <c r="O382" s="24"/>
      <c r="P382" s="25"/>
      <c r="Q382" s="26"/>
      <c r="R382" s="18"/>
      <c r="S382" s="27"/>
    </row>
    <row r="383" spans="14:19" x14ac:dyDescent="0.3">
      <c r="N383" s="24"/>
      <c r="O383" s="24"/>
      <c r="P383" s="25"/>
      <c r="Q383" s="26"/>
      <c r="R383" s="18"/>
      <c r="S383" s="27"/>
    </row>
    <row r="384" spans="14:19" x14ac:dyDescent="0.3">
      <c r="N384" s="24"/>
      <c r="O384" s="24"/>
      <c r="P384" s="25"/>
      <c r="Q384" s="26"/>
      <c r="R384" s="18"/>
      <c r="S384" s="27"/>
    </row>
    <row r="385" spans="14:19" x14ac:dyDescent="0.3">
      <c r="N385" s="24"/>
      <c r="O385" s="24"/>
      <c r="P385" s="25"/>
      <c r="Q385" s="26"/>
      <c r="R385" s="18"/>
      <c r="S385" s="27"/>
    </row>
    <row r="386" spans="14:19" x14ac:dyDescent="0.3">
      <c r="N386" s="24"/>
      <c r="O386" s="24"/>
      <c r="P386" s="25"/>
      <c r="Q386" s="26"/>
      <c r="R386" s="18"/>
      <c r="S386" s="27"/>
    </row>
    <row r="387" spans="14:19" x14ac:dyDescent="0.3">
      <c r="N387" s="24"/>
      <c r="O387" s="24"/>
      <c r="P387" s="25"/>
      <c r="Q387" s="26"/>
      <c r="R387" s="18"/>
      <c r="S387" s="27"/>
    </row>
    <row r="388" spans="14:19" x14ac:dyDescent="0.3">
      <c r="N388" s="24"/>
      <c r="O388" s="24"/>
      <c r="P388" s="25"/>
      <c r="Q388" s="26"/>
      <c r="R388" s="18"/>
      <c r="S388" s="27"/>
    </row>
    <row r="389" spans="14:19" x14ac:dyDescent="0.3">
      <c r="N389" s="24"/>
      <c r="O389" s="24"/>
      <c r="P389" s="25"/>
      <c r="Q389" s="26"/>
      <c r="R389" s="18"/>
      <c r="S389" s="27"/>
    </row>
    <row r="390" spans="14:19" x14ac:dyDescent="0.3">
      <c r="N390" s="24"/>
      <c r="O390" s="24"/>
      <c r="P390" s="25"/>
      <c r="Q390" s="26"/>
      <c r="R390" s="18"/>
      <c r="S390" s="27"/>
    </row>
    <row r="391" spans="14:19" x14ac:dyDescent="0.3">
      <c r="N391" s="24"/>
      <c r="O391" s="24"/>
      <c r="P391" s="25"/>
      <c r="Q391" s="26"/>
      <c r="R391" s="18"/>
      <c r="S391" s="27"/>
    </row>
    <row r="392" spans="14:19" x14ac:dyDescent="0.3">
      <c r="N392" s="24"/>
      <c r="O392" s="24"/>
      <c r="P392" s="25"/>
      <c r="Q392" s="26"/>
      <c r="R392" s="18"/>
      <c r="S392" s="27"/>
    </row>
    <row r="393" spans="14:19" x14ac:dyDescent="0.3">
      <c r="N393" s="24"/>
      <c r="O393" s="24"/>
      <c r="P393" s="25"/>
      <c r="Q393" s="26"/>
      <c r="R393" s="18"/>
      <c r="S393" s="27"/>
    </row>
    <row r="394" spans="14:19" x14ac:dyDescent="0.3">
      <c r="N394" s="24"/>
      <c r="O394" s="24"/>
      <c r="P394" s="25"/>
      <c r="Q394" s="26"/>
      <c r="R394" s="18"/>
      <c r="S394" s="27"/>
    </row>
    <row r="395" spans="14:19" x14ac:dyDescent="0.3">
      <c r="N395" s="24"/>
      <c r="O395" s="24"/>
      <c r="P395" s="25"/>
      <c r="Q395" s="26"/>
      <c r="R395" s="18"/>
      <c r="S395" s="27"/>
    </row>
    <row r="396" spans="14:19" x14ac:dyDescent="0.3">
      <c r="N396" s="24"/>
      <c r="O396" s="24"/>
      <c r="P396" s="25"/>
      <c r="Q396" s="26"/>
      <c r="R396" s="18"/>
      <c r="S396" s="27"/>
    </row>
    <row r="397" spans="14:19" x14ac:dyDescent="0.3">
      <c r="N397" s="24"/>
      <c r="O397" s="24"/>
      <c r="P397" s="25"/>
      <c r="Q397" s="26"/>
      <c r="R397" s="18"/>
      <c r="S397" s="27"/>
    </row>
    <row r="398" spans="14:19" x14ac:dyDescent="0.3">
      <c r="N398" s="24"/>
      <c r="O398" s="24"/>
      <c r="P398" s="25"/>
      <c r="Q398" s="26"/>
      <c r="R398" s="18"/>
      <c r="S398" s="27"/>
    </row>
    <row r="399" spans="14:19" x14ac:dyDescent="0.3">
      <c r="N399" s="24"/>
      <c r="O399" s="24"/>
      <c r="P399" s="25"/>
      <c r="Q399" s="26"/>
      <c r="R399" s="18"/>
      <c r="S399" s="27"/>
    </row>
    <row r="400" spans="14:19" x14ac:dyDescent="0.3">
      <c r="N400" s="24"/>
      <c r="O400" s="24"/>
      <c r="P400" s="25"/>
      <c r="Q400" s="26"/>
      <c r="R400" s="18"/>
      <c r="S400" s="27"/>
    </row>
    <row r="401" spans="14:19" x14ac:dyDescent="0.3">
      <c r="N401" s="24"/>
      <c r="O401" s="24"/>
      <c r="P401" s="25"/>
      <c r="Q401" s="26"/>
      <c r="R401" s="18"/>
      <c r="S401" s="27"/>
    </row>
    <row r="402" spans="14:19" x14ac:dyDescent="0.3">
      <c r="N402" s="24"/>
      <c r="O402" s="24"/>
      <c r="P402" s="25"/>
      <c r="Q402" s="26"/>
      <c r="R402" s="18"/>
      <c r="S402" s="27"/>
    </row>
    <row r="403" spans="14:19" x14ac:dyDescent="0.3">
      <c r="N403" s="24"/>
      <c r="O403" s="24"/>
      <c r="P403" s="25"/>
      <c r="Q403" s="26"/>
      <c r="R403" s="18"/>
      <c r="S403" s="27"/>
    </row>
    <row r="404" spans="14:19" x14ac:dyDescent="0.3">
      <c r="N404" s="24"/>
      <c r="O404" s="24"/>
      <c r="P404" s="25"/>
      <c r="Q404" s="26"/>
      <c r="R404" s="18"/>
      <c r="S404" s="27"/>
    </row>
    <row r="405" spans="14:19" x14ac:dyDescent="0.3">
      <c r="N405" s="24"/>
      <c r="O405" s="24"/>
      <c r="P405" s="25"/>
      <c r="Q405" s="26"/>
      <c r="R405" s="18"/>
      <c r="S405" s="27"/>
    </row>
    <row r="406" spans="14:19" x14ac:dyDescent="0.3">
      <c r="N406" s="24"/>
      <c r="O406" s="24"/>
      <c r="P406" s="25"/>
      <c r="Q406" s="26"/>
      <c r="R406" s="18"/>
      <c r="S406" s="27"/>
    </row>
    <row r="407" spans="14:19" x14ac:dyDescent="0.3">
      <c r="N407" s="24"/>
      <c r="O407" s="24"/>
      <c r="P407" s="25"/>
      <c r="Q407" s="26"/>
      <c r="R407" s="18"/>
      <c r="S407" s="27"/>
    </row>
    <row r="408" spans="14:19" x14ac:dyDescent="0.3">
      <c r="N408" s="24"/>
      <c r="O408" s="24"/>
      <c r="P408" s="25"/>
      <c r="Q408" s="26"/>
      <c r="R408" s="18"/>
      <c r="S408" s="27"/>
    </row>
    <row r="409" spans="14:19" x14ac:dyDescent="0.3">
      <c r="N409" s="24"/>
      <c r="O409" s="24"/>
      <c r="P409" s="25"/>
      <c r="Q409" s="26"/>
      <c r="R409" s="18"/>
      <c r="S409" s="27"/>
    </row>
    <row r="410" spans="14:19" x14ac:dyDescent="0.3">
      <c r="N410" s="24"/>
      <c r="O410" s="24"/>
      <c r="P410" s="25"/>
      <c r="Q410" s="26"/>
      <c r="R410" s="18"/>
      <c r="S410" s="27"/>
    </row>
    <row r="411" spans="14:19" x14ac:dyDescent="0.3">
      <c r="N411" s="24"/>
      <c r="O411" s="24"/>
      <c r="P411" s="25"/>
      <c r="Q411" s="26"/>
      <c r="R411" s="18"/>
      <c r="S411" s="27"/>
    </row>
    <row r="412" spans="14:19" x14ac:dyDescent="0.3">
      <c r="N412" s="24"/>
      <c r="O412" s="24"/>
      <c r="P412" s="25"/>
      <c r="Q412" s="26"/>
      <c r="R412" s="18"/>
      <c r="S412" s="27"/>
    </row>
    <row r="413" spans="14:19" x14ac:dyDescent="0.3">
      <c r="N413" s="24"/>
      <c r="O413" s="24"/>
      <c r="P413" s="25"/>
      <c r="Q413" s="26"/>
      <c r="R413" s="18"/>
      <c r="S413" s="27"/>
    </row>
    <row r="414" spans="14:19" x14ac:dyDescent="0.3">
      <c r="N414" s="24"/>
      <c r="O414" s="24"/>
      <c r="P414" s="25"/>
      <c r="Q414" s="26"/>
      <c r="R414" s="18"/>
      <c r="S414" s="27"/>
    </row>
    <row r="415" spans="14:19" x14ac:dyDescent="0.3">
      <c r="N415" s="24"/>
      <c r="O415" s="24"/>
      <c r="P415" s="25"/>
      <c r="Q415" s="26"/>
      <c r="R415" s="18"/>
      <c r="S415" s="27"/>
    </row>
    <row r="416" spans="14:19" x14ac:dyDescent="0.3">
      <c r="N416" s="24"/>
      <c r="O416" s="24"/>
      <c r="P416" s="25"/>
      <c r="Q416" s="26"/>
      <c r="R416" s="18"/>
      <c r="S416" s="27"/>
    </row>
    <row r="417" spans="14:19" x14ac:dyDescent="0.3">
      <c r="N417" s="24"/>
      <c r="O417" s="24"/>
      <c r="P417" s="25"/>
      <c r="Q417" s="26"/>
      <c r="R417" s="18"/>
      <c r="S417" s="27"/>
    </row>
    <row r="418" spans="14:19" x14ac:dyDescent="0.3">
      <c r="N418" s="24"/>
      <c r="O418" s="24"/>
      <c r="P418" s="25"/>
      <c r="Q418" s="26"/>
      <c r="R418" s="18"/>
      <c r="S418" s="27"/>
    </row>
    <row r="419" spans="14:19" x14ac:dyDescent="0.3">
      <c r="N419" s="24"/>
      <c r="O419" s="24"/>
      <c r="P419" s="25"/>
      <c r="Q419" s="26"/>
      <c r="R419" s="18"/>
      <c r="S419" s="27"/>
    </row>
    <row r="420" spans="14:19" x14ac:dyDescent="0.3">
      <c r="N420" s="24"/>
      <c r="O420" s="24"/>
      <c r="P420" s="25"/>
      <c r="Q420" s="26"/>
      <c r="R420" s="18"/>
      <c r="S420" s="27"/>
    </row>
    <row r="421" spans="14:19" x14ac:dyDescent="0.3">
      <c r="N421" s="24"/>
      <c r="O421" s="24"/>
      <c r="P421" s="25"/>
      <c r="Q421" s="26"/>
      <c r="R421" s="18"/>
      <c r="S421" s="27"/>
    </row>
    <row r="422" spans="14:19" x14ac:dyDescent="0.3">
      <c r="N422" s="24"/>
      <c r="O422" s="24"/>
      <c r="P422" s="25"/>
      <c r="Q422" s="26"/>
      <c r="R422" s="18"/>
      <c r="S422" s="27"/>
    </row>
    <row r="423" spans="14:19" x14ac:dyDescent="0.3">
      <c r="N423" s="24"/>
      <c r="O423" s="24"/>
      <c r="P423" s="25"/>
      <c r="Q423" s="26"/>
      <c r="R423" s="18"/>
      <c r="S423" s="27"/>
    </row>
    <row r="424" spans="14:19" x14ac:dyDescent="0.3">
      <c r="N424" s="24"/>
      <c r="O424" s="24"/>
      <c r="P424" s="25"/>
      <c r="Q424" s="26"/>
      <c r="R424" s="18"/>
      <c r="S424" s="27"/>
    </row>
    <row r="425" spans="14:19" x14ac:dyDescent="0.3">
      <c r="N425" s="24"/>
      <c r="O425" s="24"/>
      <c r="P425" s="25"/>
      <c r="Q425" s="26"/>
      <c r="R425" s="18"/>
      <c r="S425" s="27"/>
    </row>
    <row r="426" spans="14:19" x14ac:dyDescent="0.3">
      <c r="N426" s="24"/>
      <c r="O426" s="24"/>
      <c r="P426" s="25"/>
      <c r="Q426" s="26"/>
      <c r="R426" s="18"/>
      <c r="S426" s="27"/>
    </row>
    <row r="427" spans="14:19" x14ac:dyDescent="0.3">
      <c r="N427" s="24"/>
      <c r="O427" s="24"/>
      <c r="P427" s="25"/>
      <c r="Q427" s="26"/>
      <c r="R427" s="18"/>
      <c r="S427" s="27"/>
    </row>
    <row r="428" spans="14:19" x14ac:dyDescent="0.3">
      <c r="N428" s="24"/>
      <c r="O428" s="24"/>
      <c r="P428" s="25"/>
      <c r="Q428" s="26"/>
      <c r="R428" s="18"/>
      <c r="S428" s="27"/>
    </row>
    <row r="429" spans="14:19" x14ac:dyDescent="0.3">
      <c r="N429" s="24"/>
      <c r="O429" s="24"/>
      <c r="P429" s="25"/>
      <c r="Q429" s="26"/>
      <c r="R429" s="18"/>
      <c r="S429" s="27"/>
    </row>
    <row r="430" spans="14:19" x14ac:dyDescent="0.3">
      <c r="N430" s="24"/>
      <c r="O430" s="24"/>
      <c r="P430" s="25"/>
      <c r="Q430" s="26"/>
      <c r="R430" s="18"/>
      <c r="S430" s="27"/>
    </row>
    <row r="431" spans="14:19" x14ac:dyDescent="0.3">
      <c r="N431" s="24"/>
      <c r="O431" s="24"/>
      <c r="P431" s="25"/>
      <c r="Q431" s="26"/>
      <c r="R431" s="18"/>
      <c r="S431" s="27"/>
    </row>
    <row r="432" spans="14:19" x14ac:dyDescent="0.3">
      <c r="N432" s="24"/>
      <c r="O432" s="24"/>
      <c r="P432" s="25"/>
      <c r="Q432" s="26"/>
      <c r="R432" s="18"/>
      <c r="S432" s="27"/>
    </row>
    <row r="433" spans="14:19" x14ac:dyDescent="0.3">
      <c r="N433" s="24"/>
      <c r="O433" s="24"/>
      <c r="P433" s="25"/>
      <c r="Q433" s="26"/>
      <c r="R433" s="18"/>
      <c r="S433" s="27"/>
    </row>
    <row r="434" spans="14:19" x14ac:dyDescent="0.3">
      <c r="N434" s="24"/>
      <c r="O434" s="24"/>
      <c r="P434" s="25"/>
      <c r="Q434" s="26"/>
      <c r="R434" s="18"/>
      <c r="S434" s="27"/>
    </row>
    <row r="435" spans="14:19" x14ac:dyDescent="0.3">
      <c r="N435" s="24"/>
      <c r="O435" s="24"/>
      <c r="P435" s="25"/>
      <c r="Q435" s="26"/>
      <c r="R435" s="18"/>
      <c r="S435" s="27"/>
    </row>
    <row r="436" spans="14:19" x14ac:dyDescent="0.3">
      <c r="N436" s="24"/>
      <c r="O436" s="24"/>
      <c r="P436" s="25"/>
      <c r="Q436" s="26"/>
      <c r="R436" s="18"/>
      <c r="S436" s="27"/>
    </row>
    <row r="437" spans="14:19" x14ac:dyDescent="0.3">
      <c r="N437" s="24"/>
      <c r="O437" s="24"/>
      <c r="P437" s="25"/>
      <c r="Q437" s="26"/>
      <c r="R437" s="18"/>
      <c r="S437" s="27"/>
    </row>
    <row r="438" spans="14:19" x14ac:dyDescent="0.3">
      <c r="N438" s="24"/>
      <c r="O438" s="24"/>
      <c r="P438" s="25"/>
      <c r="Q438" s="26"/>
      <c r="R438" s="18"/>
      <c r="S438" s="27"/>
    </row>
    <row r="439" spans="14:19" x14ac:dyDescent="0.3">
      <c r="N439" s="24"/>
      <c r="O439" s="24"/>
      <c r="P439" s="25"/>
      <c r="Q439" s="26"/>
      <c r="R439" s="18"/>
      <c r="S439" s="27"/>
    </row>
    <row r="440" spans="14:19" x14ac:dyDescent="0.3">
      <c r="N440" s="24"/>
      <c r="O440" s="24"/>
      <c r="P440" s="25"/>
      <c r="Q440" s="26"/>
      <c r="R440" s="18"/>
      <c r="S440" s="27"/>
    </row>
    <row r="441" spans="14:19" x14ac:dyDescent="0.3">
      <c r="N441" s="24"/>
      <c r="O441" s="24"/>
      <c r="P441" s="25"/>
      <c r="Q441" s="26"/>
      <c r="R441" s="18"/>
      <c r="S441" s="27"/>
    </row>
    <row r="442" spans="14:19" x14ac:dyDescent="0.3">
      <c r="N442" s="24"/>
      <c r="O442" s="24"/>
      <c r="P442" s="25"/>
      <c r="Q442" s="26"/>
      <c r="R442" s="18"/>
      <c r="S442" s="27"/>
    </row>
    <row r="443" spans="14:19" x14ac:dyDescent="0.3">
      <c r="N443" s="24"/>
      <c r="O443" s="24"/>
      <c r="P443" s="25"/>
      <c r="Q443" s="26"/>
      <c r="R443" s="18"/>
      <c r="S443" s="27"/>
    </row>
    <row r="444" spans="14:19" x14ac:dyDescent="0.3">
      <c r="N444" s="24"/>
      <c r="O444" s="24"/>
      <c r="P444" s="25"/>
      <c r="Q444" s="26"/>
      <c r="R444" s="18"/>
      <c r="S444" s="27"/>
    </row>
    <row r="445" spans="14:19" x14ac:dyDescent="0.3">
      <c r="N445" s="24"/>
      <c r="O445" s="24"/>
      <c r="P445" s="25"/>
      <c r="Q445" s="26"/>
      <c r="R445" s="18"/>
      <c r="S445" s="27"/>
    </row>
    <row r="446" spans="14:19" x14ac:dyDescent="0.3">
      <c r="N446" s="24"/>
      <c r="O446" s="24"/>
      <c r="P446" s="25"/>
      <c r="Q446" s="26"/>
      <c r="R446" s="18"/>
      <c r="S446" s="27"/>
    </row>
    <row r="447" spans="14:19" x14ac:dyDescent="0.3">
      <c r="N447" s="24"/>
      <c r="O447" s="24"/>
      <c r="P447" s="25"/>
      <c r="Q447" s="26"/>
      <c r="R447" s="18"/>
      <c r="S447" s="27"/>
    </row>
    <row r="448" spans="14:19" x14ac:dyDescent="0.3">
      <c r="N448" s="24"/>
      <c r="O448" s="24"/>
      <c r="P448" s="25"/>
      <c r="Q448" s="26"/>
      <c r="R448" s="18"/>
      <c r="S448" s="27"/>
    </row>
    <row r="449" spans="14:19" x14ac:dyDescent="0.3">
      <c r="N449" s="24"/>
      <c r="O449" s="24"/>
      <c r="P449" s="25"/>
      <c r="Q449" s="26"/>
      <c r="R449" s="18"/>
      <c r="S449" s="27"/>
    </row>
    <row r="450" spans="14:19" x14ac:dyDescent="0.3">
      <c r="N450" s="24"/>
      <c r="O450" s="24"/>
      <c r="P450" s="25"/>
      <c r="Q450" s="26"/>
      <c r="R450" s="18"/>
      <c r="S450" s="27"/>
    </row>
    <row r="451" spans="14:19" x14ac:dyDescent="0.3">
      <c r="N451" s="24"/>
      <c r="O451" s="24"/>
      <c r="P451" s="25"/>
      <c r="Q451" s="26"/>
      <c r="R451" s="18"/>
      <c r="S451" s="27"/>
    </row>
    <row r="452" spans="14:19" x14ac:dyDescent="0.3">
      <c r="N452" s="24"/>
      <c r="O452" s="24"/>
      <c r="P452" s="25"/>
      <c r="Q452" s="26"/>
      <c r="R452" s="18"/>
      <c r="S452" s="27"/>
    </row>
    <row r="453" spans="14:19" x14ac:dyDescent="0.3">
      <c r="N453" s="24"/>
      <c r="O453" s="24"/>
      <c r="P453" s="25"/>
      <c r="Q453" s="26"/>
      <c r="R453" s="18"/>
      <c r="S453" s="27"/>
    </row>
    <row r="454" spans="14:19" x14ac:dyDescent="0.3">
      <c r="N454" s="24"/>
      <c r="O454" s="24"/>
      <c r="P454" s="25"/>
      <c r="Q454" s="26"/>
      <c r="R454" s="18"/>
      <c r="S454" s="27"/>
    </row>
    <row r="455" spans="14:19" x14ac:dyDescent="0.3">
      <c r="N455" s="24"/>
      <c r="O455" s="24"/>
      <c r="P455" s="25"/>
      <c r="Q455" s="26"/>
      <c r="R455" s="18"/>
      <c r="S455" s="27"/>
    </row>
    <row r="456" spans="14:19" x14ac:dyDescent="0.3">
      <c r="N456" s="24"/>
      <c r="O456" s="24"/>
      <c r="P456" s="25"/>
      <c r="Q456" s="26"/>
      <c r="R456" s="18"/>
      <c r="S456" s="27"/>
    </row>
    <row r="457" spans="14:19" x14ac:dyDescent="0.3">
      <c r="N457" s="24"/>
      <c r="O457" s="24"/>
      <c r="P457" s="25"/>
      <c r="Q457" s="26"/>
      <c r="R457" s="18"/>
      <c r="S457" s="27"/>
    </row>
    <row r="458" spans="14:19" x14ac:dyDescent="0.3">
      <c r="N458" s="24"/>
      <c r="O458" s="24"/>
      <c r="P458" s="25"/>
      <c r="Q458" s="26"/>
      <c r="R458" s="18"/>
      <c r="S458" s="27"/>
    </row>
    <row r="459" spans="14:19" x14ac:dyDescent="0.3">
      <c r="N459" s="24"/>
      <c r="O459" s="24"/>
      <c r="P459" s="25"/>
      <c r="Q459" s="26"/>
      <c r="R459" s="18"/>
      <c r="S459" s="27"/>
    </row>
    <row r="460" spans="14:19" x14ac:dyDescent="0.3">
      <c r="N460" s="24"/>
      <c r="O460" s="24"/>
      <c r="P460" s="25"/>
      <c r="Q460" s="26"/>
      <c r="R460" s="18"/>
      <c r="S460" s="27"/>
    </row>
    <row r="461" spans="14:19" x14ac:dyDescent="0.3">
      <c r="N461" s="24"/>
      <c r="O461" s="24"/>
      <c r="P461" s="25"/>
      <c r="Q461" s="26"/>
      <c r="R461" s="18"/>
      <c r="S461" s="27"/>
    </row>
    <row r="462" spans="14:19" x14ac:dyDescent="0.3">
      <c r="N462" s="24"/>
      <c r="O462" s="24"/>
      <c r="P462" s="25"/>
      <c r="Q462" s="26"/>
      <c r="R462" s="18"/>
      <c r="S462" s="27"/>
    </row>
    <row r="463" spans="14:19" x14ac:dyDescent="0.3">
      <c r="N463" s="24"/>
      <c r="O463" s="24"/>
      <c r="P463" s="25"/>
      <c r="Q463" s="26"/>
      <c r="R463" s="18"/>
      <c r="S463" s="27"/>
    </row>
    <row r="464" spans="14:19" x14ac:dyDescent="0.3">
      <c r="N464" s="24"/>
      <c r="O464" s="24"/>
      <c r="P464" s="25"/>
      <c r="Q464" s="26"/>
      <c r="R464" s="18"/>
      <c r="S464" s="27"/>
    </row>
    <row r="465" spans="14:19" x14ac:dyDescent="0.3">
      <c r="N465" s="24"/>
      <c r="O465" s="24"/>
      <c r="P465" s="25"/>
      <c r="Q465" s="26"/>
      <c r="R465" s="18"/>
      <c r="S465" s="27"/>
    </row>
    <row r="466" spans="14:19" x14ac:dyDescent="0.3">
      <c r="N466" s="24"/>
      <c r="O466" s="24"/>
      <c r="P466" s="25"/>
      <c r="Q466" s="26"/>
      <c r="R466" s="18"/>
      <c r="S466" s="27"/>
    </row>
    <row r="467" spans="14:19" x14ac:dyDescent="0.3">
      <c r="N467" s="24"/>
      <c r="O467" s="24"/>
      <c r="P467" s="25"/>
      <c r="Q467" s="26"/>
      <c r="R467" s="18"/>
      <c r="S467" s="27"/>
    </row>
    <row r="468" spans="14:19" x14ac:dyDescent="0.3">
      <c r="N468" s="24"/>
      <c r="O468" s="24"/>
      <c r="P468" s="25"/>
      <c r="Q468" s="26"/>
      <c r="R468" s="18"/>
      <c r="S468" s="27"/>
    </row>
    <row r="469" spans="14:19" x14ac:dyDescent="0.3">
      <c r="N469" s="24"/>
      <c r="O469" s="24"/>
      <c r="P469" s="25"/>
      <c r="Q469" s="26"/>
      <c r="R469" s="18"/>
      <c r="S469" s="27"/>
    </row>
    <row r="470" spans="14:19" x14ac:dyDescent="0.3">
      <c r="N470" s="24"/>
      <c r="O470" s="24"/>
      <c r="P470" s="25"/>
      <c r="Q470" s="26"/>
      <c r="R470" s="18"/>
      <c r="S470" s="27"/>
    </row>
    <row r="471" spans="14:19" x14ac:dyDescent="0.3">
      <c r="N471" s="24"/>
      <c r="O471" s="24"/>
      <c r="P471" s="25"/>
      <c r="Q471" s="26"/>
      <c r="R471" s="18"/>
      <c r="S471" s="27"/>
    </row>
    <row r="472" spans="14:19" x14ac:dyDescent="0.3">
      <c r="N472" s="24"/>
      <c r="O472" s="24"/>
      <c r="P472" s="25"/>
      <c r="Q472" s="26"/>
      <c r="R472" s="18"/>
      <c r="S472" s="27"/>
    </row>
    <row r="473" spans="14:19" x14ac:dyDescent="0.3">
      <c r="N473" s="24"/>
      <c r="O473" s="24"/>
      <c r="P473" s="25"/>
      <c r="Q473" s="26"/>
      <c r="R473" s="18"/>
      <c r="S473" s="27"/>
    </row>
    <row r="474" spans="14:19" x14ac:dyDescent="0.3">
      <c r="N474" s="24"/>
      <c r="O474" s="24"/>
      <c r="P474" s="25"/>
      <c r="Q474" s="26"/>
      <c r="R474" s="18"/>
      <c r="S474" s="27"/>
    </row>
    <row r="475" spans="14:19" x14ac:dyDescent="0.3">
      <c r="N475" s="24"/>
      <c r="O475" s="24"/>
      <c r="P475" s="25"/>
      <c r="Q475" s="26"/>
      <c r="R475" s="18"/>
      <c r="S475" s="27"/>
    </row>
    <row r="476" spans="14:19" x14ac:dyDescent="0.3">
      <c r="N476" s="24"/>
      <c r="O476" s="24"/>
      <c r="P476" s="25"/>
      <c r="Q476" s="26"/>
      <c r="R476" s="18"/>
      <c r="S476" s="27"/>
    </row>
    <row r="477" spans="14:19" x14ac:dyDescent="0.3">
      <c r="N477" s="24"/>
      <c r="O477" s="24"/>
      <c r="P477" s="25"/>
      <c r="Q477" s="26"/>
      <c r="R477" s="18"/>
      <c r="S477" s="27"/>
    </row>
    <row r="478" spans="14:19" x14ac:dyDescent="0.3">
      <c r="N478" s="24"/>
      <c r="O478" s="24"/>
      <c r="P478" s="25"/>
      <c r="Q478" s="26"/>
      <c r="R478" s="18"/>
      <c r="S478" s="27"/>
    </row>
    <row r="479" spans="14:19" x14ac:dyDescent="0.3">
      <c r="N479" s="24"/>
      <c r="O479" s="24"/>
      <c r="P479" s="25"/>
      <c r="Q479" s="26"/>
      <c r="R479" s="18"/>
      <c r="S479" s="27"/>
    </row>
    <row r="480" spans="14:19" x14ac:dyDescent="0.3">
      <c r="N480" s="24"/>
      <c r="O480" s="24"/>
      <c r="P480" s="25"/>
      <c r="Q480" s="26"/>
      <c r="R480" s="18"/>
      <c r="S480" s="27"/>
    </row>
    <row r="481" spans="14:19" x14ac:dyDescent="0.3">
      <c r="N481" s="24"/>
      <c r="O481" s="24"/>
      <c r="P481" s="25"/>
      <c r="Q481" s="26"/>
      <c r="R481" s="18"/>
      <c r="S481" s="27"/>
    </row>
    <row r="482" spans="14:19" x14ac:dyDescent="0.3">
      <c r="N482" s="24"/>
      <c r="O482" s="24"/>
      <c r="P482" s="25"/>
      <c r="Q482" s="26"/>
      <c r="R482" s="18"/>
      <c r="S482" s="27"/>
    </row>
    <row r="483" spans="14:19" x14ac:dyDescent="0.3">
      <c r="N483" s="24"/>
      <c r="O483" s="24"/>
      <c r="P483" s="25"/>
      <c r="Q483" s="26"/>
      <c r="R483" s="18"/>
      <c r="S483" s="27"/>
    </row>
    <row r="484" spans="14:19" x14ac:dyDescent="0.3">
      <c r="N484" s="24"/>
      <c r="O484" s="24"/>
      <c r="P484" s="25"/>
      <c r="Q484" s="26"/>
      <c r="R484" s="18"/>
      <c r="S484" s="27"/>
    </row>
    <row r="485" spans="14:19" x14ac:dyDescent="0.3">
      <c r="N485" s="24"/>
      <c r="O485" s="24"/>
      <c r="P485" s="25"/>
      <c r="Q485" s="26"/>
      <c r="R485" s="18"/>
      <c r="S485" s="27"/>
    </row>
    <row r="486" spans="14:19" x14ac:dyDescent="0.3">
      <c r="N486" s="24"/>
      <c r="O486" s="24"/>
      <c r="P486" s="25"/>
      <c r="Q486" s="26"/>
      <c r="R486" s="18"/>
      <c r="S486" s="27"/>
    </row>
    <row r="487" spans="14:19" x14ac:dyDescent="0.3">
      <c r="N487" s="24"/>
      <c r="O487" s="24"/>
      <c r="P487" s="25"/>
      <c r="Q487" s="26"/>
      <c r="R487" s="18"/>
      <c r="S487" s="27"/>
    </row>
    <row r="488" spans="14:19" x14ac:dyDescent="0.3">
      <c r="N488" s="24"/>
      <c r="O488" s="24"/>
      <c r="P488" s="25"/>
      <c r="Q488" s="26"/>
      <c r="R488" s="18"/>
      <c r="S488" s="27"/>
    </row>
    <row r="489" spans="14:19" x14ac:dyDescent="0.3">
      <c r="N489" s="24"/>
      <c r="O489" s="24"/>
      <c r="P489" s="25"/>
      <c r="Q489" s="26"/>
      <c r="R489" s="18"/>
      <c r="S489" s="27"/>
    </row>
    <row r="490" spans="14:19" x14ac:dyDescent="0.3">
      <c r="N490" s="24"/>
      <c r="O490" s="24"/>
      <c r="P490" s="25"/>
      <c r="Q490" s="26"/>
      <c r="R490" s="18"/>
      <c r="S490" s="27"/>
    </row>
    <row r="491" spans="14:19" x14ac:dyDescent="0.3">
      <c r="N491" s="24"/>
      <c r="O491" s="24"/>
      <c r="P491" s="25"/>
      <c r="Q491" s="26"/>
      <c r="R491" s="18"/>
      <c r="S491" s="27"/>
    </row>
    <row r="492" spans="14:19" x14ac:dyDescent="0.3">
      <c r="N492" s="24"/>
      <c r="O492" s="24"/>
      <c r="P492" s="25"/>
      <c r="Q492" s="26"/>
      <c r="R492" s="18"/>
      <c r="S492" s="27"/>
    </row>
    <row r="493" spans="14:19" x14ac:dyDescent="0.3">
      <c r="N493" s="24"/>
      <c r="O493" s="24"/>
      <c r="P493" s="25"/>
      <c r="Q493" s="26"/>
      <c r="R493" s="18"/>
      <c r="S493" s="27"/>
    </row>
    <row r="494" spans="14:19" x14ac:dyDescent="0.3">
      <c r="N494" s="24"/>
      <c r="O494" s="24"/>
      <c r="P494" s="25"/>
      <c r="Q494" s="26"/>
      <c r="R494" s="18"/>
      <c r="S494" s="27"/>
    </row>
    <row r="495" spans="14:19" x14ac:dyDescent="0.3">
      <c r="N495" s="24"/>
      <c r="O495" s="24"/>
      <c r="P495" s="25"/>
      <c r="Q495" s="26"/>
      <c r="R495" s="18"/>
      <c r="S495" s="27"/>
    </row>
    <row r="496" spans="14:19" x14ac:dyDescent="0.3">
      <c r="N496" s="24"/>
      <c r="O496" s="24"/>
      <c r="P496" s="25"/>
      <c r="Q496" s="26"/>
      <c r="R496" s="18"/>
      <c r="S496" s="27"/>
    </row>
    <row r="497" spans="14:19" x14ac:dyDescent="0.3">
      <c r="N497" s="24"/>
      <c r="O497" s="24"/>
      <c r="P497" s="25"/>
      <c r="Q497" s="26"/>
      <c r="R497" s="18"/>
      <c r="S497" s="27"/>
    </row>
    <row r="498" spans="14:19" x14ac:dyDescent="0.3">
      <c r="N498" s="24"/>
      <c r="O498" s="24"/>
      <c r="P498" s="25"/>
      <c r="Q498" s="26"/>
      <c r="R498" s="18"/>
      <c r="S498" s="27"/>
    </row>
    <row r="499" spans="14:19" x14ac:dyDescent="0.3">
      <c r="N499" s="24"/>
      <c r="O499" s="24"/>
      <c r="P499" s="25"/>
      <c r="Q499" s="26"/>
      <c r="R499" s="18"/>
      <c r="S499" s="27"/>
    </row>
    <row r="500" spans="14:19" x14ac:dyDescent="0.3">
      <c r="N500" s="24"/>
      <c r="O500" s="24"/>
      <c r="P500" s="25"/>
      <c r="Q500" s="26"/>
      <c r="R500" s="18"/>
      <c r="S500" s="27"/>
    </row>
    <row r="501" spans="14:19" x14ac:dyDescent="0.3">
      <c r="N501" s="24"/>
      <c r="O501" s="24"/>
      <c r="P501" s="25"/>
      <c r="Q501" s="26"/>
      <c r="R501" s="18"/>
      <c r="S501" s="27"/>
    </row>
    <row r="502" spans="14:19" x14ac:dyDescent="0.3">
      <c r="N502" s="24"/>
      <c r="O502" s="24"/>
      <c r="P502" s="25"/>
      <c r="Q502" s="26"/>
      <c r="R502" s="18"/>
      <c r="S502" s="27"/>
    </row>
    <row r="503" spans="14:19" x14ac:dyDescent="0.3">
      <c r="N503" s="24"/>
      <c r="O503" s="24"/>
      <c r="P503" s="25"/>
      <c r="Q503" s="26"/>
      <c r="R503" s="18"/>
      <c r="S503" s="27"/>
    </row>
    <row r="504" spans="14:19" x14ac:dyDescent="0.3">
      <c r="N504" s="24"/>
      <c r="O504" s="24"/>
      <c r="P504" s="25"/>
      <c r="Q504" s="26"/>
      <c r="R504" s="18"/>
      <c r="S504" s="27"/>
    </row>
    <row r="505" spans="14:19" x14ac:dyDescent="0.3">
      <c r="N505" s="24"/>
      <c r="O505" s="24"/>
      <c r="P505" s="25"/>
      <c r="Q505" s="26"/>
      <c r="R505" s="18"/>
      <c r="S505" s="27"/>
    </row>
    <row r="506" spans="14:19" x14ac:dyDescent="0.3">
      <c r="N506" s="24"/>
      <c r="O506" s="24"/>
      <c r="P506" s="25"/>
      <c r="Q506" s="26"/>
      <c r="R506" s="18"/>
      <c r="S506" s="27"/>
    </row>
    <row r="507" spans="14:19" x14ac:dyDescent="0.3">
      <c r="N507" s="24"/>
      <c r="O507" s="24"/>
      <c r="P507" s="25"/>
      <c r="Q507" s="26"/>
      <c r="R507" s="18"/>
      <c r="S507" s="27"/>
    </row>
    <row r="508" spans="14:19" x14ac:dyDescent="0.3">
      <c r="N508" s="24"/>
      <c r="O508" s="24"/>
      <c r="P508" s="25"/>
      <c r="Q508" s="26"/>
      <c r="R508" s="18"/>
      <c r="S508" s="27"/>
    </row>
    <row r="509" spans="14:19" x14ac:dyDescent="0.3">
      <c r="N509" s="24"/>
      <c r="O509" s="24"/>
      <c r="P509" s="25"/>
      <c r="Q509" s="26"/>
      <c r="R509" s="18"/>
      <c r="S509" s="27"/>
    </row>
    <row r="510" spans="14:19" x14ac:dyDescent="0.3">
      <c r="N510" s="24"/>
      <c r="O510" s="24"/>
      <c r="P510" s="25"/>
      <c r="Q510" s="26"/>
      <c r="R510" s="18"/>
      <c r="S510" s="27"/>
    </row>
    <row r="511" spans="14:19" x14ac:dyDescent="0.3">
      <c r="N511" s="24"/>
      <c r="O511" s="24"/>
      <c r="P511" s="25"/>
      <c r="Q511" s="26"/>
      <c r="R511" s="18"/>
      <c r="S511" s="27"/>
    </row>
    <row r="512" spans="14:19" x14ac:dyDescent="0.3">
      <c r="N512" s="24"/>
      <c r="O512" s="24"/>
      <c r="P512" s="25"/>
      <c r="Q512" s="26"/>
      <c r="R512" s="18"/>
      <c r="S512" s="27"/>
    </row>
    <row r="513" spans="14:19" x14ac:dyDescent="0.3">
      <c r="N513" s="24"/>
      <c r="O513" s="24"/>
      <c r="P513" s="25"/>
      <c r="Q513" s="26"/>
      <c r="R513" s="18"/>
      <c r="S513" s="27"/>
    </row>
    <row r="514" spans="14:19" x14ac:dyDescent="0.3">
      <c r="N514" s="24"/>
      <c r="O514" s="24"/>
      <c r="P514" s="25"/>
      <c r="Q514" s="26"/>
      <c r="R514" s="18"/>
      <c r="S514" s="27"/>
    </row>
    <row r="515" spans="14:19" x14ac:dyDescent="0.3">
      <c r="N515" s="24"/>
      <c r="O515" s="24"/>
      <c r="P515" s="25"/>
      <c r="Q515" s="26"/>
      <c r="R515" s="18"/>
      <c r="S515" s="27"/>
    </row>
    <row r="516" spans="14:19" x14ac:dyDescent="0.3">
      <c r="N516" s="24"/>
      <c r="O516" s="24"/>
      <c r="P516" s="25"/>
      <c r="Q516" s="26"/>
      <c r="R516" s="18"/>
      <c r="S516" s="27"/>
    </row>
    <row r="517" spans="14:19" x14ac:dyDescent="0.3">
      <c r="N517" s="24"/>
      <c r="O517" s="24"/>
      <c r="P517" s="25"/>
      <c r="Q517" s="26"/>
      <c r="R517" s="18"/>
      <c r="S517" s="27"/>
    </row>
    <row r="518" spans="14:19" x14ac:dyDescent="0.3">
      <c r="N518" s="24"/>
      <c r="O518" s="24"/>
      <c r="P518" s="25"/>
      <c r="Q518" s="26"/>
      <c r="R518" s="18"/>
      <c r="S518" s="27"/>
    </row>
    <row r="519" spans="14:19" x14ac:dyDescent="0.3">
      <c r="N519" s="24"/>
      <c r="O519" s="24"/>
      <c r="P519" s="25"/>
      <c r="Q519" s="26"/>
      <c r="R519" s="18"/>
      <c r="S519" s="27"/>
    </row>
    <row r="520" spans="14:19" x14ac:dyDescent="0.3">
      <c r="N520" s="24"/>
      <c r="O520" s="24"/>
      <c r="P520" s="25"/>
      <c r="Q520" s="26"/>
      <c r="R520" s="18"/>
      <c r="S520" s="27"/>
    </row>
    <row r="521" spans="14:19" x14ac:dyDescent="0.3">
      <c r="N521" s="24"/>
      <c r="O521" s="24"/>
      <c r="P521" s="25"/>
      <c r="Q521" s="26"/>
      <c r="R521" s="18"/>
      <c r="S521" s="27"/>
    </row>
    <row r="522" spans="14:19" x14ac:dyDescent="0.3">
      <c r="N522" s="24"/>
      <c r="O522" s="24"/>
      <c r="P522" s="25"/>
      <c r="Q522" s="26"/>
      <c r="R522" s="18"/>
      <c r="S522" s="27"/>
    </row>
    <row r="523" spans="14:19" x14ac:dyDescent="0.3">
      <c r="N523" s="24"/>
      <c r="O523" s="24"/>
      <c r="P523" s="25"/>
      <c r="Q523" s="26"/>
      <c r="R523" s="18"/>
      <c r="S523" s="27"/>
    </row>
    <row r="524" spans="14:19" x14ac:dyDescent="0.3">
      <c r="N524" s="24"/>
      <c r="O524" s="24"/>
      <c r="P524" s="25"/>
      <c r="Q524" s="26"/>
      <c r="R524" s="18"/>
      <c r="S524" s="27"/>
    </row>
    <row r="525" spans="14:19" x14ac:dyDescent="0.3">
      <c r="N525" s="24"/>
      <c r="O525" s="24"/>
      <c r="P525" s="25"/>
      <c r="Q525" s="26"/>
      <c r="R525" s="18"/>
      <c r="S525" s="27"/>
    </row>
    <row r="526" spans="14:19" x14ac:dyDescent="0.3">
      <c r="N526" s="24"/>
      <c r="O526" s="24"/>
      <c r="P526" s="25"/>
      <c r="Q526" s="26"/>
      <c r="R526" s="18"/>
      <c r="S526" s="27"/>
    </row>
    <row r="527" spans="14:19" x14ac:dyDescent="0.3">
      <c r="N527" s="24"/>
      <c r="O527" s="24"/>
      <c r="P527" s="25"/>
      <c r="Q527" s="26"/>
      <c r="R527" s="18"/>
      <c r="S527" s="27"/>
    </row>
    <row r="528" spans="14:19" x14ac:dyDescent="0.3">
      <c r="N528" s="24"/>
      <c r="O528" s="24"/>
      <c r="P528" s="25"/>
      <c r="Q528" s="26"/>
      <c r="R528" s="18"/>
      <c r="S528" s="27"/>
    </row>
    <row r="529" spans="14:19" x14ac:dyDescent="0.3">
      <c r="N529" s="24"/>
      <c r="O529" s="24"/>
      <c r="P529" s="25"/>
      <c r="Q529" s="26"/>
      <c r="R529" s="18"/>
      <c r="S529" s="27"/>
    </row>
    <row r="530" spans="14:19" x14ac:dyDescent="0.3">
      <c r="N530" s="24"/>
      <c r="O530" s="24"/>
      <c r="P530" s="25"/>
      <c r="Q530" s="26"/>
      <c r="R530" s="18"/>
      <c r="S530" s="27"/>
    </row>
    <row r="531" spans="14:19" x14ac:dyDescent="0.3">
      <c r="N531" s="24"/>
      <c r="O531" s="24"/>
      <c r="P531" s="25"/>
      <c r="Q531" s="26"/>
      <c r="R531" s="18"/>
      <c r="S531" s="27"/>
    </row>
    <row r="532" spans="14:19" x14ac:dyDescent="0.3">
      <c r="N532" s="24"/>
      <c r="O532" s="24"/>
      <c r="P532" s="25"/>
      <c r="Q532" s="26"/>
      <c r="R532" s="18"/>
      <c r="S532" s="27"/>
    </row>
    <row r="533" spans="14:19" x14ac:dyDescent="0.3">
      <c r="N533" s="24"/>
      <c r="O533" s="24"/>
      <c r="P533" s="25"/>
      <c r="Q533" s="26"/>
      <c r="R533" s="18"/>
      <c r="S533" s="27"/>
    </row>
    <row r="534" spans="14:19" x14ac:dyDescent="0.3">
      <c r="N534" s="24"/>
      <c r="O534" s="24"/>
      <c r="P534" s="25"/>
      <c r="Q534" s="26"/>
      <c r="R534" s="18"/>
      <c r="S534" s="27"/>
    </row>
    <row r="535" spans="14:19" x14ac:dyDescent="0.3">
      <c r="N535" s="24"/>
      <c r="O535" s="24"/>
      <c r="P535" s="25"/>
      <c r="Q535" s="26"/>
      <c r="R535" s="18"/>
      <c r="S535" s="27"/>
    </row>
    <row r="536" spans="14:19" x14ac:dyDescent="0.3">
      <c r="N536" s="24"/>
      <c r="O536" s="24"/>
      <c r="P536" s="25"/>
      <c r="Q536" s="26"/>
      <c r="R536" s="18"/>
      <c r="S536" s="27"/>
    </row>
    <row r="537" spans="14:19" x14ac:dyDescent="0.3">
      <c r="N537" s="24"/>
      <c r="O537" s="24"/>
      <c r="P537" s="25"/>
      <c r="Q537" s="26"/>
      <c r="R537" s="18"/>
      <c r="S537" s="27"/>
    </row>
    <row r="538" spans="14:19" x14ac:dyDescent="0.3">
      <c r="N538" s="24"/>
      <c r="O538" s="24"/>
      <c r="P538" s="25"/>
      <c r="Q538" s="26"/>
      <c r="R538" s="18"/>
      <c r="S538" s="27"/>
    </row>
    <row r="539" spans="14:19" x14ac:dyDescent="0.3">
      <c r="N539" s="24"/>
      <c r="O539" s="24"/>
      <c r="P539" s="25"/>
      <c r="Q539" s="26"/>
      <c r="R539" s="18"/>
      <c r="S539" s="27"/>
    </row>
    <row r="540" spans="14:19" x14ac:dyDescent="0.3">
      <c r="N540" s="24"/>
      <c r="O540" s="24"/>
      <c r="P540" s="25"/>
      <c r="Q540" s="26"/>
      <c r="R540" s="18"/>
      <c r="S540" s="27"/>
    </row>
    <row r="541" spans="14:19" x14ac:dyDescent="0.3">
      <c r="N541" s="24"/>
      <c r="O541" s="24"/>
      <c r="P541" s="25"/>
      <c r="Q541" s="26"/>
      <c r="R541" s="18"/>
      <c r="S541" s="27"/>
    </row>
    <row r="542" spans="14:19" x14ac:dyDescent="0.3">
      <c r="N542" s="24"/>
      <c r="O542" s="24"/>
      <c r="P542" s="25"/>
      <c r="Q542" s="26"/>
      <c r="R542" s="18"/>
      <c r="S542" s="27"/>
    </row>
    <row r="543" spans="14:19" x14ac:dyDescent="0.3">
      <c r="N543" s="24"/>
      <c r="O543" s="24"/>
      <c r="P543" s="25"/>
      <c r="Q543" s="26"/>
      <c r="R543" s="18"/>
      <c r="S543" s="27"/>
    </row>
    <row r="544" spans="14:19" x14ac:dyDescent="0.3">
      <c r="N544" s="24"/>
      <c r="O544" s="24"/>
      <c r="P544" s="25"/>
      <c r="Q544" s="26"/>
      <c r="R544" s="18"/>
      <c r="S544" s="27"/>
    </row>
    <row r="545" spans="14:19" x14ac:dyDescent="0.3">
      <c r="N545" s="24"/>
      <c r="O545" s="24"/>
      <c r="P545" s="25"/>
      <c r="Q545" s="26"/>
      <c r="R545" s="18"/>
      <c r="S545" s="27"/>
    </row>
    <row r="546" spans="14:19" x14ac:dyDescent="0.3">
      <c r="N546" s="24"/>
      <c r="O546" s="24"/>
      <c r="P546" s="25"/>
      <c r="Q546" s="26"/>
      <c r="R546" s="18"/>
      <c r="S546" s="27"/>
    </row>
    <row r="547" spans="14:19" x14ac:dyDescent="0.3">
      <c r="N547" s="24"/>
      <c r="O547" s="24"/>
      <c r="P547" s="25"/>
      <c r="Q547" s="26"/>
      <c r="R547" s="18"/>
      <c r="S547" s="27"/>
    </row>
    <row r="548" spans="14:19" x14ac:dyDescent="0.3">
      <c r="N548" s="24"/>
      <c r="O548" s="24"/>
      <c r="P548" s="25"/>
      <c r="Q548" s="26"/>
      <c r="R548" s="18"/>
      <c r="S548" s="27"/>
    </row>
    <row r="549" spans="14:19" x14ac:dyDescent="0.3">
      <c r="N549" s="24"/>
      <c r="O549" s="24"/>
      <c r="P549" s="25"/>
      <c r="Q549" s="26"/>
      <c r="R549" s="18"/>
      <c r="S549" s="27"/>
    </row>
    <row r="550" spans="14:19" x14ac:dyDescent="0.3">
      <c r="N550" s="24"/>
      <c r="O550" s="24"/>
      <c r="P550" s="25"/>
      <c r="Q550" s="26"/>
      <c r="R550" s="18"/>
      <c r="S550" s="27"/>
    </row>
    <row r="551" spans="14:19" x14ac:dyDescent="0.3">
      <c r="N551" s="24"/>
      <c r="O551" s="24"/>
      <c r="P551" s="25"/>
      <c r="Q551" s="26"/>
      <c r="R551" s="18"/>
      <c r="S551" s="27"/>
    </row>
    <row r="552" spans="14:19" x14ac:dyDescent="0.3">
      <c r="N552" s="24"/>
      <c r="O552" s="24"/>
      <c r="P552" s="25"/>
      <c r="Q552" s="26"/>
      <c r="R552" s="18"/>
      <c r="S552" s="27"/>
    </row>
    <row r="553" spans="14:19" x14ac:dyDescent="0.3">
      <c r="N553" s="24"/>
      <c r="O553" s="24"/>
      <c r="P553" s="25"/>
      <c r="Q553" s="26"/>
      <c r="R553" s="18"/>
      <c r="S553" s="27"/>
    </row>
    <row r="554" spans="14:19" x14ac:dyDescent="0.3">
      <c r="N554" s="24"/>
      <c r="O554" s="24"/>
      <c r="P554" s="25"/>
      <c r="Q554" s="26"/>
      <c r="R554" s="18"/>
      <c r="S554" s="27"/>
    </row>
    <row r="555" spans="14:19" x14ac:dyDescent="0.3">
      <c r="N555" s="24"/>
      <c r="O555" s="24"/>
      <c r="P555" s="25"/>
      <c r="Q555" s="26"/>
      <c r="R555" s="18"/>
      <c r="S555" s="27"/>
    </row>
    <row r="556" spans="14:19" x14ac:dyDescent="0.3">
      <c r="N556" s="24"/>
      <c r="O556" s="24"/>
      <c r="P556" s="25"/>
      <c r="Q556" s="26"/>
      <c r="R556" s="18"/>
      <c r="S556" s="27"/>
    </row>
    <row r="557" spans="14:19" x14ac:dyDescent="0.3">
      <c r="N557" s="24"/>
      <c r="O557" s="24"/>
      <c r="P557" s="25"/>
      <c r="Q557" s="26"/>
      <c r="R557" s="18"/>
      <c r="S557" s="27"/>
    </row>
    <row r="558" spans="14:19" x14ac:dyDescent="0.3">
      <c r="N558" s="24"/>
      <c r="O558" s="24"/>
      <c r="P558" s="25"/>
      <c r="Q558" s="26"/>
      <c r="R558" s="18"/>
      <c r="S558" s="27"/>
    </row>
    <row r="559" spans="14:19" x14ac:dyDescent="0.3">
      <c r="N559" s="24"/>
      <c r="O559" s="24"/>
      <c r="P559" s="25"/>
      <c r="Q559" s="26"/>
      <c r="R559" s="18"/>
      <c r="S559" s="27"/>
    </row>
    <row r="560" spans="14:19" x14ac:dyDescent="0.3">
      <c r="N560" s="24"/>
      <c r="O560" s="24"/>
      <c r="P560" s="25"/>
      <c r="Q560" s="26"/>
      <c r="R560" s="18"/>
      <c r="S560" s="27"/>
    </row>
    <row r="561" spans="14:19" x14ac:dyDescent="0.3">
      <c r="N561" s="24"/>
      <c r="O561" s="24"/>
      <c r="P561" s="25"/>
      <c r="Q561" s="26"/>
      <c r="R561" s="18"/>
      <c r="S561" s="27"/>
    </row>
    <row r="562" spans="14:19" x14ac:dyDescent="0.3">
      <c r="N562" s="24"/>
      <c r="O562" s="24"/>
      <c r="P562" s="25"/>
      <c r="Q562" s="26"/>
      <c r="R562" s="18"/>
      <c r="S562" s="27"/>
    </row>
    <row r="563" spans="14:19" x14ac:dyDescent="0.3">
      <c r="N563" s="24"/>
      <c r="O563" s="24"/>
      <c r="P563" s="25"/>
      <c r="Q563" s="26"/>
      <c r="R563" s="18"/>
      <c r="S563" s="27"/>
    </row>
    <row r="564" spans="14:19" x14ac:dyDescent="0.3">
      <c r="N564" s="24"/>
      <c r="O564" s="24"/>
      <c r="P564" s="25"/>
      <c r="Q564" s="26"/>
      <c r="R564" s="18"/>
      <c r="S564" s="27"/>
    </row>
    <row r="565" spans="14:19" x14ac:dyDescent="0.3">
      <c r="N565" s="24"/>
      <c r="O565" s="24"/>
      <c r="P565" s="25"/>
      <c r="Q565" s="26"/>
      <c r="R565" s="18"/>
      <c r="S565" s="27"/>
    </row>
    <row r="566" spans="14:19" x14ac:dyDescent="0.3">
      <c r="N566" s="24"/>
      <c r="O566" s="24"/>
      <c r="P566" s="25"/>
      <c r="Q566" s="26"/>
      <c r="R566" s="18"/>
      <c r="S566" s="27"/>
    </row>
    <row r="567" spans="14:19" x14ac:dyDescent="0.3">
      <c r="N567" s="24"/>
      <c r="O567" s="24"/>
      <c r="P567" s="25"/>
      <c r="Q567" s="26"/>
      <c r="R567" s="18"/>
      <c r="S567" s="27"/>
    </row>
    <row r="568" spans="14:19" x14ac:dyDescent="0.3">
      <c r="N568" s="24"/>
      <c r="O568" s="24"/>
      <c r="P568" s="25"/>
      <c r="Q568" s="26"/>
      <c r="R568" s="18"/>
      <c r="S568" s="27"/>
    </row>
    <row r="569" spans="14:19" x14ac:dyDescent="0.3">
      <c r="N569" s="24"/>
      <c r="O569" s="24"/>
      <c r="P569" s="25"/>
      <c r="Q569" s="26"/>
      <c r="R569" s="18"/>
      <c r="S569" s="27"/>
    </row>
    <row r="570" spans="14:19" x14ac:dyDescent="0.3">
      <c r="N570" s="24"/>
      <c r="O570" s="24"/>
      <c r="P570" s="25"/>
      <c r="Q570" s="26"/>
      <c r="R570" s="18"/>
      <c r="S570" s="27"/>
    </row>
    <row r="571" spans="14:19" x14ac:dyDescent="0.3">
      <c r="N571" s="24"/>
      <c r="O571" s="24"/>
      <c r="P571" s="25"/>
      <c r="Q571" s="26"/>
      <c r="R571" s="18"/>
      <c r="S571" s="27"/>
    </row>
    <row r="572" spans="14:19" x14ac:dyDescent="0.3">
      <c r="N572" s="24"/>
      <c r="O572" s="24"/>
      <c r="P572" s="25"/>
      <c r="Q572" s="26"/>
      <c r="R572" s="18"/>
      <c r="S572" s="27"/>
    </row>
    <row r="573" spans="14:19" x14ac:dyDescent="0.3">
      <c r="N573" s="24"/>
      <c r="O573" s="24"/>
      <c r="P573" s="25"/>
      <c r="Q573" s="26"/>
      <c r="R573" s="18"/>
      <c r="S573" s="27"/>
    </row>
    <row r="574" spans="14:19" x14ac:dyDescent="0.3">
      <c r="N574" s="24"/>
      <c r="O574" s="24"/>
      <c r="P574" s="25"/>
      <c r="Q574" s="26"/>
      <c r="R574" s="18"/>
      <c r="S574" s="27"/>
    </row>
    <row r="575" spans="14:19" x14ac:dyDescent="0.3">
      <c r="N575" s="24"/>
      <c r="O575" s="24"/>
      <c r="P575" s="25"/>
      <c r="Q575" s="26"/>
      <c r="R575" s="18"/>
      <c r="S575" s="27"/>
    </row>
    <row r="576" spans="14:19" x14ac:dyDescent="0.3">
      <c r="N576" s="24"/>
      <c r="O576" s="24"/>
      <c r="P576" s="25"/>
      <c r="Q576" s="26"/>
      <c r="R576" s="18"/>
      <c r="S576" s="27"/>
    </row>
    <row r="577" spans="14:19" x14ac:dyDescent="0.3">
      <c r="N577" s="24"/>
      <c r="O577" s="24"/>
      <c r="P577" s="25"/>
      <c r="Q577" s="26"/>
      <c r="R577" s="18"/>
      <c r="S577" s="27"/>
    </row>
    <row r="578" spans="14:19" x14ac:dyDescent="0.3">
      <c r="N578" s="24"/>
      <c r="O578" s="24"/>
      <c r="P578" s="25"/>
      <c r="Q578" s="26"/>
      <c r="R578" s="18"/>
      <c r="S578" s="27"/>
    </row>
    <row r="579" spans="14:19" x14ac:dyDescent="0.3">
      <c r="N579" s="24"/>
      <c r="O579" s="24"/>
      <c r="P579" s="25"/>
      <c r="Q579" s="26"/>
      <c r="R579" s="18"/>
      <c r="S579" s="27"/>
    </row>
    <row r="580" spans="14:19" x14ac:dyDescent="0.3">
      <c r="N580" s="24"/>
      <c r="O580" s="24"/>
      <c r="P580" s="25"/>
      <c r="Q580" s="26"/>
      <c r="R580" s="18"/>
      <c r="S580" s="27"/>
    </row>
    <row r="581" spans="14:19" x14ac:dyDescent="0.3">
      <c r="N581" s="24"/>
      <c r="O581" s="24"/>
      <c r="P581" s="25"/>
      <c r="Q581" s="26"/>
      <c r="R581" s="18"/>
      <c r="S581" s="27"/>
    </row>
    <row r="582" spans="14:19" x14ac:dyDescent="0.3">
      <c r="N582" s="24"/>
      <c r="O582" s="24"/>
      <c r="P582" s="25"/>
      <c r="Q582" s="26"/>
      <c r="R582" s="18"/>
      <c r="S582" s="27"/>
    </row>
    <row r="583" spans="14:19" x14ac:dyDescent="0.3">
      <c r="N583" s="24"/>
      <c r="O583" s="24"/>
      <c r="P583" s="25"/>
      <c r="Q583" s="26"/>
      <c r="R583" s="18"/>
      <c r="S583" s="27"/>
    </row>
    <row r="584" spans="14:19" x14ac:dyDescent="0.3">
      <c r="N584" s="24"/>
      <c r="O584" s="24"/>
      <c r="P584" s="25"/>
      <c r="Q584" s="26"/>
      <c r="R584" s="18"/>
      <c r="S584" s="27"/>
    </row>
    <row r="585" spans="14:19" x14ac:dyDescent="0.3">
      <c r="N585" s="24"/>
      <c r="O585" s="24"/>
      <c r="P585" s="25"/>
      <c r="Q585" s="26"/>
      <c r="R585" s="18"/>
      <c r="S585" s="27"/>
    </row>
    <row r="586" spans="14:19" x14ac:dyDescent="0.3">
      <c r="N586" s="24"/>
      <c r="O586" s="24"/>
      <c r="P586" s="25"/>
      <c r="Q586" s="26"/>
      <c r="R586" s="18"/>
      <c r="S586" s="27"/>
    </row>
    <row r="587" spans="14:19" x14ac:dyDescent="0.3">
      <c r="N587" s="24"/>
      <c r="O587" s="24"/>
      <c r="P587" s="25"/>
      <c r="Q587" s="26"/>
      <c r="R587" s="18"/>
      <c r="S587" s="27"/>
    </row>
    <row r="588" spans="14:19" x14ac:dyDescent="0.3">
      <c r="N588" s="24"/>
      <c r="O588" s="24"/>
      <c r="P588" s="25"/>
      <c r="Q588" s="26"/>
      <c r="R588" s="18"/>
      <c r="S588" s="27"/>
    </row>
    <row r="589" spans="14:19" x14ac:dyDescent="0.3">
      <c r="N589" s="24"/>
      <c r="O589" s="24"/>
      <c r="P589" s="25"/>
      <c r="Q589" s="26"/>
      <c r="R589" s="18"/>
      <c r="S589" s="27"/>
    </row>
    <row r="590" spans="14:19" x14ac:dyDescent="0.3">
      <c r="N590" s="24"/>
      <c r="O590" s="24"/>
      <c r="P590" s="25"/>
      <c r="Q590" s="26"/>
      <c r="R590" s="18"/>
      <c r="S590" s="27"/>
    </row>
    <row r="591" spans="14:19" x14ac:dyDescent="0.3">
      <c r="N591" s="24"/>
      <c r="O591" s="24"/>
      <c r="P591" s="25"/>
      <c r="Q591" s="26"/>
      <c r="R591" s="18"/>
      <c r="S591" s="27"/>
    </row>
    <row r="592" spans="14:19" x14ac:dyDescent="0.3">
      <c r="N592" s="24"/>
      <c r="O592" s="24"/>
      <c r="P592" s="25"/>
      <c r="Q592" s="26"/>
      <c r="R592" s="18"/>
      <c r="S592" s="27"/>
    </row>
    <row r="593" spans="14:19" x14ac:dyDescent="0.3">
      <c r="N593" s="24"/>
      <c r="O593" s="24"/>
      <c r="P593" s="25"/>
      <c r="Q593" s="26"/>
      <c r="R593" s="18"/>
      <c r="S593" s="27"/>
    </row>
    <row r="594" spans="14:19" x14ac:dyDescent="0.3">
      <c r="N594" s="24"/>
      <c r="O594" s="24"/>
      <c r="P594" s="25"/>
      <c r="Q594" s="26"/>
      <c r="R594" s="18"/>
      <c r="S594" s="27"/>
    </row>
    <row r="595" spans="14:19" x14ac:dyDescent="0.3">
      <c r="N595" s="24"/>
      <c r="O595" s="24"/>
      <c r="P595" s="25"/>
      <c r="Q595" s="26"/>
      <c r="R595" s="18"/>
      <c r="S595" s="27"/>
    </row>
    <row r="596" spans="14:19" x14ac:dyDescent="0.3">
      <c r="N596" s="24"/>
      <c r="O596" s="24"/>
      <c r="P596" s="25"/>
      <c r="Q596" s="26"/>
      <c r="R596" s="18"/>
      <c r="S596" s="27"/>
    </row>
    <row r="597" spans="14:19" x14ac:dyDescent="0.3">
      <c r="N597" s="24"/>
      <c r="O597" s="24"/>
      <c r="P597" s="25"/>
      <c r="Q597" s="26"/>
      <c r="R597" s="18"/>
      <c r="S597" s="27"/>
    </row>
    <row r="598" spans="14:19" x14ac:dyDescent="0.3">
      <c r="N598" s="24"/>
      <c r="O598" s="24"/>
      <c r="P598" s="25"/>
      <c r="Q598" s="26"/>
      <c r="R598" s="18"/>
      <c r="S598" s="27"/>
    </row>
    <row r="599" spans="14:19" x14ac:dyDescent="0.3">
      <c r="N599" s="24"/>
      <c r="O599" s="24"/>
      <c r="P599" s="25"/>
      <c r="Q599" s="26"/>
      <c r="R599" s="18"/>
      <c r="S599" s="27"/>
    </row>
    <row r="600" spans="14:19" x14ac:dyDescent="0.3">
      <c r="N600" s="24"/>
      <c r="O600" s="24"/>
      <c r="P600" s="25"/>
      <c r="Q600" s="26"/>
      <c r="R600" s="18"/>
      <c r="S600" s="27"/>
    </row>
    <row r="601" spans="14:19" x14ac:dyDescent="0.3">
      <c r="N601" s="24"/>
      <c r="O601" s="24"/>
      <c r="P601" s="25"/>
      <c r="Q601" s="26"/>
      <c r="R601" s="18"/>
      <c r="S601" s="27"/>
    </row>
    <row r="602" spans="14:19" x14ac:dyDescent="0.3">
      <c r="N602" s="24"/>
      <c r="O602" s="24"/>
      <c r="P602" s="25"/>
      <c r="Q602" s="26"/>
      <c r="R602" s="18"/>
      <c r="S602" s="27"/>
    </row>
    <row r="603" spans="14:19" x14ac:dyDescent="0.3">
      <c r="N603" s="24"/>
      <c r="O603" s="24"/>
      <c r="P603" s="25"/>
      <c r="Q603" s="26"/>
      <c r="R603" s="18"/>
      <c r="S603" s="27"/>
    </row>
    <row r="604" spans="14:19" x14ac:dyDescent="0.3">
      <c r="N604" s="24"/>
      <c r="O604" s="24"/>
      <c r="P604" s="25"/>
      <c r="Q604" s="26"/>
      <c r="R604" s="18"/>
      <c r="S604" s="27"/>
    </row>
    <row r="605" spans="14:19" x14ac:dyDescent="0.3">
      <c r="N605" s="24"/>
      <c r="O605" s="24"/>
      <c r="P605" s="25"/>
      <c r="Q605" s="26"/>
      <c r="R605" s="18"/>
      <c r="S605" s="27"/>
    </row>
    <row r="606" spans="14:19" x14ac:dyDescent="0.3">
      <c r="N606" s="24"/>
      <c r="O606" s="24"/>
      <c r="P606" s="25"/>
      <c r="Q606" s="26"/>
      <c r="R606" s="18"/>
      <c r="S606" s="27"/>
    </row>
    <row r="607" spans="14:19" x14ac:dyDescent="0.3">
      <c r="N607" s="24"/>
      <c r="O607" s="24"/>
      <c r="P607" s="25"/>
      <c r="Q607" s="26"/>
      <c r="R607" s="18"/>
      <c r="S607" s="27"/>
    </row>
    <row r="608" spans="14:19" x14ac:dyDescent="0.3">
      <c r="N608" s="24"/>
      <c r="O608" s="24"/>
      <c r="P608" s="25"/>
      <c r="Q608" s="26"/>
      <c r="R608" s="18"/>
      <c r="S608" s="27"/>
    </row>
    <row r="609" spans="14:19" x14ac:dyDescent="0.3">
      <c r="N609" s="24"/>
      <c r="O609" s="24"/>
      <c r="P609" s="25"/>
      <c r="Q609" s="26"/>
      <c r="R609" s="18"/>
      <c r="S609" s="27"/>
    </row>
    <row r="610" spans="14:19" x14ac:dyDescent="0.3">
      <c r="N610" s="24"/>
      <c r="O610" s="24"/>
      <c r="P610" s="25"/>
      <c r="Q610" s="26"/>
      <c r="R610" s="18"/>
      <c r="S610" s="27"/>
    </row>
    <row r="611" spans="14:19" x14ac:dyDescent="0.3">
      <c r="N611" s="24"/>
      <c r="O611" s="24"/>
      <c r="P611" s="25"/>
      <c r="Q611" s="26"/>
      <c r="R611" s="18"/>
      <c r="S611" s="27"/>
    </row>
    <row r="612" spans="14:19" x14ac:dyDescent="0.3">
      <c r="N612" s="24"/>
      <c r="O612" s="24"/>
      <c r="P612" s="25"/>
      <c r="Q612" s="26"/>
      <c r="R612" s="18"/>
      <c r="S612" s="27"/>
    </row>
    <row r="613" spans="14:19" x14ac:dyDescent="0.3">
      <c r="N613" s="24"/>
      <c r="O613" s="24"/>
      <c r="P613" s="25"/>
      <c r="Q613" s="26"/>
      <c r="R613" s="18"/>
      <c r="S613" s="27"/>
    </row>
    <row r="614" spans="14:19" x14ac:dyDescent="0.3">
      <c r="N614" s="24"/>
      <c r="O614" s="24"/>
      <c r="P614" s="25"/>
      <c r="Q614" s="26"/>
      <c r="R614" s="18"/>
      <c r="S614" s="27"/>
    </row>
    <row r="615" spans="14:19" x14ac:dyDescent="0.3">
      <c r="N615" s="24"/>
      <c r="O615" s="24"/>
      <c r="P615" s="25"/>
      <c r="Q615" s="26"/>
      <c r="R615" s="18"/>
      <c r="S615" s="27"/>
    </row>
    <row r="616" spans="14:19" x14ac:dyDescent="0.3">
      <c r="N616" s="24"/>
      <c r="O616" s="24"/>
      <c r="P616" s="25"/>
      <c r="Q616" s="26"/>
      <c r="R616" s="18"/>
      <c r="S616" s="27"/>
    </row>
    <row r="617" spans="14:19" x14ac:dyDescent="0.3">
      <c r="N617" s="24"/>
      <c r="O617" s="24"/>
      <c r="P617" s="25"/>
      <c r="Q617" s="26"/>
      <c r="R617" s="18"/>
      <c r="S617" s="27"/>
    </row>
    <row r="618" spans="14:19" x14ac:dyDescent="0.3">
      <c r="N618" s="24"/>
      <c r="O618" s="24"/>
      <c r="P618" s="25"/>
      <c r="Q618" s="26"/>
      <c r="R618" s="18"/>
      <c r="S618" s="27"/>
    </row>
    <row r="619" spans="14:19" x14ac:dyDescent="0.3">
      <c r="N619" s="24"/>
      <c r="O619" s="24"/>
      <c r="P619" s="25"/>
      <c r="Q619" s="26"/>
      <c r="R619" s="18"/>
      <c r="S619" s="27"/>
    </row>
    <row r="620" spans="14:19" x14ac:dyDescent="0.3">
      <c r="N620" s="24"/>
      <c r="O620" s="24"/>
      <c r="P620" s="25"/>
      <c r="Q620" s="26"/>
      <c r="R620" s="18"/>
      <c r="S620" s="27"/>
    </row>
    <row r="621" spans="14:19" x14ac:dyDescent="0.3">
      <c r="N621" s="24"/>
      <c r="O621" s="24"/>
      <c r="P621" s="25"/>
      <c r="Q621" s="26"/>
      <c r="R621" s="18"/>
      <c r="S621" s="27"/>
    </row>
    <row r="622" spans="14:19" x14ac:dyDescent="0.3">
      <c r="N622" s="24"/>
      <c r="O622" s="24"/>
      <c r="P622" s="25"/>
      <c r="Q622" s="26"/>
      <c r="R622" s="18"/>
      <c r="S622" s="27"/>
    </row>
    <row r="623" spans="14:19" x14ac:dyDescent="0.3">
      <c r="N623" s="24"/>
      <c r="O623" s="24"/>
      <c r="P623" s="25"/>
      <c r="Q623" s="26"/>
      <c r="R623" s="18"/>
      <c r="S623" s="27"/>
    </row>
    <row r="624" spans="14:19" x14ac:dyDescent="0.3">
      <c r="N624" s="24"/>
      <c r="O624" s="24"/>
      <c r="P624" s="25"/>
      <c r="Q624" s="26"/>
      <c r="R624" s="18"/>
      <c r="S624" s="27"/>
    </row>
    <row r="625" spans="14:19" x14ac:dyDescent="0.3">
      <c r="N625" s="24"/>
      <c r="O625" s="24"/>
      <c r="P625" s="25"/>
      <c r="Q625" s="26"/>
      <c r="R625" s="18"/>
      <c r="S625" s="27"/>
    </row>
    <row r="626" spans="14:19" x14ac:dyDescent="0.3">
      <c r="N626" s="24"/>
      <c r="O626" s="24"/>
      <c r="P626" s="25"/>
      <c r="Q626" s="26"/>
      <c r="R626" s="18"/>
      <c r="S626" s="27"/>
    </row>
    <row r="627" spans="14:19" x14ac:dyDescent="0.3">
      <c r="N627" s="24"/>
      <c r="O627" s="24"/>
      <c r="P627" s="25"/>
      <c r="Q627" s="26"/>
      <c r="R627" s="18"/>
      <c r="S627" s="27"/>
    </row>
    <row r="628" spans="14:19" x14ac:dyDescent="0.3">
      <c r="N628" s="24"/>
      <c r="O628" s="24"/>
      <c r="P628" s="25"/>
      <c r="Q628" s="26"/>
      <c r="R628" s="18"/>
      <c r="S628" s="27"/>
    </row>
    <row r="629" spans="14:19" x14ac:dyDescent="0.3">
      <c r="N629" s="24"/>
      <c r="O629" s="24"/>
      <c r="P629" s="25"/>
      <c r="Q629" s="26"/>
      <c r="R629" s="18"/>
      <c r="S629" s="27"/>
    </row>
    <row r="630" spans="14:19" x14ac:dyDescent="0.3">
      <c r="N630" s="24"/>
      <c r="O630" s="24"/>
      <c r="P630" s="25"/>
      <c r="Q630" s="26"/>
      <c r="R630" s="18"/>
      <c r="S630" s="27"/>
    </row>
    <row r="631" spans="14:19" x14ac:dyDescent="0.3">
      <c r="N631" s="24"/>
      <c r="O631" s="24"/>
      <c r="P631" s="25"/>
      <c r="Q631" s="26"/>
      <c r="R631" s="18"/>
      <c r="S631" s="27"/>
    </row>
    <row r="632" spans="14:19" x14ac:dyDescent="0.3">
      <c r="N632" s="24"/>
      <c r="O632" s="24"/>
      <c r="P632" s="25"/>
      <c r="Q632" s="26"/>
      <c r="R632" s="18"/>
      <c r="S632" s="27"/>
    </row>
    <row r="633" spans="14:19" x14ac:dyDescent="0.3">
      <c r="N633" s="24"/>
      <c r="O633" s="24"/>
      <c r="P633" s="25"/>
      <c r="Q633" s="26"/>
      <c r="R633" s="18"/>
      <c r="S633" s="27"/>
    </row>
    <row r="634" spans="14:19" x14ac:dyDescent="0.3">
      <c r="N634" s="24"/>
      <c r="O634" s="24"/>
      <c r="P634" s="25"/>
      <c r="Q634" s="26"/>
      <c r="R634" s="18"/>
      <c r="S634" s="27"/>
    </row>
    <row r="635" spans="14:19" x14ac:dyDescent="0.3">
      <c r="N635" s="24"/>
      <c r="O635" s="24"/>
      <c r="P635" s="25"/>
      <c r="Q635" s="26"/>
      <c r="R635" s="18"/>
      <c r="S635" s="27"/>
    </row>
    <row r="636" spans="14:19" x14ac:dyDescent="0.3">
      <c r="N636" s="24"/>
      <c r="O636" s="24"/>
      <c r="P636" s="25"/>
      <c r="Q636" s="26"/>
      <c r="R636" s="18"/>
      <c r="S636" s="27"/>
    </row>
    <row r="637" spans="14:19" x14ac:dyDescent="0.3">
      <c r="N637" s="24"/>
      <c r="O637" s="24"/>
      <c r="P637" s="25"/>
      <c r="Q637" s="26"/>
      <c r="R637" s="18"/>
      <c r="S637" s="27"/>
    </row>
    <row r="638" spans="14:19" x14ac:dyDescent="0.3">
      <c r="N638" s="24"/>
      <c r="O638" s="24"/>
      <c r="P638" s="25"/>
      <c r="Q638" s="26"/>
      <c r="R638" s="18"/>
      <c r="S638" s="27"/>
    </row>
    <row r="639" spans="14:19" x14ac:dyDescent="0.3">
      <c r="N639" s="24"/>
      <c r="O639" s="24"/>
      <c r="P639" s="25"/>
      <c r="Q639" s="26"/>
      <c r="R639" s="18"/>
      <c r="S639" s="27"/>
    </row>
    <row r="640" spans="14:19" x14ac:dyDescent="0.3">
      <c r="N640" s="24"/>
      <c r="O640" s="24"/>
      <c r="P640" s="25"/>
      <c r="Q640" s="26"/>
      <c r="R640" s="18"/>
      <c r="S640" s="27"/>
    </row>
    <row r="641" spans="14:19" x14ac:dyDescent="0.3">
      <c r="N641" s="24"/>
      <c r="O641" s="24"/>
      <c r="P641" s="25"/>
      <c r="Q641" s="26"/>
      <c r="R641" s="18"/>
      <c r="S641" s="27"/>
    </row>
    <row r="642" spans="14:19" x14ac:dyDescent="0.3">
      <c r="N642" s="24"/>
      <c r="O642" s="24"/>
      <c r="P642" s="25"/>
      <c r="Q642" s="26"/>
      <c r="R642" s="18"/>
      <c r="S642" s="27"/>
    </row>
    <row r="643" spans="14:19" x14ac:dyDescent="0.3">
      <c r="N643" s="24"/>
      <c r="O643" s="24"/>
      <c r="P643" s="25"/>
      <c r="Q643" s="26"/>
      <c r="R643" s="18"/>
      <c r="S643" s="27"/>
    </row>
    <row r="644" spans="14:19" x14ac:dyDescent="0.3">
      <c r="N644" s="24"/>
      <c r="O644" s="24"/>
      <c r="P644" s="25"/>
      <c r="Q644" s="26"/>
      <c r="R644" s="18"/>
      <c r="S644" s="27"/>
    </row>
    <row r="645" spans="14:19" x14ac:dyDescent="0.3">
      <c r="N645" s="24"/>
      <c r="O645" s="24"/>
      <c r="P645" s="25"/>
      <c r="Q645" s="26"/>
      <c r="R645" s="18"/>
      <c r="S645" s="27"/>
    </row>
    <row r="646" spans="14:19" x14ac:dyDescent="0.3">
      <c r="N646" s="24"/>
      <c r="O646" s="24"/>
      <c r="P646" s="25"/>
      <c r="Q646" s="26"/>
      <c r="R646" s="18"/>
      <c r="S646" s="27"/>
    </row>
    <row r="647" spans="14:19" x14ac:dyDescent="0.3">
      <c r="N647" s="24"/>
      <c r="O647" s="24"/>
      <c r="P647" s="25"/>
      <c r="Q647" s="26"/>
      <c r="R647" s="18"/>
      <c r="S647" s="27"/>
    </row>
    <row r="648" spans="14:19" x14ac:dyDescent="0.3">
      <c r="N648" s="24"/>
      <c r="O648" s="24"/>
      <c r="P648" s="25"/>
      <c r="Q648" s="26"/>
      <c r="R648" s="18"/>
      <c r="S648" s="27"/>
    </row>
    <row r="649" spans="14:19" x14ac:dyDescent="0.3">
      <c r="N649" s="24"/>
      <c r="O649" s="24"/>
      <c r="P649" s="25"/>
      <c r="Q649" s="26"/>
      <c r="R649" s="18"/>
      <c r="S649" s="27"/>
    </row>
    <row r="650" spans="14:19" x14ac:dyDescent="0.3">
      <c r="N650" s="24"/>
      <c r="O650" s="24"/>
      <c r="P650" s="25"/>
      <c r="Q650" s="26"/>
      <c r="R650" s="18"/>
      <c r="S650" s="27"/>
    </row>
    <row r="651" spans="14:19" x14ac:dyDescent="0.3">
      <c r="N651" s="24"/>
      <c r="O651" s="24"/>
      <c r="P651" s="25"/>
      <c r="Q651" s="26"/>
      <c r="R651" s="18"/>
      <c r="S651" s="27"/>
    </row>
    <row r="652" spans="14:19" x14ac:dyDescent="0.3">
      <c r="N652" s="24"/>
      <c r="O652" s="24"/>
      <c r="P652" s="25"/>
      <c r="Q652" s="26"/>
      <c r="R652" s="18"/>
      <c r="S652" s="27"/>
    </row>
    <row r="653" spans="14:19" x14ac:dyDescent="0.3">
      <c r="N653" s="24"/>
      <c r="O653" s="24"/>
      <c r="P653" s="25"/>
      <c r="Q653" s="26"/>
      <c r="R653" s="18"/>
      <c r="S653" s="27"/>
    </row>
    <row r="654" spans="14:19" x14ac:dyDescent="0.3">
      <c r="N654" s="24"/>
      <c r="O654" s="24"/>
      <c r="P654" s="25"/>
      <c r="Q654" s="26"/>
      <c r="R654" s="18"/>
      <c r="S654" s="27"/>
    </row>
    <row r="655" spans="14:19" x14ac:dyDescent="0.3">
      <c r="N655" s="24"/>
      <c r="O655" s="24"/>
      <c r="P655" s="25"/>
      <c r="Q655" s="26"/>
      <c r="R655" s="18"/>
      <c r="S655" s="27"/>
    </row>
    <row r="656" spans="14:19" x14ac:dyDescent="0.3">
      <c r="N656" s="24"/>
      <c r="O656" s="24"/>
      <c r="P656" s="25"/>
      <c r="Q656" s="26"/>
      <c r="R656" s="18"/>
      <c r="S656" s="27"/>
    </row>
  </sheetData>
  <sheetProtection algorithmName="SHA-512" hashValue="GaYjn35t0qpnGIXb9PPygY+pcF9qEG17wnxKcQZfH8SHty95ON3Zd/1pPrGszJytGsPLmF/K5mcWYzjqwqwUbw==" saltValue="dfD1Ebihbacos6fbxLss1g==" spinCount="100000" sheet="1" formatCells="0" formatColumns="0" formatRows="0" insertColumns="0" insertRows="0" insertHyperlinks="0" deleteColumns="0" deleteRows="0" sort="0" autoFilter="0" pivotTables="0"/>
  <autoFilter ref="A1:J3" xr:uid="{5A3A907D-5855-461B-A1A8-E5044C268D4E}"/>
  <mergeCells count="12">
    <mergeCell ref="B1:B2"/>
    <mergeCell ref="A1:A2"/>
    <mergeCell ref="G1:G2"/>
    <mergeCell ref="C1:C2"/>
    <mergeCell ref="O1:O2"/>
    <mergeCell ref="K1:K2"/>
    <mergeCell ref="J1:J2"/>
    <mergeCell ref="I1:I2"/>
    <mergeCell ref="H1:H2"/>
    <mergeCell ref="F1:F2"/>
    <mergeCell ref="E1:E2"/>
    <mergeCell ref="D1:D2"/>
  </mergeCells>
  <conditionalFormatting sqref="J3:J12">
    <cfRule type="containsText" dxfId="1" priority="2" operator="containsText" text="Please">
      <formula>NOT(ISERROR(SEARCH("Please",J3)))</formula>
    </cfRule>
  </conditionalFormatting>
  <conditionalFormatting sqref="S1">
    <cfRule type="expression" dxfId="0" priority="1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E)." prompt="Order quantity must be a multiple of Sales per Unit Case (See Column E)." sqref="I3:I11" xr:uid="{3D4CF668-B9D0-42AC-963C-6115D7758C59}">
      <formula1>MOD(I3,E3)=0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DSN GROUP (Life Extension)</vt:lpstr>
      <vt:lpstr>Promo May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Денис Хомик</cp:lastModifiedBy>
  <dcterms:created xsi:type="dcterms:W3CDTF">2022-08-19T21:29:24Z</dcterms:created>
  <dcterms:modified xsi:type="dcterms:W3CDTF">2026-05-01T14:44:10Z</dcterms:modified>
</cp:coreProperties>
</file>