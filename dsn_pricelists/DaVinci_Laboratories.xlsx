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5D58064A-91EF-418D-9BB3-EF4D83B8822D}" xr6:coauthVersionLast="47" xr6:coauthVersionMax="47" xr10:uidLastSave="{00000000-0000-0000-0000-000000000000}"/>
  <bookViews>
    <workbookView xWindow="-108" yWindow="-108" windowWidth="23256" windowHeight="13896" xr2:uid="{86C1B62F-8AD5-47CF-8389-30C5440468AD}"/>
  </bookViews>
  <sheets>
    <sheet name="Sheet1" sheetId="1" r:id="rId1"/>
  </sheets>
  <definedNames>
    <definedName name="_xlnm._FilterDatabase" localSheetId="0" hidden="1">Sheet1!$A$2:$E$2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9" i="1" l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G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<sst xmlns="http://schemas.openxmlformats.org/spreadsheetml/2006/main" count="466" uniqueCount="435">
  <si>
    <t>Description</t>
  </si>
  <si>
    <t>Item #</t>
  </si>
  <si>
    <t>Int'l Price</t>
  </si>
  <si>
    <t>5-HTP</t>
  </si>
  <si>
    <t>0200282.090</t>
  </si>
  <si>
    <t>5-MTHF 1 MG</t>
  </si>
  <si>
    <t>020062E.060</t>
  </si>
  <si>
    <t>5-MTHF/B12 MC 2000</t>
  </si>
  <si>
    <t>020087E.060</t>
  </si>
  <si>
    <t>A.D.K</t>
  </si>
  <si>
    <t>020079C.060</t>
  </si>
  <si>
    <t>A.D.K 10</t>
  </si>
  <si>
    <t>020080D.090</t>
  </si>
  <si>
    <t>ACTIVE FOLATE B12 CHEWABLE</t>
  </si>
  <si>
    <t>020047G.060</t>
  </si>
  <si>
    <t>ADIPO-LEPTIN BENEFITS</t>
  </si>
  <si>
    <t>022180F.060</t>
  </si>
  <si>
    <t>ADK</t>
  </si>
  <si>
    <t>020079C.030</t>
  </si>
  <si>
    <t>ADRENAL BENEFITS</t>
  </si>
  <si>
    <t>020051F.060</t>
  </si>
  <si>
    <t>020051F.120</t>
  </si>
  <si>
    <t>ADRENALYZE</t>
  </si>
  <si>
    <t>0200422.090</t>
  </si>
  <si>
    <t>ALLER-DMG</t>
  </si>
  <si>
    <t>0200413.060</t>
  </si>
  <si>
    <t>ALLER-DMG CHEWABLE</t>
  </si>
  <si>
    <t>0200533.120</t>
  </si>
  <si>
    <t>ALPHA LIPOIC ACID 300</t>
  </si>
  <si>
    <t>0200236.060</t>
  </si>
  <si>
    <t>AMINO 21</t>
  </si>
  <si>
    <t>0200302.090</t>
  </si>
  <si>
    <t>ANDRO BENEFITS</t>
  </si>
  <si>
    <t>0221244.060</t>
  </si>
  <si>
    <t>ARABINOGALACTAN POWDER</t>
  </si>
  <si>
    <t>0200420.100</t>
  </si>
  <si>
    <t>ASTAXANTHIN D3 LIQUID</t>
  </si>
  <si>
    <t>020062D.030</t>
  </si>
  <si>
    <t>B COMPLEX-75</t>
  </si>
  <si>
    <t>0200128.060</t>
  </si>
  <si>
    <t>B12 MC LIQUID</t>
  </si>
  <si>
    <t>0200254.001</t>
  </si>
  <si>
    <t>BEHAVIOR BALANCE-DMG</t>
  </si>
  <si>
    <t>0200415.120</t>
  </si>
  <si>
    <t>BEHAVIOR BALANCE-DMG LIQUID</t>
  </si>
  <si>
    <t>0200414.060</t>
  </si>
  <si>
    <t>BERBERINE FORCE</t>
  </si>
  <si>
    <t>020029C.060</t>
  </si>
  <si>
    <t>BETA CAROTENE</t>
  </si>
  <si>
    <t>0200103.090</t>
  </si>
  <si>
    <t>0200103.180</t>
  </si>
  <si>
    <t>BIODIM COMPLEX</t>
  </si>
  <si>
    <t>0200952.060</t>
  </si>
  <si>
    <t>BIOTIN</t>
  </si>
  <si>
    <t>0200129.060</t>
  </si>
  <si>
    <t>BLACK CURRANT SEED OIL</t>
  </si>
  <si>
    <t>0200369.090</t>
  </si>
  <si>
    <t>0200369.180</t>
  </si>
  <si>
    <t>BP ELITE</t>
  </si>
  <si>
    <t>020084A.120</t>
  </si>
  <si>
    <t>BRAIN BENEFITS</t>
  </si>
  <si>
    <t>022164J.040</t>
  </si>
  <si>
    <t>CAL MAG</t>
  </si>
  <si>
    <t>0200220.090</t>
  </si>
  <si>
    <t>0200220.180</t>
  </si>
  <si>
    <t>CALM</t>
  </si>
  <si>
    <t>022290H.050</t>
  </si>
  <si>
    <t>CAL-MAG CITRATE POWDER</t>
  </si>
  <si>
    <t>0200219.030</t>
  </si>
  <si>
    <t>CANDID-AWAY</t>
  </si>
  <si>
    <t>0200934.090</t>
  </si>
  <si>
    <t>CARB-DOWN WITH PHASE 2</t>
  </si>
  <si>
    <t>0200737.090</t>
  </si>
  <si>
    <t>CARDIO BENEFITS</t>
  </si>
  <si>
    <t>020048F.090</t>
  </si>
  <si>
    <t>CHEWABLE B12-MC</t>
  </si>
  <si>
    <t>0200115.100</t>
  </si>
  <si>
    <t>CHEWABLE C-300</t>
  </si>
  <si>
    <t>0200142.090</t>
  </si>
  <si>
    <t>CHEWABLE KIDBIOTIC</t>
  </si>
  <si>
    <t>022252E.045</t>
  </si>
  <si>
    <t>022252E.090</t>
  </si>
  <si>
    <t>CHEWABLE VITAMIN C</t>
  </si>
  <si>
    <t>0222142.090</t>
  </si>
  <si>
    <t>CHOLESTSURE</t>
  </si>
  <si>
    <t>0200170.090</t>
  </si>
  <si>
    <t>CLEAR G.I.</t>
  </si>
  <si>
    <t>0200137.120</t>
  </si>
  <si>
    <t>COCOA HGH</t>
  </si>
  <si>
    <t>020036D.030</t>
  </si>
  <si>
    <t>COENZYME Q10 CHEWMELT 100 MG</t>
  </si>
  <si>
    <t>0200398.060</t>
  </si>
  <si>
    <t>COLLAGEN BRIGHT</t>
  </si>
  <si>
    <t>020075L.030</t>
  </si>
  <si>
    <t>COLLAGEN BRIGHT TOASTED CINNAMON</t>
  </si>
  <si>
    <t>020035M.030</t>
  </si>
  <si>
    <t>COLLAGEN FLEX MINT CHOCOLATE</t>
  </si>
  <si>
    <t>020075L.015</t>
  </si>
  <si>
    <t>COLLAGEN FLEX TOASTED CINNAMON</t>
  </si>
  <si>
    <t>020035M.015</t>
  </si>
  <si>
    <t>COQ10 - DMG 300/300</t>
  </si>
  <si>
    <t>0200437.060</t>
  </si>
  <si>
    <t>COQSOL - 100 MG</t>
  </si>
  <si>
    <t>0200335.030</t>
  </si>
  <si>
    <t>CORTISOL BENEFITS</t>
  </si>
  <si>
    <t>022183F.060</t>
  </si>
  <si>
    <t>CRANBERRY</t>
  </si>
  <si>
    <t>0200720.060</t>
  </si>
  <si>
    <t>CREATINE POWDER</t>
  </si>
  <si>
    <t>020093M.090</t>
  </si>
  <si>
    <t>CURCUMIN C3 COMPLEX</t>
  </si>
  <si>
    <t>0200788.060</t>
  </si>
  <si>
    <t>CX-2 SOLUTION</t>
  </si>
  <si>
    <t>0200376.180</t>
  </si>
  <si>
    <t>D3/K2 LIQUID</t>
  </si>
  <si>
    <t>020043G.075</t>
  </si>
  <si>
    <t>DAILY BEST MEN</t>
  </si>
  <si>
    <t>020021J.090</t>
  </si>
  <si>
    <t>DAILY BEST PRENATAL</t>
  </si>
  <si>
    <t>020078H.060</t>
  </si>
  <si>
    <t>DAILY BEST PROBIOTIC</t>
  </si>
  <si>
    <t>020018M.060</t>
  </si>
  <si>
    <t>DAILY BEST ULTRA</t>
  </si>
  <si>
    <t>020097B.060</t>
  </si>
  <si>
    <t>DAILY BEST WOMEN</t>
  </si>
  <si>
    <t>020020J.090</t>
  </si>
  <si>
    <t>DAVINCI POTEN-C</t>
  </si>
  <si>
    <t>0200140.090</t>
  </si>
  <si>
    <t>0200140.250</t>
  </si>
  <si>
    <t>DAVINCI POTEN-C 500</t>
  </si>
  <si>
    <t>0200141.090</t>
  </si>
  <si>
    <t>DETOX BENEFITS</t>
  </si>
  <si>
    <t>022145B.090</t>
  </si>
  <si>
    <t>DHEA 25 MG</t>
  </si>
  <si>
    <t>0200498.090</t>
  </si>
  <si>
    <t>DIGESTIVE ENZYMES</t>
  </si>
  <si>
    <t>0200340.090</t>
  </si>
  <si>
    <t>DIGESTIVE ENZYMES CHEWABLE WITH PREBIOTICS + PROBIOTICS</t>
  </si>
  <si>
    <t>020020G.090</t>
  </si>
  <si>
    <t>020052E.090</t>
  </si>
  <si>
    <t>DIGESTIVE ENZYMES PRO</t>
  </si>
  <si>
    <t>0200342.090</t>
  </si>
  <si>
    <t>DIM PLEX</t>
  </si>
  <si>
    <t>0200731.060</t>
  </si>
  <si>
    <t>0200731.120</t>
  </si>
  <si>
    <t>DIMPRO</t>
  </si>
  <si>
    <t>0200729.060</t>
  </si>
  <si>
    <t>0200729.120</t>
  </si>
  <si>
    <t>DIMPRO 150 MG</t>
  </si>
  <si>
    <t>020031D.060</t>
  </si>
  <si>
    <t>DISC-DISCOVERY</t>
  </si>
  <si>
    <t>0200440.180</t>
  </si>
  <si>
    <t>DL-PHENYLALANINE</t>
  </si>
  <si>
    <t>0200288.060</t>
  </si>
  <si>
    <t>D-MANNOSE COMPLEX</t>
  </si>
  <si>
    <t>0200296.030</t>
  </si>
  <si>
    <t>EFFERVESCENT MAGNESIUM CITRATE</t>
  </si>
  <si>
    <t>0200276.075</t>
  </si>
  <si>
    <t>ENZ-FLAME</t>
  </si>
  <si>
    <t>020017A.030</t>
  </si>
  <si>
    <t>ENZ-FLAME KIDS</t>
  </si>
  <si>
    <t>022217A.030</t>
  </si>
  <si>
    <t>ENZYME BENEFITS</t>
  </si>
  <si>
    <t>022115G.090</t>
  </si>
  <si>
    <t>ESTRO BENEFITS</t>
  </si>
  <si>
    <t>0221952.060</t>
  </si>
  <si>
    <t>FIZZY MAG</t>
  </si>
  <si>
    <t>0222276.075</t>
  </si>
  <si>
    <t>FOCUS CHEWABLE</t>
  </si>
  <si>
    <t>022216L.090</t>
  </si>
  <si>
    <t>G.I. BENEFITS</t>
  </si>
  <si>
    <t>0221479.030</t>
  </si>
  <si>
    <t>GAMMA-LIN 1300</t>
  </si>
  <si>
    <t>0200373.090</t>
  </si>
  <si>
    <t>GLUCO BENEFITS</t>
  </si>
  <si>
    <t>020052F.090</t>
  </si>
  <si>
    <t>GLUCONIC DMG 250 MG</t>
  </si>
  <si>
    <t>0200382.090</t>
  </si>
  <si>
    <t>GLUCONIC DMG 500 MG</t>
  </si>
  <si>
    <t>0200393.060</t>
  </si>
  <si>
    <t>GLUCONIC DMG LIQUID 300 MG</t>
  </si>
  <si>
    <t>0200592.002</t>
  </si>
  <si>
    <t>GLUCOSAMINE SULFATE</t>
  </si>
  <si>
    <t>0200372.060</t>
  </si>
  <si>
    <t>0200372.120</t>
  </si>
  <si>
    <t>GLUCOSYNERGY</t>
  </si>
  <si>
    <t>0200262.060</t>
  </si>
  <si>
    <t>GLUTATHIONE BRIGHT</t>
  </si>
  <si>
    <t>020068M.060</t>
  </si>
  <si>
    <t>GRAPE SEED-100</t>
  </si>
  <si>
    <t>0200746.060</t>
  </si>
  <si>
    <t>0200746.090</t>
  </si>
  <si>
    <t>GRAPEFRUIT SEED EXTRACT 400 MG</t>
  </si>
  <si>
    <t>0200176.060</t>
  </si>
  <si>
    <t>GREEN TEA-70</t>
  </si>
  <si>
    <t>0200726.060</t>
  </si>
  <si>
    <t>HAIR EFFECTS</t>
  </si>
  <si>
    <t>0200723.090</t>
  </si>
  <si>
    <t>HAIR SKIN &amp; NAILS</t>
  </si>
  <si>
    <t>020044L.060</t>
  </si>
  <si>
    <t>HEALTHY EYES</t>
  </si>
  <si>
    <t>0200450.090</t>
  </si>
  <si>
    <t>HEALTHY VEINS</t>
  </si>
  <si>
    <t>0200925.060</t>
  </si>
  <si>
    <t>HEPATICLEAR</t>
  </si>
  <si>
    <t>0200423.060</t>
  </si>
  <si>
    <t>HYALURONIC ACID</t>
  </si>
  <si>
    <t>0200985.060</t>
  </si>
  <si>
    <t>IMMUNI-Z</t>
  </si>
  <si>
    <t>0222209.060</t>
  </si>
  <si>
    <t>IMMUNI-Z + ELDERBERRY</t>
  </si>
  <si>
    <t>022219L.060</t>
  </si>
  <si>
    <t>IMMUNO BENEFITS</t>
  </si>
  <si>
    <t>020047F.060</t>
  </si>
  <si>
    <t>IMMUNO-DMG</t>
  </si>
  <si>
    <t>0200187.120</t>
  </si>
  <si>
    <t>0200418.090</t>
  </si>
  <si>
    <t>INOSITOL + VITEX PLUS</t>
  </si>
  <si>
    <t>020042M.120</t>
  </si>
  <si>
    <t>IRON BIS-GLYCINATE</t>
  </si>
  <si>
    <t>0200238.060</t>
  </si>
  <si>
    <t>KIDDOMEGA-3</t>
  </si>
  <si>
    <t>022264J.040</t>
  </si>
  <si>
    <t>KRILL OIL</t>
  </si>
  <si>
    <t>020010E.060</t>
  </si>
  <si>
    <t>LIBIDO</t>
  </si>
  <si>
    <t>0200435.090</t>
  </si>
  <si>
    <t>LIPOSOMAL A</t>
  </si>
  <si>
    <t>020030L.060</t>
  </si>
  <si>
    <t>LIPOSOMAL ADK</t>
  </si>
  <si>
    <t>020097H.030</t>
  </si>
  <si>
    <t>LIPOSOMAL C</t>
  </si>
  <si>
    <t>0200395.012</t>
  </si>
  <si>
    <t>LIPOSOMAL CITICOLINE</t>
  </si>
  <si>
    <t>020042B.060</t>
  </si>
  <si>
    <t>LIPOSOMAL DHEA</t>
  </si>
  <si>
    <t>0200266.001</t>
  </si>
  <si>
    <t>LIPOSOMAL MELATONIN SPRAY</t>
  </si>
  <si>
    <t>0200361.001</t>
  </si>
  <si>
    <t>LIPOSOMAL SULFORAPHANE</t>
  </si>
  <si>
    <t>020073J.060</t>
  </si>
  <si>
    <t>LIQUID D3 10000 IU</t>
  </si>
  <si>
    <t>0200553.030</t>
  </si>
  <si>
    <t>L-LYSINE CAPSULE</t>
  </si>
  <si>
    <t>020094D.090</t>
  </si>
  <si>
    <t>L-THEANINE</t>
  </si>
  <si>
    <t>0200132.030</t>
  </si>
  <si>
    <t>0200132.060</t>
  </si>
  <si>
    <t>0200132.120</t>
  </si>
  <si>
    <t>020090H.050</t>
  </si>
  <si>
    <t>MAGNESIUM CITRATE</t>
  </si>
  <si>
    <t>0200216.090</t>
  </si>
  <si>
    <t>MAITAKE-DMG LIQUID™</t>
  </si>
  <si>
    <t>0221222.120</t>
  </si>
  <si>
    <t>MANGO-PLEX</t>
  </si>
  <si>
    <t>020055A.060</t>
  </si>
  <si>
    <t>MAXI-BCAA</t>
  </si>
  <si>
    <t>020075G.030</t>
  </si>
  <si>
    <t>MAXI-HGH</t>
  </si>
  <si>
    <t>0200355.030</t>
  </si>
  <si>
    <t>MEGA PROBIOTIC ND</t>
  </si>
  <si>
    <t>0200346.120</t>
  </si>
  <si>
    <t>MEGA PROBIOTIC ND 50</t>
  </si>
  <si>
    <t>0200929.030</t>
  </si>
  <si>
    <t>0200929.060</t>
  </si>
  <si>
    <t>MELATONIN-3</t>
  </si>
  <si>
    <t>0200370.060</t>
  </si>
  <si>
    <t>0200370.120</t>
  </si>
  <si>
    <t>METABOLIC MULTI</t>
  </si>
  <si>
    <t>020086E.180</t>
  </si>
  <si>
    <t>METABOLIC OVARY SUPPORT*</t>
  </si>
  <si>
    <t>020013J.030</t>
  </si>
  <si>
    <t>METHYL BENEFITS</t>
  </si>
  <si>
    <t>020055F.060</t>
  </si>
  <si>
    <t>MICRONIZED DHEA 10 MG</t>
  </si>
  <si>
    <t>0200493.090</t>
  </si>
  <si>
    <t>MIGHTIEST VITE</t>
  </si>
  <si>
    <t>022277J.030</t>
  </si>
  <si>
    <t>MILK THISTLE</t>
  </si>
  <si>
    <t>0200769.090</t>
  </si>
  <si>
    <t>MITO-FUEL</t>
  </si>
  <si>
    <t>0200541.030</t>
  </si>
  <si>
    <t>MULTI SOURCE CAL MAG</t>
  </si>
  <si>
    <t>0200223.180</t>
  </si>
  <si>
    <t>MULTI-MINERAL COMPLEX WITH D3</t>
  </si>
  <si>
    <t>0200585.120</t>
  </si>
  <si>
    <t>MULTIPHASE DETOX*</t>
  </si>
  <si>
    <t>020045B.090</t>
  </si>
  <si>
    <t>MULTI-SOURCE CAL MAG</t>
  </si>
  <si>
    <t>0200223.090</t>
  </si>
  <si>
    <t>N-ACETYL CYSTEINE 500 MG</t>
  </si>
  <si>
    <t>0200290.090</t>
  </si>
  <si>
    <t>NAD+ ACTIVATE</t>
  </si>
  <si>
    <t>020056M.030</t>
  </si>
  <si>
    <t>NATTOKINASE PLUS</t>
  </si>
  <si>
    <t>0200898.060</t>
  </si>
  <si>
    <t>NATURAL FLEX</t>
  </si>
  <si>
    <t>0200444.090</t>
  </si>
  <si>
    <t>NATURAL MIXED TOCOPHEROL E-400</t>
  </si>
  <si>
    <t>0200161.060</t>
  </si>
  <si>
    <t>NATURE'S COLLAGEN</t>
  </si>
  <si>
    <t>0200410.090</t>
  </si>
  <si>
    <t>NEURO BENEFITS</t>
  </si>
  <si>
    <t>022153F.090</t>
  </si>
  <si>
    <t>NIACINAMIDE</t>
  </si>
  <si>
    <t>020084E.100</t>
  </si>
  <si>
    <t>NITRO BENEFITS</t>
  </si>
  <si>
    <t>022160G.030</t>
  </si>
  <si>
    <t>OLIVIR 15</t>
  </si>
  <si>
    <t>0200761.045</t>
  </si>
  <si>
    <t>0200761.090</t>
  </si>
  <si>
    <t>OMEGA 3 HP-D</t>
  </si>
  <si>
    <t>0200496.060</t>
  </si>
  <si>
    <t>0200496.120</t>
  </si>
  <si>
    <t>OMEGA-3 1000</t>
  </si>
  <si>
    <t>0200368.045</t>
  </si>
  <si>
    <t>0200368.090</t>
  </si>
  <si>
    <t>PERNA</t>
  </si>
  <si>
    <t>0200364.090</t>
  </si>
  <si>
    <t>0200364.180</t>
  </si>
  <si>
    <t>PERNA PLUS</t>
  </si>
  <si>
    <t>0200365.090</t>
  </si>
  <si>
    <t>0200365.180</t>
  </si>
  <si>
    <t>PERNA PRO</t>
  </si>
  <si>
    <t>0200280.120</t>
  </si>
  <si>
    <t>PHYTO BENEFITS</t>
  </si>
  <si>
    <t>020032F.030</t>
  </si>
  <si>
    <t>020032F.060</t>
  </si>
  <si>
    <t>PREBIOTIC FIBER</t>
  </si>
  <si>
    <t>0200240.176</t>
  </si>
  <si>
    <t>PROSTATE HEALTH</t>
  </si>
  <si>
    <t>0200453.060</t>
  </si>
  <si>
    <t xml:space="preserve">PROVAIL® GLUTATHIONE </t>
  </si>
  <si>
    <t>020068M.030</t>
  </si>
  <si>
    <t>PYCNOGENOL-50</t>
  </si>
  <si>
    <t>0200779.030</t>
  </si>
  <si>
    <t>0200779.060</t>
  </si>
  <si>
    <t>PYRIDOXAL-5-PHOSPHATE</t>
  </si>
  <si>
    <t>0200124.060</t>
  </si>
  <si>
    <t>RELORA WITH BACOPA</t>
  </si>
  <si>
    <t>0200980.060</t>
  </si>
  <si>
    <t>RESVERATROL-50</t>
  </si>
  <si>
    <t>0200430.120</t>
  </si>
  <si>
    <t>0200430.060</t>
  </si>
  <si>
    <t>RIGHT WHEY CREAMY CHOCOLATE</t>
  </si>
  <si>
    <t>0200108.030</t>
  </si>
  <si>
    <t>RIGHT WHEY CREAMY VANILLA</t>
  </si>
  <si>
    <t>0200591.030</t>
  </si>
  <si>
    <t>SAW PALMETTO</t>
  </si>
  <si>
    <t>0200785.090</t>
  </si>
  <si>
    <t>SELENIUM CITRATE</t>
  </si>
  <si>
    <t>0200200.060</t>
  </si>
  <si>
    <t>SLEEP BENEFITS</t>
  </si>
  <si>
    <t>022181F.060</t>
  </si>
  <si>
    <t>SLEEP BENEFITS™ - MELATONIN FREE</t>
  </si>
  <si>
    <t>022194M.060</t>
  </si>
  <si>
    <t>SLEEP COMPLETE</t>
  </si>
  <si>
    <t>020081F.060</t>
  </si>
  <si>
    <t>SLEEP TIGHT</t>
  </si>
  <si>
    <t>0222361.001</t>
  </si>
  <si>
    <t>SPECTRA</t>
  </si>
  <si>
    <t>0200185.120</t>
  </si>
  <si>
    <t>0200185.240</t>
  </si>
  <si>
    <t>SPECTRA GREENS</t>
  </si>
  <si>
    <t>0200733.030</t>
  </si>
  <si>
    <t>SPECTRA INFINITE NUTRITION</t>
  </si>
  <si>
    <t>0200544.036</t>
  </si>
  <si>
    <t>SPECTRA MAN</t>
  </si>
  <si>
    <t>0200196.120</t>
  </si>
  <si>
    <t>0200196.240</t>
  </si>
  <si>
    <t>SPECTRA ORANGES WITH COQ10</t>
  </si>
  <si>
    <t>0200899.030</t>
  </si>
  <si>
    <t>SPECTRA PURPLES</t>
  </si>
  <si>
    <t>0200976.030</t>
  </si>
  <si>
    <t>SPECTRA REDS</t>
  </si>
  <si>
    <t>0200727.030</t>
  </si>
  <si>
    <t>SPECTRA SENIOR</t>
  </si>
  <si>
    <t>0200197.180</t>
  </si>
  <si>
    <t>SPECTRA WOMAN</t>
  </si>
  <si>
    <t>0200195.120</t>
  </si>
  <si>
    <t>0200195.240</t>
  </si>
  <si>
    <t>SPM COMPLETE</t>
  </si>
  <si>
    <t>020098H.060</t>
  </si>
  <si>
    <t>STRESS B CAPSULES</t>
  </si>
  <si>
    <t>020056D.090</t>
  </si>
  <si>
    <t>SUPREME OMEGA</t>
  </si>
  <si>
    <t>0200367.090</t>
  </si>
  <si>
    <t>SYNC UP</t>
  </si>
  <si>
    <t>022273J.060</t>
  </si>
  <si>
    <t>TELOMERE BENEFITS</t>
  </si>
  <si>
    <t>020064E.060</t>
  </si>
  <si>
    <t>THERMOSET</t>
  </si>
  <si>
    <t>0200105.090</t>
  </si>
  <si>
    <t>THYROID BASICS</t>
  </si>
  <si>
    <t>0200840.120</t>
  </si>
  <si>
    <t>TONALIN-CLA</t>
  </si>
  <si>
    <t>0200405.090</t>
  </si>
  <si>
    <t>TRI-MAG 300</t>
  </si>
  <si>
    <t>0200539.120</t>
  </si>
  <si>
    <t>UBIQUINOL 100 MG</t>
  </si>
  <si>
    <t>0200477.030</t>
  </si>
  <si>
    <t>0200477.060</t>
  </si>
  <si>
    <t>ULTIMATE PRENATAL</t>
  </si>
  <si>
    <t>0200192.150</t>
  </si>
  <si>
    <t>VALER AMINO</t>
  </si>
  <si>
    <t>0200284.090</t>
  </si>
  <si>
    <t>VEGAN PROTEIN-CREAMY CHOCOLATE</t>
  </si>
  <si>
    <t>020082H.015</t>
  </si>
  <si>
    <t>020082H.030</t>
  </si>
  <si>
    <t>VEGAN PROTEIN-CREAMY VANILLA</t>
  </si>
  <si>
    <t>020081H.015</t>
  </si>
  <si>
    <t>020081H.030</t>
  </si>
  <si>
    <t>VIRA-SHIELD</t>
  </si>
  <si>
    <t>0200738.120</t>
  </si>
  <si>
    <t>VITAMIN D3 1000 IU</t>
  </si>
  <si>
    <t>020089M.250</t>
  </si>
  <si>
    <t>VITAMIN D3 5000IU</t>
  </si>
  <si>
    <t>0200438.120</t>
  </si>
  <si>
    <t>VITAMIN K2 + RESVERATROL</t>
  </si>
  <si>
    <t>020015J.060</t>
  </si>
  <si>
    <t>VITAMIN K2 PLUS</t>
  </si>
  <si>
    <t>0200858.060</t>
  </si>
  <si>
    <t>ZINC LOZENGE</t>
  </si>
  <si>
    <t>0200209.060</t>
  </si>
  <si>
    <t>ZINC LOZENGE + ELDERBERRY</t>
  </si>
  <si>
    <t>020019L.060</t>
  </si>
  <si>
    <t>Qty</t>
  </si>
  <si>
    <t>Total:</t>
  </si>
  <si>
    <r>
      <rPr>
        <b/>
        <sz val="9"/>
        <color rgb="FFFF0000"/>
        <rFont val="Verdana"/>
        <family val="2"/>
        <charset val="204"/>
      </rPr>
      <t>Importantly!</t>
    </r>
    <r>
      <rPr>
        <sz val="9"/>
        <color theme="1"/>
        <rFont val="Verdana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</si>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</sst>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000000.000"/>
    <numFmt numFmtId="166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9"/>
      <color theme="1"/>
      <name val="Verdana"/>
      <family val="2"/>
      <charset val="204"/>
    </font>
    <font>
      <b/>
      <sz val="9"/>
      <color rgb="FFFF0000"/>
      <name val="Verdana"/>
      <family val="2"/>
      <charset val="204"/>
    </font>
    <font>
      <sz val="11"/>
      <color theme="1"/>
      <name val="Verdan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65" fontId="0" fillId="0" borderId="0" xfId="0" applyNumberFormat="1" applyAlignment="1">
      <alignment horizontal="center"/>
    </xf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165" fontId="3" fillId="0" borderId="1" xfId="1" applyNumberFormat="1" applyFont="1" applyBorder="1" applyAlignment="1">
      <alignment horizontal="center" wrapText="1"/>
    </xf>
    <xf numFmtId="164" fontId="0" fillId="0" borderId="1" xfId="0" applyNumberFormat="1" applyBorder="1"/>
    <xf numFmtId="3" fontId="0" fillId="0" borderId="1" xfId="0" applyNumberFormat="1" applyBorder="1"/>
    <xf numFmtId="165" fontId="3" fillId="0" borderId="3" xfId="1" applyNumberFormat="1" applyFont="1" applyBorder="1" applyAlignment="1">
      <alignment horizontal="center" wrapText="1"/>
    </xf>
    <xf numFmtId="164" fontId="0" fillId="0" borderId="3" xfId="0" applyNumberFormat="1" applyBorder="1"/>
    <xf numFmtId="3" fontId="0" fillId="0" borderId="3" xfId="0" applyNumberFormat="1" applyBorder="1"/>
    <xf numFmtId="0" fontId="5" fillId="0" borderId="2" xfId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3" fillId="0" borderId="4" xfId="1" applyFont="1" applyBorder="1" applyAlignment="1">
      <alignment wrapText="1"/>
    </xf>
    <xf numFmtId="166" fontId="0" fillId="0" borderId="5" xfId="0" applyNumberFormat="1" applyBorder="1"/>
    <xf numFmtId="0" fontId="3" fillId="0" borderId="6" xfId="1" applyFont="1" applyBorder="1" applyAlignment="1">
      <alignment wrapText="1"/>
    </xf>
    <xf numFmtId="166" fontId="0" fillId="0" borderId="7" xfId="0" applyNumberFormat="1" applyBorder="1"/>
    <xf numFmtId="0" fontId="6" fillId="0" borderId="6" xfId="1" applyFont="1" applyBorder="1" applyAlignment="1">
      <alignment wrapText="1"/>
    </xf>
    <xf numFmtId="0" fontId="3" fillId="0" borderId="8" xfId="1" applyFont="1" applyBorder="1" applyAlignment="1">
      <alignment wrapText="1"/>
    </xf>
    <xf numFmtId="165" fontId="3" fillId="0" borderId="9" xfId="1" applyNumberFormat="1" applyFont="1" applyBorder="1" applyAlignment="1">
      <alignment horizontal="center" wrapText="1"/>
    </xf>
    <xf numFmtId="164" fontId="0" fillId="0" borderId="9" xfId="0" applyNumberFormat="1" applyBorder="1"/>
    <xf numFmtId="3" fontId="0" fillId="0" borderId="9" xfId="0" applyNumberFormat="1" applyBorder="1"/>
    <xf numFmtId="166" fontId="0" fillId="0" borderId="10" xfId="0" applyNumberFormat="1" applyBorder="1"/>
    <xf numFmtId="10" fontId="0" fillId="0" borderId="0" xfId="2" applyNumberFormat="1" applyFont="1" applyFill="1"/>
    <xf numFmtId="0" fontId="4" fillId="0" borderId="12" xfId="0" applyFont="1" applyBorder="1" applyAlignment="1">
      <alignment horizontal="center"/>
    </xf>
    <xf numFmtId="166" fontId="4" fillId="0" borderId="13" xfId="0" applyNumberFormat="1" applyFont="1" applyBorder="1" applyAlignment="1">
      <alignment horizontal="center"/>
    </xf>
    <xf numFmtId="0" fontId="10" fillId="0" borderId="16" xfId="0" quotePrefix="1" applyFont="1" applyBorder="1" applyAlignment="1" applyProtection="1">
      <alignment horizontal="center"/>
      <protection hidden="1"/>
    </xf>
    <xf numFmtId="0" fontId="10" fillId="0" borderId="17" xfId="0" quotePrefix="1" applyFont="1" applyBorder="1" applyAlignment="1" applyProtection="1">
      <alignment horizontal="center"/>
      <protection hidden="1"/>
    </xf>
    <xf numFmtId="0" fontId="10" fillId="0" borderId="18" xfId="0" quotePrefix="1" applyFont="1" applyBorder="1" applyAlignment="1" applyProtection="1">
      <alignment horizontal="center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center" vertical="center" wrapText="1"/>
      <protection hidden="1"/>
    </xf>
    <xf numFmtId="1" fontId="9" fillId="0" borderId="14" xfId="0" applyNumberFormat="1" applyFont="1" applyBorder="1" applyAlignment="1" applyProtection="1">
      <alignment horizontal="center" vertical="center"/>
      <protection hidden="1"/>
    </xf>
    <xf numFmtId="1" fontId="9" fillId="0" borderId="15" xfId="0" applyNumberFormat="1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vertical="center" wrapText="1"/>
      <protection hidden="1"/>
    </xf>
  </cellXfs>
  <cellStyles count="3">
    <cellStyle name="Normal_Sheet1" xfId="1" xr:uid="{BE0011C4-F507-4C04-96EC-53B52BB38ACD}"/>
    <cellStyle name="Відсотковий" xfId="2" builtinId="5"/>
    <cellStyle name="Звичайний" xfId="0" builtinId="0"/>
  </cellStyles>
  <dxfs count="2">
    <dxf>
      <font>
        <color rgb="FFFF0000"/>
      </font>
      <numFmt numFmtId="30" formatCode="@"/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4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6298-F4EF-4E30-BC39-2EDAC2AF1A46}">
  <dimension ref="A1:G239"/>
  <sheetViews>
    <sheetView tabSelected="1" zoomScale="85" zoomScaleNormal="85" workbookViewId="0">
      <pane ySplit="2" topLeftCell="A3" activePane="bottomLeft" state="frozen"/>
      <selection pane="bottomLeft" activeCell="G9" sqref="G9"/>
    </sheetView>
  </sheetViews>
  <sheetFormatPr defaultColWidth="95.33203125" defaultRowHeight="14.4" x14ac:dyDescent="0.3"/>
  <cols>
    <col min="1" max="1" width="58.44140625" bestFit="1" customWidth="1"/>
    <col min="2" max="2" width="12.5546875" style="1" bestFit="1" customWidth="1"/>
    <col min="3" max="3" width="11.21875" customWidth="1"/>
    <col min="4" max="4" width="14.77734375" style="3" customWidth="1"/>
    <col min="5" max="5" width="23.88671875" style="4" customWidth="1"/>
    <col min="6" max="6" width="9.5546875" customWidth="1"/>
    <col min="7" max="7" width="23.77734375" customWidth="1"/>
  </cols>
  <sheetData>
    <row r="1" spans="1:7" ht="76.8" customHeight="1" thickBot="1" x14ac:dyDescent="0.35">
      <c r="A1" s="32" t="s">
        <v>428</v>
      </c>
      <c r="B1" s="32"/>
      <c r="C1" s="32"/>
      <c r="D1" s="32"/>
      <c r="E1" s="36"/>
      <c r="F1" s="33" t="e" vm="1">
        <v>#VALUE!</v>
      </c>
      <c r="G1" s="33"/>
    </row>
    <row r="2" spans="1:7" ht="15" thickBot="1" x14ac:dyDescent="0.35">
      <c r="A2" s="11" t="s">
        <v>0</v>
      </c>
      <c r="B2" s="12" t="s">
        <v>1</v>
      </c>
      <c r="C2" s="13" t="s">
        <v>2</v>
      </c>
      <c r="D2" s="14" t="s">
        <v>426</v>
      </c>
      <c r="E2" s="15" t="s">
        <v>434</v>
      </c>
      <c r="F2" s="27" t="s">
        <v>427</v>
      </c>
      <c r="G2" s="28">
        <f>SUM(E:E)</f>
        <v>0</v>
      </c>
    </row>
    <row r="3" spans="1:7" x14ac:dyDescent="0.3">
      <c r="A3" s="16" t="s">
        <v>3</v>
      </c>
      <c r="B3" s="8" t="s">
        <v>4</v>
      </c>
      <c r="C3" s="9">
        <v>21.343499999999995</v>
      </c>
      <c r="D3" s="10"/>
      <c r="E3" s="17">
        <f>D3*C3</f>
        <v>0</v>
      </c>
      <c r="F3" s="2"/>
      <c r="G3" s="2"/>
    </row>
    <row r="4" spans="1:7" x14ac:dyDescent="0.3">
      <c r="A4" s="18" t="s">
        <v>5</v>
      </c>
      <c r="B4" s="5" t="s">
        <v>6</v>
      </c>
      <c r="C4" s="6">
        <v>17.238</v>
      </c>
      <c r="D4" s="7"/>
      <c r="E4" s="19">
        <f t="shared" ref="E4:E67" si="0">D4*C4</f>
        <v>0</v>
      </c>
      <c r="F4" s="2"/>
      <c r="G4" s="2"/>
    </row>
    <row r="5" spans="1:7" x14ac:dyDescent="0.3">
      <c r="A5" s="18" t="s">
        <v>7</v>
      </c>
      <c r="B5" s="5" t="s">
        <v>8</v>
      </c>
      <c r="C5" s="6">
        <v>18.75525</v>
      </c>
      <c r="D5" s="7"/>
      <c r="E5" s="19">
        <f t="shared" si="0"/>
        <v>0</v>
      </c>
      <c r="F5" s="2"/>
      <c r="G5" s="2"/>
    </row>
    <row r="6" spans="1:7" x14ac:dyDescent="0.3">
      <c r="A6" s="18" t="s">
        <v>9</v>
      </c>
      <c r="B6" s="5" t="s">
        <v>10</v>
      </c>
      <c r="C6" s="6">
        <v>24.008249999999997</v>
      </c>
      <c r="D6" s="7"/>
      <c r="E6" s="19">
        <f t="shared" si="0"/>
        <v>0</v>
      </c>
      <c r="F6" s="2"/>
      <c r="G6" s="2"/>
    </row>
    <row r="7" spans="1:7" x14ac:dyDescent="0.3">
      <c r="A7" s="18" t="s">
        <v>11</v>
      </c>
      <c r="B7" s="5" t="s">
        <v>12</v>
      </c>
      <c r="C7" s="6">
        <v>38.301000000000002</v>
      </c>
      <c r="D7" s="7"/>
      <c r="E7" s="19">
        <f t="shared" si="0"/>
        <v>0</v>
      </c>
      <c r="F7" s="2"/>
      <c r="G7" s="2"/>
    </row>
    <row r="8" spans="1:7" x14ac:dyDescent="0.3">
      <c r="A8" s="18" t="s">
        <v>13</v>
      </c>
      <c r="B8" s="5" t="s">
        <v>14</v>
      </c>
      <c r="C8" s="6">
        <v>21.203249999999997</v>
      </c>
      <c r="D8" s="7"/>
      <c r="E8" s="19">
        <f t="shared" si="0"/>
        <v>0</v>
      </c>
      <c r="F8" s="2"/>
      <c r="G8" s="2"/>
    </row>
    <row r="9" spans="1:7" x14ac:dyDescent="0.3">
      <c r="A9" s="18" t="s">
        <v>15</v>
      </c>
      <c r="B9" s="5" t="s">
        <v>16</v>
      </c>
      <c r="C9" s="6">
        <v>35.253749999999997</v>
      </c>
      <c r="D9" s="7"/>
      <c r="E9" s="19">
        <f t="shared" si="0"/>
        <v>0</v>
      </c>
      <c r="F9" s="2"/>
      <c r="G9" s="26"/>
    </row>
    <row r="10" spans="1:7" x14ac:dyDescent="0.3">
      <c r="A10" s="18" t="s">
        <v>17</v>
      </c>
      <c r="B10" s="5" t="s">
        <v>18</v>
      </c>
      <c r="C10" s="6">
        <v>26.91525</v>
      </c>
      <c r="D10" s="7"/>
      <c r="E10" s="19">
        <f t="shared" si="0"/>
        <v>0</v>
      </c>
      <c r="F10" s="2"/>
      <c r="G10" s="2"/>
    </row>
    <row r="11" spans="1:7" x14ac:dyDescent="0.3">
      <c r="A11" s="18" t="s">
        <v>19</v>
      </c>
      <c r="B11" s="5" t="s">
        <v>20</v>
      </c>
      <c r="C11" s="6">
        <v>22.937249999999995</v>
      </c>
      <c r="D11" s="7"/>
      <c r="E11" s="19">
        <f t="shared" si="0"/>
        <v>0</v>
      </c>
      <c r="F11" s="2"/>
      <c r="G11" s="2"/>
    </row>
    <row r="12" spans="1:7" x14ac:dyDescent="0.3">
      <c r="A12" s="18" t="s">
        <v>19</v>
      </c>
      <c r="B12" s="5" t="s">
        <v>21</v>
      </c>
      <c r="C12" s="6">
        <v>41.819999999999993</v>
      </c>
      <c r="D12" s="7"/>
      <c r="E12" s="19">
        <f t="shared" si="0"/>
        <v>0</v>
      </c>
      <c r="F12" s="2"/>
      <c r="G12" s="2"/>
    </row>
    <row r="13" spans="1:7" x14ac:dyDescent="0.3">
      <c r="A13" s="18" t="s">
        <v>22</v>
      </c>
      <c r="B13" s="5" t="s">
        <v>23</v>
      </c>
      <c r="C13" s="6">
        <v>29.847749999999998</v>
      </c>
      <c r="D13" s="7"/>
      <c r="E13" s="19">
        <f t="shared" si="0"/>
        <v>0</v>
      </c>
      <c r="F13" s="2"/>
      <c r="G13" s="2"/>
    </row>
    <row r="14" spans="1:7" x14ac:dyDescent="0.3">
      <c r="A14" s="18" t="s">
        <v>24</v>
      </c>
      <c r="B14" s="5" t="s">
        <v>25</v>
      </c>
      <c r="C14" s="6">
        <v>30.242999999999999</v>
      </c>
      <c r="D14" s="7"/>
      <c r="E14" s="19">
        <f t="shared" si="0"/>
        <v>0</v>
      </c>
      <c r="F14" s="2"/>
    </row>
    <row r="15" spans="1:7" x14ac:dyDescent="0.3">
      <c r="A15" s="18" t="s">
        <v>26</v>
      </c>
      <c r="B15" s="5" t="s">
        <v>27</v>
      </c>
      <c r="C15" s="6">
        <v>34.488749999999996</v>
      </c>
      <c r="D15" s="7"/>
      <c r="E15" s="19">
        <f t="shared" si="0"/>
        <v>0</v>
      </c>
      <c r="F15" s="2"/>
      <c r="G15" s="2"/>
    </row>
    <row r="16" spans="1:7" x14ac:dyDescent="0.3">
      <c r="A16" s="18" t="s">
        <v>28</v>
      </c>
      <c r="B16" s="5" t="s">
        <v>29</v>
      </c>
      <c r="C16" s="6">
        <v>19.188749999999999</v>
      </c>
      <c r="D16" s="7"/>
      <c r="E16" s="19">
        <f t="shared" si="0"/>
        <v>0</v>
      </c>
      <c r="F16" s="2"/>
      <c r="G16" s="2"/>
    </row>
    <row r="17" spans="1:7" x14ac:dyDescent="0.3">
      <c r="A17" s="18" t="s">
        <v>30</v>
      </c>
      <c r="B17" s="5" t="s">
        <v>31</v>
      </c>
      <c r="C17" s="6">
        <v>22.070249999999998</v>
      </c>
      <c r="D17" s="7"/>
      <c r="E17" s="19">
        <f t="shared" si="0"/>
        <v>0</v>
      </c>
      <c r="F17" s="2"/>
      <c r="G17" s="2"/>
    </row>
    <row r="18" spans="1:7" x14ac:dyDescent="0.3">
      <c r="A18" s="18" t="s">
        <v>32</v>
      </c>
      <c r="B18" s="5" t="s">
        <v>33</v>
      </c>
      <c r="C18" s="6">
        <v>33.621749999999999</v>
      </c>
      <c r="D18" s="7"/>
      <c r="E18" s="19">
        <f t="shared" si="0"/>
        <v>0</v>
      </c>
      <c r="F18" s="2"/>
      <c r="G18" s="2"/>
    </row>
    <row r="19" spans="1:7" x14ac:dyDescent="0.3">
      <c r="A19" s="18" t="s">
        <v>34</v>
      </c>
      <c r="B19" s="5" t="s">
        <v>35</v>
      </c>
      <c r="C19" s="6">
        <v>34.144500000000001</v>
      </c>
      <c r="D19" s="7"/>
      <c r="E19" s="19">
        <f t="shared" si="0"/>
        <v>0</v>
      </c>
      <c r="F19" s="2"/>
      <c r="G19" s="2"/>
    </row>
    <row r="20" spans="1:7" x14ac:dyDescent="0.3">
      <c r="A20" s="18" t="s">
        <v>36</v>
      </c>
      <c r="B20" s="5" t="s">
        <v>37</v>
      </c>
      <c r="C20" s="6">
        <v>24.875250000000001</v>
      </c>
      <c r="D20" s="7"/>
      <c r="E20" s="19">
        <f t="shared" si="0"/>
        <v>0</v>
      </c>
      <c r="F20" s="2"/>
      <c r="G20" s="2"/>
    </row>
    <row r="21" spans="1:7" x14ac:dyDescent="0.3">
      <c r="A21" s="18" t="s">
        <v>38</v>
      </c>
      <c r="B21" s="5" t="s">
        <v>39</v>
      </c>
      <c r="C21" s="6">
        <v>12.469499999999998</v>
      </c>
      <c r="D21" s="7"/>
      <c r="E21" s="19">
        <f t="shared" si="0"/>
        <v>0</v>
      </c>
      <c r="F21" s="2"/>
      <c r="G21" s="2"/>
    </row>
    <row r="22" spans="1:7" x14ac:dyDescent="0.3">
      <c r="A22" s="18" t="s">
        <v>40</v>
      </c>
      <c r="B22" s="5" t="s">
        <v>41</v>
      </c>
      <c r="C22" s="6">
        <v>24.518250000000002</v>
      </c>
      <c r="D22" s="7"/>
      <c r="E22" s="19">
        <f t="shared" si="0"/>
        <v>0</v>
      </c>
      <c r="F22" s="2"/>
      <c r="G22" s="2"/>
    </row>
    <row r="23" spans="1:7" x14ac:dyDescent="0.3">
      <c r="A23" s="18" t="s">
        <v>42</v>
      </c>
      <c r="B23" s="5" t="s">
        <v>43</v>
      </c>
      <c r="C23" s="6">
        <v>35.661749999999998</v>
      </c>
      <c r="D23" s="7"/>
      <c r="E23" s="19">
        <f t="shared" si="0"/>
        <v>0</v>
      </c>
      <c r="F23" s="2"/>
      <c r="G23" s="2"/>
    </row>
    <row r="24" spans="1:7" x14ac:dyDescent="0.3">
      <c r="A24" s="18" t="s">
        <v>44</v>
      </c>
      <c r="B24" s="5" t="s">
        <v>45</v>
      </c>
      <c r="C24" s="6">
        <v>24.990000000000002</v>
      </c>
      <c r="D24" s="7"/>
      <c r="E24" s="19">
        <f t="shared" si="0"/>
        <v>0</v>
      </c>
      <c r="F24" s="2"/>
      <c r="G24" s="2"/>
    </row>
    <row r="25" spans="1:7" x14ac:dyDescent="0.3">
      <c r="A25" s="18" t="s">
        <v>46</v>
      </c>
      <c r="B25" s="5" t="s">
        <v>47</v>
      </c>
      <c r="C25" s="6">
        <v>34.093499999999999</v>
      </c>
      <c r="D25" s="7"/>
      <c r="E25" s="19">
        <f t="shared" si="0"/>
        <v>0</v>
      </c>
      <c r="F25" s="2"/>
      <c r="G25" s="2"/>
    </row>
    <row r="26" spans="1:7" x14ac:dyDescent="0.3">
      <c r="A26" s="18" t="s">
        <v>48</v>
      </c>
      <c r="B26" s="5" t="s">
        <v>49</v>
      </c>
      <c r="C26" s="6">
        <v>10.0725</v>
      </c>
      <c r="D26" s="7"/>
      <c r="E26" s="19">
        <f t="shared" si="0"/>
        <v>0</v>
      </c>
      <c r="F26" s="2"/>
      <c r="G26" s="2"/>
    </row>
    <row r="27" spans="1:7" x14ac:dyDescent="0.3">
      <c r="A27" s="18" t="s">
        <v>48</v>
      </c>
      <c r="B27" s="5" t="s">
        <v>50</v>
      </c>
      <c r="C27" s="6">
        <v>16.0395</v>
      </c>
      <c r="D27" s="7"/>
      <c r="E27" s="19">
        <f t="shared" si="0"/>
        <v>0</v>
      </c>
      <c r="F27" s="2"/>
      <c r="G27" s="2"/>
    </row>
    <row r="28" spans="1:7" x14ac:dyDescent="0.3">
      <c r="A28" s="18" t="s">
        <v>51</v>
      </c>
      <c r="B28" s="5" t="s">
        <v>52</v>
      </c>
      <c r="C28" s="6">
        <v>44.573999999999998</v>
      </c>
      <c r="D28" s="7"/>
      <c r="E28" s="19">
        <f t="shared" si="0"/>
        <v>0</v>
      </c>
      <c r="F28" s="2"/>
      <c r="G28" s="2"/>
    </row>
    <row r="29" spans="1:7" x14ac:dyDescent="0.3">
      <c r="A29" s="18" t="s">
        <v>53</v>
      </c>
      <c r="B29" s="5" t="s">
        <v>54</v>
      </c>
      <c r="C29" s="6">
        <v>8.5297499999999999</v>
      </c>
      <c r="D29" s="7"/>
      <c r="E29" s="19">
        <f t="shared" si="0"/>
        <v>0</v>
      </c>
      <c r="F29" s="2"/>
      <c r="G29" s="2"/>
    </row>
    <row r="30" spans="1:7" x14ac:dyDescent="0.3">
      <c r="A30" s="18" t="s">
        <v>55</v>
      </c>
      <c r="B30" s="5" t="s">
        <v>56</v>
      </c>
      <c r="C30" s="6">
        <v>20.514749999999999</v>
      </c>
      <c r="D30" s="7"/>
      <c r="E30" s="19">
        <f t="shared" si="0"/>
        <v>0</v>
      </c>
      <c r="F30" s="2"/>
      <c r="G30" s="2"/>
    </row>
    <row r="31" spans="1:7" x14ac:dyDescent="0.3">
      <c r="A31" s="18" t="s">
        <v>55</v>
      </c>
      <c r="B31" s="5" t="s">
        <v>57</v>
      </c>
      <c r="C31" s="6">
        <v>36.171750000000003</v>
      </c>
      <c r="D31" s="7"/>
      <c r="E31" s="19">
        <f t="shared" si="0"/>
        <v>0</v>
      </c>
      <c r="F31" s="2"/>
      <c r="G31" s="2"/>
    </row>
    <row r="32" spans="1:7" x14ac:dyDescent="0.3">
      <c r="A32" s="18" t="s">
        <v>58</v>
      </c>
      <c r="B32" s="5" t="s">
        <v>59</v>
      </c>
      <c r="C32" s="6">
        <v>37.994999999999997</v>
      </c>
      <c r="D32" s="7"/>
      <c r="E32" s="19">
        <f t="shared" si="0"/>
        <v>0</v>
      </c>
      <c r="F32" s="2"/>
      <c r="G32" s="2"/>
    </row>
    <row r="33" spans="1:7" x14ac:dyDescent="0.3">
      <c r="A33" s="18" t="s">
        <v>60</v>
      </c>
      <c r="B33" s="5" t="s">
        <v>61</v>
      </c>
      <c r="C33" s="6">
        <v>29.478000000000002</v>
      </c>
      <c r="D33" s="7"/>
      <c r="E33" s="19">
        <f t="shared" si="0"/>
        <v>0</v>
      </c>
      <c r="F33" s="2"/>
      <c r="G33" s="2"/>
    </row>
    <row r="34" spans="1:7" x14ac:dyDescent="0.3">
      <c r="A34" s="18" t="s">
        <v>62</v>
      </c>
      <c r="B34" s="5" t="s">
        <v>63</v>
      </c>
      <c r="C34" s="6">
        <v>10.531499999999999</v>
      </c>
      <c r="D34" s="7"/>
      <c r="E34" s="19">
        <f t="shared" si="0"/>
        <v>0</v>
      </c>
      <c r="F34" s="2"/>
      <c r="G34" s="2"/>
    </row>
    <row r="35" spans="1:7" x14ac:dyDescent="0.3">
      <c r="A35" s="18" t="s">
        <v>62</v>
      </c>
      <c r="B35" s="5" t="s">
        <v>64</v>
      </c>
      <c r="C35" s="6">
        <v>18.1815</v>
      </c>
      <c r="D35" s="7"/>
      <c r="E35" s="19">
        <f t="shared" si="0"/>
        <v>0</v>
      </c>
      <c r="F35" s="2"/>
      <c r="G35" s="2"/>
    </row>
    <row r="36" spans="1:7" x14ac:dyDescent="0.3">
      <c r="A36" s="18" t="s">
        <v>65</v>
      </c>
      <c r="B36" s="5" t="s">
        <v>66</v>
      </c>
      <c r="C36" s="6">
        <v>28.470749999999999</v>
      </c>
      <c r="D36" s="7"/>
      <c r="E36" s="19">
        <f t="shared" si="0"/>
        <v>0</v>
      </c>
      <c r="F36" s="2"/>
      <c r="G36" s="2"/>
    </row>
    <row r="37" spans="1:7" x14ac:dyDescent="0.3">
      <c r="A37" s="18" t="s">
        <v>67</v>
      </c>
      <c r="B37" s="5" t="s">
        <v>68</v>
      </c>
      <c r="C37" s="6">
        <v>14.037749999999999</v>
      </c>
      <c r="D37" s="7"/>
      <c r="E37" s="19">
        <f t="shared" si="0"/>
        <v>0</v>
      </c>
      <c r="F37" s="2"/>
      <c r="G37" s="2"/>
    </row>
    <row r="38" spans="1:7" x14ac:dyDescent="0.3">
      <c r="A38" s="18" t="s">
        <v>69</v>
      </c>
      <c r="B38" s="5" t="s">
        <v>70</v>
      </c>
      <c r="C38" s="6">
        <v>32.958750000000002</v>
      </c>
      <c r="D38" s="7"/>
      <c r="E38" s="19">
        <f t="shared" si="0"/>
        <v>0</v>
      </c>
      <c r="F38" s="2"/>
      <c r="G38" s="2"/>
    </row>
    <row r="39" spans="1:7" x14ac:dyDescent="0.3">
      <c r="A39" s="18" t="s">
        <v>71</v>
      </c>
      <c r="B39" s="5" t="s">
        <v>72</v>
      </c>
      <c r="C39" s="6">
        <v>31.02075</v>
      </c>
      <c r="D39" s="7"/>
      <c r="E39" s="19">
        <f t="shared" si="0"/>
        <v>0</v>
      </c>
      <c r="F39" s="2"/>
      <c r="G39" s="2"/>
    </row>
    <row r="40" spans="1:7" x14ac:dyDescent="0.3">
      <c r="A40" s="18" t="s">
        <v>73</v>
      </c>
      <c r="B40" s="5" t="s">
        <v>74</v>
      </c>
      <c r="C40" s="6">
        <v>44.523000000000003</v>
      </c>
      <c r="D40" s="7"/>
      <c r="E40" s="19">
        <f t="shared" si="0"/>
        <v>0</v>
      </c>
      <c r="F40" s="2"/>
      <c r="G40" s="2"/>
    </row>
    <row r="41" spans="1:7" x14ac:dyDescent="0.3">
      <c r="A41" s="18" t="s">
        <v>75</v>
      </c>
      <c r="B41" s="5" t="s">
        <v>76</v>
      </c>
      <c r="C41" s="6">
        <v>15.580500000000001</v>
      </c>
      <c r="D41" s="7"/>
      <c r="E41" s="19">
        <f t="shared" si="0"/>
        <v>0</v>
      </c>
      <c r="F41" s="2"/>
      <c r="G41" s="2"/>
    </row>
    <row r="42" spans="1:7" x14ac:dyDescent="0.3">
      <c r="A42" s="18" t="s">
        <v>77</v>
      </c>
      <c r="B42" s="5" t="s">
        <v>78</v>
      </c>
      <c r="C42" s="6">
        <v>15.00675</v>
      </c>
      <c r="D42" s="7"/>
      <c r="E42" s="19">
        <f t="shared" si="0"/>
        <v>0</v>
      </c>
      <c r="F42" s="2"/>
      <c r="G42" s="2"/>
    </row>
    <row r="43" spans="1:7" x14ac:dyDescent="0.3">
      <c r="A43" s="18" t="s">
        <v>79</v>
      </c>
      <c r="B43" s="5" t="s">
        <v>80</v>
      </c>
      <c r="C43" s="6">
        <v>17.505749999999999</v>
      </c>
      <c r="D43" s="7"/>
      <c r="E43" s="19">
        <f t="shared" si="0"/>
        <v>0</v>
      </c>
      <c r="F43" s="2"/>
      <c r="G43" s="2"/>
    </row>
    <row r="44" spans="1:7" x14ac:dyDescent="0.3">
      <c r="A44" s="18" t="s">
        <v>79</v>
      </c>
      <c r="B44" s="5" t="s">
        <v>81</v>
      </c>
      <c r="C44" s="6">
        <v>34.552500000000002</v>
      </c>
      <c r="D44" s="7"/>
      <c r="E44" s="19">
        <f t="shared" si="0"/>
        <v>0</v>
      </c>
      <c r="F44" s="2"/>
      <c r="G44" s="2"/>
    </row>
    <row r="45" spans="1:7" x14ac:dyDescent="0.3">
      <c r="A45" s="18" t="s">
        <v>82</v>
      </c>
      <c r="B45" s="5" t="s">
        <v>83</v>
      </c>
      <c r="C45" s="6">
        <v>15.00675</v>
      </c>
      <c r="D45" s="7"/>
      <c r="E45" s="19">
        <f t="shared" si="0"/>
        <v>0</v>
      </c>
      <c r="F45" s="2"/>
      <c r="G45" s="2"/>
    </row>
    <row r="46" spans="1:7" x14ac:dyDescent="0.3">
      <c r="A46" s="18" t="s">
        <v>84</v>
      </c>
      <c r="B46" s="5" t="s">
        <v>85</v>
      </c>
      <c r="C46" s="6">
        <v>31.365000000000002</v>
      </c>
      <c r="D46" s="7"/>
      <c r="E46" s="19">
        <f t="shared" si="0"/>
        <v>0</v>
      </c>
      <c r="F46" s="2"/>
      <c r="G46" s="2"/>
    </row>
    <row r="47" spans="1:7" x14ac:dyDescent="0.3">
      <c r="A47" s="18" t="s">
        <v>86</v>
      </c>
      <c r="B47" s="5" t="s">
        <v>87</v>
      </c>
      <c r="C47" s="6">
        <v>22.78425</v>
      </c>
      <c r="D47" s="7"/>
      <c r="E47" s="19">
        <f t="shared" si="0"/>
        <v>0</v>
      </c>
      <c r="F47" s="2"/>
      <c r="G47" s="2"/>
    </row>
    <row r="48" spans="1:7" x14ac:dyDescent="0.3">
      <c r="A48" s="18" t="s">
        <v>88</v>
      </c>
      <c r="B48" s="5" t="s">
        <v>89</v>
      </c>
      <c r="C48" s="6">
        <v>55.666499999999999</v>
      </c>
      <c r="D48" s="7"/>
      <c r="E48" s="19">
        <f t="shared" si="0"/>
        <v>0</v>
      </c>
      <c r="F48" s="2"/>
      <c r="G48" s="2"/>
    </row>
    <row r="49" spans="1:7" x14ac:dyDescent="0.3">
      <c r="A49" s="18" t="s">
        <v>90</v>
      </c>
      <c r="B49" s="5" t="s">
        <v>91</v>
      </c>
      <c r="C49" s="6">
        <v>31.365000000000002</v>
      </c>
      <c r="D49" s="7"/>
      <c r="E49" s="19">
        <f t="shared" si="0"/>
        <v>0</v>
      </c>
      <c r="F49" s="2"/>
      <c r="G49" s="2"/>
    </row>
    <row r="50" spans="1:7" x14ac:dyDescent="0.3">
      <c r="A50" s="18" t="s">
        <v>92</v>
      </c>
      <c r="B50" s="5" t="s">
        <v>93</v>
      </c>
      <c r="C50" s="6">
        <v>25.844249999999995</v>
      </c>
      <c r="D50" s="7"/>
      <c r="E50" s="19">
        <f t="shared" si="0"/>
        <v>0</v>
      </c>
      <c r="F50" s="2"/>
      <c r="G50" s="2"/>
    </row>
    <row r="51" spans="1:7" x14ac:dyDescent="0.3">
      <c r="A51" s="20" t="s">
        <v>94</v>
      </c>
      <c r="B51" s="5" t="s">
        <v>95</v>
      </c>
      <c r="C51" s="6">
        <v>25.844249999999995</v>
      </c>
      <c r="D51" s="7"/>
      <c r="E51" s="19">
        <f t="shared" si="0"/>
        <v>0</v>
      </c>
      <c r="F51" s="2"/>
      <c r="G51" s="2"/>
    </row>
    <row r="52" spans="1:7" x14ac:dyDescent="0.3">
      <c r="A52" s="18" t="s">
        <v>96</v>
      </c>
      <c r="B52" s="5" t="s">
        <v>97</v>
      </c>
      <c r="C52" s="6">
        <v>25.844249999999995</v>
      </c>
      <c r="D52" s="7"/>
      <c r="E52" s="19">
        <f t="shared" si="0"/>
        <v>0</v>
      </c>
      <c r="F52" s="2"/>
      <c r="G52" s="2"/>
    </row>
    <row r="53" spans="1:7" x14ac:dyDescent="0.3">
      <c r="A53" s="20" t="s">
        <v>98</v>
      </c>
      <c r="B53" s="5" t="s">
        <v>99</v>
      </c>
      <c r="C53" s="6">
        <v>25.844249999999995</v>
      </c>
      <c r="D53" s="7"/>
      <c r="E53" s="19">
        <f t="shared" si="0"/>
        <v>0</v>
      </c>
      <c r="F53" s="2"/>
      <c r="G53" s="2"/>
    </row>
    <row r="54" spans="1:7" x14ac:dyDescent="0.3">
      <c r="A54" s="18" t="s">
        <v>100</v>
      </c>
      <c r="B54" s="5" t="s">
        <v>101</v>
      </c>
      <c r="C54" s="6">
        <v>75.390749999999997</v>
      </c>
      <c r="D54" s="7"/>
      <c r="E54" s="19">
        <f t="shared" si="0"/>
        <v>0</v>
      </c>
      <c r="F54" s="2"/>
      <c r="G54" s="2"/>
    </row>
    <row r="55" spans="1:7" x14ac:dyDescent="0.3">
      <c r="A55" s="18" t="s">
        <v>102</v>
      </c>
      <c r="B55" s="5" t="s">
        <v>103</v>
      </c>
      <c r="C55" s="6">
        <v>18.768000000000001</v>
      </c>
      <c r="D55" s="7"/>
      <c r="E55" s="19">
        <f t="shared" si="0"/>
        <v>0</v>
      </c>
      <c r="F55" s="2"/>
      <c r="G55" s="2"/>
    </row>
    <row r="56" spans="1:7" x14ac:dyDescent="0.3">
      <c r="A56" s="18" t="s">
        <v>104</v>
      </c>
      <c r="B56" s="5" t="s">
        <v>105</v>
      </c>
      <c r="C56" s="6">
        <v>38.441249999999997</v>
      </c>
      <c r="D56" s="7"/>
      <c r="E56" s="19">
        <f t="shared" si="0"/>
        <v>0</v>
      </c>
      <c r="F56" s="2"/>
      <c r="G56" s="2"/>
    </row>
    <row r="57" spans="1:7" x14ac:dyDescent="0.3">
      <c r="A57" s="18" t="s">
        <v>106</v>
      </c>
      <c r="B57" s="5" t="s">
        <v>107</v>
      </c>
      <c r="C57" s="6">
        <v>10.199999999999999</v>
      </c>
      <c r="D57" s="7"/>
      <c r="E57" s="19">
        <f t="shared" si="0"/>
        <v>0</v>
      </c>
      <c r="F57" s="2"/>
      <c r="G57" s="2"/>
    </row>
    <row r="58" spans="1:7" x14ac:dyDescent="0.3">
      <c r="A58" s="20" t="s">
        <v>108</v>
      </c>
      <c r="B58" s="5" t="s">
        <v>109</v>
      </c>
      <c r="C58" s="6">
        <v>27.246749999999999</v>
      </c>
      <c r="D58" s="7"/>
      <c r="E58" s="19">
        <f t="shared" si="0"/>
        <v>0</v>
      </c>
      <c r="F58" s="2"/>
      <c r="G58" s="2"/>
    </row>
    <row r="59" spans="1:7" x14ac:dyDescent="0.3">
      <c r="A59" s="18" t="s">
        <v>110</v>
      </c>
      <c r="B59" s="5" t="s">
        <v>111</v>
      </c>
      <c r="C59" s="6">
        <v>31.607250000000001</v>
      </c>
      <c r="D59" s="7"/>
      <c r="E59" s="19">
        <f t="shared" si="0"/>
        <v>0</v>
      </c>
      <c r="F59" s="2"/>
      <c r="G59" s="2"/>
    </row>
    <row r="60" spans="1:7" x14ac:dyDescent="0.3">
      <c r="A60" s="18" t="s">
        <v>112</v>
      </c>
      <c r="B60" s="5" t="s">
        <v>113</v>
      </c>
      <c r="C60" s="6">
        <v>59.924999999999997</v>
      </c>
      <c r="D60" s="7"/>
      <c r="E60" s="19">
        <f t="shared" si="0"/>
        <v>0</v>
      </c>
      <c r="F60" s="2"/>
      <c r="G60" s="2"/>
    </row>
    <row r="61" spans="1:7" x14ac:dyDescent="0.3">
      <c r="A61" s="18" t="s">
        <v>114</v>
      </c>
      <c r="B61" s="5" t="s">
        <v>115</v>
      </c>
      <c r="C61" s="6">
        <v>46.792500000000004</v>
      </c>
      <c r="D61" s="7"/>
      <c r="E61" s="19">
        <f t="shared" si="0"/>
        <v>0</v>
      </c>
      <c r="F61" s="2"/>
      <c r="G61" s="2"/>
    </row>
    <row r="62" spans="1:7" x14ac:dyDescent="0.3">
      <c r="A62" s="18" t="s">
        <v>116</v>
      </c>
      <c r="B62" s="5" t="s">
        <v>117</v>
      </c>
      <c r="C62" s="6">
        <v>42.189750000000004</v>
      </c>
      <c r="D62" s="7"/>
      <c r="E62" s="19">
        <f t="shared" si="0"/>
        <v>0</v>
      </c>
      <c r="F62" s="2"/>
      <c r="G62" s="2"/>
    </row>
    <row r="63" spans="1:7" x14ac:dyDescent="0.3">
      <c r="A63" s="18" t="s">
        <v>118</v>
      </c>
      <c r="B63" s="5" t="s">
        <v>119</v>
      </c>
      <c r="C63" s="6">
        <v>19.481999999999999</v>
      </c>
      <c r="D63" s="7"/>
      <c r="E63" s="19">
        <f t="shared" si="0"/>
        <v>0</v>
      </c>
      <c r="F63" s="2"/>
      <c r="G63" s="2"/>
    </row>
    <row r="64" spans="1:7" x14ac:dyDescent="0.3">
      <c r="A64" s="18" t="s">
        <v>120</v>
      </c>
      <c r="B64" s="5" t="s">
        <v>121</v>
      </c>
      <c r="C64" s="6">
        <v>32.487000000000002</v>
      </c>
      <c r="D64" s="7"/>
      <c r="E64" s="19">
        <f t="shared" si="0"/>
        <v>0</v>
      </c>
      <c r="F64" s="2"/>
      <c r="G64" s="2"/>
    </row>
    <row r="65" spans="1:7" x14ac:dyDescent="0.3">
      <c r="A65" s="18" t="s">
        <v>122</v>
      </c>
      <c r="B65" s="5" t="s">
        <v>123</v>
      </c>
      <c r="C65" s="6">
        <v>27.93525</v>
      </c>
      <c r="D65" s="7"/>
      <c r="E65" s="19">
        <f t="shared" si="0"/>
        <v>0</v>
      </c>
      <c r="F65" s="2"/>
      <c r="G65" s="2"/>
    </row>
    <row r="66" spans="1:7" x14ac:dyDescent="0.3">
      <c r="A66" s="18" t="s">
        <v>124</v>
      </c>
      <c r="B66" s="5" t="s">
        <v>125</v>
      </c>
      <c r="C66" s="6">
        <v>42.189750000000004</v>
      </c>
      <c r="D66" s="7"/>
      <c r="E66" s="19">
        <f t="shared" si="0"/>
        <v>0</v>
      </c>
      <c r="F66" s="2"/>
      <c r="G66" s="2"/>
    </row>
    <row r="67" spans="1:7" x14ac:dyDescent="0.3">
      <c r="A67" s="18" t="s">
        <v>126</v>
      </c>
      <c r="B67" s="5" t="s">
        <v>127</v>
      </c>
      <c r="C67" s="6">
        <v>16.40925</v>
      </c>
      <c r="D67" s="7"/>
      <c r="E67" s="19">
        <f t="shared" si="0"/>
        <v>0</v>
      </c>
      <c r="F67" s="2"/>
      <c r="G67" s="2"/>
    </row>
    <row r="68" spans="1:7" x14ac:dyDescent="0.3">
      <c r="A68" s="18" t="s">
        <v>126</v>
      </c>
      <c r="B68" s="5" t="s">
        <v>128</v>
      </c>
      <c r="C68" s="6">
        <v>45.134999999999991</v>
      </c>
      <c r="D68" s="7"/>
      <c r="E68" s="19">
        <f t="shared" ref="E68:E131" si="1">D68*C68</f>
        <v>0</v>
      </c>
      <c r="F68" s="2"/>
      <c r="G68" s="2"/>
    </row>
    <row r="69" spans="1:7" x14ac:dyDescent="0.3">
      <c r="A69" s="18" t="s">
        <v>129</v>
      </c>
      <c r="B69" s="5" t="s">
        <v>130</v>
      </c>
      <c r="C69" s="6">
        <v>15.159750000000001</v>
      </c>
      <c r="D69" s="7"/>
      <c r="E69" s="19">
        <f t="shared" si="1"/>
        <v>0</v>
      </c>
      <c r="F69" s="2"/>
      <c r="G69" s="2"/>
    </row>
    <row r="70" spans="1:7" x14ac:dyDescent="0.3">
      <c r="A70" s="18" t="s">
        <v>131</v>
      </c>
      <c r="B70" s="5" t="s">
        <v>132</v>
      </c>
      <c r="C70" s="6">
        <v>35.075250000000004</v>
      </c>
      <c r="D70" s="7"/>
      <c r="E70" s="19">
        <f t="shared" si="1"/>
        <v>0</v>
      </c>
      <c r="F70" s="2"/>
      <c r="G70" s="2"/>
    </row>
    <row r="71" spans="1:7" x14ac:dyDescent="0.3">
      <c r="A71" s="18" t="s">
        <v>133</v>
      </c>
      <c r="B71" s="5" t="s">
        <v>134</v>
      </c>
      <c r="C71" s="6">
        <v>11.475</v>
      </c>
      <c r="D71" s="7"/>
      <c r="E71" s="19">
        <f t="shared" si="1"/>
        <v>0</v>
      </c>
      <c r="F71" s="2"/>
      <c r="G71" s="2"/>
    </row>
    <row r="72" spans="1:7" x14ac:dyDescent="0.3">
      <c r="A72" s="18" t="s">
        <v>135</v>
      </c>
      <c r="B72" s="5" t="s">
        <v>136</v>
      </c>
      <c r="C72" s="6">
        <v>16.715249999999997</v>
      </c>
      <c r="D72" s="7"/>
      <c r="E72" s="19">
        <f t="shared" si="1"/>
        <v>0</v>
      </c>
      <c r="F72" s="2"/>
      <c r="G72" s="2"/>
    </row>
    <row r="73" spans="1:7" x14ac:dyDescent="0.3">
      <c r="A73" s="18" t="s">
        <v>137</v>
      </c>
      <c r="B73" s="5" t="s">
        <v>138</v>
      </c>
      <c r="C73" s="6">
        <v>34.552500000000002</v>
      </c>
      <c r="D73" s="7"/>
      <c r="E73" s="19">
        <f t="shared" si="1"/>
        <v>0</v>
      </c>
      <c r="F73" s="2"/>
      <c r="G73" s="2"/>
    </row>
    <row r="74" spans="1:7" x14ac:dyDescent="0.3">
      <c r="A74" s="18" t="s">
        <v>137</v>
      </c>
      <c r="B74" s="5" t="s">
        <v>139</v>
      </c>
      <c r="C74" s="6">
        <v>34.552500000000002</v>
      </c>
      <c r="D74" s="7"/>
      <c r="E74" s="19">
        <f t="shared" si="1"/>
        <v>0</v>
      </c>
      <c r="F74" s="2"/>
      <c r="G74" s="2"/>
    </row>
    <row r="75" spans="1:7" x14ac:dyDescent="0.3">
      <c r="A75" s="18" t="s">
        <v>140</v>
      </c>
      <c r="B75" s="5" t="s">
        <v>141</v>
      </c>
      <c r="C75" s="6">
        <v>39.830999999999996</v>
      </c>
      <c r="D75" s="7"/>
      <c r="E75" s="19">
        <f t="shared" si="1"/>
        <v>0</v>
      </c>
      <c r="F75" s="2"/>
      <c r="G75" s="2"/>
    </row>
    <row r="76" spans="1:7" x14ac:dyDescent="0.3">
      <c r="A76" s="18" t="s">
        <v>142</v>
      </c>
      <c r="B76" s="5" t="s">
        <v>143</v>
      </c>
      <c r="C76" s="6">
        <v>29.210250000000002</v>
      </c>
      <c r="D76" s="7"/>
      <c r="E76" s="19">
        <f t="shared" si="1"/>
        <v>0</v>
      </c>
      <c r="F76" s="2"/>
      <c r="G76" s="2"/>
    </row>
    <row r="77" spans="1:7" x14ac:dyDescent="0.3">
      <c r="A77" s="18" t="s">
        <v>142</v>
      </c>
      <c r="B77" s="5" t="s">
        <v>144</v>
      </c>
      <c r="C77" s="6">
        <v>52.427999999999997</v>
      </c>
      <c r="D77" s="7"/>
      <c r="E77" s="19">
        <f t="shared" si="1"/>
        <v>0</v>
      </c>
      <c r="F77" s="2"/>
      <c r="G77" s="2"/>
    </row>
    <row r="78" spans="1:7" x14ac:dyDescent="0.3">
      <c r="A78" s="18" t="s">
        <v>145</v>
      </c>
      <c r="B78" s="5" t="s">
        <v>146</v>
      </c>
      <c r="C78" s="6">
        <v>24.08475</v>
      </c>
      <c r="D78" s="7"/>
      <c r="E78" s="19">
        <f t="shared" si="1"/>
        <v>0</v>
      </c>
      <c r="F78" s="2"/>
      <c r="G78" s="2"/>
    </row>
    <row r="79" spans="1:7" x14ac:dyDescent="0.3">
      <c r="A79" s="18" t="s">
        <v>145</v>
      </c>
      <c r="B79" s="5" t="s">
        <v>147</v>
      </c>
      <c r="C79" s="6">
        <v>42.393749999999997</v>
      </c>
      <c r="D79" s="7"/>
      <c r="E79" s="19">
        <f t="shared" si="1"/>
        <v>0</v>
      </c>
      <c r="F79" s="2"/>
      <c r="G79" s="2"/>
    </row>
    <row r="80" spans="1:7" x14ac:dyDescent="0.3">
      <c r="A80" s="18" t="s">
        <v>148</v>
      </c>
      <c r="B80" s="5" t="s">
        <v>149</v>
      </c>
      <c r="C80" s="6">
        <v>40.442999999999998</v>
      </c>
      <c r="D80" s="7"/>
      <c r="E80" s="19">
        <f t="shared" si="1"/>
        <v>0</v>
      </c>
      <c r="F80" s="2"/>
      <c r="G80" s="2"/>
    </row>
    <row r="81" spans="1:7" x14ac:dyDescent="0.3">
      <c r="A81" s="18" t="s">
        <v>150</v>
      </c>
      <c r="B81" s="5" t="s">
        <v>151</v>
      </c>
      <c r="C81" s="6">
        <v>26.876999999999999</v>
      </c>
      <c r="D81" s="7"/>
      <c r="E81" s="19">
        <f t="shared" si="1"/>
        <v>0</v>
      </c>
      <c r="F81" s="2"/>
      <c r="G81" s="2"/>
    </row>
    <row r="82" spans="1:7" x14ac:dyDescent="0.3">
      <c r="A82" s="18" t="s">
        <v>152</v>
      </c>
      <c r="B82" s="5" t="s">
        <v>153</v>
      </c>
      <c r="C82" s="6">
        <v>15.36375</v>
      </c>
      <c r="D82" s="7"/>
      <c r="E82" s="19">
        <f t="shared" si="1"/>
        <v>0</v>
      </c>
      <c r="F82" s="2"/>
      <c r="G82" s="2"/>
    </row>
    <row r="83" spans="1:7" x14ac:dyDescent="0.3">
      <c r="A83" s="18" t="s">
        <v>154</v>
      </c>
      <c r="B83" s="5" t="s">
        <v>155</v>
      </c>
      <c r="C83" s="6">
        <v>33.239249999999998</v>
      </c>
      <c r="D83" s="7"/>
      <c r="E83" s="19">
        <f t="shared" si="1"/>
        <v>0</v>
      </c>
      <c r="F83" s="2"/>
      <c r="G83" s="2"/>
    </row>
    <row r="84" spans="1:7" x14ac:dyDescent="0.3">
      <c r="A84" s="18" t="s">
        <v>156</v>
      </c>
      <c r="B84" s="5" t="s">
        <v>157</v>
      </c>
      <c r="C84" s="6">
        <v>37.790999999999997</v>
      </c>
      <c r="D84" s="7"/>
      <c r="E84" s="19">
        <f t="shared" si="1"/>
        <v>0</v>
      </c>
      <c r="F84" s="2"/>
      <c r="G84" s="2"/>
    </row>
    <row r="85" spans="1:7" x14ac:dyDescent="0.3">
      <c r="A85" s="18" t="s">
        <v>158</v>
      </c>
      <c r="B85" s="5" t="s">
        <v>159</v>
      </c>
      <c r="C85" s="6">
        <v>47.991</v>
      </c>
      <c r="D85" s="7"/>
      <c r="E85" s="19">
        <f t="shared" si="1"/>
        <v>0</v>
      </c>
      <c r="F85" s="2"/>
      <c r="G85" s="2"/>
    </row>
    <row r="86" spans="1:7" x14ac:dyDescent="0.3">
      <c r="A86" s="18" t="s">
        <v>160</v>
      </c>
      <c r="B86" s="5" t="s">
        <v>161</v>
      </c>
      <c r="C86" s="6">
        <v>47.991</v>
      </c>
      <c r="D86" s="7"/>
      <c r="E86" s="19">
        <f t="shared" si="1"/>
        <v>0</v>
      </c>
      <c r="F86" s="2"/>
      <c r="G86" s="2"/>
    </row>
    <row r="87" spans="1:7" x14ac:dyDescent="0.3">
      <c r="A87" s="18" t="s">
        <v>162</v>
      </c>
      <c r="B87" s="5" t="s">
        <v>163</v>
      </c>
      <c r="C87" s="6">
        <v>36.171750000000003</v>
      </c>
      <c r="D87" s="7"/>
      <c r="E87" s="19">
        <f t="shared" si="1"/>
        <v>0</v>
      </c>
      <c r="F87" s="2"/>
      <c r="G87" s="2"/>
    </row>
    <row r="88" spans="1:7" x14ac:dyDescent="0.3">
      <c r="A88" s="18" t="s">
        <v>164</v>
      </c>
      <c r="B88" s="5" t="s">
        <v>165</v>
      </c>
      <c r="C88" s="6">
        <v>44.573999999999998</v>
      </c>
      <c r="D88" s="7"/>
      <c r="E88" s="19">
        <f t="shared" si="1"/>
        <v>0</v>
      </c>
      <c r="F88" s="2"/>
      <c r="G88" s="2"/>
    </row>
    <row r="89" spans="1:7" x14ac:dyDescent="0.3">
      <c r="A89" s="18" t="s">
        <v>166</v>
      </c>
      <c r="B89" s="5" t="s">
        <v>167</v>
      </c>
      <c r="C89" s="6">
        <v>37.790999999999997</v>
      </c>
      <c r="D89" s="7"/>
      <c r="E89" s="19">
        <f t="shared" si="1"/>
        <v>0</v>
      </c>
      <c r="F89" s="2"/>
      <c r="G89" s="2"/>
    </row>
    <row r="90" spans="1:7" x14ac:dyDescent="0.3">
      <c r="A90" s="18" t="s">
        <v>168</v>
      </c>
      <c r="B90" s="5" t="s">
        <v>169</v>
      </c>
      <c r="C90" s="6">
        <v>31.811250000000001</v>
      </c>
      <c r="D90" s="7"/>
      <c r="E90" s="19">
        <f t="shared" si="1"/>
        <v>0</v>
      </c>
      <c r="F90" s="2"/>
      <c r="G90" s="2"/>
    </row>
    <row r="91" spans="1:7" x14ac:dyDescent="0.3">
      <c r="A91" s="18" t="s">
        <v>170</v>
      </c>
      <c r="B91" s="5" t="s">
        <v>171</v>
      </c>
      <c r="C91" s="6">
        <v>58.394999999999996</v>
      </c>
      <c r="D91" s="7"/>
      <c r="E91" s="19">
        <f t="shared" si="1"/>
        <v>0</v>
      </c>
      <c r="F91" s="2"/>
      <c r="G91" s="2"/>
    </row>
    <row r="92" spans="1:7" x14ac:dyDescent="0.3">
      <c r="A92" s="18" t="s">
        <v>172</v>
      </c>
      <c r="B92" s="5" t="s">
        <v>173</v>
      </c>
      <c r="C92" s="6">
        <v>29.401499999999999</v>
      </c>
      <c r="D92" s="7"/>
      <c r="E92" s="19">
        <f t="shared" si="1"/>
        <v>0</v>
      </c>
      <c r="F92" s="2"/>
      <c r="G92" s="2"/>
    </row>
    <row r="93" spans="1:7" x14ac:dyDescent="0.3">
      <c r="A93" s="18" t="s">
        <v>174</v>
      </c>
      <c r="B93" s="5" t="s">
        <v>175</v>
      </c>
      <c r="C93" s="6">
        <v>45.441000000000003</v>
      </c>
      <c r="D93" s="7"/>
      <c r="E93" s="19">
        <f t="shared" si="1"/>
        <v>0</v>
      </c>
      <c r="F93" s="2"/>
      <c r="G93" s="2"/>
    </row>
    <row r="94" spans="1:7" x14ac:dyDescent="0.3">
      <c r="A94" s="18" t="s">
        <v>176</v>
      </c>
      <c r="B94" s="5" t="s">
        <v>177</v>
      </c>
      <c r="C94" s="6">
        <v>41.195250000000001</v>
      </c>
      <c r="D94" s="7"/>
      <c r="E94" s="19">
        <f t="shared" si="1"/>
        <v>0</v>
      </c>
      <c r="F94" s="2"/>
      <c r="G94" s="2"/>
    </row>
    <row r="95" spans="1:7" x14ac:dyDescent="0.3">
      <c r="A95" s="18" t="s">
        <v>178</v>
      </c>
      <c r="B95" s="5" t="s">
        <v>179</v>
      </c>
      <c r="C95" s="6">
        <v>49.890749999999997</v>
      </c>
      <c r="D95" s="7"/>
      <c r="E95" s="19">
        <f t="shared" si="1"/>
        <v>0</v>
      </c>
      <c r="F95" s="2"/>
      <c r="G95" s="2"/>
    </row>
    <row r="96" spans="1:7" x14ac:dyDescent="0.3">
      <c r="A96" s="18" t="s">
        <v>180</v>
      </c>
      <c r="B96" s="5" t="s">
        <v>181</v>
      </c>
      <c r="C96" s="6">
        <v>33.889499999999998</v>
      </c>
      <c r="D96" s="7"/>
      <c r="E96" s="19">
        <f t="shared" si="1"/>
        <v>0</v>
      </c>
      <c r="F96" s="2"/>
      <c r="G96" s="2"/>
    </row>
    <row r="97" spans="1:7" x14ac:dyDescent="0.3">
      <c r="A97" s="18" t="s">
        <v>182</v>
      </c>
      <c r="B97" s="5" t="s">
        <v>183</v>
      </c>
      <c r="C97" s="6">
        <v>11.831999999999999</v>
      </c>
      <c r="D97" s="7"/>
      <c r="E97" s="19">
        <f t="shared" si="1"/>
        <v>0</v>
      </c>
      <c r="F97" s="2"/>
      <c r="G97" s="2"/>
    </row>
    <row r="98" spans="1:7" x14ac:dyDescent="0.3">
      <c r="A98" s="18" t="s">
        <v>182</v>
      </c>
      <c r="B98" s="5" t="s">
        <v>184</v>
      </c>
      <c r="C98" s="6">
        <v>21.84075</v>
      </c>
      <c r="D98" s="7"/>
      <c r="E98" s="19">
        <f t="shared" si="1"/>
        <v>0</v>
      </c>
      <c r="F98" s="2"/>
      <c r="G98" s="2"/>
    </row>
    <row r="99" spans="1:7" x14ac:dyDescent="0.3">
      <c r="A99" s="18" t="s">
        <v>185</v>
      </c>
      <c r="B99" s="5" t="s">
        <v>186</v>
      </c>
      <c r="C99" s="6">
        <v>28.547250000000002</v>
      </c>
      <c r="D99" s="7"/>
      <c r="E99" s="19">
        <f t="shared" si="1"/>
        <v>0</v>
      </c>
      <c r="F99" s="2"/>
      <c r="G99" s="2"/>
    </row>
    <row r="100" spans="1:7" x14ac:dyDescent="0.3">
      <c r="A100" s="18" t="s">
        <v>187</v>
      </c>
      <c r="B100" s="5" t="s">
        <v>188</v>
      </c>
      <c r="C100" s="6">
        <v>45.313499999999998</v>
      </c>
      <c r="D100" s="7"/>
      <c r="E100" s="19">
        <f t="shared" si="1"/>
        <v>0</v>
      </c>
      <c r="F100" s="2"/>
      <c r="G100" s="2"/>
    </row>
    <row r="101" spans="1:7" x14ac:dyDescent="0.3">
      <c r="A101" s="18" t="s">
        <v>189</v>
      </c>
      <c r="B101" s="5" t="s">
        <v>190</v>
      </c>
      <c r="C101" s="6">
        <v>14.79</v>
      </c>
      <c r="D101" s="7"/>
      <c r="E101" s="19">
        <f t="shared" si="1"/>
        <v>0</v>
      </c>
      <c r="F101" s="2"/>
      <c r="G101" s="2"/>
    </row>
    <row r="102" spans="1:7" x14ac:dyDescent="0.3">
      <c r="A102" s="18" t="s">
        <v>189</v>
      </c>
      <c r="B102" s="5" t="s">
        <v>191</v>
      </c>
      <c r="C102" s="6">
        <v>21.343499999999995</v>
      </c>
      <c r="D102" s="7"/>
      <c r="E102" s="19">
        <f t="shared" si="1"/>
        <v>0</v>
      </c>
      <c r="F102" s="2"/>
      <c r="G102" s="2"/>
    </row>
    <row r="103" spans="1:7" x14ac:dyDescent="0.3">
      <c r="A103" s="18" t="s">
        <v>192</v>
      </c>
      <c r="B103" s="5" t="s">
        <v>193</v>
      </c>
      <c r="C103" s="6">
        <v>21.776999999999997</v>
      </c>
      <c r="D103" s="7"/>
      <c r="E103" s="19">
        <f t="shared" si="1"/>
        <v>0</v>
      </c>
      <c r="F103" s="2"/>
      <c r="G103" s="2"/>
    </row>
    <row r="104" spans="1:7" x14ac:dyDescent="0.3">
      <c r="A104" s="18" t="s">
        <v>194</v>
      </c>
      <c r="B104" s="5" t="s">
        <v>195</v>
      </c>
      <c r="C104" s="6">
        <v>30.714749999999995</v>
      </c>
      <c r="D104" s="7"/>
      <c r="E104" s="19">
        <f t="shared" si="1"/>
        <v>0</v>
      </c>
      <c r="F104" s="2"/>
      <c r="G104" s="2"/>
    </row>
    <row r="105" spans="1:7" x14ac:dyDescent="0.3">
      <c r="A105" s="18" t="s">
        <v>196</v>
      </c>
      <c r="B105" s="5" t="s">
        <v>197</v>
      </c>
      <c r="C105" s="6">
        <v>39.372</v>
      </c>
      <c r="D105" s="7"/>
      <c r="E105" s="19">
        <f t="shared" si="1"/>
        <v>0</v>
      </c>
      <c r="F105" s="2"/>
      <c r="G105" s="2"/>
    </row>
    <row r="106" spans="1:7" x14ac:dyDescent="0.3">
      <c r="A106" s="18" t="s">
        <v>198</v>
      </c>
      <c r="B106" s="5" t="s">
        <v>199</v>
      </c>
      <c r="C106" s="6">
        <v>14.063249999999998</v>
      </c>
      <c r="D106" s="7"/>
      <c r="E106" s="19">
        <f t="shared" si="1"/>
        <v>0</v>
      </c>
      <c r="F106" s="2"/>
      <c r="G106" s="2"/>
    </row>
    <row r="107" spans="1:7" x14ac:dyDescent="0.3">
      <c r="A107" s="18" t="s">
        <v>200</v>
      </c>
      <c r="B107" s="5" t="s">
        <v>201</v>
      </c>
      <c r="C107" s="6">
        <v>40.098749999999995</v>
      </c>
      <c r="D107" s="7"/>
      <c r="E107" s="19">
        <f t="shared" si="1"/>
        <v>0</v>
      </c>
      <c r="F107" s="2"/>
      <c r="G107" s="2"/>
    </row>
    <row r="108" spans="1:7" x14ac:dyDescent="0.3">
      <c r="A108" s="18" t="s">
        <v>202</v>
      </c>
      <c r="B108" s="5" t="s">
        <v>203</v>
      </c>
      <c r="C108" s="6">
        <v>22.070249999999998</v>
      </c>
      <c r="D108" s="7"/>
      <c r="E108" s="19">
        <f t="shared" si="1"/>
        <v>0</v>
      </c>
      <c r="F108" s="2"/>
      <c r="G108" s="2"/>
    </row>
    <row r="109" spans="1:7" x14ac:dyDescent="0.3">
      <c r="A109" s="18" t="s">
        <v>204</v>
      </c>
      <c r="B109" s="5" t="s">
        <v>205</v>
      </c>
      <c r="C109" s="6">
        <v>22.516500000000001</v>
      </c>
      <c r="D109" s="7"/>
      <c r="E109" s="19">
        <f t="shared" si="1"/>
        <v>0</v>
      </c>
      <c r="F109" s="2"/>
      <c r="G109" s="2"/>
    </row>
    <row r="110" spans="1:7" x14ac:dyDescent="0.3">
      <c r="A110" s="18" t="s">
        <v>206</v>
      </c>
      <c r="B110" s="5" t="s">
        <v>207</v>
      </c>
      <c r="C110" s="6">
        <v>26.609249999999999</v>
      </c>
      <c r="D110" s="7"/>
      <c r="E110" s="19">
        <f t="shared" si="1"/>
        <v>0</v>
      </c>
      <c r="F110" s="2"/>
      <c r="G110" s="2"/>
    </row>
    <row r="111" spans="1:7" x14ac:dyDescent="0.3">
      <c r="A111" s="18" t="s">
        <v>208</v>
      </c>
      <c r="B111" s="5" t="s">
        <v>209</v>
      </c>
      <c r="C111" s="6">
        <v>9.2309999999999999</v>
      </c>
      <c r="D111" s="7"/>
      <c r="E111" s="19">
        <f t="shared" si="1"/>
        <v>0</v>
      </c>
      <c r="F111" s="2"/>
      <c r="G111" s="2"/>
    </row>
    <row r="112" spans="1:7" x14ac:dyDescent="0.3">
      <c r="A112" s="18" t="s">
        <v>210</v>
      </c>
      <c r="B112" s="5" t="s">
        <v>211</v>
      </c>
      <c r="C112" s="6">
        <v>15.51675</v>
      </c>
      <c r="D112" s="7"/>
      <c r="E112" s="19">
        <f t="shared" si="1"/>
        <v>0</v>
      </c>
      <c r="F112" s="2"/>
      <c r="G112" s="2"/>
    </row>
    <row r="113" spans="1:7" x14ac:dyDescent="0.3">
      <c r="A113" s="18" t="s">
        <v>212</v>
      </c>
      <c r="B113" s="5" t="s">
        <v>213</v>
      </c>
      <c r="C113" s="6">
        <v>36.617999999999995</v>
      </c>
      <c r="D113" s="7"/>
      <c r="E113" s="19">
        <f t="shared" si="1"/>
        <v>0</v>
      </c>
      <c r="F113" s="2"/>
      <c r="G113" s="2"/>
    </row>
    <row r="114" spans="1:7" x14ac:dyDescent="0.3">
      <c r="A114" s="18" t="s">
        <v>214</v>
      </c>
      <c r="B114" s="5" t="s">
        <v>215</v>
      </c>
      <c r="C114" s="6">
        <v>45.976500000000001</v>
      </c>
      <c r="D114" s="7"/>
      <c r="E114" s="19">
        <f t="shared" si="1"/>
        <v>0</v>
      </c>
      <c r="F114" s="2"/>
      <c r="G114" s="2"/>
    </row>
    <row r="115" spans="1:7" x14ac:dyDescent="0.3">
      <c r="A115" s="18" t="s">
        <v>214</v>
      </c>
      <c r="B115" s="5" t="s">
        <v>216</v>
      </c>
      <c r="C115" s="6">
        <v>44.510249999999999</v>
      </c>
      <c r="D115" s="7"/>
      <c r="E115" s="19">
        <f t="shared" si="1"/>
        <v>0</v>
      </c>
      <c r="F115" s="2"/>
      <c r="G115" s="2"/>
    </row>
    <row r="116" spans="1:7" x14ac:dyDescent="0.3">
      <c r="A116" s="18" t="s">
        <v>217</v>
      </c>
      <c r="B116" s="5" t="s">
        <v>218</v>
      </c>
      <c r="C116" s="6">
        <v>33.392250000000004</v>
      </c>
      <c r="D116" s="7"/>
      <c r="E116" s="19">
        <f t="shared" si="1"/>
        <v>0</v>
      </c>
      <c r="F116" s="2"/>
      <c r="G116" s="2"/>
    </row>
    <row r="117" spans="1:7" x14ac:dyDescent="0.3">
      <c r="A117" s="18" t="s">
        <v>219</v>
      </c>
      <c r="B117" s="5" t="s">
        <v>220</v>
      </c>
      <c r="C117" s="6">
        <v>18.1815</v>
      </c>
      <c r="D117" s="7"/>
      <c r="E117" s="19">
        <f t="shared" si="1"/>
        <v>0</v>
      </c>
      <c r="F117" s="2"/>
      <c r="G117" s="2"/>
    </row>
    <row r="118" spans="1:7" x14ac:dyDescent="0.3">
      <c r="A118" s="18" t="s">
        <v>221</v>
      </c>
      <c r="B118" s="5" t="s">
        <v>222</v>
      </c>
      <c r="C118" s="6">
        <v>29.478000000000002</v>
      </c>
      <c r="D118" s="7"/>
      <c r="E118" s="19">
        <f t="shared" si="1"/>
        <v>0</v>
      </c>
      <c r="F118" s="2"/>
      <c r="G118" s="2"/>
    </row>
    <row r="119" spans="1:7" x14ac:dyDescent="0.3">
      <c r="A119" s="18" t="s">
        <v>223</v>
      </c>
      <c r="B119" s="5" t="s">
        <v>224</v>
      </c>
      <c r="C119" s="6">
        <v>36.414000000000001</v>
      </c>
      <c r="D119" s="7"/>
      <c r="E119" s="19">
        <f t="shared" si="1"/>
        <v>0</v>
      </c>
      <c r="F119" s="2"/>
      <c r="G119" s="2"/>
    </row>
    <row r="120" spans="1:7" x14ac:dyDescent="0.3">
      <c r="A120" s="18" t="s">
        <v>225</v>
      </c>
      <c r="B120" s="5" t="s">
        <v>226</v>
      </c>
      <c r="C120" s="6">
        <v>22.937249999999995</v>
      </c>
      <c r="D120" s="7"/>
      <c r="E120" s="19">
        <f t="shared" si="1"/>
        <v>0</v>
      </c>
      <c r="F120" s="2"/>
      <c r="G120" s="2"/>
    </row>
    <row r="121" spans="1:7" x14ac:dyDescent="0.3">
      <c r="A121" s="18" t="s">
        <v>227</v>
      </c>
      <c r="B121" s="5" t="s">
        <v>228</v>
      </c>
      <c r="C121" s="6">
        <v>8.1217500000000005</v>
      </c>
      <c r="D121" s="7"/>
      <c r="E121" s="19">
        <f t="shared" si="1"/>
        <v>0</v>
      </c>
      <c r="F121" s="2"/>
      <c r="G121" s="2"/>
    </row>
    <row r="122" spans="1:7" x14ac:dyDescent="0.3">
      <c r="A122" s="18" t="s">
        <v>229</v>
      </c>
      <c r="B122" s="5" t="s">
        <v>230</v>
      </c>
      <c r="C122" s="6">
        <v>46.869</v>
      </c>
      <c r="D122" s="7"/>
      <c r="E122" s="19">
        <f t="shared" si="1"/>
        <v>0</v>
      </c>
      <c r="F122" s="2"/>
      <c r="G122" s="2"/>
    </row>
    <row r="123" spans="1:7" x14ac:dyDescent="0.3">
      <c r="A123" s="18" t="s">
        <v>231</v>
      </c>
      <c r="B123" s="5" t="s">
        <v>232</v>
      </c>
      <c r="C123" s="6">
        <v>32.754750000000001</v>
      </c>
      <c r="D123" s="7"/>
      <c r="E123" s="19">
        <f t="shared" si="1"/>
        <v>0</v>
      </c>
      <c r="F123" s="2"/>
      <c r="G123" s="2"/>
    </row>
    <row r="124" spans="1:7" x14ac:dyDescent="0.3">
      <c r="A124" s="18" t="s">
        <v>233</v>
      </c>
      <c r="B124" s="5" t="s">
        <v>234</v>
      </c>
      <c r="C124" s="6">
        <v>32.487000000000002</v>
      </c>
      <c r="D124" s="7"/>
      <c r="E124" s="19">
        <f t="shared" si="1"/>
        <v>0</v>
      </c>
      <c r="F124" s="2"/>
      <c r="G124" s="2"/>
    </row>
    <row r="125" spans="1:7" x14ac:dyDescent="0.3">
      <c r="A125" s="18" t="s">
        <v>235</v>
      </c>
      <c r="B125" s="5" t="s">
        <v>236</v>
      </c>
      <c r="C125" s="6">
        <v>14.79</v>
      </c>
      <c r="D125" s="7"/>
      <c r="E125" s="19">
        <f t="shared" si="1"/>
        <v>0</v>
      </c>
      <c r="F125" s="2"/>
      <c r="G125" s="2"/>
    </row>
    <row r="126" spans="1:7" x14ac:dyDescent="0.3">
      <c r="A126" s="18" t="s">
        <v>237</v>
      </c>
      <c r="B126" s="5" t="s">
        <v>238</v>
      </c>
      <c r="C126" s="6">
        <v>13.821000000000002</v>
      </c>
      <c r="D126" s="7"/>
      <c r="E126" s="19">
        <f t="shared" si="1"/>
        <v>0</v>
      </c>
      <c r="F126" s="2"/>
      <c r="G126" s="2"/>
    </row>
    <row r="127" spans="1:7" x14ac:dyDescent="0.3">
      <c r="A127" s="18" t="s">
        <v>239</v>
      </c>
      <c r="B127" s="5" t="s">
        <v>240</v>
      </c>
      <c r="C127" s="6">
        <v>27.616500000000002</v>
      </c>
      <c r="D127" s="7"/>
      <c r="E127" s="19">
        <f t="shared" si="1"/>
        <v>0</v>
      </c>
      <c r="F127" s="2"/>
      <c r="G127" s="2"/>
    </row>
    <row r="128" spans="1:7" x14ac:dyDescent="0.3">
      <c r="A128" s="18" t="s">
        <v>241</v>
      </c>
      <c r="B128" s="5" t="s">
        <v>242</v>
      </c>
      <c r="C128" s="6">
        <v>12.482249999999997</v>
      </c>
      <c r="D128" s="7"/>
      <c r="E128" s="19">
        <f t="shared" si="1"/>
        <v>0</v>
      </c>
      <c r="F128" s="2"/>
      <c r="G128" s="2"/>
    </row>
    <row r="129" spans="1:7" x14ac:dyDescent="0.3">
      <c r="A129" s="18" t="s">
        <v>243</v>
      </c>
      <c r="B129" s="5" t="s">
        <v>244</v>
      </c>
      <c r="C129" s="6">
        <v>11.89575</v>
      </c>
      <c r="D129" s="7"/>
      <c r="E129" s="19">
        <f t="shared" si="1"/>
        <v>0</v>
      </c>
      <c r="F129" s="2"/>
      <c r="G129" s="2"/>
    </row>
    <row r="130" spans="1:7" x14ac:dyDescent="0.3">
      <c r="A130" s="18" t="s">
        <v>245</v>
      </c>
      <c r="B130" s="5" t="s">
        <v>246</v>
      </c>
      <c r="C130" s="6">
        <v>17.5185</v>
      </c>
      <c r="D130" s="7"/>
      <c r="E130" s="19">
        <f t="shared" si="1"/>
        <v>0</v>
      </c>
      <c r="F130" s="2"/>
      <c r="G130" s="2"/>
    </row>
    <row r="131" spans="1:7" x14ac:dyDescent="0.3">
      <c r="A131" s="18" t="s">
        <v>245</v>
      </c>
      <c r="B131" s="5" t="s">
        <v>247</v>
      </c>
      <c r="C131" s="6">
        <v>29.682000000000002</v>
      </c>
      <c r="D131" s="7"/>
      <c r="E131" s="19">
        <f t="shared" si="1"/>
        <v>0</v>
      </c>
      <c r="F131" s="2"/>
      <c r="G131" s="2"/>
    </row>
    <row r="132" spans="1:7" x14ac:dyDescent="0.3">
      <c r="A132" s="18" t="s">
        <v>245</v>
      </c>
      <c r="B132" s="5" t="s">
        <v>248</v>
      </c>
      <c r="C132" s="6">
        <v>49.151249999999997</v>
      </c>
      <c r="D132" s="7"/>
      <c r="E132" s="19">
        <f t="shared" ref="E132:E195" si="2">D132*C132</f>
        <v>0</v>
      </c>
      <c r="F132" s="2"/>
      <c r="G132" s="2"/>
    </row>
    <row r="133" spans="1:7" x14ac:dyDescent="0.3">
      <c r="A133" s="18" t="s">
        <v>245</v>
      </c>
      <c r="B133" s="5" t="s">
        <v>249</v>
      </c>
      <c r="C133" s="6">
        <v>28.470749999999999</v>
      </c>
      <c r="D133" s="7"/>
      <c r="E133" s="19">
        <f t="shared" si="2"/>
        <v>0</v>
      </c>
      <c r="F133" s="2"/>
      <c r="G133" s="2"/>
    </row>
    <row r="134" spans="1:7" x14ac:dyDescent="0.3">
      <c r="A134" s="18" t="s">
        <v>250</v>
      </c>
      <c r="B134" s="5" t="s">
        <v>251</v>
      </c>
      <c r="C134" s="6">
        <v>11.831999999999999</v>
      </c>
      <c r="D134" s="7"/>
      <c r="E134" s="19">
        <f t="shared" si="2"/>
        <v>0</v>
      </c>
      <c r="F134" s="2"/>
      <c r="G134" s="2"/>
    </row>
    <row r="135" spans="1:7" x14ac:dyDescent="0.3">
      <c r="A135" s="18" t="s">
        <v>252</v>
      </c>
      <c r="B135" s="5" t="s">
        <v>253</v>
      </c>
      <c r="C135" s="6">
        <v>44.599499999999992</v>
      </c>
      <c r="D135" s="7"/>
      <c r="E135" s="19">
        <f t="shared" si="2"/>
        <v>0</v>
      </c>
      <c r="F135" s="2"/>
      <c r="G135" s="2"/>
    </row>
    <row r="136" spans="1:7" x14ac:dyDescent="0.3">
      <c r="A136" s="18" t="s">
        <v>254</v>
      </c>
      <c r="B136" s="5" t="s">
        <v>255</v>
      </c>
      <c r="C136" s="6">
        <v>33.29025</v>
      </c>
      <c r="D136" s="7"/>
      <c r="E136" s="19">
        <f t="shared" si="2"/>
        <v>0</v>
      </c>
      <c r="F136" s="2"/>
      <c r="G136" s="2"/>
    </row>
    <row r="137" spans="1:7" x14ac:dyDescent="0.3">
      <c r="A137" s="18" t="s">
        <v>256</v>
      </c>
      <c r="B137" s="5" t="s">
        <v>257</v>
      </c>
      <c r="C137" s="6">
        <v>37.497749999999996</v>
      </c>
      <c r="D137" s="7"/>
      <c r="E137" s="19">
        <f t="shared" si="2"/>
        <v>0</v>
      </c>
      <c r="F137" s="2"/>
      <c r="G137" s="2"/>
    </row>
    <row r="138" spans="1:7" x14ac:dyDescent="0.3">
      <c r="A138" s="18" t="s">
        <v>258</v>
      </c>
      <c r="B138" s="5" t="s">
        <v>259</v>
      </c>
      <c r="C138" s="6">
        <v>52.491750000000003</v>
      </c>
      <c r="D138" s="7"/>
      <c r="E138" s="19">
        <f t="shared" si="2"/>
        <v>0</v>
      </c>
      <c r="F138" s="2"/>
      <c r="G138" s="2"/>
    </row>
    <row r="139" spans="1:7" x14ac:dyDescent="0.3">
      <c r="A139" s="18" t="s">
        <v>260</v>
      </c>
      <c r="B139" s="5" t="s">
        <v>261</v>
      </c>
      <c r="C139" s="6">
        <v>35.585249999999995</v>
      </c>
      <c r="D139" s="7"/>
      <c r="E139" s="19">
        <f t="shared" si="2"/>
        <v>0</v>
      </c>
      <c r="F139" s="2"/>
      <c r="G139" s="2"/>
    </row>
    <row r="140" spans="1:7" x14ac:dyDescent="0.3">
      <c r="A140" s="18" t="s">
        <v>262</v>
      </c>
      <c r="B140" s="5" t="s">
        <v>263</v>
      </c>
      <c r="C140" s="6">
        <v>29.312249999999999</v>
      </c>
      <c r="D140" s="7"/>
      <c r="E140" s="19">
        <f t="shared" si="2"/>
        <v>0</v>
      </c>
      <c r="F140" s="2"/>
      <c r="G140" s="2"/>
    </row>
    <row r="141" spans="1:7" x14ac:dyDescent="0.3">
      <c r="A141" s="18" t="s">
        <v>262</v>
      </c>
      <c r="B141" s="5" t="s">
        <v>264</v>
      </c>
      <c r="C141" s="6">
        <v>54.557249999999996</v>
      </c>
      <c r="D141" s="7"/>
      <c r="E141" s="19">
        <f t="shared" si="2"/>
        <v>0</v>
      </c>
      <c r="F141" s="2"/>
      <c r="G141" s="2"/>
    </row>
    <row r="142" spans="1:7" x14ac:dyDescent="0.3">
      <c r="A142" s="18" t="s">
        <v>265</v>
      </c>
      <c r="B142" s="5" t="s">
        <v>266</v>
      </c>
      <c r="C142" s="6">
        <v>8.3895</v>
      </c>
      <c r="D142" s="7"/>
      <c r="E142" s="19">
        <f t="shared" si="2"/>
        <v>0</v>
      </c>
      <c r="F142" s="2"/>
      <c r="G142" s="2"/>
    </row>
    <row r="143" spans="1:7" x14ac:dyDescent="0.3">
      <c r="A143" s="18" t="s">
        <v>265</v>
      </c>
      <c r="B143" s="5" t="s">
        <v>267</v>
      </c>
      <c r="C143" s="6">
        <v>15.452999999999999</v>
      </c>
      <c r="D143" s="7"/>
      <c r="E143" s="19">
        <f t="shared" si="2"/>
        <v>0</v>
      </c>
      <c r="F143" s="2"/>
      <c r="G143" s="2"/>
    </row>
    <row r="144" spans="1:7" x14ac:dyDescent="0.3">
      <c r="A144" s="18" t="s">
        <v>268</v>
      </c>
      <c r="B144" s="5" t="s">
        <v>269</v>
      </c>
      <c r="C144" s="6">
        <v>54.327749999999995</v>
      </c>
      <c r="D144" s="7"/>
      <c r="E144" s="19">
        <f t="shared" si="2"/>
        <v>0</v>
      </c>
      <c r="F144" s="2"/>
      <c r="G144" s="2"/>
    </row>
    <row r="145" spans="1:7" x14ac:dyDescent="0.3">
      <c r="A145" s="18" t="s">
        <v>270</v>
      </c>
      <c r="B145" s="5" t="s">
        <v>271</v>
      </c>
      <c r="C145" s="6">
        <v>35.100750000000005</v>
      </c>
      <c r="D145" s="7"/>
      <c r="E145" s="19">
        <f t="shared" si="2"/>
        <v>0</v>
      </c>
      <c r="F145" s="2"/>
      <c r="G145" s="2"/>
    </row>
    <row r="146" spans="1:7" x14ac:dyDescent="0.3">
      <c r="A146" s="18" t="s">
        <v>272</v>
      </c>
      <c r="B146" s="5" t="s">
        <v>273</v>
      </c>
      <c r="C146" s="6">
        <v>39.155250000000002</v>
      </c>
      <c r="D146" s="7"/>
      <c r="E146" s="19">
        <f t="shared" si="2"/>
        <v>0</v>
      </c>
      <c r="F146" s="2"/>
      <c r="G146" s="2"/>
    </row>
    <row r="147" spans="1:7" x14ac:dyDescent="0.3">
      <c r="A147" s="18" t="s">
        <v>274</v>
      </c>
      <c r="B147" s="5" t="s">
        <v>275</v>
      </c>
      <c r="C147" s="6">
        <v>8.8739999999999988</v>
      </c>
      <c r="D147" s="7"/>
      <c r="E147" s="19">
        <f t="shared" si="2"/>
        <v>0</v>
      </c>
      <c r="F147" s="2"/>
      <c r="G147" s="2"/>
    </row>
    <row r="148" spans="1:7" x14ac:dyDescent="0.3">
      <c r="A148" s="18" t="s">
        <v>276</v>
      </c>
      <c r="B148" s="5" t="s">
        <v>277</v>
      </c>
      <c r="C148" s="6">
        <v>14.67525</v>
      </c>
      <c r="D148" s="7"/>
      <c r="E148" s="19">
        <f t="shared" si="2"/>
        <v>0</v>
      </c>
      <c r="F148" s="2"/>
      <c r="G148" s="2"/>
    </row>
    <row r="149" spans="1:7" x14ac:dyDescent="0.3">
      <c r="A149" s="18" t="s">
        <v>278</v>
      </c>
      <c r="B149" s="5" t="s">
        <v>279</v>
      </c>
      <c r="C149" s="6">
        <v>19.622250000000001</v>
      </c>
      <c r="D149" s="7"/>
      <c r="E149" s="19">
        <f t="shared" si="2"/>
        <v>0</v>
      </c>
      <c r="F149" s="2"/>
      <c r="G149" s="2"/>
    </row>
    <row r="150" spans="1:7" x14ac:dyDescent="0.3">
      <c r="A150" s="18" t="s">
        <v>280</v>
      </c>
      <c r="B150" s="5" t="s">
        <v>281</v>
      </c>
      <c r="C150" s="6">
        <v>54.850499999999997</v>
      </c>
      <c r="D150" s="7"/>
      <c r="E150" s="19">
        <f t="shared" si="2"/>
        <v>0</v>
      </c>
      <c r="F150" s="2"/>
      <c r="G150" s="2"/>
    </row>
    <row r="151" spans="1:7" x14ac:dyDescent="0.3">
      <c r="A151" s="18" t="s">
        <v>282</v>
      </c>
      <c r="B151" s="5" t="s">
        <v>283</v>
      </c>
      <c r="C151" s="6">
        <v>16.766249999999999</v>
      </c>
      <c r="D151" s="7"/>
      <c r="E151" s="19">
        <f t="shared" si="2"/>
        <v>0</v>
      </c>
      <c r="F151" s="2"/>
      <c r="G151" s="2"/>
    </row>
    <row r="152" spans="1:7" x14ac:dyDescent="0.3">
      <c r="A152" s="18" t="s">
        <v>284</v>
      </c>
      <c r="B152" s="5" t="s">
        <v>285</v>
      </c>
      <c r="C152" s="6">
        <v>15.720749999999999</v>
      </c>
      <c r="D152" s="7"/>
      <c r="E152" s="19">
        <f t="shared" si="2"/>
        <v>0</v>
      </c>
      <c r="F152" s="2"/>
      <c r="G152" s="2"/>
    </row>
    <row r="153" spans="1:7" x14ac:dyDescent="0.3">
      <c r="A153" s="18" t="s">
        <v>286</v>
      </c>
      <c r="B153" s="5" t="s">
        <v>287</v>
      </c>
      <c r="C153" s="6">
        <v>35.075250000000004</v>
      </c>
      <c r="D153" s="7"/>
      <c r="E153" s="19">
        <f t="shared" si="2"/>
        <v>0</v>
      </c>
      <c r="F153" s="2"/>
      <c r="G153" s="2"/>
    </row>
    <row r="154" spans="1:7" x14ac:dyDescent="0.3">
      <c r="A154" s="18" t="s">
        <v>288</v>
      </c>
      <c r="B154" s="5" t="s">
        <v>289</v>
      </c>
      <c r="C154" s="6">
        <v>9.8047500000000003</v>
      </c>
      <c r="D154" s="7"/>
      <c r="E154" s="19">
        <f t="shared" si="2"/>
        <v>0</v>
      </c>
      <c r="F154" s="2"/>
      <c r="G154" s="2"/>
    </row>
    <row r="155" spans="1:7" x14ac:dyDescent="0.3">
      <c r="A155" s="18" t="s">
        <v>290</v>
      </c>
      <c r="B155" s="5" t="s">
        <v>291</v>
      </c>
      <c r="C155" s="6">
        <v>10.454999999999998</v>
      </c>
      <c r="D155" s="7"/>
      <c r="E155" s="19">
        <f t="shared" si="2"/>
        <v>0</v>
      </c>
      <c r="F155" s="2"/>
      <c r="G155" s="2"/>
    </row>
    <row r="156" spans="1:7" x14ac:dyDescent="0.3">
      <c r="A156" s="18" t="s">
        <v>292</v>
      </c>
      <c r="B156" s="5" t="s">
        <v>293</v>
      </c>
      <c r="C156" s="6">
        <v>16.625999999999998</v>
      </c>
      <c r="D156" s="7"/>
      <c r="E156" s="19">
        <f t="shared" si="2"/>
        <v>0</v>
      </c>
      <c r="F156" s="2"/>
      <c r="G156" s="2"/>
    </row>
    <row r="157" spans="1:7" x14ac:dyDescent="0.3">
      <c r="A157" s="18" t="s">
        <v>294</v>
      </c>
      <c r="B157" s="5" t="s">
        <v>295</v>
      </c>
      <c r="C157" s="6">
        <v>28.827749999999998</v>
      </c>
      <c r="D157" s="7"/>
      <c r="E157" s="19">
        <f t="shared" si="2"/>
        <v>0</v>
      </c>
      <c r="F157" s="2"/>
      <c r="G157" s="2"/>
    </row>
    <row r="158" spans="1:7" x14ac:dyDescent="0.3">
      <c r="A158" s="18" t="s">
        <v>296</v>
      </c>
      <c r="B158" s="5" t="s">
        <v>297</v>
      </c>
      <c r="C158" s="6">
        <v>12.890249999999998</v>
      </c>
      <c r="D158" s="7"/>
      <c r="E158" s="19">
        <f t="shared" si="2"/>
        <v>0</v>
      </c>
      <c r="F158" s="2"/>
      <c r="G158" s="2"/>
    </row>
    <row r="159" spans="1:7" x14ac:dyDescent="0.3">
      <c r="A159" s="18" t="s">
        <v>298</v>
      </c>
      <c r="B159" s="5" t="s">
        <v>299</v>
      </c>
      <c r="C159" s="6">
        <v>24.811500000000002</v>
      </c>
      <c r="D159" s="7"/>
      <c r="E159" s="19">
        <f t="shared" si="2"/>
        <v>0</v>
      </c>
      <c r="F159" s="2"/>
      <c r="G159" s="2"/>
    </row>
    <row r="160" spans="1:7" x14ac:dyDescent="0.3">
      <c r="A160" s="18" t="s">
        <v>300</v>
      </c>
      <c r="B160" s="5" t="s">
        <v>301</v>
      </c>
      <c r="C160" s="6">
        <v>40.532249999999998</v>
      </c>
      <c r="D160" s="7"/>
      <c r="E160" s="19">
        <f t="shared" si="2"/>
        <v>0</v>
      </c>
      <c r="F160" s="2"/>
      <c r="G160" s="2"/>
    </row>
    <row r="161" spans="1:7" x14ac:dyDescent="0.3">
      <c r="A161" s="18" t="s">
        <v>302</v>
      </c>
      <c r="B161" s="5" t="s">
        <v>303</v>
      </c>
      <c r="C161" s="6">
        <v>39.66525</v>
      </c>
      <c r="D161" s="7"/>
      <c r="E161" s="19">
        <f t="shared" si="2"/>
        <v>0</v>
      </c>
      <c r="F161" s="2"/>
      <c r="G161" s="2"/>
    </row>
    <row r="162" spans="1:7" x14ac:dyDescent="0.3">
      <c r="A162" s="18" t="s">
        <v>304</v>
      </c>
      <c r="B162" s="5" t="s">
        <v>305</v>
      </c>
      <c r="C162" s="6">
        <v>13.183499999999999</v>
      </c>
      <c r="D162" s="7"/>
      <c r="E162" s="19">
        <f t="shared" si="2"/>
        <v>0</v>
      </c>
      <c r="F162" s="2"/>
      <c r="G162" s="2"/>
    </row>
    <row r="163" spans="1:7" x14ac:dyDescent="0.3">
      <c r="A163" s="18" t="s">
        <v>306</v>
      </c>
      <c r="B163" s="5" t="s">
        <v>307</v>
      </c>
      <c r="C163" s="6">
        <v>38.454000000000001</v>
      </c>
      <c r="D163" s="7"/>
      <c r="E163" s="19">
        <f t="shared" si="2"/>
        <v>0</v>
      </c>
      <c r="F163" s="2"/>
      <c r="G163" s="2"/>
    </row>
    <row r="164" spans="1:7" x14ac:dyDescent="0.3">
      <c r="A164" s="18" t="s">
        <v>308</v>
      </c>
      <c r="B164" s="5" t="s">
        <v>309</v>
      </c>
      <c r="C164" s="6">
        <v>18.1815</v>
      </c>
      <c r="D164" s="7"/>
      <c r="E164" s="19">
        <f t="shared" si="2"/>
        <v>0</v>
      </c>
      <c r="F164" s="2"/>
      <c r="G164" s="2"/>
    </row>
    <row r="165" spans="1:7" x14ac:dyDescent="0.3">
      <c r="A165" s="18" t="s">
        <v>308</v>
      </c>
      <c r="B165" s="5" t="s">
        <v>310</v>
      </c>
      <c r="C165" s="6">
        <v>34.539749999999998</v>
      </c>
      <c r="D165" s="7"/>
      <c r="E165" s="19">
        <f t="shared" si="2"/>
        <v>0</v>
      </c>
      <c r="F165" s="2"/>
      <c r="G165" s="2"/>
    </row>
    <row r="166" spans="1:7" x14ac:dyDescent="0.3">
      <c r="A166" s="18" t="s">
        <v>311</v>
      </c>
      <c r="B166" s="5" t="s">
        <v>312</v>
      </c>
      <c r="C166" s="6">
        <v>21.6495</v>
      </c>
      <c r="D166" s="7"/>
      <c r="E166" s="19">
        <f t="shared" si="2"/>
        <v>0</v>
      </c>
      <c r="F166" s="2"/>
      <c r="G166" s="2"/>
    </row>
    <row r="167" spans="1:7" x14ac:dyDescent="0.3">
      <c r="A167" s="18" t="s">
        <v>311</v>
      </c>
      <c r="B167" s="5" t="s">
        <v>313</v>
      </c>
      <c r="C167" s="6">
        <v>35.075250000000004</v>
      </c>
      <c r="D167" s="7"/>
      <c r="E167" s="19">
        <f t="shared" si="2"/>
        <v>0</v>
      </c>
      <c r="F167" s="2"/>
      <c r="G167" s="2"/>
    </row>
    <row r="168" spans="1:7" x14ac:dyDescent="0.3">
      <c r="A168" s="18" t="s">
        <v>314</v>
      </c>
      <c r="B168" s="5" t="s">
        <v>315</v>
      </c>
      <c r="C168" s="6">
        <v>13.527749999999999</v>
      </c>
      <c r="D168" s="7"/>
      <c r="E168" s="19">
        <f t="shared" si="2"/>
        <v>0</v>
      </c>
      <c r="F168" s="2"/>
      <c r="G168" s="2"/>
    </row>
    <row r="169" spans="1:7" x14ac:dyDescent="0.3">
      <c r="A169" s="18" t="s">
        <v>314</v>
      </c>
      <c r="B169" s="5" t="s">
        <v>316</v>
      </c>
      <c r="C169" s="6">
        <v>24.097500000000004</v>
      </c>
      <c r="D169" s="7"/>
      <c r="E169" s="19">
        <f t="shared" si="2"/>
        <v>0</v>
      </c>
      <c r="F169" s="2"/>
      <c r="G169" s="2"/>
    </row>
    <row r="170" spans="1:7" x14ac:dyDescent="0.3">
      <c r="A170" s="18" t="s">
        <v>317</v>
      </c>
      <c r="B170" s="5" t="s">
        <v>318</v>
      </c>
      <c r="C170" s="6">
        <v>19.11225</v>
      </c>
      <c r="D170" s="7"/>
      <c r="E170" s="19">
        <f t="shared" si="2"/>
        <v>0</v>
      </c>
      <c r="F170" s="2"/>
      <c r="G170" s="2"/>
    </row>
    <row r="171" spans="1:7" x14ac:dyDescent="0.3">
      <c r="A171" s="18" t="s">
        <v>317</v>
      </c>
      <c r="B171" s="5" t="s">
        <v>319</v>
      </c>
      <c r="C171" s="6">
        <v>30.446999999999996</v>
      </c>
      <c r="D171" s="7"/>
      <c r="E171" s="19">
        <f t="shared" si="2"/>
        <v>0</v>
      </c>
      <c r="F171" s="2"/>
      <c r="G171" s="2"/>
    </row>
    <row r="172" spans="1:7" x14ac:dyDescent="0.3">
      <c r="A172" s="18" t="s">
        <v>320</v>
      </c>
      <c r="B172" s="5" t="s">
        <v>321</v>
      </c>
      <c r="C172" s="6">
        <v>27.03</v>
      </c>
      <c r="D172" s="7"/>
      <c r="E172" s="19">
        <f t="shared" si="2"/>
        <v>0</v>
      </c>
      <c r="F172" s="2"/>
      <c r="G172" s="2"/>
    </row>
    <row r="173" spans="1:7" x14ac:dyDescent="0.3">
      <c r="A173" s="18" t="s">
        <v>320</v>
      </c>
      <c r="B173" s="5" t="s">
        <v>322</v>
      </c>
      <c r="C173" s="6">
        <v>49.890749999999997</v>
      </c>
      <c r="D173" s="7"/>
      <c r="E173" s="19">
        <f t="shared" si="2"/>
        <v>0</v>
      </c>
      <c r="F173" s="2"/>
      <c r="G173" s="2"/>
    </row>
    <row r="174" spans="1:7" x14ac:dyDescent="0.3">
      <c r="A174" s="18" t="s">
        <v>323</v>
      </c>
      <c r="B174" s="5" t="s">
        <v>324</v>
      </c>
      <c r="C174" s="6">
        <v>32.015249999999995</v>
      </c>
      <c r="D174" s="7"/>
      <c r="E174" s="19">
        <f t="shared" si="2"/>
        <v>0</v>
      </c>
      <c r="F174" s="2"/>
      <c r="G174" s="2"/>
    </row>
    <row r="175" spans="1:7" x14ac:dyDescent="0.3">
      <c r="A175" s="18" t="s">
        <v>325</v>
      </c>
      <c r="B175" s="5" t="s">
        <v>326</v>
      </c>
      <c r="C175" s="6">
        <v>21.980999999999998</v>
      </c>
      <c r="D175" s="7"/>
      <c r="E175" s="19">
        <f t="shared" si="2"/>
        <v>0</v>
      </c>
      <c r="F175" s="2"/>
      <c r="G175" s="2"/>
    </row>
    <row r="176" spans="1:7" x14ac:dyDescent="0.3">
      <c r="A176" s="18" t="s">
        <v>325</v>
      </c>
      <c r="B176" s="5" t="s">
        <v>327</v>
      </c>
      <c r="C176" s="6">
        <v>39.448499999999996</v>
      </c>
      <c r="D176" s="7"/>
      <c r="E176" s="19">
        <f t="shared" si="2"/>
        <v>0</v>
      </c>
      <c r="F176" s="2"/>
      <c r="G176" s="2"/>
    </row>
    <row r="177" spans="1:7" x14ac:dyDescent="0.3">
      <c r="A177" s="18" t="s">
        <v>328</v>
      </c>
      <c r="B177" s="5" t="s">
        <v>329</v>
      </c>
      <c r="C177" s="6">
        <v>13.004999999999999</v>
      </c>
      <c r="D177" s="7"/>
      <c r="E177" s="19">
        <f t="shared" si="2"/>
        <v>0</v>
      </c>
      <c r="F177" s="2"/>
      <c r="G177" s="2"/>
    </row>
    <row r="178" spans="1:7" x14ac:dyDescent="0.3">
      <c r="A178" s="18" t="s">
        <v>330</v>
      </c>
      <c r="B178" s="5" t="s">
        <v>331</v>
      </c>
      <c r="C178" s="6">
        <v>42.393749999999997</v>
      </c>
      <c r="D178" s="7"/>
      <c r="E178" s="19">
        <f t="shared" si="2"/>
        <v>0</v>
      </c>
      <c r="F178" s="2"/>
      <c r="G178" s="2"/>
    </row>
    <row r="179" spans="1:7" x14ac:dyDescent="0.3">
      <c r="A179" s="18" t="s">
        <v>332</v>
      </c>
      <c r="B179" s="5" t="s">
        <v>333</v>
      </c>
      <c r="C179" s="6">
        <v>24.862499999999997</v>
      </c>
      <c r="D179" s="7"/>
      <c r="E179" s="19">
        <f t="shared" si="2"/>
        <v>0</v>
      </c>
      <c r="F179" s="2"/>
      <c r="G179" s="2"/>
    </row>
    <row r="180" spans="1:7" x14ac:dyDescent="0.3">
      <c r="A180" s="18" t="s">
        <v>334</v>
      </c>
      <c r="B180" s="5" t="s">
        <v>335</v>
      </c>
      <c r="C180" s="6">
        <v>29.758499999999998</v>
      </c>
      <c r="D180" s="7"/>
      <c r="E180" s="19">
        <f t="shared" si="2"/>
        <v>0</v>
      </c>
      <c r="F180" s="2"/>
      <c r="G180" s="2"/>
    </row>
    <row r="181" spans="1:7" x14ac:dyDescent="0.3">
      <c r="A181" s="18" t="s">
        <v>334</v>
      </c>
      <c r="B181" s="5" t="s">
        <v>336</v>
      </c>
      <c r="C181" s="6">
        <v>49.572000000000003</v>
      </c>
      <c r="D181" s="7"/>
      <c r="E181" s="19">
        <f t="shared" si="2"/>
        <v>0</v>
      </c>
      <c r="F181" s="2"/>
      <c r="G181" s="2"/>
    </row>
    <row r="182" spans="1:7" x14ac:dyDescent="0.3">
      <c r="A182" s="18" t="s">
        <v>337</v>
      </c>
      <c r="B182" s="5" t="s">
        <v>338</v>
      </c>
      <c r="C182" s="6">
        <v>12.061500000000001</v>
      </c>
      <c r="D182" s="7"/>
      <c r="E182" s="19">
        <f t="shared" si="2"/>
        <v>0</v>
      </c>
      <c r="F182" s="2"/>
      <c r="G182" s="2"/>
    </row>
    <row r="183" spans="1:7" x14ac:dyDescent="0.3">
      <c r="A183" s="18" t="s">
        <v>339</v>
      </c>
      <c r="B183" s="5" t="s">
        <v>340</v>
      </c>
      <c r="C183" s="6">
        <v>31.887750000000004</v>
      </c>
      <c r="D183" s="7"/>
      <c r="E183" s="19">
        <f t="shared" si="2"/>
        <v>0</v>
      </c>
      <c r="F183" s="2"/>
      <c r="G183" s="2"/>
    </row>
    <row r="184" spans="1:7" x14ac:dyDescent="0.3">
      <c r="A184" s="18" t="s">
        <v>341</v>
      </c>
      <c r="B184" s="5" t="s">
        <v>342</v>
      </c>
      <c r="C184" s="6">
        <v>31.734750000000002</v>
      </c>
      <c r="D184" s="7"/>
      <c r="E184" s="19">
        <f t="shared" si="2"/>
        <v>0</v>
      </c>
      <c r="F184" s="2"/>
      <c r="G184" s="2"/>
    </row>
    <row r="185" spans="1:7" x14ac:dyDescent="0.3">
      <c r="A185" s="18" t="s">
        <v>341</v>
      </c>
      <c r="B185" s="5" t="s">
        <v>343</v>
      </c>
      <c r="C185" s="6">
        <v>18.818999999999999</v>
      </c>
      <c r="D185" s="7"/>
      <c r="E185" s="19">
        <f t="shared" si="2"/>
        <v>0</v>
      </c>
      <c r="F185" s="2"/>
      <c r="G185" s="2"/>
    </row>
    <row r="186" spans="1:7" x14ac:dyDescent="0.3">
      <c r="A186" s="18" t="s">
        <v>344</v>
      </c>
      <c r="B186" s="5" t="s">
        <v>345</v>
      </c>
      <c r="C186" s="6">
        <v>27.795000000000002</v>
      </c>
      <c r="D186" s="7"/>
      <c r="E186" s="19">
        <f t="shared" si="2"/>
        <v>0</v>
      </c>
      <c r="F186" s="2"/>
      <c r="G186" s="2"/>
    </row>
    <row r="187" spans="1:7" x14ac:dyDescent="0.3">
      <c r="A187" s="18" t="s">
        <v>346</v>
      </c>
      <c r="B187" s="5" t="s">
        <v>347</v>
      </c>
      <c r="C187" s="6">
        <v>27.795000000000002</v>
      </c>
      <c r="D187" s="7"/>
      <c r="E187" s="19">
        <f t="shared" si="2"/>
        <v>0</v>
      </c>
      <c r="F187" s="2"/>
      <c r="G187" s="2"/>
    </row>
    <row r="188" spans="1:7" x14ac:dyDescent="0.3">
      <c r="A188" s="18" t="s">
        <v>348</v>
      </c>
      <c r="B188" s="5" t="s">
        <v>349</v>
      </c>
      <c r="C188" s="6">
        <v>14.79</v>
      </c>
      <c r="D188" s="7"/>
      <c r="E188" s="19">
        <f t="shared" si="2"/>
        <v>0</v>
      </c>
      <c r="F188" s="2"/>
      <c r="G188" s="2"/>
    </row>
    <row r="189" spans="1:7" x14ac:dyDescent="0.3">
      <c r="A189" s="18" t="s">
        <v>350</v>
      </c>
      <c r="B189" s="5" t="s">
        <v>351</v>
      </c>
      <c r="C189" s="6">
        <v>6.9232499999999995</v>
      </c>
      <c r="D189" s="7"/>
      <c r="E189" s="19">
        <f t="shared" si="2"/>
        <v>0</v>
      </c>
      <c r="F189" s="2"/>
      <c r="G189" s="2"/>
    </row>
    <row r="190" spans="1:7" x14ac:dyDescent="0.3">
      <c r="A190" s="18" t="s">
        <v>352</v>
      </c>
      <c r="B190" s="5" t="s">
        <v>353</v>
      </c>
      <c r="C190" s="6">
        <v>35.865749999999998</v>
      </c>
      <c r="D190" s="7"/>
      <c r="E190" s="19">
        <f t="shared" si="2"/>
        <v>0</v>
      </c>
      <c r="F190" s="2"/>
      <c r="G190" s="2"/>
    </row>
    <row r="191" spans="1:7" x14ac:dyDescent="0.3">
      <c r="A191" s="18" t="s">
        <v>354</v>
      </c>
      <c r="B191" s="5" t="s">
        <v>355</v>
      </c>
      <c r="C191" s="6">
        <v>34.399500000000003</v>
      </c>
      <c r="D191" s="7"/>
      <c r="E191" s="19">
        <f t="shared" si="2"/>
        <v>0</v>
      </c>
      <c r="F191" s="2"/>
      <c r="G191" s="2"/>
    </row>
    <row r="192" spans="1:7" x14ac:dyDescent="0.3">
      <c r="A192" s="18" t="s">
        <v>356</v>
      </c>
      <c r="B192" s="5" t="s">
        <v>357</v>
      </c>
      <c r="C192" s="6">
        <v>35.865749999999998</v>
      </c>
      <c r="D192" s="7"/>
      <c r="E192" s="19">
        <f t="shared" si="2"/>
        <v>0</v>
      </c>
      <c r="F192" s="2"/>
      <c r="G192" s="2"/>
    </row>
    <row r="193" spans="1:7" x14ac:dyDescent="0.3">
      <c r="A193" s="18" t="s">
        <v>358</v>
      </c>
      <c r="B193" s="5" t="s">
        <v>359</v>
      </c>
      <c r="C193" s="6">
        <v>13.821000000000002</v>
      </c>
      <c r="D193" s="7"/>
      <c r="E193" s="19">
        <f t="shared" si="2"/>
        <v>0</v>
      </c>
      <c r="F193" s="2"/>
      <c r="G193" s="2"/>
    </row>
    <row r="194" spans="1:7" x14ac:dyDescent="0.3">
      <c r="A194" s="18" t="s">
        <v>360</v>
      </c>
      <c r="B194" s="5" t="s">
        <v>361</v>
      </c>
      <c r="C194" s="6">
        <v>29.312249999999999</v>
      </c>
      <c r="D194" s="7"/>
      <c r="E194" s="19">
        <f t="shared" si="2"/>
        <v>0</v>
      </c>
      <c r="F194" s="2"/>
      <c r="G194" s="2"/>
    </row>
    <row r="195" spans="1:7" x14ac:dyDescent="0.3">
      <c r="A195" s="18" t="s">
        <v>360</v>
      </c>
      <c r="B195" s="5" t="s">
        <v>362</v>
      </c>
      <c r="C195" s="6">
        <v>50.694000000000003</v>
      </c>
      <c r="D195" s="7"/>
      <c r="E195" s="19">
        <f t="shared" si="2"/>
        <v>0</v>
      </c>
      <c r="F195" s="2"/>
      <c r="G195" s="2"/>
    </row>
    <row r="196" spans="1:7" x14ac:dyDescent="0.3">
      <c r="A196" s="18" t="s">
        <v>363</v>
      </c>
      <c r="B196" s="5" t="s">
        <v>364</v>
      </c>
      <c r="C196" s="6">
        <v>36.758249999999997</v>
      </c>
      <c r="D196" s="7"/>
      <c r="E196" s="19">
        <f t="shared" ref="E196:E229" si="3">D196*C196</f>
        <v>0</v>
      </c>
      <c r="F196" s="2"/>
      <c r="G196" s="2"/>
    </row>
    <row r="197" spans="1:7" x14ac:dyDescent="0.3">
      <c r="A197" s="18" t="s">
        <v>365</v>
      </c>
      <c r="B197" s="5" t="s">
        <v>366</v>
      </c>
      <c r="C197" s="6">
        <v>226.5675</v>
      </c>
      <c r="D197" s="7"/>
      <c r="E197" s="19">
        <f t="shared" si="3"/>
        <v>0</v>
      </c>
      <c r="F197" s="2"/>
      <c r="G197" s="2"/>
    </row>
    <row r="198" spans="1:7" x14ac:dyDescent="0.3">
      <c r="A198" s="18" t="s">
        <v>367</v>
      </c>
      <c r="B198" s="5" t="s">
        <v>368</v>
      </c>
      <c r="C198" s="6">
        <v>31.0335</v>
      </c>
      <c r="D198" s="7"/>
      <c r="E198" s="19">
        <f t="shared" si="3"/>
        <v>0</v>
      </c>
      <c r="F198" s="2"/>
      <c r="G198" s="2"/>
    </row>
    <row r="199" spans="1:7" x14ac:dyDescent="0.3">
      <c r="A199" s="18" t="s">
        <v>367</v>
      </c>
      <c r="B199" s="5" t="s">
        <v>369</v>
      </c>
      <c r="C199" s="6">
        <v>54.621000000000002</v>
      </c>
      <c r="D199" s="7"/>
      <c r="E199" s="19">
        <f t="shared" si="3"/>
        <v>0</v>
      </c>
      <c r="F199" s="2"/>
      <c r="G199" s="2"/>
    </row>
    <row r="200" spans="1:7" x14ac:dyDescent="0.3">
      <c r="A200" s="18" t="s">
        <v>370</v>
      </c>
      <c r="B200" s="5" t="s">
        <v>371</v>
      </c>
      <c r="C200" s="6">
        <v>38.084250000000004</v>
      </c>
      <c r="D200" s="7"/>
      <c r="E200" s="19">
        <f t="shared" si="3"/>
        <v>0</v>
      </c>
      <c r="F200" s="2"/>
      <c r="G200" s="2"/>
    </row>
    <row r="201" spans="1:7" x14ac:dyDescent="0.3">
      <c r="A201" s="18" t="s">
        <v>372</v>
      </c>
      <c r="B201" s="5" t="s">
        <v>373</v>
      </c>
      <c r="C201" s="6">
        <v>38.740875000000003</v>
      </c>
      <c r="D201" s="7"/>
      <c r="E201" s="19">
        <f t="shared" si="3"/>
        <v>0</v>
      </c>
      <c r="F201" s="2"/>
      <c r="G201" s="2"/>
    </row>
    <row r="202" spans="1:7" x14ac:dyDescent="0.3">
      <c r="A202" s="18" t="s">
        <v>374</v>
      </c>
      <c r="B202" s="5" t="s">
        <v>375</v>
      </c>
      <c r="C202" s="6">
        <v>39.206249999999997</v>
      </c>
      <c r="D202" s="7"/>
      <c r="E202" s="19">
        <f t="shared" si="3"/>
        <v>0</v>
      </c>
      <c r="F202" s="2"/>
      <c r="G202" s="2"/>
    </row>
    <row r="203" spans="1:7" x14ac:dyDescent="0.3">
      <c r="A203" s="18" t="s">
        <v>376</v>
      </c>
      <c r="B203" s="5" t="s">
        <v>377</v>
      </c>
      <c r="C203" s="6">
        <v>37.115249999999996</v>
      </c>
      <c r="D203" s="7"/>
      <c r="E203" s="19">
        <f t="shared" si="3"/>
        <v>0</v>
      </c>
      <c r="F203" s="2"/>
      <c r="G203" s="2"/>
    </row>
    <row r="204" spans="1:7" x14ac:dyDescent="0.3">
      <c r="A204" s="18" t="s">
        <v>378</v>
      </c>
      <c r="B204" s="5" t="s">
        <v>379</v>
      </c>
      <c r="C204" s="6">
        <v>30.45975</v>
      </c>
      <c r="D204" s="7"/>
      <c r="E204" s="19">
        <f t="shared" si="3"/>
        <v>0</v>
      </c>
      <c r="F204" s="2"/>
      <c r="G204" s="2"/>
    </row>
    <row r="205" spans="1:7" x14ac:dyDescent="0.3">
      <c r="A205" s="18" t="s">
        <v>378</v>
      </c>
      <c r="B205" s="5" t="s">
        <v>380</v>
      </c>
      <c r="C205" s="6">
        <v>53.065499999999993</v>
      </c>
      <c r="D205" s="7"/>
      <c r="E205" s="19">
        <f t="shared" si="3"/>
        <v>0</v>
      </c>
      <c r="F205" s="2"/>
      <c r="G205" s="2"/>
    </row>
    <row r="206" spans="1:7" x14ac:dyDescent="0.3">
      <c r="A206" s="18" t="s">
        <v>381</v>
      </c>
      <c r="B206" s="5" t="s">
        <v>382</v>
      </c>
      <c r="C206" s="6">
        <v>27.335999999999999</v>
      </c>
      <c r="D206" s="7"/>
      <c r="E206" s="19">
        <f t="shared" si="3"/>
        <v>0</v>
      </c>
      <c r="F206" s="2"/>
      <c r="G206" s="2"/>
    </row>
    <row r="207" spans="1:7" x14ac:dyDescent="0.3">
      <c r="A207" s="18" t="s">
        <v>383</v>
      </c>
      <c r="B207" s="5" t="s">
        <v>384</v>
      </c>
      <c r="C207" s="6">
        <v>26.316000000000003</v>
      </c>
      <c r="D207" s="7"/>
      <c r="E207" s="19">
        <f t="shared" si="3"/>
        <v>0</v>
      </c>
      <c r="F207" s="2"/>
      <c r="G207" s="2"/>
    </row>
    <row r="208" spans="1:7" x14ac:dyDescent="0.3">
      <c r="A208" s="18" t="s">
        <v>385</v>
      </c>
      <c r="B208" s="5" t="s">
        <v>386</v>
      </c>
      <c r="C208" s="6">
        <v>21.980999999999998</v>
      </c>
      <c r="D208" s="7"/>
      <c r="E208" s="19">
        <f t="shared" si="3"/>
        <v>0</v>
      </c>
      <c r="F208" s="2"/>
      <c r="G208" s="2"/>
    </row>
    <row r="209" spans="1:7" x14ac:dyDescent="0.3">
      <c r="A209" s="18" t="s">
        <v>387</v>
      </c>
      <c r="B209" s="5" t="s">
        <v>388</v>
      </c>
      <c r="C209" s="6">
        <v>27.616500000000002</v>
      </c>
      <c r="D209" s="7"/>
      <c r="E209" s="19">
        <f t="shared" si="3"/>
        <v>0</v>
      </c>
      <c r="F209" s="2"/>
      <c r="G209" s="2"/>
    </row>
    <row r="210" spans="1:7" x14ac:dyDescent="0.3">
      <c r="A210" s="18" t="s">
        <v>389</v>
      </c>
      <c r="B210" s="5" t="s">
        <v>390</v>
      </c>
      <c r="C210" s="6">
        <v>57.247500000000002</v>
      </c>
      <c r="D210" s="7"/>
      <c r="E210" s="19">
        <f t="shared" si="3"/>
        <v>0</v>
      </c>
      <c r="F210" s="2"/>
      <c r="G210" s="2"/>
    </row>
    <row r="211" spans="1:7" x14ac:dyDescent="0.3">
      <c r="A211" s="18" t="s">
        <v>391</v>
      </c>
      <c r="B211" s="5" t="s">
        <v>392</v>
      </c>
      <c r="C211" s="6">
        <v>34.17</v>
      </c>
      <c r="D211" s="7"/>
      <c r="E211" s="19">
        <f t="shared" si="3"/>
        <v>0</v>
      </c>
      <c r="F211" s="2"/>
      <c r="G211" s="2"/>
    </row>
    <row r="212" spans="1:7" x14ac:dyDescent="0.3">
      <c r="A212" s="18" t="s">
        <v>393</v>
      </c>
      <c r="B212" s="5" t="s">
        <v>394</v>
      </c>
      <c r="C212" s="6">
        <v>33.455999999999996</v>
      </c>
      <c r="D212" s="7"/>
      <c r="E212" s="19">
        <f t="shared" si="3"/>
        <v>0</v>
      </c>
      <c r="F212" s="2"/>
      <c r="G212" s="2"/>
    </row>
    <row r="213" spans="1:7" x14ac:dyDescent="0.3">
      <c r="A213" s="18" t="s">
        <v>395</v>
      </c>
      <c r="B213" s="5" t="s">
        <v>396</v>
      </c>
      <c r="C213" s="6">
        <v>31.084499999999998</v>
      </c>
      <c r="D213" s="7"/>
      <c r="E213" s="19">
        <f t="shared" si="3"/>
        <v>0</v>
      </c>
      <c r="F213" s="2"/>
      <c r="G213" s="2"/>
    </row>
    <row r="214" spans="1:7" x14ac:dyDescent="0.3">
      <c r="A214" s="18" t="s">
        <v>397</v>
      </c>
      <c r="B214" s="5" t="s">
        <v>398</v>
      </c>
      <c r="C214" s="6">
        <v>18.1815</v>
      </c>
      <c r="D214" s="7"/>
      <c r="E214" s="19">
        <f t="shared" si="3"/>
        <v>0</v>
      </c>
      <c r="F214" s="2"/>
      <c r="G214" s="2"/>
    </row>
    <row r="215" spans="1:7" x14ac:dyDescent="0.3">
      <c r="A215" s="18" t="s">
        <v>399</v>
      </c>
      <c r="B215" s="5" t="s">
        <v>400</v>
      </c>
      <c r="C215" s="6">
        <v>31.243874999999996</v>
      </c>
      <c r="D215" s="7"/>
      <c r="E215" s="19">
        <f t="shared" si="3"/>
        <v>0</v>
      </c>
      <c r="F215" s="2"/>
      <c r="G215" s="2"/>
    </row>
    <row r="216" spans="1:7" x14ac:dyDescent="0.3">
      <c r="A216" s="18" t="s">
        <v>399</v>
      </c>
      <c r="B216" s="5" t="s">
        <v>401</v>
      </c>
      <c r="C216" s="6">
        <v>57.476999999999997</v>
      </c>
      <c r="D216" s="7"/>
      <c r="E216" s="19">
        <f t="shared" si="3"/>
        <v>0</v>
      </c>
      <c r="F216" s="2"/>
      <c r="G216" s="2"/>
    </row>
    <row r="217" spans="1:7" x14ac:dyDescent="0.3">
      <c r="A217" s="18" t="s">
        <v>402</v>
      </c>
      <c r="B217" s="5" t="s">
        <v>403</v>
      </c>
      <c r="C217" s="6">
        <v>26.2395</v>
      </c>
      <c r="D217" s="7"/>
      <c r="E217" s="19">
        <f t="shared" si="3"/>
        <v>0</v>
      </c>
      <c r="F217" s="2"/>
      <c r="G217" s="2"/>
    </row>
    <row r="218" spans="1:7" x14ac:dyDescent="0.3">
      <c r="A218" s="18" t="s">
        <v>404</v>
      </c>
      <c r="B218" s="5" t="s">
        <v>405</v>
      </c>
      <c r="C218" s="6">
        <v>15.720749999999999</v>
      </c>
      <c r="D218" s="7"/>
      <c r="E218" s="19">
        <f t="shared" si="3"/>
        <v>0</v>
      </c>
      <c r="F218" s="2"/>
      <c r="G218" s="2"/>
    </row>
    <row r="219" spans="1:7" x14ac:dyDescent="0.3">
      <c r="A219" s="18" t="s">
        <v>406</v>
      </c>
      <c r="B219" s="5" t="s">
        <v>407</v>
      </c>
      <c r="C219" s="6">
        <v>31.173749999999998</v>
      </c>
      <c r="D219" s="7"/>
      <c r="E219" s="19">
        <f t="shared" si="3"/>
        <v>0</v>
      </c>
      <c r="F219" s="2"/>
      <c r="G219" s="2"/>
    </row>
    <row r="220" spans="1:7" x14ac:dyDescent="0.3">
      <c r="A220" s="18" t="s">
        <v>406</v>
      </c>
      <c r="B220" s="5" t="s">
        <v>408</v>
      </c>
      <c r="C220" s="6">
        <v>49.151249999999997</v>
      </c>
      <c r="D220" s="7"/>
      <c r="E220" s="19">
        <f t="shared" si="3"/>
        <v>0</v>
      </c>
      <c r="F220" s="2"/>
      <c r="G220" s="2"/>
    </row>
    <row r="221" spans="1:7" x14ac:dyDescent="0.3">
      <c r="A221" s="18" t="s">
        <v>409</v>
      </c>
      <c r="B221" s="5" t="s">
        <v>410</v>
      </c>
      <c r="C221" s="6">
        <v>31.173749999999998</v>
      </c>
      <c r="D221" s="7"/>
      <c r="E221" s="19">
        <f t="shared" si="3"/>
        <v>0</v>
      </c>
      <c r="F221" s="2"/>
      <c r="G221" s="2"/>
    </row>
    <row r="222" spans="1:7" x14ac:dyDescent="0.3">
      <c r="A222" s="18" t="s">
        <v>409</v>
      </c>
      <c r="B222" s="5" t="s">
        <v>411</v>
      </c>
      <c r="C222" s="6">
        <v>49.151249999999997</v>
      </c>
      <c r="D222" s="7"/>
      <c r="E222" s="19">
        <f t="shared" si="3"/>
        <v>0</v>
      </c>
      <c r="F222" s="2"/>
      <c r="G222" s="2"/>
    </row>
    <row r="223" spans="1:7" x14ac:dyDescent="0.3">
      <c r="A223" s="18" t="s">
        <v>412</v>
      </c>
      <c r="B223" s="5" t="s">
        <v>413</v>
      </c>
      <c r="C223" s="6">
        <v>27.973500000000001</v>
      </c>
      <c r="D223" s="7"/>
      <c r="E223" s="19">
        <f t="shared" si="3"/>
        <v>0</v>
      </c>
      <c r="F223" s="2"/>
      <c r="G223" s="2"/>
    </row>
    <row r="224" spans="1:7" x14ac:dyDescent="0.3">
      <c r="A224" s="18" t="s">
        <v>414</v>
      </c>
      <c r="B224" s="5" t="s">
        <v>415</v>
      </c>
      <c r="C224" s="6">
        <v>13.374749999999999</v>
      </c>
      <c r="D224" s="7"/>
      <c r="E224" s="19">
        <f t="shared" si="3"/>
        <v>0</v>
      </c>
      <c r="F224" s="2"/>
      <c r="G224" s="2"/>
    </row>
    <row r="225" spans="1:7" x14ac:dyDescent="0.3">
      <c r="A225" s="18" t="s">
        <v>416</v>
      </c>
      <c r="B225" s="5" t="s">
        <v>417</v>
      </c>
      <c r="C225" s="6">
        <v>20.119499999999999</v>
      </c>
      <c r="D225" s="7"/>
      <c r="E225" s="19">
        <f t="shared" si="3"/>
        <v>0</v>
      </c>
      <c r="F225" s="2"/>
      <c r="G225" s="2"/>
    </row>
    <row r="226" spans="1:7" x14ac:dyDescent="0.3">
      <c r="A226" s="18" t="s">
        <v>418</v>
      </c>
      <c r="B226" s="5" t="s">
        <v>419</v>
      </c>
      <c r="C226" s="6">
        <v>21.534750000000003</v>
      </c>
      <c r="D226" s="7"/>
      <c r="E226" s="19">
        <f t="shared" si="3"/>
        <v>0</v>
      </c>
      <c r="F226" s="2"/>
      <c r="G226" s="2"/>
    </row>
    <row r="227" spans="1:7" x14ac:dyDescent="0.3">
      <c r="A227" s="18" t="s">
        <v>420</v>
      </c>
      <c r="B227" s="5" t="s">
        <v>421</v>
      </c>
      <c r="C227" s="6">
        <v>20.33625</v>
      </c>
      <c r="D227" s="7"/>
      <c r="E227" s="19">
        <f t="shared" si="3"/>
        <v>0</v>
      </c>
      <c r="F227" s="2"/>
      <c r="G227" s="2"/>
    </row>
    <row r="228" spans="1:7" x14ac:dyDescent="0.3">
      <c r="A228" s="18" t="s">
        <v>422</v>
      </c>
      <c r="B228" s="5" t="s">
        <v>423</v>
      </c>
      <c r="C228" s="6">
        <v>9.2309999999999999</v>
      </c>
      <c r="D228" s="7"/>
      <c r="E228" s="19">
        <f t="shared" si="3"/>
        <v>0</v>
      </c>
      <c r="F228" s="2"/>
      <c r="G228" s="2"/>
    </row>
    <row r="229" spans="1:7" ht="15" thickBot="1" x14ac:dyDescent="0.35">
      <c r="A229" s="21" t="s">
        <v>424</v>
      </c>
      <c r="B229" s="22" t="s">
        <v>425</v>
      </c>
      <c r="C229" s="23">
        <v>15.51675</v>
      </c>
      <c r="D229" s="24"/>
      <c r="E229" s="25">
        <f t="shared" si="3"/>
        <v>0</v>
      </c>
      <c r="F229" s="2"/>
      <c r="G229" s="2"/>
    </row>
    <row r="232" spans="1:7" ht="15" thickBot="1" x14ac:dyDescent="0.35"/>
    <row r="233" spans="1:7" x14ac:dyDescent="0.3">
      <c r="A233" s="34" t="e" vm="2">
        <v>#VALUE!</v>
      </c>
    </row>
    <row r="234" spans="1:7" ht="15" thickBot="1" x14ac:dyDescent="0.35">
      <c r="A234" s="35"/>
    </row>
    <row r="235" spans="1:7" x14ac:dyDescent="0.3">
      <c r="A235" s="29" t="s">
        <v>429</v>
      </c>
    </row>
    <row r="236" spans="1:7" x14ac:dyDescent="0.3">
      <c r="A236" s="30" t="s">
        <v>430</v>
      </c>
    </row>
    <row r="237" spans="1:7" ht="15" thickBot="1" x14ac:dyDescent="0.35">
      <c r="A237" s="31" t="s">
        <v>431</v>
      </c>
    </row>
    <row r="238" spans="1:7" ht="15" thickBot="1" x14ac:dyDescent="0.35">
      <c r="A238" s="31" t="s">
        <v>432</v>
      </c>
    </row>
    <row r="239" spans="1:7" ht="15" thickBot="1" x14ac:dyDescent="0.35">
      <c r="A239" s="31" t="s">
        <v>433</v>
      </c>
    </row>
  </sheetData>
  <sheetProtection algorithmName="SHA-512" hashValue="+MTfhVpqG96QfKO6ACpkmfW7xyAFCBMvTrzGJTUxH3oREIFWHFnKZ/vdjOtNoHTg/Nzvy5Anymh82vGX7zR7dg==" saltValue="jjyD0SJ2tFEvItqZA7URVA==" spinCount="100000" sheet="1" formatCells="0" formatColumns="0" formatRows="0" insertColumns="0" insertRows="0" insertHyperlinks="0" deleteColumns="0" deleteRows="0" sort="0" autoFilter="0" pivotTables="0"/>
  <protectedRanges>
    <protectedRange sqref="D3:D229" name="qty"/>
  </protectedRanges>
  <autoFilter ref="A2:E2" xr:uid="{70B86298-F4EF-4E30-BC39-2EDAC2AF1A46}"/>
  <sortState xmlns:xlrd2="http://schemas.microsoft.com/office/spreadsheetml/2017/richdata2" ref="A3:B229">
    <sortCondition ref="A3:A229"/>
  </sortState>
  <mergeCells count="3">
    <mergeCell ref="A1:D1"/>
    <mergeCell ref="A233:A234"/>
    <mergeCell ref="F1:G1"/>
  </mergeCells>
  <conditionalFormatting sqref="A233:A239">
    <cfRule type="containsText" dxfId="1" priority="1" operator="containsText" text="*Coming Soon">
      <formula>NOT(ISERROR(SEARCH("*Coming Soon",A233)))</formula>
    </cfRule>
    <cfRule type="containsText" dxfId="0" priority="2" operator="containsText" text="*New">
      <formula>NOT(ISERROR(SEARCH("*New",A233)))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oodScience Document" ma:contentTypeID="0x0101005A49F3F2B7B1A64393A964243D912DC000E99A600E25D11B408A7E22F63E07480E" ma:contentTypeVersion="39" ma:contentTypeDescription="Create a new document." ma:contentTypeScope="" ma:versionID="c138786a5cbd8575885faabfb8a980e7">
  <xsd:schema xmlns:xsd="http://www.w3.org/2001/XMLSchema" xmlns:xs="http://www.w3.org/2001/XMLSchema" xmlns:p="http://schemas.microsoft.com/office/2006/metadata/properties" xmlns:ns2="61939192-b8cc-4e3b-9ec9-63ae507cc1f6" xmlns:ns3="e94e5031-dca7-42f2-8d8b-ea9a3b86206a" xmlns:ns4="bb75d972-e004-4ef2-ba55-7b82d77ac9a5" targetNamespace="http://schemas.microsoft.com/office/2006/metadata/properties" ma:root="true" ma:fieldsID="6a66ddfafdaeb2126494604e4af6c62d" ns2:_="" ns3:_="" ns4:_="">
    <xsd:import namespace="61939192-b8cc-4e3b-9ec9-63ae507cc1f6"/>
    <xsd:import namespace="e94e5031-dca7-42f2-8d8b-ea9a3b86206a"/>
    <xsd:import namespace="bb75d972-e004-4ef2-ba55-7b82d77ac9a5"/>
    <xsd:element name="properties">
      <xsd:complexType>
        <xsd:sequence>
          <xsd:element name="documentManagement">
            <xsd:complexType>
              <xsd:all>
                <xsd:element ref="ns2:i92953f92ff947fa8d33965bfdb5fa77" minOccurs="0"/>
                <xsd:element ref="ns2:TaxCatchAll" minOccurs="0"/>
                <xsd:element ref="ns2:TaxCatchAllLabel" minOccurs="0"/>
                <xsd:element ref="ns2:m9c7709ca30a4010bce45a54039afe9b" minOccurs="0"/>
                <xsd:element ref="ns2:k185e32f1e7c4a5697235fef6852875b" minOccurs="0"/>
                <xsd:element ref="ns2:ed0bf8c5d7f44021b553a55ee17b84b2" minOccurs="0"/>
                <xsd:element ref="ns2:c83e2f49b8474f2ea5c0887dc050504a" minOccurs="0"/>
                <xsd:element ref="ns2:h9acb45dacb3440a9f13bb2d5af285db" minOccurs="0"/>
                <xsd:element ref="ns2:eace857ebe214b268a8c96c94cc0e85d" minOccurs="0"/>
                <xsd:element ref="ns2:b7485e93ed6840aebdc5cfa07da60c8a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39192-b8cc-4e3b-9ec9-63ae507cc1f6" elementFormDefault="qualified">
    <xsd:import namespace="http://schemas.microsoft.com/office/2006/documentManagement/types"/>
    <xsd:import namespace="http://schemas.microsoft.com/office/infopath/2007/PartnerControls"/>
    <xsd:element name="i92953f92ff947fa8d33965bfdb5fa77" ma:index="8" nillable="true" ma:taxonomy="true" ma:internalName="i92953f92ff947fa8d33965bfdb5fa77" ma:taxonomyFieldName="Brand" ma:displayName="Brand" ma:default="" ma:fieldId="{292953f9-2ff9-47fa-8d33-965bfdb5fa77}" ma:sspId="dd2d4c9e-aafa-4f9d-9e44-667a1c284c03" ma:termSetId="00f5b9a5-e0f1-41bf-8fae-c4dea6a841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930673d8-2e68-4a90-adf9-52a9d654aa62}" ma:internalName="TaxCatchAll" ma:showField="CatchAllData" ma:web="bb75d972-e004-4ef2-ba55-7b82d77ac9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930673d8-2e68-4a90-adf9-52a9d654aa62}" ma:internalName="TaxCatchAllLabel" ma:readOnly="true" ma:showField="CatchAllDataLabel" ma:web="bb75d972-e004-4ef2-ba55-7b82d77ac9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9c7709ca30a4010bce45a54039afe9b" ma:index="12" nillable="true" ma:taxonomy="true" ma:internalName="m9c7709ca30a4010bce45a54039afe9b" ma:taxonomyFieldName="Customer" ma:displayName="Customer" ma:default="" ma:fieldId="{69c7709c-a30a-4010-bce4-5a54039afe9b}" ma:sspId="dd2d4c9e-aafa-4f9d-9e44-667a1c284c03" ma:termSetId="abe59a3e-6a43-4b74-8825-664d8fe38ac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k185e32f1e7c4a5697235fef6852875b" ma:index="14" nillable="true" ma:taxonomy="true" ma:internalName="k185e32f1e7c4a5697235fef6852875b" ma:taxonomyFieldName="FoodScience_x0020_Department" ma:displayName="FoodScience Department" ma:default="" ma:fieldId="{4185e32f-1e7c-4a56-9723-5fef6852875b}" ma:sspId="dd2d4c9e-aafa-4f9d-9e44-667a1c284c03" ma:termSetId="e9d9ff46-9161-4598-89d5-a529831129d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d0bf8c5d7f44021b553a55ee17b84b2" ma:index="16" nillable="true" ma:taxonomy="true" ma:internalName="ed0bf8c5d7f44021b553a55ee17b84b2" ma:taxonomyFieldName="DocumentType" ma:displayName="DocumentType" ma:default="" ma:fieldId="{ed0bf8c5-d7f4-4021-b553-a55ee17b84b2}" ma:sspId="dd2d4c9e-aafa-4f9d-9e44-667a1c284c03" ma:termSetId="b426ab72-7f5c-440d-a9d5-83b23804e27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83e2f49b8474f2ea5c0887dc050504a" ma:index="18" nillable="true" ma:taxonomy="true" ma:internalName="c83e2f49b8474f2ea5c0887dc050504a" ma:taxonomyFieldName="Product_x0020_Category" ma:displayName="Product Category" ma:readOnly="false" ma:default="" ma:fieldId="{c83e2f49-b847-4f2e-a5c0-887dc050504a}" ma:sspId="dd2d4c9e-aafa-4f9d-9e44-667a1c284c03" ma:termSetId="e9454928-dd65-4110-9be6-7c4d21793f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9acb45dacb3440a9f13bb2d5af285db" ma:index="20" nillable="true" ma:taxonomy="true" ma:internalName="h9acb45dacb3440a9f13bb2d5af285db" ma:taxonomyFieldName="Product_x0020_Type" ma:displayName="Product Type" ma:default="" ma:fieldId="{19acb45d-acb3-440a-9f13-bb2d5af285db}" ma:sspId="dd2d4c9e-aafa-4f9d-9e44-667a1c284c03" ma:termSetId="7f972141-86d1-43a3-9eaf-86e9f7ddac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ace857ebe214b268a8c96c94cc0e85d" ma:index="22" nillable="true" ma:taxonomy="true" ma:internalName="eace857ebe214b268a8c96c94cc0e85d" ma:taxonomyFieldName="Supplier" ma:displayName="Supplier" ma:readOnly="false" ma:default="" ma:fieldId="{eace857e-be21-4b26-8a8c-96c94cc0e85d}" ma:sspId="dd2d4c9e-aafa-4f9d-9e44-667a1c284c03" ma:termSetId="921fc22e-5df1-4e77-948d-65a7da7a5d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7485e93ed6840aebdc5cfa07da60c8a" ma:index="24" nillable="true" ma:taxonomy="true" ma:internalName="b7485e93ed6840aebdc5cfa07da60c8a" ma:taxonomyFieldName="DocumentSubtype" ma:displayName="DocumentSubtype" ma:default="" ma:fieldId="{b7485e93-ed68-40ae-bdc5-cfa07da60c8a}" ma:sspId="dd2d4c9e-aafa-4f9d-9e44-667a1c284c03" ma:termSetId="aa3feb2f-ff42-4b00-8299-452056f8c1d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e5031-dca7-42f2-8d8b-ea9a3b8620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Metadata" ma:index="3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4" nillable="true" ma:displayName="Tags" ma:internalName="MediaServiceAutoTags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9" nillable="true" ma:taxonomy="true" ma:internalName="lcf76f155ced4ddcb4097134ff3c332f" ma:taxonomyFieldName="MediaServiceImageTags" ma:displayName="Image Tags" ma:readOnly="false" ma:fieldId="{5cf76f15-5ced-4ddc-b409-7134ff3c332f}" ma:taxonomyMulti="true" ma:sspId="dd2d4c9e-aafa-4f9d-9e44-667a1c284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4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75d972-e004-4ef2-ba55-7b82d77ac9a5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dd2d4c9e-aafa-4f9d-9e44-667a1c284c03" ContentTypeId="0x0101005A49F3F2B7B1A64393A964243D912DC0" PreviousValue="tru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185e32f1e7c4a5697235fef6852875b xmlns="61939192-b8cc-4e3b-9ec9-63ae507cc1f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Sales</TermName>
          <TermId xmlns="http://schemas.microsoft.com/office/infopath/2007/PartnerControls">d70221f4-3324-4f61-ad4d-ad0c1ae91862</TermId>
        </TermInfo>
      </Terms>
    </k185e32f1e7c4a5697235fef6852875b>
    <b7485e93ed6840aebdc5cfa07da60c8a xmlns="61939192-b8cc-4e3b-9ec9-63ae507cc1f6">
      <Terms xmlns="http://schemas.microsoft.com/office/infopath/2007/PartnerControls"/>
    </b7485e93ed6840aebdc5cfa07da60c8a>
    <m9c7709ca30a4010bce45a54039afe9b xmlns="61939192-b8cc-4e3b-9ec9-63ae507cc1f6">
      <Terms xmlns="http://schemas.microsoft.com/office/infopath/2007/PartnerControls"/>
    </m9c7709ca30a4010bce45a54039afe9b>
    <c83e2f49b8474f2ea5c0887dc050504a xmlns="61939192-b8cc-4e3b-9ec9-63ae507cc1f6">
      <Terms xmlns="http://schemas.microsoft.com/office/infopath/2007/PartnerControls"/>
    </c83e2f49b8474f2ea5c0887dc050504a>
    <eace857ebe214b268a8c96c94cc0e85d xmlns="61939192-b8cc-4e3b-9ec9-63ae507cc1f6">
      <Terms xmlns="http://schemas.microsoft.com/office/infopath/2007/PartnerControls"/>
    </eace857ebe214b268a8c96c94cc0e85d>
    <i92953f92ff947fa8d33965bfdb5fa77 xmlns="61939192-b8cc-4e3b-9ec9-63ae507cc1f6">
      <Terms xmlns="http://schemas.microsoft.com/office/infopath/2007/PartnerControls"/>
    </i92953f92ff947fa8d33965bfdb5fa77>
    <TaxCatchAll xmlns="61939192-b8cc-4e3b-9ec9-63ae507cc1f6">
      <Value>1</Value>
    </TaxCatchAll>
    <lcf76f155ced4ddcb4097134ff3c332f xmlns="e94e5031-dca7-42f2-8d8b-ea9a3b86206a">
      <Terms xmlns="http://schemas.microsoft.com/office/infopath/2007/PartnerControls"/>
    </lcf76f155ced4ddcb4097134ff3c332f>
    <ed0bf8c5d7f44021b553a55ee17b84b2 xmlns="61939192-b8cc-4e3b-9ec9-63ae507cc1f6">
      <Terms xmlns="http://schemas.microsoft.com/office/infopath/2007/PartnerControls"/>
    </ed0bf8c5d7f44021b553a55ee17b84b2>
    <h9acb45dacb3440a9f13bb2d5af285db xmlns="61939192-b8cc-4e3b-9ec9-63ae507cc1f6">
      <Terms xmlns="http://schemas.microsoft.com/office/infopath/2007/PartnerControls"/>
    </h9acb45dacb3440a9f13bb2d5af285db>
  </documentManagement>
</p:properties>
</file>

<file path=customXml/itemProps1.xml><?xml version="1.0" encoding="utf-8"?>
<ds:datastoreItem xmlns:ds="http://schemas.openxmlformats.org/officeDocument/2006/customXml" ds:itemID="{7E797F97-F659-4616-91E2-0A9751646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39192-b8cc-4e3b-9ec9-63ae507cc1f6"/>
    <ds:schemaRef ds:uri="e94e5031-dca7-42f2-8d8b-ea9a3b86206a"/>
    <ds:schemaRef ds:uri="bb75d972-e004-4ef2-ba55-7b82d77ac9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F54FEA-55E4-49E0-8171-EAF278917A4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73028CD-9DC6-421A-96A6-AEF5D32B19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5548D2F-1C1D-4AB0-A082-C70E0A4185D7}">
  <ds:schemaRefs>
    <ds:schemaRef ds:uri="http://schemas.microsoft.com/office/2006/metadata/properties"/>
    <ds:schemaRef ds:uri="http://schemas.microsoft.com/office/infopath/2007/PartnerControls"/>
    <ds:schemaRef ds:uri="61939192-b8cc-4e3b-9ec9-63ae507cc1f6"/>
    <ds:schemaRef ds:uri="e94e5031-dca7-42f2-8d8b-ea9a3b8620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 D. Bartlett</dc:creator>
  <cp:keywords/>
  <dc:description/>
  <cp:lastModifiedBy>Денис Хомик</cp:lastModifiedBy>
  <cp:revision/>
  <dcterms:created xsi:type="dcterms:W3CDTF">2024-10-11T14:26:49Z</dcterms:created>
  <dcterms:modified xsi:type="dcterms:W3CDTF">2026-01-15T14:09:37Z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0x0101005A49F3F2B7B1A64393A964243D912DC000E99A600E25D11B408A7E22F63E07480E</vt:lpwstr>
  </property>
  <property fmtid="{D5CDD505-2E9C-101B-9397-08002B2CF9AE}" pid="3" name="MediaServiceImageTags">
    <vt:lpwstr/>
  </property>
  <property fmtid="{D5CDD505-2E9C-101B-9397-08002B2CF9AE}" pid="4" name="Product_x0020_Type">
    <vt:lpwstr/>
  </property>
  <property fmtid="{D5CDD505-2E9C-101B-9397-08002B2CF9AE}" pid="5" name="Supplier">
    <vt:lpwstr/>
  </property>
  <property fmtid="{D5CDD505-2E9C-101B-9397-08002B2CF9AE}" pid="6" name="Product_x0020_Category">
    <vt:lpwstr/>
  </property>
  <property fmtid="{D5CDD505-2E9C-101B-9397-08002B2CF9AE}" pid="7" name="Brand">
    <vt:lpwstr/>
  </property>
  <property fmtid="{D5CDD505-2E9C-101B-9397-08002B2CF9AE}" pid="8" name="DocumentSubtype">
    <vt:lpwstr/>
  </property>
  <property fmtid="{D5CDD505-2E9C-101B-9397-08002B2CF9AE}" pid="9" name="DocumentType">
    <vt:lpwstr/>
  </property>
  <property fmtid="{D5CDD505-2E9C-101B-9397-08002B2CF9AE}" pid="10" name="Customer">
    <vt:lpwstr/>
  </property>
  <property fmtid="{D5CDD505-2E9C-101B-9397-08002B2CF9AE}" pid="11" name="FoodScience Department">
    <vt:lpwstr>1;#Sales|d70221f4-3324-4f61-ad4d-ad0c1ae91862</vt:lpwstr>
  </property>
  <property fmtid="{D5CDD505-2E9C-101B-9397-08002B2CF9AE}" pid="12" name="Product Category">
    <vt:lpwstr/>
  </property>
  <property fmtid="{D5CDD505-2E9C-101B-9397-08002B2CF9AE}" pid="13" name="Product Type">
    <vt:lpwstr/>
  </property>
</Properties>
</file>