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\Всяке\прайсики\Project X\Міжнародка\"/>
    </mc:Choice>
  </mc:AlternateContent>
  <xr:revisionPtr revIDLastSave="0" documentId="13_ncr:1_{8538EA26-6683-4F06-A396-51DF37B197FC}" xr6:coauthVersionLast="47" xr6:coauthVersionMax="47" xr10:uidLastSave="{00000000-0000-0000-0000-000000000000}"/>
  <bookViews>
    <workbookView xWindow="-108" yWindow="-108" windowWidth="23256" windowHeight="13896" xr2:uid="{2948CD46-5E9C-4EFD-BC2B-34910FA7E71D}"/>
  </bookViews>
  <sheets>
    <sheet name="DSN GROUP (Mommy's bliss)" sheetId="1" r:id="rId1"/>
  </sheets>
  <definedNames>
    <definedName name="_xlnm._FilterDatabase" localSheetId="0" hidden="1">'DSN GROUP (Mommy''s bliss)'!$A$2:$I$2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11" i="1"/>
  <c r="M12" i="1"/>
  <c r="M13" i="1"/>
  <c r="M14" i="1"/>
  <c r="M15" i="1"/>
  <c r="M16" i="1"/>
  <c r="M3" i="1"/>
  <c r="N4" i="1"/>
  <c r="N5" i="1"/>
  <c r="O5" i="1" s="1"/>
  <c r="N6" i="1"/>
  <c r="N7" i="1"/>
  <c r="N8" i="1"/>
  <c r="N9" i="1"/>
  <c r="N10" i="1"/>
  <c r="N11" i="1"/>
  <c r="N12" i="1"/>
  <c r="N13" i="1"/>
  <c r="N14" i="1"/>
  <c r="N15" i="1"/>
  <c r="N16" i="1"/>
  <c r="N3" i="1"/>
  <c r="I9" i="1"/>
  <c r="L4" i="1"/>
  <c r="L10" i="1"/>
  <c r="M10" i="1" s="1"/>
  <c r="L12" i="1"/>
  <c r="L14" i="1"/>
  <c r="L3" i="1"/>
  <c r="O4" i="1"/>
  <c r="L5" i="1"/>
  <c r="L6" i="1"/>
  <c r="O6" i="1"/>
  <c r="L7" i="1"/>
  <c r="O7" i="1"/>
  <c r="L8" i="1"/>
  <c r="O8" i="1"/>
  <c r="L9" i="1"/>
  <c r="O9" i="1"/>
  <c r="O10" i="1"/>
  <c r="L11" i="1"/>
  <c r="O11" i="1"/>
  <c r="O12" i="1"/>
  <c r="L13" i="1"/>
  <c r="O13" i="1"/>
  <c r="O14" i="1"/>
  <c r="L15" i="1"/>
  <c r="O15" i="1"/>
  <c r="L16" i="1"/>
  <c r="O16" i="1"/>
  <c r="O3" i="1"/>
  <c r="I3" i="1"/>
  <c r="I10" i="1"/>
  <c r="I4" i="1"/>
  <c r="I5" i="1"/>
  <c r="I6" i="1"/>
  <c r="I11" i="1"/>
  <c r="I7" i="1"/>
  <c r="I12" i="1"/>
  <c r="I8" i="1"/>
  <c r="I13" i="1"/>
  <c r="I14" i="1"/>
  <c r="I15" i="1"/>
  <c r="I16" i="1"/>
  <c r="Q5" i="1" l="1"/>
  <c r="Q4" i="1"/>
  <c r="Q16" i="1"/>
  <c r="Q15" i="1"/>
  <c r="Q9" i="1"/>
  <c r="Q8" i="1"/>
  <c r="Q14" i="1"/>
  <c r="Q13" i="1"/>
  <c r="Q12" i="1"/>
  <c r="Q11" i="1"/>
  <c r="Q7" i="1"/>
  <c r="Q10" i="1"/>
  <c r="O2" i="1"/>
  <c r="Q3" i="1"/>
  <c r="Q6" i="1"/>
  <c r="N2" i="1"/>
  <c r="J2" i="1"/>
  <c r="Q1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<sst xmlns="http://schemas.openxmlformats.org/spreadsheetml/2006/main" count="76" uniqueCount="57">
  <si>
    <t>BY0115</t>
  </si>
  <si>
    <t>Baby Constipation Ease</t>
  </si>
  <si>
    <t>4 ounce</t>
  </si>
  <si>
    <t>BY0131</t>
  </si>
  <si>
    <t>Baby Multivitamin + Iron</t>
  </si>
  <si>
    <t>1 ounce</t>
  </si>
  <si>
    <t>BY0117</t>
  </si>
  <si>
    <t>Baby Probiotic Drops</t>
  </si>
  <si>
    <t>0.34 ounce</t>
  </si>
  <si>
    <t>BY0001</t>
  </si>
  <si>
    <t>Gripe Water</t>
  </si>
  <si>
    <t>BY0116</t>
  </si>
  <si>
    <t>Gripe Water Night Time</t>
  </si>
  <si>
    <t>BY0129</t>
  </si>
  <si>
    <t>Kids Elderberry Gummies + Immunity Support</t>
  </si>
  <si>
    <t>60 gummy</t>
  </si>
  <si>
    <t>BY0124</t>
  </si>
  <si>
    <t>Organic Baby Cough Syrup &amp; Mucus Relief + Immunity Boost</t>
  </si>
  <si>
    <t>1.67 ounce</t>
  </si>
  <si>
    <t>BY0125</t>
  </si>
  <si>
    <t>Organic Baby Cough Syrup &amp; Mucus Relief Night Time</t>
  </si>
  <si>
    <t>BY0130</t>
  </si>
  <si>
    <t>Organic Baby Elderberry Drops + Immunity Boost</t>
  </si>
  <si>
    <t>3 ounce</t>
  </si>
  <si>
    <t>BY0128</t>
  </si>
  <si>
    <t>Organic Elderberry Syrup + Immunity Boost</t>
  </si>
  <si>
    <t>BY0126</t>
  </si>
  <si>
    <t>Organic Kids Cough Syrup &amp; Mucus Relief + Immunity Boost Day Time</t>
  </si>
  <si>
    <t>BY0127</t>
  </si>
  <si>
    <t>Organic Kids Cough Syrup &amp; Mucus Relief Night Time</t>
  </si>
  <si>
    <t>BY0120</t>
  </si>
  <si>
    <t>Probiotic Drops + Vitamin D Newborns+</t>
  </si>
  <si>
    <t>BY0118</t>
  </si>
  <si>
    <t>Vitamin D Organic Drops for Newborn+</t>
  </si>
  <si>
    <t>0.11 ounce</t>
  </si>
  <si>
    <t>Price</t>
  </si>
  <si>
    <t>Order</t>
  </si>
  <si>
    <t>Total</t>
  </si>
  <si>
    <t>UPC</t>
  </si>
  <si>
    <t>Item</t>
  </si>
  <si>
    <t>Description</t>
  </si>
  <si>
    <t>Size</t>
  </si>
  <si>
    <r>
      <rPr>
        <b/>
        <sz val="8"/>
        <color rgb="FFFF0000"/>
        <rFont val="Calibri"/>
        <family val="2"/>
        <charset val="204"/>
        <scheme val="minor"/>
      </rPr>
      <t>Importantly!</t>
    </r>
    <r>
      <rPr>
        <sz val="8"/>
        <color theme="1"/>
        <rFont val="Calibri"/>
        <family val="2"/>
        <scheme val="minor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</si>
  <si>
    <t>USA → +13-322-093-910</t>
  </si>
  <si>
    <t>Poland → +48-459-568-603</t>
  </si>
  <si>
    <t>WhatsApp → +380-9871-54085</t>
  </si>
  <si>
    <t>E-mail → info@dsn.group</t>
  </si>
  <si>
    <t>Instagram → https://www.instagram.com/dsngroup.official/</t>
  </si>
  <si>
    <t>Weight, kg</t>
  </si>
  <si>
    <t>Unіt Freight Cost</t>
  </si>
  <si>
    <t>unit, key</t>
  </si>
  <si>
    <t>Logistic Price</t>
  </si>
  <si>
    <t>Landed Cost</t>
  </si>
  <si>
    <t>Category</t>
  </si>
  <si>
    <t>С</t>
  </si>
  <si>
    <t>А</t>
  </si>
  <si>
    <t>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</si>
</sst>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_);[Red]\(&quot;$&quot;#,##0.00\)"/>
    <numFmt numFmtId="165" formatCode="_-[$$-409]* #,##0.00_ ;_-[$$-409]* \-#,##0.00\ ;_-[$$-409]* &quot;-&quot;??_ ;_-@_ "/>
    <numFmt numFmtId="166" formatCode="[$$-409]#,##0.00"/>
  </numFmts>
  <fonts count="19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charset val="204"/>
      <scheme val="minor"/>
    </font>
    <font>
      <sz val="9"/>
      <color rgb="FFFF0000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charset val="204"/>
      <scheme val="minor"/>
    </font>
    <font>
      <sz val="8"/>
      <color rgb="FFFF0000"/>
      <name val="Calibri"/>
      <family val="2"/>
      <charset val="204"/>
      <scheme val="minor"/>
    </font>
    <font>
      <b/>
      <sz val="8"/>
      <color rgb="FFFF0000"/>
      <name val="Calibri"/>
      <family val="2"/>
      <charset val="204"/>
      <scheme val="minor"/>
    </font>
    <font>
      <sz val="11"/>
      <name val="Calibri"/>
      <family val="2"/>
    </font>
    <font>
      <sz val="10"/>
      <name val="Arial"/>
      <family val="2"/>
      <charset val="1"/>
    </font>
    <font>
      <sz val="8"/>
      <name val="Tahoma"/>
      <family val="2"/>
      <charset val="1"/>
    </font>
    <font>
      <sz val="7.5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</font>
    <font>
      <sz val="8"/>
      <color theme="1"/>
      <name val="Verdana"/>
      <family val="2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gradientFill degree="270">
        <stop position="0">
          <color theme="0"/>
        </stop>
        <stop position="1">
          <color theme="4"/>
        </stop>
      </gradientFill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theme="4"/>
        </stop>
      </gradient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0" fillId="0" borderId="0"/>
  </cellStyleXfs>
  <cellXfs count="64">
    <xf numFmtId="0" fontId="0" fillId="0" borderId="0" xfId="0"/>
    <xf numFmtId="1" fontId="1" fillId="0" borderId="0" xfId="0" applyNumberFormat="1" applyFont="1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0" borderId="0" xfId="0" applyFont="1"/>
    <xf numFmtId="1" fontId="2" fillId="0" borderId="11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/>
    </xf>
    <xf numFmtId="1" fontId="5" fillId="0" borderId="0" xfId="0" applyNumberFormat="1" applyFont="1"/>
    <xf numFmtId="0" fontId="5" fillId="0" borderId="0" xfId="0" applyFont="1"/>
    <xf numFmtId="0" fontId="11" fillId="0" borderId="13" xfId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/>
    <xf numFmtId="0" fontId="11" fillId="0" borderId="14" xfId="1" applyFont="1" applyBorder="1" applyAlignment="1">
      <alignment horizontal="center"/>
    </xf>
    <xf numFmtId="0" fontId="11" fillId="0" borderId="15" xfId="1" applyFont="1" applyBorder="1" applyAlignment="1">
      <alignment horizontal="center"/>
    </xf>
    <xf numFmtId="0" fontId="11" fillId="0" borderId="16" xfId="1" applyFont="1" applyBorder="1" applyAlignment="1">
      <alignment horizontal="center"/>
    </xf>
    <xf numFmtId="0" fontId="11" fillId="0" borderId="17" xfId="1" applyFont="1" applyBorder="1" applyAlignment="1">
      <alignment horizontal="center"/>
    </xf>
    <xf numFmtId="0" fontId="12" fillId="0" borderId="0" xfId="0" applyFont="1"/>
    <xf numFmtId="0" fontId="1" fillId="0" borderId="0" xfId="0" applyFont="1" applyProtection="1">
      <protection locked="0"/>
    </xf>
    <xf numFmtId="0" fontId="5" fillId="0" borderId="0" xfId="0" applyFont="1" applyProtection="1">
      <protection locked="0"/>
    </xf>
    <xf numFmtId="14" fontId="13" fillId="2" borderId="2" xfId="0" applyNumberFormat="1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165" fontId="14" fillId="2" borderId="2" xfId="0" applyNumberFormat="1" applyFont="1" applyFill="1" applyBorder="1" applyAlignment="1" applyProtection="1">
      <alignment horizontal="center" vertical="center" wrapText="1" readingOrder="1"/>
      <protection hidden="1"/>
    </xf>
    <xf numFmtId="0" fontId="15" fillId="0" borderId="0" xfId="0" applyFont="1"/>
    <xf numFmtId="166" fontId="13" fillId="2" borderId="2" xfId="0" applyNumberFormat="1" applyFont="1" applyFill="1" applyBorder="1" applyAlignment="1">
      <alignment horizontal="center" vertical="center"/>
    </xf>
    <xf numFmtId="0" fontId="16" fillId="3" borderId="2" xfId="0" applyFont="1" applyFill="1" applyBorder="1" applyAlignment="1" applyProtection="1">
      <alignment horizontal="center" vertical="center" wrapText="1" readingOrder="1"/>
      <protection locked="0"/>
    </xf>
    <xf numFmtId="4" fontId="13" fillId="3" borderId="19" xfId="0" applyNumberFormat="1" applyFont="1" applyFill="1" applyBorder="1" applyAlignment="1">
      <alignment horizontal="center" vertical="center"/>
    </xf>
    <xf numFmtId="165" fontId="14" fillId="3" borderId="2" xfId="0" applyNumberFormat="1" applyFont="1" applyFill="1" applyBorder="1" applyAlignment="1" applyProtection="1">
      <alignment horizontal="center" vertical="center" wrapText="1" readingOrder="1"/>
      <protection hidden="1"/>
    </xf>
    <xf numFmtId="165" fontId="14" fillId="0" borderId="0" xfId="0" applyNumberFormat="1" applyFont="1" applyAlignment="1" applyProtection="1">
      <alignment vertical="center" wrapText="1" readingOrder="1"/>
      <protection hidden="1"/>
    </xf>
    <xf numFmtId="0" fontId="13" fillId="4" borderId="2" xfId="0" applyFont="1" applyFill="1" applyBorder="1" applyAlignment="1">
      <alignment horizontal="center" vertical="center" wrapText="1"/>
    </xf>
    <xf numFmtId="4" fontId="13" fillId="0" borderId="0" xfId="0" applyNumberFormat="1" applyFont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1" fontId="17" fillId="0" borderId="3" xfId="0" applyNumberFormat="1" applyFont="1" applyBorder="1" applyAlignment="1">
      <alignment horizontal="center" vertical="top"/>
    </xf>
    <xf numFmtId="0" fontId="17" fillId="0" borderId="4" xfId="0" applyFont="1" applyBorder="1" applyAlignment="1">
      <alignment horizontal="center" vertical="top"/>
    </xf>
    <xf numFmtId="0" fontId="17" fillId="0" borderId="4" xfId="0" applyFont="1" applyBorder="1" applyAlignment="1">
      <alignment vertical="top"/>
    </xf>
    <xf numFmtId="164" fontId="17" fillId="0" borderId="4" xfId="0" applyNumberFormat="1" applyFont="1" applyBorder="1" applyAlignment="1">
      <alignment horizontal="right" vertical="top"/>
    </xf>
    <xf numFmtId="0" fontId="17" fillId="0" borderId="4" xfId="0" applyFont="1" applyBorder="1" applyAlignment="1" applyProtection="1">
      <alignment horizontal="center" vertical="top"/>
      <protection locked="0"/>
    </xf>
    <xf numFmtId="164" fontId="17" fillId="0" borderId="5" xfId="0" applyNumberFormat="1" applyFont="1" applyBorder="1" applyAlignment="1">
      <alignment horizontal="right" vertical="top"/>
    </xf>
    <xf numFmtId="1" fontId="17" fillId="0" borderId="6" xfId="0" applyNumberFormat="1" applyFont="1" applyBorder="1" applyAlignment="1">
      <alignment horizontal="center" vertical="top"/>
    </xf>
    <xf numFmtId="0" fontId="17" fillId="0" borderId="1" xfId="0" applyFont="1" applyBorder="1" applyAlignment="1">
      <alignment horizontal="center" vertical="top"/>
    </xf>
    <xf numFmtId="0" fontId="17" fillId="0" borderId="1" xfId="0" applyFont="1" applyBorder="1" applyAlignment="1">
      <alignment vertical="top"/>
    </xf>
    <xf numFmtId="164" fontId="17" fillId="0" borderId="1" xfId="0" applyNumberFormat="1" applyFont="1" applyBorder="1" applyAlignment="1">
      <alignment horizontal="right" vertical="top"/>
    </xf>
    <xf numFmtId="0" fontId="17" fillId="0" borderId="1" xfId="0" applyFont="1" applyBorder="1" applyAlignment="1" applyProtection="1">
      <alignment horizontal="center" vertical="top"/>
      <protection locked="0"/>
    </xf>
    <xf numFmtId="164" fontId="17" fillId="0" borderId="7" xfId="0" applyNumberFormat="1" applyFont="1" applyBorder="1" applyAlignment="1">
      <alignment horizontal="right" vertical="top"/>
    </xf>
    <xf numFmtId="1" fontId="17" fillId="0" borderId="8" xfId="0" applyNumberFormat="1" applyFont="1" applyBorder="1" applyAlignment="1">
      <alignment horizontal="center" vertical="top"/>
    </xf>
    <xf numFmtId="0" fontId="17" fillId="0" borderId="9" xfId="0" applyFont="1" applyBorder="1" applyAlignment="1">
      <alignment horizontal="center" vertical="top"/>
    </xf>
    <xf numFmtId="0" fontId="17" fillId="0" borderId="9" xfId="0" applyFont="1" applyBorder="1" applyAlignment="1">
      <alignment vertical="top"/>
    </xf>
    <xf numFmtId="164" fontId="17" fillId="0" borderId="9" xfId="0" applyNumberFormat="1" applyFont="1" applyBorder="1" applyAlignment="1">
      <alignment horizontal="right" vertical="top"/>
    </xf>
    <xf numFmtId="0" fontId="17" fillId="0" borderId="9" xfId="0" applyFont="1" applyBorder="1" applyAlignment="1" applyProtection="1">
      <alignment horizontal="center" vertical="top"/>
      <protection locked="0"/>
    </xf>
    <xf numFmtId="164" fontId="17" fillId="0" borderId="10" xfId="0" applyNumberFormat="1" applyFont="1" applyBorder="1" applyAlignment="1">
      <alignment horizontal="right" vertical="top"/>
    </xf>
    <xf numFmtId="0" fontId="2" fillId="0" borderId="20" xfId="0" applyFont="1" applyBorder="1" applyAlignment="1">
      <alignment horizontal="center" vertical="center" wrapText="1"/>
    </xf>
    <xf numFmtId="1" fontId="6" fillId="0" borderId="0" xfId="0" applyNumberFormat="1" applyFont="1" applyAlignment="1">
      <alignment horizontal="left" wrapText="1"/>
    </xf>
    <xf numFmtId="1" fontId="5" fillId="0" borderId="0" xfId="0" applyNumberFormat="1" applyFont="1" applyAlignment="1">
      <alignment horizontal="left"/>
    </xf>
    <xf numFmtId="14" fontId="13" fillId="2" borderId="18" xfId="0" applyNumberFormat="1" applyFont="1" applyFill="1" applyBorder="1" applyAlignment="1">
      <alignment horizontal="center" vertical="center" wrapText="1"/>
    </xf>
    <xf numFmtId="14" fontId="13" fillId="2" borderId="19" xfId="0" applyNumberFormat="1" applyFont="1" applyFill="1" applyBorder="1" applyAlignment="1">
      <alignment horizontal="center" vertical="center" wrapText="1"/>
    </xf>
    <xf numFmtId="2" fontId="17" fillId="0" borderId="16" xfId="0" applyNumberFormat="1" applyFont="1" applyBorder="1" applyAlignment="1">
      <alignment horizontal="center" vertical="top"/>
    </xf>
    <xf numFmtId="2" fontId="17" fillId="0" borderId="14" xfId="0" applyNumberFormat="1" applyFont="1" applyBorder="1" applyAlignment="1">
      <alignment horizontal="center" vertical="top"/>
    </xf>
    <xf numFmtId="0" fontId="18" fillId="0" borderId="21" xfId="0" applyFont="1" applyBorder="1" applyAlignment="1">
      <alignment horizontal="center"/>
    </xf>
    <xf numFmtId="14" fontId="4" fillId="0" borderId="0" xfId="0" quotePrefix="1" applyNumberFormat="1" applyFont="1" applyAlignment="1">
      <alignment horizontal="center" vertical="center"/>
    </xf>
    <xf numFmtId="2" fontId="17" fillId="0" borderId="17" xfId="0" applyNumberFormat="1" applyFont="1" applyBorder="1" applyAlignment="1">
      <alignment horizontal="center" vertical="top"/>
    </xf>
    <xf numFmtId="0" fontId="18" fillId="0" borderId="22" xfId="0" applyFont="1" applyBorder="1" applyAlignment="1">
      <alignment horizontal="center"/>
    </xf>
  </cellXfs>
  <cellStyles count="2">
    <cellStyle name="Excel Built-in Normal" xfId="1" xr:uid="{1C093B56-EF49-490F-BFAA-33560E724602}"/>
    <cellStyle name="Звичайний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150625</xdr:colOff>
      <xdr:row>0</xdr:row>
      <xdr:rowOff>34637</xdr:rowOff>
    </xdr:from>
    <xdr:to>
      <xdr:col>7</xdr:col>
      <xdr:colOff>546562</xdr:colOff>
      <xdr:row>0</xdr:row>
      <xdr:rowOff>693826</xdr:rowOff>
    </xdr:to>
    <xdr:pic>
      <xdr:nvPicPr>
        <xdr:cNvPr id="2" name="Рисунок 1" descr="Mommy's Bliss Home">
          <a:extLst>
            <a:ext uri="{FF2B5EF4-FFF2-40B4-BE49-F238E27FC236}">
              <a16:creationId xmlns:a16="http://schemas.microsoft.com/office/drawing/2014/main" id="{7E76E4FD-10B3-CC26-C7A7-B22F00B21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97243" y="34637"/>
          <a:ext cx="1033246" cy="6591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Тема &quot;Office 2013 – 2022&quot;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AC1F1-F08A-46FD-A4E2-B618CCCD2F71}">
  <dimension ref="A1:Q25"/>
  <sheetViews>
    <sheetView tabSelected="1" zoomScale="90" zoomScaleNormal="90" workbookViewId="0">
      <pane ySplit="2" topLeftCell="A3" activePane="bottomLeft" state="frozen"/>
      <selection pane="bottomLeft" activeCell="J7" sqref="J7"/>
    </sheetView>
  </sheetViews>
  <sheetFormatPr defaultRowHeight="12" x14ac:dyDescent="0.25"/>
  <cols>
    <col min="1" max="1" width="14.44140625" style="1" bestFit="1" customWidth="1"/>
    <col min="2" max="2" width="7.5546875" style="2" bestFit="1" customWidth="1"/>
    <col min="3" max="3" width="52.77734375" style="2" bestFit="1" customWidth="1"/>
    <col min="4" max="4" width="10.44140625" style="4" bestFit="1" customWidth="1"/>
    <col min="5" max="6" width="10.44140625" style="4" customWidth="1"/>
    <col min="7" max="7" width="9.33203125" style="5" bestFit="1" customWidth="1"/>
    <col min="8" max="8" width="8.88671875" style="20"/>
    <col min="9" max="9" width="10.6640625" style="2" bestFit="1" customWidth="1"/>
    <col min="10" max="10" width="11" style="2" customWidth="1"/>
    <col min="11" max="12" width="8.88671875" style="2"/>
    <col min="13" max="13" width="11.33203125" style="2" bestFit="1" customWidth="1"/>
    <col min="14" max="14" width="8.88671875" style="2"/>
    <col min="15" max="15" width="10.77734375" style="2" bestFit="1" customWidth="1"/>
    <col min="16" max="16" width="5.5546875" style="2" customWidth="1"/>
    <col min="17" max="17" width="10.5546875" style="2" bestFit="1" customWidth="1"/>
    <col min="18" max="16384" width="8.88671875" style="2"/>
  </cols>
  <sheetData>
    <row r="1" spans="1:17" ht="66" customHeight="1" thickBot="1" x14ac:dyDescent="0.35">
      <c r="A1" s="54" t="s">
        <v>42</v>
      </c>
      <c r="B1" s="55"/>
      <c r="C1" s="55"/>
      <c r="D1" s="55"/>
      <c r="E1" s="55"/>
      <c r="F1" s="55"/>
      <c r="G1" s="55"/>
      <c r="H1" s="55"/>
      <c r="I1" s="55"/>
      <c r="J1" s="61">
        <v>46056</v>
      </c>
      <c r="L1" s="22" t="s">
        <v>49</v>
      </c>
      <c r="M1" s="56" t="s">
        <v>50</v>
      </c>
      <c r="N1" s="23" t="s">
        <v>48</v>
      </c>
      <c r="O1" s="24" t="s">
        <v>51</v>
      </c>
      <c r="P1" s="25"/>
      <c r="Q1" s="26" t="str">
        <f>IFERROR(IF(SUM(Q3:Q274)=0, "-", J2+O2), "-")</f>
        <v>-</v>
      </c>
    </row>
    <row r="2" spans="1:17" s="3" customFormat="1" ht="26.4" customHeight="1" thickBot="1" x14ac:dyDescent="0.35">
      <c r="A2" s="6" t="s">
        <v>38</v>
      </c>
      <c r="B2" s="7" t="s">
        <v>39</v>
      </c>
      <c r="C2" s="7" t="s">
        <v>40</v>
      </c>
      <c r="D2" s="7" t="s">
        <v>41</v>
      </c>
      <c r="E2" s="7" t="s">
        <v>48</v>
      </c>
      <c r="F2" s="7" t="s">
        <v>53</v>
      </c>
      <c r="G2" s="7" t="s">
        <v>35</v>
      </c>
      <c r="H2" s="7" t="s">
        <v>36</v>
      </c>
      <c r="I2" s="53" t="s">
        <v>37</v>
      </c>
      <c r="J2" s="8">
        <f>SUM(I3:I16)</f>
        <v>0</v>
      </c>
      <c r="L2" s="27"/>
      <c r="M2" s="57"/>
      <c r="N2" s="28" t="str">
        <f>IF(SUM(N3:N274)=0, "-", SUM(N3:N274))</f>
        <v>-</v>
      </c>
      <c r="O2" s="29" t="str">
        <f>IF(SUM(O3:O274)=0, "-", SUM(O3:O274))</f>
        <v>-</v>
      </c>
      <c r="P2" s="30"/>
      <c r="Q2" s="31" t="s">
        <v>52</v>
      </c>
    </row>
    <row r="3" spans="1:17" s="19" customFormat="1" ht="14.4" x14ac:dyDescent="0.3">
      <c r="A3" s="35">
        <v>679234056147</v>
      </c>
      <c r="B3" s="36" t="s">
        <v>3</v>
      </c>
      <c r="C3" s="37" t="s">
        <v>4</v>
      </c>
      <c r="D3" s="36" t="s">
        <v>5</v>
      </c>
      <c r="E3" s="58">
        <v>7.7924000000000007E-2</v>
      </c>
      <c r="F3" s="60" t="s">
        <v>55</v>
      </c>
      <c r="G3" s="38">
        <v>9.3483000000000018</v>
      </c>
      <c r="H3" s="39"/>
      <c r="I3" s="40">
        <f>H3*G3</f>
        <v>0</v>
      </c>
      <c r="L3" s="32" t="str">
        <f>IFERROR(IF($L$2*E3=0, "-", $L$2*E3), "-")</f>
        <v>-</v>
      </c>
      <c r="M3" s="32" t="str">
        <f>IF(H3&gt;0,G3+L3,"-")</f>
        <v>-</v>
      </c>
      <c r="N3" s="33" t="str">
        <f>IF(H3&gt;0,H3*E3, "-")</f>
        <v>-</v>
      </c>
      <c r="O3" s="34" t="str">
        <f>IFERROR(IF($L$2&gt;0, $L$2*N3, "-"), "-")</f>
        <v>-</v>
      </c>
      <c r="P3" s="25"/>
      <c r="Q3" s="34" t="str">
        <f>IFERROR(IF(O3+I3=0, "-", IF(O3&gt;0, O3+I3, "-")), "-")</f>
        <v>-</v>
      </c>
    </row>
    <row r="4" spans="1:17" s="19" customFormat="1" ht="14.4" x14ac:dyDescent="0.3">
      <c r="A4" s="41">
        <v>679234052996</v>
      </c>
      <c r="B4" s="42" t="s">
        <v>9</v>
      </c>
      <c r="C4" s="43" t="s">
        <v>10</v>
      </c>
      <c r="D4" s="42" t="s">
        <v>2</v>
      </c>
      <c r="E4" s="59">
        <v>0.200376</v>
      </c>
      <c r="F4" s="60" t="s">
        <v>55</v>
      </c>
      <c r="G4" s="44">
        <v>10.962899999999999</v>
      </c>
      <c r="H4" s="45"/>
      <c r="I4" s="46">
        <f>H4*G4</f>
        <v>0</v>
      </c>
      <c r="L4" s="32" t="str">
        <f>IFERROR(IF($L$2*E4=0, "-", $L$2*E4), "-")</f>
        <v>-</v>
      </c>
      <c r="M4" s="32" t="str">
        <f t="shared" ref="M4:M16" si="0">IF(H4&gt;0,G4+L4,"-")</f>
        <v>-</v>
      </c>
      <c r="N4" s="33" t="str">
        <f t="shared" ref="N4:N16" si="1">IF(H4&gt;0,H4*E4, "-")</f>
        <v>-</v>
      </c>
      <c r="O4" s="34" t="str">
        <f>IFERROR(IF($L$2&gt;0, $L$2*N4, "-"), "-")</f>
        <v>-</v>
      </c>
      <c r="P4" s="25"/>
      <c r="Q4" s="34" t="str">
        <f t="shared" ref="Q4:Q16" si="2">IFERROR(IF(O4+I4=0, "-", IF(O4&gt;0, O4+I4, "-")), "-")</f>
        <v>-</v>
      </c>
    </row>
    <row r="5" spans="1:17" s="19" customFormat="1" ht="14.4" x14ac:dyDescent="0.3">
      <c r="A5" s="41">
        <v>679234054105</v>
      </c>
      <c r="B5" s="42" t="s">
        <v>11</v>
      </c>
      <c r="C5" s="43" t="s">
        <v>12</v>
      </c>
      <c r="D5" s="42" t="s">
        <v>2</v>
      </c>
      <c r="E5" s="59">
        <v>0.200376</v>
      </c>
      <c r="F5" s="60" t="s">
        <v>55</v>
      </c>
      <c r="G5" s="44">
        <v>12.624300000000002</v>
      </c>
      <c r="H5" s="45"/>
      <c r="I5" s="46">
        <f>H5*G5</f>
        <v>0</v>
      </c>
      <c r="L5" s="32" t="str">
        <f>IFERROR(IF($L$2*E5=0, "-", $L$2*E5), "-")</f>
        <v>-</v>
      </c>
      <c r="M5" s="32" t="str">
        <f t="shared" si="0"/>
        <v>-</v>
      </c>
      <c r="N5" s="33" t="str">
        <f t="shared" si="1"/>
        <v>-</v>
      </c>
      <c r="O5" s="34" t="str">
        <f>IFERROR(IF($L$2&gt;0, $L$2*N5, "-"), "-")</f>
        <v>-</v>
      </c>
      <c r="P5" s="25"/>
      <c r="Q5" s="34" t="str">
        <f t="shared" si="2"/>
        <v>-</v>
      </c>
    </row>
    <row r="6" spans="1:17" s="19" customFormat="1" ht="14.4" x14ac:dyDescent="0.3">
      <c r="A6" s="41">
        <v>679234071430</v>
      </c>
      <c r="B6" s="42" t="s">
        <v>13</v>
      </c>
      <c r="C6" s="43" t="s">
        <v>14</v>
      </c>
      <c r="D6" s="42" t="s">
        <v>15</v>
      </c>
      <c r="E6" s="59">
        <v>0.26716799999999996</v>
      </c>
      <c r="F6" s="60" t="s">
        <v>56</v>
      </c>
      <c r="G6" s="44">
        <v>14.028300000000002</v>
      </c>
      <c r="H6" s="45"/>
      <c r="I6" s="46">
        <f>H6*G6</f>
        <v>0</v>
      </c>
      <c r="L6" s="32" t="str">
        <f>IFERROR(IF($L$2*E6=0, "-", $L$2*E6), "-")</f>
        <v>-</v>
      </c>
      <c r="M6" s="32" t="str">
        <f t="shared" si="0"/>
        <v>-</v>
      </c>
      <c r="N6" s="33" t="str">
        <f t="shared" si="1"/>
        <v>-</v>
      </c>
      <c r="O6" s="34" t="str">
        <f>IFERROR(IF($L$2&gt;0, $L$2*N6, "-"), "-")</f>
        <v>-</v>
      </c>
      <c r="P6" s="25"/>
      <c r="Q6" s="34" t="str">
        <f t="shared" si="2"/>
        <v>-</v>
      </c>
    </row>
    <row r="7" spans="1:17" s="19" customFormat="1" ht="14.4" x14ac:dyDescent="0.3">
      <c r="A7" s="41">
        <v>679234051517</v>
      </c>
      <c r="B7" s="42" t="s">
        <v>19</v>
      </c>
      <c r="C7" s="43" t="s">
        <v>20</v>
      </c>
      <c r="D7" s="42" t="s">
        <v>18</v>
      </c>
      <c r="E7" s="59"/>
      <c r="F7" s="60" t="s">
        <v>56</v>
      </c>
      <c r="G7" s="44">
        <v>7.4762999999999993</v>
      </c>
      <c r="H7" s="45"/>
      <c r="I7" s="46">
        <f>H7*G7</f>
        <v>0</v>
      </c>
      <c r="L7" s="32" t="str">
        <f>IFERROR(IF($L$2*E7=0, "-", $L$2*E7), "-")</f>
        <v>-</v>
      </c>
      <c r="M7" s="32" t="str">
        <f t="shared" si="0"/>
        <v>-</v>
      </c>
      <c r="N7" s="33" t="str">
        <f t="shared" si="1"/>
        <v>-</v>
      </c>
      <c r="O7" s="34" t="str">
        <f>IFERROR(IF($L$2&gt;0, $L$2*N7, "-"), "-")</f>
        <v>-</v>
      </c>
      <c r="P7" s="25"/>
      <c r="Q7" s="34" t="str">
        <f t="shared" si="2"/>
        <v>-</v>
      </c>
    </row>
    <row r="8" spans="1:17" s="19" customFormat="1" ht="14.4" x14ac:dyDescent="0.3">
      <c r="A8" s="41">
        <v>679234071584</v>
      </c>
      <c r="B8" s="42" t="s">
        <v>24</v>
      </c>
      <c r="C8" s="43" t="s">
        <v>25</v>
      </c>
      <c r="D8" s="42" t="s">
        <v>23</v>
      </c>
      <c r="E8" s="59">
        <v>0.17811199999999999</v>
      </c>
      <c r="F8" s="60" t="s">
        <v>56</v>
      </c>
      <c r="G8" s="44">
        <v>10.2843</v>
      </c>
      <c r="H8" s="45"/>
      <c r="I8" s="46">
        <f>H8*G8</f>
        <v>0</v>
      </c>
      <c r="L8" s="32" t="str">
        <f>IFERROR(IF($L$2*E8=0, "-", $L$2*E8), "-")</f>
        <v>-</v>
      </c>
      <c r="M8" s="32" t="str">
        <f t="shared" si="0"/>
        <v>-</v>
      </c>
      <c r="N8" s="33" t="str">
        <f t="shared" si="1"/>
        <v>-</v>
      </c>
      <c r="O8" s="34" t="str">
        <f>IFERROR(IF($L$2&gt;0, $L$2*N8, "-"), "-")</f>
        <v>-</v>
      </c>
      <c r="P8" s="25"/>
      <c r="Q8" s="34" t="str">
        <f t="shared" si="2"/>
        <v>-</v>
      </c>
    </row>
    <row r="9" spans="1:17" s="19" customFormat="1" ht="14.4" x14ac:dyDescent="0.3">
      <c r="A9" s="41">
        <v>679234055317</v>
      </c>
      <c r="B9" s="42" t="s">
        <v>0</v>
      </c>
      <c r="C9" s="43" t="s">
        <v>1</v>
      </c>
      <c r="D9" s="42" t="s">
        <v>2</v>
      </c>
      <c r="E9" s="59">
        <v>0.211508</v>
      </c>
      <c r="F9" s="60" t="s">
        <v>54</v>
      </c>
      <c r="G9" s="44">
        <v>10.6119</v>
      </c>
      <c r="H9" s="45"/>
      <c r="I9" s="46">
        <f>H9*G9</f>
        <v>0</v>
      </c>
      <c r="L9" s="32" t="str">
        <f>IFERROR(IF($L$2*E9=0, "-", $L$2*E9), "-")</f>
        <v>-</v>
      </c>
      <c r="M9" s="32" t="str">
        <f t="shared" si="0"/>
        <v>-</v>
      </c>
      <c r="N9" s="33" t="str">
        <f t="shared" si="1"/>
        <v>-</v>
      </c>
      <c r="O9" s="34" t="str">
        <f>IFERROR(IF($L$2&gt;0, $L$2*N9, "-"), "-")</f>
        <v>-</v>
      </c>
      <c r="P9" s="25"/>
      <c r="Q9" s="34" t="str">
        <f t="shared" si="2"/>
        <v>-</v>
      </c>
    </row>
    <row r="10" spans="1:17" s="19" customFormat="1" ht="14.4" x14ac:dyDescent="0.3">
      <c r="A10" s="41">
        <v>679234055515</v>
      </c>
      <c r="B10" s="42" t="s">
        <v>6</v>
      </c>
      <c r="C10" s="43" t="s">
        <v>7</v>
      </c>
      <c r="D10" s="42" t="s">
        <v>8</v>
      </c>
      <c r="E10" s="59">
        <v>5.5660000000000001E-2</v>
      </c>
      <c r="F10" s="60" t="s">
        <v>54</v>
      </c>
      <c r="G10" s="44">
        <v>24.1371</v>
      </c>
      <c r="H10" s="45"/>
      <c r="I10" s="46">
        <f>H10*G10</f>
        <v>0</v>
      </c>
      <c r="L10" s="32" t="str">
        <f>IFERROR(IF($L$2*E10=0, "-", $L$2*E10), "-")</f>
        <v>-</v>
      </c>
      <c r="M10" s="32" t="str">
        <f t="shared" si="0"/>
        <v>-</v>
      </c>
      <c r="N10" s="33" t="str">
        <f t="shared" si="1"/>
        <v>-</v>
      </c>
      <c r="O10" s="34" t="str">
        <f>IFERROR(IF($L$2&gt;0, $L$2*N10, "-"), "-")</f>
        <v>-</v>
      </c>
      <c r="P10" s="25"/>
      <c r="Q10" s="34" t="str">
        <f t="shared" si="2"/>
        <v>-</v>
      </c>
    </row>
    <row r="11" spans="1:17" s="19" customFormat="1" ht="14.4" x14ac:dyDescent="0.3">
      <c r="A11" s="41">
        <v>679234051524</v>
      </c>
      <c r="B11" s="42" t="s">
        <v>16</v>
      </c>
      <c r="C11" s="43" t="s">
        <v>17</v>
      </c>
      <c r="D11" s="42" t="s">
        <v>18</v>
      </c>
      <c r="E11" s="59"/>
      <c r="F11" s="60" t="s">
        <v>54</v>
      </c>
      <c r="G11" s="44">
        <v>8.0145</v>
      </c>
      <c r="H11" s="45"/>
      <c r="I11" s="46">
        <f>H11*G11</f>
        <v>0</v>
      </c>
      <c r="L11" s="32" t="str">
        <f>IFERROR(IF($L$2*E11=0, "-", $L$2*E11), "-")</f>
        <v>-</v>
      </c>
      <c r="M11" s="32" t="str">
        <f t="shared" si="0"/>
        <v>-</v>
      </c>
      <c r="N11" s="33" t="str">
        <f t="shared" si="1"/>
        <v>-</v>
      </c>
      <c r="O11" s="34" t="str">
        <f>IFERROR(IF($L$2&gt;0, $L$2*N11, "-"), "-")</f>
        <v>-</v>
      </c>
      <c r="P11" s="25"/>
      <c r="Q11" s="34" t="str">
        <f t="shared" si="2"/>
        <v>-</v>
      </c>
    </row>
    <row r="12" spans="1:17" s="19" customFormat="1" ht="14.4" x14ac:dyDescent="0.3">
      <c r="A12" s="41">
        <v>679234051425</v>
      </c>
      <c r="B12" s="42" t="s">
        <v>21</v>
      </c>
      <c r="C12" s="43" t="s">
        <v>22</v>
      </c>
      <c r="D12" s="42" t="s">
        <v>23</v>
      </c>
      <c r="E12" s="59">
        <v>0.17811199999999999</v>
      </c>
      <c r="F12" s="60" t="s">
        <v>54</v>
      </c>
      <c r="G12" s="44">
        <v>10.2843</v>
      </c>
      <c r="H12" s="45"/>
      <c r="I12" s="46">
        <f>H12*G12</f>
        <v>0</v>
      </c>
      <c r="L12" s="32" t="str">
        <f>IFERROR(IF($L$2*E12=0, "-", $L$2*E12), "-")</f>
        <v>-</v>
      </c>
      <c r="M12" s="32" t="str">
        <f t="shared" si="0"/>
        <v>-</v>
      </c>
      <c r="N12" s="33" t="str">
        <f t="shared" si="1"/>
        <v>-</v>
      </c>
      <c r="O12" s="34" t="str">
        <f>IFERROR(IF($L$2&gt;0, $L$2*N12, "-"), "-")</f>
        <v>-</v>
      </c>
      <c r="P12" s="25"/>
      <c r="Q12" s="34" t="str">
        <f t="shared" si="2"/>
        <v>-</v>
      </c>
    </row>
    <row r="13" spans="1:17" s="19" customFormat="1" ht="14.4" x14ac:dyDescent="0.3">
      <c r="A13" s="41">
        <v>679234071522</v>
      </c>
      <c r="B13" s="42" t="s">
        <v>26</v>
      </c>
      <c r="C13" s="43" t="s">
        <v>27</v>
      </c>
      <c r="D13" s="42" t="s">
        <v>2</v>
      </c>
      <c r="E13" s="59">
        <v>0.211508</v>
      </c>
      <c r="F13" s="60" t="s">
        <v>54</v>
      </c>
      <c r="G13" s="44">
        <v>8.0145</v>
      </c>
      <c r="H13" s="45"/>
      <c r="I13" s="46">
        <f>H13*G13</f>
        <v>0</v>
      </c>
      <c r="L13" s="32" t="str">
        <f>IFERROR(IF($L$2*E13=0, "-", $L$2*E13), "-")</f>
        <v>-</v>
      </c>
      <c r="M13" s="32" t="str">
        <f t="shared" si="0"/>
        <v>-</v>
      </c>
      <c r="N13" s="33" t="str">
        <f t="shared" si="1"/>
        <v>-</v>
      </c>
      <c r="O13" s="34" t="str">
        <f>IFERROR(IF($L$2&gt;0, $L$2*N13, "-"), "-")</f>
        <v>-</v>
      </c>
      <c r="P13" s="25"/>
      <c r="Q13" s="34" t="str">
        <f t="shared" si="2"/>
        <v>-</v>
      </c>
    </row>
    <row r="14" spans="1:17" s="19" customFormat="1" ht="14.4" x14ac:dyDescent="0.3">
      <c r="A14" s="41">
        <v>679234071515</v>
      </c>
      <c r="B14" s="42" t="s">
        <v>28</v>
      </c>
      <c r="C14" s="43" t="s">
        <v>29</v>
      </c>
      <c r="D14" s="42" t="s">
        <v>2</v>
      </c>
      <c r="E14" s="59">
        <v>0.22264</v>
      </c>
      <c r="F14" s="60" t="s">
        <v>54</v>
      </c>
      <c r="G14" s="44">
        <v>7.4762999999999993</v>
      </c>
      <c r="H14" s="45"/>
      <c r="I14" s="46">
        <f>H14*G14</f>
        <v>0</v>
      </c>
      <c r="L14" s="32" t="str">
        <f>IFERROR(IF($L$2*E14=0, "-", $L$2*E14), "-")</f>
        <v>-</v>
      </c>
      <c r="M14" s="32" t="str">
        <f t="shared" si="0"/>
        <v>-</v>
      </c>
      <c r="N14" s="33" t="str">
        <f t="shared" si="1"/>
        <v>-</v>
      </c>
      <c r="O14" s="34" t="str">
        <f>IFERROR(IF($L$2&gt;0, $L$2*N14, "-"), "-")</f>
        <v>-</v>
      </c>
      <c r="P14" s="25"/>
      <c r="Q14" s="34" t="str">
        <f t="shared" si="2"/>
        <v>-</v>
      </c>
    </row>
    <row r="15" spans="1:17" s="19" customFormat="1" ht="14.4" x14ac:dyDescent="0.3">
      <c r="A15" s="41">
        <v>679234055638</v>
      </c>
      <c r="B15" s="42" t="s">
        <v>30</v>
      </c>
      <c r="C15" s="43" t="s">
        <v>31</v>
      </c>
      <c r="D15" s="42" t="s">
        <v>8</v>
      </c>
      <c r="E15" s="59">
        <v>5.5660000000000001E-2</v>
      </c>
      <c r="F15" s="60" t="s">
        <v>54</v>
      </c>
      <c r="G15" s="44">
        <v>26.196300000000001</v>
      </c>
      <c r="H15" s="45"/>
      <c r="I15" s="46">
        <f>H15*G15</f>
        <v>0</v>
      </c>
      <c r="L15" s="32" t="str">
        <f>IFERROR(IF($L$2*E15=0, "-", $L$2*E15), "-")</f>
        <v>-</v>
      </c>
      <c r="M15" s="32" t="str">
        <f t="shared" si="0"/>
        <v>-</v>
      </c>
      <c r="N15" s="33" t="str">
        <f t="shared" si="1"/>
        <v>-</v>
      </c>
      <c r="O15" s="34" t="str">
        <f>IFERROR(IF($L$2&gt;0, $L$2*N15, "-"), "-")</f>
        <v>-</v>
      </c>
      <c r="P15" s="25"/>
      <c r="Q15" s="34" t="str">
        <f t="shared" si="2"/>
        <v>-</v>
      </c>
    </row>
    <row r="16" spans="1:17" s="19" customFormat="1" ht="15" thickBot="1" x14ac:dyDescent="0.35">
      <c r="A16" s="47">
        <v>679234056024</v>
      </c>
      <c r="B16" s="48" t="s">
        <v>32</v>
      </c>
      <c r="C16" s="49" t="s">
        <v>33</v>
      </c>
      <c r="D16" s="48" t="s">
        <v>34</v>
      </c>
      <c r="E16" s="62">
        <v>5.5660000000000001E-2</v>
      </c>
      <c r="F16" s="63" t="s">
        <v>54</v>
      </c>
      <c r="G16" s="50">
        <v>12.156300000000002</v>
      </c>
      <c r="H16" s="51"/>
      <c r="I16" s="52">
        <f>H16*G16</f>
        <v>0</v>
      </c>
      <c r="L16" s="32" t="str">
        <f>IFERROR(IF($L$2*E16=0, "-", $L$2*E16), "-")</f>
        <v>-</v>
      </c>
      <c r="M16" s="32" t="str">
        <f t="shared" si="0"/>
        <v>-</v>
      </c>
      <c r="N16" s="33" t="str">
        <f t="shared" si="1"/>
        <v>-</v>
      </c>
      <c r="O16" s="34" t="str">
        <f>IFERROR(IF($L$2&gt;0, $L$2*N16, "-"), "-")</f>
        <v>-</v>
      </c>
      <c r="P16" s="25"/>
      <c r="Q16" s="34" t="str">
        <f t="shared" si="2"/>
        <v>-</v>
      </c>
    </row>
    <row r="19" spans="1:8" ht="12.6" thickBot="1" x14ac:dyDescent="0.3"/>
    <row r="20" spans="1:8" s="11" customFormat="1" ht="26.4" customHeight="1" thickBot="1" x14ac:dyDescent="0.35">
      <c r="A20" s="10"/>
      <c r="C20" s="9" t="e" vm="1">
        <v>#VALUE!</v>
      </c>
      <c r="D20" s="13"/>
      <c r="E20" s="13"/>
      <c r="F20" s="13"/>
      <c r="G20" s="14"/>
      <c r="H20" s="21"/>
    </row>
    <row r="21" spans="1:8" s="11" customFormat="1" ht="10.199999999999999" x14ac:dyDescent="0.2">
      <c r="A21" s="10"/>
      <c r="C21" s="12" t="s">
        <v>43</v>
      </c>
      <c r="D21" s="13"/>
      <c r="E21" s="13"/>
      <c r="F21" s="13"/>
      <c r="G21" s="14"/>
      <c r="H21" s="21"/>
    </row>
    <row r="22" spans="1:8" s="11" customFormat="1" ht="10.199999999999999" x14ac:dyDescent="0.2">
      <c r="A22" s="10"/>
      <c r="C22" s="15" t="s">
        <v>44</v>
      </c>
      <c r="D22" s="13"/>
      <c r="E22" s="13"/>
      <c r="F22" s="13"/>
      <c r="G22" s="14"/>
      <c r="H22" s="21"/>
    </row>
    <row r="23" spans="1:8" s="11" customFormat="1" ht="10.8" thickBot="1" x14ac:dyDescent="0.25">
      <c r="A23" s="10"/>
      <c r="C23" s="16" t="s">
        <v>45</v>
      </c>
      <c r="D23" s="13"/>
      <c r="E23" s="13"/>
      <c r="F23" s="13"/>
      <c r="G23" s="14"/>
      <c r="H23" s="21"/>
    </row>
    <row r="24" spans="1:8" x14ac:dyDescent="0.25">
      <c r="C24" s="17" t="s">
        <v>46</v>
      </c>
    </row>
    <row r="25" spans="1:8" ht="12.6" thickBot="1" x14ac:dyDescent="0.3">
      <c r="C25" s="18" t="s">
        <v>47</v>
      </c>
    </row>
  </sheetData>
  <sheetProtection algorithmName="SHA-512" hashValue="Eqq4/nxF0NiwJAF7AjLT0jQubUeXMDxLDOlaAVMhwBki+KjBvT83L/c2UWQ6vVPE11wIZgd7R3zvoiO5SVY/pQ==" saltValue="U5cQlvGmgjP+LFR11HDneg==" spinCount="100000" sheet="1" formatCells="0" formatColumns="0" formatRows="0" insertColumns="0" insertRows="0" insertHyperlinks="0" deleteColumns="0" deleteRows="0" sort="0" autoFilter="0" pivotTables="0"/>
  <autoFilter ref="A2:I2" xr:uid="{A4EAC1F1-F08A-46FD-A4E2-B618CCCD2F71}">
    <sortState xmlns:xlrd2="http://schemas.microsoft.com/office/spreadsheetml/2017/richdata2" ref="A3:I16">
      <sortCondition ref="F2"/>
    </sortState>
  </autoFilter>
  <mergeCells count="2">
    <mergeCell ref="A1:I1"/>
    <mergeCell ref="M1:M2"/>
  </mergeCells>
  <conditionalFormatting sqref="Q1">
    <cfRule type="expression" dxfId="3" priority="5">
      <formula>"&gt;0"</formula>
    </cfRule>
  </conditionalFormatting>
  <conditionalFormatting sqref="F3:F16">
    <cfRule type="containsText" dxfId="2" priority="1" operator="containsText" text="В">
      <formula>NOT(ISERROR(SEARCH("В",F3)))</formula>
    </cfRule>
    <cfRule type="containsText" dxfId="1" priority="2" operator="containsText" text="А">
      <formula>NOT(ISERROR(SEARCH("А",F3)))</formula>
    </cfRule>
    <cfRule type="containsText" dxfId="0" priority="3" operator="containsText" text="С">
      <formula>NOT(ISERROR(SEARCH("С",F3)))</formula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DSN GROUP (Mommy's bliss)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Хомик</dc:creator>
  <cp:lastModifiedBy>Денис Хомик</cp:lastModifiedBy>
  <dcterms:created xsi:type="dcterms:W3CDTF">2025-03-13T15:10:00Z</dcterms:created>
  <dcterms:modified xsi:type="dcterms:W3CDTF">2026-02-03T09:02:18Z</dcterms:modified>
</cp:coreProperties>
</file>