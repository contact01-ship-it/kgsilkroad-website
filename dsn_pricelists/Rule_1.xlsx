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W\Всяке\прайсики\Project X\Міжнародка\"/>
    </mc:Choice>
  </mc:AlternateContent>
  <xr:revisionPtr revIDLastSave="0" documentId="8_{C1248B1F-E81B-4C73-84EA-9256CE77D38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SN GROUP (R1)" sheetId="6" r:id="rId1"/>
  </sheets>
  <definedNames>
    <definedName name="_xlnm._FilterDatabase" localSheetId="0" hidden="1">'DSN GROUP (R1)'!$A$2:$I$210</definedName>
    <definedName name="Insert_2_MPOWER_sample_packs_in_each_ANAB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26" i="6" l="1"/>
  <c r="I225" i="6"/>
  <c r="I224" i="6"/>
  <c r="I223" i="6"/>
  <c r="Q223" i="6" s="1"/>
  <c r="I222" i="6"/>
  <c r="I221" i="6"/>
  <c r="I220" i="6"/>
  <c r="Q220" i="6" s="1"/>
  <c r="I219" i="6"/>
  <c r="I218" i="6"/>
  <c r="I217" i="6"/>
  <c r="Q217" i="6" s="1"/>
  <c r="I216" i="6"/>
  <c r="I215" i="6"/>
  <c r="I214" i="6"/>
  <c r="Q214" i="6" s="1"/>
  <c r="I213" i="6"/>
  <c r="L213" i="6"/>
  <c r="M213" i="6"/>
  <c r="N213" i="6"/>
  <c r="O213" i="6"/>
  <c r="Q213" i="6"/>
  <c r="L214" i="6"/>
  <c r="M214" i="6"/>
  <c r="N214" i="6"/>
  <c r="O214" i="6"/>
  <c r="L215" i="6"/>
  <c r="M215" i="6"/>
  <c r="N215" i="6"/>
  <c r="O215" i="6"/>
  <c r="Q215" i="6"/>
  <c r="L216" i="6"/>
  <c r="M216" i="6" s="1"/>
  <c r="N216" i="6"/>
  <c r="O216" i="6"/>
  <c r="Q216" i="6" s="1"/>
  <c r="L217" i="6"/>
  <c r="M217" i="6"/>
  <c r="N217" i="6"/>
  <c r="O217" i="6"/>
  <c r="L218" i="6"/>
  <c r="M218" i="6"/>
  <c r="N218" i="6"/>
  <c r="O218" i="6"/>
  <c r="Q218" i="6"/>
  <c r="L219" i="6"/>
  <c r="M219" i="6"/>
  <c r="N219" i="6"/>
  <c r="O219" i="6"/>
  <c r="Q219" i="6"/>
  <c r="L220" i="6"/>
  <c r="M220" i="6"/>
  <c r="N220" i="6"/>
  <c r="O220" i="6"/>
  <c r="L221" i="6"/>
  <c r="M221" i="6"/>
  <c r="N221" i="6"/>
  <c r="O221" i="6"/>
  <c r="Q221" i="6"/>
  <c r="L222" i="6"/>
  <c r="M222" i="6"/>
  <c r="N222" i="6"/>
  <c r="O222" i="6"/>
  <c r="Q222" i="6"/>
  <c r="L223" i="6"/>
  <c r="M223" i="6" s="1"/>
  <c r="N223" i="6"/>
  <c r="O223" i="6"/>
  <c r="L224" i="6"/>
  <c r="M224" i="6"/>
  <c r="N224" i="6"/>
  <c r="O224" i="6"/>
  <c r="Q224" i="6"/>
  <c r="L225" i="6"/>
  <c r="M225" i="6"/>
  <c r="N225" i="6"/>
  <c r="O225" i="6"/>
  <c r="Q225" i="6" s="1"/>
  <c r="L226" i="6"/>
  <c r="M226" i="6"/>
  <c r="N226" i="6"/>
  <c r="O226" i="6"/>
  <c r="Q226" i="6"/>
  <c r="L3" i="6"/>
  <c r="N4" i="6"/>
  <c r="O4" i="6"/>
  <c r="N5" i="6"/>
  <c r="O5" i="6"/>
  <c r="N6" i="6"/>
  <c r="O6" i="6"/>
  <c r="N7" i="6"/>
  <c r="O7" i="6"/>
  <c r="N8" i="6"/>
  <c r="O8" i="6"/>
  <c r="N9" i="6"/>
  <c r="O9" i="6"/>
  <c r="N10" i="6"/>
  <c r="O10" i="6"/>
  <c r="N11" i="6"/>
  <c r="O11" i="6"/>
  <c r="N12" i="6"/>
  <c r="O12" i="6"/>
  <c r="N13" i="6"/>
  <c r="O13" i="6"/>
  <c r="N14" i="6"/>
  <c r="O14" i="6"/>
  <c r="N15" i="6"/>
  <c r="O15" i="6"/>
  <c r="N16" i="6"/>
  <c r="O16" i="6"/>
  <c r="N17" i="6"/>
  <c r="O17" i="6"/>
  <c r="N18" i="6"/>
  <c r="O18" i="6"/>
  <c r="N19" i="6"/>
  <c r="O19" i="6"/>
  <c r="N20" i="6"/>
  <c r="O20" i="6"/>
  <c r="N21" i="6"/>
  <c r="O21" i="6"/>
  <c r="N22" i="6"/>
  <c r="O22" i="6"/>
  <c r="N23" i="6"/>
  <c r="O23" i="6"/>
  <c r="N24" i="6"/>
  <c r="O24" i="6"/>
  <c r="N25" i="6"/>
  <c r="O25" i="6"/>
  <c r="N26" i="6"/>
  <c r="O26" i="6"/>
  <c r="N27" i="6"/>
  <c r="O27" i="6"/>
  <c r="N28" i="6"/>
  <c r="O28" i="6"/>
  <c r="N29" i="6"/>
  <c r="O29" i="6"/>
  <c r="N30" i="6"/>
  <c r="O30" i="6"/>
  <c r="N31" i="6"/>
  <c r="O31" i="6"/>
  <c r="N32" i="6"/>
  <c r="O32" i="6"/>
  <c r="N33" i="6"/>
  <c r="O33" i="6"/>
  <c r="N34" i="6"/>
  <c r="O34" i="6"/>
  <c r="N35" i="6"/>
  <c r="O35" i="6"/>
  <c r="N36" i="6"/>
  <c r="O36" i="6"/>
  <c r="N37" i="6"/>
  <c r="O37" i="6"/>
  <c r="N38" i="6"/>
  <c r="O38" i="6"/>
  <c r="N39" i="6"/>
  <c r="O39" i="6"/>
  <c r="N40" i="6"/>
  <c r="O40" i="6"/>
  <c r="N41" i="6"/>
  <c r="O41" i="6"/>
  <c r="N42" i="6"/>
  <c r="O42" i="6"/>
  <c r="N43" i="6"/>
  <c r="O43" i="6"/>
  <c r="N44" i="6"/>
  <c r="O44" i="6"/>
  <c r="N45" i="6"/>
  <c r="O45" i="6"/>
  <c r="N46" i="6"/>
  <c r="O46" i="6"/>
  <c r="N47" i="6"/>
  <c r="O47" i="6"/>
  <c r="N48" i="6"/>
  <c r="O48" i="6"/>
  <c r="N49" i="6"/>
  <c r="O49" i="6"/>
  <c r="N50" i="6"/>
  <c r="O50" i="6"/>
  <c r="N51" i="6"/>
  <c r="O51" i="6"/>
  <c r="N52" i="6"/>
  <c r="O52" i="6"/>
  <c r="N53" i="6"/>
  <c r="O53" i="6"/>
  <c r="N54" i="6"/>
  <c r="O54" i="6"/>
  <c r="N55" i="6"/>
  <c r="O55" i="6"/>
  <c r="N56" i="6"/>
  <c r="O56" i="6"/>
  <c r="N57" i="6"/>
  <c r="O57" i="6"/>
  <c r="N58" i="6"/>
  <c r="O58" i="6"/>
  <c r="N59" i="6"/>
  <c r="O59" i="6"/>
  <c r="N60" i="6"/>
  <c r="O60" i="6"/>
  <c r="N61" i="6"/>
  <c r="O61" i="6"/>
  <c r="N62" i="6"/>
  <c r="O62" i="6"/>
  <c r="N63" i="6"/>
  <c r="O63" i="6"/>
  <c r="N64" i="6"/>
  <c r="O64" i="6"/>
  <c r="N65" i="6"/>
  <c r="O65" i="6"/>
  <c r="N66" i="6"/>
  <c r="O66" i="6"/>
  <c r="N67" i="6"/>
  <c r="O67" i="6"/>
  <c r="N68" i="6"/>
  <c r="O68" i="6"/>
  <c r="N69" i="6"/>
  <c r="O69" i="6"/>
  <c r="N70" i="6"/>
  <c r="O70" i="6"/>
  <c r="Q70" i="6" s="1"/>
  <c r="N71" i="6"/>
  <c r="O71" i="6"/>
  <c r="Q71" i="6" s="1"/>
  <c r="N72" i="6"/>
  <c r="O72" i="6"/>
  <c r="Q72" i="6" s="1"/>
  <c r="N73" i="6"/>
  <c r="O73" i="6"/>
  <c r="Q73" i="6" s="1"/>
  <c r="N74" i="6"/>
  <c r="O74" i="6"/>
  <c r="N75" i="6"/>
  <c r="O75" i="6"/>
  <c r="N76" i="6"/>
  <c r="O76" i="6"/>
  <c r="N77" i="6"/>
  <c r="O77" i="6"/>
  <c r="N78" i="6"/>
  <c r="O78" i="6"/>
  <c r="N79" i="6"/>
  <c r="O79" i="6"/>
  <c r="N80" i="6"/>
  <c r="O80" i="6"/>
  <c r="N81" i="6"/>
  <c r="O81" i="6"/>
  <c r="N82" i="6"/>
  <c r="O82" i="6"/>
  <c r="N83" i="6"/>
  <c r="O83" i="6"/>
  <c r="N84" i="6"/>
  <c r="O84" i="6"/>
  <c r="N85" i="6"/>
  <c r="O85" i="6"/>
  <c r="N86" i="6"/>
  <c r="O86" i="6"/>
  <c r="N87" i="6"/>
  <c r="O87" i="6"/>
  <c r="N88" i="6"/>
  <c r="O88" i="6"/>
  <c r="N89" i="6"/>
  <c r="O89" i="6"/>
  <c r="N90" i="6"/>
  <c r="O90" i="6"/>
  <c r="N91" i="6"/>
  <c r="O91" i="6"/>
  <c r="N92" i="6"/>
  <c r="O92" i="6"/>
  <c r="N93" i="6"/>
  <c r="O93" i="6"/>
  <c r="N94" i="6"/>
  <c r="O94" i="6"/>
  <c r="N95" i="6"/>
  <c r="O95" i="6"/>
  <c r="N96" i="6"/>
  <c r="O96" i="6"/>
  <c r="N97" i="6"/>
  <c r="O97" i="6"/>
  <c r="N98" i="6"/>
  <c r="O98" i="6"/>
  <c r="N99" i="6"/>
  <c r="O99" i="6"/>
  <c r="N100" i="6"/>
  <c r="O100" i="6"/>
  <c r="N101" i="6"/>
  <c r="O101" i="6"/>
  <c r="N102" i="6"/>
  <c r="O102" i="6"/>
  <c r="N103" i="6"/>
  <c r="O103" i="6"/>
  <c r="N104" i="6"/>
  <c r="O104" i="6"/>
  <c r="N105" i="6"/>
  <c r="O105" i="6"/>
  <c r="N106" i="6"/>
  <c r="O106" i="6"/>
  <c r="N107" i="6"/>
  <c r="O107" i="6"/>
  <c r="N108" i="6"/>
  <c r="O108" i="6"/>
  <c r="N109" i="6"/>
  <c r="O109" i="6"/>
  <c r="N110" i="6"/>
  <c r="O110" i="6"/>
  <c r="N111" i="6"/>
  <c r="O111" i="6"/>
  <c r="N112" i="6"/>
  <c r="O112" i="6"/>
  <c r="N113" i="6"/>
  <c r="O113" i="6"/>
  <c r="N114" i="6"/>
  <c r="O114" i="6"/>
  <c r="N115" i="6"/>
  <c r="O115" i="6"/>
  <c r="N116" i="6"/>
  <c r="O116" i="6"/>
  <c r="N117" i="6"/>
  <c r="O117" i="6"/>
  <c r="N118" i="6"/>
  <c r="O118" i="6"/>
  <c r="N119" i="6"/>
  <c r="O119" i="6"/>
  <c r="N120" i="6"/>
  <c r="O120" i="6"/>
  <c r="N121" i="6"/>
  <c r="O121" i="6"/>
  <c r="N122" i="6"/>
  <c r="O122" i="6"/>
  <c r="N123" i="6"/>
  <c r="O123" i="6"/>
  <c r="N124" i="6"/>
  <c r="O124" i="6"/>
  <c r="N125" i="6"/>
  <c r="O125" i="6"/>
  <c r="N126" i="6"/>
  <c r="O126" i="6"/>
  <c r="N127" i="6"/>
  <c r="O127" i="6"/>
  <c r="N128" i="6"/>
  <c r="O128" i="6"/>
  <c r="N129" i="6"/>
  <c r="O129" i="6"/>
  <c r="N130" i="6"/>
  <c r="O130" i="6"/>
  <c r="N131" i="6"/>
  <c r="O131" i="6"/>
  <c r="N132" i="6"/>
  <c r="O132" i="6"/>
  <c r="N133" i="6"/>
  <c r="O133" i="6"/>
  <c r="N134" i="6"/>
  <c r="O134" i="6"/>
  <c r="N135" i="6"/>
  <c r="O135" i="6"/>
  <c r="N136" i="6"/>
  <c r="O136" i="6"/>
  <c r="N137" i="6"/>
  <c r="O137" i="6"/>
  <c r="N138" i="6"/>
  <c r="O138" i="6"/>
  <c r="N139" i="6"/>
  <c r="O139" i="6"/>
  <c r="N140" i="6"/>
  <c r="O140" i="6"/>
  <c r="N141" i="6"/>
  <c r="O141" i="6"/>
  <c r="N142" i="6"/>
  <c r="O142" i="6"/>
  <c r="N143" i="6"/>
  <c r="O143" i="6"/>
  <c r="N144" i="6"/>
  <c r="O144" i="6"/>
  <c r="N145" i="6"/>
  <c r="O145" i="6"/>
  <c r="N146" i="6"/>
  <c r="O146" i="6"/>
  <c r="N147" i="6"/>
  <c r="O147" i="6"/>
  <c r="N148" i="6"/>
  <c r="O148" i="6"/>
  <c r="N149" i="6"/>
  <c r="O149" i="6"/>
  <c r="N150" i="6"/>
  <c r="O150" i="6"/>
  <c r="N151" i="6"/>
  <c r="O151" i="6"/>
  <c r="N152" i="6"/>
  <c r="O152" i="6"/>
  <c r="N153" i="6"/>
  <c r="O153" i="6"/>
  <c r="N154" i="6"/>
  <c r="O154" i="6"/>
  <c r="N155" i="6"/>
  <c r="O155" i="6"/>
  <c r="N156" i="6"/>
  <c r="O156" i="6"/>
  <c r="N157" i="6"/>
  <c r="O157" i="6"/>
  <c r="N158" i="6"/>
  <c r="O158" i="6"/>
  <c r="N159" i="6"/>
  <c r="O159" i="6"/>
  <c r="N160" i="6"/>
  <c r="O160" i="6"/>
  <c r="N161" i="6"/>
  <c r="O161" i="6"/>
  <c r="N162" i="6"/>
  <c r="O162" i="6"/>
  <c r="N163" i="6"/>
  <c r="O163" i="6"/>
  <c r="N164" i="6"/>
  <c r="O164" i="6"/>
  <c r="N165" i="6"/>
  <c r="O165" i="6"/>
  <c r="N166" i="6"/>
  <c r="O166" i="6"/>
  <c r="N167" i="6"/>
  <c r="O167" i="6"/>
  <c r="N168" i="6"/>
  <c r="O168" i="6"/>
  <c r="N169" i="6"/>
  <c r="O169" i="6"/>
  <c r="N170" i="6"/>
  <c r="O170" i="6"/>
  <c r="N171" i="6"/>
  <c r="O171" i="6"/>
  <c r="N172" i="6"/>
  <c r="O172" i="6"/>
  <c r="N173" i="6"/>
  <c r="O173" i="6"/>
  <c r="N174" i="6"/>
  <c r="O174" i="6"/>
  <c r="N175" i="6"/>
  <c r="O175" i="6"/>
  <c r="N176" i="6"/>
  <c r="O176" i="6"/>
  <c r="N177" i="6"/>
  <c r="O177" i="6"/>
  <c r="N178" i="6"/>
  <c r="O178" i="6"/>
  <c r="N179" i="6"/>
  <c r="O179" i="6"/>
  <c r="N180" i="6"/>
  <c r="O180" i="6"/>
  <c r="N181" i="6"/>
  <c r="O181" i="6"/>
  <c r="N182" i="6"/>
  <c r="O182" i="6"/>
  <c r="N183" i="6"/>
  <c r="O183" i="6"/>
  <c r="N184" i="6"/>
  <c r="O184" i="6"/>
  <c r="N185" i="6"/>
  <c r="O185" i="6"/>
  <c r="N186" i="6"/>
  <c r="O186" i="6"/>
  <c r="N187" i="6"/>
  <c r="O187" i="6"/>
  <c r="N188" i="6"/>
  <c r="O188" i="6"/>
  <c r="N189" i="6"/>
  <c r="O189" i="6"/>
  <c r="N190" i="6"/>
  <c r="O190" i="6"/>
  <c r="N191" i="6"/>
  <c r="O191" i="6"/>
  <c r="N192" i="6"/>
  <c r="O192" i="6"/>
  <c r="N193" i="6"/>
  <c r="O193" i="6"/>
  <c r="N194" i="6"/>
  <c r="O194" i="6"/>
  <c r="N195" i="6"/>
  <c r="O195" i="6"/>
  <c r="N196" i="6"/>
  <c r="O196" i="6"/>
  <c r="N197" i="6"/>
  <c r="O197" i="6"/>
  <c r="N198" i="6"/>
  <c r="O198" i="6"/>
  <c r="N199" i="6"/>
  <c r="O199" i="6"/>
  <c r="N200" i="6"/>
  <c r="O200" i="6"/>
  <c r="N201" i="6"/>
  <c r="O201" i="6"/>
  <c r="N202" i="6"/>
  <c r="O202" i="6"/>
  <c r="N203" i="6"/>
  <c r="O203" i="6"/>
  <c r="N204" i="6"/>
  <c r="O204" i="6"/>
  <c r="N205" i="6"/>
  <c r="O205" i="6"/>
  <c r="N206" i="6"/>
  <c r="O206" i="6"/>
  <c r="N207" i="6"/>
  <c r="O207" i="6"/>
  <c r="N208" i="6"/>
  <c r="O208" i="6"/>
  <c r="N209" i="6"/>
  <c r="O209" i="6"/>
  <c r="N210" i="6"/>
  <c r="O210" i="6"/>
  <c r="N211" i="6"/>
  <c r="O211" i="6"/>
  <c r="N212" i="6"/>
  <c r="O212" i="6"/>
  <c r="N3" i="6"/>
  <c r="O3" i="6"/>
  <c r="L205" i="6" l="1"/>
  <c r="M205" i="6" s="1"/>
  <c r="L173" i="6"/>
  <c r="M173" i="6" s="1"/>
  <c r="L157" i="6"/>
  <c r="M157" i="6" s="1"/>
  <c r="L141" i="6"/>
  <c r="M141" i="6" s="1"/>
  <c r="L61" i="6"/>
  <c r="M61" i="6" s="1"/>
  <c r="L45" i="6"/>
  <c r="M45" i="6" s="1"/>
  <c r="L29" i="6"/>
  <c r="M29" i="6" s="1"/>
  <c r="L210" i="6"/>
  <c r="M210" i="6" s="1"/>
  <c r="L178" i="6"/>
  <c r="M178" i="6" s="1"/>
  <c r="L162" i="6"/>
  <c r="M162" i="6" s="1"/>
  <c r="L146" i="6"/>
  <c r="M146" i="6" s="1"/>
  <c r="L98" i="6"/>
  <c r="M98" i="6" s="1"/>
  <c r="L66" i="6"/>
  <c r="M66" i="6" s="1"/>
  <c r="L34" i="6"/>
  <c r="M34" i="6" s="1"/>
  <c r="L18" i="6"/>
  <c r="M18" i="6" s="1"/>
  <c r="L23" i="6"/>
  <c r="M23" i="6" s="1"/>
  <c r="L7" i="6"/>
  <c r="M7" i="6" s="1"/>
  <c r="L204" i="6"/>
  <c r="M204" i="6" s="1"/>
  <c r="L156" i="6"/>
  <c r="M156" i="6" s="1"/>
  <c r="L124" i="6"/>
  <c r="M124" i="6" s="1"/>
  <c r="L92" i="6"/>
  <c r="L28" i="6"/>
  <c r="M28" i="6" s="1"/>
  <c r="L193" i="6"/>
  <c r="M193" i="6" s="1"/>
  <c r="L145" i="6"/>
  <c r="M145" i="6" s="1"/>
  <c r="L113" i="6"/>
  <c r="M113" i="6" s="1"/>
  <c r="L81" i="6"/>
  <c r="M81" i="6" s="1"/>
  <c r="L65" i="6"/>
  <c r="M65" i="6" s="1"/>
  <c r="L49" i="6"/>
  <c r="M49" i="6" s="1"/>
  <c r="L198" i="6"/>
  <c r="M198" i="6" s="1"/>
  <c r="L166" i="6"/>
  <c r="M166" i="6" s="1"/>
  <c r="L102" i="6"/>
  <c r="M102" i="6" s="1"/>
  <c r="L70" i="6"/>
  <c r="M70" i="6" s="1"/>
  <c r="L54" i="6"/>
  <c r="M54" i="6" s="1"/>
  <c r="L38" i="6"/>
  <c r="M38" i="6" s="1"/>
  <c r="L22" i="6"/>
  <c r="M22" i="6" s="1"/>
  <c r="L6" i="6"/>
  <c r="M6" i="6" s="1"/>
  <c r="L203" i="6"/>
  <c r="M203" i="6" s="1"/>
  <c r="L187" i="6"/>
  <c r="M187" i="6" s="1"/>
  <c r="L27" i="6"/>
  <c r="M27" i="6" s="1"/>
  <c r="L208" i="6"/>
  <c r="M208" i="6" s="1"/>
  <c r="L128" i="6"/>
  <c r="M128" i="6" s="1"/>
  <c r="L96" i="6"/>
  <c r="M96" i="6" s="1"/>
  <c r="L64" i="6"/>
  <c r="M64" i="6" s="1"/>
  <c r="L48" i="6"/>
  <c r="M48" i="6" s="1"/>
  <c r="L32" i="6"/>
  <c r="M32" i="6" s="1"/>
  <c r="L149" i="6"/>
  <c r="M149" i="6" s="1"/>
  <c r="L133" i="6"/>
  <c r="M133" i="6" s="1"/>
  <c r="L101" i="6"/>
  <c r="M101" i="6" s="1"/>
  <c r="L85" i="6"/>
  <c r="M85" i="6" s="1"/>
  <c r="L69" i="6"/>
  <c r="M69" i="6" s="1"/>
  <c r="L53" i="6"/>
  <c r="M53" i="6" s="1"/>
  <c r="L37" i="6"/>
  <c r="M37" i="6" s="1"/>
  <c r="L5" i="6"/>
  <c r="M5" i="6" s="1"/>
  <c r="L202" i="6"/>
  <c r="M202" i="6" s="1"/>
  <c r="L186" i="6"/>
  <c r="M186" i="6" s="1"/>
  <c r="L170" i="6"/>
  <c r="M170" i="6" s="1"/>
  <c r="L58" i="6"/>
  <c r="M58" i="6" s="1"/>
  <c r="L26" i="6"/>
  <c r="M26" i="6" s="1"/>
  <c r="L10" i="6"/>
  <c r="M10" i="6" s="1"/>
  <c r="L63" i="6"/>
  <c r="M63" i="6" s="1"/>
  <c r="L47" i="6"/>
  <c r="M47" i="6" s="1"/>
  <c r="L31" i="6"/>
  <c r="M31" i="6" s="1"/>
  <c r="L15" i="6"/>
  <c r="M15" i="6" s="1"/>
  <c r="L212" i="6"/>
  <c r="M212" i="6" s="1"/>
  <c r="L196" i="6"/>
  <c r="M196" i="6" s="1"/>
  <c r="L180" i="6"/>
  <c r="M180" i="6" s="1"/>
  <c r="L36" i="6"/>
  <c r="M36" i="6" s="1"/>
  <c r="L20" i="6"/>
  <c r="M20" i="6" s="1"/>
  <c r="L201" i="6"/>
  <c r="M201" i="6" s="1"/>
  <c r="L185" i="6"/>
  <c r="M185" i="6" s="1"/>
  <c r="L121" i="6"/>
  <c r="M121" i="6" s="1"/>
  <c r="L105" i="6"/>
  <c r="M105" i="6" s="1"/>
  <c r="L89" i="6"/>
  <c r="M89" i="6" s="1"/>
  <c r="L73" i="6"/>
  <c r="M73" i="6" s="1"/>
  <c r="L57" i="6"/>
  <c r="M57" i="6" s="1"/>
  <c r="L41" i="6"/>
  <c r="M41" i="6" s="1"/>
  <c r="L25" i="6"/>
  <c r="M25" i="6" s="1"/>
  <c r="L206" i="6"/>
  <c r="M206" i="6" s="1"/>
  <c r="L190" i="6"/>
  <c r="M190" i="6" s="1"/>
  <c r="L189" i="6"/>
  <c r="M189" i="6" s="1"/>
  <c r="L125" i="6"/>
  <c r="M125" i="6" s="1"/>
  <c r="L109" i="6"/>
  <c r="M109" i="6" s="1"/>
  <c r="L13" i="6"/>
  <c r="L194" i="6"/>
  <c r="M194" i="6" s="1"/>
  <c r="L130" i="6"/>
  <c r="M130" i="6" s="1"/>
  <c r="L114" i="6"/>
  <c r="M114" i="6" s="1"/>
  <c r="L82" i="6"/>
  <c r="M82" i="6" s="1"/>
  <c r="L167" i="6"/>
  <c r="M167" i="6" s="1"/>
  <c r="L151" i="6"/>
  <c r="M151" i="6" s="1"/>
  <c r="L87" i="6"/>
  <c r="M87" i="6" s="1"/>
  <c r="L71" i="6"/>
  <c r="M71" i="6" s="1"/>
  <c r="L55" i="6"/>
  <c r="M55" i="6" s="1"/>
  <c r="L39" i="6"/>
  <c r="M39" i="6" s="1"/>
  <c r="L188" i="6"/>
  <c r="M188" i="6" s="1"/>
  <c r="L172" i="6"/>
  <c r="M172" i="6" s="1"/>
  <c r="L140" i="6"/>
  <c r="M140" i="6" s="1"/>
  <c r="L108" i="6"/>
  <c r="M108" i="6" s="1"/>
  <c r="L76" i="6"/>
  <c r="M76" i="6" s="1"/>
  <c r="L209" i="6"/>
  <c r="M209" i="6" s="1"/>
  <c r="L161" i="6"/>
  <c r="M161" i="6" s="1"/>
  <c r="L97" i="6"/>
  <c r="M97" i="6" s="1"/>
  <c r="L33" i="6"/>
  <c r="M33" i="6" s="1"/>
  <c r="L86" i="6"/>
  <c r="M86" i="6" s="1"/>
  <c r="L171" i="6"/>
  <c r="M171" i="6" s="1"/>
  <c r="L75" i="6"/>
  <c r="M75" i="6" s="1"/>
  <c r="L59" i="6"/>
  <c r="M59" i="6" s="1"/>
  <c r="L43" i="6"/>
  <c r="M43" i="6" s="1"/>
  <c r="L112" i="6"/>
  <c r="M112" i="6" s="1"/>
  <c r="L197" i="6"/>
  <c r="M197" i="6" s="1"/>
  <c r="L165" i="6"/>
  <c r="M165" i="6" s="1"/>
  <c r="L154" i="6"/>
  <c r="M154" i="6" s="1"/>
  <c r="L138" i="6"/>
  <c r="M138" i="6" s="1"/>
  <c r="L122" i="6"/>
  <c r="M122" i="6" s="1"/>
  <c r="L106" i="6"/>
  <c r="M106" i="6" s="1"/>
  <c r="L90" i="6"/>
  <c r="M90" i="6" s="1"/>
  <c r="L74" i="6"/>
  <c r="M74" i="6" s="1"/>
  <c r="L42" i="6"/>
  <c r="M42" i="6" s="1"/>
  <c r="L159" i="6"/>
  <c r="M159" i="6" s="1"/>
  <c r="L143" i="6"/>
  <c r="M143" i="6" s="1"/>
  <c r="L95" i="6"/>
  <c r="M95" i="6" s="1"/>
  <c r="L164" i="6"/>
  <c r="M164" i="6" s="1"/>
  <c r="L132" i="6"/>
  <c r="M132" i="6" s="1"/>
  <c r="L100" i="6"/>
  <c r="M100" i="6" s="1"/>
  <c r="L84" i="6"/>
  <c r="M84" i="6" s="1"/>
  <c r="L68" i="6"/>
  <c r="M68" i="6" s="1"/>
  <c r="L52" i="6"/>
  <c r="M52" i="6" s="1"/>
  <c r="L4" i="6"/>
  <c r="M4" i="6" s="1"/>
  <c r="L169" i="6"/>
  <c r="M169" i="6" s="1"/>
  <c r="L153" i="6"/>
  <c r="M153" i="6" s="1"/>
  <c r="L137" i="6"/>
  <c r="M137" i="6" s="1"/>
  <c r="L211" i="6"/>
  <c r="M211" i="6" s="1"/>
  <c r="L195" i="6"/>
  <c r="L179" i="6"/>
  <c r="L163" i="6"/>
  <c r="M163" i="6" s="1"/>
  <c r="L147" i="6"/>
  <c r="M147" i="6" s="1"/>
  <c r="L131" i="6"/>
  <c r="M131" i="6" s="1"/>
  <c r="L115" i="6"/>
  <c r="M115" i="6" s="1"/>
  <c r="L99" i="6"/>
  <c r="M99" i="6" s="1"/>
  <c r="L83" i="6"/>
  <c r="M83" i="6" s="1"/>
  <c r="L67" i="6"/>
  <c r="M67" i="6" s="1"/>
  <c r="L51" i="6"/>
  <c r="M51" i="6" s="1"/>
  <c r="L35" i="6"/>
  <c r="M35" i="6" s="1"/>
  <c r="L19" i="6"/>
  <c r="M19" i="6" s="1"/>
  <c r="L93" i="6"/>
  <c r="M93" i="6" s="1"/>
  <c r="L77" i="6"/>
  <c r="M77" i="6" s="1"/>
  <c r="L50" i="6"/>
  <c r="M50" i="6" s="1"/>
  <c r="L199" i="6"/>
  <c r="M199" i="6" s="1"/>
  <c r="L183" i="6"/>
  <c r="M183" i="6" s="1"/>
  <c r="L135" i="6"/>
  <c r="M135" i="6" s="1"/>
  <c r="L119" i="6"/>
  <c r="M119" i="6" s="1"/>
  <c r="L103" i="6"/>
  <c r="M103" i="6" s="1"/>
  <c r="L60" i="6"/>
  <c r="M60" i="6" s="1"/>
  <c r="L44" i="6"/>
  <c r="M44" i="6" s="1"/>
  <c r="L12" i="6"/>
  <c r="M12" i="6" s="1"/>
  <c r="L177" i="6"/>
  <c r="M177" i="6" s="1"/>
  <c r="L129" i="6"/>
  <c r="M129" i="6" s="1"/>
  <c r="L17" i="6"/>
  <c r="M17" i="6" s="1"/>
  <c r="L182" i="6"/>
  <c r="M182" i="6" s="1"/>
  <c r="L150" i="6"/>
  <c r="M150" i="6" s="1"/>
  <c r="L134" i="6"/>
  <c r="M134" i="6" s="1"/>
  <c r="L118" i="6"/>
  <c r="M118" i="6" s="1"/>
  <c r="L155" i="6"/>
  <c r="M155" i="6" s="1"/>
  <c r="L139" i="6"/>
  <c r="M139" i="6" s="1"/>
  <c r="L123" i="6"/>
  <c r="M123" i="6" s="1"/>
  <c r="L107" i="6"/>
  <c r="M107" i="6" s="1"/>
  <c r="L91" i="6"/>
  <c r="M91" i="6" s="1"/>
  <c r="L11" i="6"/>
  <c r="M11" i="6" s="1"/>
  <c r="L192" i="6"/>
  <c r="M192" i="6" s="1"/>
  <c r="L176" i="6"/>
  <c r="M176" i="6" s="1"/>
  <c r="L160" i="6"/>
  <c r="M160" i="6" s="1"/>
  <c r="L144" i="6"/>
  <c r="M144" i="6" s="1"/>
  <c r="L80" i="6"/>
  <c r="M80" i="6" s="1"/>
  <c r="L16" i="6"/>
  <c r="M16" i="6" s="1"/>
  <c r="L181" i="6"/>
  <c r="M181" i="6" s="1"/>
  <c r="L117" i="6"/>
  <c r="M117" i="6" s="1"/>
  <c r="L21" i="6"/>
  <c r="M21" i="6" s="1"/>
  <c r="L207" i="6"/>
  <c r="M207" i="6" s="1"/>
  <c r="L191" i="6"/>
  <c r="M191" i="6" s="1"/>
  <c r="L175" i="6"/>
  <c r="M175" i="6" s="1"/>
  <c r="L127" i="6"/>
  <c r="M127" i="6" s="1"/>
  <c r="L111" i="6"/>
  <c r="M111" i="6" s="1"/>
  <c r="L79" i="6"/>
  <c r="M79" i="6" s="1"/>
  <c r="L148" i="6"/>
  <c r="M148" i="6" s="1"/>
  <c r="L116" i="6"/>
  <c r="M116" i="6" s="1"/>
  <c r="L9" i="6"/>
  <c r="M9" i="6" s="1"/>
  <c r="L174" i="6"/>
  <c r="M174" i="6" s="1"/>
  <c r="L158" i="6"/>
  <c r="M158" i="6" s="1"/>
  <c r="L142" i="6"/>
  <c r="M142" i="6" s="1"/>
  <c r="L126" i="6"/>
  <c r="M126" i="6" s="1"/>
  <c r="L110" i="6"/>
  <c r="M110" i="6" s="1"/>
  <c r="L94" i="6"/>
  <c r="M94" i="6" s="1"/>
  <c r="L78" i="6"/>
  <c r="M78" i="6" s="1"/>
  <c r="L62" i="6"/>
  <c r="M62" i="6" s="1"/>
  <c r="L46" i="6"/>
  <c r="M46" i="6" s="1"/>
  <c r="L30" i="6"/>
  <c r="M30" i="6" s="1"/>
  <c r="L14" i="6"/>
  <c r="M14" i="6" s="1"/>
  <c r="L200" i="6"/>
  <c r="M200" i="6" s="1"/>
  <c r="L184" i="6"/>
  <c r="M184" i="6" s="1"/>
  <c r="L168" i="6"/>
  <c r="M168" i="6" s="1"/>
  <c r="L152" i="6"/>
  <c r="M152" i="6" s="1"/>
  <c r="L136" i="6"/>
  <c r="M136" i="6" s="1"/>
  <c r="L120" i="6"/>
  <c r="M120" i="6" s="1"/>
  <c r="L104" i="6"/>
  <c r="M104" i="6" s="1"/>
  <c r="L88" i="6"/>
  <c r="M88" i="6" s="1"/>
  <c r="L72" i="6"/>
  <c r="M72" i="6" s="1"/>
  <c r="L56" i="6"/>
  <c r="M56" i="6" s="1"/>
  <c r="L40" i="6"/>
  <c r="M40" i="6" s="1"/>
  <c r="L24" i="6"/>
  <c r="M24" i="6" s="1"/>
  <c r="L8" i="6"/>
  <c r="M8" i="6" s="1"/>
  <c r="M3" i="6"/>
  <c r="M13" i="6"/>
  <c r="M195" i="6"/>
  <c r="M179" i="6"/>
  <c r="M92" i="6"/>
  <c r="N2" i="6"/>
  <c r="O2" i="6"/>
  <c r="I208" i="6" l="1"/>
  <c r="Q208" i="6" s="1"/>
  <c r="I209" i="6"/>
  <c r="Q209" i="6" s="1"/>
  <c r="I210" i="6"/>
  <c r="Q210" i="6" s="1"/>
  <c r="I211" i="6"/>
  <c r="Q211" i="6" s="1"/>
  <c r="I212" i="6"/>
  <c r="Q212" i="6" s="1"/>
  <c r="I69" i="6"/>
  <c r="Q69" i="6" s="1"/>
  <c r="I53" i="6"/>
  <c r="Q53" i="6" s="1"/>
  <c r="I81" i="6"/>
  <c r="Q81" i="6" s="1"/>
  <c r="I107" i="6"/>
  <c r="Q107" i="6" s="1"/>
  <c r="I127" i="6"/>
  <c r="Q127" i="6" s="1"/>
  <c r="I133" i="6"/>
  <c r="Q133" i="6" s="1"/>
  <c r="I135" i="6"/>
  <c r="Q135" i="6" s="1"/>
  <c r="I142" i="6"/>
  <c r="Q142" i="6" s="1"/>
  <c r="I155" i="6"/>
  <c r="Q155" i="6" s="1"/>
  <c r="I172" i="6"/>
  <c r="Q172" i="6" s="1"/>
  <c r="I176" i="6"/>
  <c r="Q176" i="6" s="1"/>
  <c r="I182" i="6"/>
  <c r="Q182" i="6" s="1"/>
  <c r="I183" i="6"/>
  <c r="Q183" i="6" s="1"/>
  <c r="I187" i="6"/>
  <c r="Q187" i="6" s="1"/>
  <c r="I193" i="6"/>
  <c r="Q193" i="6" s="1"/>
  <c r="I200" i="6"/>
  <c r="Q200" i="6" s="1"/>
  <c r="I206" i="6"/>
  <c r="Q206" i="6" s="1"/>
  <c r="I207" i="6"/>
  <c r="Q207" i="6" s="1"/>
  <c r="I205" i="6"/>
  <c r="Q205" i="6" s="1"/>
  <c r="I204" i="6"/>
  <c r="Q204" i="6" s="1"/>
  <c r="I203" i="6"/>
  <c r="Q203" i="6" s="1"/>
  <c r="I202" i="6"/>
  <c r="Q202" i="6" s="1"/>
  <c r="I201" i="6"/>
  <c r="Q201" i="6" s="1"/>
  <c r="I199" i="6"/>
  <c r="Q199" i="6" s="1"/>
  <c r="I198" i="6"/>
  <c r="Q198" i="6" s="1"/>
  <c r="I197" i="6"/>
  <c r="Q197" i="6" s="1"/>
  <c r="I196" i="6"/>
  <c r="Q196" i="6" s="1"/>
  <c r="I195" i="6"/>
  <c r="Q195" i="6" s="1"/>
  <c r="I194" i="6"/>
  <c r="Q194" i="6" s="1"/>
  <c r="I192" i="6"/>
  <c r="Q192" i="6" s="1"/>
  <c r="I191" i="6"/>
  <c r="Q191" i="6" s="1"/>
  <c r="I190" i="6"/>
  <c r="Q190" i="6" s="1"/>
  <c r="I189" i="6"/>
  <c r="Q189" i="6" s="1"/>
  <c r="I188" i="6"/>
  <c r="Q188" i="6" s="1"/>
  <c r="I186" i="6"/>
  <c r="Q186" i="6" s="1"/>
  <c r="I185" i="6"/>
  <c r="Q185" i="6" s="1"/>
  <c r="I184" i="6"/>
  <c r="Q184" i="6" s="1"/>
  <c r="I181" i="6"/>
  <c r="Q181" i="6" s="1"/>
  <c r="I180" i="6"/>
  <c r="Q180" i="6" s="1"/>
  <c r="I179" i="6"/>
  <c r="Q179" i="6" s="1"/>
  <c r="I178" i="6"/>
  <c r="Q178" i="6" s="1"/>
  <c r="I177" i="6"/>
  <c r="Q177" i="6" s="1"/>
  <c r="I175" i="6"/>
  <c r="Q175" i="6" s="1"/>
  <c r="I174" i="6"/>
  <c r="Q174" i="6" s="1"/>
  <c r="I173" i="6"/>
  <c r="Q173" i="6" s="1"/>
  <c r="I171" i="6"/>
  <c r="Q171" i="6" s="1"/>
  <c r="I170" i="6"/>
  <c r="Q170" i="6" s="1"/>
  <c r="I169" i="6"/>
  <c r="Q169" i="6" s="1"/>
  <c r="I168" i="6"/>
  <c r="Q168" i="6" s="1"/>
  <c r="I167" i="6"/>
  <c r="Q167" i="6" s="1"/>
  <c r="I166" i="6"/>
  <c r="Q166" i="6" s="1"/>
  <c r="I165" i="6"/>
  <c r="Q165" i="6" s="1"/>
  <c r="I164" i="6"/>
  <c r="Q164" i="6" s="1"/>
  <c r="I163" i="6"/>
  <c r="Q163" i="6" s="1"/>
  <c r="I162" i="6"/>
  <c r="Q162" i="6" s="1"/>
  <c r="I161" i="6"/>
  <c r="Q161" i="6" s="1"/>
  <c r="I160" i="6"/>
  <c r="Q160" i="6" s="1"/>
  <c r="I159" i="6"/>
  <c r="Q159" i="6" s="1"/>
  <c r="I158" i="6"/>
  <c r="Q158" i="6" s="1"/>
  <c r="I157" i="6"/>
  <c r="Q157" i="6" s="1"/>
  <c r="I156" i="6"/>
  <c r="Q156" i="6" s="1"/>
  <c r="I154" i="6"/>
  <c r="Q154" i="6" s="1"/>
  <c r="I153" i="6"/>
  <c r="Q153" i="6" s="1"/>
  <c r="I152" i="6"/>
  <c r="Q152" i="6" s="1"/>
  <c r="I151" i="6"/>
  <c r="Q151" i="6" s="1"/>
  <c r="I150" i="6"/>
  <c r="Q150" i="6" s="1"/>
  <c r="I149" i="6"/>
  <c r="Q149" i="6" s="1"/>
  <c r="I148" i="6"/>
  <c r="Q148" i="6" s="1"/>
  <c r="I147" i="6"/>
  <c r="Q147" i="6" s="1"/>
  <c r="I146" i="6"/>
  <c r="Q146" i="6" s="1"/>
  <c r="I145" i="6"/>
  <c r="Q145" i="6" s="1"/>
  <c r="I144" i="6"/>
  <c r="Q144" i="6" s="1"/>
  <c r="I143" i="6"/>
  <c r="Q143" i="6" s="1"/>
  <c r="I141" i="6"/>
  <c r="Q141" i="6" s="1"/>
  <c r="I140" i="6"/>
  <c r="Q140" i="6" s="1"/>
  <c r="I139" i="6"/>
  <c r="Q139" i="6" s="1"/>
  <c r="I138" i="6"/>
  <c r="Q138" i="6" s="1"/>
  <c r="I137" i="6"/>
  <c r="Q137" i="6" s="1"/>
  <c r="I136" i="6"/>
  <c r="Q136" i="6" s="1"/>
  <c r="I134" i="6"/>
  <c r="Q134" i="6" s="1"/>
  <c r="I132" i="6"/>
  <c r="Q132" i="6" s="1"/>
  <c r="I131" i="6"/>
  <c r="Q131" i="6" s="1"/>
  <c r="I130" i="6"/>
  <c r="Q130" i="6" s="1"/>
  <c r="I129" i="6"/>
  <c r="Q129" i="6" s="1"/>
  <c r="I128" i="6"/>
  <c r="Q128" i="6" s="1"/>
  <c r="I126" i="6"/>
  <c r="Q126" i="6" s="1"/>
  <c r="I125" i="6"/>
  <c r="Q125" i="6" s="1"/>
  <c r="I124" i="6"/>
  <c r="Q124" i="6" s="1"/>
  <c r="I123" i="6"/>
  <c r="Q123" i="6" s="1"/>
  <c r="I122" i="6"/>
  <c r="Q122" i="6" s="1"/>
  <c r="I121" i="6"/>
  <c r="Q121" i="6" s="1"/>
  <c r="I120" i="6"/>
  <c r="Q120" i="6" s="1"/>
  <c r="I119" i="6"/>
  <c r="Q119" i="6" s="1"/>
  <c r="I118" i="6"/>
  <c r="Q118" i="6" s="1"/>
  <c r="I117" i="6"/>
  <c r="Q117" i="6" s="1"/>
  <c r="I116" i="6"/>
  <c r="Q116" i="6" s="1"/>
  <c r="I115" i="6"/>
  <c r="Q115" i="6" s="1"/>
  <c r="I114" i="6"/>
  <c r="Q114" i="6" s="1"/>
  <c r="I113" i="6"/>
  <c r="Q113" i="6" s="1"/>
  <c r="I112" i="6"/>
  <c r="Q112" i="6" s="1"/>
  <c r="I111" i="6"/>
  <c r="Q111" i="6" s="1"/>
  <c r="I110" i="6"/>
  <c r="Q110" i="6" s="1"/>
  <c r="I109" i="6"/>
  <c r="Q109" i="6" s="1"/>
  <c r="I108" i="6"/>
  <c r="Q108" i="6" s="1"/>
  <c r="I106" i="6"/>
  <c r="Q106" i="6" s="1"/>
  <c r="I105" i="6"/>
  <c r="Q105" i="6" s="1"/>
  <c r="I104" i="6"/>
  <c r="Q104" i="6" s="1"/>
  <c r="I103" i="6"/>
  <c r="Q103" i="6" s="1"/>
  <c r="I102" i="6"/>
  <c r="Q102" i="6" s="1"/>
  <c r="I101" i="6"/>
  <c r="Q101" i="6" s="1"/>
  <c r="I100" i="6"/>
  <c r="Q100" i="6" s="1"/>
  <c r="I99" i="6"/>
  <c r="Q99" i="6" s="1"/>
  <c r="I98" i="6"/>
  <c r="Q98" i="6" s="1"/>
  <c r="I97" i="6"/>
  <c r="Q97" i="6" s="1"/>
  <c r="I96" i="6"/>
  <c r="Q96" i="6" s="1"/>
  <c r="I95" i="6"/>
  <c r="Q95" i="6" s="1"/>
  <c r="I94" i="6"/>
  <c r="Q94" i="6" s="1"/>
  <c r="I93" i="6"/>
  <c r="Q93" i="6" s="1"/>
  <c r="I92" i="6"/>
  <c r="Q92" i="6" s="1"/>
  <c r="I91" i="6"/>
  <c r="Q91" i="6" s="1"/>
  <c r="I90" i="6"/>
  <c r="Q90" i="6" s="1"/>
  <c r="I89" i="6"/>
  <c r="Q89" i="6" s="1"/>
  <c r="I88" i="6"/>
  <c r="Q88" i="6" s="1"/>
  <c r="I87" i="6"/>
  <c r="Q87" i="6" s="1"/>
  <c r="I86" i="6"/>
  <c r="Q86" i="6" s="1"/>
  <c r="I85" i="6"/>
  <c r="Q85" i="6" s="1"/>
  <c r="I84" i="6"/>
  <c r="Q84" i="6" s="1"/>
  <c r="I83" i="6"/>
  <c r="Q83" i="6" s="1"/>
  <c r="I82" i="6"/>
  <c r="Q82" i="6" s="1"/>
  <c r="I80" i="6"/>
  <c r="Q80" i="6" s="1"/>
  <c r="I79" i="6"/>
  <c r="Q79" i="6" s="1"/>
  <c r="I78" i="6"/>
  <c r="Q78" i="6" s="1"/>
  <c r="I77" i="6"/>
  <c r="Q77" i="6" s="1"/>
  <c r="I76" i="6"/>
  <c r="Q76" i="6" s="1"/>
  <c r="I75" i="6"/>
  <c r="Q75" i="6" s="1"/>
  <c r="I74" i="6"/>
  <c r="Q74" i="6" s="1"/>
  <c r="I68" i="6"/>
  <c r="Q68" i="6" s="1"/>
  <c r="I67" i="6"/>
  <c r="Q67" i="6" s="1"/>
  <c r="I66" i="6"/>
  <c r="Q66" i="6" s="1"/>
  <c r="I65" i="6"/>
  <c r="Q65" i="6" s="1"/>
  <c r="I64" i="6"/>
  <c r="Q64" i="6" s="1"/>
  <c r="I63" i="6"/>
  <c r="Q63" i="6" s="1"/>
  <c r="I62" i="6"/>
  <c r="Q62" i="6" s="1"/>
  <c r="I61" i="6"/>
  <c r="Q61" i="6" s="1"/>
  <c r="I60" i="6"/>
  <c r="Q60" i="6" s="1"/>
  <c r="I59" i="6"/>
  <c r="Q59" i="6" s="1"/>
  <c r="I58" i="6"/>
  <c r="Q58" i="6" s="1"/>
  <c r="I57" i="6"/>
  <c r="Q57" i="6" s="1"/>
  <c r="I56" i="6"/>
  <c r="Q56" i="6" s="1"/>
  <c r="I55" i="6"/>
  <c r="Q55" i="6" s="1"/>
  <c r="I54" i="6"/>
  <c r="Q54" i="6" s="1"/>
  <c r="I52" i="6"/>
  <c r="Q52" i="6" s="1"/>
  <c r="I51" i="6"/>
  <c r="Q51" i="6" s="1"/>
  <c r="I50" i="6"/>
  <c r="Q50" i="6" s="1"/>
  <c r="I49" i="6"/>
  <c r="Q49" i="6" s="1"/>
  <c r="I48" i="6"/>
  <c r="Q48" i="6" s="1"/>
  <c r="I47" i="6"/>
  <c r="Q47" i="6" s="1"/>
  <c r="I46" i="6"/>
  <c r="Q46" i="6" s="1"/>
  <c r="I45" i="6"/>
  <c r="Q45" i="6" s="1"/>
  <c r="I44" i="6"/>
  <c r="Q44" i="6" s="1"/>
  <c r="I43" i="6"/>
  <c r="Q43" i="6" s="1"/>
  <c r="I42" i="6"/>
  <c r="Q42" i="6" s="1"/>
  <c r="I41" i="6"/>
  <c r="Q41" i="6" s="1"/>
  <c r="I40" i="6"/>
  <c r="Q40" i="6" s="1"/>
  <c r="I39" i="6"/>
  <c r="Q39" i="6" s="1"/>
  <c r="I38" i="6"/>
  <c r="Q38" i="6" s="1"/>
  <c r="I37" i="6"/>
  <c r="Q37" i="6" s="1"/>
  <c r="I36" i="6"/>
  <c r="Q36" i="6" s="1"/>
  <c r="I35" i="6"/>
  <c r="Q35" i="6" s="1"/>
  <c r="I34" i="6"/>
  <c r="Q34" i="6" s="1"/>
  <c r="I33" i="6"/>
  <c r="Q33" i="6" s="1"/>
  <c r="I32" i="6"/>
  <c r="Q32" i="6" s="1"/>
  <c r="I31" i="6"/>
  <c r="Q31" i="6" s="1"/>
  <c r="I30" i="6"/>
  <c r="Q30" i="6" s="1"/>
  <c r="I29" i="6"/>
  <c r="Q29" i="6" s="1"/>
  <c r="I28" i="6"/>
  <c r="Q28" i="6" s="1"/>
  <c r="I27" i="6"/>
  <c r="Q27" i="6" s="1"/>
  <c r="I26" i="6"/>
  <c r="Q26" i="6" s="1"/>
  <c r="I25" i="6"/>
  <c r="Q25" i="6" s="1"/>
  <c r="I24" i="6"/>
  <c r="Q24" i="6" s="1"/>
  <c r="I23" i="6"/>
  <c r="Q23" i="6" s="1"/>
  <c r="I22" i="6"/>
  <c r="Q22" i="6" s="1"/>
  <c r="I21" i="6"/>
  <c r="Q21" i="6" s="1"/>
  <c r="I20" i="6"/>
  <c r="Q20" i="6" s="1"/>
  <c r="I19" i="6"/>
  <c r="Q19" i="6" s="1"/>
  <c r="I18" i="6"/>
  <c r="Q18" i="6" s="1"/>
  <c r="I17" i="6"/>
  <c r="Q17" i="6" s="1"/>
  <c r="I16" i="6"/>
  <c r="Q16" i="6" s="1"/>
  <c r="I15" i="6"/>
  <c r="Q15" i="6" s="1"/>
  <c r="I14" i="6"/>
  <c r="Q14" i="6" s="1"/>
  <c r="I13" i="6"/>
  <c r="Q13" i="6" s="1"/>
  <c r="I12" i="6"/>
  <c r="Q12" i="6" s="1"/>
  <c r="I11" i="6"/>
  <c r="Q11" i="6" s="1"/>
  <c r="I10" i="6"/>
  <c r="Q10" i="6" s="1"/>
  <c r="I9" i="6"/>
  <c r="Q9" i="6" s="1"/>
  <c r="I8" i="6"/>
  <c r="Q8" i="6" s="1"/>
  <c r="I7" i="6"/>
  <c r="Q7" i="6" s="1"/>
  <c r="I6" i="6"/>
  <c r="Q6" i="6" s="1"/>
  <c r="I5" i="6"/>
  <c r="Q5" i="6" s="1"/>
  <c r="I4" i="6"/>
  <c r="Q4" i="6" s="1"/>
  <c r="I3" i="6"/>
  <c r="Q3" i="6" s="1"/>
  <c r="Q1" i="6" l="1"/>
  <c r="J2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<sst xmlns="http://schemas.openxmlformats.org/spreadsheetml/2006/main" count="694" uniqueCount="499">
  <si>
    <t>Product Code</t>
  </si>
  <si>
    <t>100% Whey Protein Blend</t>
  </si>
  <si>
    <t>RU0426</t>
  </si>
  <si>
    <t>RU0427</t>
  </si>
  <si>
    <t>RU0400</t>
  </si>
  <si>
    <t>RU0401</t>
  </si>
  <si>
    <t>RU0402</t>
  </si>
  <si>
    <t>RU0403</t>
  </si>
  <si>
    <t>RU0459</t>
  </si>
  <si>
    <t>RU0456</t>
  </si>
  <si>
    <t>RU0646</t>
  </si>
  <si>
    <t>RU0675</t>
  </si>
  <si>
    <t>RU0407</t>
  </si>
  <si>
    <t>RU0408</t>
  </si>
  <si>
    <t>RU0644</t>
  </si>
  <si>
    <t>RU0600</t>
  </si>
  <si>
    <t>RU0601</t>
  </si>
  <si>
    <t>RU0637</t>
  </si>
  <si>
    <t>RU0638</t>
  </si>
  <si>
    <t>RU0491</t>
  </si>
  <si>
    <t>RU0490</t>
  </si>
  <si>
    <t>RU0492</t>
  </si>
  <si>
    <t>RU0493</t>
  </si>
  <si>
    <t>RU0650</t>
  </si>
  <si>
    <t>RU0649</t>
  </si>
  <si>
    <t>RU0648</t>
  </si>
  <si>
    <t>RU0676</t>
  </si>
  <si>
    <t>RU0495</t>
  </si>
  <si>
    <t>RU0494</t>
  </si>
  <si>
    <t>RU0496</t>
  </si>
  <si>
    <t>RU0497</t>
  </si>
  <si>
    <t>RU0654</t>
  </si>
  <si>
    <t>RU0653</t>
  </si>
  <si>
    <t>RU0652</t>
  </si>
  <si>
    <t>RU0677</t>
  </si>
  <si>
    <t>RU0607</t>
  </si>
  <si>
    <t>RU0608</t>
  </si>
  <si>
    <t>RU0439</t>
  </si>
  <si>
    <t>RU0440</t>
  </si>
  <si>
    <t>RU0461</t>
  </si>
  <si>
    <t>RU0498</t>
  </si>
  <si>
    <t>RU0656</t>
  </si>
  <si>
    <t>RU0441</t>
  </si>
  <si>
    <t>RU0442</t>
  </si>
  <si>
    <t>RU0462</t>
  </si>
  <si>
    <t>RU0499</t>
  </si>
  <si>
    <t>RU0435</t>
  </si>
  <si>
    <t>RU0436</t>
  </si>
  <si>
    <t>RU0437</t>
  </si>
  <si>
    <t>RU0438</t>
  </si>
  <si>
    <t>RU0669</t>
  </si>
  <si>
    <t>RU0662</t>
  </si>
  <si>
    <t>RU0489</t>
  </si>
  <si>
    <t>RU0488</t>
  </si>
  <si>
    <t>RU0470</t>
  </si>
  <si>
    <t>RU0472</t>
  </si>
  <si>
    <t>RU0474</t>
  </si>
  <si>
    <t>RU0680</t>
  </si>
  <si>
    <t>RU0681</t>
  </si>
  <si>
    <t>RU0475</t>
  </si>
  <si>
    <t>RU0683</t>
  </si>
  <si>
    <t>RU0682</t>
  </si>
  <si>
    <t>RU0451</t>
  </si>
  <si>
    <t>RU0452</t>
  </si>
  <si>
    <t>RU0453</t>
  </si>
  <si>
    <t>RU0454</t>
  </si>
  <si>
    <t>RU0714</t>
  </si>
  <si>
    <t>RU0755</t>
  </si>
  <si>
    <t>RU0756</t>
  </si>
  <si>
    <t>RU0757</t>
  </si>
  <si>
    <t>RU0759</t>
  </si>
  <si>
    <t>RU0760</t>
  </si>
  <si>
    <t>RU0761</t>
  </si>
  <si>
    <t>RU0732</t>
  </si>
  <si>
    <t>RU0721</t>
  </si>
  <si>
    <t>RU0785</t>
  </si>
  <si>
    <t>RU0787</t>
  </si>
  <si>
    <t>RU0786</t>
  </si>
  <si>
    <t>RU0788</t>
  </si>
  <si>
    <t>RU0799</t>
  </si>
  <si>
    <t>RU0801</t>
  </si>
  <si>
    <t>RU0800</t>
  </si>
  <si>
    <t>RU0802</t>
  </si>
  <si>
    <t>RU0783</t>
  </si>
  <si>
    <t>RU0784</t>
  </si>
  <si>
    <t>RU0405</t>
  </si>
  <si>
    <t>RU0406</t>
  </si>
  <si>
    <t>RU0460</t>
  </si>
  <si>
    <t>RU0457</t>
  </si>
  <si>
    <t>RU0678</t>
  </si>
  <si>
    <t>RU0753</t>
  </si>
  <si>
    <t>RU0754</t>
  </si>
  <si>
    <t>RU0486</t>
  </si>
  <si>
    <t>RU0485</t>
  </si>
  <si>
    <t>RU0471</t>
  </si>
  <si>
    <t>RU0473</t>
  </si>
  <si>
    <t>Product Name</t>
  </si>
  <si>
    <t>Product Description</t>
  </si>
  <si>
    <t>100% Micellar Casein</t>
  </si>
  <si>
    <t>Branched Chain Amino Acids</t>
  </si>
  <si>
    <t>RU0476</t>
  </si>
  <si>
    <t>100% Creatine Monohydrate</t>
  </si>
  <si>
    <t>RU0824</t>
  </si>
  <si>
    <t>RU0762</t>
  </si>
  <si>
    <t>RU0839</t>
  </si>
  <si>
    <t>Essential Amino Acids &amp; Hydration</t>
  </si>
  <si>
    <t>RU0840</t>
  </si>
  <si>
    <t>RU0841</t>
  </si>
  <si>
    <t>RU0848</t>
  </si>
  <si>
    <t>RU0847</t>
  </si>
  <si>
    <t>RU0876</t>
  </si>
  <si>
    <t>RU0877</t>
  </si>
  <si>
    <t>RU0878</t>
  </si>
  <si>
    <t>RU0873</t>
  </si>
  <si>
    <t>Energized Fruits &amp; Greens</t>
  </si>
  <si>
    <t>RU0875</t>
  </si>
  <si>
    <t>RU0900</t>
  </si>
  <si>
    <t>RU0901</t>
  </si>
  <si>
    <t>RU0904</t>
  </si>
  <si>
    <t>RU0907</t>
  </si>
  <si>
    <t>RU0909</t>
  </si>
  <si>
    <t>RU0910</t>
  </si>
  <si>
    <t>RU0911</t>
  </si>
  <si>
    <t>RU0874</t>
  </si>
  <si>
    <t>Fruits &amp; Greens + Antioxidants</t>
  </si>
  <si>
    <t>RU0970</t>
  </si>
  <si>
    <t>RU0971</t>
  </si>
  <si>
    <t>RU0974</t>
  </si>
  <si>
    <t>RU0975</t>
  </si>
  <si>
    <t>RU0823</t>
  </si>
  <si>
    <t>RU0963</t>
  </si>
  <si>
    <t>RU0964</t>
  </si>
  <si>
    <t>RU0965</t>
  </si>
  <si>
    <t>RU0988</t>
  </si>
  <si>
    <t>RU0989</t>
  </si>
  <si>
    <t>RU0980</t>
  </si>
  <si>
    <t>RU0981</t>
  </si>
  <si>
    <t>RU0997</t>
  </si>
  <si>
    <t>Hydrolyzed Collagen Peptides</t>
  </si>
  <si>
    <t>RU0994</t>
  </si>
  <si>
    <t>RU0995</t>
  </si>
  <si>
    <t>RU0996</t>
  </si>
  <si>
    <t>RU0993</t>
  </si>
  <si>
    <t>RU0992</t>
  </si>
  <si>
    <t>RU0306</t>
  </si>
  <si>
    <t>RU0307</t>
  </si>
  <si>
    <t>RU0311</t>
  </si>
  <si>
    <t>RU0316</t>
  </si>
  <si>
    <t>RU0312</t>
  </si>
  <si>
    <t>RU0317</t>
  </si>
  <si>
    <t>RU0315</t>
  </si>
  <si>
    <t>RU0320</t>
  </si>
  <si>
    <t>RU0313</t>
  </si>
  <si>
    <t>RU0318</t>
  </si>
  <si>
    <t>Price</t>
  </si>
  <si>
    <t>Order</t>
  </si>
  <si>
    <t>WhatsApp → +380-9871-54085</t>
  </si>
  <si>
    <t>E-mail → info@dsn.group</t>
  </si>
  <si>
    <t>Instagram → https://www.instagram.com/dsngroup.official/</t>
  </si>
  <si>
    <t>Product UPC</t>
  </si>
  <si>
    <t>Whey Protein Isolate / Hydrolysate</t>
  </si>
  <si>
    <t>RU0521</t>
  </si>
  <si>
    <t>RU0522</t>
  </si>
  <si>
    <t>RU0504</t>
  </si>
  <si>
    <t>RU0505</t>
  </si>
  <si>
    <t>Multi-Source Protein</t>
  </si>
  <si>
    <t>RU0506</t>
  </si>
  <si>
    <t>RU0507</t>
  </si>
  <si>
    <t>RU0510</t>
  </si>
  <si>
    <t>RU0509</t>
  </si>
  <si>
    <t>RU0508</t>
  </si>
  <si>
    <t>RU0511</t>
  </si>
  <si>
    <t>RU0512</t>
  </si>
  <si>
    <t>RU0513</t>
  </si>
  <si>
    <t>RU0516</t>
  </si>
  <si>
    <t>RU0514</t>
  </si>
  <si>
    <t xml:space="preserve">Lean Weight Gainer </t>
  </si>
  <si>
    <t>High-Calorie Weight Gainer</t>
  </si>
  <si>
    <t>RU0308</t>
  </si>
  <si>
    <t>RU0517</t>
  </si>
  <si>
    <t>RU0518</t>
  </si>
  <si>
    <t>RU0519</t>
  </si>
  <si>
    <t>RU0520</t>
  </si>
  <si>
    <t xml:space="preserve">Electrolyte Replenishment </t>
  </si>
  <si>
    <t>100% L-Glutamine</t>
  </si>
  <si>
    <t>Case Qty.</t>
  </si>
  <si>
    <t>Total</t>
  </si>
  <si>
    <t>RU0309</t>
  </si>
  <si>
    <t>RU0333</t>
  </si>
  <si>
    <t>RU0338</t>
  </si>
  <si>
    <t>RU0339</t>
  </si>
  <si>
    <t>RU0334</t>
  </si>
  <si>
    <t>RU0336</t>
  </si>
  <si>
    <t>RU0341</t>
  </si>
  <si>
    <t>RU0337</t>
  </si>
  <si>
    <t>RU0340</t>
  </si>
  <si>
    <t>RU0335</t>
  </si>
  <si>
    <t>RU0332</t>
  </si>
  <si>
    <t>RU0330</t>
  </si>
  <si>
    <t>RU0331</t>
  </si>
  <si>
    <t>RU0348</t>
  </si>
  <si>
    <t>RU0463</t>
  </si>
  <si>
    <t>RU0321</t>
  </si>
  <si>
    <t>RU0323</t>
  </si>
  <si>
    <t>RU0322</t>
  </si>
  <si>
    <t>RU0324</t>
  </si>
  <si>
    <t>RU0325</t>
  </si>
  <si>
    <t>RU0326</t>
  </si>
  <si>
    <t>RU0327</t>
  </si>
  <si>
    <t>RU0328</t>
  </si>
  <si>
    <t>High Intensity Pre-Workout</t>
  </si>
  <si>
    <t>Creatine Energy &amp; Hydration</t>
  </si>
  <si>
    <t>Amino Acids &amp; Anytime Energy</t>
  </si>
  <si>
    <t>Stim-Free Nitric Oxide</t>
  </si>
  <si>
    <t>BCAA Performance &amp; Hydration</t>
  </si>
  <si>
    <t>4 Collagen Sources</t>
  </si>
  <si>
    <t>100% L-Citrulline</t>
  </si>
  <si>
    <t>RU0523</t>
  </si>
  <si>
    <t>RU0524</t>
  </si>
  <si>
    <t>RU0361</t>
  </si>
  <si>
    <t xml:space="preserve">Clear Whey Protein Isolate </t>
  </si>
  <si>
    <t>RU0362</t>
  </si>
  <si>
    <t>RU0363</t>
  </si>
  <si>
    <t>RU0364</t>
  </si>
  <si>
    <t>RU0525</t>
  </si>
  <si>
    <t>RU0344</t>
  </si>
  <si>
    <t>RU0345</t>
  </si>
  <si>
    <t>RU0346</t>
  </si>
  <si>
    <t>RU0353</t>
  </si>
  <si>
    <t>Thermo Weight Management</t>
  </si>
  <si>
    <t>RU0354</t>
  </si>
  <si>
    <t>RU0355</t>
  </si>
  <si>
    <t>RU0356</t>
  </si>
  <si>
    <t>RU0358</t>
  </si>
  <si>
    <t>RU0413</t>
  </si>
  <si>
    <t>Non-Stim Weight Management</t>
  </si>
  <si>
    <t>RU0414</t>
  </si>
  <si>
    <t>RU0415</t>
  </si>
  <si>
    <t>RU0416</t>
  </si>
  <si>
    <t>RU0417</t>
  </si>
  <si>
    <t>Men's Sport Multivitamin</t>
  </si>
  <si>
    <t>Women's Sport Multivitamin</t>
  </si>
  <si>
    <t xml:space="preserve">Omega-3 Fish Oil </t>
  </si>
  <si>
    <t>USA → +13-322-093-910</t>
  </si>
  <si>
    <t>Poland → +48-459-568-603</t>
  </si>
  <si>
    <r>
      <rPr>
        <b/>
        <sz val="16"/>
        <color rgb="FFFF0000"/>
        <rFont val="Calibri"/>
        <family val="2"/>
        <scheme val="minor"/>
      </rPr>
      <t>Importantly!</t>
    </r>
    <r>
      <rPr>
        <sz val="16"/>
        <color theme="1"/>
        <rFont val="Calibri"/>
        <family val="2"/>
        <scheme val="min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</si>
  <si>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RU0352</t>
  </si>
  <si>
    <t>Plant Based Protein Blend</t>
  </si>
  <si>
    <t>RU0351</t>
  </si>
  <si>
    <t xml:space="preserve">	196671003515</t>
  </si>
  <si>
    <t>RU0905</t>
  </si>
  <si>
    <t xml:space="preserve">	196671009050</t>
  </si>
  <si>
    <t>Value Pre-Workout</t>
  </si>
  <si>
    <t>RU0369</t>
  </si>
  <si>
    <t>RU0370</t>
  </si>
  <si>
    <t>Unit 
Weight, kg</t>
  </si>
  <si>
    <t>Unіt Freight Cost</t>
  </si>
  <si>
    <t>unit, key</t>
  </si>
  <si>
    <t>Weight, kg</t>
  </si>
  <si>
    <t>Logistic Price</t>
  </si>
  <si>
    <t>Landed Cost</t>
  </si>
  <si>
    <t>RU0374</t>
  </si>
  <si>
    <t>RU0373</t>
  </si>
  <si>
    <t>RU0404</t>
  </si>
  <si>
    <t>RU0376</t>
  </si>
  <si>
    <t>RU0375</t>
  </si>
  <si>
    <t>RU0409</t>
  </si>
  <si>
    <t>RU0378</t>
  </si>
  <si>
    <t>RU0377</t>
  </si>
  <si>
    <t>RU0380</t>
  </si>
  <si>
    <t>RU0379</t>
  </si>
  <si>
    <t>RU0549</t>
  </si>
  <si>
    <t>RU0550</t>
  </si>
  <si>
    <t>RU0547</t>
  </si>
  <si>
    <t>RU0371</t>
  </si>
  <si>
    <t>R1 Protein Whey Isolate 14 serv Chocolate Fudge</t>
  </si>
  <si>
    <t>R1 Protein Whey Isolate 15 serv Vanilla Crème</t>
  </si>
  <si>
    <t>R1 Protein Whey Isolate 28 serv Chocolate Fudge</t>
  </si>
  <si>
    <t>R1 Protein Whey Isolate 30 serv Vanilla Crème</t>
  </si>
  <si>
    <t>R1 Protein Whey Isolate 30 serv Strawberries &amp; Crème</t>
  </si>
  <si>
    <t>R1 Protein Whey Isolate 30 serv Cookies &amp; Crème</t>
  </si>
  <si>
    <t>R1 Protein Whey Isolate 28 serv Chocolate Peanut Butter</t>
  </si>
  <si>
    <t>R1 Protein Whey Isolate 29 serv Salted Caramel</t>
  </si>
  <si>
    <t>R1 Protein Whey Isolate 30 serv Vanilla Butter Cake</t>
  </si>
  <si>
    <t>R1 Protein Whey Isolate 30 serv Banana Crème</t>
  </si>
  <si>
    <t>R1 Protein Whey Isolate 30 serv Orange Dreamsicle</t>
  </si>
  <si>
    <t>R1 Protein Whey Isolate 28 serv Mint Chocolate Chip</t>
  </si>
  <si>
    <t>R1 Protein Whey Isolate 29 serv Café Mocha</t>
  </si>
  <si>
    <t>R1 Protein Whey Isolate 29 serv Strawberry Banana</t>
  </si>
  <si>
    <t>R1 Protein Whey Isolate 30 serv Fruity Cereal</t>
  </si>
  <si>
    <t>R1 Protein Whey Isolate 24 serv Dark Chocolate Naturally Flavored</t>
  </si>
  <si>
    <t>R1 Protein Whey Isolate 25 serv Pure Vanilla Naturally Flavored</t>
  </si>
  <si>
    <t>R1 Protein Whey Isolate 29 serv Birthday Cake</t>
  </si>
  <si>
    <t>R1 Protein Whey Isolate 71 serv Chocolate Fudge</t>
  </si>
  <si>
    <t>R1 Protein Whey Isolate 76 serv Vanilla Crème</t>
  </si>
  <si>
    <t>R1 Protein Whey Isolate 76 serv Strawberries &amp; Crème</t>
  </si>
  <si>
    <t>R1 Protein Whey Isolate 76 serv Cookies &amp; Crème</t>
  </si>
  <si>
    <t>R1 Protein Whey Isolate 70 serv Chocolate Peanut Butter</t>
  </si>
  <si>
    <t>R1 Protein Whey Isolate 74 serv Salted Caramel</t>
  </si>
  <si>
    <t>R1 Protein Whey Isolate 76 serv Vanilla Butter Cake</t>
  </si>
  <si>
    <t>R1 Protein Whey Isolate 76 serv Banana Crème</t>
  </si>
  <si>
    <t>R1 Protein Whey Isolate 71 serv Mint Chocolate Chip</t>
  </si>
  <si>
    <t>R1 Protein Whey Isolate 73 serv Café Mocha</t>
  </si>
  <si>
    <t>R1 Protein Whey Isolate 73 serv Strawberry Banana</t>
  </si>
  <si>
    <t>R1 Protein Whey Isolate 76 serv Fruity Cereal</t>
  </si>
  <si>
    <t>R1 Protein Whey Isolate 60 serv Dark Chocolate Naturally Flavored</t>
  </si>
  <si>
    <t>R1 Protein Whey Isolate 64 serv Pure Vanilla Naturally Flavored</t>
  </si>
  <si>
    <t>R1 Protein Whey Isolate 73 serv Birthday Cake</t>
  </si>
  <si>
    <t>Clear Whey Isolate 27 serv Peach Mango</t>
  </si>
  <si>
    <t>Clear Whey Isolate 27 serv Strawberry Lemonade</t>
  </si>
  <si>
    <t>Clear Whey Isolate 27 serv Blue Raspberry</t>
  </si>
  <si>
    <t>Clear Whey Isolate 27 serv Cherry Limeade</t>
  </si>
  <si>
    <t>Whey Protein 13 serv Chocolate Fudge</t>
  </si>
  <si>
    <t>Whey Protein 14 serv Vanilla Ice Cream</t>
  </si>
  <si>
    <t>Whey Protein 26 serv Chocolate Fudge</t>
  </si>
  <si>
    <t>Whey Protein 27 serv Vanilla Ice Cream</t>
  </si>
  <si>
    <t>Whey Protein 27 serv Strawberries &amp; Crème</t>
  </si>
  <si>
    <t>Whey Protein 26 serv Cookies &amp; Crème</t>
  </si>
  <si>
    <t>Whey Protein 25 serv Chocolate Peanut Butter</t>
  </si>
  <si>
    <t>Whey Protein 27 serv Salted Caramel</t>
  </si>
  <si>
    <t>Whey Protein 27 serv Birthday Cake</t>
  </si>
  <si>
    <t>Whey Protein 27 serv Banana Crème</t>
  </si>
  <si>
    <t>Whey Protein 25 serv Mint Chocolate Chip</t>
  </si>
  <si>
    <t>Whey Protein 27 serv Café Mocha</t>
  </si>
  <si>
    <t>Whey Protein 27 serv Toasted Cinnamon Cereal</t>
  </si>
  <si>
    <t>Whey Protein 27 serv Strawberry Banana</t>
  </si>
  <si>
    <t>Whey Protein 27 serv Fruity Cereal</t>
  </si>
  <si>
    <t>Whey Protein 27 serv Campfire S'mores</t>
  </si>
  <si>
    <t>Whey Protein 65 serv Chocolate Fudge</t>
  </si>
  <si>
    <t>Whey Protein 68 serv Vanilla Ice Cream</t>
  </si>
  <si>
    <t>Whey Protein 67 serv Strawberries &amp; Crème</t>
  </si>
  <si>
    <t>Whey Protein 66 serv Cookies &amp; Crème</t>
  </si>
  <si>
    <t>Whey Protein 64 serv Chocolate Peanut Butter</t>
  </si>
  <si>
    <t>Whey Protein 67 serv Salted Caramel</t>
  </si>
  <si>
    <t>Whey Protein 68 serv Birthday Cake</t>
  </si>
  <si>
    <t>Whey Protein 68 serv Banana Crème</t>
  </si>
  <si>
    <t>Whey Protein 64 serv Mint Chocolate Chip</t>
  </si>
  <si>
    <t>Whey Protein 66 serv Café Mocha</t>
  </si>
  <si>
    <t>Whey Protein 67 serv Toasted Cinnamon Cereal</t>
  </si>
  <si>
    <t>Whey Protein 67 serv Strawberry Banana</t>
  </si>
  <si>
    <t>Whey Protein 68 serv Fruity Cereal</t>
  </si>
  <si>
    <t>Whey Protein 67 serv Campfire S'mores</t>
  </si>
  <si>
    <t>Whey Protein 130 serv Chocolate Fudge</t>
  </si>
  <si>
    <t>Whey Protein 137 serv Vanilla Ice Cream</t>
  </si>
  <si>
    <t>Whey Protein 133 serv Cookies &amp; Crème</t>
  </si>
  <si>
    <t>Whey Protein 128 serv Chocolate Peanut Butter</t>
  </si>
  <si>
    <t>Source 7 Protein 20 serv Milk Chocolate - NEW LOOK</t>
  </si>
  <si>
    <t>Source 7 Protein 21 serv Vanilla Ice Cream - NEW LOOK</t>
  </si>
  <si>
    <t>Source 7 Protein 20 serv Cookies &amp; Crème - NEW LOOK</t>
  </si>
  <si>
    <t>Source 7 Protein 20 serv Chocolate Peanut Butter - NEW LOOK</t>
  </si>
  <si>
    <t>Source 7 Protein 21 serv Salted Caramel - NEW LOOK</t>
  </si>
  <si>
    <t>Source 7 Protein 21 serv Pistachio Ice Cream - NEW LOOK</t>
  </si>
  <si>
    <t>Source 7 Protein 20 serv Birthday Cake - NEW LOOK</t>
  </si>
  <si>
    <t>Source 7 Protein 44 serv Milk Chocolate - NEW LOOK</t>
  </si>
  <si>
    <t>Source 7 Protein 46 serv Vanilla Ice Cream - NEW LOOK</t>
  </si>
  <si>
    <t>Source 7 Protein 45 serv Cookies &amp; Crème - NEW LOOK</t>
  </si>
  <si>
    <t>Source 7 Protein 44 serv Chocolate Peanut Butter - NEW LOOK</t>
  </si>
  <si>
    <t>Source 7 Protein 46 serv Pistachio Ice Cream - NEW LOOK</t>
  </si>
  <si>
    <t>Plant Protein 20 serv Dark Chocolate</t>
  </si>
  <si>
    <t>Plant Protein 20 serv Pure Vanilla</t>
  </si>
  <si>
    <t>Plant Protein 20 serv Café Mocha</t>
  </si>
  <si>
    <t>Plant Protein 20 serv Banana Crème</t>
  </si>
  <si>
    <t>Casein Protein 26 serv Chocolate Fudge</t>
  </si>
  <si>
    <t>Casein Protein 29 serv Vanilla Crème</t>
  </si>
  <si>
    <t>Casein Protein 27 serv Cookies &amp; Crème</t>
  </si>
  <si>
    <t>Casein Protein 29 serv Strawberries &amp; Crème</t>
  </si>
  <si>
    <t>Casein Protein 26 serv Chocolate Peanut Butter</t>
  </si>
  <si>
    <t>Casein Protein 52 serv Chocolate Fudge</t>
  </si>
  <si>
    <t>Casein Protein 57 serv Vanilla Crème</t>
  </si>
  <si>
    <t>Casein Protein 58 serv Strawberries &amp; Crème</t>
  </si>
  <si>
    <t>Casein Protein 55 serv Cookies &amp; Crème</t>
  </si>
  <si>
    <t>Clean Gainer 15 serv Chocolate Fudge</t>
  </si>
  <si>
    <t>Clean Gainer 15 serv Vanilla Ice Cream</t>
  </si>
  <si>
    <t>Clean Gainer 15 serv Chocolate Peanut Butter</t>
  </si>
  <si>
    <t>Clean Gainer 15 serv Cookies &amp; Crème</t>
  </si>
  <si>
    <t>Clean Gainer 30 serv Chocolate Fudge</t>
  </si>
  <si>
    <t>Clean Gainer 30 serv Vanilla Ice Cream</t>
  </si>
  <si>
    <t>Clean Gainer 30 serv Chocolate Peanut Butter</t>
  </si>
  <si>
    <t>Clean Gainer 30 serv Cookies &amp; Crème</t>
  </si>
  <si>
    <t>Mass Gainer 8 serv Chocolate Fudge</t>
  </si>
  <si>
    <t>Mass Gainer 8 serv Vanilla Crème</t>
  </si>
  <si>
    <t>Mass Gainer 8 serv Strawberries &amp; Crème</t>
  </si>
  <si>
    <t>Mass Gainer 8 serv Cookies &amp; Crème</t>
  </si>
  <si>
    <t>Mass Gainer 8 serv Chocolate Peanut Butter</t>
  </si>
  <si>
    <t>Mass Gainer 16 serv Chocolate Fudge</t>
  </si>
  <si>
    <t>Mass Gainer 16 serv Vanilla Crème</t>
  </si>
  <si>
    <t>Mass Gainer 16 serv Strawberries &amp; Crème</t>
  </si>
  <si>
    <t>Mass Gainer 16 serv Cookies &amp; Crème</t>
  </si>
  <si>
    <t>Mass Gainer 16 serv Chocolate Peanut Butter</t>
  </si>
  <si>
    <t>PreLIFT 30 serv Blue Raspberry</t>
  </si>
  <si>
    <t>PreLIFT 30 serv Orange Pineapple</t>
  </si>
  <si>
    <t>PreLIFT 30 serv Black Cherry Limeade</t>
  </si>
  <si>
    <t>PreLIFT 30 serv Wild Grape</t>
  </si>
  <si>
    <t>PreLIFT 30 serv Snow Cone</t>
  </si>
  <si>
    <t>PreLIFT 30 serv Star Pop - SEASONAL (SUMMER)</t>
  </si>
  <si>
    <t>PreLIFT 30 serv Mandarin Mango</t>
  </si>
  <si>
    <t>PreLIFT 30 Serv Acai Berry</t>
  </si>
  <si>
    <t>PreLIFT 30 serv Fruit Punch</t>
  </si>
  <si>
    <t>Roar 30 serv Blue Razz</t>
  </si>
  <si>
    <t>Roar 30 serv Peach Mango</t>
  </si>
  <si>
    <t>Roar 30 serv Fruit Punch</t>
  </si>
  <si>
    <t>Roar 30 serv Wild Grape</t>
  </si>
  <si>
    <t>Roar 30 serv Lemon Lime</t>
  </si>
  <si>
    <t>Charged Creatine 30 serv Blue Razz Lemonade</t>
  </si>
  <si>
    <t>Charged Creatine 30 serv Sour Candy</t>
  </si>
  <si>
    <t>Charged Creatine 30 serv Snow Cone</t>
  </si>
  <si>
    <t>Charged Creatine 30 serv Mandarin Mango</t>
  </si>
  <si>
    <t>Energized Amino 30 serv Blue Raspberry</t>
  </si>
  <si>
    <t>Energized Amino 30 serv Fruit Punch</t>
  </si>
  <si>
    <t>Energized Amino 30 serv Grape</t>
  </si>
  <si>
    <t>Energized Amino 30 serv Orange Clementine</t>
  </si>
  <si>
    <t>Energized Amino 30 serv Peach Mango</t>
  </si>
  <si>
    <t>Energized Amino 30 serv Pineapple Passionfruit</t>
  </si>
  <si>
    <t>Energized Amino 30 serv Sour Candy</t>
  </si>
  <si>
    <t>Energized Amino 30 serv Watermelon</t>
  </si>
  <si>
    <t>Pump 30 serv Unflavored</t>
  </si>
  <si>
    <t>Pump 30 serv Cherry Limeade</t>
  </si>
  <si>
    <t>Pump 30 serv Blue Razz Lemonade</t>
  </si>
  <si>
    <t>Pump 30 serv Grape</t>
  </si>
  <si>
    <t xml:space="preserve">Essential Amino 9 30 serv Blue Razz Lemonade </t>
  </si>
  <si>
    <t xml:space="preserve">Essential Amino 9 30 serv Cherry Limeade </t>
  </si>
  <si>
    <t>Essential Amino 9 30 serv Fruit Punch</t>
  </si>
  <si>
    <t>Essential Amino 9 30 serv Sour Watermelon</t>
  </si>
  <si>
    <t>Essential Amino 9 30 serv Peach Mango</t>
  </si>
  <si>
    <t>Essential Amino 9 30 serv Rainbow Candy</t>
  </si>
  <si>
    <t>Essential Amino 9 30 serv Grape</t>
  </si>
  <si>
    <t>Active BCAA 30 serv Blue Raspberry</t>
  </si>
  <si>
    <t>Active BCAA 30 serv Fruit Punch</t>
  </si>
  <si>
    <t>Active BCAA 30 serv Golden Gummy</t>
  </si>
  <si>
    <t>Active BCAA 30 serv  Grape</t>
  </si>
  <si>
    <t>Active BCAA 30 serv Orange</t>
  </si>
  <si>
    <t>Active BCAA 30 serv Peach Mango</t>
  </si>
  <si>
    <t>Active BCAA 30 serv Watermelon</t>
  </si>
  <si>
    <t>Lytes 40 serv Blue Razz</t>
  </si>
  <si>
    <t>Lytes 40 serv Lemon Lime</t>
  </si>
  <si>
    <t>Burn 30 serv Blue Razz Lemonade</t>
  </si>
  <si>
    <t>Burn 30 serv Watermelon</t>
  </si>
  <si>
    <t>Burn 30 serv Snow Cone</t>
  </si>
  <si>
    <t>Burn 30 serv Peach Mango</t>
  </si>
  <si>
    <t>Burn 30 serv 60 Capsules</t>
  </si>
  <si>
    <t>Lean 30 serv Guava Lemonade</t>
  </si>
  <si>
    <t>Lean 30 serv Pineapple Passionfruit</t>
  </si>
  <si>
    <t>Lean 30 serv Mandarin Mango</t>
  </si>
  <si>
    <t>Lean 30 serv Blue Razz Lemonade</t>
  </si>
  <si>
    <t>Lean 30 serv 60 Capsules</t>
  </si>
  <si>
    <t>Men's Multi Active Lifestyle 90 Tablets - 30 serv</t>
  </si>
  <si>
    <t>Men's Multi Active Lifestyle 180 Tablets - 60 serv</t>
  </si>
  <si>
    <t>Women's Multi Active Lifestyle 60 Tablets - 30 serv</t>
  </si>
  <si>
    <t>Fish Oil Softgels Omega-3s 100 Capsules - 100 serv</t>
  </si>
  <si>
    <t>Multi-Source Collagen 25 serv Unflavored</t>
  </si>
  <si>
    <t>Collagen Peptides 20 serv Chocolate Fudge</t>
  </si>
  <si>
    <t>Collagen Peptides 20 serv Vanilla Crème</t>
  </si>
  <si>
    <t>Collagen Peptides 20 serv Peach Mango</t>
  </si>
  <si>
    <t>Collagen Peptides 25 serv Unflavored</t>
  </si>
  <si>
    <t>Collagen Peptides 50 serv Unflavored</t>
  </si>
  <si>
    <t>Energized Fruits &amp; Greens 25 serv Mixed Berry</t>
  </si>
  <si>
    <t>Fruits &amp; Greens + Antioxidants 30 serv Mixed Berry</t>
  </si>
  <si>
    <t>Citrulline 60 serv Unflavored</t>
  </si>
  <si>
    <t xml:space="preserve">BCAA 30 serv Unflavored </t>
  </si>
  <si>
    <t>BCAA 30 serv Blue Raspberry</t>
  </si>
  <si>
    <t>BCAA 30 serv Orange</t>
  </si>
  <si>
    <t>BCAA 30 serv Fruit Punch</t>
  </si>
  <si>
    <t>BCAA 30 serv Pineapple</t>
  </si>
  <si>
    <t>BCAA 30 serv Watermelon</t>
  </si>
  <si>
    <t>BCAA 30 serv Grape</t>
  </si>
  <si>
    <t>BCAA 30 serv Peach Mango</t>
  </si>
  <si>
    <t xml:space="preserve">BCAA 60 serv Unflavored </t>
  </si>
  <si>
    <t>BCAA 60 serv Blue Raspberry</t>
  </si>
  <si>
    <t>BCAA 60 serv Orange</t>
  </si>
  <si>
    <t>BCAA 60 serv Fruit Punch</t>
  </si>
  <si>
    <t>BCAA 60 serv Watermelon</t>
  </si>
  <si>
    <t>BCAA 60 serv Grape</t>
  </si>
  <si>
    <t>BCAA 60 serv Peach Mango</t>
  </si>
  <si>
    <t>BCAA 60 serv Pineapple</t>
  </si>
  <si>
    <t>Creatine 120 Capsules - 30 serv - NEW</t>
  </si>
  <si>
    <t>Creatine 240 Capsules - 60 serv  - NEW</t>
  </si>
  <si>
    <t>Creatine 30 serv Unflavored</t>
  </si>
  <si>
    <t>Creatine 30 serv Blue Raspberry</t>
  </si>
  <si>
    <t>Creatine 30 serv Fruit Punch</t>
  </si>
  <si>
    <t>Creatine 60 serv Blue Raspberry</t>
  </si>
  <si>
    <t>Creatine 60 serv Fruit Punch</t>
  </si>
  <si>
    <t>Creatine 75 serv Unflavored</t>
  </si>
  <si>
    <t>Creatine 130 serv Unflavored</t>
  </si>
  <si>
    <t>Glutamine 75 serv Unflavored</t>
  </si>
  <si>
    <t>Glutamine 130 serv Unflavored</t>
  </si>
  <si>
    <t>R1 Protein Whey Isolate 30 serv Pistachio Ice Cream - NEW FLAVOR</t>
  </si>
  <si>
    <t>R1 Protein Whey Isolate 28 serv Milk Chocolate - NEW FLAVOR</t>
  </si>
  <si>
    <t>R1 Protein Whey Isolate 26 serv  Naturally Unflavored - NEW</t>
  </si>
  <si>
    <t>R1 Protein Whey Isolate 76 serv Pistachio Ice Cream - NEW FLAVOR</t>
  </si>
  <si>
    <t>R1 Protein Whey Isolate 71 serv Milk Chocolate - NEW FLAVOR</t>
  </si>
  <si>
    <t>R1 Protein Whey Isolate 66 serv Naturally Unflavored - NEW</t>
  </si>
  <si>
    <t>Whey Protein 27 serv Pistachio Ice Cream - NEW FLAVOR</t>
  </si>
  <si>
    <t>Whey Protein 26 serv Milk Chocolate - NEW FLAVOR</t>
  </si>
  <si>
    <t>Whey Protein 67 serv Pistachio Ice Cream - NEW FLAVOR</t>
  </si>
  <si>
    <t>Whey Protein 65 serv Milk Chocolate - NEW FLAVOR</t>
  </si>
  <si>
    <t>Source 7 Protein 21 serv Strawberries &amp; Crème - NEW LOOK/FLAVOR</t>
  </si>
  <si>
    <t>Source 7 Protein 21 serv Banana Crème - NEW LOOK/FLAVOR</t>
  </si>
  <si>
    <t>Source 7 Protein 21 serv Pumpkin Spice - NEW LOOK - SEASONAL (FALL)</t>
  </si>
  <si>
    <t>Energized Amino 30 serv Star Pop - SEASONAL (SUMMER)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</si>
</sst>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$-2809]* #,##0.00_-;\-[$$-2809]* #,##0.00_-;_-[$$-2809]* &quot;-&quot;??_-;_-@_-"/>
    <numFmt numFmtId="167" formatCode="_-[$$-4809]* #,##0.00_-;\-[$$-4809]* #,##0.00_-;_-[$$-4809]* &quot;-&quot;??_-;_-@_-"/>
    <numFmt numFmtId="168" formatCode="_-[$$-409]* #,##0.00_ ;_-[$$-409]* \-#,##0.00\ ;_-[$$-409]* &quot;-&quot;??_ ;_-@_ "/>
    <numFmt numFmtId="169" formatCode="[$$-409]#,##0.00"/>
  </numFmts>
  <fonts count="22" x14ac:knownFonts="1"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erdana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name val="Verdana"/>
      <family val="2"/>
      <charset val="204"/>
    </font>
    <font>
      <sz val="16"/>
      <name val="Calibri"/>
      <family val="2"/>
    </font>
    <font>
      <sz val="16"/>
      <name val="Verdana"/>
      <family val="2"/>
    </font>
    <font>
      <b/>
      <sz val="16"/>
      <color rgb="FFFF0000"/>
      <name val="Calibri"/>
      <family val="2"/>
      <scheme val="minor"/>
    </font>
    <font>
      <sz val="14"/>
      <name val="Verdana"/>
      <family val="2"/>
    </font>
    <font>
      <b/>
      <sz val="18"/>
      <color theme="1"/>
      <name val="Calibri"/>
      <family val="2"/>
      <charset val="204"/>
      <scheme val="minor"/>
    </font>
    <font>
      <b/>
      <sz val="18"/>
      <name val="Calibri"/>
      <family val="2"/>
      <charset val="204"/>
    </font>
    <font>
      <sz val="18"/>
      <name val="Verdana"/>
      <family val="2"/>
    </font>
    <font>
      <b/>
      <sz val="18"/>
      <color rgb="FFFF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4" fillId="0" borderId="0"/>
    <xf numFmtId="0" fontId="2" fillId="0" borderId="0"/>
    <xf numFmtId="0" fontId="2" fillId="0" borderId="0"/>
    <xf numFmtId="165" fontId="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68">
    <xf numFmtId="0" fontId="0" fillId="0" borderId="0" xfId="0"/>
    <xf numFmtId="0" fontId="9" fillId="2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1" fontId="11" fillId="0" borderId="0" xfId="4" applyNumberFormat="1" applyFont="1" applyAlignment="1">
      <alignment horizontal="center"/>
    </xf>
    <xf numFmtId="0" fontId="11" fillId="0" borderId="0" xfId="0" applyFont="1" applyAlignment="1">
      <alignment horizontal="left"/>
    </xf>
    <xf numFmtId="166" fontId="11" fillId="0" borderId="0" xfId="0" applyNumberFormat="1" applyFont="1" applyAlignment="1">
      <alignment horizontal="center"/>
    </xf>
    <xf numFmtId="1" fontId="9" fillId="0" borderId="2" xfId="0" applyNumberFormat="1" applyFont="1" applyBorder="1" applyAlignment="1">
      <alignment horizontal="center" vertical="center"/>
    </xf>
    <xf numFmtId="0" fontId="9" fillId="2" borderId="2" xfId="0" applyFont="1" applyFill="1" applyBorder="1" applyAlignment="1">
      <alignment vertical="center"/>
    </xf>
    <xf numFmtId="1" fontId="9" fillId="2" borderId="2" xfId="0" applyNumberFormat="1" applyFont="1" applyFill="1" applyBorder="1" applyAlignment="1">
      <alignment horizontal="center" vertical="center"/>
    </xf>
    <xf numFmtId="1" fontId="10" fillId="2" borderId="2" xfId="0" applyNumberFormat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166" fontId="9" fillId="0" borderId="8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1" fontId="9" fillId="2" borderId="6" xfId="0" applyNumberFormat="1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166" fontId="6" fillId="3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5" fillId="0" borderId="0" xfId="0" applyFont="1"/>
    <xf numFmtId="0" fontId="14" fillId="0" borderId="7" xfId="0" quotePrefix="1" applyFont="1" applyBorder="1" applyAlignment="1" applyProtection="1">
      <alignment horizontal="center"/>
      <protection hidden="1"/>
    </xf>
    <xf numFmtId="0" fontId="14" fillId="0" borderId="8" xfId="0" quotePrefix="1" applyFont="1" applyBorder="1" applyAlignment="1" applyProtection="1">
      <alignment horizontal="center"/>
      <protection hidden="1"/>
    </xf>
    <xf numFmtId="0" fontId="14" fillId="0" borderId="9" xfId="0" quotePrefix="1" applyFont="1" applyBorder="1" applyAlignment="1" applyProtection="1">
      <alignment horizontal="center"/>
      <protection hidden="1"/>
    </xf>
    <xf numFmtId="166" fontId="9" fillId="0" borderId="9" xfId="0" applyNumberFormat="1" applyFont="1" applyBorder="1" applyAlignment="1">
      <alignment horizontal="center" vertical="center"/>
    </xf>
    <xf numFmtId="0" fontId="11" fillId="0" borderId="0" xfId="0" applyFont="1" applyAlignment="1" applyProtection="1">
      <alignment horizontal="center"/>
      <protection locked="0"/>
    </xf>
    <xf numFmtId="0" fontId="6" fillId="3" borderId="15" xfId="0" applyFont="1" applyFill="1" applyBorder="1" applyAlignment="1">
      <alignment horizontal="center" vertical="center" wrapText="1"/>
    </xf>
    <xf numFmtId="1" fontId="6" fillId="3" borderId="16" xfId="4" applyNumberFormat="1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1" fontId="8" fillId="2" borderId="4" xfId="0" applyNumberFormat="1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167" fontId="9" fillId="0" borderId="8" xfId="0" applyNumberFormat="1" applyFont="1" applyBorder="1" applyAlignment="1">
      <alignment horizontal="center" vertical="center"/>
    </xf>
    <xf numFmtId="167" fontId="9" fillId="0" borderId="9" xfId="0" applyNumberFormat="1" applyFont="1" applyBorder="1" applyAlignment="1">
      <alignment horizontal="center" vertical="center"/>
    </xf>
    <xf numFmtId="14" fontId="13" fillId="0" borderId="0" xfId="0" quotePrefix="1" applyNumberFormat="1" applyFont="1" applyAlignment="1">
      <alignment horizontal="center" vertical="center"/>
    </xf>
    <xf numFmtId="0" fontId="9" fillId="0" borderId="11" xfId="0" applyFont="1" applyBorder="1" applyAlignment="1" applyProtection="1">
      <alignment horizontal="center" vertical="center"/>
      <protection locked="0"/>
    </xf>
    <xf numFmtId="0" fontId="9" fillId="2" borderId="11" xfId="0" applyFont="1" applyFill="1" applyBorder="1" applyAlignment="1" applyProtection="1">
      <alignment horizontal="center" vertical="center"/>
      <protection locked="0"/>
    </xf>
    <xf numFmtId="2" fontId="9" fillId="2" borderId="11" xfId="0" applyNumberFormat="1" applyFont="1" applyFill="1" applyBorder="1" applyAlignment="1" applyProtection="1">
      <alignment horizontal="center" vertical="center"/>
      <protection locked="0"/>
    </xf>
    <xf numFmtId="2" fontId="9" fillId="0" borderId="11" xfId="0" applyNumberFormat="1" applyFont="1" applyBorder="1" applyAlignment="1" applyProtection="1">
      <alignment horizontal="center" vertical="center"/>
      <protection locked="0"/>
    </xf>
    <xf numFmtId="0" fontId="9" fillId="2" borderId="14" xfId="0" applyFont="1" applyFill="1" applyBorder="1" applyAlignment="1" applyProtection="1">
      <alignment horizontal="center" vertical="center"/>
      <protection locked="0"/>
    </xf>
    <xf numFmtId="0" fontId="9" fillId="2" borderId="2" xfId="0" applyFont="1" applyFill="1" applyBorder="1" applyAlignment="1">
      <alignment horizontal="left" vertical="center"/>
    </xf>
    <xf numFmtId="0" fontId="9" fillId="2" borderId="6" xfId="0" applyFont="1" applyFill="1" applyBorder="1" applyAlignment="1">
      <alignment horizontal="left" vertical="center"/>
    </xf>
    <xf numFmtId="0" fontId="6" fillId="3" borderId="16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167" fontId="9" fillId="0" borderId="7" xfId="0" applyNumberFormat="1" applyFont="1" applyBorder="1" applyAlignment="1">
      <alignment horizontal="center" vertical="center"/>
    </xf>
    <xf numFmtId="4" fontId="17" fillId="0" borderId="0" xfId="0" applyNumberFormat="1" applyFont="1" applyAlignment="1">
      <alignment horizontal="center" vertical="center"/>
    </xf>
    <xf numFmtId="14" fontId="18" fillId="4" borderId="3" xfId="0" applyNumberFormat="1" applyFont="1" applyFill="1" applyBorder="1" applyAlignment="1">
      <alignment horizontal="center" vertical="center" wrapText="1"/>
    </xf>
    <xf numFmtId="0" fontId="18" fillId="4" borderId="3" xfId="0" applyFont="1" applyFill="1" applyBorder="1" applyAlignment="1">
      <alignment horizontal="center" vertical="center" wrapText="1"/>
    </xf>
    <xf numFmtId="168" fontId="19" fillId="4" borderId="3" xfId="0" applyNumberFormat="1" applyFont="1" applyFill="1" applyBorder="1" applyAlignment="1" applyProtection="1">
      <alignment horizontal="center" vertical="center" wrapText="1" readingOrder="1"/>
      <protection hidden="1"/>
    </xf>
    <xf numFmtId="0" fontId="20" fillId="0" borderId="0" xfId="0" applyFont="1"/>
    <xf numFmtId="169" fontId="18" fillId="4" borderId="3" xfId="0" applyNumberFormat="1" applyFont="1" applyFill="1" applyBorder="1" applyAlignment="1">
      <alignment horizontal="center" vertical="center"/>
    </xf>
    <xf numFmtId="0" fontId="21" fillId="2" borderId="3" xfId="0" applyFont="1" applyFill="1" applyBorder="1" applyAlignment="1" applyProtection="1">
      <alignment horizontal="center" vertical="center" wrapText="1" readingOrder="1"/>
      <protection locked="0"/>
    </xf>
    <xf numFmtId="4" fontId="18" fillId="2" borderId="19" xfId="0" applyNumberFormat="1" applyFont="1" applyFill="1" applyBorder="1" applyAlignment="1">
      <alignment horizontal="center" vertical="center"/>
    </xf>
    <xf numFmtId="168" fontId="19" fillId="2" borderId="3" xfId="0" applyNumberFormat="1" applyFont="1" applyFill="1" applyBorder="1" applyAlignment="1" applyProtection="1">
      <alignment horizontal="center" vertical="center" wrapText="1" readingOrder="1"/>
      <protection hidden="1"/>
    </xf>
    <xf numFmtId="168" fontId="19" fillId="0" borderId="0" xfId="0" applyNumberFormat="1" applyFont="1" applyAlignment="1" applyProtection="1">
      <alignment vertical="center" wrapText="1" readingOrder="1"/>
      <protection hidden="1"/>
    </xf>
    <xf numFmtId="0" fontId="18" fillId="5" borderId="3" xfId="0" applyFont="1" applyFill="1" applyBorder="1" applyAlignment="1">
      <alignment horizontal="center" vertical="center" wrapText="1"/>
    </xf>
    <xf numFmtId="4" fontId="18" fillId="0" borderId="0" xfId="0" applyNumberFormat="1" applyFont="1" applyAlignment="1">
      <alignment horizontal="center" vertical="center"/>
    </xf>
    <xf numFmtId="169" fontId="18" fillId="0" borderId="0" xfId="0" applyNumberFormat="1" applyFont="1" applyAlignment="1">
      <alignment horizontal="center" vertical="center"/>
    </xf>
    <xf numFmtId="0" fontId="12" fillId="0" borderId="1" xfId="0" applyFont="1" applyBorder="1" applyAlignment="1">
      <alignment horizontal="left" wrapText="1"/>
    </xf>
    <xf numFmtId="14" fontId="18" fillId="4" borderId="10" xfId="0" applyNumberFormat="1" applyFont="1" applyFill="1" applyBorder="1" applyAlignment="1">
      <alignment horizontal="center" vertical="center" wrapText="1"/>
    </xf>
    <xf numFmtId="14" fontId="18" fillId="4" borderId="19" xfId="0" applyNumberFormat="1" applyFont="1" applyFill="1" applyBorder="1" applyAlignment="1">
      <alignment horizontal="center" vertical="center" wrapText="1"/>
    </xf>
    <xf numFmtId="0" fontId="14" fillId="0" borderId="10" xfId="0" applyFont="1" applyBorder="1" applyAlignment="1" applyProtection="1">
      <alignment horizontal="center" vertical="center"/>
      <protection hidden="1"/>
    </xf>
    <xf numFmtId="0" fontId="9" fillId="0" borderId="13" xfId="0" applyFont="1" applyBorder="1" applyAlignment="1">
      <alignment horizontal="center" vertical="center"/>
    </xf>
  </cellXfs>
  <cellStyles count="10">
    <cellStyle name="Comma 2" xfId="6" xr:uid="{695650FC-B038-4FA2-8BE1-F5D67CB29A11}"/>
    <cellStyle name="Currency 2" xfId="8" xr:uid="{6EFECEB7-FF5A-417D-9EE0-977012A1EE14}"/>
    <cellStyle name="Excel Built-in Normal" xfId="1" xr:uid="{00000000-0005-0000-0000-000002000000}"/>
    <cellStyle name="Hyperlink 2" xfId="9" xr:uid="{8B6AD50F-EECD-4FCB-A462-5B3219C4B8D8}"/>
    <cellStyle name="Normal 2" xfId="2" xr:uid="{00000000-0005-0000-0000-000004000000}"/>
    <cellStyle name="Normal 3" xfId="3" xr:uid="{00000000-0005-0000-0000-000005000000}"/>
    <cellStyle name="Normal 4" xfId="5" xr:uid="{D95787E8-865F-43C5-94F0-BDEE0D0F5244}"/>
    <cellStyle name="Percent 2" xfId="7" xr:uid="{439A326C-98E2-4052-883E-79983FB23E7F}"/>
    <cellStyle name="Звичайний" xfId="0" builtinId="0"/>
    <cellStyle name="Фінансовий" xfId="4" builtinId="3"/>
  </cellStyles>
  <dxfs count="4">
    <dxf>
      <font>
        <b/>
        <i val="0"/>
        <color auto="1"/>
      </font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FFF99"/>
      <color rgb="FFFFC1C1"/>
      <color rgb="FFD60000"/>
      <color rgb="FFFF4747"/>
      <color rgb="FFFF8F8F"/>
      <color rgb="FFFFFF66"/>
      <color rgb="FFEA4E10"/>
      <color rgb="FFFF6A05"/>
      <color rgb="FFFF9933"/>
      <color rgb="FFFF6F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244188</xdr:colOff>
      <xdr:row>0</xdr:row>
      <xdr:rowOff>410441</xdr:rowOff>
    </xdr:from>
    <xdr:ext cx="2873085" cy="790628"/>
    <xdr:pic>
      <xdr:nvPicPr>
        <xdr:cNvPr id="3" name="Picture 3">
          <a:extLst>
            <a:ext uri="{FF2B5EF4-FFF2-40B4-BE49-F238E27FC236}">
              <a16:creationId xmlns:a16="http://schemas.microsoft.com/office/drawing/2014/main" id="{C0979EDB-8817-4B2B-A35A-0B4D42D4D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858261" y="410441"/>
          <a:ext cx="2873085" cy="790628"/>
        </a:xfrm>
        <a:prstGeom prst="rect">
          <a:avLst/>
        </a:prstGeom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E3A3B-0BA5-4B05-8F5D-A3DE551A1673}">
  <dimension ref="A1:Q291"/>
  <sheetViews>
    <sheetView tabSelected="1" topLeftCell="C1" zoomScale="55" zoomScaleNormal="55" workbookViewId="0">
      <pane ySplit="2" topLeftCell="A3" activePane="bottomLeft" state="frozen"/>
      <selection pane="bottomLeft" activeCell="J14" sqref="J14"/>
    </sheetView>
  </sheetViews>
  <sheetFormatPr defaultRowHeight="19.8" x14ac:dyDescent="0.3"/>
  <cols>
    <col min="1" max="1" width="16.1796875" style="4" customWidth="1"/>
    <col min="2" max="2" width="19.453125" style="5" customWidth="1"/>
    <col min="3" max="3" width="71.6328125" style="6" customWidth="1"/>
    <col min="4" max="4" width="46" style="4" customWidth="1"/>
    <col min="5" max="5" width="11.1796875" style="4" customWidth="1"/>
    <col min="6" max="6" width="12.453125" style="4" customWidth="1"/>
    <col min="7" max="7" width="16.6328125" style="7" bestFit="1" customWidth="1"/>
    <col min="8" max="8" width="12.453125" style="4" customWidth="1"/>
    <col min="9" max="9" width="16.453125" style="7" bestFit="1" customWidth="1"/>
    <col min="10" max="10" width="19" customWidth="1"/>
    <col min="12" max="17" width="15.54296875" style="23" customWidth="1"/>
  </cols>
  <sheetData>
    <row r="1" spans="1:17" ht="128.4" customHeight="1" thickBot="1" x14ac:dyDescent="0.45">
      <c r="A1" s="63" t="s">
        <v>245</v>
      </c>
      <c r="B1" s="63"/>
      <c r="C1" s="63"/>
      <c r="D1" s="63"/>
      <c r="E1" s="63"/>
      <c r="F1" s="63"/>
      <c r="G1" s="63"/>
      <c r="H1" s="63"/>
      <c r="I1" s="63"/>
      <c r="J1" s="38">
        <v>46085</v>
      </c>
      <c r="L1" s="51" t="s">
        <v>256</v>
      </c>
      <c r="M1" s="64" t="s">
        <v>257</v>
      </c>
      <c r="N1" s="52" t="s">
        <v>258</v>
      </c>
      <c r="O1" s="53" t="s">
        <v>259</v>
      </c>
      <c r="P1" s="54"/>
      <c r="Q1" s="55" t="str">
        <f>IFERROR(IF(SUM(Q3:Q262)=0, "-", J2+O2), "-")</f>
        <v>-</v>
      </c>
    </row>
    <row r="2" spans="1:17" ht="70.8" thickBot="1" x14ac:dyDescent="0.25">
      <c r="A2" s="29" t="s">
        <v>0</v>
      </c>
      <c r="B2" s="30" t="s">
        <v>159</v>
      </c>
      <c r="C2" s="46" t="s">
        <v>96</v>
      </c>
      <c r="D2" s="31" t="s">
        <v>97</v>
      </c>
      <c r="E2" s="31" t="s">
        <v>255</v>
      </c>
      <c r="F2" s="32" t="s">
        <v>185</v>
      </c>
      <c r="G2" s="35" t="s">
        <v>154</v>
      </c>
      <c r="H2" s="34" t="s">
        <v>155</v>
      </c>
      <c r="I2" s="35" t="s">
        <v>186</v>
      </c>
      <c r="J2" s="21">
        <f>SUM(I3:I212)</f>
        <v>0</v>
      </c>
      <c r="L2" s="56"/>
      <c r="M2" s="65"/>
      <c r="N2" s="57" t="str">
        <f>IF(SUM(N3:N262)=0, "-", SUM(N3:N262))</f>
        <v>-</v>
      </c>
      <c r="O2" s="58" t="str">
        <f>IF(SUM(O3:O262)=0, "-", SUM(O3:O262))</f>
        <v>-</v>
      </c>
      <c r="P2" s="59"/>
      <c r="Q2" s="60" t="s">
        <v>260</v>
      </c>
    </row>
    <row r="3" spans="1:17" ht="23.4" x14ac:dyDescent="0.35">
      <c r="A3" s="15" t="s">
        <v>2</v>
      </c>
      <c r="B3" s="8">
        <v>196671004260</v>
      </c>
      <c r="C3" s="47" t="s">
        <v>275</v>
      </c>
      <c r="D3" s="1" t="s">
        <v>160</v>
      </c>
      <c r="E3" s="12">
        <v>0.85017906655050002</v>
      </c>
      <c r="F3" s="12">
        <v>6</v>
      </c>
      <c r="G3" s="14">
        <v>21.45</v>
      </c>
      <c r="H3" s="39"/>
      <c r="I3" s="49">
        <f>H3*G3</f>
        <v>0</v>
      </c>
      <c r="L3" s="61" t="str">
        <f t="shared" ref="L3" si="0">IFERROR(IF($L$2*E3=0, "-", $L$2*E3), "-")</f>
        <v>-</v>
      </c>
      <c r="M3" s="61" t="str">
        <f>IFERROR(IF(L3&gt;0,G3+L3,"-"),"-")</f>
        <v>-</v>
      </c>
      <c r="N3" s="50" t="str">
        <f>IF(H3&gt;0,H3*E3, "-")</f>
        <v>-</v>
      </c>
      <c r="O3" s="62" t="str">
        <f t="shared" ref="O3" si="1">IFERROR(IF($L$2&gt;0, $L$2*N3, "-"), "-")</f>
        <v>-</v>
      </c>
      <c r="P3" s="54"/>
      <c r="Q3" s="62" t="str">
        <f t="shared" ref="Q3" si="2">IFERROR(IF(O3+I3=0, "-", IF(O3&gt;0, O3+I3, "-")), "-")</f>
        <v>-</v>
      </c>
    </row>
    <row r="4" spans="1:17" ht="23.4" x14ac:dyDescent="0.35">
      <c r="A4" s="15" t="s">
        <v>3</v>
      </c>
      <c r="B4" s="8">
        <v>196671004277</v>
      </c>
      <c r="C4" s="47" t="s">
        <v>276</v>
      </c>
      <c r="D4" s="1" t="s">
        <v>160</v>
      </c>
      <c r="E4" s="12">
        <v>0.85017906655050002</v>
      </c>
      <c r="F4" s="12">
        <v>6</v>
      </c>
      <c r="G4" s="14">
        <v>21.45</v>
      </c>
      <c r="H4" s="39"/>
      <c r="I4" s="36">
        <f t="shared" ref="I4:I6" si="3">H4*G4</f>
        <v>0</v>
      </c>
      <c r="L4" s="61" t="str">
        <f t="shared" ref="L4:L63" si="4">IFERROR(IF($L$2*E4=0, "-", $L$2*E4), "-")</f>
        <v>-</v>
      </c>
      <c r="M4" s="61" t="str">
        <f t="shared" ref="M4:M63" si="5">IFERROR(IF(L4&gt;0,G4+L4,"-"),"-")</f>
        <v>-</v>
      </c>
      <c r="N4" s="50" t="str">
        <f t="shared" ref="N4:N63" si="6">IF(H4&gt;0,H4*E4, "-")</f>
        <v>-</v>
      </c>
      <c r="O4" s="62" t="str">
        <f t="shared" ref="O4:O63" si="7">IFERROR(IF($L$2&gt;0, $L$2*N4, "-"), "-")</f>
        <v>-</v>
      </c>
      <c r="P4" s="54"/>
      <c r="Q4" s="62" t="str">
        <f t="shared" ref="Q4:Q63" si="8">IFERROR(IF(O4+I4=0, "-", IF(O4&gt;0, O4+I4, "-")), "-")</f>
        <v>-</v>
      </c>
    </row>
    <row r="5" spans="1:17" ht="23.4" x14ac:dyDescent="0.35">
      <c r="A5" s="15" t="s">
        <v>4</v>
      </c>
      <c r="B5" s="8">
        <v>196671004000</v>
      </c>
      <c r="C5" s="47" t="s">
        <v>277</v>
      </c>
      <c r="D5" s="1" t="s">
        <v>160</v>
      </c>
      <c r="E5" s="12">
        <v>1.359858133101</v>
      </c>
      <c r="F5" s="12">
        <v>6</v>
      </c>
      <c r="G5" s="14">
        <v>39</v>
      </c>
      <c r="H5" s="39"/>
      <c r="I5" s="36">
        <f t="shared" si="3"/>
        <v>0</v>
      </c>
      <c r="L5" s="61" t="str">
        <f t="shared" si="4"/>
        <v>-</v>
      </c>
      <c r="M5" s="61" t="str">
        <f t="shared" si="5"/>
        <v>-</v>
      </c>
      <c r="N5" s="50" t="str">
        <f t="shared" si="6"/>
        <v>-</v>
      </c>
      <c r="O5" s="62" t="str">
        <f t="shared" si="7"/>
        <v>-</v>
      </c>
      <c r="P5" s="54"/>
      <c r="Q5" s="62" t="str">
        <f t="shared" si="8"/>
        <v>-</v>
      </c>
    </row>
    <row r="6" spans="1:17" ht="23.4" x14ac:dyDescent="0.35">
      <c r="A6" s="15" t="s">
        <v>5</v>
      </c>
      <c r="B6" s="8">
        <v>196671004017</v>
      </c>
      <c r="C6" s="47" t="s">
        <v>278</v>
      </c>
      <c r="D6" s="1" t="s">
        <v>160</v>
      </c>
      <c r="E6" s="12">
        <v>1.359858133101</v>
      </c>
      <c r="F6" s="12">
        <v>6</v>
      </c>
      <c r="G6" s="14">
        <v>39</v>
      </c>
      <c r="H6" s="39"/>
      <c r="I6" s="36">
        <f t="shared" si="3"/>
        <v>0</v>
      </c>
      <c r="L6" s="61" t="str">
        <f t="shared" si="4"/>
        <v>-</v>
      </c>
      <c r="M6" s="61" t="str">
        <f t="shared" si="5"/>
        <v>-</v>
      </c>
      <c r="N6" s="50" t="str">
        <f t="shared" si="6"/>
        <v>-</v>
      </c>
      <c r="O6" s="62" t="str">
        <f t="shared" si="7"/>
        <v>-</v>
      </c>
      <c r="P6" s="54"/>
      <c r="Q6" s="62" t="str">
        <f t="shared" si="8"/>
        <v>-</v>
      </c>
    </row>
    <row r="7" spans="1:17" ht="23.4" x14ac:dyDescent="0.35">
      <c r="A7" s="15" t="s">
        <v>6</v>
      </c>
      <c r="B7" s="8">
        <v>196671004024</v>
      </c>
      <c r="C7" s="47" t="s">
        <v>279</v>
      </c>
      <c r="D7" s="9" t="s">
        <v>160</v>
      </c>
      <c r="E7" s="12">
        <v>1.359858133101</v>
      </c>
      <c r="F7" s="12">
        <v>6</v>
      </c>
      <c r="G7" s="14">
        <v>39</v>
      </c>
      <c r="H7" s="39"/>
      <c r="I7" s="36">
        <f t="shared" ref="I7:I8" si="9">H7*G7</f>
        <v>0</v>
      </c>
      <c r="L7" s="61" t="str">
        <f t="shared" si="4"/>
        <v>-</v>
      </c>
      <c r="M7" s="61" t="str">
        <f t="shared" si="5"/>
        <v>-</v>
      </c>
      <c r="N7" s="50" t="str">
        <f t="shared" si="6"/>
        <v>-</v>
      </c>
      <c r="O7" s="62" t="str">
        <f t="shared" si="7"/>
        <v>-</v>
      </c>
      <c r="P7" s="54"/>
      <c r="Q7" s="62" t="str">
        <f t="shared" si="8"/>
        <v>-</v>
      </c>
    </row>
    <row r="8" spans="1:17" ht="23.4" x14ac:dyDescent="0.35">
      <c r="A8" s="15" t="s">
        <v>7</v>
      </c>
      <c r="B8" s="8">
        <v>196671004031</v>
      </c>
      <c r="C8" s="47" t="s">
        <v>280</v>
      </c>
      <c r="D8" s="1" t="s">
        <v>160</v>
      </c>
      <c r="E8" s="12">
        <v>1.359858133101</v>
      </c>
      <c r="F8" s="12">
        <v>6</v>
      </c>
      <c r="G8" s="14">
        <v>39</v>
      </c>
      <c r="H8" s="39"/>
      <c r="I8" s="36">
        <f t="shared" si="9"/>
        <v>0</v>
      </c>
      <c r="L8" s="61" t="str">
        <f t="shared" si="4"/>
        <v>-</v>
      </c>
      <c r="M8" s="61" t="str">
        <f t="shared" si="5"/>
        <v>-</v>
      </c>
      <c r="N8" s="50" t="str">
        <f t="shared" si="6"/>
        <v>-</v>
      </c>
      <c r="O8" s="62" t="str">
        <f t="shared" si="7"/>
        <v>-</v>
      </c>
      <c r="P8" s="54"/>
      <c r="Q8" s="62" t="str">
        <f t="shared" si="8"/>
        <v>-</v>
      </c>
    </row>
    <row r="9" spans="1:17" ht="23.4" x14ac:dyDescent="0.35">
      <c r="A9" s="15" t="s">
        <v>8</v>
      </c>
      <c r="B9" s="8">
        <v>196671004598</v>
      </c>
      <c r="C9" s="44" t="s">
        <v>281</v>
      </c>
      <c r="D9" s="2" t="s">
        <v>160</v>
      </c>
      <c r="E9" s="12">
        <v>1.3753029532995</v>
      </c>
      <c r="F9" s="13">
        <v>6</v>
      </c>
      <c r="G9" s="14">
        <v>39</v>
      </c>
      <c r="H9" s="40"/>
      <c r="I9" s="36">
        <f t="shared" ref="I9:I22" si="10">H9*G9</f>
        <v>0</v>
      </c>
      <c r="L9" s="61" t="str">
        <f t="shared" si="4"/>
        <v>-</v>
      </c>
      <c r="M9" s="61" t="str">
        <f t="shared" si="5"/>
        <v>-</v>
      </c>
      <c r="N9" s="50" t="str">
        <f t="shared" si="6"/>
        <v>-</v>
      </c>
      <c r="O9" s="62" t="str">
        <f t="shared" si="7"/>
        <v>-</v>
      </c>
      <c r="P9" s="54"/>
      <c r="Q9" s="62" t="str">
        <f t="shared" si="8"/>
        <v>-</v>
      </c>
    </row>
    <row r="10" spans="1:17" ht="23.4" x14ac:dyDescent="0.35">
      <c r="A10" s="15" t="s">
        <v>9</v>
      </c>
      <c r="B10" s="8">
        <v>196671004567</v>
      </c>
      <c r="C10" s="44" t="s">
        <v>282</v>
      </c>
      <c r="D10" s="2" t="s">
        <v>160</v>
      </c>
      <c r="E10" s="12">
        <v>1.3444133129025</v>
      </c>
      <c r="F10" s="13">
        <v>6</v>
      </c>
      <c r="G10" s="14">
        <v>39</v>
      </c>
      <c r="H10" s="40"/>
      <c r="I10" s="36">
        <f t="shared" si="10"/>
        <v>0</v>
      </c>
      <c r="L10" s="61" t="str">
        <f t="shared" si="4"/>
        <v>-</v>
      </c>
      <c r="M10" s="61" t="str">
        <f t="shared" si="5"/>
        <v>-</v>
      </c>
      <c r="N10" s="50" t="str">
        <f t="shared" si="6"/>
        <v>-</v>
      </c>
      <c r="O10" s="62" t="str">
        <f t="shared" si="7"/>
        <v>-</v>
      </c>
      <c r="P10" s="54"/>
      <c r="Q10" s="62" t="str">
        <f t="shared" si="8"/>
        <v>-</v>
      </c>
    </row>
    <row r="11" spans="1:17" ht="23.4" x14ac:dyDescent="0.35">
      <c r="A11" s="15" t="s">
        <v>10</v>
      </c>
      <c r="B11" s="8">
        <v>196671006462</v>
      </c>
      <c r="C11" s="48" t="s">
        <v>283</v>
      </c>
      <c r="D11" s="2" t="s">
        <v>160</v>
      </c>
      <c r="E11" s="12">
        <v>1.359858133101</v>
      </c>
      <c r="F11" s="13">
        <v>6</v>
      </c>
      <c r="G11" s="14">
        <v>39</v>
      </c>
      <c r="H11" s="40"/>
      <c r="I11" s="36">
        <f t="shared" si="10"/>
        <v>0</v>
      </c>
      <c r="L11" s="61" t="str">
        <f t="shared" si="4"/>
        <v>-</v>
      </c>
      <c r="M11" s="61" t="str">
        <f t="shared" si="5"/>
        <v>-</v>
      </c>
      <c r="N11" s="50" t="str">
        <f t="shared" si="6"/>
        <v>-</v>
      </c>
      <c r="O11" s="62" t="str">
        <f t="shared" si="7"/>
        <v>-</v>
      </c>
      <c r="P11" s="54"/>
      <c r="Q11" s="62" t="str">
        <f t="shared" si="8"/>
        <v>-</v>
      </c>
    </row>
    <row r="12" spans="1:17" ht="23.4" x14ac:dyDescent="0.35">
      <c r="A12" s="15" t="s">
        <v>11</v>
      </c>
      <c r="B12" s="8">
        <v>196671006752</v>
      </c>
      <c r="C12" s="48" t="s">
        <v>284</v>
      </c>
      <c r="D12" s="2" t="s">
        <v>160</v>
      </c>
      <c r="E12" s="12">
        <v>1.3444133129025</v>
      </c>
      <c r="F12" s="13">
        <v>6</v>
      </c>
      <c r="G12" s="14">
        <v>39</v>
      </c>
      <c r="H12" s="40"/>
      <c r="I12" s="36">
        <f t="shared" si="10"/>
        <v>0</v>
      </c>
      <c r="L12" s="61" t="str">
        <f t="shared" si="4"/>
        <v>-</v>
      </c>
      <c r="M12" s="61" t="str">
        <f t="shared" si="5"/>
        <v>-</v>
      </c>
      <c r="N12" s="50" t="str">
        <f t="shared" si="6"/>
        <v>-</v>
      </c>
      <c r="O12" s="62" t="str">
        <f t="shared" si="7"/>
        <v>-</v>
      </c>
      <c r="P12" s="54"/>
      <c r="Q12" s="62" t="str">
        <f t="shared" si="8"/>
        <v>-</v>
      </c>
    </row>
    <row r="13" spans="1:17" ht="23.4" x14ac:dyDescent="0.35">
      <c r="A13" s="15" t="s">
        <v>66</v>
      </c>
      <c r="B13" s="8">
        <v>196671007148</v>
      </c>
      <c r="C13" s="48" t="s">
        <v>285</v>
      </c>
      <c r="D13" s="2" t="s">
        <v>160</v>
      </c>
      <c r="E13" s="12">
        <v>1.359858133101</v>
      </c>
      <c r="F13" s="13">
        <v>6</v>
      </c>
      <c r="G13" s="14">
        <v>39</v>
      </c>
      <c r="H13" s="40"/>
      <c r="I13" s="36">
        <f t="shared" si="10"/>
        <v>0</v>
      </c>
      <c r="L13" s="61" t="str">
        <f t="shared" si="4"/>
        <v>-</v>
      </c>
      <c r="M13" s="61" t="str">
        <f t="shared" si="5"/>
        <v>-</v>
      </c>
      <c r="N13" s="50" t="str">
        <f t="shared" si="6"/>
        <v>-</v>
      </c>
      <c r="O13" s="62" t="str">
        <f t="shared" si="7"/>
        <v>-</v>
      </c>
      <c r="P13" s="54"/>
      <c r="Q13" s="62" t="str">
        <f t="shared" si="8"/>
        <v>-</v>
      </c>
    </row>
    <row r="14" spans="1:17" ht="23.4" x14ac:dyDescent="0.35">
      <c r="A14" s="15" t="s">
        <v>75</v>
      </c>
      <c r="B14" s="8">
        <v>196671007858</v>
      </c>
      <c r="C14" s="48" t="s">
        <v>286</v>
      </c>
      <c r="D14" s="2" t="s">
        <v>160</v>
      </c>
      <c r="E14" s="12">
        <v>1.359858133101</v>
      </c>
      <c r="F14" s="13">
        <v>6</v>
      </c>
      <c r="G14" s="14">
        <v>39</v>
      </c>
      <c r="H14" s="40"/>
      <c r="I14" s="36">
        <f t="shared" si="10"/>
        <v>0</v>
      </c>
      <c r="L14" s="61" t="str">
        <f t="shared" si="4"/>
        <v>-</v>
      </c>
      <c r="M14" s="61" t="str">
        <f t="shared" si="5"/>
        <v>-</v>
      </c>
      <c r="N14" s="50" t="str">
        <f t="shared" si="6"/>
        <v>-</v>
      </c>
      <c r="O14" s="62" t="str">
        <f t="shared" si="7"/>
        <v>-</v>
      </c>
      <c r="P14" s="54"/>
      <c r="Q14" s="62" t="str">
        <f t="shared" si="8"/>
        <v>-</v>
      </c>
    </row>
    <row r="15" spans="1:17" ht="23.4" x14ac:dyDescent="0.35">
      <c r="A15" s="15" t="s">
        <v>76</v>
      </c>
      <c r="B15" s="8">
        <v>196671007872</v>
      </c>
      <c r="C15" s="48" t="s">
        <v>287</v>
      </c>
      <c r="D15" s="2" t="s">
        <v>160</v>
      </c>
      <c r="E15" s="12">
        <v>1.359858133101</v>
      </c>
      <c r="F15" s="13">
        <v>6</v>
      </c>
      <c r="G15" s="14">
        <v>39</v>
      </c>
      <c r="H15" s="40"/>
      <c r="I15" s="36">
        <f t="shared" si="10"/>
        <v>0</v>
      </c>
      <c r="L15" s="61" t="str">
        <f t="shared" si="4"/>
        <v>-</v>
      </c>
      <c r="M15" s="61" t="str">
        <f t="shared" si="5"/>
        <v>-</v>
      </c>
      <c r="N15" s="50" t="str">
        <f t="shared" si="6"/>
        <v>-</v>
      </c>
      <c r="O15" s="62" t="str">
        <f t="shared" si="7"/>
        <v>-</v>
      </c>
      <c r="P15" s="54"/>
      <c r="Q15" s="62" t="str">
        <f t="shared" si="8"/>
        <v>-</v>
      </c>
    </row>
    <row r="16" spans="1:17" ht="23.4" x14ac:dyDescent="0.35">
      <c r="A16" s="15" t="s">
        <v>133</v>
      </c>
      <c r="B16" s="8">
        <v>196671009883</v>
      </c>
      <c r="C16" s="48" t="s">
        <v>288</v>
      </c>
      <c r="D16" s="2" t="s">
        <v>160</v>
      </c>
      <c r="E16" s="12">
        <v>1.359858133101</v>
      </c>
      <c r="F16" s="13">
        <v>6</v>
      </c>
      <c r="G16" s="14">
        <v>39</v>
      </c>
      <c r="H16" s="40"/>
      <c r="I16" s="36">
        <f t="shared" si="10"/>
        <v>0</v>
      </c>
      <c r="L16" s="61" t="str">
        <f t="shared" si="4"/>
        <v>-</v>
      </c>
      <c r="M16" s="61" t="str">
        <f t="shared" si="5"/>
        <v>-</v>
      </c>
      <c r="N16" s="50" t="str">
        <f t="shared" si="6"/>
        <v>-</v>
      </c>
      <c r="O16" s="62" t="str">
        <f t="shared" si="7"/>
        <v>-</v>
      </c>
      <c r="P16" s="54"/>
      <c r="Q16" s="62" t="str">
        <f t="shared" si="8"/>
        <v>-</v>
      </c>
    </row>
    <row r="17" spans="1:17" ht="23.4" x14ac:dyDescent="0.35">
      <c r="A17" s="15" t="s">
        <v>129</v>
      </c>
      <c r="B17" s="8">
        <v>196671008237</v>
      </c>
      <c r="C17" s="48" t="s">
        <v>289</v>
      </c>
      <c r="D17" s="2" t="s">
        <v>160</v>
      </c>
      <c r="E17" s="12">
        <v>1.359858133101</v>
      </c>
      <c r="F17" s="13">
        <v>6</v>
      </c>
      <c r="G17" s="14">
        <v>39</v>
      </c>
      <c r="H17" s="40"/>
      <c r="I17" s="36">
        <f t="shared" si="10"/>
        <v>0</v>
      </c>
      <c r="L17" s="61" t="str">
        <f t="shared" si="4"/>
        <v>-</v>
      </c>
      <c r="M17" s="61" t="str">
        <f t="shared" si="5"/>
        <v>-</v>
      </c>
      <c r="N17" s="50" t="str">
        <f t="shared" si="6"/>
        <v>-</v>
      </c>
      <c r="O17" s="62" t="str">
        <f t="shared" si="7"/>
        <v>-</v>
      </c>
      <c r="P17" s="54"/>
      <c r="Q17" s="62" t="str">
        <f t="shared" si="8"/>
        <v>-</v>
      </c>
    </row>
    <row r="18" spans="1:17" ht="23.4" x14ac:dyDescent="0.35">
      <c r="A18" s="15" t="s">
        <v>15</v>
      </c>
      <c r="B18" s="8">
        <v>196671006004</v>
      </c>
      <c r="C18" s="48" t="s">
        <v>290</v>
      </c>
      <c r="D18" s="2" t="s">
        <v>160</v>
      </c>
      <c r="E18" s="12">
        <v>1.2260030247139999</v>
      </c>
      <c r="F18" s="13">
        <v>6</v>
      </c>
      <c r="G18" s="14">
        <v>39</v>
      </c>
      <c r="H18" s="40"/>
      <c r="I18" s="36">
        <f t="shared" si="10"/>
        <v>0</v>
      </c>
      <c r="L18" s="61" t="str">
        <f t="shared" si="4"/>
        <v>-</v>
      </c>
      <c r="M18" s="61" t="str">
        <f t="shared" si="5"/>
        <v>-</v>
      </c>
      <c r="N18" s="50" t="str">
        <f t="shared" si="6"/>
        <v>-</v>
      </c>
      <c r="O18" s="62" t="str">
        <f t="shared" si="7"/>
        <v>-</v>
      </c>
      <c r="P18" s="54"/>
      <c r="Q18" s="62" t="str">
        <f t="shared" si="8"/>
        <v>-</v>
      </c>
    </row>
    <row r="19" spans="1:17" ht="23.4" x14ac:dyDescent="0.35">
      <c r="A19" s="15" t="s">
        <v>16</v>
      </c>
      <c r="B19" s="8">
        <v>196671006011</v>
      </c>
      <c r="C19" s="48" t="s">
        <v>291</v>
      </c>
      <c r="D19" s="2" t="s">
        <v>160</v>
      </c>
      <c r="E19" s="12">
        <v>1.205409931116</v>
      </c>
      <c r="F19" s="13">
        <v>6</v>
      </c>
      <c r="G19" s="14">
        <v>39</v>
      </c>
      <c r="H19" s="40"/>
      <c r="I19" s="36">
        <f t="shared" si="10"/>
        <v>0</v>
      </c>
      <c r="L19" s="61" t="str">
        <f t="shared" si="4"/>
        <v>-</v>
      </c>
      <c r="M19" s="61" t="str">
        <f t="shared" si="5"/>
        <v>-</v>
      </c>
      <c r="N19" s="50" t="str">
        <f t="shared" si="6"/>
        <v>-</v>
      </c>
      <c r="O19" s="62" t="str">
        <f t="shared" si="7"/>
        <v>-</v>
      </c>
      <c r="P19" s="54"/>
      <c r="Q19" s="62" t="str">
        <f t="shared" si="8"/>
        <v>-</v>
      </c>
    </row>
    <row r="20" spans="1:17" ht="23.4" x14ac:dyDescent="0.35">
      <c r="A20" s="15" t="s">
        <v>217</v>
      </c>
      <c r="B20" s="8">
        <v>196671005236</v>
      </c>
      <c r="C20" s="48" t="s">
        <v>292</v>
      </c>
      <c r="D20" s="2" t="s">
        <v>160</v>
      </c>
      <c r="E20" s="12">
        <v>1.359858133101</v>
      </c>
      <c r="F20" s="13">
        <v>6</v>
      </c>
      <c r="G20" s="14">
        <v>39</v>
      </c>
      <c r="H20" s="40"/>
      <c r="I20" s="36">
        <f t="shared" si="10"/>
        <v>0</v>
      </c>
      <c r="L20" s="61" t="str">
        <f t="shared" si="4"/>
        <v>-</v>
      </c>
      <c r="M20" s="61" t="str">
        <f t="shared" si="5"/>
        <v>-</v>
      </c>
      <c r="N20" s="50" t="str">
        <f t="shared" si="6"/>
        <v>-</v>
      </c>
      <c r="O20" s="62" t="str">
        <f t="shared" si="7"/>
        <v>-</v>
      </c>
      <c r="P20" s="54"/>
      <c r="Q20" s="62" t="str">
        <f t="shared" si="8"/>
        <v>-</v>
      </c>
    </row>
    <row r="21" spans="1:17" ht="23.4" x14ac:dyDescent="0.35">
      <c r="A21" s="15" t="s">
        <v>85</v>
      </c>
      <c r="B21" s="8">
        <v>196671004055</v>
      </c>
      <c r="C21" s="48" t="s">
        <v>293</v>
      </c>
      <c r="D21" s="2" t="s">
        <v>160</v>
      </c>
      <c r="E21" s="12">
        <v>2.9197849731495</v>
      </c>
      <c r="F21" s="13">
        <v>4</v>
      </c>
      <c r="G21" s="14">
        <v>87.75</v>
      </c>
      <c r="H21" s="40"/>
      <c r="I21" s="36">
        <f t="shared" si="10"/>
        <v>0</v>
      </c>
      <c r="L21" s="61" t="str">
        <f t="shared" si="4"/>
        <v>-</v>
      </c>
      <c r="M21" s="61" t="str">
        <f t="shared" si="5"/>
        <v>-</v>
      </c>
      <c r="N21" s="50" t="str">
        <f t="shared" si="6"/>
        <v>-</v>
      </c>
      <c r="O21" s="62" t="str">
        <f t="shared" si="7"/>
        <v>-</v>
      </c>
      <c r="P21" s="54"/>
      <c r="Q21" s="62" t="str">
        <f t="shared" si="8"/>
        <v>-</v>
      </c>
    </row>
    <row r="22" spans="1:17" ht="23.4" x14ac:dyDescent="0.35">
      <c r="A22" s="15" t="s">
        <v>86</v>
      </c>
      <c r="B22" s="8">
        <v>196671004062</v>
      </c>
      <c r="C22" s="48" t="s">
        <v>294</v>
      </c>
      <c r="D22" s="2" t="s">
        <v>160</v>
      </c>
      <c r="E22" s="12">
        <v>2.9300815199485002</v>
      </c>
      <c r="F22" s="13">
        <v>4</v>
      </c>
      <c r="G22" s="14">
        <v>87.75</v>
      </c>
      <c r="H22" s="40"/>
      <c r="I22" s="36">
        <f t="shared" si="10"/>
        <v>0</v>
      </c>
      <c r="L22" s="61" t="str">
        <f t="shared" si="4"/>
        <v>-</v>
      </c>
      <c r="M22" s="61" t="str">
        <f t="shared" si="5"/>
        <v>-</v>
      </c>
      <c r="N22" s="50" t="str">
        <f t="shared" si="6"/>
        <v>-</v>
      </c>
      <c r="O22" s="62" t="str">
        <f t="shared" si="7"/>
        <v>-</v>
      </c>
      <c r="P22" s="54"/>
      <c r="Q22" s="62" t="str">
        <f t="shared" si="8"/>
        <v>-</v>
      </c>
    </row>
    <row r="23" spans="1:17" ht="23.4" x14ac:dyDescent="0.35">
      <c r="A23" s="15" t="s">
        <v>12</v>
      </c>
      <c r="B23" s="8">
        <v>196671004079</v>
      </c>
      <c r="C23" s="48" t="s">
        <v>295</v>
      </c>
      <c r="D23" s="2" t="s">
        <v>160</v>
      </c>
      <c r="E23" s="12">
        <v>2.9300815199485002</v>
      </c>
      <c r="F23" s="13">
        <v>4</v>
      </c>
      <c r="G23" s="14">
        <v>87.75</v>
      </c>
      <c r="H23" s="41"/>
      <c r="I23" s="36">
        <f t="shared" ref="I23:I35" si="11">H23*G23</f>
        <v>0</v>
      </c>
      <c r="L23" s="61" t="str">
        <f t="shared" si="4"/>
        <v>-</v>
      </c>
      <c r="M23" s="61" t="str">
        <f t="shared" si="5"/>
        <v>-</v>
      </c>
      <c r="N23" s="50" t="str">
        <f t="shared" si="6"/>
        <v>-</v>
      </c>
      <c r="O23" s="62" t="str">
        <f t="shared" si="7"/>
        <v>-</v>
      </c>
      <c r="P23" s="54"/>
      <c r="Q23" s="62" t="str">
        <f t="shared" si="8"/>
        <v>-</v>
      </c>
    </row>
    <row r="24" spans="1:17" ht="23.4" x14ac:dyDescent="0.35">
      <c r="A24" s="15" t="s">
        <v>13</v>
      </c>
      <c r="B24" s="8">
        <v>196671004086</v>
      </c>
      <c r="C24" s="48" t="s">
        <v>296</v>
      </c>
      <c r="D24" s="2" t="s">
        <v>160</v>
      </c>
      <c r="E24" s="12">
        <v>2.9300815199485002</v>
      </c>
      <c r="F24" s="13">
        <v>4</v>
      </c>
      <c r="G24" s="14">
        <v>87.75</v>
      </c>
      <c r="H24" s="40"/>
      <c r="I24" s="36">
        <f t="shared" si="11"/>
        <v>0</v>
      </c>
      <c r="L24" s="61" t="str">
        <f t="shared" si="4"/>
        <v>-</v>
      </c>
      <c r="M24" s="61" t="str">
        <f t="shared" si="5"/>
        <v>-</v>
      </c>
      <c r="N24" s="50" t="str">
        <f t="shared" si="6"/>
        <v>-</v>
      </c>
      <c r="O24" s="62" t="str">
        <f t="shared" si="7"/>
        <v>-</v>
      </c>
      <c r="P24" s="54"/>
      <c r="Q24" s="62" t="str">
        <f t="shared" si="8"/>
        <v>-</v>
      </c>
    </row>
    <row r="25" spans="1:17" ht="23.4" x14ac:dyDescent="0.35">
      <c r="A25" s="15" t="s">
        <v>87</v>
      </c>
      <c r="B25" s="8">
        <v>196671004604</v>
      </c>
      <c r="C25" s="48" t="s">
        <v>297</v>
      </c>
      <c r="D25" s="2" t="s">
        <v>160</v>
      </c>
      <c r="E25" s="12">
        <v>2.9249332465489997</v>
      </c>
      <c r="F25" s="13">
        <v>4</v>
      </c>
      <c r="G25" s="14">
        <v>87.75</v>
      </c>
      <c r="H25" s="40"/>
      <c r="I25" s="36">
        <f t="shared" si="11"/>
        <v>0</v>
      </c>
      <c r="L25" s="61" t="str">
        <f t="shared" si="4"/>
        <v>-</v>
      </c>
      <c r="M25" s="61" t="str">
        <f t="shared" si="5"/>
        <v>-</v>
      </c>
      <c r="N25" s="50" t="str">
        <f t="shared" si="6"/>
        <v>-</v>
      </c>
      <c r="O25" s="62" t="str">
        <f t="shared" si="7"/>
        <v>-</v>
      </c>
      <c r="P25" s="54"/>
      <c r="Q25" s="62" t="str">
        <f t="shared" si="8"/>
        <v>-</v>
      </c>
    </row>
    <row r="26" spans="1:17" ht="23.4" x14ac:dyDescent="0.35">
      <c r="A26" s="15" t="s">
        <v>88</v>
      </c>
      <c r="B26" s="8">
        <v>196671004574</v>
      </c>
      <c r="C26" s="48" t="s">
        <v>298</v>
      </c>
      <c r="D26" s="2" t="s">
        <v>160</v>
      </c>
      <c r="E26" s="12">
        <v>2.9043401529510002</v>
      </c>
      <c r="F26" s="13">
        <v>4</v>
      </c>
      <c r="G26" s="14">
        <v>87.75</v>
      </c>
      <c r="H26" s="40"/>
      <c r="I26" s="36">
        <f t="shared" si="11"/>
        <v>0</v>
      </c>
      <c r="L26" s="61" t="str">
        <f t="shared" si="4"/>
        <v>-</v>
      </c>
      <c r="M26" s="61" t="str">
        <f t="shared" si="5"/>
        <v>-</v>
      </c>
      <c r="N26" s="50" t="str">
        <f t="shared" si="6"/>
        <v>-</v>
      </c>
      <c r="O26" s="62" t="str">
        <f t="shared" si="7"/>
        <v>-</v>
      </c>
      <c r="P26" s="54"/>
      <c r="Q26" s="62" t="str">
        <f t="shared" si="8"/>
        <v>-</v>
      </c>
    </row>
    <row r="27" spans="1:17" ht="23.4" x14ac:dyDescent="0.35">
      <c r="A27" s="15" t="s">
        <v>14</v>
      </c>
      <c r="B27" s="8">
        <v>196671006448</v>
      </c>
      <c r="C27" s="48" t="s">
        <v>299</v>
      </c>
      <c r="D27" s="2" t="s">
        <v>160</v>
      </c>
      <c r="E27" s="12">
        <v>2.9300815199485002</v>
      </c>
      <c r="F27" s="13">
        <v>4</v>
      </c>
      <c r="G27" s="14">
        <v>87.75</v>
      </c>
      <c r="H27" s="40"/>
      <c r="I27" s="36">
        <f t="shared" si="11"/>
        <v>0</v>
      </c>
      <c r="L27" s="61" t="str">
        <f t="shared" si="4"/>
        <v>-</v>
      </c>
      <c r="M27" s="61" t="str">
        <f t="shared" si="5"/>
        <v>-</v>
      </c>
      <c r="N27" s="50" t="str">
        <f t="shared" si="6"/>
        <v>-</v>
      </c>
      <c r="O27" s="62" t="str">
        <f t="shared" si="7"/>
        <v>-</v>
      </c>
      <c r="P27" s="54"/>
      <c r="Q27" s="62" t="str">
        <f t="shared" si="8"/>
        <v>-</v>
      </c>
    </row>
    <row r="28" spans="1:17" ht="23.4" x14ac:dyDescent="0.35">
      <c r="A28" s="15" t="s">
        <v>89</v>
      </c>
      <c r="B28" s="8">
        <v>196671006783</v>
      </c>
      <c r="C28" s="48" t="s">
        <v>300</v>
      </c>
      <c r="D28" s="2" t="s">
        <v>160</v>
      </c>
      <c r="E28" s="12">
        <v>2.8837470593530004</v>
      </c>
      <c r="F28" s="13">
        <v>4</v>
      </c>
      <c r="G28" s="14">
        <v>87.75</v>
      </c>
      <c r="H28" s="40"/>
      <c r="I28" s="36">
        <f t="shared" si="11"/>
        <v>0</v>
      </c>
      <c r="L28" s="61" t="str">
        <f t="shared" si="4"/>
        <v>-</v>
      </c>
      <c r="M28" s="61" t="str">
        <f t="shared" si="5"/>
        <v>-</v>
      </c>
      <c r="N28" s="50" t="str">
        <f t="shared" si="6"/>
        <v>-</v>
      </c>
      <c r="O28" s="62" t="str">
        <f t="shared" si="7"/>
        <v>-</v>
      </c>
      <c r="P28" s="54"/>
      <c r="Q28" s="62" t="str">
        <f t="shared" si="8"/>
        <v>-</v>
      </c>
    </row>
    <row r="29" spans="1:17" ht="23.4" x14ac:dyDescent="0.35">
      <c r="A29" s="15" t="s">
        <v>77</v>
      </c>
      <c r="B29" s="8">
        <v>196671007865</v>
      </c>
      <c r="C29" s="48" t="s">
        <v>301</v>
      </c>
      <c r="D29" s="2" t="s">
        <v>160</v>
      </c>
      <c r="E29" s="12">
        <v>2.9197849731495</v>
      </c>
      <c r="F29" s="13">
        <v>4</v>
      </c>
      <c r="G29" s="14">
        <v>87.75</v>
      </c>
      <c r="H29" s="40"/>
      <c r="I29" s="36">
        <f t="shared" si="11"/>
        <v>0</v>
      </c>
      <c r="L29" s="61" t="str">
        <f t="shared" si="4"/>
        <v>-</v>
      </c>
      <c r="M29" s="61" t="str">
        <f t="shared" si="5"/>
        <v>-</v>
      </c>
      <c r="N29" s="50" t="str">
        <f t="shared" si="6"/>
        <v>-</v>
      </c>
      <c r="O29" s="62" t="str">
        <f t="shared" si="7"/>
        <v>-</v>
      </c>
      <c r="P29" s="54"/>
      <c r="Q29" s="62" t="str">
        <f t="shared" si="8"/>
        <v>-</v>
      </c>
    </row>
    <row r="30" spans="1:17" ht="23.4" x14ac:dyDescent="0.35">
      <c r="A30" s="15" t="s">
        <v>78</v>
      </c>
      <c r="B30" s="8">
        <v>196671007889</v>
      </c>
      <c r="C30" s="48" t="s">
        <v>302</v>
      </c>
      <c r="D30" s="2" t="s">
        <v>160</v>
      </c>
      <c r="E30" s="12">
        <v>2.9094884263505003</v>
      </c>
      <c r="F30" s="13">
        <v>4</v>
      </c>
      <c r="G30" s="14">
        <v>87.75</v>
      </c>
      <c r="H30" s="40"/>
      <c r="I30" s="36">
        <f t="shared" si="11"/>
        <v>0</v>
      </c>
      <c r="L30" s="61" t="str">
        <f t="shared" si="4"/>
        <v>-</v>
      </c>
      <c r="M30" s="61" t="str">
        <f t="shared" si="5"/>
        <v>-</v>
      </c>
      <c r="N30" s="50" t="str">
        <f t="shared" si="6"/>
        <v>-</v>
      </c>
      <c r="O30" s="62" t="str">
        <f t="shared" si="7"/>
        <v>-</v>
      </c>
      <c r="P30" s="54"/>
      <c r="Q30" s="62" t="str">
        <f t="shared" si="8"/>
        <v>-</v>
      </c>
    </row>
    <row r="31" spans="1:17" ht="23.4" x14ac:dyDescent="0.35">
      <c r="A31" s="15" t="s">
        <v>134</v>
      </c>
      <c r="B31" s="8">
        <v>196671009890</v>
      </c>
      <c r="C31" s="48" t="s">
        <v>303</v>
      </c>
      <c r="D31" s="2" t="s">
        <v>160</v>
      </c>
      <c r="E31" s="12">
        <v>2.9094884263505003</v>
      </c>
      <c r="F31" s="13">
        <v>4</v>
      </c>
      <c r="G31" s="14">
        <v>87.75</v>
      </c>
      <c r="H31" s="41"/>
      <c r="I31" s="36">
        <f t="shared" si="11"/>
        <v>0</v>
      </c>
      <c r="L31" s="61" t="str">
        <f t="shared" si="4"/>
        <v>-</v>
      </c>
      <c r="M31" s="61" t="str">
        <f t="shared" si="5"/>
        <v>-</v>
      </c>
      <c r="N31" s="50" t="str">
        <f t="shared" si="6"/>
        <v>-</v>
      </c>
      <c r="O31" s="62" t="str">
        <f t="shared" si="7"/>
        <v>-</v>
      </c>
      <c r="P31" s="54"/>
      <c r="Q31" s="62" t="str">
        <f t="shared" si="8"/>
        <v>-</v>
      </c>
    </row>
    <row r="32" spans="1:17" ht="23.4" x14ac:dyDescent="0.35">
      <c r="A32" s="15" t="s">
        <v>126</v>
      </c>
      <c r="B32" s="8">
        <v>196671009715</v>
      </c>
      <c r="C32" s="48" t="s">
        <v>304</v>
      </c>
      <c r="D32" s="2" t="s">
        <v>160</v>
      </c>
      <c r="E32" s="12">
        <v>2.9300815199485002</v>
      </c>
      <c r="F32" s="13">
        <v>4</v>
      </c>
      <c r="G32" s="14">
        <v>87.75</v>
      </c>
      <c r="H32" s="40"/>
      <c r="I32" s="36">
        <f t="shared" si="11"/>
        <v>0</v>
      </c>
      <c r="L32" s="61" t="str">
        <f t="shared" si="4"/>
        <v>-</v>
      </c>
      <c r="M32" s="61" t="str">
        <f t="shared" si="5"/>
        <v>-</v>
      </c>
      <c r="N32" s="50" t="str">
        <f t="shared" si="6"/>
        <v>-</v>
      </c>
      <c r="O32" s="62" t="str">
        <f t="shared" si="7"/>
        <v>-</v>
      </c>
      <c r="P32" s="54"/>
      <c r="Q32" s="62" t="str">
        <f t="shared" si="8"/>
        <v>-</v>
      </c>
    </row>
    <row r="33" spans="1:17" ht="23.4" x14ac:dyDescent="0.35">
      <c r="A33" s="15" t="s">
        <v>17</v>
      </c>
      <c r="B33" s="8">
        <v>196671006370</v>
      </c>
      <c r="C33" s="48" t="s">
        <v>305</v>
      </c>
      <c r="D33" s="2" t="s">
        <v>160</v>
      </c>
      <c r="E33" s="12">
        <v>2.5542575617850001</v>
      </c>
      <c r="F33" s="13">
        <v>4</v>
      </c>
      <c r="G33" s="14">
        <v>87.75</v>
      </c>
      <c r="H33" s="40"/>
      <c r="I33" s="36">
        <f t="shared" si="11"/>
        <v>0</v>
      </c>
      <c r="L33" s="61" t="str">
        <f t="shared" si="4"/>
        <v>-</v>
      </c>
      <c r="M33" s="61" t="str">
        <f t="shared" si="5"/>
        <v>-</v>
      </c>
      <c r="N33" s="50" t="str">
        <f t="shared" si="6"/>
        <v>-</v>
      </c>
      <c r="O33" s="62" t="str">
        <f t="shared" si="7"/>
        <v>-</v>
      </c>
      <c r="P33" s="54"/>
      <c r="Q33" s="62" t="str">
        <f t="shared" si="8"/>
        <v>-</v>
      </c>
    </row>
    <row r="34" spans="1:17" ht="23.4" x14ac:dyDescent="0.35">
      <c r="A34" s="15" t="s">
        <v>18</v>
      </c>
      <c r="B34" s="8">
        <v>196671006387</v>
      </c>
      <c r="C34" s="48" t="s">
        <v>306</v>
      </c>
      <c r="D34" s="2" t="s">
        <v>160</v>
      </c>
      <c r="E34" s="12">
        <v>2.5542575617850001</v>
      </c>
      <c r="F34" s="13">
        <v>4</v>
      </c>
      <c r="G34" s="14">
        <v>87.75</v>
      </c>
      <c r="H34" s="40"/>
      <c r="I34" s="36">
        <f t="shared" si="11"/>
        <v>0</v>
      </c>
      <c r="L34" s="61" t="str">
        <f t="shared" si="4"/>
        <v>-</v>
      </c>
      <c r="M34" s="61" t="str">
        <f t="shared" si="5"/>
        <v>-</v>
      </c>
      <c r="N34" s="50" t="str">
        <f t="shared" si="6"/>
        <v>-</v>
      </c>
      <c r="O34" s="62" t="str">
        <f t="shared" si="7"/>
        <v>-</v>
      </c>
      <c r="P34" s="54"/>
      <c r="Q34" s="62" t="str">
        <f t="shared" si="8"/>
        <v>-</v>
      </c>
    </row>
    <row r="35" spans="1:17" ht="23.4" x14ac:dyDescent="0.35">
      <c r="A35" s="15" t="s">
        <v>218</v>
      </c>
      <c r="B35" s="8">
        <v>196671005243</v>
      </c>
      <c r="C35" s="48" t="s">
        <v>307</v>
      </c>
      <c r="D35" s="2" t="s">
        <v>160</v>
      </c>
      <c r="E35" s="12">
        <v>2.9094884263505003</v>
      </c>
      <c r="F35" s="13">
        <v>4</v>
      </c>
      <c r="G35" s="14">
        <v>87.75</v>
      </c>
      <c r="H35" s="40"/>
      <c r="I35" s="36">
        <f t="shared" si="11"/>
        <v>0</v>
      </c>
      <c r="L35" s="61" t="str">
        <f t="shared" si="4"/>
        <v>-</v>
      </c>
      <c r="M35" s="61" t="str">
        <f t="shared" si="5"/>
        <v>-</v>
      </c>
      <c r="N35" s="50" t="str">
        <f t="shared" si="6"/>
        <v>-</v>
      </c>
      <c r="O35" s="62" t="str">
        <f t="shared" si="7"/>
        <v>-</v>
      </c>
      <c r="P35" s="54"/>
      <c r="Q35" s="62" t="str">
        <f t="shared" si="8"/>
        <v>-</v>
      </c>
    </row>
    <row r="36" spans="1:17" ht="23.4" x14ac:dyDescent="0.35">
      <c r="A36" s="15" t="s">
        <v>219</v>
      </c>
      <c r="B36" s="8">
        <v>196671003614</v>
      </c>
      <c r="C36" s="44" t="s">
        <v>308</v>
      </c>
      <c r="D36" s="2" t="s">
        <v>220</v>
      </c>
      <c r="E36" s="12">
        <v>1.1230375567240001</v>
      </c>
      <c r="F36" s="13">
        <v>6</v>
      </c>
      <c r="G36" s="14">
        <v>37.700000000000003</v>
      </c>
      <c r="H36" s="40"/>
      <c r="I36" s="36">
        <f t="shared" ref="I36:I37" si="12">H36*G36</f>
        <v>0</v>
      </c>
      <c r="L36" s="61" t="str">
        <f t="shared" si="4"/>
        <v>-</v>
      </c>
      <c r="M36" s="61" t="str">
        <f t="shared" si="5"/>
        <v>-</v>
      </c>
      <c r="N36" s="50" t="str">
        <f t="shared" si="6"/>
        <v>-</v>
      </c>
      <c r="O36" s="62" t="str">
        <f t="shared" si="7"/>
        <v>-</v>
      </c>
      <c r="P36" s="54"/>
      <c r="Q36" s="62" t="str">
        <f t="shared" si="8"/>
        <v>-</v>
      </c>
    </row>
    <row r="37" spans="1:17" ht="23.4" x14ac:dyDescent="0.35">
      <c r="A37" s="15" t="s">
        <v>221</v>
      </c>
      <c r="B37" s="8">
        <v>196671003621</v>
      </c>
      <c r="C37" s="44" t="s">
        <v>309</v>
      </c>
      <c r="D37" s="2" t="s">
        <v>220</v>
      </c>
      <c r="E37" s="12">
        <v>1.1230375567240001</v>
      </c>
      <c r="F37" s="13">
        <v>6</v>
      </c>
      <c r="G37" s="14">
        <v>37.700000000000003</v>
      </c>
      <c r="H37" s="40"/>
      <c r="I37" s="36">
        <f t="shared" si="12"/>
        <v>0</v>
      </c>
      <c r="L37" s="61" t="str">
        <f t="shared" si="4"/>
        <v>-</v>
      </c>
      <c r="M37" s="61" t="str">
        <f t="shared" si="5"/>
        <v>-</v>
      </c>
      <c r="N37" s="50" t="str">
        <f t="shared" si="6"/>
        <v>-</v>
      </c>
      <c r="O37" s="62" t="str">
        <f t="shared" si="7"/>
        <v>-</v>
      </c>
      <c r="P37" s="54"/>
      <c r="Q37" s="62" t="str">
        <f t="shared" si="8"/>
        <v>-</v>
      </c>
    </row>
    <row r="38" spans="1:17" ht="23.4" x14ac:dyDescent="0.35">
      <c r="A38" s="15" t="s">
        <v>222</v>
      </c>
      <c r="B38" s="8">
        <v>196671003638</v>
      </c>
      <c r="C38" s="48" t="s">
        <v>310</v>
      </c>
      <c r="D38" s="2" t="s">
        <v>220</v>
      </c>
      <c r="E38" s="12">
        <v>1.1230375567240001</v>
      </c>
      <c r="F38" s="13">
        <v>6</v>
      </c>
      <c r="G38" s="14">
        <v>37.700000000000003</v>
      </c>
      <c r="H38" s="42"/>
      <c r="I38" s="36">
        <f t="shared" ref="I38:I39" si="13">H38*G38</f>
        <v>0</v>
      </c>
      <c r="L38" s="61" t="str">
        <f t="shared" si="4"/>
        <v>-</v>
      </c>
      <c r="M38" s="61" t="str">
        <f t="shared" si="5"/>
        <v>-</v>
      </c>
      <c r="N38" s="50" t="str">
        <f t="shared" si="6"/>
        <v>-</v>
      </c>
      <c r="O38" s="62" t="str">
        <f t="shared" si="7"/>
        <v>-</v>
      </c>
      <c r="P38" s="54"/>
      <c r="Q38" s="62" t="str">
        <f t="shared" si="8"/>
        <v>-</v>
      </c>
    </row>
    <row r="39" spans="1:17" ht="23.4" x14ac:dyDescent="0.35">
      <c r="A39" s="15" t="s">
        <v>223</v>
      </c>
      <c r="B39" s="8">
        <v>196671003645</v>
      </c>
      <c r="C39" s="48" t="s">
        <v>311</v>
      </c>
      <c r="D39" s="2" t="s">
        <v>220</v>
      </c>
      <c r="E39" s="12">
        <v>1.1230375567240001</v>
      </c>
      <c r="F39" s="13">
        <v>6</v>
      </c>
      <c r="G39" s="14">
        <v>37.700000000000003</v>
      </c>
      <c r="H39" s="42"/>
      <c r="I39" s="36">
        <f t="shared" si="13"/>
        <v>0</v>
      </c>
      <c r="L39" s="61" t="str">
        <f t="shared" si="4"/>
        <v>-</v>
      </c>
      <c r="M39" s="61" t="str">
        <f t="shared" si="5"/>
        <v>-</v>
      </c>
      <c r="N39" s="50" t="str">
        <f t="shared" si="6"/>
        <v>-</v>
      </c>
      <c r="O39" s="62" t="str">
        <f t="shared" si="7"/>
        <v>-</v>
      </c>
      <c r="P39" s="54"/>
      <c r="Q39" s="62" t="str">
        <f t="shared" si="8"/>
        <v>-</v>
      </c>
    </row>
    <row r="40" spans="1:17" ht="23.4" x14ac:dyDescent="0.35">
      <c r="A40" s="15" t="s">
        <v>90</v>
      </c>
      <c r="B40" s="8">
        <v>196671007537</v>
      </c>
      <c r="C40" s="48" t="s">
        <v>312</v>
      </c>
      <c r="D40" s="2" t="s">
        <v>1</v>
      </c>
      <c r="E40" s="12">
        <v>0.85532733994999999</v>
      </c>
      <c r="F40" s="13">
        <v>6</v>
      </c>
      <c r="G40" s="14">
        <v>14.3</v>
      </c>
      <c r="H40" s="41"/>
      <c r="I40" s="36">
        <f t="shared" ref="I40:I43" si="14">H40*G40</f>
        <v>0</v>
      </c>
      <c r="L40" s="61" t="str">
        <f t="shared" si="4"/>
        <v>-</v>
      </c>
      <c r="M40" s="61" t="str">
        <f t="shared" si="5"/>
        <v>-</v>
      </c>
      <c r="N40" s="50" t="str">
        <f t="shared" si="6"/>
        <v>-</v>
      </c>
      <c r="O40" s="62" t="str">
        <f t="shared" si="7"/>
        <v>-</v>
      </c>
      <c r="P40" s="54"/>
      <c r="Q40" s="62" t="str">
        <f t="shared" si="8"/>
        <v>-</v>
      </c>
    </row>
    <row r="41" spans="1:17" ht="23.4" x14ac:dyDescent="0.35">
      <c r="A41" s="15" t="s">
        <v>91</v>
      </c>
      <c r="B41" s="8">
        <v>196671007544</v>
      </c>
      <c r="C41" s="48" t="s">
        <v>313</v>
      </c>
      <c r="D41" s="2" t="s">
        <v>1</v>
      </c>
      <c r="E41" s="12">
        <v>0.86562388674900004</v>
      </c>
      <c r="F41" s="13">
        <v>6</v>
      </c>
      <c r="G41" s="14">
        <v>14.3</v>
      </c>
      <c r="H41" s="41"/>
      <c r="I41" s="36">
        <f t="shared" si="14"/>
        <v>0</v>
      </c>
      <c r="L41" s="61" t="str">
        <f t="shared" si="4"/>
        <v>-</v>
      </c>
      <c r="M41" s="61" t="str">
        <f t="shared" si="5"/>
        <v>-</v>
      </c>
      <c r="N41" s="50" t="str">
        <f t="shared" si="6"/>
        <v>-</v>
      </c>
      <c r="O41" s="62" t="str">
        <f t="shared" si="7"/>
        <v>-</v>
      </c>
      <c r="P41" s="54"/>
      <c r="Q41" s="62" t="str">
        <f t="shared" si="8"/>
        <v>-</v>
      </c>
    </row>
    <row r="42" spans="1:17" ht="23.4" x14ac:dyDescent="0.35">
      <c r="A42" s="15" t="s">
        <v>19</v>
      </c>
      <c r="B42" s="8">
        <v>196671004918</v>
      </c>
      <c r="C42" s="48" t="s">
        <v>314</v>
      </c>
      <c r="D42" s="2" t="s">
        <v>1</v>
      </c>
      <c r="E42" s="12">
        <v>1.3753029532995</v>
      </c>
      <c r="F42" s="13">
        <v>6</v>
      </c>
      <c r="G42" s="14">
        <v>26</v>
      </c>
      <c r="H42" s="41"/>
      <c r="I42" s="36">
        <f t="shared" si="14"/>
        <v>0</v>
      </c>
      <c r="L42" s="61" t="str">
        <f t="shared" si="4"/>
        <v>-</v>
      </c>
      <c r="M42" s="61" t="str">
        <f t="shared" si="5"/>
        <v>-</v>
      </c>
      <c r="N42" s="50" t="str">
        <f t="shared" si="6"/>
        <v>-</v>
      </c>
      <c r="O42" s="62" t="str">
        <f t="shared" si="7"/>
        <v>-</v>
      </c>
      <c r="P42" s="54"/>
      <c r="Q42" s="62" t="str">
        <f t="shared" si="8"/>
        <v>-</v>
      </c>
    </row>
    <row r="43" spans="1:17" ht="23.4" x14ac:dyDescent="0.35">
      <c r="A43" s="15" t="s">
        <v>20</v>
      </c>
      <c r="B43" s="8">
        <v>196671004901</v>
      </c>
      <c r="C43" s="48" t="s">
        <v>315</v>
      </c>
      <c r="D43" s="2" t="s">
        <v>1</v>
      </c>
      <c r="E43" s="12">
        <v>1.3495615863020001</v>
      </c>
      <c r="F43" s="13">
        <v>6</v>
      </c>
      <c r="G43" s="14">
        <v>26</v>
      </c>
      <c r="H43" s="41"/>
      <c r="I43" s="36">
        <f t="shared" si="14"/>
        <v>0</v>
      </c>
      <c r="L43" s="61" t="str">
        <f t="shared" si="4"/>
        <v>-</v>
      </c>
      <c r="M43" s="61" t="str">
        <f t="shared" si="5"/>
        <v>-</v>
      </c>
      <c r="N43" s="50" t="str">
        <f t="shared" si="6"/>
        <v>-</v>
      </c>
      <c r="O43" s="62" t="str">
        <f t="shared" si="7"/>
        <v>-</v>
      </c>
      <c r="P43" s="54"/>
      <c r="Q43" s="62" t="str">
        <f t="shared" si="8"/>
        <v>-</v>
      </c>
    </row>
    <row r="44" spans="1:17" ht="23.4" x14ac:dyDescent="0.35">
      <c r="A44" s="15" t="s">
        <v>21</v>
      </c>
      <c r="B44" s="8">
        <v>196671004925</v>
      </c>
      <c r="C44" s="44" t="s">
        <v>316</v>
      </c>
      <c r="D44" s="2" t="s">
        <v>1</v>
      </c>
      <c r="E44" s="12">
        <v>1.3650064065005001</v>
      </c>
      <c r="F44" s="13">
        <v>6</v>
      </c>
      <c r="G44" s="14">
        <v>26</v>
      </c>
      <c r="H44" s="41"/>
      <c r="I44" s="36">
        <f t="shared" ref="I44:I45" si="15">H44*G44</f>
        <v>0</v>
      </c>
      <c r="L44" s="61" t="str">
        <f t="shared" si="4"/>
        <v>-</v>
      </c>
      <c r="M44" s="61" t="str">
        <f t="shared" si="5"/>
        <v>-</v>
      </c>
      <c r="N44" s="50" t="str">
        <f t="shared" si="6"/>
        <v>-</v>
      </c>
      <c r="O44" s="62" t="str">
        <f t="shared" si="7"/>
        <v>-</v>
      </c>
      <c r="P44" s="54"/>
      <c r="Q44" s="62" t="str">
        <f t="shared" si="8"/>
        <v>-</v>
      </c>
    </row>
    <row r="45" spans="1:17" ht="23.4" x14ac:dyDescent="0.35">
      <c r="A45" s="15" t="s">
        <v>22</v>
      </c>
      <c r="B45" s="8">
        <v>196671004932</v>
      </c>
      <c r="C45" s="44" t="s">
        <v>317</v>
      </c>
      <c r="D45" s="2" t="s">
        <v>1</v>
      </c>
      <c r="E45" s="12">
        <v>1.3444133129025</v>
      </c>
      <c r="F45" s="13">
        <v>6</v>
      </c>
      <c r="G45" s="14">
        <v>26</v>
      </c>
      <c r="H45" s="40"/>
      <c r="I45" s="36">
        <f t="shared" si="15"/>
        <v>0</v>
      </c>
      <c r="L45" s="61" t="str">
        <f t="shared" si="4"/>
        <v>-</v>
      </c>
      <c r="M45" s="61" t="str">
        <f t="shared" si="5"/>
        <v>-</v>
      </c>
      <c r="N45" s="50" t="str">
        <f t="shared" si="6"/>
        <v>-</v>
      </c>
      <c r="O45" s="62" t="str">
        <f t="shared" si="7"/>
        <v>-</v>
      </c>
      <c r="P45" s="54"/>
      <c r="Q45" s="62" t="str">
        <f t="shared" si="8"/>
        <v>-</v>
      </c>
    </row>
    <row r="46" spans="1:17" ht="23.4" x14ac:dyDescent="0.35">
      <c r="A46" s="15" t="s">
        <v>23</v>
      </c>
      <c r="B46" s="8">
        <v>196671006509</v>
      </c>
      <c r="C46" s="44" t="s">
        <v>318</v>
      </c>
      <c r="D46" s="2" t="s">
        <v>1</v>
      </c>
      <c r="E46" s="12">
        <v>1.3495615863020001</v>
      </c>
      <c r="F46" s="13">
        <v>6</v>
      </c>
      <c r="G46" s="14">
        <v>26</v>
      </c>
      <c r="H46" s="40"/>
      <c r="I46" s="36">
        <f t="shared" ref="I46:I59" si="16">H46*G46</f>
        <v>0</v>
      </c>
      <c r="L46" s="61" t="str">
        <f t="shared" si="4"/>
        <v>-</v>
      </c>
      <c r="M46" s="61" t="str">
        <f t="shared" si="5"/>
        <v>-</v>
      </c>
      <c r="N46" s="50" t="str">
        <f t="shared" si="6"/>
        <v>-</v>
      </c>
      <c r="O46" s="62" t="str">
        <f t="shared" si="7"/>
        <v>-</v>
      </c>
      <c r="P46" s="54"/>
      <c r="Q46" s="62" t="str">
        <f t="shared" si="8"/>
        <v>-</v>
      </c>
    </row>
    <row r="47" spans="1:17" ht="23.4" x14ac:dyDescent="0.35">
      <c r="A47" s="15" t="s">
        <v>24</v>
      </c>
      <c r="B47" s="8">
        <v>196671006493</v>
      </c>
      <c r="C47" s="44" t="s">
        <v>319</v>
      </c>
      <c r="D47" s="2" t="s">
        <v>1</v>
      </c>
      <c r="E47" s="12">
        <v>1.3650064065005001</v>
      </c>
      <c r="F47" s="13">
        <v>6</v>
      </c>
      <c r="G47" s="14">
        <v>26</v>
      </c>
      <c r="H47" s="40"/>
      <c r="I47" s="36">
        <f t="shared" si="16"/>
        <v>0</v>
      </c>
      <c r="L47" s="61" t="str">
        <f t="shared" si="4"/>
        <v>-</v>
      </c>
      <c r="M47" s="61" t="str">
        <f t="shared" si="5"/>
        <v>-</v>
      </c>
      <c r="N47" s="50" t="str">
        <f t="shared" si="6"/>
        <v>-</v>
      </c>
      <c r="O47" s="62" t="str">
        <f t="shared" si="7"/>
        <v>-</v>
      </c>
      <c r="P47" s="54"/>
      <c r="Q47" s="62" t="str">
        <f t="shared" si="8"/>
        <v>-</v>
      </c>
    </row>
    <row r="48" spans="1:17" ht="23.4" x14ac:dyDescent="0.35">
      <c r="A48" s="15" t="s">
        <v>25</v>
      </c>
      <c r="B48" s="8">
        <v>196671006486</v>
      </c>
      <c r="C48" s="44" t="s">
        <v>320</v>
      </c>
      <c r="D48" s="2" t="s">
        <v>1</v>
      </c>
      <c r="E48" s="12">
        <v>1.3495615863020001</v>
      </c>
      <c r="F48" s="13">
        <v>6</v>
      </c>
      <c r="G48" s="14">
        <v>26</v>
      </c>
      <c r="H48" s="40"/>
      <c r="I48" s="36">
        <f t="shared" si="16"/>
        <v>0</v>
      </c>
      <c r="L48" s="61" t="str">
        <f t="shared" si="4"/>
        <v>-</v>
      </c>
      <c r="M48" s="61" t="str">
        <f t="shared" si="5"/>
        <v>-</v>
      </c>
      <c r="N48" s="50" t="str">
        <f t="shared" si="6"/>
        <v>-</v>
      </c>
      <c r="O48" s="62" t="str">
        <f t="shared" si="7"/>
        <v>-</v>
      </c>
      <c r="P48" s="54"/>
      <c r="Q48" s="62" t="str">
        <f t="shared" si="8"/>
        <v>-</v>
      </c>
    </row>
    <row r="49" spans="1:17" ht="23.4" x14ac:dyDescent="0.35">
      <c r="A49" s="15" t="s">
        <v>26</v>
      </c>
      <c r="B49" s="8">
        <v>196671006769</v>
      </c>
      <c r="C49" s="48" t="s">
        <v>321</v>
      </c>
      <c r="D49" s="2" t="s">
        <v>1</v>
      </c>
      <c r="E49" s="12">
        <v>1.3392650395029999</v>
      </c>
      <c r="F49" s="13">
        <v>6</v>
      </c>
      <c r="G49" s="14">
        <v>26</v>
      </c>
      <c r="H49" s="40"/>
      <c r="I49" s="36">
        <f t="shared" si="16"/>
        <v>0</v>
      </c>
      <c r="L49" s="61" t="str">
        <f t="shared" si="4"/>
        <v>-</v>
      </c>
      <c r="M49" s="61" t="str">
        <f t="shared" si="5"/>
        <v>-</v>
      </c>
      <c r="N49" s="50" t="str">
        <f t="shared" si="6"/>
        <v>-</v>
      </c>
      <c r="O49" s="62" t="str">
        <f t="shared" si="7"/>
        <v>-</v>
      </c>
      <c r="P49" s="54"/>
      <c r="Q49" s="62" t="str">
        <f t="shared" si="8"/>
        <v>-</v>
      </c>
    </row>
    <row r="50" spans="1:17" ht="23.4" x14ac:dyDescent="0.35">
      <c r="A50" s="15" t="s">
        <v>79</v>
      </c>
      <c r="B50" s="8">
        <v>196671007995</v>
      </c>
      <c r="C50" s="48" t="s">
        <v>322</v>
      </c>
      <c r="D50" s="2" t="s">
        <v>1</v>
      </c>
      <c r="E50" s="12">
        <v>1.3495615863020001</v>
      </c>
      <c r="F50" s="13">
        <v>6</v>
      </c>
      <c r="G50" s="14">
        <v>26</v>
      </c>
      <c r="H50" s="40"/>
      <c r="I50" s="36">
        <f t="shared" si="16"/>
        <v>0</v>
      </c>
      <c r="L50" s="61" t="str">
        <f t="shared" si="4"/>
        <v>-</v>
      </c>
      <c r="M50" s="61" t="str">
        <f t="shared" si="5"/>
        <v>-</v>
      </c>
      <c r="N50" s="50" t="str">
        <f t="shared" si="6"/>
        <v>-</v>
      </c>
      <c r="O50" s="62" t="str">
        <f t="shared" si="7"/>
        <v>-</v>
      </c>
      <c r="P50" s="54"/>
      <c r="Q50" s="62" t="str">
        <f t="shared" si="8"/>
        <v>-</v>
      </c>
    </row>
    <row r="51" spans="1:17" ht="23.4" x14ac:dyDescent="0.35">
      <c r="A51" s="15" t="s">
        <v>80</v>
      </c>
      <c r="B51" s="8">
        <v>196671008015</v>
      </c>
      <c r="C51" s="48" t="s">
        <v>323</v>
      </c>
      <c r="D51" s="2" t="s">
        <v>1</v>
      </c>
      <c r="E51" s="12">
        <v>1.3804512266989999</v>
      </c>
      <c r="F51" s="13">
        <v>6</v>
      </c>
      <c r="G51" s="14">
        <v>26</v>
      </c>
      <c r="H51" s="39"/>
      <c r="I51" s="36">
        <f t="shared" si="16"/>
        <v>0</v>
      </c>
      <c r="L51" s="61" t="str">
        <f t="shared" si="4"/>
        <v>-</v>
      </c>
      <c r="M51" s="61" t="str">
        <f t="shared" si="5"/>
        <v>-</v>
      </c>
      <c r="N51" s="50" t="str">
        <f t="shared" si="6"/>
        <v>-</v>
      </c>
      <c r="O51" s="62" t="str">
        <f t="shared" si="7"/>
        <v>-</v>
      </c>
      <c r="P51" s="54"/>
      <c r="Q51" s="62" t="str">
        <f t="shared" si="8"/>
        <v>-</v>
      </c>
    </row>
    <row r="52" spans="1:17" ht="23.4" x14ac:dyDescent="0.35">
      <c r="A52" s="15" t="s">
        <v>102</v>
      </c>
      <c r="B52" s="8">
        <v>196671008244</v>
      </c>
      <c r="C52" s="48" t="s">
        <v>324</v>
      </c>
      <c r="D52" s="2" t="s">
        <v>1</v>
      </c>
      <c r="E52" s="12">
        <v>1.3650064065005001</v>
      </c>
      <c r="F52" s="13">
        <v>6</v>
      </c>
      <c r="G52" s="14">
        <v>26</v>
      </c>
      <c r="H52" s="40"/>
      <c r="I52" s="36">
        <f t="shared" si="16"/>
        <v>0</v>
      </c>
      <c r="L52" s="61" t="str">
        <f t="shared" si="4"/>
        <v>-</v>
      </c>
      <c r="M52" s="61" t="str">
        <f t="shared" si="5"/>
        <v>-</v>
      </c>
      <c r="N52" s="50" t="str">
        <f t="shared" si="6"/>
        <v>-</v>
      </c>
      <c r="O52" s="62" t="str">
        <f t="shared" si="7"/>
        <v>-</v>
      </c>
      <c r="P52" s="54"/>
      <c r="Q52" s="62" t="str">
        <f t="shared" si="8"/>
        <v>-</v>
      </c>
    </row>
    <row r="53" spans="1:17" ht="23.4" x14ac:dyDescent="0.35">
      <c r="A53" s="15" t="s">
        <v>135</v>
      </c>
      <c r="B53" s="8">
        <v>196671009807</v>
      </c>
      <c r="C53" s="48" t="s">
        <v>325</v>
      </c>
      <c r="D53" s="2" t="s">
        <v>1</v>
      </c>
      <c r="E53" s="12">
        <v>1.3650064065005001</v>
      </c>
      <c r="F53" s="13">
        <v>6</v>
      </c>
      <c r="G53" s="14">
        <v>26</v>
      </c>
      <c r="H53" s="39"/>
      <c r="I53" s="36">
        <f t="shared" si="16"/>
        <v>0</v>
      </c>
      <c r="L53" s="61" t="str">
        <f t="shared" si="4"/>
        <v>-</v>
      </c>
      <c r="M53" s="61" t="str">
        <f t="shared" si="5"/>
        <v>-</v>
      </c>
      <c r="N53" s="50" t="str">
        <f t="shared" si="6"/>
        <v>-</v>
      </c>
      <c r="O53" s="62" t="str">
        <f t="shared" si="7"/>
        <v>-</v>
      </c>
      <c r="P53" s="54"/>
      <c r="Q53" s="62" t="str">
        <f t="shared" si="8"/>
        <v>-</v>
      </c>
    </row>
    <row r="54" spans="1:17" ht="23.4" x14ac:dyDescent="0.35">
      <c r="A54" s="15" t="s">
        <v>108</v>
      </c>
      <c r="B54" s="8">
        <v>196671008480</v>
      </c>
      <c r="C54" s="48" t="s">
        <v>326</v>
      </c>
      <c r="D54" s="2" t="s">
        <v>1</v>
      </c>
      <c r="E54" s="12">
        <v>1.3495615863020001</v>
      </c>
      <c r="F54" s="13">
        <v>6</v>
      </c>
      <c r="G54" s="14">
        <v>26</v>
      </c>
      <c r="H54" s="40"/>
      <c r="I54" s="36">
        <f t="shared" si="16"/>
        <v>0</v>
      </c>
      <c r="L54" s="61" t="str">
        <f t="shared" si="4"/>
        <v>-</v>
      </c>
      <c r="M54" s="61" t="str">
        <f t="shared" si="5"/>
        <v>-</v>
      </c>
      <c r="N54" s="50" t="str">
        <f t="shared" si="6"/>
        <v>-</v>
      </c>
      <c r="O54" s="62" t="str">
        <f t="shared" si="7"/>
        <v>-</v>
      </c>
      <c r="P54" s="54"/>
      <c r="Q54" s="62" t="str">
        <f t="shared" si="8"/>
        <v>-</v>
      </c>
    </row>
    <row r="55" spans="1:17" ht="23.4" x14ac:dyDescent="0.35">
      <c r="A55" s="15" t="s">
        <v>161</v>
      </c>
      <c r="B55" s="8">
        <v>196671005212</v>
      </c>
      <c r="C55" s="48" t="s">
        <v>327</v>
      </c>
      <c r="D55" s="2" t="s">
        <v>1</v>
      </c>
      <c r="E55" s="12">
        <v>1.3650064065005001</v>
      </c>
      <c r="F55" s="13">
        <v>6</v>
      </c>
      <c r="G55" s="14">
        <v>26</v>
      </c>
      <c r="H55" s="40"/>
      <c r="I55" s="36">
        <f t="shared" si="16"/>
        <v>0</v>
      </c>
      <c r="L55" s="61" t="str">
        <f t="shared" si="4"/>
        <v>-</v>
      </c>
      <c r="M55" s="61" t="str">
        <f t="shared" si="5"/>
        <v>-</v>
      </c>
      <c r="N55" s="50" t="str">
        <f t="shared" si="6"/>
        <v>-</v>
      </c>
      <c r="O55" s="62" t="str">
        <f t="shared" si="7"/>
        <v>-</v>
      </c>
      <c r="P55" s="54"/>
      <c r="Q55" s="62" t="str">
        <f t="shared" si="8"/>
        <v>-</v>
      </c>
    </row>
    <row r="56" spans="1:17" ht="23.4" x14ac:dyDescent="0.35">
      <c r="A56" s="15" t="s">
        <v>27</v>
      </c>
      <c r="B56" s="8">
        <v>196671004956</v>
      </c>
      <c r="C56" s="48" t="s">
        <v>328</v>
      </c>
      <c r="D56" s="2" t="s">
        <v>1</v>
      </c>
      <c r="E56" s="12">
        <v>2.9249332465489997</v>
      </c>
      <c r="F56" s="13">
        <v>4</v>
      </c>
      <c r="G56" s="14">
        <v>58.5</v>
      </c>
      <c r="H56" s="40"/>
      <c r="I56" s="36">
        <f t="shared" si="16"/>
        <v>0</v>
      </c>
      <c r="L56" s="61" t="str">
        <f t="shared" si="4"/>
        <v>-</v>
      </c>
      <c r="M56" s="61" t="str">
        <f t="shared" si="5"/>
        <v>-</v>
      </c>
      <c r="N56" s="50" t="str">
        <f t="shared" si="6"/>
        <v>-</v>
      </c>
      <c r="O56" s="62" t="str">
        <f t="shared" si="7"/>
        <v>-</v>
      </c>
      <c r="P56" s="54"/>
      <c r="Q56" s="62" t="str">
        <f t="shared" si="8"/>
        <v>-</v>
      </c>
    </row>
    <row r="57" spans="1:17" ht="23.4" x14ac:dyDescent="0.35">
      <c r="A57" s="15" t="s">
        <v>28</v>
      </c>
      <c r="B57" s="8">
        <v>196671004949</v>
      </c>
      <c r="C57" s="48" t="s">
        <v>329</v>
      </c>
      <c r="D57" s="2" t="s">
        <v>1</v>
      </c>
      <c r="E57" s="12">
        <v>2.8888953327525004</v>
      </c>
      <c r="F57" s="13">
        <v>4</v>
      </c>
      <c r="G57" s="14">
        <v>58.5</v>
      </c>
      <c r="H57" s="40"/>
      <c r="I57" s="36">
        <f t="shared" si="16"/>
        <v>0</v>
      </c>
      <c r="L57" s="61" t="str">
        <f t="shared" si="4"/>
        <v>-</v>
      </c>
      <c r="M57" s="61" t="str">
        <f t="shared" si="5"/>
        <v>-</v>
      </c>
      <c r="N57" s="50" t="str">
        <f t="shared" si="6"/>
        <v>-</v>
      </c>
      <c r="O57" s="62" t="str">
        <f t="shared" si="7"/>
        <v>-</v>
      </c>
      <c r="P57" s="54"/>
      <c r="Q57" s="62" t="str">
        <f t="shared" si="8"/>
        <v>-</v>
      </c>
    </row>
    <row r="58" spans="1:17" ht="23.4" x14ac:dyDescent="0.35">
      <c r="A58" s="15" t="s">
        <v>29</v>
      </c>
      <c r="B58" s="8">
        <v>196671004963</v>
      </c>
      <c r="C58" s="48" t="s">
        <v>330</v>
      </c>
      <c r="D58" s="2" t="s">
        <v>1</v>
      </c>
      <c r="E58" s="12">
        <v>2.8888953327525004</v>
      </c>
      <c r="F58" s="13">
        <v>4</v>
      </c>
      <c r="G58" s="14">
        <v>58.5</v>
      </c>
      <c r="H58" s="40"/>
      <c r="I58" s="36">
        <f t="shared" si="16"/>
        <v>0</v>
      </c>
      <c r="L58" s="61" t="str">
        <f t="shared" si="4"/>
        <v>-</v>
      </c>
      <c r="M58" s="61" t="str">
        <f t="shared" si="5"/>
        <v>-</v>
      </c>
      <c r="N58" s="50" t="str">
        <f t="shared" si="6"/>
        <v>-</v>
      </c>
      <c r="O58" s="62" t="str">
        <f t="shared" si="7"/>
        <v>-</v>
      </c>
      <c r="P58" s="54"/>
      <c r="Q58" s="62" t="str">
        <f t="shared" si="8"/>
        <v>-</v>
      </c>
    </row>
    <row r="59" spans="1:17" ht="23.4" x14ac:dyDescent="0.35">
      <c r="A59" s="15" t="s">
        <v>30</v>
      </c>
      <c r="B59" s="8">
        <v>196671004970</v>
      </c>
      <c r="C59" s="48" t="s">
        <v>331</v>
      </c>
      <c r="D59" s="2" t="s">
        <v>1</v>
      </c>
      <c r="E59" s="12">
        <v>2.8888953327525004</v>
      </c>
      <c r="F59" s="13">
        <v>4</v>
      </c>
      <c r="G59" s="14">
        <v>58.5</v>
      </c>
      <c r="H59" s="40"/>
      <c r="I59" s="36">
        <f t="shared" si="16"/>
        <v>0</v>
      </c>
      <c r="L59" s="61" t="str">
        <f t="shared" si="4"/>
        <v>-</v>
      </c>
      <c r="M59" s="61" t="str">
        <f t="shared" si="5"/>
        <v>-</v>
      </c>
      <c r="N59" s="50" t="str">
        <f t="shared" si="6"/>
        <v>-</v>
      </c>
      <c r="O59" s="62" t="str">
        <f t="shared" si="7"/>
        <v>-</v>
      </c>
      <c r="P59" s="54"/>
      <c r="Q59" s="62" t="str">
        <f t="shared" si="8"/>
        <v>-</v>
      </c>
    </row>
    <row r="60" spans="1:17" ht="23.4" x14ac:dyDescent="0.35">
      <c r="A60" s="15" t="s">
        <v>31</v>
      </c>
      <c r="B60" s="8">
        <v>196671006547</v>
      </c>
      <c r="C60" s="48" t="s">
        <v>332</v>
      </c>
      <c r="D60" s="2" t="s">
        <v>1</v>
      </c>
      <c r="E60" s="12">
        <v>2.9197849731495</v>
      </c>
      <c r="F60" s="13">
        <v>4</v>
      </c>
      <c r="G60" s="14">
        <v>58.5</v>
      </c>
      <c r="H60" s="40"/>
      <c r="I60" s="36">
        <f t="shared" ref="I60:I69" si="17">H60*G60</f>
        <v>0</v>
      </c>
      <c r="L60" s="61" t="str">
        <f t="shared" si="4"/>
        <v>-</v>
      </c>
      <c r="M60" s="61" t="str">
        <f t="shared" si="5"/>
        <v>-</v>
      </c>
      <c r="N60" s="50" t="str">
        <f t="shared" si="6"/>
        <v>-</v>
      </c>
      <c r="O60" s="62" t="str">
        <f t="shared" si="7"/>
        <v>-</v>
      </c>
      <c r="P60" s="54"/>
      <c r="Q60" s="62" t="str">
        <f t="shared" si="8"/>
        <v>-</v>
      </c>
    </row>
    <row r="61" spans="1:17" ht="23.4" x14ac:dyDescent="0.35">
      <c r="A61" s="15" t="s">
        <v>32</v>
      </c>
      <c r="B61" s="8">
        <v>196671006530</v>
      </c>
      <c r="C61" s="48" t="s">
        <v>333</v>
      </c>
      <c r="D61" s="2" t="s">
        <v>1</v>
      </c>
      <c r="E61" s="12">
        <v>2.8888953327525004</v>
      </c>
      <c r="F61" s="13">
        <v>4</v>
      </c>
      <c r="G61" s="14">
        <v>58.5</v>
      </c>
      <c r="H61" s="40"/>
      <c r="I61" s="36">
        <f t="shared" si="17"/>
        <v>0</v>
      </c>
      <c r="L61" s="61" t="str">
        <f t="shared" si="4"/>
        <v>-</v>
      </c>
      <c r="M61" s="61" t="str">
        <f t="shared" si="5"/>
        <v>-</v>
      </c>
      <c r="N61" s="50" t="str">
        <f t="shared" si="6"/>
        <v>-</v>
      </c>
      <c r="O61" s="62" t="str">
        <f t="shared" si="7"/>
        <v>-</v>
      </c>
      <c r="P61" s="54"/>
      <c r="Q61" s="62" t="str">
        <f t="shared" si="8"/>
        <v>-</v>
      </c>
    </row>
    <row r="62" spans="1:17" ht="23.4" x14ac:dyDescent="0.35">
      <c r="A62" s="15" t="s">
        <v>33</v>
      </c>
      <c r="B62" s="8">
        <v>196671006523</v>
      </c>
      <c r="C62" s="48" t="s">
        <v>334</v>
      </c>
      <c r="D62" s="2" t="s">
        <v>1</v>
      </c>
      <c r="E62" s="12">
        <v>2.8888953327525004</v>
      </c>
      <c r="F62" s="13">
        <v>4</v>
      </c>
      <c r="G62" s="14">
        <v>58.5</v>
      </c>
      <c r="H62" s="40"/>
      <c r="I62" s="36">
        <f t="shared" si="17"/>
        <v>0</v>
      </c>
      <c r="L62" s="61" t="str">
        <f t="shared" si="4"/>
        <v>-</v>
      </c>
      <c r="M62" s="61" t="str">
        <f t="shared" si="5"/>
        <v>-</v>
      </c>
      <c r="N62" s="50" t="str">
        <f t="shared" si="6"/>
        <v>-</v>
      </c>
      <c r="O62" s="62" t="str">
        <f t="shared" si="7"/>
        <v>-</v>
      </c>
      <c r="P62" s="54"/>
      <c r="Q62" s="62" t="str">
        <f t="shared" si="8"/>
        <v>-</v>
      </c>
    </row>
    <row r="63" spans="1:17" ht="23.4" x14ac:dyDescent="0.35">
      <c r="A63" s="15" t="s">
        <v>34</v>
      </c>
      <c r="B63" s="8">
        <v>196671006776</v>
      </c>
      <c r="C63" s="48" t="s">
        <v>335</v>
      </c>
      <c r="D63" s="2" t="s">
        <v>1</v>
      </c>
      <c r="E63" s="12">
        <v>2.8477091455564998</v>
      </c>
      <c r="F63" s="13">
        <v>4</v>
      </c>
      <c r="G63" s="14">
        <v>58.5</v>
      </c>
      <c r="H63" s="40"/>
      <c r="I63" s="36">
        <f t="shared" si="17"/>
        <v>0</v>
      </c>
      <c r="L63" s="61" t="str">
        <f t="shared" si="4"/>
        <v>-</v>
      </c>
      <c r="M63" s="61" t="str">
        <f t="shared" si="5"/>
        <v>-</v>
      </c>
      <c r="N63" s="50" t="str">
        <f t="shared" si="6"/>
        <v>-</v>
      </c>
      <c r="O63" s="62" t="str">
        <f t="shared" si="7"/>
        <v>-</v>
      </c>
      <c r="P63" s="54"/>
      <c r="Q63" s="62" t="str">
        <f t="shared" si="8"/>
        <v>-</v>
      </c>
    </row>
    <row r="64" spans="1:17" ht="23.4" x14ac:dyDescent="0.35">
      <c r="A64" s="15" t="s">
        <v>81</v>
      </c>
      <c r="B64" s="8">
        <v>196671008008</v>
      </c>
      <c r="C64" s="48" t="s">
        <v>336</v>
      </c>
      <c r="D64" s="2" t="s">
        <v>1</v>
      </c>
      <c r="E64" s="12">
        <v>2.9197849731495</v>
      </c>
      <c r="F64" s="13">
        <v>4</v>
      </c>
      <c r="G64" s="14">
        <v>58.5</v>
      </c>
      <c r="H64" s="40"/>
      <c r="I64" s="36">
        <f t="shared" si="17"/>
        <v>0</v>
      </c>
      <c r="L64" s="61" t="str">
        <f t="shared" ref="L64:L121" si="18">IFERROR(IF($L$2*E64=0, "-", $L$2*E64), "-")</f>
        <v>-</v>
      </c>
      <c r="M64" s="61" t="str">
        <f t="shared" ref="M64:M121" si="19">IFERROR(IF(L64&gt;0,G64+L64,"-"),"-")</f>
        <v>-</v>
      </c>
      <c r="N64" s="50" t="str">
        <f t="shared" ref="N64:N121" si="20">IF(H64&gt;0,H64*E64, "-")</f>
        <v>-</v>
      </c>
      <c r="O64" s="62" t="str">
        <f t="shared" ref="O64:O121" si="21">IFERROR(IF($L$2&gt;0, $L$2*N64, "-"), "-")</f>
        <v>-</v>
      </c>
      <c r="P64" s="54"/>
      <c r="Q64" s="62" t="str">
        <f t="shared" ref="Q64:Q121" si="22">IFERROR(IF(O64+I64=0, "-", IF(O64&gt;0, O64+I64, "-")), "-")</f>
        <v>-</v>
      </c>
    </row>
    <row r="65" spans="1:17" ht="23.4" x14ac:dyDescent="0.35">
      <c r="A65" s="15" t="s">
        <v>82</v>
      </c>
      <c r="B65" s="8">
        <v>196671008022</v>
      </c>
      <c r="C65" s="48" t="s">
        <v>337</v>
      </c>
      <c r="D65" s="2" t="s">
        <v>1</v>
      </c>
      <c r="E65" s="12">
        <v>2.8888953327525004</v>
      </c>
      <c r="F65" s="13">
        <v>4</v>
      </c>
      <c r="G65" s="14">
        <v>58.5</v>
      </c>
      <c r="H65" s="39"/>
      <c r="I65" s="36">
        <f t="shared" si="17"/>
        <v>0</v>
      </c>
      <c r="L65" s="61" t="str">
        <f t="shared" si="18"/>
        <v>-</v>
      </c>
      <c r="M65" s="61" t="str">
        <f t="shared" si="19"/>
        <v>-</v>
      </c>
      <c r="N65" s="50" t="str">
        <f t="shared" si="20"/>
        <v>-</v>
      </c>
      <c r="O65" s="62" t="str">
        <f t="shared" si="21"/>
        <v>-</v>
      </c>
      <c r="P65" s="54"/>
      <c r="Q65" s="62" t="str">
        <f t="shared" si="22"/>
        <v>-</v>
      </c>
    </row>
    <row r="66" spans="1:17" ht="23.4" x14ac:dyDescent="0.35">
      <c r="A66" s="15" t="s">
        <v>246</v>
      </c>
      <c r="B66" s="8">
        <v>196671003522</v>
      </c>
      <c r="C66" s="48" t="s">
        <v>338</v>
      </c>
      <c r="D66" s="2" t="s">
        <v>1</v>
      </c>
      <c r="E66" s="12">
        <v>2.8888953327525004</v>
      </c>
      <c r="F66" s="13">
        <v>4</v>
      </c>
      <c r="G66" s="14">
        <v>58.5</v>
      </c>
      <c r="H66" s="39"/>
      <c r="I66" s="36">
        <f t="shared" si="17"/>
        <v>0</v>
      </c>
      <c r="L66" s="61" t="str">
        <f t="shared" si="18"/>
        <v>-</v>
      </c>
      <c r="M66" s="61" t="str">
        <f t="shared" si="19"/>
        <v>-</v>
      </c>
      <c r="N66" s="50" t="str">
        <f t="shared" si="20"/>
        <v>-</v>
      </c>
      <c r="O66" s="62" t="str">
        <f t="shared" si="21"/>
        <v>-</v>
      </c>
      <c r="P66" s="54"/>
      <c r="Q66" s="62" t="str">
        <f t="shared" si="22"/>
        <v>-</v>
      </c>
    </row>
    <row r="67" spans="1:17" ht="23.4" x14ac:dyDescent="0.35">
      <c r="A67" s="15" t="s">
        <v>136</v>
      </c>
      <c r="B67" s="8">
        <v>196671009814</v>
      </c>
      <c r="C67" s="48" t="s">
        <v>339</v>
      </c>
      <c r="D67" s="2" t="s">
        <v>1</v>
      </c>
      <c r="E67" s="12">
        <v>2.8888953327525004</v>
      </c>
      <c r="F67" s="13">
        <v>4</v>
      </c>
      <c r="G67" s="14">
        <v>58.5</v>
      </c>
      <c r="H67" s="39"/>
      <c r="I67" s="36">
        <f t="shared" si="17"/>
        <v>0</v>
      </c>
      <c r="L67" s="61" t="str">
        <f t="shared" si="18"/>
        <v>-</v>
      </c>
      <c r="M67" s="61" t="str">
        <f t="shared" si="19"/>
        <v>-</v>
      </c>
      <c r="N67" s="50" t="str">
        <f t="shared" si="20"/>
        <v>-</v>
      </c>
      <c r="O67" s="62" t="str">
        <f t="shared" si="21"/>
        <v>-</v>
      </c>
      <c r="P67" s="54"/>
      <c r="Q67" s="62" t="str">
        <f t="shared" si="22"/>
        <v>-</v>
      </c>
    </row>
    <row r="68" spans="1:17" ht="23.4" x14ac:dyDescent="0.35">
      <c r="A68" s="15" t="s">
        <v>125</v>
      </c>
      <c r="B68" s="8">
        <v>196671009708</v>
      </c>
      <c r="C68" s="48" t="s">
        <v>340</v>
      </c>
      <c r="D68" s="2" t="s">
        <v>1</v>
      </c>
      <c r="E68" s="12">
        <v>2.8888953327525004</v>
      </c>
      <c r="F68" s="13">
        <v>4</v>
      </c>
      <c r="G68" s="14">
        <v>58.5</v>
      </c>
      <c r="H68" s="39"/>
      <c r="I68" s="36">
        <f t="shared" si="17"/>
        <v>0</v>
      </c>
      <c r="L68" s="61" t="str">
        <f t="shared" si="18"/>
        <v>-</v>
      </c>
      <c r="M68" s="61" t="str">
        <f t="shared" si="19"/>
        <v>-</v>
      </c>
      <c r="N68" s="50" t="str">
        <f t="shared" si="20"/>
        <v>-</v>
      </c>
      <c r="O68" s="62" t="str">
        <f t="shared" si="21"/>
        <v>-</v>
      </c>
      <c r="P68" s="54"/>
      <c r="Q68" s="62" t="str">
        <f t="shared" si="22"/>
        <v>-</v>
      </c>
    </row>
    <row r="69" spans="1:17" ht="23.4" x14ac:dyDescent="0.35">
      <c r="A69" s="15" t="s">
        <v>162</v>
      </c>
      <c r="B69" s="8">
        <v>196671005229</v>
      </c>
      <c r="C69" s="48" t="s">
        <v>341</v>
      </c>
      <c r="D69" s="2" t="s">
        <v>1</v>
      </c>
      <c r="E69" s="12">
        <v>2.8888953327525004</v>
      </c>
      <c r="F69" s="13">
        <v>4</v>
      </c>
      <c r="G69" s="14">
        <v>58.5</v>
      </c>
      <c r="H69" s="39"/>
      <c r="I69" s="36">
        <f t="shared" si="17"/>
        <v>0</v>
      </c>
      <c r="L69" s="61" t="str">
        <f t="shared" si="18"/>
        <v>-</v>
      </c>
      <c r="M69" s="61" t="str">
        <f t="shared" si="19"/>
        <v>-</v>
      </c>
      <c r="N69" s="50" t="str">
        <f t="shared" si="20"/>
        <v>-</v>
      </c>
      <c r="O69" s="62" t="str">
        <f t="shared" si="21"/>
        <v>-</v>
      </c>
      <c r="P69" s="54"/>
      <c r="Q69" s="62" t="str">
        <f t="shared" si="22"/>
        <v>-</v>
      </c>
    </row>
    <row r="70" spans="1:17" ht="23.4" x14ac:dyDescent="0.35">
      <c r="A70" s="15" t="s">
        <v>35</v>
      </c>
      <c r="B70" s="8">
        <v>196671006073</v>
      </c>
      <c r="C70" s="48" t="s">
        <v>342</v>
      </c>
      <c r="D70" s="2" t="s">
        <v>1</v>
      </c>
      <c r="E70" s="12">
        <v>5.5042182196985001</v>
      </c>
      <c r="F70" s="13">
        <v>2</v>
      </c>
      <c r="G70" s="14">
        <v>110.5</v>
      </c>
      <c r="H70" s="39"/>
      <c r="I70" s="36">
        <v>0</v>
      </c>
      <c r="L70" s="61" t="str">
        <f t="shared" si="18"/>
        <v>-</v>
      </c>
      <c r="M70" s="61" t="str">
        <f t="shared" si="19"/>
        <v>-</v>
      </c>
      <c r="N70" s="50" t="str">
        <f t="shared" si="20"/>
        <v>-</v>
      </c>
      <c r="O70" s="62" t="str">
        <f t="shared" si="21"/>
        <v>-</v>
      </c>
      <c r="P70" s="54"/>
      <c r="Q70" s="62" t="str">
        <f t="shared" si="22"/>
        <v>-</v>
      </c>
    </row>
    <row r="71" spans="1:17" ht="23.4" x14ac:dyDescent="0.35">
      <c r="A71" s="15" t="s">
        <v>36</v>
      </c>
      <c r="B71" s="8">
        <v>196671006080</v>
      </c>
      <c r="C71" s="48" t="s">
        <v>343</v>
      </c>
      <c r="D71" s="2" t="s">
        <v>1</v>
      </c>
      <c r="E71" s="12">
        <v>5.4733285793015005</v>
      </c>
      <c r="F71" s="13">
        <v>2</v>
      </c>
      <c r="G71" s="14">
        <v>110.5</v>
      </c>
      <c r="H71" s="39"/>
      <c r="I71" s="36">
        <v>0</v>
      </c>
      <c r="L71" s="61" t="str">
        <f t="shared" si="18"/>
        <v>-</v>
      </c>
      <c r="M71" s="61" t="str">
        <f t="shared" si="19"/>
        <v>-</v>
      </c>
      <c r="N71" s="50" t="str">
        <f t="shared" si="20"/>
        <v>-</v>
      </c>
      <c r="O71" s="62" t="str">
        <f t="shared" si="21"/>
        <v>-</v>
      </c>
      <c r="P71" s="54"/>
      <c r="Q71" s="62" t="str">
        <f t="shared" si="22"/>
        <v>-</v>
      </c>
    </row>
    <row r="72" spans="1:17" ht="23.4" x14ac:dyDescent="0.35">
      <c r="A72" s="15" t="s">
        <v>109</v>
      </c>
      <c r="B72" s="8">
        <v>196671008473</v>
      </c>
      <c r="C72" s="48" t="s">
        <v>344</v>
      </c>
      <c r="D72" s="2" t="s">
        <v>1</v>
      </c>
      <c r="E72" s="12">
        <v>5.4733285793015005</v>
      </c>
      <c r="F72" s="13">
        <v>2</v>
      </c>
      <c r="G72" s="14">
        <v>110.5</v>
      </c>
      <c r="H72" s="39"/>
      <c r="I72" s="36">
        <v>0</v>
      </c>
      <c r="L72" s="61" t="str">
        <f t="shared" si="18"/>
        <v>-</v>
      </c>
      <c r="M72" s="61" t="str">
        <f t="shared" si="19"/>
        <v>-</v>
      </c>
      <c r="N72" s="50" t="str">
        <f t="shared" si="20"/>
        <v>-</v>
      </c>
      <c r="O72" s="62" t="str">
        <f t="shared" si="21"/>
        <v>-</v>
      </c>
      <c r="P72" s="54"/>
      <c r="Q72" s="62" t="str">
        <f t="shared" si="22"/>
        <v>-</v>
      </c>
    </row>
    <row r="73" spans="1:17" ht="23.4" x14ac:dyDescent="0.35">
      <c r="A73" s="15" t="s">
        <v>163</v>
      </c>
      <c r="B73" s="8">
        <v>196671005045</v>
      </c>
      <c r="C73" s="48" t="s">
        <v>345</v>
      </c>
      <c r="D73" s="2" t="s">
        <v>1</v>
      </c>
      <c r="E73" s="12">
        <v>5.4990699462989996</v>
      </c>
      <c r="F73" s="13">
        <v>2</v>
      </c>
      <c r="G73" s="14">
        <v>110.5</v>
      </c>
      <c r="H73" s="39"/>
      <c r="I73" s="36">
        <v>0</v>
      </c>
      <c r="L73" s="61" t="str">
        <f t="shared" si="18"/>
        <v>-</v>
      </c>
      <c r="M73" s="61" t="str">
        <f t="shared" si="19"/>
        <v>-</v>
      </c>
      <c r="N73" s="50" t="str">
        <f t="shared" si="20"/>
        <v>-</v>
      </c>
      <c r="O73" s="62" t="str">
        <f t="shared" si="21"/>
        <v>-</v>
      </c>
      <c r="P73" s="54"/>
      <c r="Q73" s="62" t="str">
        <f t="shared" si="22"/>
        <v>-</v>
      </c>
    </row>
    <row r="74" spans="1:17" ht="23.4" x14ac:dyDescent="0.35">
      <c r="A74" s="15" t="s">
        <v>164</v>
      </c>
      <c r="B74" s="8">
        <v>196671005052</v>
      </c>
      <c r="C74" s="48" t="s">
        <v>346</v>
      </c>
      <c r="D74" s="2" t="s">
        <v>165</v>
      </c>
      <c r="E74" s="12">
        <v>1.2723374853095</v>
      </c>
      <c r="F74" s="13">
        <v>6</v>
      </c>
      <c r="G74" s="14">
        <v>19.5</v>
      </c>
      <c r="H74" s="39"/>
      <c r="I74" s="36">
        <f t="shared" ref="I74:I76" si="23">H74*G74</f>
        <v>0</v>
      </c>
      <c r="L74" s="61" t="str">
        <f t="shared" si="18"/>
        <v>-</v>
      </c>
      <c r="M74" s="61" t="str">
        <f t="shared" si="19"/>
        <v>-</v>
      </c>
      <c r="N74" s="50" t="str">
        <f t="shared" si="20"/>
        <v>-</v>
      </c>
      <c r="O74" s="62" t="str">
        <f t="shared" si="21"/>
        <v>-</v>
      </c>
      <c r="P74" s="54"/>
      <c r="Q74" s="62" t="str">
        <f t="shared" si="22"/>
        <v>-</v>
      </c>
    </row>
    <row r="75" spans="1:17" ht="23.4" x14ac:dyDescent="0.35">
      <c r="A75" s="15" t="s">
        <v>166</v>
      </c>
      <c r="B75" s="8">
        <v>196671005069</v>
      </c>
      <c r="C75" s="48" t="s">
        <v>347</v>
      </c>
      <c r="D75" s="2" t="s">
        <v>165</v>
      </c>
      <c r="E75" s="12">
        <v>1.2723374853095</v>
      </c>
      <c r="F75" s="13">
        <v>6</v>
      </c>
      <c r="G75" s="14">
        <v>19.5</v>
      </c>
      <c r="H75" s="39"/>
      <c r="I75" s="36">
        <f t="shared" si="23"/>
        <v>0</v>
      </c>
      <c r="L75" s="61" t="str">
        <f t="shared" si="18"/>
        <v>-</v>
      </c>
      <c r="M75" s="61" t="str">
        <f t="shared" si="19"/>
        <v>-</v>
      </c>
      <c r="N75" s="50" t="str">
        <f t="shared" si="20"/>
        <v>-</v>
      </c>
      <c r="O75" s="62" t="str">
        <f t="shared" si="21"/>
        <v>-</v>
      </c>
      <c r="P75" s="54"/>
      <c r="Q75" s="62" t="str">
        <f t="shared" si="22"/>
        <v>-</v>
      </c>
    </row>
    <row r="76" spans="1:17" ht="23.4" x14ac:dyDescent="0.35">
      <c r="A76" s="15" t="s">
        <v>167</v>
      </c>
      <c r="B76" s="8">
        <v>196671005076</v>
      </c>
      <c r="C76" s="48" t="s">
        <v>348</v>
      </c>
      <c r="D76" s="2" t="s">
        <v>165</v>
      </c>
      <c r="E76" s="12">
        <v>1.246596118312</v>
      </c>
      <c r="F76" s="13">
        <v>6</v>
      </c>
      <c r="G76" s="14">
        <v>19.5</v>
      </c>
      <c r="H76" s="39"/>
      <c r="I76" s="36">
        <f t="shared" si="23"/>
        <v>0</v>
      </c>
      <c r="L76" s="61" t="str">
        <f t="shared" si="18"/>
        <v>-</v>
      </c>
      <c r="M76" s="61" t="str">
        <f t="shared" si="19"/>
        <v>-</v>
      </c>
      <c r="N76" s="50" t="str">
        <f t="shared" si="20"/>
        <v>-</v>
      </c>
      <c r="O76" s="62" t="str">
        <f t="shared" si="21"/>
        <v>-</v>
      </c>
      <c r="P76" s="54"/>
      <c r="Q76" s="62" t="str">
        <f t="shared" si="22"/>
        <v>-</v>
      </c>
    </row>
    <row r="77" spans="1:17" ht="23.4" x14ac:dyDescent="0.35">
      <c r="A77" s="15" t="s">
        <v>168</v>
      </c>
      <c r="B77" s="8">
        <v>196671005106</v>
      </c>
      <c r="C77" s="48" t="s">
        <v>349</v>
      </c>
      <c r="D77" s="2" t="s">
        <v>165</v>
      </c>
      <c r="E77" s="12">
        <v>1.2826340321084999</v>
      </c>
      <c r="F77" s="13">
        <v>6</v>
      </c>
      <c r="G77" s="14">
        <v>19.5</v>
      </c>
      <c r="H77" s="39"/>
      <c r="I77" s="36">
        <f t="shared" ref="I77:I84" si="24">H77*G77</f>
        <v>0</v>
      </c>
      <c r="L77" s="61" t="str">
        <f t="shared" si="18"/>
        <v>-</v>
      </c>
      <c r="M77" s="61" t="str">
        <f t="shared" si="19"/>
        <v>-</v>
      </c>
      <c r="N77" s="50" t="str">
        <f t="shared" si="20"/>
        <v>-</v>
      </c>
      <c r="O77" s="62" t="str">
        <f t="shared" si="21"/>
        <v>-</v>
      </c>
      <c r="P77" s="54"/>
      <c r="Q77" s="62" t="str">
        <f t="shared" si="22"/>
        <v>-</v>
      </c>
    </row>
    <row r="78" spans="1:17" ht="23.4" x14ac:dyDescent="0.35">
      <c r="A78" s="15" t="s">
        <v>169</v>
      </c>
      <c r="B78" s="8">
        <v>196671005090</v>
      </c>
      <c r="C78" s="48" t="s">
        <v>350</v>
      </c>
      <c r="D78" s="2" t="s">
        <v>165</v>
      </c>
      <c r="E78" s="12">
        <v>1.2723374853095</v>
      </c>
      <c r="F78" s="13">
        <v>6</v>
      </c>
      <c r="G78" s="14">
        <v>19.5</v>
      </c>
      <c r="H78" s="39"/>
      <c r="I78" s="36">
        <f t="shared" si="24"/>
        <v>0</v>
      </c>
      <c r="L78" s="61" t="str">
        <f t="shared" si="18"/>
        <v>-</v>
      </c>
      <c r="M78" s="61" t="str">
        <f t="shared" si="19"/>
        <v>-</v>
      </c>
      <c r="N78" s="50" t="str">
        <f t="shared" si="20"/>
        <v>-</v>
      </c>
      <c r="O78" s="62" t="str">
        <f t="shared" si="21"/>
        <v>-</v>
      </c>
      <c r="P78" s="54"/>
      <c r="Q78" s="62" t="str">
        <f t="shared" si="22"/>
        <v>-</v>
      </c>
    </row>
    <row r="79" spans="1:17" ht="23.4" x14ac:dyDescent="0.35">
      <c r="A79" s="15" t="s">
        <v>170</v>
      </c>
      <c r="B79" s="8">
        <v>196671005083</v>
      </c>
      <c r="C79" s="48" t="s">
        <v>351</v>
      </c>
      <c r="D79" s="2" t="s">
        <v>165</v>
      </c>
      <c r="E79" s="12">
        <v>1.2723374853095</v>
      </c>
      <c r="F79" s="13">
        <v>6</v>
      </c>
      <c r="G79" s="14">
        <v>19.5</v>
      </c>
      <c r="H79" s="39"/>
      <c r="I79" s="36">
        <f t="shared" si="24"/>
        <v>0</v>
      </c>
      <c r="L79" s="61" t="str">
        <f t="shared" si="18"/>
        <v>-</v>
      </c>
      <c r="M79" s="61" t="str">
        <f t="shared" si="19"/>
        <v>-</v>
      </c>
      <c r="N79" s="50" t="str">
        <f t="shared" si="20"/>
        <v>-</v>
      </c>
      <c r="O79" s="62" t="str">
        <f t="shared" si="21"/>
        <v>-</v>
      </c>
      <c r="P79" s="54"/>
      <c r="Q79" s="62" t="str">
        <f t="shared" si="22"/>
        <v>-</v>
      </c>
    </row>
    <row r="80" spans="1:17" ht="23.4" x14ac:dyDescent="0.35">
      <c r="A80" s="15" t="s">
        <v>224</v>
      </c>
      <c r="B80" s="8">
        <v>196671005250</v>
      </c>
      <c r="C80" s="48" t="s">
        <v>352</v>
      </c>
      <c r="D80" s="2" t="s">
        <v>165</v>
      </c>
      <c r="E80" s="12">
        <v>1.246596118312</v>
      </c>
      <c r="F80" s="13">
        <v>6</v>
      </c>
      <c r="G80" s="14">
        <v>19.5</v>
      </c>
      <c r="H80" s="39"/>
      <c r="I80" s="36">
        <f t="shared" si="24"/>
        <v>0</v>
      </c>
      <c r="L80" s="61" t="str">
        <f t="shared" si="18"/>
        <v>-</v>
      </c>
      <c r="M80" s="61" t="str">
        <f t="shared" si="19"/>
        <v>-</v>
      </c>
      <c r="N80" s="50" t="str">
        <f t="shared" si="20"/>
        <v>-</v>
      </c>
      <c r="O80" s="62" t="str">
        <f t="shared" si="21"/>
        <v>-</v>
      </c>
      <c r="P80" s="54"/>
      <c r="Q80" s="62" t="str">
        <f t="shared" si="22"/>
        <v>-</v>
      </c>
    </row>
    <row r="81" spans="1:17" ht="23.4" x14ac:dyDescent="0.35">
      <c r="A81" s="15" t="s">
        <v>171</v>
      </c>
      <c r="B81" s="8">
        <v>196671005113</v>
      </c>
      <c r="C81" s="48" t="s">
        <v>353</v>
      </c>
      <c r="D81" s="2" t="s">
        <v>165</v>
      </c>
      <c r="E81" s="12">
        <v>2.3895128130010002</v>
      </c>
      <c r="F81" s="13">
        <v>4</v>
      </c>
      <c r="G81" s="14">
        <v>42.25</v>
      </c>
      <c r="H81" s="39"/>
      <c r="I81" s="36">
        <f t="shared" si="24"/>
        <v>0</v>
      </c>
      <c r="L81" s="61" t="str">
        <f t="shared" si="18"/>
        <v>-</v>
      </c>
      <c r="M81" s="61" t="str">
        <f t="shared" si="19"/>
        <v>-</v>
      </c>
      <c r="N81" s="50" t="str">
        <f t="shared" si="20"/>
        <v>-</v>
      </c>
      <c r="O81" s="62" t="str">
        <f t="shared" si="21"/>
        <v>-</v>
      </c>
      <c r="P81" s="54"/>
      <c r="Q81" s="62" t="str">
        <f t="shared" si="22"/>
        <v>-</v>
      </c>
    </row>
    <row r="82" spans="1:17" ht="23.4" x14ac:dyDescent="0.35">
      <c r="A82" s="15" t="s">
        <v>172</v>
      </c>
      <c r="B82" s="8">
        <v>196671005120</v>
      </c>
      <c r="C82" s="48" t="s">
        <v>354</v>
      </c>
      <c r="D82" s="2" t="s">
        <v>165</v>
      </c>
      <c r="E82" s="12">
        <v>2.379216266202</v>
      </c>
      <c r="F82" s="13">
        <v>4</v>
      </c>
      <c r="G82" s="14">
        <v>42.25</v>
      </c>
      <c r="H82" s="39"/>
      <c r="I82" s="36">
        <f t="shared" si="24"/>
        <v>0</v>
      </c>
      <c r="L82" s="61" t="str">
        <f t="shared" si="18"/>
        <v>-</v>
      </c>
      <c r="M82" s="61" t="str">
        <f t="shared" si="19"/>
        <v>-</v>
      </c>
      <c r="N82" s="50" t="str">
        <f t="shared" si="20"/>
        <v>-</v>
      </c>
      <c r="O82" s="62" t="str">
        <f t="shared" si="21"/>
        <v>-</v>
      </c>
      <c r="P82" s="54"/>
      <c r="Q82" s="62" t="str">
        <f t="shared" si="22"/>
        <v>-</v>
      </c>
    </row>
    <row r="83" spans="1:17" ht="23.4" x14ac:dyDescent="0.35">
      <c r="A83" s="15" t="s">
        <v>173</v>
      </c>
      <c r="B83" s="8">
        <v>196671005137</v>
      </c>
      <c r="C83" s="48" t="s">
        <v>355</v>
      </c>
      <c r="D83" s="2" t="s">
        <v>165</v>
      </c>
      <c r="E83" s="12">
        <v>2.3843645396015005</v>
      </c>
      <c r="F83" s="13">
        <v>4</v>
      </c>
      <c r="G83" s="14">
        <v>42.25</v>
      </c>
      <c r="H83" s="40"/>
      <c r="I83" s="36">
        <f t="shared" si="24"/>
        <v>0</v>
      </c>
      <c r="L83" s="61" t="str">
        <f t="shared" si="18"/>
        <v>-</v>
      </c>
      <c r="M83" s="61" t="str">
        <f t="shared" si="19"/>
        <v>-</v>
      </c>
      <c r="N83" s="50" t="str">
        <f t="shared" si="20"/>
        <v>-</v>
      </c>
      <c r="O83" s="62" t="str">
        <f t="shared" si="21"/>
        <v>-</v>
      </c>
      <c r="P83" s="54"/>
      <c r="Q83" s="62" t="str">
        <f t="shared" si="22"/>
        <v>-</v>
      </c>
    </row>
    <row r="84" spans="1:17" ht="23.4" x14ac:dyDescent="0.35">
      <c r="A84" s="15" t="s">
        <v>174</v>
      </c>
      <c r="B84" s="8">
        <v>196671005168</v>
      </c>
      <c r="C84" s="48" t="s">
        <v>356</v>
      </c>
      <c r="D84" s="2" t="s">
        <v>165</v>
      </c>
      <c r="E84" s="12">
        <v>2.4152541799985001</v>
      </c>
      <c r="F84" s="13">
        <v>4</v>
      </c>
      <c r="G84" s="14">
        <v>42.25</v>
      </c>
      <c r="H84" s="40"/>
      <c r="I84" s="36">
        <f t="shared" si="24"/>
        <v>0</v>
      </c>
      <c r="L84" s="61" t="str">
        <f t="shared" si="18"/>
        <v>-</v>
      </c>
      <c r="M84" s="61" t="str">
        <f t="shared" si="19"/>
        <v>-</v>
      </c>
      <c r="N84" s="50" t="str">
        <f t="shared" si="20"/>
        <v>-</v>
      </c>
      <c r="O84" s="62" t="str">
        <f t="shared" si="21"/>
        <v>-</v>
      </c>
      <c r="P84" s="54"/>
      <c r="Q84" s="62" t="str">
        <f t="shared" si="22"/>
        <v>-</v>
      </c>
    </row>
    <row r="85" spans="1:17" ht="23.4" x14ac:dyDescent="0.35">
      <c r="A85" s="15" t="s">
        <v>175</v>
      </c>
      <c r="B85" s="8">
        <v>196671005144</v>
      </c>
      <c r="C85" s="48" t="s">
        <v>357</v>
      </c>
      <c r="D85" s="2" t="s">
        <v>165</v>
      </c>
      <c r="E85" s="12">
        <v>2.379216266202</v>
      </c>
      <c r="F85" s="13">
        <v>4</v>
      </c>
      <c r="G85" s="14">
        <v>42.25</v>
      </c>
      <c r="H85" s="39"/>
      <c r="I85" s="36">
        <f t="shared" ref="I85:I89" si="25">H85*G85</f>
        <v>0</v>
      </c>
      <c r="L85" s="61" t="str">
        <f t="shared" si="18"/>
        <v>-</v>
      </c>
      <c r="M85" s="61" t="str">
        <f t="shared" si="19"/>
        <v>-</v>
      </c>
      <c r="N85" s="50" t="str">
        <f t="shared" si="20"/>
        <v>-</v>
      </c>
      <c r="O85" s="62" t="str">
        <f t="shared" si="21"/>
        <v>-</v>
      </c>
      <c r="P85" s="54"/>
      <c r="Q85" s="62" t="str">
        <f t="shared" si="22"/>
        <v>-</v>
      </c>
    </row>
    <row r="86" spans="1:17" ht="23.4" x14ac:dyDescent="0.35">
      <c r="A86" s="15" t="s">
        <v>83</v>
      </c>
      <c r="B86" s="8">
        <v>196671007834</v>
      </c>
      <c r="C86" s="48" t="s">
        <v>358</v>
      </c>
      <c r="D86" s="2" t="s">
        <v>247</v>
      </c>
      <c r="E86" s="12">
        <v>1.102444463126</v>
      </c>
      <c r="F86" s="13">
        <v>6</v>
      </c>
      <c r="G86" s="14">
        <v>22.75</v>
      </c>
      <c r="H86" s="39"/>
      <c r="I86" s="36">
        <f t="shared" si="25"/>
        <v>0</v>
      </c>
      <c r="L86" s="61" t="str">
        <f t="shared" si="18"/>
        <v>-</v>
      </c>
      <c r="M86" s="61" t="str">
        <f t="shared" si="19"/>
        <v>-</v>
      </c>
      <c r="N86" s="50" t="str">
        <f t="shared" si="20"/>
        <v>-</v>
      </c>
      <c r="O86" s="62" t="str">
        <f t="shared" si="21"/>
        <v>-</v>
      </c>
      <c r="P86" s="54"/>
      <c r="Q86" s="62" t="str">
        <f t="shared" si="22"/>
        <v>-</v>
      </c>
    </row>
    <row r="87" spans="1:17" ht="23.4" x14ac:dyDescent="0.35">
      <c r="A87" s="15" t="s">
        <v>84</v>
      </c>
      <c r="B87" s="8">
        <v>196671007841</v>
      </c>
      <c r="C87" s="48" t="s">
        <v>359</v>
      </c>
      <c r="D87" s="2" t="s">
        <v>247</v>
      </c>
      <c r="E87" s="12">
        <v>1.0458134557315</v>
      </c>
      <c r="F87" s="13">
        <v>6</v>
      </c>
      <c r="G87" s="14">
        <v>22.75</v>
      </c>
      <c r="H87" s="39"/>
      <c r="I87" s="36">
        <f t="shared" si="25"/>
        <v>0</v>
      </c>
      <c r="L87" s="61" t="str">
        <f t="shared" si="18"/>
        <v>-</v>
      </c>
      <c r="M87" s="61" t="str">
        <f t="shared" si="19"/>
        <v>-</v>
      </c>
      <c r="N87" s="50" t="str">
        <f t="shared" si="20"/>
        <v>-</v>
      </c>
      <c r="O87" s="62" t="str">
        <f t="shared" si="21"/>
        <v>-</v>
      </c>
      <c r="P87" s="54"/>
      <c r="Q87" s="62" t="str">
        <f t="shared" si="22"/>
        <v>-</v>
      </c>
    </row>
    <row r="88" spans="1:17" ht="23.4" x14ac:dyDescent="0.35">
      <c r="A88" s="15" t="s">
        <v>248</v>
      </c>
      <c r="B88" s="8" t="s">
        <v>249</v>
      </c>
      <c r="C88" s="48" t="s">
        <v>360</v>
      </c>
      <c r="D88" s="2" t="s">
        <v>247</v>
      </c>
      <c r="E88" s="12">
        <v>1.0561100025304999</v>
      </c>
      <c r="F88" s="13">
        <v>6</v>
      </c>
      <c r="G88" s="14">
        <v>22.75</v>
      </c>
      <c r="H88" s="39"/>
      <c r="I88" s="36">
        <f t="shared" si="25"/>
        <v>0</v>
      </c>
      <c r="L88" s="61" t="str">
        <f t="shared" si="18"/>
        <v>-</v>
      </c>
      <c r="M88" s="61" t="str">
        <f t="shared" si="19"/>
        <v>-</v>
      </c>
      <c r="N88" s="50" t="str">
        <f t="shared" si="20"/>
        <v>-</v>
      </c>
      <c r="O88" s="62" t="str">
        <f t="shared" si="21"/>
        <v>-</v>
      </c>
      <c r="P88" s="54"/>
      <c r="Q88" s="62" t="str">
        <f t="shared" si="22"/>
        <v>-</v>
      </c>
    </row>
    <row r="89" spans="1:17" ht="23.4" x14ac:dyDescent="0.35">
      <c r="A89" s="15" t="s">
        <v>250</v>
      </c>
      <c r="B89" s="8" t="s">
        <v>251</v>
      </c>
      <c r="C89" s="48" t="s">
        <v>361</v>
      </c>
      <c r="D89" s="2" t="s">
        <v>247</v>
      </c>
      <c r="E89" s="12">
        <v>1.0458134557315</v>
      </c>
      <c r="F89" s="13">
        <v>6</v>
      </c>
      <c r="G89" s="14">
        <v>22.75</v>
      </c>
      <c r="H89" s="39"/>
      <c r="I89" s="36">
        <f t="shared" si="25"/>
        <v>0</v>
      </c>
      <c r="L89" s="61" t="str">
        <f t="shared" si="18"/>
        <v>-</v>
      </c>
      <c r="M89" s="61" t="str">
        <f t="shared" si="19"/>
        <v>-</v>
      </c>
      <c r="N89" s="50" t="str">
        <f t="shared" si="20"/>
        <v>-</v>
      </c>
      <c r="O89" s="62" t="str">
        <f t="shared" si="21"/>
        <v>-</v>
      </c>
      <c r="P89" s="54"/>
      <c r="Q89" s="62" t="str">
        <f t="shared" si="22"/>
        <v>-</v>
      </c>
    </row>
    <row r="90" spans="1:17" ht="23.4" x14ac:dyDescent="0.35">
      <c r="A90" s="15" t="s">
        <v>37</v>
      </c>
      <c r="B90" s="8">
        <v>196671004390</v>
      </c>
      <c r="C90" s="44" t="s">
        <v>362</v>
      </c>
      <c r="D90" s="2" t="s">
        <v>98</v>
      </c>
      <c r="E90" s="12">
        <v>1.3753029532995</v>
      </c>
      <c r="F90" s="13">
        <v>6</v>
      </c>
      <c r="G90" s="14">
        <v>26</v>
      </c>
      <c r="H90" s="39"/>
      <c r="I90" s="36">
        <f t="shared" ref="I90:I91" si="26">H90*G90</f>
        <v>0</v>
      </c>
      <c r="L90" s="61" t="str">
        <f t="shared" si="18"/>
        <v>-</v>
      </c>
      <c r="M90" s="61" t="str">
        <f t="shared" si="19"/>
        <v>-</v>
      </c>
      <c r="N90" s="50" t="str">
        <f t="shared" si="20"/>
        <v>-</v>
      </c>
      <c r="O90" s="62" t="str">
        <f t="shared" si="21"/>
        <v>-</v>
      </c>
      <c r="P90" s="54"/>
      <c r="Q90" s="62" t="str">
        <f t="shared" si="22"/>
        <v>-</v>
      </c>
    </row>
    <row r="91" spans="1:17" ht="23.4" x14ac:dyDescent="0.35">
      <c r="A91" s="15" t="s">
        <v>38</v>
      </c>
      <c r="B91" s="8">
        <v>196671004406</v>
      </c>
      <c r="C91" s="44" t="s">
        <v>363</v>
      </c>
      <c r="D91" s="2" t="s">
        <v>98</v>
      </c>
      <c r="E91" s="12">
        <v>1.3753029532995</v>
      </c>
      <c r="F91" s="13">
        <v>6</v>
      </c>
      <c r="G91" s="14">
        <v>26</v>
      </c>
      <c r="H91" s="39"/>
      <c r="I91" s="36">
        <f t="shared" si="26"/>
        <v>0</v>
      </c>
      <c r="L91" s="61" t="str">
        <f t="shared" si="18"/>
        <v>-</v>
      </c>
      <c r="M91" s="61" t="str">
        <f t="shared" si="19"/>
        <v>-</v>
      </c>
      <c r="N91" s="50" t="str">
        <f t="shared" si="20"/>
        <v>-</v>
      </c>
      <c r="O91" s="62" t="str">
        <f t="shared" si="21"/>
        <v>-</v>
      </c>
      <c r="P91" s="54"/>
      <c r="Q91" s="62" t="str">
        <f t="shared" si="22"/>
        <v>-</v>
      </c>
    </row>
    <row r="92" spans="1:17" ht="23.4" x14ac:dyDescent="0.35">
      <c r="A92" s="16" t="s">
        <v>40</v>
      </c>
      <c r="B92" s="10">
        <v>196671004987</v>
      </c>
      <c r="C92" s="44" t="s">
        <v>364</v>
      </c>
      <c r="D92" s="1" t="s">
        <v>98</v>
      </c>
      <c r="E92" s="12">
        <v>1.3495615863020001</v>
      </c>
      <c r="F92" s="13">
        <v>6</v>
      </c>
      <c r="G92" s="14">
        <v>26</v>
      </c>
      <c r="H92" s="40"/>
      <c r="I92" s="36">
        <f t="shared" ref="I92:I96" si="27">H92*G92</f>
        <v>0</v>
      </c>
      <c r="L92" s="61" t="str">
        <f t="shared" si="18"/>
        <v>-</v>
      </c>
      <c r="M92" s="61" t="str">
        <f t="shared" si="19"/>
        <v>-</v>
      </c>
      <c r="N92" s="50" t="str">
        <f t="shared" si="20"/>
        <v>-</v>
      </c>
      <c r="O92" s="62" t="str">
        <f t="shared" si="21"/>
        <v>-</v>
      </c>
      <c r="P92" s="54"/>
      <c r="Q92" s="62" t="str">
        <f t="shared" si="22"/>
        <v>-</v>
      </c>
    </row>
    <row r="93" spans="1:17" ht="23.4" x14ac:dyDescent="0.35">
      <c r="A93" s="16" t="s">
        <v>39</v>
      </c>
      <c r="B93" s="10">
        <v>196671004611</v>
      </c>
      <c r="C93" s="44" t="s">
        <v>365</v>
      </c>
      <c r="D93" s="1" t="s">
        <v>98</v>
      </c>
      <c r="E93" s="12">
        <v>1.359858133101</v>
      </c>
      <c r="F93" s="13">
        <v>6</v>
      </c>
      <c r="G93" s="14">
        <v>26</v>
      </c>
      <c r="H93" s="40"/>
      <c r="I93" s="36">
        <f t="shared" si="27"/>
        <v>0</v>
      </c>
      <c r="L93" s="61" t="str">
        <f t="shared" si="18"/>
        <v>-</v>
      </c>
      <c r="M93" s="61" t="str">
        <f t="shared" si="19"/>
        <v>-</v>
      </c>
      <c r="N93" s="50" t="str">
        <f t="shared" si="20"/>
        <v>-</v>
      </c>
      <c r="O93" s="62" t="str">
        <f t="shared" si="21"/>
        <v>-</v>
      </c>
      <c r="P93" s="54"/>
      <c r="Q93" s="62" t="str">
        <f t="shared" si="22"/>
        <v>-</v>
      </c>
    </row>
    <row r="94" spans="1:17" ht="23.4" x14ac:dyDescent="0.35">
      <c r="A94" s="16" t="s">
        <v>41</v>
      </c>
      <c r="B94" s="10">
        <v>196671006561</v>
      </c>
      <c r="C94" s="44" t="s">
        <v>366</v>
      </c>
      <c r="D94" s="1" t="s">
        <v>98</v>
      </c>
      <c r="E94" s="12">
        <v>1.3753029532995</v>
      </c>
      <c r="F94" s="13">
        <v>6</v>
      </c>
      <c r="G94" s="14">
        <v>26</v>
      </c>
      <c r="H94" s="40"/>
      <c r="I94" s="36">
        <f t="shared" si="27"/>
        <v>0</v>
      </c>
      <c r="L94" s="61" t="str">
        <f t="shared" si="18"/>
        <v>-</v>
      </c>
      <c r="M94" s="61" t="str">
        <f t="shared" si="19"/>
        <v>-</v>
      </c>
      <c r="N94" s="50" t="str">
        <f t="shared" si="20"/>
        <v>-</v>
      </c>
      <c r="O94" s="62" t="str">
        <f t="shared" si="21"/>
        <v>-</v>
      </c>
      <c r="P94" s="54"/>
      <c r="Q94" s="62" t="str">
        <f t="shared" si="22"/>
        <v>-</v>
      </c>
    </row>
    <row r="95" spans="1:17" ht="23.4" x14ac:dyDescent="0.35">
      <c r="A95" s="16" t="s">
        <v>42</v>
      </c>
      <c r="B95" s="10">
        <v>196671004413</v>
      </c>
      <c r="C95" s="44" t="s">
        <v>367</v>
      </c>
      <c r="D95" s="1" t="s">
        <v>98</v>
      </c>
      <c r="E95" s="12">
        <v>2.4049576331995</v>
      </c>
      <c r="F95" s="13">
        <v>4</v>
      </c>
      <c r="G95" s="14">
        <v>45.5</v>
      </c>
      <c r="H95" s="40"/>
      <c r="I95" s="36">
        <f t="shared" si="27"/>
        <v>0</v>
      </c>
      <c r="L95" s="61" t="str">
        <f t="shared" si="18"/>
        <v>-</v>
      </c>
      <c r="M95" s="61" t="str">
        <f t="shared" si="19"/>
        <v>-</v>
      </c>
      <c r="N95" s="50" t="str">
        <f t="shared" si="20"/>
        <v>-</v>
      </c>
      <c r="O95" s="62" t="str">
        <f t="shared" si="21"/>
        <v>-</v>
      </c>
      <c r="P95" s="54"/>
      <c r="Q95" s="62" t="str">
        <f t="shared" si="22"/>
        <v>-</v>
      </c>
    </row>
    <row r="96" spans="1:17" ht="23.4" x14ac:dyDescent="0.35">
      <c r="A96" s="16" t="s">
        <v>43</v>
      </c>
      <c r="B96" s="10">
        <v>196671004420</v>
      </c>
      <c r="C96" s="44" t="s">
        <v>368</v>
      </c>
      <c r="D96" s="1" t="s">
        <v>98</v>
      </c>
      <c r="E96" s="12">
        <v>2.379216266202</v>
      </c>
      <c r="F96" s="13">
        <v>4</v>
      </c>
      <c r="G96" s="14">
        <v>45.5</v>
      </c>
      <c r="H96" s="40"/>
      <c r="I96" s="36">
        <f t="shared" si="27"/>
        <v>0</v>
      </c>
      <c r="L96" s="61" t="str">
        <f t="shared" si="18"/>
        <v>-</v>
      </c>
      <c r="M96" s="61" t="str">
        <f t="shared" si="19"/>
        <v>-</v>
      </c>
      <c r="N96" s="50" t="str">
        <f t="shared" si="20"/>
        <v>-</v>
      </c>
      <c r="O96" s="62" t="str">
        <f t="shared" si="21"/>
        <v>-</v>
      </c>
      <c r="P96" s="54"/>
      <c r="Q96" s="62" t="str">
        <f t="shared" si="22"/>
        <v>-</v>
      </c>
    </row>
    <row r="97" spans="1:17" ht="23.4" x14ac:dyDescent="0.35">
      <c r="A97" s="15" t="s">
        <v>44</v>
      </c>
      <c r="B97" s="8">
        <v>196671004628</v>
      </c>
      <c r="C97" s="48" t="s">
        <v>369</v>
      </c>
      <c r="D97" s="2" t="s">
        <v>98</v>
      </c>
      <c r="E97" s="12">
        <v>2.379216266202</v>
      </c>
      <c r="F97" s="13">
        <v>4</v>
      </c>
      <c r="G97" s="14">
        <v>45.5</v>
      </c>
      <c r="H97" s="39"/>
      <c r="I97" s="36">
        <f t="shared" ref="I97:I98" si="28">H97*G97</f>
        <v>0</v>
      </c>
      <c r="L97" s="61" t="str">
        <f t="shared" si="18"/>
        <v>-</v>
      </c>
      <c r="M97" s="61" t="str">
        <f t="shared" si="19"/>
        <v>-</v>
      </c>
      <c r="N97" s="50" t="str">
        <f t="shared" si="20"/>
        <v>-</v>
      </c>
      <c r="O97" s="62" t="str">
        <f t="shared" si="21"/>
        <v>-</v>
      </c>
      <c r="P97" s="54"/>
      <c r="Q97" s="62" t="str">
        <f t="shared" si="22"/>
        <v>-</v>
      </c>
    </row>
    <row r="98" spans="1:17" ht="23.4" x14ac:dyDescent="0.35">
      <c r="A98" s="15" t="s">
        <v>45</v>
      </c>
      <c r="B98" s="8">
        <v>196671004994</v>
      </c>
      <c r="C98" s="48" t="s">
        <v>370</v>
      </c>
      <c r="D98" s="2" t="s">
        <v>98</v>
      </c>
      <c r="E98" s="12">
        <v>2.3998093598000003</v>
      </c>
      <c r="F98" s="13">
        <v>4</v>
      </c>
      <c r="G98" s="14">
        <v>45.5</v>
      </c>
      <c r="H98" s="42"/>
      <c r="I98" s="36">
        <f t="shared" si="28"/>
        <v>0</v>
      </c>
      <c r="L98" s="61" t="str">
        <f t="shared" si="18"/>
        <v>-</v>
      </c>
      <c r="M98" s="61" t="str">
        <f t="shared" si="19"/>
        <v>-</v>
      </c>
      <c r="N98" s="50" t="str">
        <f t="shared" si="20"/>
        <v>-</v>
      </c>
      <c r="O98" s="62" t="str">
        <f t="shared" si="21"/>
        <v>-</v>
      </c>
      <c r="P98" s="54"/>
      <c r="Q98" s="62" t="str">
        <f t="shared" si="22"/>
        <v>-</v>
      </c>
    </row>
    <row r="99" spans="1:17" ht="23.4" x14ac:dyDescent="0.35">
      <c r="A99" s="16" t="s">
        <v>146</v>
      </c>
      <c r="B99" s="10">
        <v>196671003119</v>
      </c>
      <c r="C99" s="44" t="s">
        <v>371</v>
      </c>
      <c r="D99" s="1" t="s">
        <v>176</v>
      </c>
      <c r="E99" s="12" t="e">
        <v>#VALUE!</v>
      </c>
      <c r="F99" s="13">
        <v>4</v>
      </c>
      <c r="G99" s="14">
        <v>29.25</v>
      </c>
      <c r="H99" s="41"/>
      <c r="I99" s="36">
        <f t="shared" ref="I99:I100" si="29">H99*G99</f>
        <v>0</v>
      </c>
      <c r="L99" s="61" t="str">
        <f t="shared" si="18"/>
        <v>-</v>
      </c>
      <c r="M99" s="61" t="str">
        <f t="shared" si="19"/>
        <v>-</v>
      </c>
      <c r="N99" s="50" t="str">
        <f t="shared" si="20"/>
        <v>-</v>
      </c>
      <c r="O99" s="62" t="str">
        <f t="shared" si="21"/>
        <v>-</v>
      </c>
      <c r="P99" s="54"/>
      <c r="Q99" s="62" t="str">
        <f t="shared" si="22"/>
        <v>-</v>
      </c>
    </row>
    <row r="100" spans="1:17" ht="23.4" x14ac:dyDescent="0.35">
      <c r="A100" s="16" t="s">
        <v>148</v>
      </c>
      <c r="B100" s="10">
        <v>196671003126</v>
      </c>
      <c r="C100" s="44" t="s">
        <v>372</v>
      </c>
      <c r="D100" s="1" t="s">
        <v>176</v>
      </c>
      <c r="E100" s="12" t="e">
        <v>#VALUE!</v>
      </c>
      <c r="F100" s="13">
        <v>4</v>
      </c>
      <c r="G100" s="14">
        <v>29.25</v>
      </c>
      <c r="H100" s="40"/>
      <c r="I100" s="36">
        <f t="shared" si="29"/>
        <v>0</v>
      </c>
      <c r="L100" s="61" t="str">
        <f t="shared" si="18"/>
        <v>-</v>
      </c>
      <c r="M100" s="61" t="str">
        <f t="shared" si="19"/>
        <v>-</v>
      </c>
      <c r="N100" s="50" t="str">
        <f t="shared" si="20"/>
        <v>-</v>
      </c>
      <c r="O100" s="62" t="str">
        <f t="shared" si="21"/>
        <v>-</v>
      </c>
      <c r="P100" s="54"/>
      <c r="Q100" s="62" t="str">
        <f t="shared" si="22"/>
        <v>-</v>
      </c>
    </row>
    <row r="101" spans="1:17" ht="23.4" x14ac:dyDescent="0.35">
      <c r="A101" s="16" t="s">
        <v>150</v>
      </c>
      <c r="B101" s="10">
        <v>196671003157</v>
      </c>
      <c r="C101" s="44" t="s">
        <v>373</v>
      </c>
      <c r="D101" s="1" t="s">
        <v>176</v>
      </c>
      <c r="E101" s="12" t="e">
        <v>#VALUE!</v>
      </c>
      <c r="F101" s="13">
        <v>4</v>
      </c>
      <c r="G101" s="14">
        <v>29.25</v>
      </c>
      <c r="H101" s="40"/>
      <c r="I101" s="36">
        <f t="shared" ref="I101:I104" si="30">H101*G101</f>
        <v>0</v>
      </c>
      <c r="L101" s="61" t="str">
        <f t="shared" si="18"/>
        <v>-</v>
      </c>
      <c r="M101" s="61" t="str">
        <f t="shared" si="19"/>
        <v>-</v>
      </c>
      <c r="N101" s="50" t="str">
        <f t="shared" si="20"/>
        <v>-</v>
      </c>
      <c r="O101" s="62" t="str">
        <f t="shared" si="21"/>
        <v>-</v>
      </c>
      <c r="P101" s="54"/>
      <c r="Q101" s="62" t="str">
        <f t="shared" si="22"/>
        <v>-</v>
      </c>
    </row>
    <row r="102" spans="1:17" ht="23.4" x14ac:dyDescent="0.35">
      <c r="A102" s="16" t="s">
        <v>152</v>
      </c>
      <c r="B102" s="10">
        <v>196671003133</v>
      </c>
      <c r="C102" s="44" t="s">
        <v>374</v>
      </c>
      <c r="D102" s="1" t="s">
        <v>176</v>
      </c>
      <c r="E102" s="12" t="e">
        <v>#VALUE!</v>
      </c>
      <c r="F102" s="13">
        <v>4</v>
      </c>
      <c r="G102" s="14">
        <v>29.25</v>
      </c>
      <c r="H102" s="40"/>
      <c r="I102" s="36">
        <f t="shared" si="30"/>
        <v>0</v>
      </c>
      <c r="L102" s="61" t="str">
        <f t="shared" si="18"/>
        <v>-</v>
      </c>
      <c r="M102" s="61" t="str">
        <f t="shared" si="19"/>
        <v>-</v>
      </c>
      <c r="N102" s="50" t="str">
        <f t="shared" si="20"/>
        <v>-</v>
      </c>
      <c r="O102" s="62" t="str">
        <f t="shared" si="21"/>
        <v>-</v>
      </c>
      <c r="P102" s="54"/>
      <c r="Q102" s="62" t="str">
        <f t="shared" si="22"/>
        <v>-</v>
      </c>
    </row>
    <row r="103" spans="1:17" ht="23.4" x14ac:dyDescent="0.35">
      <c r="A103" s="16" t="s">
        <v>147</v>
      </c>
      <c r="B103" s="10">
        <v>196671003164</v>
      </c>
      <c r="C103" s="44" t="s">
        <v>375</v>
      </c>
      <c r="D103" s="1" t="s">
        <v>176</v>
      </c>
      <c r="E103" s="12" t="e">
        <v>#VALUE!</v>
      </c>
      <c r="F103" s="13">
        <v>2</v>
      </c>
      <c r="G103" s="14">
        <v>48.75</v>
      </c>
      <c r="H103" s="40"/>
      <c r="I103" s="36">
        <f t="shared" si="30"/>
        <v>0</v>
      </c>
      <c r="L103" s="61" t="str">
        <f t="shared" si="18"/>
        <v>-</v>
      </c>
      <c r="M103" s="61" t="str">
        <f t="shared" si="19"/>
        <v>-</v>
      </c>
      <c r="N103" s="50" t="str">
        <f t="shared" si="20"/>
        <v>-</v>
      </c>
      <c r="O103" s="62" t="str">
        <f t="shared" si="21"/>
        <v>-</v>
      </c>
      <c r="P103" s="54"/>
      <c r="Q103" s="62" t="str">
        <f t="shared" si="22"/>
        <v>-</v>
      </c>
    </row>
    <row r="104" spans="1:17" ht="23.4" x14ac:dyDescent="0.35">
      <c r="A104" s="16" t="s">
        <v>149</v>
      </c>
      <c r="B104" s="10">
        <v>196671003171</v>
      </c>
      <c r="C104" s="44" t="s">
        <v>376</v>
      </c>
      <c r="D104" s="1" t="s">
        <v>176</v>
      </c>
      <c r="E104" s="12" t="e">
        <v>#VALUE!</v>
      </c>
      <c r="F104" s="13">
        <v>2</v>
      </c>
      <c r="G104" s="14">
        <v>48.75</v>
      </c>
      <c r="H104" s="40"/>
      <c r="I104" s="36">
        <f t="shared" si="30"/>
        <v>0</v>
      </c>
      <c r="L104" s="61" t="str">
        <f t="shared" si="18"/>
        <v>-</v>
      </c>
      <c r="M104" s="61" t="str">
        <f t="shared" si="19"/>
        <v>-</v>
      </c>
      <c r="N104" s="50" t="str">
        <f t="shared" si="20"/>
        <v>-</v>
      </c>
      <c r="O104" s="62" t="str">
        <f t="shared" si="21"/>
        <v>-</v>
      </c>
      <c r="P104" s="54"/>
      <c r="Q104" s="62" t="str">
        <f t="shared" si="22"/>
        <v>-</v>
      </c>
    </row>
    <row r="105" spans="1:17" ht="23.4" x14ac:dyDescent="0.35">
      <c r="A105" s="16" t="s">
        <v>151</v>
      </c>
      <c r="B105" s="10">
        <v>196671003201</v>
      </c>
      <c r="C105" s="44" t="s">
        <v>377</v>
      </c>
      <c r="D105" s="1" t="s">
        <v>176</v>
      </c>
      <c r="E105" s="12" t="e">
        <v>#VALUE!</v>
      </c>
      <c r="F105" s="13">
        <v>2</v>
      </c>
      <c r="G105" s="14">
        <v>48.75</v>
      </c>
      <c r="H105" s="40"/>
      <c r="I105" s="36">
        <f t="shared" ref="I105:I109" si="31">H105*G105</f>
        <v>0</v>
      </c>
      <c r="L105" s="61" t="str">
        <f t="shared" si="18"/>
        <v>-</v>
      </c>
      <c r="M105" s="61" t="str">
        <f t="shared" si="19"/>
        <v>-</v>
      </c>
      <c r="N105" s="50" t="str">
        <f t="shared" si="20"/>
        <v>-</v>
      </c>
      <c r="O105" s="62" t="str">
        <f t="shared" si="21"/>
        <v>-</v>
      </c>
      <c r="P105" s="54"/>
      <c r="Q105" s="62" t="str">
        <f t="shared" si="22"/>
        <v>-</v>
      </c>
    </row>
    <row r="106" spans="1:17" ht="23.4" x14ac:dyDescent="0.35">
      <c r="A106" s="16" t="s">
        <v>153</v>
      </c>
      <c r="B106" s="10">
        <v>196671003188</v>
      </c>
      <c r="C106" s="44" t="s">
        <v>378</v>
      </c>
      <c r="D106" s="1" t="s">
        <v>176</v>
      </c>
      <c r="E106" s="12" t="e">
        <v>#VALUE!</v>
      </c>
      <c r="F106" s="13">
        <v>2</v>
      </c>
      <c r="G106" s="14">
        <v>48.75</v>
      </c>
      <c r="H106" s="40"/>
      <c r="I106" s="36">
        <f t="shared" si="31"/>
        <v>0</v>
      </c>
      <c r="L106" s="61" t="str">
        <f t="shared" si="18"/>
        <v>-</v>
      </c>
      <c r="M106" s="61" t="str">
        <f t="shared" si="19"/>
        <v>-</v>
      </c>
      <c r="N106" s="50" t="str">
        <f t="shared" si="20"/>
        <v>-</v>
      </c>
      <c r="O106" s="62" t="str">
        <f t="shared" si="21"/>
        <v>-</v>
      </c>
      <c r="P106" s="54"/>
      <c r="Q106" s="62" t="str">
        <f t="shared" si="22"/>
        <v>-</v>
      </c>
    </row>
    <row r="107" spans="1:17" ht="23.4" x14ac:dyDescent="0.35">
      <c r="A107" s="16" t="s">
        <v>46</v>
      </c>
      <c r="B107" s="10">
        <v>196671004352</v>
      </c>
      <c r="C107" s="44" t="s">
        <v>379</v>
      </c>
      <c r="D107" s="1" t="s">
        <v>177</v>
      </c>
      <c r="E107" s="12">
        <v>3.2904606579135005</v>
      </c>
      <c r="F107" s="13">
        <v>4</v>
      </c>
      <c r="G107" s="14">
        <v>26</v>
      </c>
      <c r="H107" s="40"/>
      <c r="I107" s="36">
        <f t="shared" si="31"/>
        <v>0</v>
      </c>
      <c r="L107" s="61" t="str">
        <f t="shared" si="18"/>
        <v>-</v>
      </c>
      <c r="M107" s="61" t="str">
        <f t="shared" si="19"/>
        <v>-</v>
      </c>
      <c r="N107" s="50" t="str">
        <f t="shared" si="20"/>
        <v>-</v>
      </c>
      <c r="O107" s="62" t="str">
        <f t="shared" si="21"/>
        <v>-</v>
      </c>
      <c r="P107" s="54"/>
      <c r="Q107" s="62" t="str">
        <f t="shared" si="22"/>
        <v>-</v>
      </c>
    </row>
    <row r="108" spans="1:17" ht="23.4" x14ac:dyDescent="0.35">
      <c r="A108" s="16" t="s">
        <v>47</v>
      </c>
      <c r="B108" s="10">
        <v>196671004369</v>
      </c>
      <c r="C108" s="44" t="s">
        <v>380</v>
      </c>
      <c r="D108" s="1" t="s">
        <v>177</v>
      </c>
      <c r="E108" s="12">
        <v>3.2904606579135005</v>
      </c>
      <c r="F108" s="13">
        <v>4</v>
      </c>
      <c r="G108" s="14">
        <v>26</v>
      </c>
      <c r="H108" s="40"/>
      <c r="I108" s="36">
        <f t="shared" si="31"/>
        <v>0</v>
      </c>
      <c r="L108" s="61" t="str">
        <f t="shared" si="18"/>
        <v>-</v>
      </c>
      <c r="M108" s="61" t="str">
        <f t="shared" si="19"/>
        <v>-</v>
      </c>
      <c r="N108" s="50" t="str">
        <f t="shared" si="20"/>
        <v>-</v>
      </c>
      <c r="O108" s="62" t="str">
        <f t="shared" si="21"/>
        <v>-</v>
      </c>
      <c r="P108" s="54"/>
      <c r="Q108" s="62" t="str">
        <f t="shared" si="22"/>
        <v>-</v>
      </c>
    </row>
    <row r="109" spans="1:17" ht="23.4" x14ac:dyDescent="0.35">
      <c r="A109" s="16" t="s">
        <v>48</v>
      </c>
      <c r="B109" s="10">
        <v>196671004376</v>
      </c>
      <c r="C109" s="44" t="s">
        <v>381</v>
      </c>
      <c r="D109" s="1" t="s">
        <v>177</v>
      </c>
      <c r="E109" s="12">
        <v>3.2801641111144999</v>
      </c>
      <c r="F109" s="13">
        <v>4</v>
      </c>
      <c r="G109" s="14">
        <v>26</v>
      </c>
      <c r="H109" s="40"/>
      <c r="I109" s="36">
        <f t="shared" si="31"/>
        <v>0</v>
      </c>
      <c r="L109" s="61" t="str">
        <f t="shared" si="18"/>
        <v>-</v>
      </c>
      <c r="M109" s="61" t="str">
        <f t="shared" si="19"/>
        <v>-</v>
      </c>
      <c r="N109" s="50" t="str">
        <f t="shared" si="20"/>
        <v>-</v>
      </c>
      <c r="O109" s="62" t="str">
        <f t="shared" si="21"/>
        <v>-</v>
      </c>
      <c r="P109" s="54"/>
      <c r="Q109" s="62" t="str">
        <f t="shared" si="22"/>
        <v>-</v>
      </c>
    </row>
    <row r="110" spans="1:17" ht="23.4" x14ac:dyDescent="0.35">
      <c r="A110" s="16" t="s">
        <v>49</v>
      </c>
      <c r="B110" s="10">
        <v>196671004383</v>
      </c>
      <c r="C110" s="44" t="s">
        <v>382</v>
      </c>
      <c r="D110" s="1" t="s">
        <v>177</v>
      </c>
      <c r="E110" s="12">
        <v>3.2441261973180002</v>
      </c>
      <c r="F110" s="13">
        <v>4</v>
      </c>
      <c r="G110" s="14">
        <v>26</v>
      </c>
      <c r="H110" s="40"/>
      <c r="I110" s="36">
        <f t="shared" ref="I110:I114" si="32">H110*G110</f>
        <v>0</v>
      </c>
      <c r="L110" s="61" t="str">
        <f t="shared" si="18"/>
        <v>-</v>
      </c>
      <c r="M110" s="61" t="str">
        <f t="shared" si="19"/>
        <v>-</v>
      </c>
      <c r="N110" s="50" t="str">
        <f t="shared" si="20"/>
        <v>-</v>
      </c>
      <c r="O110" s="62" t="str">
        <f t="shared" si="21"/>
        <v>-</v>
      </c>
      <c r="P110" s="54"/>
      <c r="Q110" s="62" t="str">
        <f t="shared" si="22"/>
        <v>-</v>
      </c>
    </row>
    <row r="111" spans="1:17" ht="23.4" x14ac:dyDescent="0.35">
      <c r="A111" s="16" t="s">
        <v>50</v>
      </c>
      <c r="B111" s="10">
        <v>196671006691</v>
      </c>
      <c r="C111" s="44" t="s">
        <v>383</v>
      </c>
      <c r="D111" s="1" t="s">
        <v>177</v>
      </c>
      <c r="E111" s="12">
        <v>3.2647192909160001</v>
      </c>
      <c r="F111" s="13">
        <v>4</v>
      </c>
      <c r="G111" s="14">
        <v>26</v>
      </c>
      <c r="H111" s="40"/>
      <c r="I111" s="36">
        <f t="shared" si="32"/>
        <v>0</v>
      </c>
      <c r="L111" s="61" t="str">
        <f t="shared" si="18"/>
        <v>-</v>
      </c>
      <c r="M111" s="61" t="str">
        <f t="shared" si="19"/>
        <v>-</v>
      </c>
      <c r="N111" s="50" t="str">
        <f t="shared" si="20"/>
        <v>-</v>
      </c>
      <c r="O111" s="62" t="str">
        <f t="shared" si="21"/>
        <v>-</v>
      </c>
      <c r="P111" s="54"/>
      <c r="Q111" s="62" t="str">
        <f t="shared" si="22"/>
        <v>-</v>
      </c>
    </row>
    <row r="112" spans="1:17" ht="23.4" x14ac:dyDescent="0.35">
      <c r="A112" s="16" t="s">
        <v>92</v>
      </c>
      <c r="B112" s="10">
        <v>196671004864</v>
      </c>
      <c r="C112" s="44" t="s">
        <v>384</v>
      </c>
      <c r="D112" s="1" t="s">
        <v>177</v>
      </c>
      <c r="E112" s="12">
        <v>6.2404213158270005</v>
      </c>
      <c r="F112" s="13">
        <v>2</v>
      </c>
      <c r="G112" s="14">
        <v>42.25</v>
      </c>
      <c r="H112" s="40"/>
      <c r="I112" s="36">
        <f t="shared" si="32"/>
        <v>0</v>
      </c>
      <c r="L112" s="61" t="str">
        <f t="shared" si="18"/>
        <v>-</v>
      </c>
      <c r="M112" s="61" t="str">
        <f t="shared" si="19"/>
        <v>-</v>
      </c>
      <c r="N112" s="50" t="str">
        <f t="shared" si="20"/>
        <v>-</v>
      </c>
      <c r="O112" s="62" t="str">
        <f t="shared" si="21"/>
        <v>-</v>
      </c>
      <c r="P112" s="54"/>
      <c r="Q112" s="62" t="str">
        <f t="shared" si="22"/>
        <v>-</v>
      </c>
    </row>
    <row r="113" spans="1:17" ht="23.4" x14ac:dyDescent="0.35">
      <c r="A113" s="16" t="s">
        <v>93</v>
      </c>
      <c r="B113" s="10">
        <v>196671004857</v>
      </c>
      <c r="C113" s="44" t="s">
        <v>385</v>
      </c>
      <c r="D113" s="1" t="s">
        <v>177</v>
      </c>
      <c r="E113" s="12">
        <v>6.2404213158270005</v>
      </c>
      <c r="F113" s="13">
        <v>2</v>
      </c>
      <c r="G113" s="14">
        <v>42.25</v>
      </c>
      <c r="H113" s="40"/>
      <c r="I113" s="36">
        <f t="shared" si="32"/>
        <v>0</v>
      </c>
      <c r="L113" s="61" t="str">
        <f t="shared" si="18"/>
        <v>-</v>
      </c>
      <c r="M113" s="61" t="str">
        <f t="shared" si="19"/>
        <v>-</v>
      </c>
      <c r="N113" s="50" t="str">
        <f t="shared" si="20"/>
        <v>-</v>
      </c>
      <c r="O113" s="62" t="str">
        <f t="shared" si="21"/>
        <v>-</v>
      </c>
      <c r="P113" s="54"/>
      <c r="Q113" s="62" t="str">
        <f t="shared" si="22"/>
        <v>-</v>
      </c>
    </row>
    <row r="114" spans="1:17" ht="23.4" x14ac:dyDescent="0.35">
      <c r="A114" s="16" t="s">
        <v>144</v>
      </c>
      <c r="B114" s="10">
        <v>196671003065</v>
      </c>
      <c r="C114" s="44" t="s">
        <v>386</v>
      </c>
      <c r="D114" s="1" t="s">
        <v>177</v>
      </c>
      <c r="E114" s="12">
        <v>6.2249764956284999</v>
      </c>
      <c r="F114" s="13">
        <v>2</v>
      </c>
      <c r="G114" s="14">
        <v>42.25</v>
      </c>
      <c r="H114" s="40"/>
      <c r="I114" s="36">
        <f t="shared" si="32"/>
        <v>0</v>
      </c>
      <c r="L114" s="61" t="str">
        <f t="shared" si="18"/>
        <v>-</v>
      </c>
      <c r="M114" s="61" t="str">
        <f t="shared" si="19"/>
        <v>-</v>
      </c>
      <c r="N114" s="50" t="str">
        <f t="shared" si="20"/>
        <v>-</v>
      </c>
      <c r="O114" s="62" t="str">
        <f t="shared" si="21"/>
        <v>-</v>
      </c>
      <c r="P114" s="54"/>
      <c r="Q114" s="62" t="str">
        <f t="shared" si="22"/>
        <v>-</v>
      </c>
    </row>
    <row r="115" spans="1:17" s="22" customFormat="1" ht="23.4" x14ac:dyDescent="0.35">
      <c r="A115" s="17" t="s">
        <v>145</v>
      </c>
      <c r="B115" s="11">
        <v>196671003072</v>
      </c>
      <c r="C115" s="44" t="s">
        <v>387</v>
      </c>
      <c r="D115" s="1" t="s">
        <v>177</v>
      </c>
      <c r="E115" s="12">
        <v>6.1529006680355005</v>
      </c>
      <c r="F115" s="13">
        <v>2</v>
      </c>
      <c r="G115" s="14">
        <v>42.25</v>
      </c>
      <c r="H115" s="40"/>
      <c r="I115" s="36">
        <f t="shared" ref="I115:I123" si="33">H115*G115</f>
        <v>0</v>
      </c>
      <c r="L115" s="61" t="str">
        <f t="shared" si="18"/>
        <v>-</v>
      </c>
      <c r="M115" s="61" t="str">
        <f t="shared" si="19"/>
        <v>-</v>
      </c>
      <c r="N115" s="50" t="str">
        <f t="shared" si="20"/>
        <v>-</v>
      </c>
      <c r="O115" s="62" t="str">
        <f t="shared" si="21"/>
        <v>-</v>
      </c>
      <c r="P115" s="54"/>
      <c r="Q115" s="62" t="str">
        <f t="shared" si="22"/>
        <v>-</v>
      </c>
    </row>
    <row r="116" spans="1:17" s="22" customFormat="1" ht="23.4" x14ac:dyDescent="0.35">
      <c r="A116" s="17" t="s">
        <v>51</v>
      </c>
      <c r="B116" s="11">
        <v>196671006622</v>
      </c>
      <c r="C116" s="44" t="s">
        <v>388</v>
      </c>
      <c r="D116" s="1" t="s">
        <v>177</v>
      </c>
      <c r="E116" s="12">
        <v>6.2970523232215001</v>
      </c>
      <c r="F116" s="13">
        <v>2</v>
      </c>
      <c r="G116" s="14">
        <v>42.25</v>
      </c>
      <c r="H116" s="40"/>
      <c r="I116" s="36">
        <f t="shared" si="33"/>
        <v>0</v>
      </c>
      <c r="L116" s="61" t="str">
        <f t="shared" si="18"/>
        <v>-</v>
      </c>
      <c r="M116" s="61" t="str">
        <f t="shared" si="19"/>
        <v>-</v>
      </c>
      <c r="N116" s="50" t="str">
        <f t="shared" si="20"/>
        <v>-</v>
      </c>
      <c r="O116" s="62" t="str">
        <f t="shared" si="21"/>
        <v>-</v>
      </c>
      <c r="P116" s="54"/>
      <c r="Q116" s="62" t="str">
        <f t="shared" si="22"/>
        <v>-</v>
      </c>
    </row>
    <row r="117" spans="1:17" s="22" customFormat="1" ht="23.4" x14ac:dyDescent="0.35">
      <c r="A117" s="17" t="s">
        <v>143</v>
      </c>
      <c r="B117" s="11">
        <v>196671009920</v>
      </c>
      <c r="C117" s="44" t="s">
        <v>389</v>
      </c>
      <c r="D117" s="1" t="s">
        <v>210</v>
      </c>
      <c r="E117" s="12">
        <v>0.85125000000000006</v>
      </c>
      <c r="F117" s="13">
        <v>12</v>
      </c>
      <c r="G117" s="14">
        <v>22.230000000000004</v>
      </c>
      <c r="H117" s="40"/>
      <c r="I117" s="36">
        <f t="shared" si="33"/>
        <v>0</v>
      </c>
      <c r="L117" s="61" t="str">
        <f t="shared" si="18"/>
        <v>-</v>
      </c>
      <c r="M117" s="61" t="str">
        <f t="shared" si="19"/>
        <v>-</v>
      </c>
      <c r="N117" s="50" t="str">
        <f t="shared" si="20"/>
        <v>-</v>
      </c>
      <c r="O117" s="62" t="str">
        <f t="shared" si="21"/>
        <v>-</v>
      </c>
      <c r="P117" s="54"/>
      <c r="Q117" s="62" t="str">
        <f t="shared" si="22"/>
        <v>-</v>
      </c>
    </row>
    <row r="118" spans="1:17" s="22" customFormat="1" ht="23.4" x14ac:dyDescent="0.35">
      <c r="A118" s="17" t="s">
        <v>142</v>
      </c>
      <c r="B118" s="11">
        <v>196671009937</v>
      </c>
      <c r="C118" s="44" t="s">
        <v>390</v>
      </c>
      <c r="D118" s="1" t="s">
        <v>210</v>
      </c>
      <c r="E118" s="12">
        <v>0.81719999999999993</v>
      </c>
      <c r="F118" s="13">
        <v>12</v>
      </c>
      <c r="G118" s="14">
        <v>22.230000000000004</v>
      </c>
      <c r="H118" s="40"/>
      <c r="I118" s="36">
        <f t="shared" si="33"/>
        <v>0</v>
      </c>
      <c r="L118" s="61" t="str">
        <f t="shared" si="18"/>
        <v>-</v>
      </c>
      <c r="M118" s="61" t="str">
        <f t="shared" si="19"/>
        <v>-</v>
      </c>
      <c r="N118" s="50" t="str">
        <f t="shared" si="20"/>
        <v>-</v>
      </c>
      <c r="O118" s="62" t="str">
        <f t="shared" si="21"/>
        <v>-</v>
      </c>
      <c r="P118" s="54"/>
      <c r="Q118" s="62" t="str">
        <f t="shared" si="22"/>
        <v>-</v>
      </c>
    </row>
    <row r="119" spans="1:17" s="22" customFormat="1" ht="23.4" x14ac:dyDescent="0.35">
      <c r="A119" s="17" t="s">
        <v>139</v>
      </c>
      <c r="B119" s="11">
        <v>196671009944</v>
      </c>
      <c r="C119" s="44" t="s">
        <v>391</v>
      </c>
      <c r="D119" s="1" t="s">
        <v>210</v>
      </c>
      <c r="E119" s="12">
        <v>0.83422499999999999</v>
      </c>
      <c r="F119" s="13">
        <v>12</v>
      </c>
      <c r="G119" s="14">
        <v>22.230000000000004</v>
      </c>
      <c r="H119" s="40"/>
      <c r="I119" s="36">
        <f t="shared" si="33"/>
        <v>0</v>
      </c>
      <c r="L119" s="61" t="str">
        <f t="shared" si="18"/>
        <v>-</v>
      </c>
      <c r="M119" s="61" t="str">
        <f t="shared" si="19"/>
        <v>-</v>
      </c>
      <c r="N119" s="50" t="str">
        <f t="shared" si="20"/>
        <v>-</v>
      </c>
      <c r="O119" s="62" t="str">
        <f t="shared" si="21"/>
        <v>-</v>
      </c>
      <c r="P119" s="54"/>
      <c r="Q119" s="62" t="str">
        <f t="shared" si="22"/>
        <v>-</v>
      </c>
    </row>
    <row r="120" spans="1:17" s="22" customFormat="1" ht="23.4" x14ac:dyDescent="0.35">
      <c r="A120" s="17" t="s">
        <v>140</v>
      </c>
      <c r="B120" s="11">
        <v>196671009951</v>
      </c>
      <c r="C120" s="44" t="s">
        <v>392</v>
      </c>
      <c r="D120" s="1" t="s">
        <v>210</v>
      </c>
      <c r="E120" s="12">
        <v>0.83422499999999999</v>
      </c>
      <c r="F120" s="13">
        <v>12</v>
      </c>
      <c r="G120" s="14">
        <v>22.230000000000004</v>
      </c>
      <c r="H120" s="40"/>
      <c r="I120" s="36">
        <f t="shared" si="33"/>
        <v>0</v>
      </c>
      <c r="L120" s="61" t="str">
        <f t="shared" si="18"/>
        <v>-</v>
      </c>
      <c r="M120" s="61" t="str">
        <f t="shared" si="19"/>
        <v>-</v>
      </c>
      <c r="N120" s="50" t="str">
        <f t="shared" si="20"/>
        <v>-</v>
      </c>
      <c r="O120" s="62" t="str">
        <f t="shared" si="21"/>
        <v>-</v>
      </c>
      <c r="P120" s="54"/>
      <c r="Q120" s="62" t="str">
        <f t="shared" si="22"/>
        <v>-</v>
      </c>
    </row>
    <row r="121" spans="1:17" s="22" customFormat="1" ht="23.4" x14ac:dyDescent="0.35">
      <c r="A121" s="17" t="s">
        <v>141</v>
      </c>
      <c r="B121" s="11">
        <v>196671009968</v>
      </c>
      <c r="C121" s="44" t="s">
        <v>393</v>
      </c>
      <c r="D121" s="1" t="s">
        <v>210</v>
      </c>
      <c r="E121" s="12">
        <v>0.81719999999999993</v>
      </c>
      <c r="F121" s="13">
        <v>12</v>
      </c>
      <c r="G121" s="14">
        <v>22.230000000000004</v>
      </c>
      <c r="H121" s="40"/>
      <c r="I121" s="36">
        <f t="shared" si="33"/>
        <v>0</v>
      </c>
      <c r="L121" s="61" t="str">
        <f t="shared" si="18"/>
        <v>-</v>
      </c>
      <c r="M121" s="61" t="str">
        <f t="shared" si="19"/>
        <v>-</v>
      </c>
      <c r="N121" s="50" t="str">
        <f t="shared" si="20"/>
        <v>-</v>
      </c>
      <c r="O121" s="62" t="str">
        <f t="shared" si="21"/>
        <v>-</v>
      </c>
      <c r="P121" s="54"/>
      <c r="Q121" s="62" t="str">
        <f t="shared" si="22"/>
        <v>-</v>
      </c>
    </row>
    <row r="122" spans="1:17" s="22" customFormat="1" ht="23.4" x14ac:dyDescent="0.35">
      <c r="A122" s="17" t="s">
        <v>187</v>
      </c>
      <c r="B122" s="11">
        <v>196671003096</v>
      </c>
      <c r="C122" s="44" t="s">
        <v>394</v>
      </c>
      <c r="D122" s="1" t="s">
        <v>210</v>
      </c>
      <c r="E122" s="12">
        <v>0.81719999999999993</v>
      </c>
      <c r="F122" s="13">
        <v>12</v>
      </c>
      <c r="G122" s="14">
        <v>22.230000000000004</v>
      </c>
      <c r="H122" s="40"/>
      <c r="I122" s="36">
        <f t="shared" si="33"/>
        <v>0</v>
      </c>
      <c r="L122" s="61" t="str">
        <f t="shared" ref="L122:L185" si="34">IFERROR(IF($L$2*E122=0, "-", $L$2*E122), "-")</f>
        <v>-</v>
      </c>
      <c r="M122" s="61" t="str">
        <f t="shared" ref="M122:M185" si="35">IFERROR(IF(L122&gt;0,G122+L122,"-"),"-")</f>
        <v>-</v>
      </c>
      <c r="N122" s="50" t="str">
        <f t="shared" ref="N122:N185" si="36">IF(H122&gt;0,H122*E122, "-")</f>
        <v>-</v>
      </c>
      <c r="O122" s="62" t="str">
        <f t="shared" ref="O122:O185" si="37">IFERROR(IF($L$2&gt;0, $L$2*N122, "-"), "-")</f>
        <v>-</v>
      </c>
      <c r="P122" s="54"/>
      <c r="Q122" s="62" t="str">
        <f t="shared" ref="Q122:Q185" si="38">IFERROR(IF(O122+I122=0, "-", IF(O122&gt;0, O122+I122, "-")), "-")</f>
        <v>-</v>
      </c>
    </row>
    <row r="123" spans="1:17" s="22" customFormat="1" ht="23.4" x14ac:dyDescent="0.35">
      <c r="A123" s="17" t="s">
        <v>225</v>
      </c>
      <c r="B123" s="11">
        <v>196671003447</v>
      </c>
      <c r="C123" s="44" t="s">
        <v>395</v>
      </c>
      <c r="D123" s="1" t="s">
        <v>210</v>
      </c>
      <c r="E123" s="12">
        <v>0.81719999999999993</v>
      </c>
      <c r="F123" s="13">
        <v>12</v>
      </c>
      <c r="G123" s="14">
        <v>22.230000000000004</v>
      </c>
      <c r="H123" s="40"/>
      <c r="I123" s="36">
        <f t="shared" si="33"/>
        <v>0</v>
      </c>
      <c r="L123" s="61" t="str">
        <f t="shared" si="34"/>
        <v>-</v>
      </c>
      <c r="M123" s="61" t="str">
        <f t="shared" si="35"/>
        <v>-</v>
      </c>
      <c r="N123" s="50" t="str">
        <f t="shared" si="36"/>
        <v>-</v>
      </c>
      <c r="O123" s="62" t="str">
        <f t="shared" si="37"/>
        <v>-</v>
      </c>
      <c r="P123" s="54"/>
      <c r="Q123" s="62" t="str">
        <f t="shared" si="38"/>
        <v>-</v>
      </c>
    </row>
    <row r="124" spans="1:17" ht="23.4" x14ac:dyDescent="0.35">
      <c r="A124" s="17" t="s">
        <v>226</v>
      </c>
      <c r="B124" s="11">
        <v>196671003454</v>
      </c>
      <c r="C124" s="44" t="s">
        <v>396</v>
      </c>
      <c r="D124" s="1" t="s">
        <v>210</v>
      </c>
      <c r="E124" s="12">
        <v>0.81719999999999993</v>
      </c>
      <c r="F124" s="13">
        <v>12</v>
      </c>
      <c r="G124" s="14">
        <v>22.230000000000004</v>
      </c>
      <c r="H124" s="40"/>
      <c r="I124" s="36">
        <f t="shared" ref="I124:I128" si="39">H124*G124</f>
        <v>0</v>
      </c>
      <c r="L124" s="61" t="str">
        <f t="shared" si="34"/>
        <v>-</v>
      </c>
      <c r="M124" s="61" t="str">
        <f t="shared" si="35"/>
        <v>-</v>
      </c>
      <c r="N124" s="50" t="str">
        <f t="shared" si="36"/>
        <v>-</v>
      </c>
      <c r="O124" s="62" t="str">
        <f t="shared" si="37"/>
        <v>-</v>
      </c>
      <c r="P124" s="54"/>
      <c r="Q124" s="62" t="str">
        <f t="shared" si="38"/>
        <v>-</v>
      </c>
    </row>
    <row r="125" spans="1:17" ht="23.4" x14ac:dyDescent="0.35">
      <c r="A125" s="17" t="s">
        <v>227</v>
      </c>
      <c r="B125" s="11">
        <v>196671003461</v>
      </c>
      <c r="C125" s="44" t="s">
        <v>397</v>
      </c>
      <c r="D125" s="1" t="s">
        <v>210</v>
      </c>
      <c r="E125" s="12">
        <v>0.81719999999999993</v>
      </c>
      <c r="F125" s="13">
        <v>12</v>
      </c>
      <c r="G125" s="14">
        <v>22.230000000000004</v>
      </c>
      <c r="H125" s="40"/>
      <c r="I125" s="36">
        <f t="shared" si="39"/>
        <v>0</v>
      </c>
      <c r="L125" s="61" t="str">
        <f t="shared" si="34"/>
        <v>-</v>
      </c>
      <c r="M125" s="61" t="str">
        <f t="shared" si="35"/>
        <v>-</v>
      </c>
      <c r="N125" s="50" t="str">
        <f t="shared" si="36"/>
        <v>-</v>
      </c>
      <c r="O125" s="62" t="str">
        <f t="shared" si="37"/>
        <v>-</v>
      </c>
      <c r="P125" s="54"/>
      <c r="Q125" s="62" t="str">
        <f t="shared" si="38"/>
        <v>-</v>
      </c>
    </row>
    <row r="126" spans="1:17" ht="23.4" x14ac:dyDescent="0.35">
      <c r="A126" s="17" t="s">
        <v>178</v>
      </c>
      <c r="B126" s="11">
        <v>196671003089</v>
      </c>
      <c r="C126" s="44" t="s">
        <v>398</v>
      </c>
      <c r="D126" s="1" t="s">
        <v>252</v>
      </c>
      <c r="E126" s="12">
        <v>0.68099999999999994</v>
      </c>
      <c r="F126" s="13">
        <v>12</v>
      </c>
      <c r="G126" s="14">
        <v>12.870000000000001</v>
      </c>
      <c r="H126" s="40"/>
      <c r="I126" s="36">
        <f t="shared" si="39"/>
        <v>0</v>
      </c>
      <c r="L126" s="61" t="str">
        <f t="shared" si="34"/>
        <v>-</v>
      </c>
      <c r="M126" s="61" t="str">
        <f t="shared" si="35"/>
        <v>-</v>
      </c>
      <c r="N126" s="50" t="str">
        <f t="shared" si="36"/>
        <v>-</v>
      </c>
      <c r="O126" s="62" t="str">
        <f t="shared" si="37"/>
        <v>-</v>
      </c>
      <c r="P126" s="54"/>
      <c r="Q126" s="62" t="str">
        <f t="shared" si="38"/>
        <v>-</v>
      </c>
    </row>
    <row r="127" spans="1:17" ht="23.4" x14ac:dyDescent="0.35">
      <c r="A127" s="17" t="s">
        <v>179</v>
      </c>
      <c r="B127" s="11">
        <v>196671005175</v>
      </c>
      <c r="C127" s="44" t="s">
        <v>399</v>
      </c>
      <c r="D127" s="1" t="s">
        <v>252</v>
      </c>
      <c r="E127" s="12">
        <v>0.69802500000000001</v>
      </c>
      <c r="F127" s="13">
        <v>12</v>
      </c>
      <c r="G127" s="14">
        <v>12.870000000000001</v>
      </c>
      <c r="H127" s="40"/>
      <c r="I127" s="36">
        <f t="shared" si="39"/>
        <v>0</v>
      </c>
      <c r="L127" s="61" t="str">
        <f t="shared" si="34"/>
        <v>-</v>
      </c>
      <c r="M127" s="61" t="str">
        <f t="shared" si="35"/>
        <v>-</v>
      </c>
      <c r="N127" s="50" t="str">
        <f t="shared" si="36"/>
        <v>-</v>
      </c>
      <c r="O127" s="62" t="str">
        <f t="shared" si="37"/>
        <v>-</v>
      </c>
      <c r="P127" s="54"/>
      <c r="Q127" s="62" t="str">
        <f t="shared" si="38"/>
        <v>-</v>
      </c>
    </row>
    <row r="128" spans="1:17" ht="23.4" x14ac:dyDescent="0.35">
      <c r="A128" s="17" t="s">
        <v>180</v>
      </c>
      <c r="B128" s="11">
        <v>196671005182</v>
      </c>
      <c r="C128" s="44" t="s">
        <v>400</v>
      </c>
      <c r="D128" s="1" t="s">
        <v>252</v>
      </c>
      <c r="E128" s="12">
        <v>0.69802500000000001</v>
      </c>
      <c r="F128" s="13">
        <v>12</v>
      </c>
      <c r="G128" s="14">
        <v>12.870000000000001</v>
      </c>
      <c r="H128" s="40"/>
      <c r="I128" s="36">
        <f t="shared" si="39"/>
        <v>0</v>
      </c>
      <c r="L128" s="61" t="str">
        <f t="shared" si="34"/>
        <v>-</v>
      </c>
      <c r="M128" s="61" t="str">
        <f t="shared" si="35"/>
        <v>-</v>
      </c>
      <c r="N128" s="50" t="str">
        <f t="shared" si="36"/>
        <v>-</v>
      </c>
      <c r="O128" s="62" t="str">
        <f t="shared" si="37"/>
        <v>-</v>
      </c>
      <c r="P128" s="54"/>
      <c r="Q128" s="62" t="str">
        <f t="shared" si="38"/>
        <v>-</v>
      </c>
    </row>
    <row r="129" spans="1:17" s="22" customFormat="1" ht="23.4" x14ac:dyDescent="0.35">
      <c r="A129" s="15" t="s">
        <v>181</v>
      </c>
      <c r="B129" s="8">
        <v>196671005199</v>
      </c>
      <c r="C129" s="44" t="s">
        <v>401</v>
      </c>
      <c r="D129" s="2" t="s">
        <v>252</v>
      </c>
      <c r="E129" s="12">
        <v>0.66397499999999998</v>
      </c>
      <c r="F129" s="13">
        <v>12</v>
      </c>
      <c r="G129" s="14">
        <v>12.870000000000001</v>
      </c>
      <c r="H129" s="39"/>
      <c r="I129" s="36">
        <f t="shared" ref="I129:I132" si="40">H129*G129</f>
        <v>0</v>
      </c>
      <c r="L129" s="61" t="str">
        <f t="shared" si="34"/>
        <v>-</v>
      </c>
      <c r="M129" s="61" t="str">
        <f t="shared" si="35"/>
        <v>-</v>
      </c>
      <c r="N129" s="50" t="str">
        <f t="shared" si="36"/>
        <v>-</v>
      </c>
      <c r="O129" s="62" t="str">
        <f t="shared" si="37"/>
        <v>-</v>
      </c>
      <c r="P129" s="54"/>
      <c r="Q129" s="62" t="str">
        <f t="shared" si="38"/>
        <v>-</v>
      </c>
    </row>
    <row r="130" spans="1:17" s="22" customFormat="1" ht="23.4" x14ac:dyDescent="0.35">
      <c r="A130" s="15" t="s">
        <v>182</v>
      </c>
      <c r="B130" s="8">
        <v>196671005205</v>
      </c>
      <c r="C130" s="44" t="s">
        <v>402</v>
      </c>
      <c r="D130" s="2" t="s">
        <v>252</v>
      </c>
      <c r="E130" s="12">
        <v>0.64695000000000003</v>
      </c>
      <c r="F130" s="13">
        <v>12</v>
      </c>
      <c r="G130" s="14">
        <v>12.870000000000001</v>
      </c>
      <c r="H130" s="39"/>
      <c r="I130" s="36">
        <f t="shared" si="40"/>
        <v>0</v>
      </c>
      <c r="L130" s="61" t="str">
        <f t="shared" si="34"/>
        <v>-</v>
      </c>
      <c r="M130" s="61" t="str">
        <f t="shared" si="35"/>
        <v>-</v>
      </c>
      <c r="N130" s="50" t="str">
        <f t="shared" si="36"/>
        <v>-</v>
      </c>
      <c r="O130" s="62" t="str">
        <f t="shared" si="37"/>
        <v>-</v>
      </c>
      <c r="P130" s="54"/>
      <c r="Q130" s="62" t="str">
        <f t="shared" si="38"/>
        <v>-</v>
      </c>
    </row>
    <row r="131" spans="1:17" s="22" customFormat="1" ht="23.4" x14ac:dyDescent="0.35">
      <c r="A131" s="15" t="s">
        <v>110</v>
      </c>
      <c r="B131" s="8">
        <v>196671008763</v>
      </c>
      <c r="C131" s="44" t="s">
        <v>403</v>
      </c>
      <c r="D131" s="2" t="s">
        <v>211</v>
      </c>
      <c r="E131" s="12">
        <v>0.64695000000000003</v>
      </c>
      <c r="F131" s="13">
        <v>12</v>
      </c>
      <c r="G131" s="14">
        <v>12.870000000000001</v>
      </c>
      <c r="H131" s="39"/>
      <c r="I131" s="36">
        <f t="shared" si="40"/>
        <v>0</v>
      </c>
      <c r="L131" s="61" t="str">
        <f t="shared" si="34"/>
        <v>-</v>
      </c>
      <c r="M131" s="61" t="str">
        <f t="shared" si="35"/>
        <v>-</v>
      </c>
      <c r="N131" s="50" t="str">
        <f t="shared" si="36"/>
        <v>-</v>
      </c>
      <c r="O131" s="62" t="str">
        <f t="shared" si="37"/>
        <v>-</v>
      </c>
      <c r="P131" s="54"/>
      <c r="Q131" s="62" t="str">
        <f t="shared" si="38"/>
        <v>-</v>
      </c>
    </row>
    <row r="132" spans="1:17" s="22" customFormat="1" ht="23.4" x14ac:dyDescent="0.35">
      <c r="A132" s="15" t="s">
        <v>111</v>
      </c>
      <c r="B132" s="8">
        <v>196671008770</v>
      </c>
      <c r="C132" s="44" t="s">
        <v>404</v>
      </c>
      <c r="D132" s="2" t="s">
        <v>211</v>
      </c>
      <c r="E132" s="12">
        <v>0.6129</v>
      </c>
      <c r="F132" s="13">
        <v>12</v>
      </c>
      <c r="G132" s="14">
        <v>12.870000000000001</v>
      </c>
      <c r="H132" s="39"/>
      <c r="I132" s="36">
        <f t="shared" si="40"/>
        <v>0</v>
      </c>
      <c r="L132" s="61" t="str">
        <f t="shared" si="34"/>
        <v>-</v>
      </c>
      <c r="M132" s="61" t="str">
        <f t="shared" si="35"/>
        <v>-</v>
      </c>
      <c r="N132" s="50" t="str">
        <f t="shared" si="36"/>
        <v>-</v>
      </c>
      <c r="O132" s="62" t="str">
        <f t="shared" si="37"/>
        <v>-</v>
      </c>
      <c r="P132" s="54"/>
      <c r="Q132" s="62" t="str">
        <f t="shared" si="38"/>
        <v>-</v>
      </c>
    </row>
    <row r="133" spans="1:17" s="22" customFormat="1" ht="23.4" x14ac:dyDescent="0.35">
      <c r="A133" s="33" t="s">
        <v>112</v>
      </c>
      <c r="B133" s="10">
        <v>196671008787</v>
      </c>
      <c r="C133" s="44" t="s">
        <v>405</v>
      </c>
      <c r="D133" s="1" t="s">
        <v>211</v>
      </c>
      <c r="E133" s="12">
        <v>0.6129</v>
      </c>
      <c r="F133" s="13">
        <v>12</v>
      </c>
      <c r="G133" s="14">
        <v>12.870000000000001</v>
      </c>
      <c r="H133" s="40"/>
      <c r="I133" s="36">
        <f t="shared" ref="I133:I140" si="41">H133*G133</f>
        <v>0</v>
      </c>
      <c r="L133" s="61" t="str">
        <f t="shared" si="34"/>
        <v>-</v>
      </c>
      <c r="M133" s="61" t="str">
        <f t="shared" si="35"/>
        <v>-</v>
      </c>
      <c r="N133" s="50" t="str">
        <f t="shared" si="36"/>
        <v>-</v>
      </c>
      <c r="O133" s="62" t="str">
        <f t="shared" si="37"/>
        <v>-</v>
      </c>
      <c r="P133" s="54"/>
      <c r="Q133" s="62" t="str">
        <f t="shared" si="38"/>
        <v>-</v>
      </c>
    </row>
    <row r="134" spans="1:17" s="22" customFormat="1" ht="23.4" x14ac:dyDescent="0.35">
      <c r="A134" s="33" t="s">
        <v>188</v>
      </c>
      <c r="B134" s="10">
        <v>196671003331</v>
      </c>
      <c r="C134" s="44" t="s">
        <v>406</v>
      </c>
      <c r="D134" s="1" t="s">
        <v>211</v>
      </c>
      <c r="E134" s="12">
        <v>0.6129</v>
      </c>
      <c r="F134" s="13">
        <v>12</v>
      </c>
      <c r="G134" s="14">
        <v>12.870000000000001</v>
      </c>
      <c r="H134" s="40"/>
      <c r="I134" s="36">
        <f t="shared" si="41"/>
        <v>0</v>
      </c>
      <c r="L134" s="61" t="str">
        <f t="shared" si="34"/>
        <v>-</v>
      </c>
      <c r="M134" s="61" t="str">
        <f t="shared" si="35"/>
        <v>-</v>
      </c>
      <c r="N134" s="50" t="str">
        <f t="shared" si="36"/>
        <v>-</v>
      </c>
      <c r="O134" s="62" t="str">
        <f t="shared" si="37"/>
        <v>-</v>
      </c>
      <c r="P134" s="54"/>
      <c r="Q134" s="62" t="str">
        <f t="shared" si="38"/>
        <v>-</v>
      </c>
    </row>
    <row r="135" spans="1:17" s="22" customFormat="1" ht="23.4" x14ac:dyDescent="0.35">
      <c r="A135" s="33" t="s">
        <v>189</v>
      </c>
      <c r="B135" s="10">
        <v>196671003386</v>
      </c>
      <c r="C135" s="44" t="s">
        <v>407</v>
      </c>
      <c r="D135" s="1" t="s">
        <v>212</v>
      </c>
      <c r="E135" s="12">
        <v>0.64695000000000003</v>
      </c>
      <c r="F135" s="13">
        <v>12</v>
      </c>
      <c r="G135" s="14">
        <v>12.285</v>
      </c>
      <c r="H135" s="40"/>
      <c r="I135" s="36">
        <f t="shared" si="41"/>
        <v>0</v>
      </c>
      <c r="L135" s="61" t="str">
        <f t="shared" si="34"/>
        <v>-</v>
      </c>
      <c r="M135" s="61" t="str">
        <f t="shared" si="35"/>
        <v>-</v>
      </c>
      <c r="N135" s="50" t="str">
        <f t="shared" si="36"/>
        <v>-</v>
      </c>
      <c r="O135" s="62" t="str">
        <f t="shared" si="37"/>
        <v>-</v>
      </c>
      <c r="P135" s="54"/>
      <c r="Q135" s="62" t="str">
        <f t="shared" si="38"/>
        <v>-</v>
      </c>
    </row>
    <row r="136" spans="1:17" ht="23.4" x14ac:dyDescent="0.35">
      <c r="A136" s="33" t="s">
        <v>190</v>
      </c>
      <c r="B136" s="10">
        <v>196671003393</v>
      </c>
      <c r="C136" s="44" t="s">
        <v>408</v>
      </c>
      <c r="D136" s="1" t="s">
        <v>212</v>
      </c>
      <c r="E136" s="12">
        <v>0.64695000000000003</v>
      </c>
      <c r="F136" s="13">
        <v>12</v>
      </c>
      <c r="G136" s="14">
        <v>12.285</v>
      </c>
      <c r="H136" s="40"/>
      <c r="I136" s="36">
        <f t="shared" si="41"/>
        <v>0</v>
      </c>
      <c r="L136" s="61" t="str">
        <f t="shared" si="34"/>
        <v>-</v>
      </c>
      <c r="M136" s="61" t="str">
        <f t="shared" si="35"/>
        <v>-</v>
      </c>
      <c r="N136" s="50" t="str">
        <f t="shared" si="36"/>
        <v>-</v>
      </c>
      <c r="O136" s="62" t="str">
        <f t="shared" si="37"/>
        <v>-</v>
      </c>
      <c r="P136" s="54"/>
      <c r="Q136" s="62" t="str">
        <f t="shared" si="38"/>
        <v>-</v>
      </c>
    </row>
    <row r="137" spans="1:17" ht="23.4" x14ac:dyDescent="0.35">
      <c r="A137" s="33" t="s">
        <v>191</v>
      </c>
      <c r="B137" s="10">
        <v>196671003348</v>
      </c>
      <c r="C137" s="44" t="s">
        <v>409</v>
      </c>
      <c r="D137" s="1" t="s">
        <v>212</v>
      </c>
      <c r="E137" s="12">
        <v>0.64695000000000003</v>
      </c>
      <c r="F137" s="13">
        <v>12</v>
      </c>
      <c r="G137" s="14">
        <v>12.285</v>
      </c>
      <c r="H137" s="40"/>
      <c r="I137" s="36">
        <f t="shared" si="41"/>
        <v>0</v>
      </c>
      <c r="L137" s="61" t="str">
        <f t="shared" si="34"/>
        <v>-</v>
      </c>
      <c r="M137" s="61" t="str">
        <f t="shared" si="35"/>
        <v>-</v>
      </c>
      <c r="N137" s="50" t="str">
        <f t="shared" si="36"/>
        <v>-</v>
      </c>
      <c r="O137" s="62" t="str">
        <f t="shared" si="37"/>
        <v>-</v>
      </c>
      <c r="P137" s="54"/>
      <c r="Q137" s="62" t="str">
        <f t="shared" si="38"/>
        <v>-</v>
      </c>
    </row>
    <row r="138" spans="1:17" ht="23.4" x14ac:dyDescent="0.35">
      <c r="A138" s="33" t="s">
        <v>192</v>
      </c>
      <c r="B138" s="10">
        <v>196671003362</v>
      </c>
      <c r="C138" s="44" t="s">
        <v>410</v>
      </c>
      <c r="D138" s="1" t="s">
        <v>212</v>
      </c>
      <c r="E138" s="12">
        <v>0.64695000000000003</v>
      </c>
      <c r="F138" s="13">
        <v>12</v>
      </c>
      <c r="G138" s="14">
        <v>12.285</v>
      </c>
      <c r="H138" s="40"/>
      <c r="I138" s="36">
        <f t="shared" si="41"/>
        <v>0</v>
      </c>
      <c r="L138" s="61" t="str">
        <f t="shared" si="34"/>
        <v>-</v>
      </c>
      <c r="M138" s="61" t="str">
        <f t="shared" si="35"/>
        <v>-</v>
      </c>
      <c r="N138" s="50" t="str">
        <f t="shared" si="36"/>
        <v>-</v>
      </c>
      <c r="O138" s="62" t="str">
        <f t="shared" si="37"/>
        <v>-</v>
      </c>
      <c r="P138" s="54"/>
      <c r="Q138" s="62" t="str">
        <f t="shared" si="38"/>
        <v>-</v>
      </c>
    </row>
    <row r="139" spans="1:17" s="22" customFormat="1" ht="23.4" x14ac:dyDescent="0.35">
      <c r="A139" s="33" t="s">
        <v>193</v>
      </c>
      <c r="B139" s="10">
        <v>196671003416</v>
      </c>
      <c r="C139" s="44" t="s">
        <v>411</v>
      </c>
      <c r="D139" s="1" t="s">
        <v>212</v>
      </c>
      <c r="E139" s="12">
        <v>0.64695000000000003</v>
      </c>
      <c r="F139" s="13">
        <v>12</v>
      </c>
      <c r="G139" s="14">
        <v>12.285</v>
      </c>
      <c r="H139" s="40"/>
      <c r="I139" s="36">
        <f t="shared" si="41"/>
        <v>0</v>
      </c>
      <c r="L139" s="61" t="str">
        <f t="shared" si="34"/>
        <v>-</v>
      </c>
      <c r="M139" s="61" t="str">
        <f t="shared" si="35"/>
        <v>-</v>
      </c>
      <c r="N139" s="50" t="str">
        <f t="shared" si="36"/>
        <v>-</v>
      </c>
      <c r="O139" s="62" t="str">
        <f t="shared" si="37"/>
        <v>-</v>
      </c>
      <c r="P139" s="54"/>
      <c r="Q139" s="62" t="str">
        <f t="shared" si="38"/>
        <v>-</v>
      </c>
    </row>
    <row r="140" spans="1:17" s="22" customFormat="1" ht="23.4" x14ac:dyDescent="0.35">
      <c r="A140" s="33" t="s">
        <v>194</v>
      </c>
      <c r="B140" s="10">
        <v>196671003379</v>
      </c>
      <c r="C140" s="44" t="s">
        <v>412</v>
      </c>
      <c r="D140" s="1" t="s">
        <v>212</v>
      </c>
      <c r="E140" s="12">
        <v>0.64695000000000003</v>
      </c>
      <c r="F140" s="13">
        <v>12</v>
      </c>
      <c r="G140" s="14">
        <v>12.285</v>
      </c>
      <c r="H140" s="40"/>
      <c r="I140" s="36">
        <f t="shared" si="41"/>
        <v>0</v>
      </c>
      <c r="L140" s="61" t="str">
        <f t="shared" si="34"/>
        <v>-</v>
      </c>
      <c r="M140" s="61" t="str">
        <f t="shared" si="35"/>
        <v>-</v>
      </c>
      <c r="N140" s="50" t="str">
        <f t="shared" si="36"/>
        <v>-</v>
      </c>
      <c r="O140" s="62" t="str">
        <f t="shared" si="37"/>
        <v>-</v>
      </c>
      <c r="P140" s="54"/>
      <c r="Q140" s="62" t="str">
        <f t="shared" si="38"/>
        <v>-</v>
      </c>
    </row>
    <row r="141" spans="1:17" s="22" customFormat="1" ht="23.4" x14ac:dyDescent="0.35">
      <c r="A141" s="16" t="s">
        <v>195</v>
      </c>
      <c r="B141" s="10">
        <v>196671003409</v>
      </c>
      <c r="C141" s="44" t="s">
        <v>413</v>
      </c>
      <c r="D141" s="2" t="s">
        <v>212</v>
      </c>
      <c r="E141" s="12">
        <v>0.64695000000000003</v>
      </c>
      <c r="F141" s="13">
        <v>12</v>
      </c>
      <c r="G141" s="14">
        <v>12.285</v>
      </c>
      <c r="H141" s="40"/>
      <c r="I141" s="36">
        <f t="shared" ref="I141:I142" si="42">H141*G141</f>
        <v>0</v>
      </c>
      <c r="L141" s="61" t="str">
        <f t="shared" si="34"/>
        <v>-</v>
      </c>
      <c r="M141" s="61" t="str">
        <f t="shared" si="35"/>
        <v>-</v>
      </c>
      <c r="N141" s="50" t="str">
        <f t="shared" si="36"/>
        <v>-</v>
      </c>
      <c r="O141" s="62" t="str">
        <f t="shared" si="37"/>
        <v>-</v>
      </c>
      <c r="P141" s="54"/>
      <c r="Q141" s="62" t="str">
        <f t="shared" si="38"/>
        <v>-</v>
      </c>
    </row>
    <row r="142" spans="1:17" s="22" customFormat="1" ht="23.4" x14ac:dyDescent="0.35">
      <c r="A142" s="16" t="s">
        <v>196</v>
      </c>
      <c r="B142" s="10">
        <v>196671003355</v>
      </c>
      <c r="C142" s="44" t="s">
        <v>414</v>
      </c>
      <c r="D142" s="1" t="s">
        <v>212</v>
      </c>
      <c r="E142" s="12">
        <v>0.64695000000000003</v>
      </c>
      <c r="F142" s="13">
        <v>12</v>
      </c>
      <c r="G142" s="14">
        <v>12.285</v>
      </c>
      <c r="H142" s="40"/>
      <c r="I142" s="36">
        <f t="shared" si="42"/>
        <v>0</v>
      </c>
      <c r="L142" s="61" t="str">
        <f t="shared" si="34"/>
        <v>-</v>
      </c>
      <c r="M142" s="61" t="str">
        <f t="shared" si="35"/>
        <v>-</v>
      </c>
      <c r="N142" s="50" t="str">
        <f t="shared" si="36"/>
        <v>-</v>
      </c>
      <c r="O142" s="62" t="str">
        <f t="shared" si="37"/>
        <v>-</v>
      </c>
      <c r="P142" s="54"/>
      <c r="Q142" s="62" t="str">
        <f t="shared" si="38"/>
        <v>-</v>
      </c>
    </row>
    <row r="143" spans="1:17" s="22" customFormat="1" ht="23.4" x14ac:dyDescent="0.35">
      <c r="A143" s="16" t="s">
        <v>122</v>
      </c>
      <c r="B143" s="10">
        <v>196671009111</v>
      </c>
      <c r="C143" s="44" t="s">
        <v>415</v>
      </c>
      <c r="D143" s="2" t="s">
        <v>213</v>
      </c>
      <c r="E143" s="12">
        <v>0.62992499999999996</v>
      </c>
      <c r="F143" s="13">
        <v>12</v>
      </c>
      <c r="G143" s="14">
        <v>16.38</v>
      </c>
      <c r="H143" s="40"/>
      <c r="I143" s="36">
        <f t="shared" ref="I143:I146" si="43">H143*G143</f>
        <v>0</v>
      </c>
      <c r="L143" s="61" t="str">
        <f t="shared" si="34"/>
        <v>-</v>
      </c>
      <c r="M143" s="61" t="str">
        <f t="shared" si="35"/>
        <v>-</v>
      </c>
      <c r="N143" s="50" t="str">
        <f t="shared" si="36"/>
        <v>-</v>
      </c>
      <c r="O143" s="62" t="str">
        <f t="shared" si="37"/>
        <v>-</v>
      </c>
      <c r="P143" s="54"/>
      <c r="Q143" s="62" t="str">
        <f t="shared" si="38"/>
        <v>-</v>
      </c>
    </row>
    <row r="144" spans="1:17" ht="23.4" x14ac:dyDescent="0.35">
      <c r="A144" s="16" t="s">
        <v>120</v>
      </c>
      <c r="B144" s="10">
        <v>196671009098</v>
      </c>
      <c r="C144" s="44" t="s">
        <v>416</v>
      </c>
      <c r="D144" s="2" t="s">
        <v>213</v>
      </c>
      <c r="E144" s="12">
        <v>0.71504999999999996</v>
      </c>
      <c r="F144" s="13">
        <v>12</v>
      </c>
      <c r="G144" s="14">
        <v>17.55</v>
      </c>
      <c r="H144" s="40"/>
      <c r="I144" s="36">
        <f t="shared" si="43"/>
        <v>0</v>
      </c>
      <c r="L144" s="61" t="str">
        <f t="shared" si="34"/>
        <v>-</v>
      </c>
      <c r="M144" s="61" t="str">
        <f t="shared" si="35"/>
        <v>-</v>
      </c>
      <c r="N144" s="50" t="str">
        <f t="shared" si="36"/>
        <v>-</v>
      </c>
      <c r="O144" s="62" t="str">
        <f t="shared" si="37"/>
        <v>-</v>
      </c>
      <c r="P144" s="54"/>
      <c r="Q144" s="62" t="str">
        <f t="shared" si="38"/>
        <v>-</v>
      </c>
    </row>
    <row r="145" spans="1:17" ht="23.4" x14ac:dyDescent="0.35">
      <c r="A145" s="16" t="s">
        <v>121</v>
      </c>
      <c r="B145" s="10">
        <v>196671009104</v>
      </c>
      <c r="C145" s="44" t="s">
        <v>417</v>
      </c>
      <c r="D145" s="2" t="s">
        <v>213</v>
      </c>
      <c r="E145" s="12">
        <v>0.71504999999999996</v>
      </c>
      <c r="F145" s="13">
        <v>12</v>
      </c>
      <c r="G145" s="14">
        <v>17.55</v>
      </c>
      <c r="H145" s="40"/>
      <c r="I145" s="36">
        <f t="shared" si="43"/>
        <v>0</v>
      </c>
      <c r="L145" s="61" t="str">
        <f t="shared" si="34"/>
        <v>-</v>
      </c>
      <c r="M145" s="61" t="str">
        <f t="shared" si="35"/>
        <v>-</v>
      </c>
      <c r="N145" s="50" t="str">
        <f t="shared" si="36"/>
        <v>-</v>
      </c>
      <c r="O145" s="62" t="str">
        <f t="shared" si="37"/>
        <v>-</v>
      </c>
      <c r="P145" s="54"/>
      <c r="Q145" s="62" t="str">
        <f t="shared" si="38"/>
        <v>-</v>
      </c>
    </row>
    <row r="146" spans="1:17" s="22" customFormat="1" ht="23.4" x14ac:dyDescent="0.35">
      <c r="A146" s="16" t="s">
        <v>197</v>
      </c>
      <c r="B146" s="10">
        <v>196671003324</v>
      </c>
      <c r="C146" s="44" t="s">
        <v>418</v>
      </c>
      <c r="D146" s="2" t="s">
        <v>213</v>
      </c>
      <c r="E146" s="12">
        <v>0.71504999999999996</v>
      </c>
      <c r="F146" s="13">
        <v>12</v>
      </c>
      <c r="G146" s="14">
        <v>17.55</v>
      </c>
      <c r="H146" s="40"/>
      <c r="I146" s="36">
        <f t="shared" si="43"/>
        <v>0</v>
      </c>
      <c r="L146" s="61" t="str">
        <f t="shared" si="34"/>
        <v>-</v>
      </c>
      <c r="M146" s="61" t="str">
        <f t="shared" si="35"/>
        <v>-</v>
      </c>
      <c r="N146" s="50" t="str">
        <f t="shared" si="36"/>
        <v>-</v>
      </c>
      <c r="O146" s="62" t="str">
        <f t="shared" si="37"/>
        <v>-</v>
      </c>
      <c r="P146" s="54"/>
      <c r="Q146" s="62" t="str">
        <f t="shared" si="38"/>
        <v>-</v>
      </c>
    </row>
    <row r="147" spans="1:17" s="22" customFormat="1" ht="23.4" x14ac:dyDescent="0.35">
      <c r="A147" s="15" t="s">
        <v>104</v>
      </c>
      <c r="B147" s="10">
        <v>196671008398</v>
      </c>
      <c r="C147" s="48" t="s">
        <v>419</v>
      </c>
      <c r="D147" s="2" t="s">
        <v>105</v>
      </c>
      <c r="E147" s="12">
        <v>0.73207500000000003</v>
      </c>
      <c r="F147" s="13">
        <v>12</v>
      </c>
      <c r="G147" s="14">
        <v>14.04</v>
      </c>
      <c r="H147" s="39"/>
      <c r="I147" s="36">
        <f t="shared" ref="I147:I153" si="44">H147*G147</f>
        <v>0</v>
      </c>
      <c r="L147" s="61" t="str">
        <f t="shared" si="34"/>
        <v>-</v>
      </c>
      <c r="M147" s="61" t="str">
        <f t="shared" si="35"/>
        <v>-</v>
      </c>
      <c r="N147" s="50" t="str">
        <f t="shared" si="36"/>
        <v>-</v>
      </c>
      <c r="O147" s="62" t="str">
        <f t="shared" si="37"/>
        <v>-</v>
      </c>
      <c r="P147" s="54"/>
      <c r="Q147" s="62" t="str">
        <f t="shared" si="38"/>
        <v>-</v>
      </c>
    </row>
    <row r="148" spans="1:17" ht="23.4" x14ac:dyDescent="0.35">
      <c r="A148" s="15" t="s">
        <v>130</v>
      </c>
      <c r="B148" s="8">
        <v>196671009630</v>
      </c>
      <c r="C148" s="48" t="s">
        <v>420</v>
      </c>
      <c r="D148" s="2" t="s">
        <v>105</v>
      </c>
      <c r="E148" s="12">
        <v>0.73207500000000003</v>
      </c>
      <c r="F148" s="13">
        <v>12</v>
      </c>
      <c r="G148" s="14">
        <v>14.04</v>
      </c>
      <c r="H148" s="39"/>
      <c r="I148" s="36">
        <f t="shared" si="44"/>
        <v>0</v>
      </c>
      <c r="L148" s="61" t="str">
        <f t="shared" si="34"/>
        <v>-</v>
      </c>
      <c r="M148" s="61" t="str">
        <f t="shared" si="35"/>
        <v>-</v>
      </c>
      <c r="N148" s="50" t="str">
        <f t="shared" si="36"/>
        <v>-</v>
      </c>
      <c r="O148" s="62" t="str">
        <f t="shared" si="37"/>
        <v>-</v>
      </c>
      <c r="P148" s="54"/>
      <c r="Q148" s="62" t="str">
        <f t="shared" si="38"/>
        <v>-</v>
      </c>
    </row>
    <row r="149" spans="1:17" s="22" customFormat="1" ht="23.4" x14ac:dyDescent="0.35">
      <c r="A149" s="15" t="s">
        <v>131</v>
      </c>
      <c r="B149" s="8">
        <v>196671009647</v>
      </c>
      <c r="C149" s="48" t="s">
        <v>421</v>
      </c>
      <c r="D149" s="2" t="s">
        <v>105</v>
      </c>
      <c r="E149" s="12">
        <v>0.71504999999999996</v>
      </c>
      <c r="F149" s="13">
        <v>12</v>
      </c>
      <c r="G149" s="14">
        <v>14.04</v>
      </c>
      <c r="H149" s="39"/>
      <c r="I149" s="36">
        <f t="shared" si="44"/>
        <v>0</v>
      </c>
      <c r="L149" s="61" t="str">
        <f t="shared" si="34"/>
        <v>-</v>
      </c>
      <c r="M149" s="61" t="str">
        <f t="shared" si="35"/>
        <v>-</v>
      </c>
      <c r="N149" s="50" t="str">
        <f t="shared" si="36"/>
        <v>-</v>
      </c>
      <c r="O149" s="62" t="str">
        <f t="shared" si="37"/>
        <v>-</v>
      </c>
      <c r="P149" s="54"/>
      <c r="Q149" s="62" t="str">
        <f t="shared" si="38"/>
        <v>-</v>
      </c>
    </row>
    <row r="150" spans="1:17" s="22" customFormat="1" ht="23.4" x14ac:dyDescent="0.35">
      <c r="A150" s="15" t="s">
        <v>132</v>
      </c>
      <c r="B150" s="8">
        <v>196671009654</v>
      </c>
      <c r="C150" s="48" t="s">
        <v>422</v>
      </c>
      <c r="D150" s="2" t="s">
        <v>105</v>
      </c>
      <c r="E150" s="12">
        <v>0.73207500000000003</v>
      </c>
      <c r="F150" s="13">
        <v>12</v>
      </c>
      <c r="G150" s="14">
        <v>14.04</v>
      </c>
      <c r="H150" s="39"/>
      <c r="I150" s="36">
        <f t="shared" si="44"/>
        <v>0</v>
      </c>
      <c r="L150" s="61" t="str">
        <f t="shared" si="34"/>
        <v>-</v>
      </c>
      <c r="M150" s="61" t="str">
        <f t="shared" si="35"/>
        <v>-</v>
      </c>
      <c r="N150" s="50" t="str">
        <f t="shared" si="36"/>
        <v>-</v>
      </c>
      <c r="O150" s="62" t="str">
        <f t="shared" si="37"/>
        <v>-</v>
      </c>
      <c r="P150" s="54"/>
      <c r="Q150" s="62" t="str">
        <f t="shared" si="38"/>
        <v>-</v>
      </c>
    </row>
    <row r="151" spans="1:17" s="22" customFormat="1" ht="23.4" x14ac:dyDescent="0.35">
      <c r="A151" s="15" t="s">
        <v>106</v>
      </c>
      <c r="B151" s="8">
        <v>196671008404</v>
      </c>
      <c r="C151" s="48" t="s">
        <v>423</v>
      </c>
      <c r="D151" s="2" t="s">
        <v>105</v>
      </c>
      <c r="E151" s="12">
        <v>0.73207500000000003</v>
      </c>
      <c r="F151" s="13">
        <v>12</v>
      </c>
      <c r="G151" s="14">
        <v>14.04</v>
      </c>
      <c r="H151" s="39"/>
      <c r="I151" s="36">
        <f t="shared" si="44"/>
        <v>0</v>
      </c>
      <c r="L151" s="61" t="str">
        <f t="shared" si="34"/>
        <v>-</v>
      </c>
      <c r="M151" s="61" t="str">
        <f t="shared" si="35"/>
        <v>-</v>
      </c>
      <c r="N151" s="50" t="str">
        <f t="shared" si="36"/>
        <v>-</v>
      </c>
      <c r="O151" s="62" t="str">
        <f t="shared" si="37"/>
        <v>-</v>
      </c>
      <c r="P151" s="54"/>
      <c r="Q151" s="62" t="str">
        <f t="shared" si="38"/>
        <v>-</v>
      </c>
    </row>
    <row r="152" spans="1:17" s="22" customFormat="1" ht="23.4" x14ac:dyDescent="0.35">
      <c r="A152" s="15" t="s">
        <v>107</v>
      </c>
      <c r="B152" s="8">
        <v>196671008411</v>
      </c>
      <c r="C152" s="48" t="s">
        <v>424</v>
      </c>
      <c r="D152" s="2" t="s">
        <v>105</v>
      </c>
      <c r="E152" s="12">
        <v>0.73207500000000003</v>
      </c>
      <c r="F152" s="13">
        <v>12</v>
      </c>
      <c r="G152" s="14">
        <v>14.04</v>
      </c>
      <c r="H152" s="39"/>
      <c r="I152" s="36">
        <f t="shared" si="44"/>
        <v>0</v>
      </c>
      <c r="L152" s="61" t="str">
        <f t="shared" si="34"/>
        <v>-</v>
      </c>
      <c r="M152" s="61" t="str">
        <f t="shared" si="35"/>
        <v>-</v>
      </c>
      <c r="N152" s="50" t="str">
        <f t="shared" si="36"/>
        <v>-</v>
      </c>
      <c r="O152" s="62" t="str">
        <f t="shared" si="37"/>
        <v>-</v>
      </c>
      <c r="P152" s="54"/>
      <c r="Q152" s="62" t="str">
        <f t="shared" si="38"/>
        <v>-</v>
      </c>
    </row>
    <row r="153" spans="1:17" s="22" customFormat="1" ht="23.4" x14ac:dyDescent="0.35">
      <c r="A153" s="15" t="s">
        <v>198</v>
      </c>
      <c r="B153" s="8">
        <v>196671003300</v>
      </c>
      <c r="C153" s="48" t="s">
        <v>425</v>
      </c>
      <c r="D153" s="2" t="s">
        <v>105</v>
      </c>
      <c r="E153" s="12">
        <v>0.73207500000000003</v>
      </c>
      <c r="F153" s="13">
        <v>12</v>
      </c>
      <c r="G153" s="14">
        <v>14.04</v>
      </c>
      <c r="H153" s="39"/>
      <c r="I153" s="36">
        <f t="shared" si="44"/>
        <v>0</v>
      </c>
      <c r="L153" s="61" t="str">
        <f t="shared" si="34"/>
        <v>-</v>
      </c>
      <c r="M153" s="61" t="str">
        <f t="shared" si="35"/>
        <v>-</v>
      </c>
      <c r="N153" s="50" t="str">
        <f t="shared" si="36"/>
        <v>-</v>
      </c>
      <c r="O153" s="62" t="str">
        <f t="shared" si="37"/>
        <v>-</v>
      </c>
      <c r="P153" s="54"/>
      <c r="Q153" s="62" t="str">
        <f t="shared" si="38"/>
        <v>-</v>
      </c>
    </row>
    <row r="154" spans="1:17" s="22" customFormat="1" ht="23.4" x14ac:dyDescent="0.35">
      <c r="A154" s="16" t="s">
        <v>67</v>
      </c>
      <c r="B154" s="10">
        <v>196671007551</v>
      </c>
      <c r="C154" s="44" t="s">
        <v>426</v>
      </c>
      <c r="D154" s="1" t="s">
        <v>214</v>
      </c>
      <c r="E154" s="12">
        <v>0.78882500000000011</v>
      </c>
      <c r="F154" s="13">
        <v>12</v>
      </c>
      <c r="G154" s="14">
        <v>14.625</v>
      </c>
      <c r="H154" s="40"/>
      <c r="I154" s="36">
        <f t="shared" ref="I154:I160" si="45">H154*G154</f>
        <v>0</v>
      </c>
      <c r="L154" s="61" t="str">
        <f t="shared" si="34"/>
        <v>-</v>
      </c>
      <c r="M154" s="61" t="str">
        <f t="shared" si="35"/>
        <v>-</v>
      </c>
      <c r="N154" s="50" t="str">
        <f t="shared" si="36"/>
        <v>-</v>
      </c>
      <c r="O154" s="62" t="str">
        <f t="shared" si="37"/>
        <v>-</v>
      </c>
      <c r="P154" s="54"/>
      <c r="Q154" s="62" t="str">
        <f t="shared" si="38"/>
        <v>-</v>
      </c>
    </row>
    <row r="155" spans="1:17" s="22" customFormat="1" ht="23.4" x14ac:dyDescent="0.35">
      <c r="A155" s="16" t="s">
        <v>69</v>
      </c>
      <c r="B155" s="10">
        <v>196671007575</v>
      </c>
      <c r="C155" s="44" t="s">
        <v>427</v>
      </c>
      <c r="D155" s="1" t="s">
        <v>214</v>
      </c>
      <c r="E155" s="12">
        <v>0.80017500000000008</v>
      </c>
      <c r="F155" s="13">
        <v>12</v>
      </c>
      <c r="G155" s="14">
        <v>14.625</v>
      </c>
      <c r="H155" s="40"/>
      <c r="I155" s="36">
        <f t="shared" si="45"/>
        <v>0</v>
      </c>
      <c r="L155" s="61" t="str">
        <f t="shared" si="34"/>
        <v>-</v>
      </c>
      <c r="M155" s="61" t="str">
        <f t="shared" si="35"/>
        <v>-</v>
      </c>
      <c r="N155" s="50" t="str">
        <f t="shared" si="36"/>
        <v>-</v>
      </c>
      <c r="O155" s="62" t="str">
        <f t="shared" si="37"/>
        <v>-</v>
      </c>
      <c r="P155" s="54"/>
      <c r="Q155" s="62" t="str">
        <f t="shared" si="38"/>
        <v>-</v>
      </c>
    </row>
    <row r="156" spans="1:17" s="22" customFormat="1" ht="23.4" x14ac:dyDescent="0.35">
      <c r="A156" s="16" t="s">
        <v>103</v>
      </c>
      <c r="B156" s="10">
        <v>196671007629</v>
      </c>
      <c r="C156" s="44" t="s">
        <v>428</v>
      </c>
      <c r="D156" s="1" t="s">
        <v>214</v>
      </c>
      <c r="E156" s="12">
        <v>0.76612500000000006</v>
      </c>
      <c r="F156" s="13">
        <v>12</v>
      </c>
      <c r="G156" s="14">
        <v>14.625</v>
      </c>
      <c r="H156" s="40"/>
      <c r="I156" s="36">
        <f t="shared" si="45"/>
        <v>0</v>
      </c>
      <c r="L156" s="61" t="str">
        <f t="shared" si="34"/>
        <v>-</v>
      </c>
      <c r="M156" s="61" t="str">
        <f t="shared" si="35"/>
        <v>-</v>
      </c>
      <c r="N156" s="50" t="str">
        <f t="shared" si="36"/>
        <v>-</v>
      </c>
      <c r="O156" s="62" t="str">
        <f t="shared" si="37"/>
        <v>-</v>
      </c>
      <c r="P156" s="54"/>
      <c r="Q156" s="62" t="str">
        <f t="shared" si="38"/>
        <v>-</v>
      </c>
    </row>
    <row r="157" spans="1:17" s="22" customFormat="1" ht="23.4" x14ac:dyDescent="0.35">
      <c r="A157" s="16" t="s">
        <v>71</v>
      </c>
      <c r="B157" s="10">
        <v>196671007605</v>
      </c>
      <c r="C157" s="44" t="s">
        <v>429</v>
      </c>
      <c r="D157" s="1" t="s">
        <v>214</v>
      </c>
      <c r="E157" s="12">
        <v>0.7831499999999999</v>
      </c>
      <c r="F157" s="13">
        <v>12</v>
      </c>
      <c r="G157" s="14">
        <v>14.625</v>
      </c>
      <c r="H157" s="40"/>
      <c r="I157" s="36">
        <f t="shared" si="45"/>
        <v>0</v>
      </c>
      <c r="L157" s="61" t="str">
        <f t="shared" si="34"/>
        <v>-</v>
      </c>
      <c r="M157" s="61" t="str">
        <f t="shared" si="35"/>
        <v>-</v>
      </c>
      <c r="N157" s="50" t="str">
        <f t="shared" si="36"/>
        <v>-</v>
      </c>
      <c r="O157" s="62" t="str">
        <f t="shared" si="37"/>
        <v>-</v>
      </c>
      <c r="P157" s="54"/>
      <c r="Q157" s="62" t="str">
        <f t="shared" si="38"/>
        <v>-</v>
      </c>
    </row>
    <row r="158" spans="1:17" s="22" customFormat="1" ht="23.4" x14ac:dyDescent="0.35">
      <c r="A158" s="16" t="s">
        <v>68</v>
      </c>
      <c r="B158" s="10">
        <v>196671007568</v>
      </c>
      <c r="C158" s="44" t="s">
        <v>430</v>
      </c>
      <c r="D158" s="1" t="s">
        <v>214</v>
      </c>
      <c r="E158" s="12">
        <v>0.76612500000000006</v>
      </c>
      <c r="F158" s="13">
        <v>12</v>
      </c>
      <c r="G158" s="14">
        <v>14.625</v>
      </c>
      <c r="H158" s="40"/>
      <c r="I158" s="36">
        <f t="shared" si="45"/>
        <v>0</v>
      </c>
      <c r="L158" s="61" t="str">
        <f t="shared" si="34"/>
        <v>-</v>
      </c>
      <c r="M158" s="61" t="str">
        <f t="shared" si="35"/>
        <v>-</v>
      </c>
      <c r="N158" s="50" t="str">
        <f t="shared" si="36"/>
        <v>-</v>
      </c>
      <c r="O158" s="62" t="str">
        <f t="shared" si="37"/>
        <v>-</v>
      </c>
      <c r="P158" s="54"/>
      <c r="Q158" s="62" t="str">
        <f t="shared" si="38"/>
        <v>-</v>
      </c>
    </row>
    <row r="159" spans="1:17" ht="23.4" x14ac:dyDescent="0.35">
      <c r="A159" s="16" t="s">
        <v>72</v>
      </c>
      <c r="B159" s="10">
        <v>196671007612</v>
      </c>
      <c r="C159" s="44" t="s">
        <v>431</v>
      </c>
      <c r="D159" s="1" t="s">
        <v>214</v>
      </c>
      <c r="E159" s="12">
        <v>0.7831499999999999</v>
      </c>
      <c r="F159" s="13">
        <v>12</v>
      </c>
      <c r="G159" s="14">
        <v>14.625</v>
      </c>
      <c r="H159" s="40"/>
      <c r="I159" s="36">
        <f t="shared" si="45"/>
        <v>0</v>
      </c>
      <c r="L159" s="61" t="str">
        <f t="shared" si="34"/>
        <v>-</v>
      </c>
      <c r="M159" s="61" t="str">
        <f t="shared" si="35"/>
        <v>-</v>
      </c>
      <c r="N159" s="50" t="str">
        <f t="shared" si="36"/>
        <v>-</v>
      </c>
      <c r="O159" s="62" t="str">
        <f t="shared" si="37"/>
        <v>-</v>
      </c>
      <c r="P159" s="54"/>
      <c r="Q159" s="62" t="str">
        <f t="shared" si="38"/>
        <v>-</v>
      </c>
    </row>
    <row r="160" spans="1:17" ht="23.4" x14ac:dyDescent="0.35">
      <c r="A160" s="16" t="s">
        <v>70</v>
      </c>
      <c r="B160" s="10">
        <v>196671007599</v>
      </c>
      <c r="C160" s="44" t="s">
        <v>432</v>
      </c>
      <c r="D160" s="1" t="s">
        <v>214</v>
      </c>
      <c r="E160" s="12">
        <v>0.80017500000000008</v>
      </c>
      <c r="F160" s="13">
        <v>12</v>
      </c>
      <c r="G160" s="14">
        <v>14.625</v>
      </c>
      <c r="H160" s="40"/>
      <c r="I160" s="36">
        <f t="shared" si="45"/>
        <v>0</v>
      </c>
      <c r="L160" s="61" t="str">
        <f t="shared" si="34"/>
        <v>-</v>
      </c>
      <c r="M160" s="61" t="str">
        <f t="shared" si="35"/>
        <v>-</v>
      </c>
      <c r="N160" s="50" t="str">
        <f t="shared" si="36"/>
        <v>-</v>
      </c>
      <c r="O160" s="62" t="str">
        <f t="shared" si="37"/>
        <v>-</v>
      </c>
      <c r="P160" s="54"/>
      <c r="Q160" s="62" t="str">
        <f t="shared" si="38"/>
        <v>-</v>
      </c>
    </row>
    <row r="161" spans="1:17" ht="23.4" x14ac:dyDescent="0.35">
      <c r="A161" s="15" t="s">
        <v>199</v>
      </c>
      <c r="B161" s="8">
        <v>196671003317</v>
      </c>
      <c r="C161" s="48" t="s">
        <v>433</v>
      </c>
      <c r="D161" s="2" t="s">
        <v>183</v>
      </c>
      <c r="E161" s="12">
        <v>0.6129</v>
      </c>
      <c r="F161" s="13">
        <v>12</v>
      </c>
      <c r="G161" s="14">
        <v>11.700000000000001</v>
      </c>
      <c r="H161" s="39"/>
      <c r="I161" s="36">
        <f t="shared" ref="I161:I162" si="46">H161*G161</f>
        <v>0</v>
      </c>
      <c r="L161" s="61" t="str">
        <f t="shared" si="34"/>
        <v>-</v>
      </c>
      <c r="M161" s="61" t="str">
        <f t="shared" si="35"/>
        <v>-</v>
      </c>
      <c r="N161" s="50" t="str">
        <f t="shared" si="36"/>
        <v>-</v>
      </c>
      <c r="O161" s="62" t="str">
        <f t="shared" si="37"/>
        <v>-</v>
      </c>
      <c r="P161" s="54"/>
      <c r="Q161" s="62" t="str">
        <f t="shared" si="38"/>
        <v>-</v>
      </c>
    </row>
    <row r="162" spans="1:17" ht="23.4" x14ac:dyDescent="0.35">
      <c r="A162" s="15" t="s">
        <v>137</v>
      </c>
      <c r="B162" s="8">
        <v>196671009975</v>
      </c>
      <c r="C162" s="48" t="s">
        <v>434</v>
      </c>
      <c r="D162" s="2" t="s">
        <v>183</v>
      </c>
      <c r="E162" s="12">
        <v>0.59020000000000006</v>
      </c>
      <c r="F162" s="13">
        <v>12</v>
      </c>
      <c r="G162" s="14">
        <v>11.700000000000001</v>
      </c>
      <c r="H162" s="39"/>
      <c r="I162" s="36">
        <f t="shared" si="46"/>
        <v>0</v>
      </c>
      <c r="L162" s="61" t="str">
        <f t="shared" si="34"/>
        <v>-</v>
      </c>
      <c r="M162" s="61" t="str">
        <f t="shared" si="35"/>
        <v>-</v>
      </c>
      <c r="N162" s="50" t="str">
        <f t="shared" si="36"/>
        <v>-</v>
      </c>
      <c r="O162" s="62" t="str">
        <f t="shared" si="37"/>
        <v>-</v>
      </c>
      <c r="P162" s="54"/>
      <c r="Q162" s="62" t="str">
        <f t="shared" si="38"/>
        <v>-</v>
      </c>
    </row>
    <row r="163" spans="1:17" ht="23.4" x14ac:dyDescent="0.35">
      <c r="A163" s="15" t="s">
        <v>228</v>
      </c>
      <c r="B163" s="8">
        <v>196671003539</v>
      </c>
      <c r="C163" s="48" t="s">
        <v>435</v>
      </c>
      <c r="D163" s="2" t="s">
        <v>229</v>
      </c>
      <c r="E163" s="12">
        <v>0.57884999999999998</v>
      </c>
      <c r="F163" s="13">
        <v>12</v>
      </c>
      <c r="G163" s="14">
        <v>15.795000000000002</v>
      </c>
      <c r="H163" s="39"/>
      <c r="I163" s="36">
        <f t="shared" ref="I163:I166" si="47">H163*G163</f>
        <v>0</v>
      </c>
      <c r="L163" s="61" t="str">
        <f t="shared" si="34"/>
        <v>-</v>
      </c>
      <c r="M163" s="61" t="str">
        <f t="shared" si="35"/>
        <v>-</v>
      </c>
      <c r="N163" s="50" t="str">
        <f t="shared" si="36"/>
        <v>-</v>
      </c>
      <c r="O163" s="62" t="str">
        <f t="shared" si="37"/>
        <v>-</v>
      </c>
      <c r="P163" s="54"/>
      <c r="Q163" s="62" t="str">
        <f t="shared" si="38"/>
        <v>-</v>
      </c>
    </row>
    <row r="164" spans="1:17" ht="23.4" x14ac:dyDescent="0.35">
      <c r="A164" s="15" t="s">
        <v>230</v>
      </c>
      <c r="B164" s="8">
        <v>196671003546</v>
      </c>
      <c r="C164" s="48" t="s">
        <v>436</v>
      </c>
      <c r="D164" s="2" t="s">
        <v>229</v>
      </c>
      <c r="E164" s="12">
        <v>0.57884999999999998</v>
      </c>
      <c r="F164" s="13">
        <v>12</v>
      </c>
      <c r="G164" s="14">
        <v>15.795000000000002</v>
      </c>
      <c r="H164" s="39"/>
      <c r="I164" s="36">
        <f t="shared" si="47"/>
        <v>0</v>
      </c>
      <c r="L164" s="61" t="str">
        <f t="shared" si="34"/>
        <v>-</v>
      </c>
      <c r="M164" s="61" t="str">
        <f t="shared" si="35"/>
        <v>-</v>
      </c>
      <c r="N164" s="50" t="str">
        <f t="shared" si="36"/>
        <v>-</v>
      </c>
      <c r="O164" s="62" t="str">
        <f t="shared" si="37"/>
        <v>-</v>
      </c>
      <c r="P164" s="54"/>
      <c r="Q164" s="62" t="str">
        <f t="shared" si="38"/>
        <v>-</v>
      </c>
    </row>
    <row r="165" spans="1:17" ht="23.4" x14ac:dyDescent="0.35">
      <c r="A165" s="15" t="s">
        <v>231</v>
      </c>
      <c r="B165" s="8">
        <v>196671003553</v>
      </c>
      <c r="C165" s="48" t="s">
        <v>437</v>
      </c>
      <c r="D165" s="2" t="s">
        <v>229</v>
      </c>
      <c r="E165" s="12">
        <v>0.57884999999999998</v>
      </c>
      <c r="F165" s="13">
        <v>12</v>
      </c>
      <c r="G165" s="14">
        <v>15.795000000000002</v>
      </c>
      <c r="H165" s="39"/>
      <c r="I165" s="36">
        <f t="shared" si="47"/>
        <v>0</v>
      </c>
      <c r="L165" s="61" t="str">
        <f t="shared" si="34"/>
        <v>-</v>
      </c>
      <c r="M165" s="61" t="str">
        <f t="shared" si="35"/>
        <v>-</v>
      </c>
      <c r="N165" s="50" t="str">
        <f t="shared" si="36"/>
        <v>-</v>
      </c>
      <c r="O165" s="62" t="str">
        <f t="shared" si="37"/>
        <v>-</v>
      </c>
      <c r="P165" s="54"/>
      <c r="Q165" s="62" t="str">
        <f t="shared" si="38"/>
        <v>-</v>
      </c>
    </row>
    <row r="166" spans="1:17" ht="23.4" x14ac:dyDescent="0.35">
      <c r="A166" s="15" t="s">
        <v>232</v>
      </c>
      <c r="B166" s="8">
        <v>196671003560</v>
      </c>
      <c r="C166" s="48" t="s">
        <v>438</v>
      </c>
      <c r="D166" s="2" t="s">
        <v>229</v>
      </c>
      <c r="E166" s="12">
        <v>0.57884999999999998</v>
      </c>
      <c r="F166" s="13">
        <v>12</v>
      </c>
      <c r="G166" s="14">
        <v>15.795000000000002</v>
      </c>
      <c r="H166" s="39"/>
      <c r="I166" s="36">
        <f t="shared" si="47"/>
        <v>0</v>
      </c>
      <c r="L166" s="61" t="str">
        <f t="shared" si="34"/>
        <v>-</v>
      </c>
      <c r="M166" s="61" t="str">
        <f t="shared" si="35"/>
        <v>-</v>
      </c>
      <c r="N166" s="50" t="str">
        <f t="shared" si="36"/>
        <v>-</v>
      </c>
      <c r="O166" s="62" t="str">
        <f t="shared" si="37"/>
        <v>-</v>
      </c>
      <c r="P166" s="54"/>
      <c r="Q166" s="62" t="str">
        <f t="shared" si="38"/>
        <v>-</v>
      </c>
    </row>
    <row r="167" spans="1:17" ht="23.4" x14ac:dyDescent="0.35">
      <c r="A167" s="15" t="s">
        <v>233</v>
      </c>
      <c r="B167" s="8">
        <v>196671003584</v>
      </c>
      <c r="C167" s="48" t="s">
        <v>439</v>
      </c>
      <c r="D167" s="2" t="s">
        <v>229</v>
      </c>
      <c r="E167" s="12">
        <v>0.44265000000000004</v>
      </c>
      <c r="F167" s="13">
        <v>12</v>
      </c>
      <c r="G167" s="14">
        <v>15.795000000000002</v>
      </c>
      <c r="H167" s="39"/>
      <c r="I167" s="36">
        <f>H167*G167</f>
        <v>0</v>
      </c>
      <c r="L167" s="61" t="str">
        <f t="shared" si="34"/>
        <v>-</v>
      </c>
      <c r="M167" s="61" t="str">
        <f t="shared" si="35"/>
        <v>-</v>
      </c>
      <c r="N167" s="50" t="str">
        <f t="shared" si="36"/>
        <v>-</v>
      </c>
      <c r="O167" s="62" t="str">
        <f t="shared" si="37"/>
        <v>-</v>
      </c>
      <c r="P167" s="54"/>
      <c r="Q167" s="62" t="str">
        <f t="shared" si="38"/>
        <v>-</v>
      </c>
    </row>
    <row r="168" spans="1:17" ht="23.4" x14ac:dyDescent="0.35">
      <c r="A168" s="15" t="s">
        <v>234</v>
      </c>
      <c r="B168" s="8">
        <v>196671004130</v>
      </c>
      <c r="C168" s="48" t="s">
        <v>440</v>
      </c>
      <c r="D168" s="2" t="s">
        <v>235</v>
      </c>
      <c r="E168" s="12">
        <v>0.54479999999999995</v>
      </c>
      <c r="F168" s="13">
        <v>12</v>
      </c>
      <c r="G168" s="14">
        <v>15.795000000000002</v>
      </c>
      <c r="H168" s="39"/>
      <c r="I168" s="36">
        <f t="shared" ref="I168:I171" si="48">H168*G168</f>
        <v>0</v>
      </c>
      <c r="L168" s="61" t="str">
        <f t="shared" si="34"/>
        <v>-</v>
      </c>
      <c r="M168" s="61" t="str">
        <f t="shared" si="35"/>
        <v>-</v>
      </c>
      <c r="N168" s="50" t="str">
        <f t="shared" si="36"/>
        <v>-</v>
      </c>
      <c r="O168" s="62" t="str">
        <f t="shared" si="37"/>
        <v>-</v>
      </c>
      <c r="P168" s="54"/>
      <c r="Q168" s="62" t="str">
        <f t="shared" si="38"/>
        <v>-</v>
      </c>
    </row>
    <row r="169" spans="1:17" ht="23.4" x14ac:dyDescent="0.35">
      <c r="A169" s="15" t="s">
        <v>236</v>
      </c>
      <c r="B169" s="8">
        <v>196671004147</v>
      </c>
      <c r="C169" s="48" t="s">
        <v>441</v>
      </c>
      <c r="D169" s="2" t="s">
        <v>235</v>
      </c>
      <c r="E169" s="12">
        <v>0.54479999999999995</v>
      </c>
      <c r="F169" s="13">
        <v>12</v>
      </c>
      <c r="G169" s="14">
        <v>15.795000000000002</v>
      </c>
      <c r="H169" s="39"/>
      <c r="I169" s="36">
        <f t="shared" si="48"/>
        <v>0</v>
      </c>
      <c r="L169" s="61" t="str">
        <f t="shared" si="34"/>
        <v>-</v>
      </c>
      <c r="M169" s="61" t="str">
        <f t="shared" si="35"/>
        <v>-</v>
      </c>
      <c r="N169" s="50" t="str">
        <f t="shared" si="36"/>
        <v>-</v>
      </c>
      <c r="O169" s="62" t="str">
        <f t="shared" si="37"/>
        <v>-</v>
      </c>
      <c r="P169" s="54"/>
      <c r="Q169" s="62" t="str">
        <f t="shared" si="38"/>
        <v>-</v>
      </c>
    </row>
    <row r="170" spans="1:17" ht="23.4" x14ac:dyDescent="0.35">
      <c r="A170" s="15" t="s">
        <v>237</v>
      </c>
      <c r="B170" s="8">
        <v>196671004154</v>
      </c>
      <c r="C170" s="48" t="s">
        <v>442</v>
      </c>
      <c r="D170" s="2" t="s">
        <v>235</v>
      </c>
      <c r="E170" s="12">
        <v>0.54479999999999995</v>
      </c>
      <c r="F170" s="13">
        <v>12</v>
      </c>
      <c r="G170" s="14">
        <v>15.795000000000002</v>
      </c>
      <c r="H170" s="39"/>
      <c r="I170" s="36">
        <f t="shared" si="48"/>
        <v>0</v>
      </c>
      <c r="L170" s="61" t="str">
        <f t="shared" si="34"/>
        <v>-</v>
      </c>
      <c r="M170" s="61" t="str">
        <f t="shared" si="35"/>
        <v>-</v>
      </c>
      <c r="N170" s="50" t="str">
        <f t="shared" si="36"/>
        <v>-</v>
      </c>
      <c r="O170" s="62" t="str">
        <f t="shared" si="37"/>
        <v>-</v>
      </c>
      <c r="P170" s="54"/>
      <c r="Q170" s="62" t="str">
        <f t="shared" si="38"/>
        <v>-</v>
      </c>
    </row>
    <row r="171" spans="1:17" ht="23.4" x14ac:dyDescent="0.35">
      <c r="A171" s="15" t="s">
        <v>238</v>
      </c>
      <c r="B171" s="8">
        <v>196671004161</v>
      </c>
      <c r="C171" s="48" t="s">
        <v>443</v>
      </c>
      <c r="D171" s="2" t="s">
        <v>235</v>
      </c>
      <c r="E171" s="12">
        <v>0.54479999999999995</v>
      </c>
      <c r="F171" s="13">
        <v>12</v>
      </c>
      <c r="G171" s="14">
        <v>15.795000000000002</v>
      </c>
      <c r="H171" s="39"/>
      <c r="I171" s="36">
        <f t="shared" si="48"/>
        <v>0</v>
      </c>
      <c r="L171" s="61" t="str">
        <f t="shared" si="34"/>
        <v>-</v>
      </c>
      <c r="M171" s="61" t="str">
        <f t="shared" si="35"/>
        <v>-</v>
      </c>
      <c r="N171" s="50" t="str">
        <f t="shared" si="36"/>
        <v>-</v>
      </c>
      <c r="O171" s="62" t="str">
        <f t="shared" si="37"/>
        <v>-</v>
      </c>
      <c r="P171" s="54"/>
      <c r="Q171" s="62" t="str">
        <f t="shared" si="38"/>
        <v>-</v>
      </c>
    </row>
    <row r="172" spans="1:17" ht="23.4" x14ac:dyDescent="0.35">
      <c r="A172" s="15" t="s">
        <v>239</v>
      </c>
      <c r="B172" s="8">
        <v>196671004178</v>
      </c>
      <c r="C172" s="48" t="s">
        <v>444</v>
      </c>
      <c r="D172" s="2" t="s">
        <v>235</v>
      </c>
      <c r="E172" s="12">
        <v>0.44265000000000004</v>
      </c>
      <c r="F172" s="13">
        <v>12</v>
      </c>
      <c r="G172" s="14">
        <v>15.795000000000002</v>
      </c>
      <c r="H172" s="39"/>
      <c r="I172" s="36">
        <f>H172*G172</f>
        <v>0</v>
      </c>
      <c r="L172" s="61" t="str">
        <f t="shared" si="34"/>
        <v>-</v>
      </c>
      <c r="M172" s="61" t="str">
        <f t="shared" si="35"/>
        <v>-</v>
      </c>
      <c r="N172" s="50" t="str">
        <f t="shared" si="36"/>
        <v>-</v>
      </c>
      <c r="O172" s="62" t="str">
        <f t="shared" si="37"/>
        <v>-</v>
      </c>
      <c r="P172" s="54"/>
      <c r="Q172" s="62" t="str">
        <f t="shared" si="38"/>
        <v>-</v>
      </c>
    </row>
    <row r="173" spans="1:17" ht="23.4" x14ac:dyDescent="0.35">
      <c r="A173" s="15" t="s">
        <v>52</v>
      </c>
      <c r="B173" s="8">
        <v>196671004895</v>
      </c>
      <c r="C173" s="48" t="s">
        <v>445</v>
      </c>
      <c r="D173" s="2" t="s">
        <v>240</v>
      </c>
      <c r="E173" s="12">
        <v>0.47442999999999996</v>
      </c>
      <c r="F173" s="13">
        <v>12</v>
      </c>
      <c r="G173" s="14">
        <v>12.870000000000001</v>
      </c>
      <c r="H173" s="39"/>
      <c r="I173" s="36">
        <f t="shared" ref="I173:I174" si="49">H173*G173</f>
        <v>0</v>
      </c>
      <c r="L173" s="61" t="str">
        <f t="shared" si="34"/>
        <v>-</v>
      </c>
      <c r="M173" s="61" t="str">
        <f t="shared" si="35"/>
        <v>-</v>
      </c>
      <c r="N173" s="50" t="str">
        <f t="shared" si="36"/>
        <v>-</v>
      </c>
      <c r="O173" s="62" t="str">
        <f t="shared" si="37"/>
        <v>-</v>
      </c>
      <c r="P173" s="54"/>
      <c r="Q173" s="62" t="str">
        <f t="shared" si="38"/>
        <v>-</v>
      </c>
    </row>
    <row r="174" spans="1:17" ht="23.4" x14ac:dyDescent="0.35">
      <c r="A174" s="15" t="s">
        <v>53</v>
      </c>
      <c r="B174" s="8">
        <v>196671004888</v>
      </c>
      <c r="C174" s="48" t="s">
        <v>446</v>
      </c>
      <c r="D174" s="2" t="s">
        <v>240</v>
      </c>
      <c r="E174" s="12">
        <v>0.60836000000000001</v>
      </c>
      <c r="F174" s="13">
        <v>12</v>
      </c>
      <c r="G174" s="14">
        <v>23.400000000000002</v>
      </c>
      <c r="H174" s="39"/>
      <c r="I174" s="36">
        <f t="shared" si="49"/>
        <v>0</v>
      </c>
      <c r="L174" s="61" t="str">
        <f t="shared" si="34"/>
        <v>-</v>
      </c>
      <c r="M174" s="61" t="str">
        <f t="shared" si="35"/>
        <v>-</v>
      </c>
      <c r="N174" s="50" t="str">
        <f t="shared" si="36"/>
        <v>-</v>
      </c>
      <c r="O174" s="62" t="str">
        <f t="shared" si="37"/>
        <v>-</v>
      </c>
      <c r="P174" s="54"/>
      <c r="Q174" s="62" t="str">
        <f t="shared" si="38"/>
        <v>-</v>
      </c>
    </row>
    <row r="175" spans="1:17" ht="23.4" x14ac:dyDescent="0.35">
      <c r="A175" s="15" t="s">
        <v>127</v>
      </c>
      <c r="B175" s="8">
        <v>196671009746</v>
      </c>
      <c r="C175" s="48" t="s">
        <v>447</v>
      </c>
      <c r="D175" s="2" t="s">
        <v>241</v>
      </c>
      <c r="E175" s="12">
        <v>0.44037999999999999</v>
      </c>
      <c r="F175" s="13">
        <v>12</v>
      </c>
      <c r="G175" s="14">
        <v>9.9450000000000003</v>
      </c>
      <c r="H175" s="39"/>
      <c r="I175" s="36">
        <f>H175*G175</f>
        <v>0</v>
      </c>
      <c r="L175" s="61" t="str">
        <f t="shared" si="34"/>
        <v>-</v>
      </c>
      <c r="M175" s="61" t="str">
        <f t="shared" si="35"/>
        <v>-</v>
      </c>
      <c r="N175" s="50" t="str">
        <f t="shared" si="36"/>
        <v>-</v>
      </c>
      <c r="O175" s="62" t="str">
        <f t="shared" si="37"/>
        <v>-</v>
      </c>
      <c r="P175" s="54"/>
      <c r="Q175" s="62" t="str">
        <f t="shared" si="38"/>
        <v>-</v>
      </c>
    </row>
    <row r="176" spans="1:17" ht="23.4" x14ac:dyDescent="0.35">
      <c r="A176" s="15" t="s">
        <v>128</v>
      </c>
      <c r="B176" s="8">
        <v>837234109755</v>
      </c>
      <c r="C176" s="48" t="s">
        <v>448</v>
      </c>
      <c r="D176" s="2" t="s">
        <v>242</v>
      </c>
      <c r="E176" s="12">
        <v>0.54593499999999995</v>
      </c>
      <c r="F176" s="13">
        <v>12</v>
      </c>
      <c r="G176" s="14">
        <v>8.7750000000000004</v>
      </c>
      <c r="H176" s="39"/>
      <c r="I176" s="36">
        <f>H176*G176</f>
        <v>0</v>
      </c>
      <c r="L176" s="61" t="str">
        <f t="shared" si="34"/>
        <v>-</v>
      </c>
      <c r="M176" s="61" t="str">
        <f t="shared" si="35"/>
        <v>-</v>
      </c>
      <c r="N176" s="50" t="str">
        <f t="shared" si="36"/>
        <v>-</v>
      </c>
      <c r="O176" s="62" t="str">
        <f t="shared" si="37"/>
        <v>-</v>
      </c>
      <c r="P176" s="54"/>
      <c r="Q176" s="62" t="str">
        <f t="shared" si="38"/>
        <v>-</v>
      </c>
    </row>
    <row r="177" spans="1:17" ht="23.4" x14ac:dyDescent="0.35">
      <c r="A177" s="15" t="s">
        <v>115</v>
      </c>
      <c r="B177" s="8">
        <v>196671008756</v>
      </c>
      <c r="C177" s="48" t="s">
        <v>449</v>
      </c>
      <c r="D177" s="2" t="s">
        <v>215</v>
      </c>
      <c r="E177" s="12">
        <v>0.63843749999999999</v>
      </c>
      <c r="F177" s="13">
        <v>12</v>
      </c>
      <c r="G177" s="14">
        <v>17.55</v>
      </c>
      <c r="H177" s="39"/>
      <c r="I177" s="36">
        <f>H177*G177</f>
        <v>0</v>
      </c>
      <c r="L177" s="61" t="str">
        <f t="shared" si="34"/>
        <v>-</v>
      </c>
      <c r="M177" s="61" t="str">
        <f t="shared" si="35"/>
        <v>-</v>
      </c>
      <c r="N177" s="50" t="str">
        <f t="shared" si="36"/>
        <v>-</v>
      </c>
      <c r="O177" s="62" t="str">
        <f t="shared" si="37"/>
        <v>-</v>
      </c>
      <c r="P177" s="54"/>
      <c r="Q177" s="62" t="str">
        <f t="shared" si="38"/>
        <v>-</v>
      </c>
    </row>
    <row r="178" spans="1:17" ht="23.4" x14ac:dyDescent="0.35">
      <c r="A178" s="16" t="s">
        <v>116</v>
      </c>
      <c r="B178" s="10">
        <v>196671009005</v>
      </c>
      <c r="C178" s="44" t="s">
        <v>450</v>
      </c>
      <c r="D178" s="1" t="s">
        <v>138</v>
      </c>
      <c r="E178" s="12">
        <v>0.62425000000000008</v>
      </c>
      <c r="F178" s="13">
        <v>12</v>
      </c>
      <c r="G178" s="14">
        <v>16.38</v>
      </c>
      <c r="H178" s="40"/>
      <c r="I178" s="36">
        <f t="shared" ref="I178:I182" si="50">H178*G178</f>
        <v>0</v>
      </c>
      <c r="L178" s="61" t="str">
        <f t="shared" si="34"/>
        <v>-</v>
      </c>
      <c r="M178" s="61" t="str">
        <f t="shared" si="35"/>
        <v>-</v>
      </c>
      <c r="N178" s="50" t="str">
        <f t="shared" si="36"/>
        <v>-</v>
      </c>
      <c r="O178" s="62" t="str">
        <f t="shared" si="37"/>
        <v>-</v>
      </c>
      <c r="P178" s="54"/>
      <c r="Q178" s="62" t="str">
        <f t="shared" si="38"/>
        <v>-</v>
      </c>
    </row>
    <row r="179" spans="1:17" ht="23.4" x14ac:dyDescent="0.35">
      <c r="A179" s="16" t="s">
        <v>200</v>
      </c>
      <c r="B179" s="10">
        <v>196671003485</v>
      </c>
      <c r="C179" s="44" t="s">
        <v>451</v>
      </c>
      <c r="D179" s="1" t="s">
        <v>138</v>
      </c>
      <c r="E179" s="12">
        <v>0.60155000000000003</v>
      </c>
      <c r="F179" s="13">
        <v>12</v>
      </c>
      <c r="G179" s="14">
        <v>16.38</v>
      </c>
      <c r="H179" s="40"/>
      <c r="I179" s="36">
        <f t="shared" si="50"/>
        <v>0</v>
      </c>
      <c r="L179" s="61" t="str">
        <f t="shared" si="34"/>
        <v>-</v>
      </c>
      <c r="M179" s="61" t="str">
        <f t="shared" si="35"/>
        <v>-</v>
      </c>
      <c r="N179" s="50" t="str">
        <f t="shared" si="36"/>
        <v>-</v>
      </c>
      <c r="O179" s="62" t="str">
        <f t="shared" si="37"/>
        <v>-</v>
      </c>
      <c r="P179" s="54"/>
      <c r="Q179" s="62" t="str">
        <f t="shared" si="38"/>
        <v>-</v>
      </c>
    </row>
    <row r="180" spans="1:17" ht="23.4" x14ac:dyDescent="0.35">
      <c r="A180" s="16" t="s">
        <v>117</v>
      </c>
      <c r="B180" s="10">
        <v>196671009012</v>
      </c>
      <c r="C180" s="44" t="s">
        <v>452</v>
      </c>
      <c r="D180" s="1" t="s">
        <v>138</v>
      </c>
      <c r="E180" s="12">
        <v>0.62425000000000008</v>
      </c>
      <c r="F180" s="13">
        <v>12</v>
      </c>
      <c r="G180" s="14">
        <v>16.38</v>
      </c>
      <c r="H180" s="40"/>
      <c r="I180" s="36">
        <f t="shared" si="50"/>
        <v>0</v>
      </c>
      <c r="L180" s="61" t="str">
        <f t="shared" si="34"/>
        <v>-</v>
      </c>
      <c r="M180" s="61" t="str">
        <f t="shared" si="35"/>
        <v>-</v>
      </c>
      <c r="N180" s="50" t="str">
        <f t="shared" si="36"/>
        <v>-</v>
      </c>
      <c r="O180" s="62" t="str">
        <f t="shared" si="37"/>
        <v>-</v>
      </c>
      <c r="P180" s="54"/>
      <c r="Q180" s="62" t="str">
        <f t="shared" si="38"/>
        <v>-</v>
      </c>
    </row>
    <row r="181" spans="1:17" ht="23.4" x14ac:dyDescent="0.35">
      <c r="A181" s="16" t="s">
        <v>118</v>
      </c>
      <c r="B181" s="10">
        <v>196671009043</v>
      </c>
      <c r="C181" s="44" t="s">
        <v>453</v>
      </c>
      <c r="D181" s="1" t="s">
        <v>138</v>
      </c>
      <c r="E181" s="12">
        <v>0.63843749999999999</v>
      </c>
      <c r="F181" s="13">
        <v>12</v>
      </c>
      <c r="G181" s="14">
        <v>12.870000000000001</v>
      </c>
      <c r="H181" s="40"/>
      <c r="I181" s="36">
        <f t="shared" si="50"/>
        <v>0</v>
      </c>
      <c r="L181" s="61" t="str">
        <f t="shared" si="34"/>
        <v>-</v>
      </c>
      <c r="M181" s="61" t="str">
        <f t="shared" si="35"/>
        <v>-</v>
      </c>
      <c r="N181" s="50" t="str">
        <f t="shared" si="36"/>
        <v>-</v>
      </c>
      <c r="O181" s="62" t="str">
        <f t="shared" si="37"/>
        <v>-</v>
      </c>
      <c r="P181" s="54"/>
      <c r="Q181" s="62" t="str">
        <f t="shared" si="38"/>
        <v>-</v>
      </c>
    </row>
    <row r="182" spans="1:17" ht="23.4" x14ac:dyDescent="0.35">
      <c r="A182" s="16" t="s">
        <v>119</v>
      </c>
      <c r="B182" s="10">
        <v>196671009074</v>
      </c>
      <c r="C182" s="44" t="s">
        <v>454</v>
      </c>
      <c r="D182" s="1" t="s">
        <v>138</v>
      </c>
      <c r="E182" s="12">
        <v>0.93637499999999996</v>
      </c>
      <c r="F182" s="13">
        <v>6</v>
      </c>
      <c r="G182" s="14">
        <v>23.400000000000002</v>
      </c>
      <c r="H182" s="40"/>
      <c r="I182" s="36">
        <f t="shared" si="50"/>
        <v>0</v>
      </c>
      <c r="L182" s="61" t="str">
        <f t="shared" si="34"/>
        <v>-</v>
      </c>
      <c r="M182" s="61" t="str">
        <f t="shared" si="35"/>
        <v>-</v>
      </c>
      <c r="N182" s="50" t="str">
        <f t="shared" si="36"/>
        <v>-</v>
      </c>
      <c r="O182" s="62" t="str">
        <f t="shared" si="37"/>
        <v>-</v>
      </c>
      <c r="P182" s="54"/>
      <c r="Q182" s="62" t="str">
        <f t="shared" si="38"/>
        <v>-</v>
      </c>
    </row>
    <row r="183" spans="1:17" ht="23.4" x14ac:dyDescent="0.35">
      <c r="A183" s="16" t="s">
        <v>113</v>
      </c>
      <c r="B183" s="10">
        <v>196671008732</v>
      </c>
      <c r="C183" s="44" t="s">
        <v>455</v>
      </c>
      <c r="D183" s="1" t="s">
        <v>114</v>
      </c>
      <c r="E183" s="12">
        <v>0.49713000000000002</v>
      </c>
      <c r="F183" s="13">
        <v>12</v>
      </c>
      <c r="G183" s="14">
        <v>17.55</v>
      </c>
      <c r="H183" s="40"/>
      <c r="I183" s="36">
        <f>H183*G183</f>
        <v>0</v>
      </c>
      <c r="L183" s="61" t="str">
        <f t="shared" si="34"/>
        <v>-</v>
      </c>
      <c r="M183" s="61" t="str">
        <f t="shared" si="35"/>
        <v>-</v>
      </c>
      <c r="N183" s="50" t="str">
        <f t="shared" si="36"/>
        <v>-</v>
      </c>
      <c r="O183" s="62" t="str">
        <f t="shared" si="37"/>
        <v>-</v>
      </c>
      <c r="P183" s="54"/>
      <c r="Q183" s="62" t="str">
        <f t="shared" si="38"/>
        <v>-</v>
      </c>
    </row>
    <row r="184" spans="1:17" ht="23.4" x14ac:dyDescent="0.35">
      <c r="A184" s="16" t="s">
        <v>123</v>
      </c>
      <c r="B184" s="10">
        <v>196671008749</v>
      </c>
      <c r="C184" s="44" t="s">
        <v>456</v>
      </c>
      <c r="D184" s="1" t="s">
        <v>124</v>
      </c>
      <c r="E184" s="12">
        <v>0.56182500000000002</v>
      </c>
      <c r="F184" s="13">
        <v>12</v>
      </c>
      <c r="G184" s="14">
        <v>20.475000000000001</v>
      </c>
      <c r="H184" s="40"/>
      <c r="I184" s="36">
        <f>H184*G184</f>
        <v>0</v>
      </c>
      <c r="L184" s="61" t="str">
        <f t="shared" si="34"/>
        <v>-</v>
      </c>
      <c r="M184" s="61" t="str">
        <f t="shared" si="35"/>
        <v>-</v>
      </c>
      <c r="N184" s="50" t="str">
        <f t="shared" si="36"/>
        <v>-</v>
      </c>
      <c r="O184" s="62" t="str">
        <f t="shared" si="37"/>
        <v>-</v>
      </c>
      <c r="P184" s="54"/>
      <c r="Q184" s="62" t="str">
        <f t="shared" si="38"/>
        <v>-</v>
      </c>
    </row>
    <row r="185" spans="1:17" ht="23.4" x14ac:dyDescent="0.35">
      <c r="A185" s="16" t="s">
        <v>201</v>
      </c>
      <c r="B185" s="10">
        <v>196671004635</v>
      </c>
      <c r="C185" s="44" t="s">
        <v>457</v>
      </c>
      <c r="D185" s="1" t="s">
        <v>216</v>
      </c>
      <c r="E185" s="12">
        <v>0.56523000000000001</v>
      </c>
      <c r="F185" s="13">
        <v>12</v>
      </c>
      <c r="G185" s="14">
        <v>11.700000000000001</v>
      </c>
      <c r="H185" s="40"/>
      <c r="I185" s="36">
        <f>H185*G185</f>
        <v>0</v>
      </c>
      <c r="L185" s="61" t="str">
        <f t="shared" si="34"/>
        <v>-</v>
      </c>
      <c r="M185" s="61" t="str">
        <f t="shared" si="35"/>
        <v>-</v>
      </c>
      <c r="N185" s="50" t="str">
        <f t="shared" si="36"/>
        <v>-</v>
      </c>
      <c r="O185" s="62" t="str">
        <f t="shared" si="37"/>
        <v>-</v>
      </c>
      <c r="P185" s="54"/>
      <c r="Q185" s="62" t="str">
        <f t="shared" si="38"/>
        <v>-</v>
      </c>
    </row>
    <row r="186" spans="1:17" ht="23.4" x14ac:dyDescent="0.35">
      <c r="A186" s="15" t="s">
        <v>54</v>
      </c>
      <c r="B186" s="8">
        <v>196671004703</v>
      </c>
      <c r="C186" s="48" t="s">
        <v>458</v>
      </c>
      <c r="D186" s="2" t="s">
        <v>99</v>
      </c>
      <c r="E186" s="12">
        <v>0.53798999999999997</v>
      </c>
      <c r="F186" s="13">
        <v>12</v>
      </c>
      <c r="G186" s="14">
        <v>7.6049999999999995</v>
      </c>
      <c r="H186" s="39"/>
      <c r="I186" s="36">
        <f t="shared" ref="I186:I193" si="51">H186*G186</f>
        <v>0</v>
      </c>
      <c r="L186" s="61" t="str">
        <f t="shared" ref="L186:L212" si="52">IFERROR(IF($L$2*E186=0, "-", $L$2*E186), "-")</f>
        <v>-</v>
      </c>
      <c r="M186" s="61" t="str">
        <f t="shared" ref="M186:M212" si="53">IFERROR(IF(L186&gt;0,G186+L186,"-"),"-")</f>
        <v>-</v>
      </c>
      <c r="N186" s="50" t="str">
        <f t="shared" ref="N186:N212" si="54">IF(H186&gt;0,H186*E186, "-")</f>
        <v>-</v>
      </c>
      <c r="O186" s="62" t="str">
        <f t="shared" ref="O186:O212" si="55">IFERROR(IF($L$2&gt;0, $L$2*N186, "-"), "-")</f>
        <v>-</v>
      </c>
      <c r="P186" s="54"/>
      <c r="Q186" s="62" t="str">
        <f t="shared" ref="Q186:Q212" si="56">IFERROR(IF(O186+I186=0, "-", IF(O186&gt;0, O186+I186, "-")), "-")</f>
        <v>-</v>
      </c>
    </row>
    <row r="187" spans="1:17" ht="23.4" x14ac:dyDescent="0.35">
      <c r="A187" s="16" t="s">
        <v>55</v>
      </c>
      <c r="B187" s="10">
        <v>196671004727</v>
      </c>
      <c r="C187" s="44" t="s">
        <v>459</v>
      </c>
      <c r="D187" s="1" t="s">
        <v>99</v>
      </c>
      <c r="E187" s="12">
        <v>0.62992499999999996</v>
      </c>
      <c r="F187" s="13">
        <v>12</v>
      </c>
      <c r="G187" s="14">
        <v>9.3600000000000012</v>
      </c>
      <c r="H187" s="40"/>
      <c r="I187" s="36">
        <f t="shared" si="51"/>
        <v>0</v>
      </c>
      <c r="L187" s="61" t="str">
        <f t="shared" si="52"/>
        <v>-</v>
      </c>
      <c r="M187" s="61" t="str">
        <f t="shared" si="53"/>
        <v>-</v>
      </c>
      <c r="N187" s="50" t="str">
        <f t="shared" si="54"/>
        <v>-</v>
      </c>
      <c r="O187" s="62" t="str">
        <f t="shared" si="55"/>
        <v>-</v>
      </c>
      <c r="P187" s="54"/>
      <c r="Q187" s="62" t="str">
        <f t="shared" si="56"/>
        <v>-</v>
      </c>
    </row>
    <row r="188" spans="1:17" ht="23.4" x14ac:dyDescent="0.35">
      <c r="A188" s="16" t="s">
        <v>56</v>
      </c>
      <c r="B188" s="10">
        <v>196671004741</v>
      </c>
      <c r="C188" s="44" t="s">
        <v>460</v>
      </c>
      <c r="D188" s="1" t="s">
        <v>99</v>
      </c>
      <c r="E188" s="12">
        <v>0.62992499999999996</v>
      </c>
      <c r="F188" s="13">
        <v>12</v>
      </c>
      <c r="G188" s="14">
        <v>9.3600000000000012</v>
      </c>
      <c r="H188" s="40"/>
      <c r="I188" s="36">
        <f t="shared" si="51"/>
        <v>0</v>
      </c>
      <c r="L188" s="61" t="str">
        <f t="shared" si="52"/>
        <v>-</v>
      </c>
      <c r="M188" s="61" t="str">
        <f t="shared" si="53"/>
        <v>-</v>
      </c>
      <c r="N188" s="50" t="str">
        <f t="shared" si="54"/>
        <v>-</v>
      </c>
      <c r="O188" s="62" t="str">
        <f t="shared" si="55"/>
        <v>-</v>
      </c>
      <c r="P188" s="54"/>
      <c r="Q188" s="62" t="str">
        <f t="shared" si="56"/>
        <v>-</v>
      </c>
    </row>
    <row r="189" spans="1:17" ht="23.4" x14ac:dyDescent="0.35">
      <c r="A189" s="16" t="s">
        <v>73</v>
      </c>
      <c r="B189" s="10">
        <v>196671007322</v>
      </c>
      <c r="C189" s="44" t="s">
        <v>461</v>
      </c>
      <c r="D189" s="1" t="s">
        <v>99</v>
      </c>
      <c r="E189" s="12">
        <v>0.6129</v>
      </c>
      <c r="F189" s="13">
        <v>12</v>
      </c>
      <c r="G189" s="14">
        <v>9.3600000000000012</v>
      </c>
      <c r="H189" s="40"/>
      <c r="I189" s="36">
        <f t="shared" si="51"/>
        <v>0</v>
      </c>
      <c r="L189" s="61" t="str">
        <f t="shared" si="52"/>
        <v>-</v>
      </c>
      <c r="M189" s="61" t="str">
        <f t="shared" si="53"/>
        <v>-</v>
      </c>
      <c r="N189" s="50" t="str">
        <f t="shared" si="54"/>
        <v>-</v>
      </c>
      <c r="O189" s="62" t="str">
        <f t="shared" si="55"/>
        <v>-</v>
      </c>
      <c r="P189" s="54"/>
      <c r="Q189" s="62" t="str">
        <f t="shared" si="56"/>
        <v>-</v>
      </c>
    </row>
    <row r="190" spans="1:17" ht="23.4" x14ac:dyDescent="0.35">
      <c r="A190" s="16" t="s">
        <v>57</v>
      </c>
      <c r="B190" s="10">
        <v>196671006806</v>
      </c>
      <c r="C190" s="44" t="s">
        <v>462</v>
      </c>
      <c r="D190" s="1" t="s">
        <v>99</v>
      </c>
      <c r="E190" s="12">
        <v>0.62311499999999997</v>
      </c>
      <c r="F190" s="13">
        <v>12</v>
      </c>
      <c r="G190" s="14">
        <v>9.3600000000000012</v>
      </c>
      <c r="H190" s="40"/>
      <c r="I190" s="36">
        <f t="shared" si="51"/>
        <v>0</v>
      </c>
      <c r="L190" s="61" t="str">
        <f t="shared" si="52"/>
        <v>-</v>
      </c>
      <c r="M190" s="61" t="str">
        <f t="shared" si="53"/>
        <v>-</v>
      </c>
      <c r="N190" s="50" t="str">
        <f t="shared" si="54"/>
        <v>-</v>
      </c>
      <c r="O190" s="62" t="str">
        <f t="shared" si="55"/>
        <v>-</v>
      </c>
      <c r="P190" s="54"/>
      <c r="Q190" s="62" t="str">
        <f t="shared" si="56"/>
        <v>-</v>
      </c>
    </row>
    <row r="191" spans="1:17" ht="23.4" x14ac:dyDescent="0.35">
      <c r="A191" s="16" t="s">
        <v>58</v>
      </c>
      <c r="B191" s="10">
        <v>196671006813</v>
      </c>
      <c r="C191" s="44" t="s">
        <v>463</v>
      </c>
      <c r="D191" s="1" t="s">
        <v>99</v>
      </c>
      <c r="E191" s="12">
        <v>0.62311499999999997</v>
      </c>
      <c r="F191" s="13">
        <v>12</v>
      </c>
      <c r="G191" s="14">
        <v>9.3600000000000012</v>
      </c>
      <c r="H191" s="40"/>
      <c r="I191" s="36">
        <f t="shared" si="51"/>
        <v>0</v>
      </c>
      <c r="L191" s="61" t="str">
        <f t="shared" si="52"/>
        <v>-</v>
      </c>
      <c r="M191" s="61" t="str">
        <f t="shared" si="53"/>
        <v>-</v>
      </c>
      <c r="N191" s="50" t="str">
        <f t="shared" si="54"/>
        <v>-</v>
      </c>
      <c r="O191" s="62" t="str">
        <f t="shared" si="55"/>
        <v>-</v>
      </c>
      <c r="P191" s="54"/>
      <c r="Q191" s="62" t="str">
        <f t="shared" si="56"/>
        <v>-</v>
      </c>
    </row>
    <row r="192" spans="1:17" ht="23.4" x14ac:dyDescent="0.35">
      <c r="A192" s="16" t="s">
        <v>202</v>
      </c>
      <c r="B192" s="10">
        <v>196671003218</v>
      </c>
      <c r="C192" s="44" t="s">
        <v>464</v>
      </c>
      <c r="D192" s="1" t="s">
        <v>99</v>
      </c>
      <c r="E192" s="12">
        <v>0.62992499999999996</v>
      </c>
      <c r="F192" s="13">
        <v>12</v>
      </c>
      <c r="G192" s="14">
        <v>9.3600000000000012</v>
      </c>
      <c r="H192" s="40"/>
      <c r="I192" s="36">
        <f t="shared" si="51"/>
        <v>0</v>
      </c>
      <c r="L192" s="61" t="str">
        <f t="shared" si="52"/>
        <v>-</v>
      </c>
      <c r="M192" s="61" t="str">
        <f t="shared" si="53"/>
        <v>-</v>
      </c>
      <c r="N192" s="50" t="str">
        <f t="shared" si="54"/>
        <v>-</v>
      </c>
      <c r="O192" s="62" t="str">
        <f t="shared" si="55"/>
        <v>-</v>
      </c>
      <c r="P192" s="54"/>
      <c r="Q192" s="62" t="str">
        <f t="shared" si="56"/>
        <v>-</v>
      </c>
    </row>
    <row r="193" spans="1:17" ht="23.4" x14ac:dyDescent="0.35">
      <c r="A193" s="16" t="s">
        <v>203</v>
      </c>
      <c r="B193" s="10">
        <v>196671003232</v>
      </c>
      <c r="C193" s="44" t="s">
        <v>465</v>
      </c>
      <c r="D193" s="1" t="s">
        <v>99</v>
      </c>
      <c r="E193" s="12">
        <v>0.6129</v>
      </c>
      <c r="F193" s="13">
        <v>12</v>
      </c>
      <c r="G193" s="14">
        <v>9.3600000000000012</v>
      </c>
      <c r="H193" s="40"/>
      <c r="I193" s="36">
        <f t="shared" si="51"/>
        <v>0</v>
      </c>
      <c r="L193" s="61" t="str">
        <f t="shared" si="52"/>
        <v>-</v>
      </c>
      <c r="M193" s="61" t="str">
        <f t="shared" si="53"/>
        <v>-</v>
      </c>
      <c r="N193" s="50" t="str">
        <f t="shared" si="54"/>
        <v>-</v>
      </c>
      <c r="O193" s="62" t="str">
        <f t="shared" si="55"/>
        <v>-</v>
      </c>
      <c r="P193" s="54"/>
      <c r="Q193" s="62" t="str">
        <f t="shared" si="56"/>
        <v>-</v>
      </c>
    </row>
    <row r="194" spans="1:17" ht="23.4" x14ac:dyDescent="0.35">
      <c r="A194" s="16" t="s">
        <v>94</v>
      </c>
      <c r="B194" s="10">
        <v>196671004710</v>
      </c>
      <c r="C194" s="44" t="s">
        <v>466</v>
      </c>
      <c r="D194" s="1" t="s">
        <v>99</v>
      </c>
      <c r="E194" s="12">
        <v>0.73547999999999991</v>
      </c>
      <c r="F194" s="13">
        <v>12</v>
      </c>
      <c r="G194" s="14">
        <v>11.700000000000001</v>
      </c>
      <c r="H194" s="40"/>
      <c r="I194" s="36">
        <f t="shared" ref="I194:I201" si="57">H194*G194</f>
        <v>0</v>
      </c>
      <c r="L194" s="61" t="str">
        <f t="shared" si="52"/>
        <v>-</v>
      </c>
      <c r="M194" s="61" t="str">
        <f t="shared" si="53"/>
        <v>-</v>
      </c>
      <c r="N194" s="50" t="str">
        <f t="shared" si="54"/>
        <v>-</v>
      </c>
      <c r="O194" s="62" t="str">
        <f t="shared" si="55"/>
        <v>-</v>
      </c>
      <c r="P194" s="54"/>
      <c r="Q194" s="62" t="str">
        <f t="shared" si="56"/>
        <v>-</v>
      </c>
    </row>
    <row r="195" spans="1:17" ht="23.4" x14ac:dyDescent="0.35">
      <c r="A195" s="16" t="s">
        <v>95</v>
      </c>
      <c r="B195" s="10">
        <v>196671004734</v>
      </c>
      <c r="C195" s="44" t="s">
        <v>467</v>
      </c>
      <c r="D195" s="1" t="s">
        <v>99</v>
      </c>
      <c r="E195" s="12">
        <v>0.91935000000000011</v>
      </c>
      <c r="F195" s="13">
        <v>12</v>
      </c>
      <c r="G195" s="14">
        <v>15.209999999999999</v>
      </c>
      <c r="H195" s="40"/>
      <c r="I195" s="36">
        <f t="shared" si="57"/>
        <v>0</v>
      </c>
      <c r="L195" s="61" t="str">
        <f t="shared" si="52"/>
        <v>-</v>
      </c>
      <c r="M195" s="61" t="str">
        <f t="shared" si="53"/>
        <v>-</v>
      </c>
      <c r="N195" s="50" t="str">
        <f t="shared" si="54"/>
        <v>-</v>
      </c>
      <c r="O195" s="62" t="str">
        <f t="shared" si="55"/>
        <v>-</v>
      </c>
      <c r="P195" s="54"/>
      <c r="Q195" s="62" t="str">
        <f t="shared" si="56"/>
        <v>-</v>
      </c>
    </row>
    <row r="196" spans="1:17" ht="23.4" x14ac:dyDescent="0.35">
      <c r="A196" s="16" t="s">
        <v>59</v>
      </c>
      <c r="B196" s="10">
        <v>196671004758</v>
      </c>
      <c r="C196" s="44" t="s">
        <v>468</v>
      </c>
      <c r="D196" s="1" t="s">
        <v>99</v>
      </c>
      <c r="E196" s="12">
        <v>0.91935000000000011</v>
      </c>
      <c r="F196" s="13">
        <v>12</v>
      </c>
      <c r="G196" s="14">
        <v>15.209999999999999</v>
      </c>
      <c r="H196" s="40"/>
      <c r="I196" s="36">
        <f t="shared" si="57"/>
        <v>0</v>
      </c>
      <c r="L196" s="61" t="str">
        <f t="shared" si="52"/>
        <v>-</v>
      </c>
      <c r="M196" s="61" t="str">
        <f t="shared" si="53"/>
        <v>-</v>
      </c>
      <c r="N196" s="50" t="str">
        <f t="shared" si="54"/>
        <v>-</v>
      </c>
      <c r="O196" s="62" t="str">
        <f t="shared" si="55"/>
        <v>-</v>
      </c>
      <c r="P196" s="54"/>
      <c r="Q196" s="62" t="str">
        <f t="shared" si="56"/>
        <v>-</v>
      </c>
    </row>
    <row r="197" spans="1:17" ht="23.4" x14ac:dyDescent="0.35">
      <c r="A197" s="16" t="s">
        <v>74</v>
      </c>
      <c r="B197" s="10">
        <v>196671007216</v>
      </c>
      <c r="C197" s="44" t="s">
        <v>469</v>
      </c>
      <c r="D197" s="1" t="s">
        <v>99</v>
      </c>
      <c r="E197" s="12">
        <v>0.88530000000000009</v>
      </c>
      <c r="F197" s="13">
        <v>12</v>
      </c>
      <c r="G197" s="14">
        <v>15.209999999999999</v>
      </c>
      <c r="H197" s="40"/>
      <c r="I197" s="36">
        <f t="shared" si="57"/>
        <v>0</v>
      </c>
      <c r="L197" s="61" t="str">
        <f t="shared" si="52"/>
        <v>-</v>
      </c>
      <c r="M197" s="61" t="str">
        <f t="shared" si="53"/>
        <v>-</v>
      </c>
      <c r="N197" s="50" t="str">
        <f t="shared" si="54"/>
        <v>-</v>
      </c>
      <c r="O197" s="62" t="str">
        <f t="shared" si="55"/>
        <v>-</v>
      </c>
      <c r="P197" s="54"/>
      <c r="Q197" s="62" t="str">
        <f t="shared" si="56"/>
        <v>-</v>
      </c>
    </row>
    <row r="198" spans="1:17" ht="23.4" x14ac:dyDescent="0.35">
      <c r="A198" s="16" t="s">
        <v>61</v>
      </c>
      <c r="B198" s="10">
        <v>196671008626</v>
      </c>
      <c r="C198" s="44" t="s">
        <v>470</v>
      </c>
      <c r="D198" s="1" t="s">
        <v>99</v>
      </c>
      <c r="E198" s="12">
        <v>0.90573000000000004</v>
      </c>
      <c r="F198" s="13">
        <v>12</v>
      </c>
      <c r="G198" s="14">
        <v>15.209999999999999</v>
      </c>
      <c r="H198" s="40"/>
      <c r="I198" s="36">
        <f t="shared" si="57"/>
        <v>0</v>
      </c>
      <c r="L198" s="61" t="str">
        <f t="shared" si="52"/>
        <v>-</v>
      </c>
      <c r="M198" s="61" t="str">
        <f t="shared" si="53"/>
        <v>-</v>
      </c>
      <c r="N198" s="50" t="str">
        <f t="shared" si="54"/>
        <v>-</v>
      </c>
      <c r="O198" s="62" t="str">
        <f t="shared" si="55"/>
        <v>-</v>
      </c>
      <c r="P198" s="54"/>
      <c r="Q198" s="62" t="str">
        <f t="shared" si="56"/>
        <v>-</v>
      </c>
    </row>
    <row r="199" spans="1:17" ht="23.4" x14ac:dyDescent="0.35">
      <c r="A199" s="16" t="s">
        <v>204</v>
      </c>
      <c r="B199" s="10">
        <v>196671003225</v>
      </c>
      <c r="C199" s="44" t="s">
        <v>471</v>
      </c>
      <c r="D199" s="1" t="s">
        <v>99</v>
      </c>
      <c r="E199" s="12">
        <v>0.91935000000000011</v>
      </c>
      <c r="F199" s="13">
        <v>12</v>
      </c>
      <c r="G199" s="14">
        <v>15.209999999999999</v>
      </c>
      <c r="H199" s="40"/>
      <c r="I199" s="36">
        <f t="shared" si="57"/>
        <v>0</v>
      </c>
      <c r="L199" s="61" t="str">
        <f t="shared" si="52"/>
        <v>-</v>
      </c>
      <c r="M199" s="61" t="str">
        <f t="shared" si="53"/>
        <v>-</v>
      </c>
      <c r="N199" s="50" t="str">
        <f t="shared" si="54"/>
        <v>-</v>
      </c>
      <c r="O199" s="62" t="str">
        <f t="shared" si="55"/>
        <v>-</v>
      </c>
      <c r="P199" s="54"/>
      <c r="Q199" s="62" t="str">
        <f t="shared" si="56"/>
        <v>-</v>
      </c>
    </row>
    <row r="200" spans="1:17" ht="23.4" x14ac:dyDescent="0.35">
      <c r="A200" s="16" t="s">
        <v>205</v>
      </c>
      <c r="B200" s="10">
        <v>196671003249</v>
      </c>
      <c r="C200" s="44" t="s">
        <v>472</v>
      </c>
      <c r="D200" s="1" t="s">
        <v>99</v>
      </c>
      <c r="E200" s="12">
        <v>0.88530000000000009</v>
      </c>
      <c r="F200" s="13">
        <v>12</v>
      </c>
      <c r="G200" s="14">
        <v>15.209999999999999</v>
      </c>
      <c r="H200" s="40"/>
      <c r="I200" s="36">
        <f t="shared" si="57"/>
        <v>0</v>
      </c>
      <c r="L200" s="61" t="str">
        <f t="shared" si="52"/>
        <v>-</v>
      </c>
      <c r="M200" s="61" t="str">
        <f t="shared" si="53"/>
        <v>-</v>
      </c>
      <c r="N200" s="50" t="str">
        <f t="shared" si="54"/>
        <v>-</v>
      </c>
      <c r="O200" s="62" t="str">
        <f t="shared" si="55"/>
        <v>-</v>
      </c>
      <c r="P200" s="54"/>
      <c r="Q200" s="62" t="str">
        <f t="shared" si="56"/>
        <v>-</v>
      </c>
    </row>
    <row r="201" spans="1:17" ht="23.4" x14ac:dyDescent="0.35">
      <c r="A201" s="16" t="s">
        <v>60</v>
      </c>
      <c r="B201" s="10">
        <v>196671006837</v>
      </c>
      <c r="C201" s="44" t="s">
        <v>473</v>
      </c>
      <c r="D201" s="1" t="s">
        <v>99</v>
      </c>
      <c r="E201" s="12">
        <v>0.90573000000000004</v>
      </c>
      <c r="F201" s="13">
        <v>12</v>
      </c>
      <c r="G201" s="14">
        <v>15.209999999999999</v>
      </c>
      <c r="H201" s="40"/>
      <c r="I201" s="36">
        <f t="shared" si="57"/>
        <v>0</v>
      </c>
      <c r="L201" s="61" t="str">
        <f t="shared" si="52"/>
        <v>-</v>
      </c>
      <c r="M201" s="61" t="str">
        <f t="shared" si="53"/>
        <v>-</v>
      </c>
      <c r="N201" s="50" t="str">
        <f t="shared" si="54"/>
        <v>-</v>
      </c>
      <c r="O201" s="62" t="str">
        <f t="shared" si="55"/>
        <v>-</v>
      </c>
      <c r="P201" s="54"/>
      <c r="Q201" s="62" t="str">
        <f t="shared" si="56"/>
        <v>-</v>
      </c>
    </row>
    <row r="202" spans="1:17" ht="23.4" x14ac:dyDescent="0.35">
      <c r="A202" s="16" t="s">
        <v>253</v>
      </c>
      <c r="B202" s="10">
        <v>196671003690</v>
      </c>
      <c r="C202" s="44" t="s">
        <v>474</v>
      </c>
      <c r="D202" s="1" t="s">
        <v>101</v>
      </c>
      <c r="E202" s="12">
        <v>0.62425000000000008</v>
      </c>
      <c r="F202" s="13">
        <v>12</v>
      </c>
      <c r="G202" s="14">
        <v>11.700000000000001</v>
      </c>
      <c r="H202" s="40"/>
      <c r="I202" s="36">
        <f t="shared" ref="I202:I204" si="58">H202*G202</f>
        <v>0</v>
      </c>
      <c r="L202" s="61" t="str">
        <f t="shared" si="52"/>
        <v>-</v>
      </c>
      <c r="M202" s="61" t="str">
        <f t="shared" si="53"/>
        <v>-</v>
      </c>
      <c r="N202" s="50" t="str">
        <f t="shared" si="54"/>
        <v>-</v>
      </c>
      <c r="O202" s="62" t="str">
        <f t="shared" si="55"/>
        <v>-</v>
      </c>
      <c r="P202" s="54"/>
      <c r="Q202" s="62" t="str">
        <f t="shared" si="56"/>
        <v>-</v>
      </c>
    </row>
    <row r="203" spans="1:17" ht="23.4" x14ac:dyDescent="0.35">
      <c r="A203" s="16" t="s">
        <v>254</v>
      </c>
      <c r="B203" s="10">
        <v>196671003706</v>
      </c>
      <c r="C203" s="44" t="s">
        <v>475</v>
      </c>
      <c r="D203" s="1" t="s">
        <v>101</v>
      </c>
      <c r="E203" s="12">
        <v>0.90800000000000003</v>
      </c>
      <c r="F203" s="13">
        <v>12</v>
      </c>
      <c r="G203" s="14">
        <v>19.305</v>
      </c>
      <c r="H203" s="40"/>
      <c r="I203" s="36">
        <f t="shared" si="58"/>
        <v>0</v>
      </c>
      <c r="L203" s="61" t="str">
        <f t="shared" si="52"/>
        <v>-</v>
      </c>
      <c r="M203" s="61" t="str">
        <f t="shared" si="53"/>
        <v>-</v>
      </c>
      <c r="N203" s="50" t="str">
        <f t="shared" si="54"/>
        <v>-</v>
      </c>
      <c r="O203" s="62" t="str">
        <f t="shared" si="55"/>
        <v>-</v>
      </c>
      <c r="P203" s="54"/>
      <c r="Q203" s="62" t="str">
        <f t="shared" si="56"/>
        <v>-</v>
      </c>
    </row>
    <row r="204" spans="1:17" ht="23.4" x14ac:dyDescent="0.35">
      <c r="A204" s="16" t="s">
        <v>100</v>
      </c>
      <c r="B204" s="10">
        <v>196671004765</v>
      </c>
      <c r="C204" s="44" t="s">
        <v>476</v>
      </c>
      <c r="D204" s="1" t="s">
        <v>101</v>
      </c>
      <c r="E204" s="12">
        <v>0.51755999999999991</v>
      </c>
      <c r="F204" s="13">
        <v>12</v>
      </c>
      <c r="G204" s="14">
        <v>8.19</v>
      </c>
      <c r="H204" s="40"/>
      <c r="I204" s="36">
        <f t="shared" si="58"/>
        <v>0</v>
      </c>
      <c r="L204" s="61" t="str">
        <f t="shared" si="52"/>
        <v>-</v>
      </c>
      <c r="M204" s="61" t="str">
        <f t="shared" si="53"/>
        <v>-</v>
      </c>
      <c r="N204" s="50" t="str">
        <f t="shared" si="54"/>
        <v>-</v>
      </c>
      <c r="O204" s="62" t="str">
        <f t="shared" si="55"/>
        <v>-</v>
      </c>
      <c r="P204" s="54"/>
      <c r="Q204" s="62" t="str">
        <f t="shared" si="56"/>
        <v>-</v>
      </c>
    </row>
    <row r="205" spans="1:17" ht="23.4" x14ac:dyDescent="0.35">
      <c r="A205" s="16" t="s">
        <v>206</v>
      </c>
      <c r="B205" s="10">
        <v>196671003256</v>
      </c>
      <c r="C205" s="44" t="s">
        <v>477</v>
      </c>
      <c r="D205" s="1" t="s">
        <v>101</v>
      </c>
      <c r="E205" s="12">
        <v>0.57884999999999998</v>
      </c>
      <c r="F205" s="13">
        <v>12</v>
      </c>
      <c r="G205" s="14">
        <v>9.3600000000000012</v>
      </c>
      <c r="H205" s="40"/>
      <c r="I205" s="36">
        <f t="shared" ref="I205:I226" si="59">H205*G205</f>
        <v>0</v>
      </c>
      <c r="L205" s="61" t="str">
        <f t="shared" si="52"/>
        <v>-</v>
      </c>
      <c r="M205" s="61" t="str">
        <f t="shared" si="53"/>
        <v>-</v>
      </c>
      <c r="N205" s="50" t="str">
        <f t="shared" si="54"/>
        <v>-</v>
      </c>
      <c r="O205" s="62" t="str">
        <f t="shared" si="55"/>
        <v>-</v>
      </c>
      <c r="P205" s="54"/>
      <c r="Q205" s="62" t="str">
        <f t="shared" si="56"/>
        <v>-</v>
      </c>
    </row>
    <row r="206" spans="1:17" ht="23.4" x14ac:dyDescent="0.35">
      <c r="A206" s="16" t="s">
        <v>207</v>
      </c>
      <c r="B206" s="10">
        <v>196671003263</v>
      </c>
      <c r="C206" s="44" t="s">
        <v>478</v>
      </c>
      <c r="D206" s="1" t="s">
        <v>101</v>
      </c>
      <c r="E206" s="12">
        <v>0.57884999999999998</v>
      </c>
      <c r="F206" s="13">
        <v>12</v>
      </c>
      <c r="G206" s="14">
        <v>9.3600000000000012</v>
      </c>
      <c r="H206" s="40"/>
      <c r="I206" s="36">
        <f t="shared" si="59"/>
        <v>0</v>
      </c>
      <c r="L206" s="61" t="str">
        <f t="shared" si="52"/>
        <v>-</v>
      </c>
      <c r="M206" s="61" t="str">
        <f t="shared" si="53"/>
        <v>-</v>
      </c>
      <c r="N206" s="50" t="str">
        <f t="shared" si="54"/>
        <v>-</v>
      </c>
      <c r="O206" s="62" t="str">
        <f t="shared" si="55"/>
        <v>-</v>
      </c>
      <c r="P206" s="54"/>
      <c r="Q206" s="62" t="str">
        <f t="shared" si="56"/>
        <v>-</v>
      </c>
    </row>
    <row r="207" spans="1:17" ht="23.4" x14ac:dyDescent="0.35">
      <c r="A207" s="16" t="s">
        <v>208</v>
      </c>
      <c r="B207" s="10">
        <v>196671003270</v>
      </c>
      <c r="C207" s="44" t="s">
        <v>479</v>
      </c>
      <c r="D207" s="1" t="s">
        <v>101</v>
      </c>
      <c r="E207" s="12">
        <v>0.81719999999999993</v>
      </c>
      <c r="F207" s="13">
        <v>12</v>
      </c>
      <c r="G207" s="14">
        <v>14.04</v>
      </c>
      <c r="H207" s="40"/>
      <c r="I207" s="36">
        <f t="shared" si="59"/>
        <v>0</v>
      </c>
      <c r="L207" s="61" t="str">
        <f t="shared" si="52"/>
        <v>-</v>
      </c>
      <c r="M207" s="61" t="str">
        <f t="shared" si="53"/>
        <v>-</v>
      </c>
      <c r="N207" s="50" t="str">
        <f t="shared" si="54"/>
        <v>-</v>
      </c>
      <c r="O207" s="62" t="str">
        <f t="shared" si="55"/>
        <v>-</v>
      </c>
      <c r="P207" s="54"/>
      <c r="Q207" s="62" t="str">
        <f t="shared" si="56"/>
        <v>-</v>
      </c>
    </row>
    <row r="208" spans="1:17" ht="23.4" x14ac:dyDescent="0.35">
      <c r="A208" s="16" t="s">
        <v>209</v>
      </c>
      <c r="B208" s="10">
        <v>196671003287</v>
      </c>
      <c r="C208" s="44" t="s">
        <v>480</v>
      </c>
      <c r="D208" s="1" t="s">
        <v>101</v>
      </c>
      <c r="E208" s="12">
        <v>0.81719999999999993</v>
      </c>
      <c r="F208" s="13">
        <v>12</v>
      </c>
      <c r="G208" s="14">
        <v>14.04</v>
      </c>
      <c r="H208" s="40"/>
      <c r="I208" s="36">
        <f t="shared" si="59"/>
        <v>0</v>
      </c>
      <c r="L208" s="61" t="str">
        <f t="shared" si="52"/>
        <v>-</v>
      </c>
      <c r="M208" s="61" t="str">
        <f t="shared" si="53"/>
        <v>-</v>
      </c>
      <c r="N208" s="50" t="str">
        <f t="shared" si="54"/>
        <v>-</v>
      </c>
      <c r="O208" s="62" t="str">
        <f t="shared" si="55"/>
        <v>-</v>
      </c>
      <c r="P208" s="54"/>
      <c r="Q208" s="62" t="str">
        <f t="shared" si="56"/>
        <v>-</v>
      </c>
    </row>
    <row r="209" spans="1:17" ht="23.4" x14ac:dyDescent="0.35">
      <c r="A209" s="16" t="s">
        <v>62</v>
      </c>
      <c r="B209" s="10">
        <v>196671004512</v>
      </c>
      <c r="C209" s="44" t="s">
        <v>481</v>
      </c>
      <c r="D209" s="1" t="s">
        <v>101</v>
      </c>
      <c r="E209" s="12">
        <v>0.7831499999999999</v>
      </c>
      <c r="F209" s="13">
        <v>12</v>
      </c>
      <c r="G209" s="14">
        <v>14.04</v>
      </c>
      <c r="H209" s="40"/>
      <c r="I209" s="36">
        <f t="shared" si="59"/>
        <v>0</v>
      </c>
      <c r="L209" s="61" t="str">
        <f t="shared" si="52"/>
        <v>-</v>
      </c>
      <c r="M209" s="61" t="str">
        <f t="shared" si="53"/>
        <v>-</v>
      </c>
      <c r="N209" s="50" t="str">
        <f t="shared" si="54"/>
        <v>-</v>
      </c>
      <c r="O209" s="62" t="str">
        <f t="shared" si="55"/>
        <v>-</v>
      </c>
      <c r="P209" s="54"/>
      <c r="Q209" s="62" t="str">
        <f t="shared" si="56"/>
        <v>-</v>
      </c>
    </row>
    <row r="210" spans="1:17" ht="23.4" x14ac:dyDescent="0.35">
      <c r="A210" s="16" t="s">
        <v>63</v>
      </c>
      <c r="B210" s="10">
        <v>196671004529</v>
      </c>
      <c r="C210" s="44" t="s">
        <v>482</v>
      </c>
      <c r="D210" s="1" t="s">
        <v>101</v>
      </c>
      <c r="E210" s="12">
        <v>1.1077600000000001</v>
      </c>
      <c r="F210" s="13">
        <v>6</v>
      </c>
      <c r="G210" s="14">
        <v>20.475000000000001</v>
      </c>
      <c r="H210" s="40"/>
      <c r="I210" s="36">
        <f t="shared" si="59"/>
        <v>0</v>
      </c>
      <c r="L210" s="61" t="str">
        <f t="shared" si="52"/>
        <v>-</v>
      </c>
      <c r="M210" s="61" t="str">
        <f t="shared" si="53"/>
        <v>-</v>
      </c>
      <c r="N210" s="50" t="str">
        <f t="shared" si="54"/>
        <v>-</v>
      </c>
      <c r="O210" s="62" t="str">
        <f t="shared" si="55"/>
        <v>-</v>
      </c>
      <c r="P210" s="54"/>
      <c r="Q210" s="62" t="str">
        <f t="shared" si="56"/>
        <v>-</v>
      </c>
    </row>
    <row r="211" spans="1:17" ht="23.4" x14ac:dyDescent="0.35">
      <c r="A211" s="16" t="s">
        <v>64</v>
      </c>
      <c r="B211" s="10">
        <v>196671004536</v>
      </c>
      <c r="C211" s="44" t="s">
        <v>483</v>
      </c>
      <c r="D211" s="1" t="s">
        <v>184</v>
      </c>
      <c r="E211" s="12">
        <v>0.79222999999999999</v>
      </c>
      <c r="F211" s="13">
        <v>12</v>
      </c>
      <c r="G211" s="14">
        <v>13.455</v>
      </c>
      <c r="H211" s="40"/>
      <c r="I211" s="36">
        <f t="shared" si="59"/>
        <v>0</v>
      </c>
      <c r="L211" s="61" t="str">
        <f t="shared" si="52"/>
        <v>-</v>
      </c>
      <c r="M211" s="61" t="str">
        <f t="shared" si="53"/>
        <v>-</v>
      </c>
      <c r="N211" s="50" t="str">
        <f t="shared" si="54"/>
        <v>-</v>
      </c>
      <c r="O211" s="62" t="str">
        <f t="shared" si="55"/>
        <v>-</v>
      </c>
      <c r="P211" s="54"/>
      <c r="Q211" s="62" t="str">
        <f t="shared" si="56"/>
        <v>-</v>
      </c>
    </row>
    <row r="212" spans="1:17" ht="23.4" x14ac:dyDescent="0.35">
      <c r="A212" s="16" t="s">
        <v>65</v>
      </c>
      <c r="B212" s="10">
        <v>196671004543</v>
      </c>
      <c r="C212" s="44" t="s">
        <v>484</v>
      </c>
      <c r="D212" s="1" t="s">
        <v>184</v>
      </c>
      <c r="E212" s="12">
        <v>1.1225149999999999</v>
      </c>
      <c r="F212" s="13">
        <v>6</v>
      </c>
      <c r="G212" s="14">
        <v>21.060000000000006</v>
      </c>
      <c r="H212" s="40"/>
      <c r="I212" s="36">
        <f t="shared" si="59"/>
        <v>0</v>
      </c>
      <c r="L212" s="61" t="str">
        <f t="shared" si="52"/>
        <v>-</v>
      </c>
      <c r="M212" s="61" t="str">
        <f t="shared" si="53"/>
        <v>-</v>
      </c>
      <c r="N212" s="50" t="str">
        <f t="shared" si="54"/>
        <v>-</v>
      </c>
      <c r="O212" s="62" t="str">
        <f t="shared" si="55"/>
        <v>-</v>
      </c>
      <c r="P212" s="54"/>
      <c r="Q212" s="62" t="str">
        <f t="shared" si="56"/>
        <v>-</v>
      </c>
    </row>
    <row r="213" spans="1:17" ht="23.4" x14ac:dyDescent="0.35">
      <c r="A213" s="16" t="s">
        <v>261</v>
      </c>
      <c r="B213" s="10">
        <v>196671003744</v>
      </c>
      <c r="C213" s="44" t="s">
        <v>485</v>
      </c>
      <c r="D213" s="1" t="s">
        <v>160</v>
      </c>
      <c r="E213" s="12">
        <v>1.359858133101</v>
      </c>
      <c r="F213" s="13">
        <v>6</v>
      </c>
      <c r="G213" s="14">
        <v>39</v>
      </c>
      <c r="H213" s="40"/>
      <c r="I213" s="36">
        <f t="shared" si="59"/>
        <v>0</v>
      </c>
      <c r="L213" s="61" t="str">
        <f t="shared" ref="L213:L226" si="60">IFERROR(IF($L$2*E213=0, "-", $L$2*E213), "-")</f>
        <v>-</v>
      </c>
      <c r="M213" s="61" t="str">
        <f t="shared" ref="M213:M226" si="61">IFERROR(IF(L213&gt;0,G213+L213,"-"),"-")</f>
        <v>-</v>
      </c>
      <c r="N213" s="50" t="str">
        <f t="shared" ref="N213:N226" si="62">IF(H213&gt;0,H213*E213, "-")</f>
        <v>-</v>
      </c>
      <c r="O213" s="62" t="str">
        <f t="shared" ref="O213:O226" si="63">IFERROR(IF($L$2&gt;0, $L$2*N213, "-"), "-")</f>
        <v>-</v>
      </c>
      <c r="P213" s="54"/>
      <c r="Q213" s="62" t="str">
        <f t="shared" ref="Q213:Q226" si="64">IFERROR(IF(O213+I213=0, "-", IF(O213&gt;0, O213+I213, "-")), "-")</f>
        <v>-</v>
      </c>
    </row>
    <row r="214" spans="1:17" ht="23.4" x14ac:dyDescent="0.35">
      <c r="A214" s="16" t="s">
        <v>262</v>
      </c>
      <c r="B214" s="10">
        <v>196671003737</v>
      </c>
      <c r="C214" s="44" t="s">
        <v>486</v>
      </c>
      <c r="D214" s="1" t="s">
        <v>160</v>
      </c>
      <c r="E214" s="12">
        <v>1.3753029532995</v>
      </c>
      <c r="F214" s="13">
        <v>6</v>
      </c>
      <c r="G214" s="14">
        <v>39</v>
      </c>
      <c r="H214" s="40"/>
      <c r="I214" s="36">
        <f t="shared" si="59"/>
        <v>0</v>
      </c>
      <c r="L214" s="61" t="str">
        <f t="shared" si="60"/>
        <v>-</v>
      </c>
      <c r="M214" s="61" t="str">
        <f t="shared" si="61"/>
        <v>-</v>
      </c>
      <c r="N214" s="50" t="str">
        <f t="shared" si="62"/>
        <v>-</v>
      </c>
      <c r="O214" s="62" t="str">
        <f t="shared" si="63"/>
        <v>-</v>
      </c>
      <c r="P214" s="54"/>
      <c r="Q214" s="62" t="str">
        <f t="shared" si="64"/>
        <v>-</v>
      </c>
    </row>
    <row r="215" spans="1:17" s="23" customFormat="1" ht="49.2" customHeight="1" x14ac:dyDescent="0.35">
      <c r="A215" s="16" t="s">
        <v>263</v>
      </c>
      <c r="B215" s="10">
        <v>196671004048</v>
      </c>
      <c r="C215" s="44" t="s">
        <v>487</v>
      </c>
      <c r="D215" s="1" t="s">
        <v>160</v>
      </c>
      <c r="E215" s="12">
        <v>1.2105582045154999</v>
      </c>
      <c r="F215" s="13">
        <v>6</v>
      </c>
      <c r="G215" s="14">
        <v>39</v>
      </c>
      <c r="H215" s="40"/>
      <c r="I215" s="36">
        <f t="shared" si="59"/>
        <v>0</v>
      </c>
      <c r="L215" s="61" t="str">
        <f t="shared" si="60"/>
        <v>-</v>
      </c>
      <c r="M215" s="61" t="str">
        <f t="shared" si="61"/>
        <v>-</v>
      </c>
      <c r="N215" s="50" t="str">
        <f t="shared" si="62"/>
        <v>-</v>
      </c>
      <c r="O215" s="62" t="str">
        <f t="shared" si="63"/>
        <v>-</v>
      </c>
      <c r="P215" s="54"/>
      <c r="Q215" s="62" t="str">
        <f t="shared" si="64"/>
        <v>-</v>
      </c>
    </row>
    <row r="216" spans="1:17" s="23" customFormat="1" ht="25.8" customHeight="1" x14ac:dyDescent="0.35">
      <c r="A216" s="16" t="s">
        <v>264</v>
      </c>
      <c r="B216" s="10">
        <v>196671003768</v>
      </c>
      <c r="C216" s="44" t="s">
        <v>488</v>
      </c>
      <c r="D216" s="1" t="s">
        <v>160</v>
      </c>
      <c r="E216" s="12">
        <v>2.9300815199485002</v>
      </c>
      <c r="F216" s="13">
        <v>4</v>
      </c>
      <c r="G216" s="14">
        <v>87.75</v>
      </c>
      <c r="H216" s="40"/>
      <c r="I216" s="36">
        <f t="shared" si="59"/>
        <v>0</v>
      </c>
      <c r="L216" s="61" t="str">
        <f t="shared" si="60"/>
        <v>-</v>
      </c>
      <c r="M216" s="61" t="str">
        <f t="shared" si="61"/>
        <v>-</v>
      </c>
      <c r="N216" s="50" t="str">
        <f t="shared" si="62"/>
        <v>-</v>
      </c>
      <c r="O216" s="62" t="str">
        <f t="shared" si="63"/>
        <v>-</v>
      </c>
      <c r="P216" s="54"/>
      <c r="Q216" s="62" t="str">
        <f t="shared" si="64"/>
        <v>-</v>
      </c>
    </row>
    <row r="217" spans="1:17" s="23" customFormat="1" ht="25.8" customHeight="1" x14ac:dyDescent="0.35">
      <c r="A217" s="16" t="s">
        <v>265</v>
      </c>
      <c r="B217" s="10">
        <v>196671003751</v>
      </c>
      <c r="C217" s="44" t="s">
        <v>489</v>
      </c>
      <c r="D217" s="1" t="s">
        <v>160</v>
      </c>
      <c r="E217" s="12">
        <v>2.9609711603454998</v>
      </c>
      <c r="F217" s="13">
        <v>4</v>
      </c>
      <c r="G217" s="14">
        <v>87.75</v>
      </c>
      <c r="H217" s="40"/>
      <c r="I217" s="36">
        <f t="shared" si="59"/>
        <v>0</v>
      </c>
      <c r="L217" s="61" t="str">
        <f t="shared" si="60"/>
        <v>-</v>
      </c>
      <c r="M217" s="61" t="str">
        <f t="shared" si="61"/>
        <v>-</v>
      </c>
      <c r="N217" s="50" t="str">
        <f t="shared" si="62"/>
        <v>-</v>
      </c>
      <c r="O217" s="62" t="str">
        <f t="shared" si="63"/>
        <v>-</v>
      </c>
      <c r="P217" s="54"/>
      <c r="Q217" s="62" t="str">
        <f t="shared" si="64"/>
        <v>-</v>
      </c>
    </row>
    <row r="218" spans="1:17" s="23" customFormat="1" ht="25.8" customHeight="1" x14ac:dyDescent="0.35">
      <c r="A218" s="16" t="s">
        <v>266</v>
      </c>
      <c r="B218" s="10">
        <v>196671004093</v>
      </c>
      <c r="C218" s="44" t="s">
        <v>490</v>
      </c>
      <c r="D218" s="1" t="s">
        <v>160</v>
      </c>
      <c r="E218" s="12">
        <v>2.5491092883855004</v>
      </c>
      <c r="F218" s="13">
        <v>4</v>
      </c>
      <c r="G218" s="14">
        <v>87.75</v>
      </c>
      <c r="H218" s="40"/>
      <c r="I218" s="36">
        <f t="shared" si="59"/>
        <v>0</v>
      </c>
      <c r="L218" s="61" t="str">
        <f t="shared" si="60"/>
        <v>-</v>
      </c>
      <c r="M218" s="61" t="str">
        <f t="shared" si="61"/>
        <v>-</v>
      </c>
      <c r="N218" s="50" t="str">
        <f t="shared" si="62"/>
        <v>-</v>
      </c>
      <c r="O218" s="62" t="str">
        <f t="shared" si="63"/>
        <v>-</v>
      </c>
      <c r="P218" s="54"/>
      <c r="Q218" s="62" t="str">
        <f t="shared" si="64"/>
        <v>-</v>
      </c>
    </row>
    <row r="219" spans="1:17" s="23" customFormat="1" ht="25.8" customHeight="1" x14ac:dyDescent="0.35">
      <c r="A219" s="16" t="s">
        <v>267</v>
      </c>
      <c r="B219" s="10">
        <v>196671003782</v>
      </c>
      <c r="C219" s="44" t="s">
        <v>491</v>
      </c>
      <c r="D219" s="1" t="s">
        <v>1</v>
      </c>
      <c r="E219" s="12">
        <v>1.3650064065005001</v>
      </c>
      <c r="F219" s="13">
        <v>6</v>
      </c>
      <c r="G219" s="14">
        <v>26</v>
      </c>
      <c r="H219" s="40"/>
      <c r="I219" s="36">
        <f t="shared" si="59"/>
        <v>0</v>
      </c>
      <c r="L219" s="61" t="str">
        <f t="shared" si="60"/>
        <v>-</v>
      </c>
      <c r="M219" s="61" t="str">
        <f t="shared" si="61"/>
        <v>-</v>
      </c>
      <c r="N219" s="50" t="str">
        <f t="shared" si="62"/>
        <v>-</v>
      </c>
      <c r="O219" s="62" t="str">
        <f t="shared" si="63"/>
        <v>-</v>
      </c>
      <c r="P219" s="54"/>
      <c r="Q219" s="62" t="str">
        <f t="shared" si="64"/>
        <v>-</v>
      </c>
    </row>
    <row r="220" spans="1:17" ht="23.4" x14ac:dyDescent="0.35">
      <c r="A220" s="16" t="s">
        <v>268</v>
      </c>
      <c r="B220" s="10">
        <v>196671003775</v>
      </c>
      <c r="C220" s="44" t="s">
        <v>492</v>
      </c>
      <c r="D220" s="1" t="s">
        <v>1</v>
      </c>
      <c r="E220" s="12">
        <v>1.3753029532995</v>
      </c>
      <c r="F220" s="13">
        <v>6</v>
      </c>
      <c r="G220" s="14">
        <v>26</v>
      </c>
      <c r="H220" s="40"/>
      <c r="I220" s="36">
        <f t="shared" si="59"/>
        <v>0</v>
      </c>
      <c r="L220" s="61" t="str">
        <f t="shared" si="60"/>
        <v>-</v>
      </c>
      <c r="M220" s="61" t="str">
        <f t="shared" si="61"/>
        <v>-</v>
      </c>
      <c r="N220" s="50" t="str">
        <f t="shared" si="62"/>
        <v>-</v>
      </c>
      <c r="O220" s="62" t="str">
        <f t="shared" si="63"/>
        <v>-</v>
      </c>
      <c r="P220" s="54"/>
      <c r="Q220" s="62" t="str">
        <f t="shared" si="64"/>
        <v>-</v>
      </c>
    </row>
    <row r="221" spans="1:17" ht="23.4" x14ac:dyDescent="0.35">
      <c r="A221" s="16" t="s">
        <v>269</v>
      </c>
      <c r="B221" s="10">
        <v>196671003805</v>
      </c>
      <c r="C221" s="44" t="s">
        <v>493</v>
      </c>
      <c r="D221" s="1" t="s">
        <v>1</v>
      </c>
      <c r="E221" s="12">
        <v>2.8888953327525004</v>
      </c>
      <c r="F221" s="13">
        <v>4</v>
      </c>
      <c r="G221" s="14">
        <v>58.5</v>
      </c>
      <c r="H221" s="40"/>
      <c r="I221" s="36">
        <f t="shared" si="59"/>
        <v>0</v>
      </c>
      <c r="L221" s="61" t="str">
        <f t="shared" si="60"/>
        <v>-</v>
      </c>
      <c r="M221" s="61" t="str">
        <f t="shared" si="61"/>
        <v>-</v>
      </c>
      <c r="N221" s="50" t="str">
        <f t="shared" si="62"/>
        <v>-</v>
      </c>
      <c r="O221" s="62" t="str">
        <f t="shared" si="63"/>
        <v>-</v>
      </c>
      <c r="P221" s="54"/>
      <c r="Q221" s="62" t="str">
        <f t="shared" si="64"/>
        <v>-</v>
      </c>
    </row>
    <row r="222" spans="1:17" ht="23.4" x14ac:dyDescent="0.35">
      <c r="A222" s="16" t="s">
        <v>270</v>
      </c>
      <c r="B222" s="10">
        <v>196671003799</v>
      </c>
      <c r="C222" s="44" t="s">
        <v>494</v>
      </c>
      <c r="D222" s="1" t="s">
        <v>1</v>
      </c>
      <c r="E222" s="12">
        <v>2.9249332465489997</v>
      </c>
      <c r="F222" s="13">
        <v>4</v>
      </c>
      <c r="G222" s="14">
        <v>58.5</v>
      </c>
      <c r="H222" s="40"/>
      <c r="I222" s="36">
        <f t="shared" si="59"/>
        <v>0</v>
      </c>
      <c r="L222" s="61" t="str">
        <f t="shared" si="60"/>
        <v>-</v>
      </c>
      <c r="M222" s="61" t="str">
        <f t="shared" si="61"/>
        <v>-</v>
      </c>
      <c r="N222" s="50" t="str">
        <f t="shared" si="62"/>
        <v>-</v>
      </c>
      <c r="O222" s="62" t="str">
        <f t="shared" si="63"/>
        <v>-</v>
      </c>
      <c r="P222" s="54"/>
      <c r="Q222" s="62" t="str">
        <f t="shared" si="64"/>
        <v>-</v>
      </c>
    </row>
    <row r="223" spans="1:17" ht="23.4" x14ac:dyDescent="0.35">
      <c r="A223" s="16" t="s">
        <v>271</v>
      </c>
      <c r="B223" s="10">
        <v>196671005496</v>
      </c>
      <c r="C223" s="44" t="s">
        <v>495</v>
      </c>
      <c r="D223" s="1" t="s">
        <v>165</v>
      </c>
      <c r="E223" s="12">
        <v>1.2723374853095</v>
      </c>
      <c r="F223" s="13">
        <v>6</v>
      </c>
      <c r="G223" s="14">
        <v>19.5</v>
      </c>
      <c r="H223" s="40"/>
      <c r="I223" s="36">
        <f t="shared" si="59"/>
        <v>0</v>
      </c>
      <c r="L223" s="61" t="str">
        <f t="shared" si="60"/>
        <v>-</v>
      </c>
      <c r="M223" s="61" t="str">
        <f t="shared" si="61"/>
        <v>-</v>
      </c>
      <c r="N223" s="50" t="str">
        <f t="shared" si="62"/>
        <v>-</v>
      </c>
      <c r="O223" s="62" t="str">
        <f t="shared" si="63"/>
        <v>-</v>
      </c>
      <c r="P223" s="54"/>
      <c r="Q223" s="62" t="str">
        <f t="shared" si="64"/>
        <v>-</v>
      </c>
    </row>
    <row r="224" spans="1:17" ht="23.4" x14ac:dyDescent="0.35">
      <c r="A224" s="16" t="s">
        <v>272</v>
      </c>
      <c r="B224" s="10">
        <v>196671005502</v>
      </c>
      <c r="C224" s="44" t="s">
        <v>496</v>
      </c>
      <c r="D224" s="1" t="s">
        <v>165</v>
      </c>
      <c r="E224" s="12">
        <v>1.256892665111</v>
      </c>
      <c r="F224" s="13">
        <v>6</v>
      </c>
      <c r="G224" s="14">
        <v>19.5</v>
      </c>
      <c r="H224" s="40"/>
      <c r="I224" s="36">
        <f t="shared" si="59"/>
        <v>0</v>
      </c>
      <c r="L224" s="61" t="str">
        <f t="shared" si="60"/>
        <v>-</v>
      </c>
      <c r="M224" s="61" t="str">
        <f t="shared" si="61"/>
        <v>-</v>
      </c>
      <c r="N224" s="50" t="str">
        <f t="shared" si="62"/>
        <v>-</v>
      </c>
      <c r="O224" s="62" t="str">
        <f t="shared" si="63"/>
        <v>-</v>
      </c>
      <c r="P224" s="54"/>
      <c r="Q224" s="62" t="str">
        <f t="shared" si="64"/>
        <v>-</v>
      </c>
    </row>
    <row r="225" spans="1:17" ht="23.4" x14ac:dyDescent="0.35">
      <c r="A225" s="16" t="s">
        <v>273</v>
      </c>
      <c r="B225" s="10">
        <v>196671005472</v>
      </c>
      <c r="C225" s="44" t="s">
        <v>497</v>
      </c>
      <c r="D225" s="1" t="s">
        <v>165</v>
      </c>
      <c r="E225" s="12">
        <v>1.2723374853095</v>
      </c>
      <c r="F225" s="13">
        <v>6</v>
      </c>
      <c r="G225" s="14">
        <v>19.5</v>
      </c>
      <c r="H225" s="40"/>
      <c r="I225" s="36">
        <f t="shared" si="59"/>
        <v>0</v>
      </c>
      <c r="L225" s="61" t="str">
        <f t="shared" si="60"/>
        <v>-</v>
      </c>
      <c r="M225" s="61" t="str">
        <f t="shared" si="61"/>
        <v>-</v>
      </c>
      <c r="N225" s="50" t="str">
        <f t="shared" si="62"/>
        <v>-</v>
      </c>
      <c r="O225" s="62" t="str">
        <f t="shared" si="63"/>
        <v>-</v>
      </c>
      <c r="P225" s="54"/>
      <c r="Q225" s="62" t="str">
        <f t="shared" si="64"/>
        <v>-</v>
      </c>
    </row>
    <row r="226" spans="1:17" ht="24" thickBot="1" x14ac:dyDescent="0.4">
      <c r="A226" s="18" t="s">
        <v>274</v>
      </c>
      <c r="B226" s="19">
        <v>196671003713</v>
      </c>
      <c r="C226" s="45" t="s">
        <v>498</v>
      </c>
      <c r="D226" s="3" t="s">
        <v>212</v>
      </c>
      <c r="E226" s="67">
        <v>0.64695000000000003</v>
      </c>
      <c r="F226" s="20">
        <v>12</v>
      </c>
      <c r="G226" s="27">
        <v>12.285</v>
      </c>
      <c r="H226" s="43"/>
      <c r="I226" s="37">
        <f t="shared" si="59"/>
        <v>0</v>
      </c>
      <c r="L226" s="61" t="str">
        <f t="shared" si="60"/>
        <v>-</v>
      </c>
      <c r="M226" s="61" t="str">
        <f t="shared" si="61"/>
        <v>-</v>
      </c>
      <c r="N226" s="50" t="str">
        <f t="shared" si="62"/>
        <v>-</v>
      </c>
      <c r="O226" s="62" t="str">
        <f t="shared" si="63"/>
        <v>-</v>
      </c>
      <c r="P226" s="54"/>
      <c r="Q226" s="62" t="str">
        <f t="shared" si="64"/>
        <v>-</v>
      </c>
    </row>
    <row r="227" spans="1:17" x14ac:dyDescent="0.3">
      <c r="H227" s="28"/>
    </row>
    <row r="228" spans="1:17" x14ac:dyDescent="0.3">
      <c r="H228" s="28"/>
    </row>
    <row r="229" spans="1:17" ht="20.399999999999999" thickBot="1" x14ac:dyDescent="0.35">
      <c r="H229" s="28"/>
    </row>
    <row r="230" spans="1:17" ht="39" customHeight="1" thickBot="1" x14ac:dyDescent="0.35">
      <c r="C230" s="66" t="e" vm="1">
        <v>#VALUE!</v>
      </c>
      <c r="H230" s="28"/>
    </row>
    <row r="231" spans="1:17" ht="21" x14ac:dyDescent="0.4">
      <c r="C231" s="24" t="s">
        <v>243</v>
      </c>
      <c r="H231" s="28"/>
    </row>
    <row r="232" spans="1:17" ht="21" x14ac:dyDescent="0.4">
      <c r="C232" s="25" t="s">
        <v>244</v>
      </c>
      <c r="H232" s="28"/>
    </row>
    <row r="233" spans="1:17" ht="21.6" thickBot="1" x14ac:dyDescent="0.45">
      <c r="C233" s="26" t="s">
        <v>156</v>
      </c>
      <c r="H233" s="28"/>
    </row>
    <row r="234" spans="1:17" ht="21.6" thickBot="1" x14ac:dyDescent="0.45">
      <c r="C234" s="26" t="s">
        <v>157</v>
      </c>
      <c r="H234" s="28"/>
    </row>
    <row r="235" spans="1:17" ht="21.6" thickBot="1" x14ac:dyDescent="0.45">
      <c r="C235" s="26" t="s">
        <v>158</v>
      </c>
      <c r="H235" s="28"/>
    </row>
    <row r="236" spans="1:17" x14ac:dyDescent="0.3">
      <c r="H236" s="28"/>
    </row>
    <row r="237" spans="1:17" x14ac:dyDescent="0.3">
      <c r="H237" s="28"/>
    </row>
    <row r="238" spans="1:17" x14ac:dyDescent="0.3">
      <c r="H238" s="28"/>
    </row>
    <row r="239" spans="1:17" x14ac:dyDescent="0.3">
      <c r="H239" s="28"/>
    </row>
    <row r="240" spans="1:17" x14ac:dyDescent="0.3">
      <c r="H240" s="28"/>
    </row>
    <row r="241" spans="8:8" x14ac:dyDescent="0.3">
      <c r="H241" s="28"/>
    </row>
    <row r="242" spans="8:8" x14ac:dyDescent="0.3">
      <c r="H242" s="28"/>
    </row>
    <row r="243" spans="8:8" x14ac:dyDescent="0.3">
      <c r="H243" s="28"/>
    </row>
    <row r="244" spans="8:8" x14ac:dyDescent="0.3">
      <c r="H244" s="28"/>
    </row>
    <row r="245" spans="8:8" x14ac:dyDescent="0.3">
      <c r="H245" s="28"/>
    </row>
    <row r="246" spans="8:8" x14ac:dyDescent="0.3">
      <c r="H246" s="28"/>
    </row>
    <row r="247" spans="8:8" x14ac:dyDescent="0.3">
      <c r="H247" s="28"/>
    </row>
    <row r="248" spans="8:8" x14ac:dyDescent="0.3">
      <c r="H248" s="28"/>
    </row>
    <row r="249" spans="8:8" x14ac:dyDescent="0.3">
      <c r="H249" s="28"/>
    </row>
    <row r="250" spans="8:8" x14ac:dyDescent="0.3">
      <c r="H250" s="28"/>
    </row>
    <row r="251" spans="8:8" x14ac:dyDescent="0.3">
      <c r="H251" s="28"/>
    </row>
    <row r="252" spans="8:8" x14ac:dyDescent="0.3">
      <c r="H252" s="28"/>
    </row>
    <row r="253" spans="8:8" x14ac:dyDescent="0.3">
      <c r="H253" s="28"/>
    </row>
    <row r="254" spans="8:8" x14ac:dyDescent="0.3">
      <c r="H254" s="28"/>
    </row>
    <row r="255" spans="8:8" x14ac:dyDescent="0.3">
      <c r="H255" s="28"/>
    </row>
    <row r="256" spans="8:8" x14ac:dyDescent="0.3">
      <c r="H256" s="28"/>
    </row>
    <row r="257" spans="8:8" x14ac:dyDescent="0.3">
      <c r="H257" s="28"/>
    </row>
    <row r="258" spans="8:8" x14ac:dyDescent="0.3">
      <c r="H258" s="28"/>
    </row>
    <row r="259" spans="8:8" x14ac:dyDescent="0.3">
      <c r="H259" s="28"/>
    </row>
    <row r="260" spans="8:8" x14ac:dyDescent="0.3">
      <c r="H260" s="28"/>
    </row>
    <row r="261" spans="8:8" x14ac:dyDescent="0.3">
      <c r="H261" s="28"/>
    </row>
    <row r="262" spans="8:8" x14ac:dyDescent="0.3">
      <c r="H262" s="28"/>
    </row>
    <row r="263" spans="8:8" x14ac:dyDescent="0.3">
      <c r="H263" s="28"/>
    </row>
    <row r="264" spans="8:8" x14ac:dyDescent="0.3">
      <c r="H264" s="28"/>
    </row>
    <row r="265" spans="8:8" x14ac:dyDescent="0.3">
      <c r="H265" s="28"/>
    </row>
    <row r="266" spans="8:8" x14ac:dyDescent="0.3">
      <c r="H266" s="28"/>
    </row>
    <row r="267" spans="8:8" x14ac:dyDescent="0.3">
      <c r="H267" s="28"/>
    </row>
    <row r="268" spans="8:8" x14ac:dyDescent="0.3">
      <c r="H268" s="28"/>
    </row>
    <row r="269" spans="8:8" x14ac:dyDescent="0.3">
      <c r="H269" s="28"/>
    </row>
    <row r="270" spans="8:8" x14ac:dyDescent="0.3">
      <c r="H270" s="28"/>
    </row>
    <row r="271" spans="8:8" x14ac:dyDescent="0.3">
      <c r="H271" s="28"/>
    </row>
    <row r="272" spans="8:8" x14ac:dyDescent="0.3">
      <c r="H272" s="28"/>
    </row>
    <row r="273" spans="8:8" x14ac:dyDescent="0.3">
      <c r="H273" s="28"/>
    </row>
    <row r="274" spans="8:8" x14ac:dyDescent="0.3">
      <c r="H274" s="28"/>
    </row>
    <row r="275" spans="8:8" x14ac:dyDescent="0.3">
      <c r="H275" s="28"/>
    </row>
    <row r="276" spans="8:8" x14ac:dyDescent="0.3">
      <c r="H276" s="28"/>
    </row>
    <row r="277" spans="8:8" x14ac:dyDescent="0.3">
      <c r="H277" s="28"/>
    </row>
    <row r="278" spans="8:8" x14ac:dyDescent="0.3">
      <c r="H278" s="28"/>
    </row>
    <row r="279" spans="8:8" x14ac:dyDescent="0.3">
      <c r="H279" s="28"/>
    </row>
    <row r="280" spans="8:8" x14ac:dyDescent="0.3">
      <c r="H280" s="28"/>
    </row>
    <row r="281" spans="8:8" x14ac:dyDescent="0.3">
      <c r="H281" s="28"/>
    </row>
    <row r="282" spans="8:8" x14ac:dyDescent="0.3">
      <c r="H282" s="28"/>
    </row>
    <row r="283" spans="8:8" x14ac:dyDescent="0.3">
      <c r="H283" s="28"/>
    </row>
    <row r="284" spans="8:8" x14ac:dyDescent="0.3">
      <c r="H284" s="28"/>
    </row>
    <row r="285" spans="8:8" x14ac:dyDescent="0.3">
      <c r="H285" s="28"/>
    </row>
    <row r="286" spans="8:8" x14ac:dyDescent="0.3">
      <c r="H286" s="28"/>
    </row>
    <row r="287" spans="8:8" x14ac:dyDescent="0.3">
      <c r="H287" s="28"/>
    </row>
    <row r="288" spans="8:8" x14ac:dyDescent="0.3">
      <c r="H288" s="28"/>
    </row>
    <row r="289" spans="8:8" x14ac:dyDescent="0.3">
      <c r="H289" s="28"/>
    </row>
    <row r="290" spans="8:8" x14ac:dyDescent="0.3">
      <c r="H290" s="28"/>
    </row>
    <row r="291" spans="8:8" x14ac:dyDescent="0.3">
      <c r="H291" s="28"/>
    </row>
  </sheetData>
  <sheetProtection algorithmName="SHA-512" hashValue="t0oJUgmYCCpfRuoYtQnyXfOOe5wA0aAjFfBCt/6eUHaCbU+6sDrOM5U2Z0fOOY8dQGCz8psgRI6u4JR7P8LOqg==" saltValue="Vsb+k7RvGdYTuTJFXI2UyA==" spinCount="100000" sheet="1" formatCells="0" formatColumns="0" formatRows="0" insertColumns="0" insertRows="0" insertHyperlinks="0" deleteColumns="0" deleteRows="0" sort="0" autoFilter="0" pivotTables="0"/>
  <autoFilter ref="A2:I210" xr:uid="{FABE3A3B-0BA5-4B05-8F5D-A3DE551A1673}"/>
  <mergeCells count="2">
    <mergeCell ref="A1:I1"/>
    <mergeCell ref="M1:M2"/>
  </mergeCells>
  <conditionalFormatting sqref="I115:I123 A124:D128 F124:I128 G129:G160 I129:I160 A136:D138 F136:F138 H136:H138 A144:D145 F144:F145 H144:H145 A148:D148 F148 H148 F159:F160 H159:H160 A3:D114 F3:I114 F161:I226 E3:E226">
    <cfRule type="expression" dxfId="0" priority="6">
      <formula>$J3&gt;0</formula>
    </cfRule>
  </conditionalFormatting>
  <conditionalFormatting sqref="A159:D226">
    <cfRule type="expression" dxfId="3" priority="3">
      <formula>$J159&gt;0</formula>
    </cfRule>
  </conditionalFormatting>
  <conditionalFormatting sqref="G115:G123">
    <cfRule type="expression" dxfId="2" priority="12">
      <formula>$J115&gt;0</formula>
    </cfRule>
  </conditionalFormatting>
  <conditionalFormatting sqref="Q1">
    <cfRule type="expression" dxfId="1" priority="1">
      <formula>"&gt;0"</formula>
    </cfRule>
  </conditionalFormatting>
  <dataValidations count="1">
    <dataValidation type="custom" allowBlank="1" showInputMessage="1" showErrorMessage="1" errorTitle="ERROR" error="Order quantity must be a multiple of Sales per Unit Case (See Column F)" prompt="Order quantity must be a multiple of Sales per Unit Case (See Column F)" sqref="H3:H226" xr:uid="{E0C8E633-27A3-421B-B6CC-6911535CAA70}">
      <formula1>MOD(H3,F3)=0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DSN GROUP (R1)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Хомик</dc:creator>
  <cp:lastModifiedBy>Денис Хомик</cp:lastModifiedBy>
  <cp:lastPrinted>2022-11-14T19:58:32Z</cp:lastPrinted>
  <dcterms:created xsi:type="dcterms:W3CDTF">2016-02-18T18:53:45Z</dcterms:created>
  <dcterms:modified xsi:type="dcterms:W3CDTF">2026-03-04T14:26:43Z</dcterms:modified>
</cp:coreProperties>
</file>